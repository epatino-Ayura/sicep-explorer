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thumbnail" Target="docProps/thumbnail.emf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extended-properties" Target="docProps/app.xml"/><Relationship Id="rId4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OMPRAS ENERGIA AÑO 2025\PROCESOS DE COMPRADE ENERGIA\PROCESO COMPRA ENERGÍA SICEP\AÑO 2026\CP CNSC2026-002\1. PREPARACION DE LA PROPUESTA\"/>
    </mc:Choice>
  </mc:AlternateContent>
  <xr:revisionPtr revIDLastSave="0" documentId="13_ncr:1_{22906CEF-246C-4E60-AA30-00E378DC2A91}" xr6:coauthVersionLast="47" xr6:coauthVersionMax="47" xr10:uidLastSave="{00000000-0000-0000-0000-000000000000}"/>
  <bookViews>
    <workbookView xWindow="-110" yWindow="-110" windowWidth="19420" windowHeight="10300" tabRatio="598" activeTab="5" xr2:uid="{D0603849-4D70-4D94-86F2-F3E2C6C23002}"/>
  </bookViews>
  <sheets>
    <sheet name="OF P1" sheetId="16" r:id="rId1"/>
    <sheet name="CURVA P1" sheetId="17" r:id="rId2"/>
    <sheet name="OF P2 " sheetId="30" r:id="rId3"/>
    <sheet name="PLANA P2 " sheetId="31" r:id="rId4"/>
    <sheet name="OF P3" sheetId="44" r:id="rId5"/>
    <sheet name="CURVA P3" sheetId="45" r:id="rId6"/>
    <sheet name="OF P4" sheetId="21" r:id="rId7"/>
    <sheet name="CURVA P4" sheetId="22" r:id="rId8"/>
    <sheet name="OF P5" sheetId="32" r:id="rId9"/>
    <sheet name="PLANA P5" sheetId="33" r:id="rId10"/>
    <sheet name="OF P6" sheetId="34" r:id="rId11"/>
    <sheet name="CURVA P6" sheetId="35" r:id="rId12"/>
    <sheet name="OF P7" sheetId="38" r:id="rId13"/>
    <sheet name="PLANA P7" sheetId="39" r:id="rId14"/>
    <sheet name="OF P8" sheetId="36" r:id="rId15"/>
    <sheet name="CURVA P8" sheetId="37" r:id="rId16"/>
    <sheet name="OF P9" sheetId="40" r:id="rId17"/>
    <sheet name="PLANA P9" sheetId="41" r:id="rId1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54" i="45" l="1"/>
  <c r="AC54" i="45" s="1"/>
  <c r="AA53" i="45"/>
  <c r="AC53" i="45" s="1"/>
  <c r="AA52" i="45"/>
  <c r="AC52" i="45" s="1"/>
  <c r="AA51" i="45"/>
  <c r="AC51" i="45" s="1"/>
  <c r="AA50" i="45"/>
  <c r="AC50" i="45" s="1"/>
  <c r="AA49" i="45"/>
  <c r="AC49" i="45" s="1"/>
  <c r="AA48" i="45"/>
  <c r="AC48" i="45" s="1"/>
  <c r="AA47" i="45"/>
  <c r="AC47" i="45" s="1"/>
  <c r="AA46" i="45"/>
  <c r="AC46" i="45" s="1"/>
  <c r="AA45" i="45"/>
  <c r="AC45" i="45" s="1"/>
  <c r="AA44" i="45"/>
  <c r="AC44" i="45" s="1"/>
  <c r="AA43" i="45"/>
  <c r="AC43" i="45" s="1"/>
  <c r="AC42" i="45"/>
  <c r="AA41" i="45"/>
  <c r="AC41" i="45" s="1"/>
  <c r="AA40" i="45"/>
  <c r="AC40" i="45" s="1"/>
  <c r="AA39" i="45"/>
  <c r="AC39" i="45" s="1"/>
  <c r="AA38" i="45"/>
  <c r="AC38" i="45" s="1"/>
  <c r="AA37" i="45"/>
  <c r="AC37" i="45" s="1"/>
  <c r="AA36" i="45"/>
  <c r="AC36" i="45" s="1"/>
  <c r="AA35" i="45"/>
  <c r="AC35" i="45" s="1"/>
  <c r="AA34" i="45"/>
  <c r="AC34" i="45" s="1"/>
  <c r="AA33" i="45"/>
  <c r="AC33" i="45" s="1"/>
  <c r="AA32" i="45"/>
  <c r="AC32" i="45" s="1"/>
  <c r="AA31" i="45"/>
  <c r="AC31" i="45" s="1"/>
  <c r="AA30" i="45"/>
  <c r="AC30" i="45" s="1"/>
  <c r="AA29" i="45"/>
  <c r="AC29" i="45" s="1"/>
  <c r="AA28" i="45"/>
  <c r="AC28" i="45" s="1"/>
  <c r="AA27" i="45"/>
  <c r="AC27" i="45" s="1"/>
  <c r="AA26" i="45"/>
  <c r="AC26" i="45" s="1"/>
  <c r="AA25" i="45"/>
  <c r="AC25" i="45" s="1"/>
  <c r="AA24" i="45"/>
  <c r="AC24" i="45" s="1"/>
  <c r="AA23" i="45"/>
  <c r="AC23" i="45" s="1"/>
  <c r="AA22" i="45"/>
  <c r="AC22" i="45" s="1"/>
  <c r="AA21" i="45"/>
  <c r="AC21" i="45" s="1"/>
  <c r="AA20" i="45"/>
  <c r="AC20" i="45" s="1"/>
  <c r="AA19" i="45"/>
  <c r="AC19" i="45" s="1"/>
  <c r="AA18" i="45"/>
  <c r="AC18" i="45" s="1"/>
  <c r="AA17" i="45"/>
  <c r="AC17" i="45" s="1"/>
  <c r="AA16" i="45"/>
  <c r="AC16" i="45" s="1"/>
  <c r="AA15" i="45"/>
  <c r="AC15" i="45" s="1"/>
  <c r="AD15" i="45" s="1"/>
  <c r="D8" i="44" s="1"/>
  <c r="AC14" i="45"/>
  <c r="AA13" i="45"/>
  <c r="AC13" i="45" s="1"/>
  <c r="AA12" i="45"/>
  <c r="AC12" i="45" s="1"/>
  <c r="AA11" i="45"/>
  <c r="AC11" i="45" s="1"/>
  <c r="AA10" i="45"/>
  <c r="AC10" i="45" s="1"/>
  <c r="AA9" i="45"/>
  <c r="AC9" i="45" s="1"/>
  <c r="AA8" i="45"/>
  <c r="AC8" i="45" s="1"/>
  <c r="AA7" i="45"/>
  <c r="AC7" i="45" s="1"/>
  <c r="AD47" i="45" l="1"/>
  <c r="D16" i="44" s="1"/>
  <c r="AD7" i="45"/>
  <c r="AD19" i="45"/>
  <c r="D9" i="44" s="1"/>
  <c r="AD39" i="45"/>
  <c r="D14" i="44" s="1"/>
  <c r="AD11" i="45"/>
  <c r="D7" i="44" s="1"/>
  <c r="AD27" i="45"/>
  <c r="D11" i="44" s="1"/>
  <c r="AD31" i="45"/>
  <c r="D12" i="44" s="1"/>
  <c r="D6" i="44"/>
  <c r="AD23" i="45"/>
  <c r="D10" i="44" s="1"/>
  <c r="AD51" i="45"/>
  <c r="D17" i="44" s="1"/>
  <c r="AD43" i="45"/>
  <c r="D15" i="44" s="1"/>
  <c r="AD35" i="45"/>
  <c r="D13" i="44" s="1"/>
  <c r="D18" i="44" l="1"/>
  <c r="D20" i="44" s="1"/>
  <c r="D21" i="44" s="1"/>
  <c r="AD55" i="45"/>
  <c r="C4" i="45" s="1"/>
  <c r="D20" i="40" l="1"/>
  <c r="D21" i="40" s="1"/>
  <c r="D21" i="36"/>
  <c r="D20" i="36"/>
  <c r="D21" i="38"/>
  <c r="D20" i="38"/>
  <c r="D20" i="32"/>
  <c r="D21" i="32" s="1"/>
  <c r="AA54" i="41"/>
  <c r="AC54" i="41" s="1"/>
  <c r="AA53" i="41"/>
  <c r="AC53" i="41" s="1"/>
  <c r="AA52" i="41"/>
  <c r="AC52" i="41" s="1"/>
  <c r="AA51" i="41"/>
  <c r="AC51" i="41" s="1"/>
  <c r="AA50" i="41"/>
  <c r="AC50" i="41" s="1"/>
  <c r="AA49" i="41"/>
  <c r="AC49" i="41" s="1"/>
  <c r="AA48" i="41"/>
  <c r="AC48" i="41" s="1"/>
  <c r="AA47" i="41"/>
  <c r="AC47" i="41" s="1"/>
  <c r="AA46" i="41"/>
  <c r="AC46" i="41" s="1"/>
  <c r="AA45" i="41"/>
  <c r="AC45" i="41" s="1"/>
  <c r="AA44" i="41"/>
  <c r="AC44" i="41" s="1"/>
  <c r="AC43" i="41"/>
  <c r="AA43" i="41"/>
  <c r="AA42" i="41"/>
  <c r="AC42" i="41" s="1"/>
  <c r="AA41" i="41"/>
  <c r="AC41" i="41" s="1"/>
  <c r="AA40" i="41"/>
  <c r="AC40" i="41" s="1"/>
  <c r="AA39" i="41"/>
  <c r="AC39" i="41" s="1"/>
  <c r="AA38" i="41"/>
  <c r="AC38" i="41" s="1"/>
  <c r="AA37" i="41"/>
  <c r="AC37" i="41" s="1"/>
  <c r="AA36" i="41"/>
  <c r="AC36" i="41" s="1"/>
  <c r="AA35" i="41"/>
  <c r="AC35" i="41" s="1"/>
  <c r="AD35" i="41" s="1"/>
  <c r="D13" i="40" s="1"/>
  <c r="AA34" i="41"/>
  <c r="AC34" i="41" s="1"/>
  <c r="AA33" i="41"/>
  <c r="AC33" i="41" s="1"/>
  <c r="AA32" i="41"/>
  <c r="AC32" i="41" s="1"/>
  <c r="AA31" i="41"/>
  <c r="AC31" i="41" s="1"/>
  <c r="AA30" i="41"/>
  <c r="AC30" i="41" s="1"/>
  <c r="AA29" i="41"/>
  <c r="AC29" i="41" s="1"/>
  <c r="AA28" i="41"/>
  <c r="AC28" i="41" s="1"/>
  <c r="AA27" i="41"/>
  <c r="AC27" i="41" s="1"/>
  <c r="AD27" i="41" s="1"/>
  <c r="D11" i="40" s="1"/>
  <c r="AA26" i="41"/>
  <c r="AC26" i="41" s="1"/>
  <c r="AA25" i="41"/>
  <c r="AC25" i="41" s="1"/>
  <c r="AA24" i="41"/>
  <c r="AC24" i="41" s="1"/>
  <c r="AA23" i="41"/>
  <c r="AC23" i="41" s="1"/>
  <c r="AA22" i="41"/>
  <c r="AC22" i="41" s="1"/>
  <c r="AA21" i="41"/>
  <c r="AC21" i="41" s="1"/>
  <c r="AA20" i="41"/>
  <c r="AC20" i="41" s="1"/>
  <c r="AA19" i="41"/>
  <c r="AC19" i="41" s="1"/>
  <c r="AA18" i="41"/>
  <c r="AC18" i="41" s="1"/>
  <c r="AA17" i="41"/>
  <c r="AC17" i="41" s="1"/>
  <c r="AA16" i="41"/>
  <c r="AC16" i="41" s="1"/>
  <c r="AA15" i="41"/>
  <c r="AC15" i="41" s="1"/>
  <c r="AA14" i="41"/>
  <c r="AC14" i="41" s="1"/>
  <c r="AA13" i="41"/>
  <c r="AC13" i="41" s="1"/>
  <c r="AA12" i="41"/>
  <c r="AC12" i="41" s="1"/>
  <c r="AC11" i="41"/>
  <c r="AA11" i="41"/>
  <c r="AA10" i="41"/>
  <c r="AC10" i="41" s="1"/>
  <c r="AA9" i="41"/>
  <c r="AC9" i="41" s="1"/>
  <c r="AA8" i="41"/>
  <c r="AC8" i="41" s="1"/>
  <c r="AA7" i="41"/>
  <c r="AC7" i="41" s="1"/>
  <c r="AA54" i="39"/>
  <c r="AC54" i="39" s="1"/>
  <c r="AA53" i="39"/>
  <c r="AC53" i="39" s="1"/>
  <c r="AA52" i="39"/>
  <c r="AC52" i="39" s="1"/>
  <c r="AA51" i="39"/>
  <c r="AC51" i="39" s="1"/>
  <c r="AA50" i="39"/>
  <c r="AC50" i="39" s="1"/>
  <c r="AA49" i="39"/>
  <c r="AC49" i="39" s="1"/>
  <c r="AA48" i="39"/>
  <c r="AC48" i="39" s="1"/>
  <c r="AA47" i="39"/>
  <c r="AC47" i="39" s="1"/>
  <c r="AA46" i="39"/>
  <c r="AC46" i="39" s="1"/>
  <c r="AA45" i="39"/>
  <c r="AC45" i="39" s="1"/>
  <c r="AA44" i="39"/>
  <c r="AC44" i="39" s="1"/>
  <c r="AC43" i="39"/>
  <c r="AA43" i="39"/>
  <c r="AA42" i="39"/>
  <c r="AC42" i="39" s="1"/>
  <c r="AA41" i="39"/>
  <c r="AC41" i="39" s="1"/>
  <c r="AA40" i="39"/>
  <c r="AC40" i="39" s="1"/>
  <c r="AA39" i="39"/>
  <c r="AC39" i="39" s="1"/>
  <c r="AD39" i="39" s="1"/>
  <c r="D14" i="38" s="1"/>
  <c r="AA38" i="39"/>
  <c r="AC38" i="39" s="1"/>
  <c r="AA37" i="39"/>
  <c r="AC37" i="39" s="1"/>
  <c r="AA36" i="39"/>
  <c r="AC36" i="39" s="1"/>
  <c r="AA35" i="39"/>
  <c r="AC35" i="39" s="1"/>
  <c r="AA34" i="39"/>
  <c r="AC34" i="39" s="1"/>
  <c r="AA33" i="39"/>
  <c r="AC33" i="39" s="1"/>
  <c r="AA32" i="39"/>
  <c r="AC32" i="39" s="1"/>
  <c r="AA31" i="39"/>
  <c r="AC31" i="39" s="1"/>
  <c r="AA30" i="39"/>
  <c r="AC30" i="39" s="1"/>
  <c r="AA29" i="39"/>
  <c r="AC29" i="39" s="1"/>
  <c r="AA28" i="39"/>
  <c r="AC28" i="39" s="1"/>
  <c r="AA27" i="39"/>
  <c r="AC27" i="39" s="1"/>
  <c r="AD27" i="39" s="1"/>
  <c r="D11" i="38" s="1"/>
  <c r="AA26" i="39"/>
  <c r="AC26" i="39" s="1"/>
  <c r="AA25" i="39"/>
  <c r="AC25" i="39" s="1"/>
  <c r="AA24" i="39"/>
  <c r="AC24" i="39" s="1"/>
  <c r="AA23" i="39"/>
  <c r="AC23" i="39" s="1"/>
  <c r="AA22" i="39"/>
  <c r="AC22" i="39" s="1"/>
  <c r="AA21" i="39"/>
  <c r="AC21" i="39" s="1"/>
  <c r="AA20" i="39"/>
  <c r="AC20" i="39" s="1"/>
  <c r="AA19" i="39"/>
  <c r="AC19" i="39" s="1"/>
  <c r="AD19" i="39" s="1"/>
  <c r="D9" i="38" s="1"/>
  <c r="AA18" i="39"/>
  <c r="AC18" i="39" s="1"/>
  <c r="AA17" i="39"/>
  <c r="AC17" i="39" s="1"/>
  <c r="AA16" i="39"/>
  <c r="AC16" i="39" s="1"/>
  <c r="AA15" i="39"/>
  <c r="AC15" i="39" s="1"/>
  <c r="AA14" i="39"/>
  <c r="AC14" i="39" s="1"/>
  <c r="AA13" i="39"/>
  <c r="AC13" i="39" s="1"/>
  <c r="AA12" i="39"/>
  <c r="AC12" i="39" s="1"/>
  <c r="AA11" i="39"/>
  <c r="AC11" i="39" s="1"/>
  <c r="AD11" i="39" s="1"/>
  <c r="D7" i="38" s="1"/>
  <c r="AA10" i="39"/>
  <c r="AC10" i="39" s="1"/>
  <c r="AA9" i="39"/>
  <c r="AC9" i="39" s="1"/>
  <c r="AA8" i="39"/>
  <c r="AC8" i="39" s="1"/>
  <c r="AA7" i="39"/>
  <c r="AC7" i="39" s="1"/>
  <c r="AD7" i="39" s="1"/>
  <c r="AA54" i="37"/>
  <c r="AC54" i="37" s="1"/>
  <c r="AC53" i="37"/>
  <c r="AA53" i="37"/>
  <c r="AA52" i="37"/>
  <c r="AC52" i="37" s="1"/>
  <c r="AA51" i="37"/>
  <c r="AC51" i="37" s="1"/>
  <c r="AA50" i="37"/>
  <c r="AC50" i="37" s="1"/>
  <c r="AA49" i="37"/>
  <c r="AC49" i="37" s="1"/>
  <c r="AA48" i="37"/>
  <c r="AC48" i="37" s="1"/>
  <c r="AA47" i="37"/>
  <c r="AC47" i="37" s="1"/>
  <c r="AA46" i="37"/>
  <c r="AC46" i="37" s="1"/>
  <c r="AA45" i="37"/>
  <c r="AC45" i="37" s="1"/>
  <c r="AA44" i="37"/>
  <c r="AC44" i="37" s="1"/>
  <c r="AA43" i="37"/>
  <c r="AC43" i="37" s="1"/>
  <c r="AA42" i="37"/>
  <c r="AC42" i="37" s="1"/>
  <c r="AA41" i="37"/>
  <c r="AC41" i="37" s="1"/>
  <c r="AA40" i="37"/>
  <c r="AC40" i="37" s="1"/>
  <c r="AC39" i="37"/>
  <c r="AA39" i="37"/>
  <c r="AA38" i="37"/>
  <c r="AC38" i="37" s="1"/>
  <c r="AC37" i="37"/>
  <c r="AA37" i="37"/>
  <c r="AA36" i="37"/>
  <c r="AC36" i="37" s="1"/>
  <c r="AA35" i="37"/>
  <c r="AC35" i="37" s="1"/>
  <c r="AA34" i="37"/>
  <c r="AC34" i="37" s="1"/>
  <c r="AA33" i="37"/>
  <c r="AC33" i="37" s="1"/>
  <c r="AA32" i="37"/>
  <c r="AC32" i="37" s="1"/>
  <c r="AA31" i="37"/>
  <c r="AC31" i="37" s="1"/>
  <c r="AA30" i="37"/>
  <c r="AC30" i="37" s="1"/>
  <c r="AA29" i="37"/>
  <c r="AC29" i="37" s="1"/>
  <c r="AA28" i="37"/>
  <c r="AC28" i="37" s="1"/>
  <c r="AA27" i="37"/>
  <c r="AC27" i="37" s="1"/>
  <c r="AA26" i="37"/>
  <c r="AC26" i="37" s="1"/>
  <c r="AA25" i="37"/>
  <c r="AC25" i="37" s="1"/>
  <c r="AA24" i="37"/>
  <c r="AC24" i="37" s="1"/>
  <c r="AA23" i="37"/>
  <c r="AC23" i="37" s="1"/>
  <c r="AA22" i="37"/>
  <c r="AC22" i="37" s="1"/>
  <c r="AA21" i="37"/>
  <c r="AC21" i="37" s="1"/>
  <c r="AA20" i="37"/>
  <c r="AC20" i="37" s="1"/>
  <c r="AA19" i="37"/>
  <c r="AC19" i="37" s="1"/>
  <c r="AA18" i="37"/>
  <c r="AC18" i="37" s="1"/>
  <c r="AA17" i="37"/>
  <c r="AC17" i="37" s="1"/>
  <c r="AA16" i="37"/>
  <c r="AC16" i="37" s="1"/>
  <c r="AA15" i="37"/>
  <c r="AC15" i="37" s="1"/>
  <c r="AA14" i="37"/>
  <c r="AC14" i="37" s="1"/>
  <c r="AA13" i="37"/>
  <c r="AC13" i="37" s="1"/>
  <c r="AA12" i="37"/>
  <c r="AC12" i="37" s="1"/>
  <c r="AA11" i="37"/>
  <c r="AC11" i="37" s="1"/>
  <c r="AA10" i="37"/>
  <c r="AC10" i="37" s="1"/>
  <c r="AA9" i="37"/>
  <c r="AC9" i="37" s="1"/>
  <c r="AA8" i="37"/>
  <c r="AC8" i="37" s="1"/>
  <c r="AC7" i="37"/>
  <c r="AA7" i="37"/>
  <c r="AA54" i="35"/>
  <c r="AC54" i="35" s="1"/>
  <c r="AA53" i="35"/>
  <c r="AC53" i="35" s="1"/>
  <c r="AA52" i="35"/>
  <c r="AC52" i="35" s="1"/>
  <c r="AA51" i="35"/>
  <c r="AC51" i="35" s="1"/>
  <c r="AA50" i="35"/>
  <c r="AC50" i="35" s="1"/>
  <c r="AA49" i="35"/>
  <c r="AC49" i="35" s="1"/>
  <c r="AA48" i="35"/>
  <c r="AC48" i="35" s="1"/>
  <c r="AA47" i="35"/>
  <c r="AC47" i="35" s="1"/>
  <c r="AA46" i="35"/>
  <c r="AC46" i="35" s="1"/>
  <c r="AA45" i="35"/>
  <c r="AC45" i="35" s="1"/>
  <c r="AA44" i="35"/>
  <c r="AC44" i="35" s="1"/>
  <c r="AA43" i="35"/>
  <c r="AC43" i="35" s="1"/>
  <c r="AA42" i="35"/>
  <c r="AC42" i="35" s="1"/>
  <c r="AA41" i="35"/>
  <c r="AC41" i="35" s="1"/>
  <c r="AA40" i="35"/>
  <c r="AC40" i="35" s="1"/>
  <c r="AA39" i="35"/>
  <c r="AC39" i="35" s="1"/>
  <c r="AA38" i="35"/>
  <c r="AC38" i="35" s="1"/>
  <c r="AA37" i="35"/>
  <c r="AC37" i="35" s="1"/>
  <c r="AA36" i="35"/>
  <c r="AC36" i="35" s="1"/>
  <c r="AA35" i="35"/>
  <c r="AC35" i="35" s="1"/>
  <c r="AA34" i="35"/>
  <c r="AC34" i="35" s="1"/>
  <c r="AA33" i="35"/>
  <c r="AC33" i="35" s="1"/>
  <c r="AA32" i="35"/>
  <c r="AC32" i="35" s="1"/>
  <c r="AA31" i="35"/>
  <c r="AC31" i="35" s="1"/>
  <c r="AA30" i="35"/>
  <c r="AC30" i="35" s="1"/>
  <c r="AA29" i="35"/>
  <c r="AC29" i="35" s="1"/>
  <c r="AA28" i="35"/>
  <c r="AC28" i="35" s="1"/>
  <c r="AA27" i="35"/>
  <c r="AC27" i="35" s="1"/>
  <c r="AA26" i="35"/>
  <c r="AC26" i="35" s="1"/>
  <c r="AA25" i="35"/>
  <c r="AC25" i="35" s="1"/>
  <c r="AA24" i="35"/>
  <c r="AC24" i="35" s="1"/>
  <c r="AA23" i="35"/>
  <c r="AC23" i="35" s="1"/>
  <c r="AA22" i="35"/>
  <c r="AC22" i="35" s="1"/>
  <c r="AA21" i="35"/>
  <c r="AC21" i="35" s="1"/>
  <c r="AA20" i="35"/>
  <c r="AC20" i="35" s="1"/>
  <c r="AA19" i="35"/>
  <c r="AC19" i="35" s="1"/>
  <c r="AA18" i="35"/>
  <c r="AC18" i="35" s="1"/>
  <c r="AA17" i="35"/>
  <c r="AC17" i="35" s="1"/>
  <c r="AA16" i="35"/>
  <c r="AC16" i="35" s="1"/>
  <c r="AA15" i="35"/>
  <c r="AC15" i="35" s="1"/>
  <c r="AA14" i="35"/>
  <c r="AC14" i="35" s="1"/>
  <c r="AA13" i="35"/>
  <c r="AC13" i="35" s="1"/>
  <c r="AA12" i="35"/>
  <c r="AC12" i="35" s="1"/>
  <c r="AA11" i="35"/>
  <c r="AC11" i="35" s="1"/>
  <c r="AA10" i="35"/>
  <c r="AC10" i="35" s="1"/>
  <c r="AA9" i="35"/>
  <c r="AC9" i="35" s="1"/>
  <c r="AA8" i="35"/>
  <c r="AC8" i="35" s="1"/>
  <c r="AA7" i="35"/>
  <c r="AC7" i="35" s="1"/>
  <c r="AD15" i="41" l="1"/>
  <c r="D8" i="40" s="1"/>
  <c r="AD7" i="41"/>
  <c r="AD47" i="41"/>
  <c r="D16" i="40" s="1"/>
  <c r="AD27" i="37"/>
  <c r="D11" i="36" s="1"/>
  <c r="AD11" i="37"/>
  <c r="D7" i="36" s="1"/>
  <c r="AD47" i="37"/>
  <c r="D16" i="36" s="1"/>
  <c r="AD19" i="37"/>
  <c r="D9" i="36" s="1"/>
  <c r="AD51" i="37"/>
  <c r="D17" i="36" s="1"/>
  <c r="AD35" i="37"/>
  <c r="D13" i="36" s="1"/>
  <c r="AD39" i="41"/>
  <c r="D14" i="40" s="1"/>
  <c r="AD19" i="41"/>
  <c r="D9" i="40" s="1"/>
  <c r="AD31" i="41"/>
  <c r="D12" i="40" s="1"/>
  <c r="AD51" i="41"/>
  <c r="D17" i="40" s="1"/>
  <c r="D6" i="40"/>
  <c r="AD11" i="41"/>
  <c r="D7" i="40" s="1"/>
  <c r="AD23" i="41"/>
  <c r="D10" i="40" s="1"/>
  <c r="AD43" i="41"/>
  <c r="D15" i="40" s="1"/>
  <c r="AD47" i="39"/>
  <c r="D16" i="38" s="1"/>
  <c r="AD35" i="39"/>
  <c r="D13" i="38" s="1"/>
  <c r="AD31" i="39"/>
  <c r="D12" i="38" s="1"/>
  <c r="AD51" i="39"/>
  <c r="D17" i="38" s="1"/>
  <c r="D6" i="38"/>
  <c r="AD43" i="39"/>
  <c r="D15" i="38" s="1"/>
  <c r="AD23" i="39"/>
  <c r="D10" i="38" s="1"/>
  <c r="AD15" i="39"/>
  <c r="D8" i="38" s="1"/>
  <c r="AD11" i="35"/>
  <c r="D7" i="34" s="1"/>
  <c r="AD23" i="35"/>
  <c r="D10" i="34" s="1"/>
  <c r="AD39" i="35"/>
  <c r="D14" i="34" s="1"/>
  <c r="AD31" i="35"/>
  <c r="D12" i="34" s="1"/>
  <c r="AD47" i="35"/>
  <c r="D16" i="34" s="1"/>
  <c r="AD51" i="35"/>
  <c r="D17" i="34" s="1"/>
  <c r="AD15" i="35"/>
  <c r="D8" i="34" s="1"/>
  <c r="AD43" i="35"/>
  <c r="D15" i="34" s="1"/>
  <c r="AD31" i="37"/>
  <c r="D12" i="36" s="1"/>
  <c r="AD39" i="37"/>
  <c r="D14" i="36" s="1"/>
  <c r="AD35" i="35"/>
  <c r="D13" i="34" s="1"/>
  <c r="AD7" i="35"/>
  <c r="AD27" i="35"/>
  <c r="D11" i="34" s="1"/>
  <c r="AD15" i="37"/>
  <c r="D8" i="36" s="1"/>
  <c r="AD23" i="37"/>
  <c r="D10" i="36" s="1"/>
  <c r="AD7" i="37"/>
  <c r="AD43" i="37"/>
  <c r="D15" i="36" s="1"/>
  <c r="AD19" i="35"/>
  <c r="D9" i="34" s="1"/>
  <c r="AD55" i="41" l="1"/>
  <c r="C4" i="41" s="1"/>
  <c r="D18" i="40"/>
  <c r="D18" i="38"/>
  <c r="AD55" i="39"/>
  <c r="C4" i="39" s="1"/>
  <c r="AD55" i="37"/>
  <c r="C4" i="37" s="1"/>
  <c r="D6" i="36"/>
  <c r="D18" i="36" s="1"/>
  <c r="AD55" i="35"/>
  <c r="C4" i="35" s="1"/>
  <c r="D6" i="34"/>
  <c r="D18" i="34" s="1"/>
  <c r="D20" i="34" s="1"/>
  <c r="D21" i="34" s="1"/>
  <c r="AA54" i="33" l="1"/>
  <c r="AC54" i="33" s="1"/>
  <c r="AA53" i="33"/>
  <c r="AC53" i="33" s="1"/>
  <c r="AA52" i="33"/>
  <c r="AC52" i="33" s="1"/>
  <c r="AA51" i="33"/>
  <c r="AC51" i="33" s="1"/>
  <c r="AA50" i="33"/>
  <c r="AC50" i="33" s="1"/>
  <c r="AA49" i="33"/>
  <c r="AC49" i="33" s="1"/>
  <c r="AC48" i="33"/>
  <c r="AA48" i="33"/>
  <c r="AA47" i="33"/>
  <c r="AC47" i="33" s="1"/>
  <c r="AA46" i="33"/>
  <c r="AC46" i="33" s="1"/>
  <c r="AA45" i="33"/>
  <c r="AC45" i="33" s="1"/>
  <c r="AC44" i="33"/>
  <c r="AA44" i="33"/>
  <c r="AC43" i="33"/>
  <c r="AA43" i="33"/>
  <c r="AA42" i="33"/>
  <c r="AC42" i="33" s="1"/>
  <c r="AA41" i="33"/>
  <c r="AC41" i="33" s="1"/>
  <c r="AA40" i="33"/>
  <c r="AC40" i="33" s="1"/>
  <c r="AC39" i="33"/>
  <c r="AA39" i="33"/>
  <c r="AA38" i="33"/>
  <c r="AC38" i="33" s="1"/>
  <c r="AA37" i="33"/>
  <c r="AC37" i="33" s="1"/>
  <c r="AA36" i="33"/>
  <c r="AC36" i="33" s="1"/>
  <c r="AA35" i="33"/>
  <c r="AC35" i="33" s="1"/>
  <c r="AA34" i="33"/>
  <c r="AC34" i="33" s="1"/>
  <c r="AC33" i="33"/>
  <c r="AA33" i="33"/>
  <c r="AA32" i="33"/>
  <c r="AC32" i="33" s="1"/>
  <c r="AA31" i="33"/>
  <c r="AC31" i="33" s="1"/>
  <c r="AA30" i="33"/>
  <c r="AC30" i="33" s="1"/>
  <c r="AA29" i="33"/>
  <c r="AC29" i="33" s="1"/>
  <c r="AA28" i="33"/>
  <c r="AC28" i="33" s="1"/>
  <c r="AA27" i="33"/>
  <c r="AC27" i="33" s="1"/>
  <c r="AD27" i="33" s="1"/>
  <c r="D11" i="32" s="1"/>
  <c r="AA26" i="33"/>
  <c r="AC26" i="33" s="1"/>
  <c r="AA25" i="33"/>
  <c r="AC25" i="33" s="1"/>
  <c r="AA24" i="33"/>
  <c r="AC24" i="33" s="1"/>
  <c r="AA23" i="33"/>
  <c r="AC23" i="33" s="1"/>
  <c r="AD23" i="33" s="1"/>
  <c r="D10" i="32" s="1"/>
  <c r="AA22" i="33"/>
  <c r="AC22" i="33" s="1"/>
  <c r="AA21" i="33"/>
  <c r="AC21" i="33" s="1"/>
  <c r="AA20" i="33"/>
  <c r="AC20" i="33" s="1"/>
  <c r="AA19" i="33"/>
  <c r="AC19" i="33" s="1"/>
  <c r="AD19" i="33" s="1"/>
  <c r="D9" i="32" s="1"/>
  <c r="AA18" i="33"/>
  <c r="AC18" i="33" s="1"/>
  <c r="AA17" i="33"/>
  <c r="AC17" i="33" s="1"/>
  <c r="AA16" i="33"/>
  <c r="AC16" i="33" s="1"/>
  <c r="AA15" i="33"/>
  <c r="AC15" i="33" s="1"/>
  <c r="AA14" i="33"/>
  <c r="AC14" i="33" s="1"/>
  <c r="AA13" i="33"/>
  <c r="AC13" i="33" s="1"/>
  <c r="AC12" i="33"/>
  <c r="AA12" i="33"/>
  <c r="AA11" i="33"/>
  <c r="AC11" i="33" s="1"/>
  <c r="AD11" i="33" s="1"/>
  <c r="D7" i="32" s="1"/>
  <c r="AA10" i="33"/>
  <c r="AC10" i="33" s="1"/>
  <c r="AA9" i="33"/>
  <c r="AC9" i="33" s="1"/>
  <c r="AA8" i="33"/>
  <c r="AC8" i="33" s="1"/>
  <c r="AA7" i="33"/>
  <c r="AC7" i="33" s="1"/>
  <c r="AD47" i="33" l="1"/>
  <c r="D16" i="32" s="1"/>
  <c r="AD39" i="33"/>
  <c r="D14" i="32" s="1"/>
  <c r="AD31" i="33"/>
  <c r="D12" i="32" s="1"/>
  <c r="AD15" i="33"/>
  <c r="D8" i="32" s="1"/>
  <c r="AD51" i="33"/>
  <c r="D17" i="32" s="1"/>
  <c r="AD43" i="33"/>
  <c r="D15" i="32" s="1"/>
  <c r="AD7" i="33"/>
  <c r="AD35" i="33"/>
  <c r="D13" i="32" s="1"/>
  <c r="AD55" i="33" l="1"/>
  <c r="C4" i="33" s="1"/>
  <c r="D6" i="32"/>
  <c r="D18" i="32" s="1"/>
  <c r="AA54" i="31" l="1"/>
  <c r="AC54" i="31" s="1"/>
  <c r="AA53" i="31"/>
  <c r="AC53" i="31" s="1"/>
  <c r="AA52" i="31"/>
  <c r="AC52" i="31" s="1"/>
  <c r="AA51" i="31"/>
  <c r="AC51" i="31" s="1"/>
  <c r="AA50" i="31"/>
  <c r="AC50" i="31" s="1"/>
  <c r="AA49" i="31"/>
  <c r="AC49" i="31" s="1"/>
  <c r="AA48" i="31"/>
  <c r="AC48" i="31" s="1"/>
  <c r="AA47" i="31"/>
  <c r="AC47" i="31" s="1"/>
  <c r="AA46" i="31"/>
  <c r="AC46" i="31" s="1"/>
  <c r="AA45" i="31"/>
  <c r="AC45" i="31" s="1"/>
  <c r="AA44" i="31"/>
  <c r="AC44" i="31" s="1"/>
  <c r="AA43" i="31"/>
  <c r="AC43" i="31" s="1"/>
  <c r="AA42" i="31"/>
  <c r="AC42" i="31" s="1"/>
  <c r="AA41" i="31"/>
  <c r="AC41" i="31" s="1"/>
  <c r="AA40" i="31"/>
  <c r="AC40" i="31" s="1"/>
  <c r="AA39" i="31"/>
  <c r="AC39" i="31" s="1"/>
  <c r="AA38" i="31"/>
  <c r="AC38" i="31" s="1"/>
  <c r="AA37" i="31"/>
  <c r="AC37" i="31" s="1"/>
  <c r="AA36" i="31"/>
  <c r="AC36" i="31" s="1"/>
  <c r="AA35" i="31"/>
  <c r="AC35" i="31" s="1"/>
  <c r="AA34" i="31"/>
  <c r="AC34" i="31" s="1"/>
  <c r="AA33" i="31"/>
  <c r="AC33" i="31" s="1"/>
  <c r="AA32" i="31"/>
  <c r="AC32" i="31" s="1"/>
  <c r="AA31" i="31"/>
  <c r="AC31" i="31" s="1"/>
  <c r="AA30" i="31"/>
  <c r="AC30" i="31" s="1"/>
  <c r="AA29" i="31"/>
  <c r="AC29" i="31" s="1"/>
  <c r="AA28" i="31"/>
  <c r="AC28" i="31" s="1"/>
  <c r="AA27" i="31"/>
  <c r="AC27" i="31" s="1"/>
  <c r="AA26" i="31"/>
  <c r="AC26" i="31" s="1"/>
  <c r="AA25" i="31"/>
  <c r="AC25" i="31" s="1"/>
  <c r="AA24" i="31"/>
  <c r="AC24" i="31" s="1"/>
  <c r="AA23" i="31"/>
  <c r="AC23" i="31" s="1"/>
  <c r="AA22" i="31"/>
  <c r="AC22" i="31" s="1"/>
  <c r="AA21" i="31"/>
  <c r="AC21" i="31" s="1"/>
  <c r="AA20" i="31"/>
  <c r="AC20" i="31" s="1"/>
  <c r="AA19" i="31"/>
  <c r="AC19" i="31" s="1"/>
  <c r="AA18" i="31"/>
  <c r="AC18" i="31" s="1"/>
  <c r="AA17" i="31"/>
  <c r="AC17" i="31" s="1"/>
  <c r="AA16" i="31"/>
  <c r="AC16" i="31" s="1"/>
  <c r="AA15" i="31"/>
  <c r="AC15" i="31" s="1"/>
  <c r="AA14" i="31"/>
  <c r="AC14" i="31" s="1"/>
  <c r="AA13" i="31"/>
  <c r="AC13" i="31" s="1"/>
  <c r="AA12" i="31"/>
  <c r="AC12" i="31" s="1"/>
  <c r="AA11" i="31"/>
  <c r="AC11" i="31" s="1"/>
  <c r="AA10" i="31"/>
  <c r="AC10" i="31" s="1"/>
  <c r="AA9" i="31"/>
  <c r="AC9" i="31" s="1"/>
  <c r="AA8" i="31"/>
  <c r="AC8" i="31" s="1"/>
  <c r="AA7" i="31"/>
  <c r="AC7" i="31" s="1"/>
  <c r="AD27" i="31" l="1"/>
  <c r="D11" i="30" s="1"/>
  <c r="AD43" i="31"/>
  <c r="D15" i="30" s="1"/>
  <c r="AD51" i="31"/>
  <c r="D17" i="30" s="1"/>
  <c r="AD47" i="31"/>
  <c r="D16" i="30" s="1"/>
  <c r="AD23" i="31"/>
  <c r="D10" i="30" s="1"/>
  <c r="AD31" i="31"/>
  <c r="D12" i="30" s="1"/>
  <c r="AD39" i="31"/>
  <c r="D14" i="30" s="1"/>
  <c r="AD15" i="31"/>
  <c r="D8" i="30" s="1"/>
  <c r="AD7" i="31"/>
  <c r="D6" i="30" s="1"/>
  <c r="AD11" i="31"/>
  <c r="D7" i="30" s="1"/>
  <c r="AD19" i="31"/>
  <c r="D9" i="30" s="1"/>
  <c r="AD35" i="31"/>
  <c r="D13" i="30" s="1"/>
  <c r="D18" i="30" l="1"/>
  <c r="D20" i="30" s="1"/>
  <c r="D21" i="30" s="1"/>
  <c r="AD55" i="31"/>
  <c r="C4" i="31" s="1"/>
  <c r="AA54" i="22" l="1"/>
  <c r="AC54" i="22" s="1"/>
  <c r="AA53" i="22"/>
  <c r="AC53" i="22" s="1"/>
  <c r="AA52" i="22"/>
  <c r="AC52" i="22" s="1"/>
  <c r="AA51" i="22"/>
  <c r="AC51" i="22" s="1"/>
  <c r="AA50" i="22"/>
  <c r="AC50" i="22" s="1"/>
  <c r="AA49" i="22"/>
  <c r="AC49" i="22" s="1"/>
  <c r="AA48" i="22"/>
  <c r="AC48" i="22" s="1"/>
  <c r="AA47" i="22"/>
  <c r="AC47" i="22" s="1"/>
  <c r="AA46" i="22"/>
  <c r="AC46" i="22" s="1"/>
  <c r="AA45" i="22"/>
  <c r="AC45" i="22" s="1"/>
  <c r="AA44" i="22"/>
  <c r="AC44" i="22" s="1"/>
  <c r="AA43" i="22"/>
  <c r="AC43" i="22" s="1"/>
  <c r="AA42" i="22"/>
  <c r="AC42" i="22" s="1"/>
  <c r="AA41" i="22"/>
  <c r="AC41" i="22" s="1"/>
  <c r="AA40" i="22"/>
  <c r="AC40" i="22" s="1"/>
  <c r="AA39" i="22"/>
  <c r="AC39" i="22" s="1"/>
  <c r="AA38" i="22"/>
  <c r="AC38" i="22" s="1"/>
  <c r="AA37" i="22"/>
  <c r="AC37" i="22" s="1"/>
  <c r="AA36" i="22"/>
  <c r="AC36" i="22" s="1"/>
  <c r="AA35" i="22"/>
  <c r="AC35" i="22" s="1"/>
  <c r="AA34" i="22"/>
  <c r="AC34" i="22" s="1"/>
  <c r="AA33" i="22"/>
  <c r="AC33" i="22" s="1"/>
  <c r="AA32" i="22"/>
  <c r="AC32" i="22" s="1"/>
  <c r="AA31" i="22"/>
  <c r="AC31" i="22" s="1"/>
  <c r="AA30" i="22"/>
  <c r="AC30" i="22" s="1"/>
  <c r="AA29" i="22"/>
  <c r="AC29" i="22" s="1"/>
  <c r="AA28" i="22"/>
  <c r="AC28" i="22" s="1"/>
  <c r="AA27" i="22"/>
  <c r="AC27" i="22" s="1"/>
  <c r="AA26" i="22"/>
  <c r="AC26" i="22" s="1"/>
  <c r="AA25" i="22"/>
  <c r="AC25" i="22" s="1"/>
  <c r="AA24" i="22"/>
  <c r="AC24" i="22" s="1"/>
  <c r="AA23" i="22"/>
  <c r="AC23" i="22" s="1"/>
  <c r="AA22" i="22"/>
  <c r="AC22" i="22" s="1"/>
  <c r="AA21" i="22"/>
  <c r="AC21" i="22" s="1"/>
  <c r="AA20" i="22"/>
  <c r="AC20" i="22" s="1"/>
  <c r="AA19" i="22"/>
  <c r="AC19" i="22" s="1"/>
  <c r="AA18" i="22"/>
  <c r="AC18" i="22" s="1"/>
  <c r="AA17" i="22"/>
  <c r="AC17" i="22" s="1"/>
  <c r="AA16" i="22"/>
  <c r="AC16" i="22" s="1"/>
  <c r="AA15" i="22"/>
  <c r="AC15" i="22" s="1"/>
  <c r="AA14" i="22"/>
  <c r="AC14" i="22" s="1"/>
  <c r="AA13" i="22"/>
  <c r="AC13" i="22" s="1"/>
  <c r="AA12" i="22"/>
  <c r="AC12" i="22" s="1"/>
  <c r="AA11" i="22"/>
  <c r="AC11" i="22" s="1"/>
  <c r="AA10" i="22"/>
  <c r="AC10" i="22" s="1"/>
  <c r="AA9" i="22"/>
  <c r="AC9" i="22" s="1"/>
  <c r="AA8" i="22"/>
  <c r="AC8" i="22" s="1"/>
  <c r="AA7" i="22"/>
  <c r="AC7" i="22" s="1"/>
  <c r="AD43" i="22" l="1"/>
  <c r="D15" i="21" s="1"/>
  <c r="AD31" i="22"/>
  <c r="D12" i="21" s="1"/>
  <c r="AD19" i="22"/>
  <c r="D9" i="21" s="1"/>
  <c r="AD11" i="22"/>
  <c r="D7" i="21" s="1"/>
  <c r="AD23" i="22"/>
  <c r="D10" i="21" s="1"/>
  <c r="AD27" i="22"/>
  <c r="D11" i="21" s="1"/>
  <c r="AD39" i="22"/>
  <c r="D14" i="21" s="1"/>
  <c r="AD47" i="22"/>
  <c r="D16" i="21" s="1"/>
  <c r="AD7" i="22"/>
  <c r="AD15" i="22"/>
  <c r="D8" i="21" s="1"/>
  <c r="AD51" i="22"/>
  <c r="D17" i="21" s="1"/>
  <c r="AD35" i="22"/>
  <c r="D13" i="21" s="1"/>
  <c r="AD55" i="22" l="1"/>
  <c r="C4" i="22" s="1"/>
  <c r="D6" i="21"/>
  <c r="D18" i="21" s="1"/>
  <c r="D20" i="21" l="1"/>
  <c r="D21" i="21" s="1"/>
  <c r="AA54" i="17"/>
  <c r="AA53" i="17"/>
  <c r="AA52" i="17"/>
  <c r="AA51" i="17"/>
  <c r="AA50" i="17"/>
  <c r="AA49" i="17"/>
  <c r="AA48" i="17"/>
  <c r="AA47" i="17"/>
  <c r="AA46" i="17"/>
  <c r="AA45" i="17"/>
  <c r="AA44" i="17"/>
  <c r="AA43" i="17"/>
  <c r="AA42" i="17"/>
  <c r="AA41" i="17"/>
  <c r="AA40" i="17"/>
  <c r="AA39" i="17"/>
  <c r="AA38" i="17"/>
  <c r="AA37" i="17"/>
  <c r="AA36" i="17"/>
  <c r="AA35" i="17"/>
  <c r="AA34" i="17"/>
  <c r="AA33" i="17"/>
  <c r="AA32" i="17"/>
  <c r="AA31" i="17"/>
  <c r="AA30" i="17"/>
  <c r="AA29" i="17"/>
  <c r="AA28" i="17"/>
  <c r="AA27" i="17"/>
  <c r="AA26" i="17"/>
  <c r="AA25" i="17"/>
  <c r="AA24" i="17"/>
  <c r="AA23" i="17"/>
  <c r="AA22" i="17"/>
  <c r="AA21" i="17"/>
  <c r="AA20" i="17"/>
  <c r="AA19" i="17"/>
  <c r="AA18" i="17"/>
  <c r="AA17" i="17"/>
  <c r="AA16" i="17"/>
  <c r="AA15" i="17"/>
  <c r="AA14" i="17"/>
  <c r="AA13" i="17"/>
  <c r="AA12" i="17"/>
  <c r="AA11" i="17"/>
  <c r="AA10" i="17"/>
  <c r="AA9" i="17"/>
  <c r="AA8" i="17"/>
  <c r="AA7" i="17"/>
  <c r="AC30" i="17" l="1"/>
  <c r="AC43" i="17"/>
  <c r="AC21" i="17"/>
  <c r="AC46" i="17"/>
  <c r="AC11" i="17"/>
  <c r="AC23" i="17"/>
  <c r="AC35" i="17"/>
  <c r="AC47" i="17"/>
  <c r="AC7" i="17"/>
  <c r="AC20" i="17"/>
  <c r="AC45" i="17"/>
  <c r="AC22" i="17"/>
  <c r="AC12" i="17"/>
  <c r="AC24" i="17"/>
  <c r="AC36" i="17"/>
  <c r="AC48" i="17"/>
  <c r="AC42" i="17"/>
  <c r="AC44" i="17"/>
  <c r="AC10" i="17"/>
  <c r="AC34" i="17"/>
  <c r="AC13" i="17"/>
  <c r="AC25" i="17"/>
  <c r="AC37" i="17"/>
  <c r="AC49" i="17"/>
  <c r="AC18" i="17"/>
  <c r="AC32" i="17"/>
  <c r="AC50" i="17"/>
  <c r="AC31" i="17"/>
  <c r="AC9" i="17"/>
  <c r="AC14" i="17"/>
  <c r="AC26" i="17"/>
  <c r="AC15" i="17"/>
  <c r="AC27" i="17"/>
  <c r="AC39" i="17"/>
  <c r="AC51" i="17"/>
  <c r="AC54" i="17"/>
  <c r="AC8" i="17"/>
  <c r="AC33" i="17"/>
  <c r="AC38" i="17"/>
  <c r="AC16" i="17"/>
  <c r="AC28" i="17"/>
  <c r="AC40" i="17"/>
  <c r="AC52" i="17"/>
  <c r="AC19" i="17"/>
  <c r="AC17" i="17"/>
  <c r="AC29" i="17"/>
  <c r="AC41" i="17"/>
  <c r="AC53" i="17"/>
  <c r="AD35" i="17" l="1"/>
  <c r="AD31" i="17"/>
  <c r="AD23" i="17"/>
  <c r="AD43" i="17"/>
  <c r="AD19" i="17"/>
  <c r="D13" i="16"/>
  <c r="AD11" i="17"/>
  <c r="AD51" i="17"/>
  <c r="AD39" i="17"/>
  <c r="AD47" i="17"/>
  <c r="AD7" i="17"/>
  <c r="AD27" i="17"/>
  <c r="AD15" i="17"/>
  <c r="D12" i="16" l="1"/>
  <c r="AD55" i="17"/>
  <c r="C4" i="17" s="1"/>
  <c r="D17" i="16"/>
  <c r="D16" i="16"/>
  <c r="D7" i="16"/>
  <c r="D6" i="16"/>
  <c r="D14" i="16"/>
  <c r="D9" i="16"/>
  <c r="D8" i="16"/>
  <c r="D15" i="16"/>
  <c r="D11" i="16"/>
  <c r="D10" i="16"/>
  <c r="D18" i="16" l="1"/>
  <c r="D20" i="16" s="1"/>
  <c r="D21" i="16" s="1"/>
</calcChain>
</file>

<file path=xl/sharedStrings.xml><?xml version="1.0" encoding="utf-8"?>
<sst xmlns="http://schemas.openxmlformats.org/spreadsheetml/2006/main" count="854" uniqueCount="52">
  <si>
    <t>MES</t>
  </si>
  <si>
    <t>%</t>
  </si>
  <si>
    <t>PRECIO $/kWh</t>
  </si>
  <si>
    <t>$/kWh</t>
  </si>
  <si>
    <t>OFERTA PRODUCTO 2</t>
  </si>
  <si>
    <t>ENERGIA  SOLICITADA (KWh)</t>
  </si>
  <si>
    <t>ENERGIA  OFERTADA (KWh)</t>
  </si>
  <si>
    <t>OFERTA PRODUCTO 5</t>
  </si>
  <si>
    <t>Curva de distribucion en kwh</t>
  </si>
  <si>
    <t xml:space="preserve">TOTAL </t>
  </si>
  <si>
    <t>DÍA</t>
  </si>
  <si>
    <t>HORA 01</t>
  </si>
  <si>
    <t>HORA 02</t>
  </si>
  <si>
    <t>HORA 03</t>
  </si>
  <si>
    <t>HORA 04</t>
  </si>
  <si>
    <t>HORA 05</t>
  </si>
  <si>
    <t>HORA 06</t>
  </si>
  <si>
    <t>HORA 07</t>
  </si>
  <si>
    <t>HORA 08</t>
  </si>
  <si>
    <t>HORA 09</t>
  </si>
  <si>
    <t>HORA 10</t>
  </si>
  <si>
    <t>HORA 11</t>
  </si>
  <si>
    <t>HORA 12</t>
  </si>
  <si>
    <t>HORA 13</t>
  </si>
  <si>
    <t>HORA 14</t>
  </si>
  <si>
    <t>HORA 15</t>
  </si>
  <si>
    <t>HORA 16</t>
  </si>
  <si>
    <t>HORA 17</t>
  </si>
  <si>
    <t>HORA 18</t>
  </si>
  <si>
    <t>HORA 19</t>
  </si>
  <si>
    <t>HORA 20</t>
  </si>
  <si>
    <t>HORA 21</t>
  </si>
  <si>
    <t>HORA 22</t>
  </si>
  <si>
    <t>HORA 23</t>
  </si>
  <si>
    <t>HORA 24</t>
  </si>
  <si>
    <t>TOTAL DÍA</t>
  </si>
  <si>
    <t>NUMERO DÍAS</t>
  </si>
  <si>
    <t>TOTAL DÍA MES</t>
  </si>
  <si>
    <t>TOTAL MES</t>
  </si>
  <si>
    <t>Hábil</t>
  </si>
  <si>
    <t>Sábado</t>
  </si>
  <si>
    <t>Domingo</t>
  </si>
  <si>
    <t>Festivo</t>
  </si>
  <si>
    <t>* La energia a ofertar debe ser expresada únicamente en kilovatio (kWh) redondeado a cero decimales</t>
  </si>
  <si>
    <t>* La energia a ofertar debe ser expresada únicamente en kilovatio (kWh) redondeado a cero decimales - PLANA</t>
  </si>
  <si>
    <t>OFERTA PRODUCTO 1</t>
  </si>
  <si>
    <t>OFERTA PRODUCTO 3</t>
  </si>
  <si>
    <t>OFERTA PRODUCTO 4</t>
  </si>
  <si>
    <t>OFERTA PRODUCTO 6</t>
  </si>
  <si>
    <t>OFERTA PRODUCTO 7</t>
  </si>
  <si>
    <t>OFERTA PRODUCTO 8</t>
  </si>
  <si>
    <t>OFERTA PRODUCTO 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</si>
</sst>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0">
    <numFmt numFmtId="41" formatCode="_-* #,##0_-;\-* #,##0_-;_-* &quot;-&quot;_-;_-@_-"/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-* #,##0_-;\-* #,##0_-;_-* &quot;-&quot;??_-;_-@_-"/>
    <numFmt numFmtId="165" formatCode="_(* #,##0.00_);_(* \(#,##0.00\);_(* &quot;-&quot;??_);_(@_)"/>
    <numFmt numFmtId="166" formatCode="[$-C0A]mmm\-yy;@"/>
    <numFmt numFmtId="167" formatCode="_(* #,##0_);_(* \(#,##0\);_(* &quot;-&quot;??_);_(@_)"/>
    <numFmt numFmtId="168" formatCode="[$-C0A]dd\-mmm\-yy;@"/>
    <numFmt numFmtId="169" formatCode="0_);\(0\)"/>
    <numFmt numFmtId="170" formatCode="_ * #,##0.00_ ;_ * \-#,##0.00_ ;_ * &quot;-&quot;??_ ;_ @_ 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Arial"/>
      <family val="2"/>
    </font>
    <font>
      <u/>
      <sz val="11"/>
      <color theme="10"/>
      <name val="Calibri"/>
      <family val="2"/>
      <scheme val="minor"/>
    </font>
    <font>
      <b/>
      <sz val="8"/>
      <color theme="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2"/>
        <bgColor indexed="64"/>
      </patternFill>
    </fill>
    <fill>
      <gradientFill type="path" left="0.5" right="0.5" top="0.5" bottom="0.5">
        <stop position="0">
          <color theme="0"/>
        </stop>
        <stop position="1">
          <color theme="6"/>
        </stop>
      </gradientFill>
    </fill>
    <fill>
      <patternFill patternType="solid">
        <fgColor theme="6" tint="0.79998168889431442"/>
        <bgColor auto="1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rgb="FFC5E0B3"/>
      </patternFill>
    </fill>
    <fill>
      <patternFill patternType="solid">
        <fgColor theme="2" tint="-0.499984740745262"/>
        <bgColor rgb="FFC5E0B3"/>
      </patternFill>
    </fill>
    <fill>
      <patternFill patternType="solid">
        <fgColor theme="2" tint="-9.9978637043366805E-2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dashDotDot">
        <color auto="1"/>
      </left>
      <right/>
      <top style="dashDotDot">
        <color auto="1"/>
      </top>
      <bottom style="dashDotDot">
        <color auto="1"/>
      </bottom>
      <diagonal/>
    </border>
    <border>
      <left/>
      <right style="dashDotDot">
        <color auto="1"/>
      </right>
      <top style="dashDotDot">
        <color auto="1"/>
      </top>
      <bottom style="dashDotDot">
        <color auto="1"/>
      </bottom>
      <diagonal/>
    </border>
    <border>
      <left style="dashDotDot">
        <color auto="1"/>
      </left>
      <right style="dashDotDot">
        <color auto="1"/>
      </right>
      <top style="dashDotDot">
        <color auto="1"/>
      </top>
      <bottom style="dashDotDot">
        <color auto="1"/>
      </bottom>
      <diagonal/>
    </border>
    <border>
      <left style="dashDotDot">
        <color indexed="64"/>
      </left>
      <right style="hair">
        <color indexed="64"/>
      </right>
      <top style="dashDotDot">
        <color indexed="64"/>
      </top>
      <bottom/>
      <diagonal/>
    </border>
    <border>
      <left style="hair">
        <color indexed="64"/>
      </left>
      <right style="hair">
        <color indexed="64"/>
      </right>
      <top style="dashDotDot">
        <color auto="1"/>
      </top>
      <bottom style="hair">
        <color indexed="64"/>
      </bottom>
      <diagonal/>
    </border>
    <border>
      <left style="hair">
        <color indexed="64"/>
      </left>
      <right style="dashDotDot">
        <color indexed="64"/>
      </right>
      <top style="dashDotDot">
        <color indexed="64"/>
      </top>
      <bottom style="hair">
        <color indexed="64"/>
      </bottom>
      <diagonal/>
    </border>
    <border>
      <left style="dashDotDot">
        <color indexed="64"/>
      </left>
      <right style="dashDotDot">
        <color indexed="64"/>
      </right>
      <top style="dashDotDot">
        <color indexed="64"/>
      </top>
      <bottom/>
      <diagonal/>
    </border>
    <border>
      <left style="dashDotDot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dashDotDot">
        <color auto="1"/>
      </left>
      <right style="dashDotDot">
        <color auto="1"/>
      </right>
      <top/>
      <bottom/>
      <diagonal/>
    </border>
    <border>
      <left style="dashDotDot">
        <color indexed="64"/>
      </left>
      <right style="hair">
        <color indexed="64"/>
      </right>
      <top/>
      <bottom style="dashDotDot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ashDotDot">
        <color indexed="64"/>
      </bottom>
      <diagonal/>
    </border>
    <border>
      <left style="dashDotDot">
        <color indexed="64"/>
      </left>
      <right style="dashDotDot">
        <color indexed="64"/>
      </right>
      <top/>
      <bottom style="dashDotDot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4">
    <xf numFmtId="0" fontId="0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5" fillId="0" borderId="0"/>
    <xf numFmtId="0" fontId="5" fillId="0" borderId="0"/>
    <xf numFmtId="170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139">
    <xf numFmtId="0" fontId="0" fillId="0" borderId="0" xfId="0"/>
    <xf numFmtId="2" fontId="0" fillId="0" borderId="6" xfId="0" applyNumberFormat="1" applyBorder="1" applyAlignment="1">
      <alignment horizontal="center" vertical="center"/>
    </xf>
    <xf numFmtId="0" fontId="0" fillId="0" borderId="0" xfId="0" applyAlignment="1">
      <alignment horizontal="left"/>
    </xf>
    <xf numFmtId="17" fontId="0" fillId="0" borderId="5" xfId="0" applyNumberFormat="1" applyBorder="1" applyAlignment="1">
      <alignment horizontal="center"/>
    </xf>
    <xf numFmtId="164" fontId="0" fillId="0" borderId="6" xfId="1" applyNumberFormat="1" applyFont="1" applyBorder="1"/>
    <xf numFmtId="17" fontId="0" fillId="0" borderId="10" xfId="0" applyNumberFormat="1" applyBorder="1" applyAlignment="1">
      <alignment horizontal="center"/>
    </xf>
    <xf numFmtId="164" fontId="0" fillId="0" borderId="11" xfId="1" applyNumberFormat="1" applyFont="1" applyBorder="1"/>
    <xf numFmtId="0" fontId="0" fillId="0" borderId="11" xfId="0" applyBorder="1"/>
    <xf numFmtId="164" fontId="0" fillId="0" borderId="0" xfId="0" applyNumberFormat="1"/>
    <xf numFmtId="166" fontId="3" fillId="4" borderId="17" xfId="2" applyNumberFormat="1" applyFont="1" applyFill="1" applyBorder="1" applyAlignment="1">
      <alignment horizontal="center" vertical="center" wrapText="1"/>
    </xf>
    <xf numFmtId="168" fontId="3" fillId="4" borderId="17" xfId="2" applyNumberFormat="1" applyFont="1" applyFill="1" applyBorder="1" applyAlignment="1">
      <alignment horizontal="center" vertical="center" wrapText="1"/>
    </xf>
    <xf numFmtId="166" fontId="3" fillId="0" borderId="17" xfId="2" applyNumberFormat="1" applyFont="1" applyFill="1" applyBorder="1" applyAlignment="1">
      <alignment horizontal="center" vertical="center" wrapText="1"/>
    </xf>
    <xf numFmtId="1" fontId="3" fillId="0" borderId="17" xfId="2" applyNumberFormat="1" applyFont="1" applyFill="1" applyBorder="1" applyAlignment="1">
      <alignment horizontal="center" vertical="center" wrapText="1"/>
    </xf>
    <xf numFmtId="168" fontId="4" fillId="0" borderId="19" xfId="2" applyNumberFormat="1" applyFont="1" applyBorder="1" applyAlignment="1">
      <alignment horizontal="center" vertical="center" wrapText="1"/>
    </xf>
    <xf numFmtId="167" fontId="4" fillId="0" borderId="19" xfId="2" applyNumberFormat="1" applyFont="1" applyBorder="1" applyAlignment="1">
      <alignment vertical="center" wrapText="1"/>
    </xf>
    <xf numFmtId="167" fontId="4" fillId="0" borderId="20" xfId="2" applyNumberFormat="1" applyFont="1" applyBorder="1" applyAlignment="1">
      <alignment vertical="center" wrapText="1"/>
    </xf>
    <xf numFmtId="169" fontId="4" fillId="0" borderId="20" xfId="2" applyNumberFormat="1" applyFont="1" applyBorder="1" applyAlignment="1">
      <alignment horizontal="center" vertical="center" wrapText="1"/>
    </xf>
    <xf numFmtId="168" fontId="4" fillId="0" borderId="23" xfId="2" applyNumberFormat="1" applyFont="1" applyBorder="1" applyAlignment="1">
      <alignment horizontal="center" vertical="center" wrapText="1"/>
    </xf>
    <xf numFmtId="168" fontId="4" fillId="0" borderId="26" xfId="2" applyNumberFormat="1" applyFont="1" applyBorder="1" applyAlignment="1">
      <alignment horizontal="center" vertical="center" wrapText="1"/>
    </xf>
    <xf numFmtId="43" fontId="0" fillId="0" borderId="0" xfId="0" applyNumberFormat="1"/>
    <xf numFmtId="0" fontId="0" fillId="6" borderId="0" xfId="0" applyFill="1"/>
    <xf numFmtId="164" fontId="0" fillId="0" borderId="0" xfId="1" applyNumberFormat="1" applyFont="1"/>
    <xf numFmtId="3" fontId="0" fillId="0" borderId="0" xfId="0" applyNumberFormat="1"/>
    <xf numFmtId="0" fontId="7" fillId="7" borderId="28" xfId="4" applyFont="1" applyFill="1" applyBorder="1" applyAlignment="1">
      <alignment horizontal="center" vertical="center" wrapText="1" readingOrder="1"/>
    </xf>
    <xf numFmtId="167" fontId="2" fillId="3" borderId="0" xfId="0" applyNumberFormat="1" applyFont="1" applyFill="1"/>
    <xf numFmtId="165" fontId="0" fillId="0" borderId="0" xfId="0" applyNumberFormat="1"/>
    <xf numFmtId="164" fontId="2" fillId="3" borderId="14" xfId="0" applyNumberFormat="1" applyFont="1" applyFill="1" applyBorder="1"/>
    <xf numFmtId="0" fontId="0" fillId="6" borderId="0" xfId="0" applyFill="1" applyAlignment="1">
      <alignment horizontal="left"/>
    </xf>
    <xf numFmtId="166" fontId="3" fillId="4" borderId="17" xfId="2" applyNumberFormat="1" applyFont="1" applyFill="1" applyBorder="1" applyAlignment="1">
      <alignment horizontal="left" vertical="center" wrapText="1"/>
    </xf>
    <xf numFmtId="168" fontId="3" fillId="4" borderId="17" xfId="2" applyNumberFormat="1" applyFont="1" applyFill="1" applyBorder="1" applyAlignment="1">
      <alignment horizontal="left" vertical="center" wrapText="1"/>
    </xf>
    <xf numFmtId="166" fontId="3" fillId="6" borderId="17" xfId="2" applyNumberFormat="1" applyFont="1" applyFill="1" applyBorder="1" applyAlignment="1">
      <alignment horizontal="left" vertical="center" wrapText="1"/>
    </xf>
    <xf numFmtId="1" fontId="3" fillId="6" borderId="17" xfId="2" applyNumberFormat="1" applyFont="1" applyFill="1" applyBorder="1" applyAlignment="1">
      <alignment horizontal="left" vertical="center" wrapText="1"/>
    </xf>
    <xf numFmtId="168" fontId="4" fillId="6" borderId="19" xfId="2" applyNumberFormat="1" applyFont="1" applyFill="1" applyBorder="1" applyAlignment="1">
      <alignment horizontal="left" vertical="center" wrapText="1"/>
    </xf>
    <xf numFmtId="167" fontId="4" fillId="6" borderId="20" xfId="2" applyNumberFormat="1" applyFont="1" applyFill="1" applyBorder="1" applyAlignment="1">
      <alignment horizontal="left" vertical="center" wrapText="1"/>
    </xf>
    <xf numFmtId="168" fontId="4" fillId="6" borderId="23" xfId="2" applyNumberFormat="1" applyFont="1" applyFill="1" applyBorder="1" applyAlignment="1">
      <alignment horizontal="left" vertical="center" wrapText="1"/>
    </xf>
    <xf numFmtId="168" fontId="4" fillId="6" borderId="26" xfId="2" applyNumberFormat="1" applyFont="1" applyFill="1" applyBorder="1" applyAlignment="1">
      <alignment horizontal="left" vertical="center" wrapText="1"/>
    </xf>
    <xf numFmtId="168" fontId="4" fillId="0" borderId="19" xfId="2" applyNumberFormat="1" applyFont="1" applyBorder="1" applyAlignment="1">
      <alignment horizontal="left" vertical="center" wrapText="1"/>
    </xf>
    <xf numFmtId="167" fontId="4" fillId="0" borderId="20" xfId="2" applyNumberFormat="1" applyFont="1" applyBorder="1" applyAlignment="1">
      <alignment horizontal="left" vertical="center" wrapText="1"/>
    </xf>
    <xf numFmtId="168" fontId="4" fillId="0" borderId="23" xfId="2" applyNumberFormat="1" applyFont="1" applyBorder="1" applyAlignment="1">
      <alignment horizontal="left" vertical="center" wrapText="1"/>
    </xf>
    <xf numFmtId="168" fontId="4" fillId="0" borderId="26" xfId="2" applyNumberFormat="1" applyFont="1" applyBorder="1" applyAlignment="1">
      <alignment horizontal="left" vertical="center" wrapText="1"/>
    </xf>
    <xf numFmtId="167" fontId="2" fillId="3" borderId="0" xfId="0" applyNumberFormat="1" applyFont="1" applyFill="1" applyAlignment="1">
      <alignment horizontal="left"/>
    </xf>
    <xf numFmtId="43" fontId="0" fillId="0" borderId="6" xfId="1" applyFont="1" applyBorder="1"/>
    <xf numFmtId="43" fontId="0" fillId="0" borderId="11" xfId="1" applyFont="1" applyBorder="1"/>
    <xf numFmtId="43" fontId="2" fillId="3" borderId="14" xfId="1" applyFont="1" applyFill="1" applyBorder="1"/>
    <xf numFmtId="43" fontId="0" fillId="0" borderId="0" xfId="1" applyFont="1"/>
    <xf numFmtId="43" fontId="4" fillId="0" borderId="19" xfId="1" applyFont="1" applyBorder="1" applyAlignment="1">
      <alignment vertical="center" wrapText="1"/>
    </xf>
    <xf numFmtId="165" fontId="4" fillId="0" borderId="20" xfId="2" applyFont="1" applyBorder="1" applyAlignment="1">
      <alignment vertical="center" wrapText="1"/>
    </xf>
    <xf numFmtId="165" fontId="2" fillId="3" borderId="0" xfId="0" applyNumberFormat="1" applyFont="1" applyFill="1"/>
    <xf numFmtId="43" fontId="2" fillId="3" borderId="0" xfId="1" applyFont="1" applyFill="1"/>
    <xf numFmtId="43" fontId="4" fillId="0" borderId="20" xfId="2" applyNumberFormat="1" applyFont="1" applyBorder="1" applyAlignment="1">
      <alignment vertical="center" wrapText="1"/>
    </xf>
    <xf numFmtId="43" fontId="4" fillId="0" borderId="20" xfId="2" applyNumberFormat="1" applyFont="1" applyBorder="1" applyAlignment="1">
      <alignment horizontal="center" vertical="center" wrapText="1"/>
    </xf>
    <xf numFmtId="0" fontId="0" fillId="6" borderId="0" xfId="0" applyFill="1" applyAlignment="1">
      <alignment horizontal="center"/>
    </xf>
    <xf numFmtId="166" fontId="3" fillId="6" borderId="17" xfId="2" applyNumberFormat="1" applyFont="1" applyFill="1" applyBorder="1" applyAlignment="1">
      <alignment horizontal="center" vertical="center" wrapText="1"/>
    </xf>
    <xf numFmtId="169" fontId="4" fillId="6" borderId="20" xfId="2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7" fillId="8" borderId="28" xfId="4" applyFont="1" applyFill="1" applyBorder="1" applyAlignment="1">
      <alignment horizontal="center" vertical="center" wrapText="1" readingOrder="1"/>
    </xf>
    <xf numFmtId="1" fontId="3" fillId="6" borderId="17" xfId="2" applyNumberFormat="1" applyFont="1" applyFill="1" applyBorder="1" applyAlignment="1">
      <alignment horizontal="center" vertical="center" wrapText="1"/>
    </xf>
    <xf numFmtId="168" fontId="4" fillId="6" borderId="19" xfId="2" applyNumberFormat="1" applyFont="1" applyFill="1" applyBorder="1" applyAlignment="1">
      <alignment horizontal="center" vertical="center" wrapText="1"/>
    </xf>
    <xf numFmtId="167" fontId="4" fillId="6" borderId="20" xfId="2" applyNumberFormat="1" applyFont="1" applyFill="1" applyBorder="1" applyAlignment="1">
      <alignment vertical="center" wrapText="1"/>
    </xf>
    <xf numFmtId="168" fontId="4" fillId="6" borderId="23" xfId="2" applyNumberFormat="1" applyFont="1" applyFill="1" applyBorder="1" applyAlignment="1">
      <alignment horizontal="center" vertical="center" wrapText="1"/>
    </xf>
    <xf numFmtId="168" fontId="4" fillId="6" borderId="26" xfId="2" applyNumberFormat="1" applyFont="1" applyFill="1" applyBorder="1" applyAlignment="1">
      <alignment horizontal="center" vertical="center" wrapText="1"/>
    </xf>
    <xf numFmtId="17" fontId="0" fillId="0" borderId="2" xfId="0" applyNumberFormat="1" applyBorder="1" applyAlignment="1">
      <alignment horizontal="center"/>
    </xf>
    <xf numFmtId="164" fontId="0" fillId="0" borderId="3" xfId="1" applyNumberFormat="1" applyFont="1" applyBorder="1"/>
    <xf numFmtId="2" fontId="0" fillId="0" borderId="3" xfId="0" applyNumberFormat="1" applyBorder="1" applyAlignment="1">
      <alignment horizontal="center" vertical="center"/>
    </xf>
    <xf numFmtId="0" fontId="0" fillId="0" borderId="0" xfId="0" applyAlignment="1">
      <alignment wrapText="1"/>
    </xf>
    <xf numFmtId="167" fontId="4" fillId="6" borderId="19" xfId="2" applyNumberFormat="1" applyFont="1" applyFill="1" applyBorder="1" applyAlignment="1">
      <alignment vertical="center" wrapText="1"/>
    </xf>
    <xf numFmtId="0" fontId="7" fillId="7" borderId="31" xfId="4" applyFont="1" applyFill="1" applyBorder="1" applyAlignment="1">
      <alignment horizontal="center" vertical="center" wrapText="1" readingOrder="1"/>
    </xf>
    <xf numFmtId="43" fontId="0" fillId="0" borderId="6" xfId="1" applyFont="1" applyBorder="1" applyAlignment="1">
      <alignment horizontal="center" vertical="center"/>
    </xf>
    <xf numFmtId="43" fontId="0" fillId="0" borderId="3" xfId="1" applyFont="1" applyBorder="1" applyAlignment="1">
      <alignment horizontal="center" vertical="center"/>
    </xf>
    <xf numFmtId="43" fontId="0" fillId="0" borderId="32" xfId="1" applyFont="1" applyBorder="1" applyAlignment="1">
      <alignment vertical="center"/>
    </xf>
    <xf numFmtId="43" fontId="0" fillId="0" borderId="11" xfId="1" applyFont="1" applyBorder="1" applyAlignment="1">
      <alignment horizontal="center" vertical="center"/>
    </xf>
    <xf numFmtId="0" fontId="0" fillId="0" borderId="11" xfId="0" applyBorder="1" applyAlignment="1">
      <alignment horizontal="center"/>
    </xf>
    <xf numFmtId="43" fontId="0" fillId="0" borderId="33" xfId="1" applyFont="1" applyBorder="1" applyAlignment="1">
      <alignment vertical="center"/>
    </xf>
    <xf numFmtId="164" fontId="4" fillId="0" borderId="19" xfId="2" applyNumberFormat="1" applyFont="1" applyBorder="1" applyAlignment="1">
      <alignment vertical="center" wrapText="1"/>
    </xf>
    <xf numFmtId="43" fontId="0" fillId="0" borderId="4" xfId="1" applyFont="1" applyBorder="1" applyAlignment="1">
      <alignment horizontal="center" vertical="center"/>
    </xf>
    <xf numFmtId="43" fontId="0" fillId="0" borderId="32" xfId="1" applyFont="1" applyBorder="1" applyAlignment="1">
      <alignment horizontal="center" vertical="center"/>
    </xf>
    <xf numFmtId="43" fontId="0" fillId="0" borderId="33" xfId="1" applyFont="1" applyBorder="1" applyAlignment="1">
      <alignment horizontal="center" vertical="center"/>
    </xf>
    <xf numFmtId="0" fontId="0" fillId="0" borderId="0" xfId="0" applyAlignment="1">
      <alignment horizontal="justify" wrapText="1"/>
    </xf>
    <xf numFmtId="0" fontId="2" fillId="2" borderId="6" xfId="0" applyFont="1" applyFill="1" applyBorder="1" applyAlignment="1">
      <alignment horizontal="center"/>
    </xf>
    <xf numFmtId="0" fontId="2" fillId="9" borderId="2" xfId="0" applyFont="1" applyFill="1" applyBorder="1" applyAlignment="1">
      <alignment horizontal="center"/>
    </xf>
    <xf numFmtId="0" fontId="2" fillId="9" borderId="3" xfId="0" applyFont="1" applyFill="1" applyBorder="1" applyAlignment="1">
      <alignment horizontal="center"/>
    </xf>
    <xf numFmtId="0" fontId="2" fillId="9" borderId="4" xfId="0" applyFont="1" applyFill="1" applyBorder="1" applyAlignment="1">
      <alignment horizontal="center"/>
    </xf>
    <xf numFmtId="165" fontId="4" fillId="0" borderId="21" xfId="2" applyFont="1" applyBorder="1" applyAlignment="1">
      <alignment horizontal="center" vertical="center" wrapText="1"/>
    </xf>
    <xf numFmtId="165" fontId="4" fillId="0" borderId="24" xfId="2" applyFont="1" applyBorder="1" applyAlignment="1">
      <alignment horizontal="center" vertical="center" wrapText="1"/>
    </xf>
    <xf numFmtId="165" fontId="4" fillId="0" borderId="27" xfId="2" applyFont="1" applyBorder="1" applyAlignment="1">
      <alignment horizontal="center" vertical="center" wrapText="1"/>
    </xf>
    <xf numFmtId="0" fontId="2" fillId="0" borderId="0" xfId="0" applyFont="1" applyAlignment="1">
      <alignment horizontal="left"/>
    </xf>
    <xf numFmtId="0" fontId="0" fillId="0" borderId="0" xfId="0" applyAlignment="1">
      <alignment horizontal="left"/>
    </xf>
    <xf numFmtId="166" fontId="3" fillId="4" borderId="17" xfId="2" applyNumberFormat="1" applyFont="1" applyFill="1" applyBorder="1" applyAlignment="1">
      <alignment horizontal="center" vertical="center" wrapText="1"/>
    </xf>
    <xf numFmtId="167" fontId="3" fillId="5" borderId="15" xfId="2" applyNumberFormat="1" applyFont="1" applyFill="1" applyBorder="1" applyAlignment="1">
      <alignment horizontal="center" vertical="center" wrapText="1"/>
    </xf>
    <xf numFmtId="167" fontId="3" fillId="5" borderId="16" xfId="2" applyNumberFormat="1" applyFont="1" applyFill="1" applyBorder="1" applyAlignment="1">
      <alignment horizontal="center" vertical="center" wrapText="1"/>
    </xf>
    <xf numFmtId="166" fontId="4" fillId="0" borderId="18" xfId="2" applyNumberFormat="1" applyFont="1" applyBorder="1" applyAlignment="1">
      <alignment horizontal="center" vertical="center" wrapText="1"/>
    </xf>
    <xf numFmtId="166" fontId="4" fillId="0" borderId="22" xfId="2" applyNumberFormat="1" applyFont="1" applyBorder="1" applyAlignment="1">
      <alignment horizontal="center" vertical="center" wrapText="1"/>
    </xf>
    <xf numFmtId="166" fontId="4" fillId="0" borderId="25" xfId="2" applyNumberFormat="1" applyFont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43" fontId="0" fillId="0" borderId="1" xfId="1" applyFont="1" applyBorder="1" applyAlignment="1">
      <alignment horizontal="center" vertical="center"/>
    </xf>
    <xf numFmtId="43" fontId="0" fillId="0" borderId="8" xfId="1" applyFont="1" applyBorder="1" applyAlignment="1">
      <alignment horizontal="center" vertical="center"/>
    </xf>
    <xf numFmtId="43" fontId="0" fillId="0" borderId="12" xfId="1" applyFont="1" applyBorder="1" applyAlignment="1">
      <alignment horizontal="center" vertical="center"/>
    </xf>
    <xf numFmtId="43" fontId="0" fillId="0" borderId="7" xfId="1" applyFont="1" applyBorder="1" applyAlignment="1">
      <alignment horizontal="center" vertical="center"/>
    </xf>
    <xf numFmtId="43" fontId="0" fillId="0" borderId="9" xfId="1" applyFont="1" applyBorder="1" applyAlignment="1">
      <alignment horizontal="center" vertical="center"/>
    </xf>
    <xf numFmtId="43" fontId="0" fillId="0" borderId="13" xfId="1" applyFont="1" applyBorder="1" applyAlignment="1">
      <alignment horizontal="center" vertical="center"/>
    </xf>
    <xf numFmtId="43" fontId="4" fillId="0" borderId="21" xfId="1" applyFont="1" applyBorder="1" applyAlignment="1">
      <alignment horizontal="center" vertical="center" wrapText="1"/>
    </xf>
    <xf numFmtId="43" fontId="4" fillId="0" borderId="24" xfId="1" applyFont="1" applyBorder="1" applyAlignment="1">
      <alignment horizontal="center" vertical="center" wrapText="1"/>
    </xf>
    <xf numFmtId="43" fontId="4" fillId="0" borderId="27" xfId="1" applyFont="1" applyBorder="1" applyAlignment="1">
      <alignment horizontal="center" vertical="center" wrapText="1"/>
    </xf>
    <xf numFmtId="167" fontId="4" fillId="0" borderId="21" xfId="2" applyNumberFormat="1" applyFont="1" applyBorder="1" applyAlignment="1">
      <alignment horizontal="center" vertical="center" wrapText="1"/>
    </xf>
    <xf numFmtId="167" fontId="4" fillId="0" borderId="24" xfId="2" applyNumberFormat="1" applyFont="1" applyBorder="1" applyAlignment="1">
      <alignment horizontal="center" vertical="center" wrapText="1"/>
    </xf>
    <xf numFmtId="167" fontId="4" fillId="0" borderId="27" xfId="2" applyNumberFormat="1" applyFont="1" applyBorder="1" applyAlignment="1">
      <alignment horizontal="center" vertical="center" wrapText="1"/>
    </xf>
    <xf numFmtId="166" fontId="4" fillId="6" borderId="18" xfId="2" applyNumberFormat="1" applyFont="1" applyFill="1" applyBorder="1" applyAlignment="1">
      <alignment horizontal="center" vertical="center" wrapText="1"/>
    </xf>
    <xf numFmtId="166" fontId="4" fillId="6" borderId="22" xfId="2" applyNumberFormat="1" applyFont="1" applyFill="1" applyBorder="1" applyAlignment="1">
      <alignment horizontal="center" vertical="center" wrapText="1"/>
    </xf>
    <xf numFmtId="166" fontId="4" fillId="6" borderId="25" xfId="2" applyNumberFormat="1" applyFont="1" applyFill="1" applyBorder="1" applyAlignment="1">
      <alignment horizontal="center" vertical="center" wrapText="1"/>
    </xf>
    <xf numFmtId="167" fontId="4" fillId="6" borderId="21" xfId="2" applyNumberFormat="1" applyFont="1" applyFill="1" applyBorder="1" applyAlignment="1">
      <alignment horizontal="center" vertical="center" wrapText="1"/>
    </xf>
    <xf numFmtId="167" fontId="4" fillId="6" borderId="24" xfId="2" applyNumberFormat="1" applyFont="1" applyFill="1" applyBorder="1" applyAlignment="1">
      <alignment horizontal="center" vertical="center" wrapText="1"/>
    </xf>
    <xf numFmtId="167" fontId="4" fillId="6" borderId="27" xfId="2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166" fontId="3" fillId="4" borderId="15" xfId="2" applyNumberFormat="1" applyFont="1" applyFill="1" applyBorder="1" applyAlignment="1">
      <alignment horizontal="center" vertical="center" wrapText="1"/>
    </xf>
    <xf numFmtId="166" fontId="3" fillId="4" borderId="16" xfId="2" applyNumberFormat="1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167" fontId="4" fillId="6" borderId="21" xfId="2" applyNumberFormat="1" applyFont="1" applyFill="1" applyBorder="1" applyAlignment="1">
      <alignment horizontal="left" vertical="center" wrapText="1"/>
    </xf>
    <xf numFmtId="167" fontId="4" fillId="6" borderId="24" xfId="2" applyNumberFormat="1" applyFont="1" applyFill="1" applyBorder="1" applyAlignment="1">
      <alignment horizontal="left" vertical="center" wrapText="1"/>
    </xf>
    <xf numFmtId="167" fontId="4" fillId="6" borderId="27" xfId="2" applyNumberFormat="1" applyFont="1" applyFill="1" applyBorder="1" applyAlignment="1">
      <alignment horizontal="left" vertical="center" wrapText="1"/>
    </xf>
    <xf numFmtId="0" fontId="2" fillId="6" borderId="0" xfId="0" applyFont="1" applyFill="1" applyAlignment="1">
      <alignment horizontal="left"/>
    </xf>
    <xf numFmtId="0" fontId="0" fillId="6" borderId="0" xfId="0" applyFill="1" applyAlignment="1">
      <alignment horizontal="left"/>
    </xf>
    <xf numFmtId="166" fontId="3" fillId="4" borderId="17" xfId="2" applyNumberFormat="1" applyFont="1" applyFill="1" applyBorder="1" applyAlignment="1">
      <alignment horizontal="left" vertical="center" wrapText="1"/>
    </xf>
    <xf numFmtId="167" fontId="3" fillId="5" borderId="15" xfId="2" applyNumberFormat="1" applyFont="1" applyFill="1" applyBorder="1" applyAlignment="1">
      <alignment horizontal="left" vertical="center" wrapText="1"/>
    </xf>
    <xf numFmtId="167" fontId="3" fillId="5" borderId="16" xfId="2" applyNumberFormat="1" applyFont="1" applyFill="1" applyBorder="1" applyAlignment="1">
      <alignment horizontal="left" vertical="center" wrapText="1"/>
    </xf>
    <xf numFmtId="166" fontId="4" fillId="6" borderId="18" xfId="2" applyNumberFormat="1" applyFont="1" applyFill="1" applyBorder="1" applyAlignment="1">
      <alignment horizontal="left" vertical="center" wrapText="1"/>
    </xf>
    <xf numFmtId="166" fontId="4" fillId="6" borderId="22" xfId="2" applyNumberFormat="1" applyFont="1" applyFill="1" applyBorder="1" applyAlignment="1">
      <alignment horizontal="left" vertical="center" wrapText="1"/>
    </xf>
    <xf numFmtId="166" fontId="4" fillId="6" borderId="25" xfId="2" applyNumberFormat="1" applyFont="1" applyFill="1" applyBorder="1" applyAlignment="1">
      <alignment horizontal="left" vertical="center" wrapText="1"/>
    </xf>
    <xf numFmtId="166" fontId="4" fillId="0" borderId="18" xfId="2" applyNumberFormat="1" applyFont="1" applyBorder="1" applyAlignment="1">
      <alignment horizontal="left" vertical="center" wrapText="1"/>
    </xf>
    <xf numFmtId="166" fontId="4" fillId="0" borderId="22" xfId="2" applyNumberFormat="1" applyFont="1" applyBorder="1" applyAlignment="1">
      <alignment horizontal="left" vertical="center" wrapText="1"/>
    </xf>
    <xf numFmtId="166" fontId="4" fillId="0" borderId="25" xfId="2" applyNumberFormat="1" applyFont="1" applyBorder="1" applyAlignment="1">
      <alignment horizontal="left" vertical="center" wrapText="1"/>
    </xf>
    <xf numFmtId="167" fontId="4" fillId="0" borderId="21" xfId="2" applyNumberFormat="1" applyFont="1" applyBorder="1" applyAlignment="1">
      <alignment horizontal="left" vertical="center" wrapText="1"/>
    </xf>
    <xf numFmtId="167" fontId="4" fillId="0" borderId="24" xfId="2" applyNumberFormat="1" applyFont="1" applyBorder="1" applyAlignment="1">
      <alignment horizontal="left" vertical="center" wrapText="1"/>
    </xf>
    <xf numFmtId="167" fontId="4" fillId="0" borderId="27" xfId="2" applyNumberFormat="1" applyFont="1" applyBorder="1" applyAlignment="1">
      <alignment horizontal="left" vertical="center" wrapText="1"/>
    </xf>
    <xf numFmtId="43" fontId="0" fillId="0" borderId="29" xfId="1" applyFont="1" applyBorder="1" applyAlignment="1">
      <alignment horizontal="center" vertical="center"/>
    </xf>
    <xf numFmtId="43" fontId="0" fillId="0" borderId="30" xfId="1" applyFont="1" applyBorder="1" applyAlignment="1">
      <alignment horizontal="center" vertical="center"/>
    </xf>
  </cellXfs>
  <cellStyles count="14">
    <cellStyle name="Hipervínculo" xfId="9" xr:uid="{A6C1D0A9-8A59-4ED4-AB42-01F00E4DF0B0}"/>
    <cellStyle name="Millares" xfId="1" builtinId="3"/>
    <cellStyle name="Millares [0] 2" xfId="3" xr:uid="{9AA47B74-586C-4EB3-A64B-1CA2623FD25D}"/>
    <cellStyle name="Millares [0] 2 2" xfId="12" xr:uid="{D63F650E-BB92-42FD-BF7F-190BEE985254}"/>
    <cellStyle name="Millares [0] 3" xfId="10" xr:uid="{6D13AE8C-C3A9-471A-B305-80421A156E9D}"/>
    <cellStyle name="Millares 2" xfId="8" xr:uid="{519D4CAA-9C02-43A2-9BF2-3E79ADED5710}"/>
    <cellStyle name="Millares 2 2 2" xfId="2" xr:uid="{F3EF14F5-8C09-446A-8A64-95C276110155}"/>
    <cellStyle name="Millares 3" xfId="6" xr:uid="{90FBDCC2-E5A3-4509-8584-0E17DCCEF5AA}"/>
    <cellStyle name="Millares 4" xfId="11" xr:uid="{EC60B4E2-5804-476B-A910-8F2664BA5089}"/>
    <cellStyle name="Moneda 2" xfId="13" xr:uid="{6053A034-9304-4F93-8CE4-643170D794F5}"/>
    <cellStyle name="Normal" xfId="0" builtinId="0"/>
    <cellStyle name="Normal 2" xfId="4" xr:uid="{14FFD09C-F474-42A4-87A1-8E5B8BFBC77F}"/>
    <cellStyle name="Normal 2 2 3" xfId="5" xr:uid="{7A8B2A5B-3373-41DF-97EC-0414CC33D333}"/>
    <cellStyle name="Porcentaje 2" xfId="7" xr:uid="{B560073C-CEE0-45AC-B1AA-5081C21E2EB8}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1" defaultTableStyle="TableStyleMedium2" defaultPivotStyle="PivotStyleLight16">
    <tableStyle name="Invisible" pivot="0" table="0" count="0" xr9:uid="{86C5F6B4-4E91-41A3-94DD-2DFC918A35A2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FDB2B0-F7D6-4041-A1F1-C02321A83719}">
  <sheetPr>
    <tabColor rgb="FF92D050"/>
  </sheetPr>
  <dimension ref="C1:L21"/>
  <sheetViews>
    <sheetView showGridLines="0" topLeftCell="A5" workbookViewId="0">
      <selection activeCell="J11" sqref="J11"/>
    </sheetView>
  </sheetViews>
  <sheetFormatPr baseColWidth="10" defaultRowHeight="14.5" x14ac:dyDescent="0.35"/>
  <cols>
    <col min="2" max="2" width="2.54296875" customWidth="1"/>
    <col min="4" max="4" width="15.1796875" customWidth="1"/>
    <col min="5" max="5" width="15.1796875" bestFit="1" customWidth="1"/>
    <col min="6" max="6" width="12.54296875" customWidth="1"/>
    <col min="8" max="8" width="2" customWidth="1"/>
    <col min="9" max="9" width="14.1796875" bestFit="1" customWidth="1"/>
    <col min="12" max="12" width="11.08984375" bestFit="1" customWidth="1"/>
  </cols>
  <sheetData>
    <row r="1" spans="3:12" ht="14.5" customHeight="1" x14ac:dyDescent="0.35">
      <c r="C1" s="77" t="s">
        <v>43</v>
      </c>
      <c r="D1" s="77"/>
      <c r="E1" s="77"/>
      <c r="F1" s="77"/>
      <c r="G1" s="77"/>
    </row>
    <row r="2" spans="3:12" x14ac:dyDescent="0.35">
      <c r="C2" s="77"/>
      <c r="D2" s="77"/>
      <c r="E2" s="77"/>
      <c r="F2" s="77"/>
      <c r="G2" s="77"/>
    </row>
    <row r="3" spans="3:12" ht="15" thickBot="1" x14ac:dyDescent="0.4"/>
    <row r="4" spans="3:12" ht="15" thickBot="1" x14ac:dyDescent="0.4">
      <c r="C4" s="79" t="s">
        <v>45</v>
      </c>
      <c r="D4" s="80"/>
      <c r="E4" s="80"/>
      <c r="F4" s="80"/>
      <c r="G4" s="81"/>
    </row>
    <row r="5" spans="3:12" ht="32" thickBot="1" x14ac:dyDescent="0.4">
      <c r="C5" s="23" t="s">
        <v>0</v>
      </c>
      <c r="D5" s="23" t="s">
        <v>5</v>
      </c>
      <c r="E5" s="66" t="s">
        <v>1</v>
      </c>
      <c r="F5" s="66" t="s">
        <v>6</v>
      </c>
      <c r="G5" s="66" t="s">
        <v>2</v>
      </c>
    </row>
    <row r="6" spans="3:12" x14ac:dyDescent="0.35">
      <c r="C6" s="3">
        <v>46388</v>
      </c>
      <c r="D6" s="41">
        <f>+VLOOKUP(C6,'CURVA P1'!$A$4:$AD$55,30,FALSE)</f>
        <v>28682505</v>
      </c>
      <c r="E6" s="67" t="s">
        <v>1</v>
      </c>
      <c r="F6" s="1"/>
      <c r="G6" s="69" t="s">
        <v>3</v>
      </c>
    </row>
    <row r="7" spans="3:12" x14ac:dyDescent="0.35">
      <c r="C7" s="3">
        <v>46419</v>
      </c>
      <c r="D7" s="41">
        <f>+VLOOKUP(C7,'CURVA P1'!$A$4:$AD$55,30,FALSE)</f>
        <v>31315340</v>
      </c>
      <c r="E7" s="67" t="s">
        <v>1</v>
      </c>
      <c r="F7" s="1"/>
      <c r="G7" s="69" t="s">
        <v>3</v>
      </c>
    </row>
    <row r="8" spans="3:12" x14ac:dyDescent="0.35">
      <c r="C8" s="3">
        <v>46447</v>
      </c>
      <c r="D8" s="41">
        <f>+VLOOKUP(C8,'CURVA P1'!$A$4:$AD$55,30,FALSE)</f>
        <v>28669562</v>
      </c>
      <c r="E8" s="67" t="s">
        <v>1</v>
      </c>
      <c r="F8" s="1"/>
      <c r="G8" s="69" t="s">
        <v>3</v>
      </c>
    </row>
    <row r="9" spans="3:12" x14ac:dyDescent="0.35">
      <c r="C9" s="3">
        <v>46478</v>
      </c>
      <c r="D9" s="41">
        <f>+VLOOKUP(C9,'CURVA P1'!$A$4:$AD$55,30,FALSE)</f>
        <v>30932254</v>
      </c>
      <c r="E9" s="67" t="s">
        <v>1</v>
      </c>
      <c r="F9" s="1"/>
      <c r="G9" s="69" t="s">
        <v>3</v>
      </c>
    </row>
    <row r="10" spans="3:12" x14ac:dyDescent="0.35">
      <c r="C10" s="3">
        <v>46508</v>
      </c>
      <c r="D10" s="41">
        <f>+VLOOKUP(C10,'CURVA P1'!$A$4:$AD$55,30,FALSE)</f>
        <v>15982260</v>
      </c>
      <c r="E10" s="67" t="s">
        <v>1</v>
      </c>
      <c r="F10" s="1"/>
      <c r="G10" s="69" t="s">
        <v>3</v>
      </c>
    </row>
    <row r="11" spans="3:12" x14ac:dyDescent="0.35">
      <c r="C11" s="3">
        <v>46539</v>
      </c>
      <c r="D11" s="41">
        <f>+VLOOKUP(C11,'CURVA P1'!$A$4:$AD$55,30,FALSE)</f>
        <v>20007543</v>
      </c>
      <c r="E11" s="67" t="s">
        <v>1</v>
      </c>
      <c r="F11" s="1"/>
      <c r="G11" s="69" t="s">
        <v>3</v>
      </c>
    </row>
    <row r="12" spans="3:12" x14ac:dyDescent="0.35">
      <c r="C12" s="3">
        <v>46569</v>
      </c>
      <c r="D12" s="41">
        <f>+VLOOKUP(C12,'CURVA P1'!$A$4:$AD$55,30,FALSE)</f>
        <v>20327705</v>
      </c>
      <c r="E12" s="67" t="s">
        <v>1</v>
      </c>
      <c r="F12" s="1"/>
      <c r="G12" s="69" t="s">
        <v>3</v>
      </c>
    </row>
    <row r="13" spans="3:12" x14ac:dyDescent="0.35">
      <c r="C13" s="3">
        <v>46600</v>
      </c>
      <c r="D13" s="41">
        <f>+VLOOKUP(C13,'CURVA P1'!$A$4:$AD$55,30,FALSE)</f>
        <v>17995137</v>
      </c>
      <c r="E13" s="67" t="s">
        <v>1</v>
      </c>
      <c r="F13" s="1"/>
      <c r="G13" s="69" t="s">
        <v>3</v>
      </c>
    </row>
    <row r="14" spans="3:12" x14ac:dyDescent="0.35">
      <c r="C14" s="3">
        <v>46631</v>
      </c>
      <c r="D14" s="41">
        <f>+VLOOKUP(C14,'CURVA P1'!$A$4:$AD$55,30,FALSE)</f>
        <v>21229482</v>
      </c>
      <c r="E14" s="67" t="s">
        <v>1</v>
      </c>
      <c r="F14" s="1"/>
      <c r="G14" s="69" t="s">
        <v>3</v>
      </c>
    </row>
    <row r="15" spans="3:12" x14ac:dyDescent="0.35">
      <c r="C15" s="3">
        <v>46661</v>
      </c>
      <c r="D15" s="41">
        <f>+VLOOKUP(C15,'CURVA P1'!$A$4:$AD$55,30,FALSE)</f>
        <v>18186273</v>
      </c>
      <c r="E15" s="67" t="s">
        <v>1</v>
      </c>
      <c r="F15" s="1"/>
      <c r="G15" s="69" t="s">
        <v>3</v>
      </c>
      <c r="L15" s="44"/>
    </row>
    <row r="16" spans="3:12" x14ac:dyDescent="0.35">
      <c r="C16" s="3">
        <v>46692</v>
      </c>
      <c r="D16" s="41">
        <f>+VLOOKUP(C16,'CURVA P1'!$A$4:$AD$55,30,FALSE)</f>
        <v>18888936</v>
      </c>
      <c r="E16" s="67" t="s">
        <v>1</v>
      </c>
      <c r="F16" s="1"/>
      <c r="G16" s="69" t="s">
        <v>3</v>
      </c>
    </row>
    <row r="17" spans="3:7" ht="15" thickBot="1" x14ac:dyDescent="0.4">
      <c r="C17" s="5">
        <v>46722</v>
      </c>
      <c r="D17" s="42">
        <f>+VLOOKUP(C17,'CURVA P1'!$A$4:$AD$55,30,FALSE)</f>
        <v>31197528</v>
      </c>
      <c r="E17" s="70" t="s">
        <v>1</v>
      </c>
      <c r="F17" s="71"/>
      <c r="G17" s="72" t="s">
        <v>3</v>
      </c>
    </row>
    <row r="18" spans="3:7" ht="15" thickBot="1" x14ac:dyDescent="0.4">
      <c r="D18" s="43">
        <f>SUM(D6:D17)</f>
        <v>283414525</v>
      </c>
    </row>
    <row r="19" spans="3:7" x14ac:dyDescent="0.35">
      <c r="D19" s="21"/>
    </row>
    <row r="20" spans="3:7" x14ac:dyDescent="0.35">
      <c r="D20" s="19">
        <f>D18/1000000</f>
        <v>283.41452500000003</v>
      </c>
    </row>
    <row r="21" spans="3:7" x14ac:dyDescent="0.35">
      <c r="D21" s="8">
        <f>D20*1000</f>
        <v>283414.52500000002</v>
      </c>
    </row>
  </sheetData>
  <mergeCells count="2">
    <mergeCell ref="C4:G4"/>
    <mergeCell ref="C1:G2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832752-BC92-4A3C-A7DF-65FA0A38A715}">
  <dimension ref="A1:AD55"/>
  <sheetViews>
    <sheetView showGridLines="0" topLeftCell="P35" zoomScale="84" zoomScaleNormal="84" workbookViewId="0">
      <selection sqref="A1:AD55"/>
    </sheetView>
  </sheetViews>
  <sheetFormatPr baseColWidth="10" defaultRowHeight="14.5" x14ac:dyDescent="0.35"/>
  <cols>
    <col min="1" max="1" width="7.26953125" bestFit="1" customWidth="1"/>
    <col min="2" max="2" width="8" bestFit="1" customWidth="1"/>
    <col min="3" max="26" width="11.453125" bestFit="1" customWidth="1"/>
    <col min="27" max="27" width="11.90625" bestFit="1" customWidth="1"/>
    <col min="28" max="28" width="10.453125" bestFit="1" customWidth="1"/>
    <col min="29" max="29" width="12.81640625" bestFit="1" customWidth="1"/>
    <col min="30" max="30" width="18.26953125" customWidth="1"/>
  </cols>
  <sheetData>
    <row r="1" spans="1:30" x14ac:dyDescent="0.35">
      <c r="A1" s="85" t="s">
        <v>8</v>
      </c>
      <c r="B1" s="85"/>
      <c r="C1" s="85"/>
      <c r="D1" s="85"/>
    </row>
    <row r="2" spans="1:30" x14ac:dyDescent="0.35">
      <c r="A2" s="86" t="s">
        <v>43</v>
      </c>
      <c r="B2" s="86"/>
      <c r="C2" s="86"/>
      <c r="D2" s="86"/>
      <c r="E2" s="86"/>
      <c r="F2" s="86"/>
      <c r="G2" s="86"/>
      <c r="H2" s="86"/>
      <c r="I2" s="86"/>
      <c r="J2" s="86"/>
      <c r="K2" s="86"/>
      <c r="L2" s="86"/>
    </row>
    <row r="4" spans="1:30" x14ac:dyDescent="0.35">
      <c r="A4" s="87" t="s">
        <v>9</v>
      </c>
      <c r="B4" s="87"/>
      <c r="C4" s="88">
        <f>+AD55</f>
        <v>283414525</v>
      </c>
      <c r="D4" s="8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</row>
    <row r="5" spans="1:30" x14ac:dyDescent="0.35">
      <c r="A5" s="9" t="s">
        <v>0</v>
      </c>
      <c r="B5" s="10" t="s">
        <v>10</v>
      </c>
      <c r="C5" s="9" t="s">
        <v>11</v>
      </c>
      <c r="D5" s="9" t="s">
        <v>12</v>
      </c>
      <c r="E5" s="9" t="s">
        <v>13</v>
      </c>
      <c r="F5" s="9" t="s">
        <v>14</v>
      </c>
      <c r="G5" s="9" t="s">
        <v>15</v>
      </c>
      <c r="H5" s="9" t="s">
        <v>16</v>
      </c>
      <c r="I5" s="9" t="s">
        <v>17</v>
      </c>
      <c r="J5" s="9" t="s">
        <v>18</v>
      </c>
      <c r="K5" s="9" t="s">
        <v>19</v>
      </c>
      <c r="L5" s="9" t="s">
        <v>20</v>
      </c>
      <c r="M5" s="9" t="s">
        <v>21</v>
      </c>
      <c r="N5" s="9" t="s">
        <v>22</v>
      </c>
      <c r="O5" s="9" t="s">
        <v>23</v>
      </c>
      <c r="P5" s="9" t="s">
        <v>24</v>
      </c>
      <c r="Q5" s="9" t="s">
        <v>25</v>
      </c>
      <c r="R5" s="9" t="s">
        <v>26</v>
      </c>
      <c r="S5" s="9" t="s">
        <v>27</v>
      </c>
      <c r="T5" s="9" t="s">
        <v>28</v>
      </c>
      <c r="U5" s="9" t="s">
        <v>29</v>
      </c>
      <c r="V5" s="9" t="s">
        <v>30</v>
      </c>
      <c r="W5" s="9" t="s">
        <v>31</v>
      </c>
      <c r="X5" s="9" t="s">
        <v>32</v>
      </c>
      <c r="Y5" s="9" t="s">
        <v>33</v>
      </c>
      <c r="Z5" s="9" t="s">
        <v>34</v>
      </c>
      <c r="AA5" s="9" t="s">
        <v>35</v>
      </c>
      <c r="AB5" s="9" t="s">
        <v>36</v>
      </c>
      <c r="AC5" s="9" t="s">
        <v>37</v>
      </c>
      <c r="AD5" s="9" t="s">
        <v>38</v>
      </c>
    </row>
    <row r="6" spans="1:30" hidden="1" x14ac:dyDescent="0.35">
      <c r="A6" s="11"/>
      <c r="B6" s="12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</row>
    <row r="7" spans="1:30" x14ac:dyDescent="0.35">
      <c r="A7" s="90">
        <v>46388</v>
      </c>
      <c r="B7" s="13" t="s">
        <v>39</v>
      </c>
      <c r="C7" s="45">
        <v>41936</v>
      </c>
      <c r="D7" s="45">
        <v>39709</v>
      </c>
      <c r="E7" s="45">
        <v>37387</v>
      </c>
      <c r="F7" s="45">
        <v>35678</v>
      </c>
      <c r="G7" s="45">
        <v>35143</v>
      </c>
      <c r="H7" s="45">
        <v>36159</v>
      </c>
      <c r="I7" s="45">
        <v>36880</v>
      </c>
      <c r="J7" s="45">
        <v>32562</v>
      </c>
      <c r="K7" s="45">
        <v>34826</v>
      </c>
      <c r="L7" s="45">
        <v>35655</v>
      </c>
      <c r="M7" s="45">
        <v>36743</v>
      </c>
      <c r="N7" s="45">
        <v>37217</v>
      </c>
      <c r="O7" s="45">
        <v>33710</v>
      </c>
      <c r="P7" s="45">
        <v>41495</v>
      </c>
      <c r="Q7" s="45">
        <v>51600</v>
      </c>
      <c r="R7" s="45">
        <v>56039</v>
      </c>
      <c r="S7" s="45">
        <v>56737</v>
      </c>
      <c r="T7" s="45">
        <v>46518</v>
      </c>
      <c r="U7" s="45">
        <v>48361</v>
      </c>
      <c r="V7" s="45">
        <v>46986</v>
      </c>
      <c r="W7" s="45">
        <v>45539</v>
      </c>
      <c r="X7" s="45">
        <v>43881</v>
      </c>
      <c r="Y7" s="45">
        <v>40724</v>
      </c>
      <c r="Z7" s="45">
        <v>36486</v>
      </c>
      <c r="AA7" s="46">
        <f>SUM(C7:Z7)</f>
        <v>987971</v>
      </c>
      <c r="AB7" s="16">
        <v>19</v>
      </c>
      <c r="AC7" s="46">
        <f>+AA7*AB7</f>
        <v>18771449</v>
      </c>
      <c r="AD7" s="82">
        <f>+SUM(AC7:AC10)</f>
        <v>28682505</v>
      </c>
    </row>
    <row r="8" spans="1:30" x14ac:dyDescent="0.35">
      <c r="A8" s="91"/>
      <c r="B8" s="17" t="s">
        <v>40</v>
      </c>
      <c r="C8" s="45">
        <v>43464</v>
      </c>
      <c r="D8" s="45">
        <v>40822</v>
      </c>
      <c r="E8" s="45">
        <v>38181</v>
      </c>
      <c r="F8" s="45">
        <v>36263</v>
      </c>
      <c r="G8" s="45">
        <v>35447</v>
      </c>
      <c r="H8" s="45">
        <v>35769</v>
      </c>
      <c r="I8" s="45">
        <v>35906</v>
      </c>
      <c r="J8" s="45">
        <v>31277</v>
      </c>
      <c r="K8" s="45">
        <v>33935</v>
      </c>
      <c r="L8" s="45">
        <v>34888</v>
      </c>
      <c r="M8" s="45">
        <v>35572</v>
      </c>
      <c r="N8" s="45">
        <v>35463</v>
      </c>
      <c r="O8" s="45">
        <v>33276</v>
      </c>
      <c r="P8" s="45">
        <v>37440</v>
      </c>
      <c r="Q8" s="45">
        <v>43939</v>
      </c>
      <c r="R8" s="45">
        <v>47605</v>
      </c>
      <c r="S8" s="45">
        <v>48210</v>
      </c>
      <c r="T8" s="45">
        <v>41729</v>
      </c>
      <c r="U8" s="45">
        <v>45805</v>
      </c>
      <c r="V8" s="45">
        <v>44927</v>
      </c>
      <c r="W8" s="45">
        <v>43040</v>
      </c>
      <c r="X8" s="45">
        <v>41231</v>
      </c>
      <c r="Y8" s="45">
        <v>38949</v>
      </c>
      <c r="Z8" s="45">
        <v>35783</v>
      </c>
      <c r="AA8" s="46">
        <f t="shared" ref="AA8:AA54" si="0">SUM(C8:Z8)</f>
        <v>938921</v>
      </c>
      <c r="AB8" s="16">
        <v>5</v>
      </c>
      <c r="AC8" s="46">
        <f t="shared" ref="AC8:AC54" si="1">+AA8*AB8</f>
        <v>4694605</v>
      </c>
      <c r="AD8" s="83"/>
    </row>
    <row r="9" spans="1:30" x14ac:dyDescent="0.35">
      <c r="A9" s="91"/>
      <c r="B9" s="17" t="s">
        <v>41</v>
      </c>
      <c r="C9" s="45">
        <v>42586</v>
      </c>
      <c r="D9" s="45">
        <v>40188</v>
      </c>
      <c r="E9" s="45">
        <v>37685</v>
      </c>
      <c r="F9" s="45">
        <v>35722</v>
      </c>
      <c r="G9" s="45">
        <v>34590</v>
      </c>
      <c r="H9" s="45">
        <v>34021</v>
      </c>
      <c r="I9" s="45">
        <v>33065</v>
      </c>
      <c r="J9" s="45">
        <v>24629</v>
      </c>
      <c r="K9" s="45">
        <v>23407</v>
      </c>
      <c r="L9" s="45">
        <v>22680</v>
      </c>
      <c r="M9" s="45">
        <v>21805</v>
      </c>
      <c r="N9" s="45">
        <v>21626</v>
      </c>
      <c r="O9" s="45">
        <v>22492</v>
      </c>
      <c r="P9" s="45">
        <v>26200</v>
      </c>
      <c r="Q9" s="45">
        <v>31396</v>
      </c>
      <c r="R9" s="45">
        <v>35520</v>
      </c>
      <c r="S9" s="45">
        <v>37435</v>
      </c>
      <c r="T9" s="45">
        <v>33579</v>
      </c>
      <c r="U9" s="45">
        <v>38546</v>
      </c>
      <c r="V9" s="45">
        <v>39771</v>
      </c>
      <c r="W9" s="45">
        <v>39581</v>
      </c>
      <c r="X9" s="45">
        <v>38873</v>
      </c>
      <c r="Y9" s="45">
        <v>36478</v>
      </c>
      <c r="Z9" s="45">
        <v>32732</v>
      </c>
      <c r="AA9" s="46">
        <f t="shared" si="0"/>
        <v>784607</v>
      </c>
      <c r="AB9" s="16">
        <v>5</v>
      </c>
      <c r="AC9" s="46">
        <f t="shared" si="1"/>
        <v>3923035</v>
      </c>
      <c r="AD9" s="83"/>
    </row>
    <row r="10" spans="1:30" x14ac:dyDescent="0.35">
      <c r="A10" s="92"/>
      <c r="B10" s="18" t="s">
        <v>42</v>
      </c>
      <c r="C10" s="45">
        <v>33803</v>
      </c>
      <c r="D10" s="45">
        <v>32240</v>
      </c>
      <c r="E10" s="45">
        <v>31165</v>
      </c>
      <c r="F10" s="45">
        <v>29911</v>
      </c>
      <c r="G10" s="45">
        <v>29304</v>
      </c>
      <c r="H10" s="45">
        <v>28755</v>
      </c>
      <c r="I10" s="45">
        <v>27179</v>
      </c>
      <c r="J10" s="45">
        <v>18387</v>
      </c>
      <c r="K10" s="45">
        <v>16889</v>
      </c>
      <c r="L10" s="45">
        <v>16116</v>
      </c>
      <c r="M10" s="45">
        <v>15943</v>
      </c>
      <c r="N10" s="45">
        <v>15741</v>
      </c>
      <c r="O10" s="45">
        <v>16454</v>
      </c>
      <c r="P10" s="45">
        <v>20501</v>
      </c>
      <c r="Q10" s="45">
        <v>25597</v>
      </c>
      <c r="R10" s="45">
        <v>29504</v>
      </c>
      <c r="S10" s="45">
        <v>30983</v>
      </c>
      <c r="T10" s="45">
        <v>29209</v>
      </c>
      <c r="U10" s="45">
        <v>34540</v>
      </c>
      <c r="V10" s="45">
        <v>35346</v>
      </c>
      <c r="W10" s="45">
        <v>34876</v>
      </c>
      <c r="X10" s="45">
        <v>33838</v>
      </c>
      <c r="Y10" s="45">
        <v>31665</v>
      </c>
      <c r="Z10" s="45">
        <v>28762</v>
      </c>
      <c r="AA10" s="46">
        <f t="shared" si="0"/>
        <v>646708</v>
      </c>
      <c r="AB10" s="16">
        <v>2</v>
      </c>
      <c r="AC10" s="46">
        <f t="shared" si="1"/>
        <v>1293416</v>
      </c>
      <c r="AD10" s="84"/>
    </row>
    <row r="11" spans="1:30" x14ac:dyDescent="0.35">
      <c r="A11" s="90">
        <v>46419</v>
      </c>
      <c r="B11" s="13" t="s">
        <v>39</v>
      </c>
      <c r="C11" s="45">
        <v>48255</v>
      </c>
      <c r="D11" s="45">
        <v>44838</v>
      </c>
      <c r="E11" s="45">
        <v>42404</v>
      </c>
      <c r="F11" s="45">
        <v>40824</v>
      </c>
      <c r="G11" s="45">
        <v>40863</v>
      </c>
      <c r="H11" s="45">
        <v>44118</v>
      </c>
      <c r="I11" s="45">
        <v>46046</v>
      </c>
      <c r="J11" s="45">
        <v>42556</v>
      </c>
      <c r="K11" s="45">
        <v>44946</v>
      </c>
      <c r="L11" s="45">
        <v>45762</v>
      </c>
      <c r="M11" s="45">
        <v>47099</v>
      </c>
      <c r="N11" s="45">
        <v>46028</v>
      </c>
      <c r="O11" s="45">
        <v>39968</v>
      </c>
      <c r="P11" s="45">
        <v>50231</v>
      </c>
      <c r="Q11" s="45">
        <v>61617</v>
      </c>
      <c r="R11" s="45">
        <v>66255</v>
      </c>
      <c r="S11" s="45">
        <v>66560</v>
      </c>
      <c r="T11" s="45">
        <v>53158</v>
      </c>
      <c r="U11" s="45">
        <v>54013</v>
      </c>
      <c r="V11" s="45">
        <v>53529</v>
      </c>
      <c r="W11" s="45">
        <v>52433</v>
      </c>
      <c r="X11" s="45">
        <v>50020</v>
      </c>
      <c r="Y11" s="45">
        <v>45098</v>
      </c>
      <c r="Z11" s="45">
        <v>39727</v>
      </c>
      <c r="AA11" s="46">
        <f t="shared" si="0"/>
        <v>1166348</v>
      </c>
      <c r="AB11" s="16">
        <v>20</v>
      </c>
      <c r="AC11" s="46">
        <f t="shared" si="1"/>
        <v>23326960</v>
      </c>
      <c r="AD11" s="82">
        <f>+SUM(AC11:AC14)</f>
        <v>31315340</v>
      </c>
    </row>
    <row r="12" spans="1:30" x14ac:dyDescent="0.35">
      <c r="A12" s="91"/>
      <c r="B12" s="17" t="s">
        <v>40</v>
      </c>
      <c r="C12" s="45">
        <v>46223</v>
      </c>
      <c r="D12" s="45">
        <v>42954</v>
      </c>
      <c r="E12" s="45">
        <v>40586</v>
      </c>
      <c r="F12" s="45">
        <v>39047</v>
      </c>
      <c r="G12" s="45">
        <v>38427</v>
      </c>
      <c r="H12" s="45">
        <v>39436</v>
      </c>
      <c r="I12" s="45">
        <v>41077</v>
      </c>
      <c r="J12" s="45">
        <v>38269</v>
      </c>
      <c r="K12" s="45">
        <v>41537</v>
      </c>
      <c r="L12" s="45">
        <v>42738</v>
      </c>
      <c r="M12" s="45">
        <v>43409</v>
      </c>
      <c r="N12" s="45">
        <v>42979</v>
      </c>
      <c r="O12" s="45">
        <v>39827</v>
      </c>
      <c r="P12" s="45">
        <v>43471</v>
      </c>
      <c r="Q12" s="45">
        <v>49790</v>
      </c>
      <c r="R12" s="45">
        <v>53509</v>
      </c>
      <c r="S12" s="45">
        <v>53835</v>
      </c>
      <c r="T12" s="45">
        <v>45073</v>
      </c>
      <c r="U12" s="45">
        <v>49065</v>
      </c>
      <c r="V12" s="45">
        <v>49376</v>
      </c>
      <c r="W12" s="45">
        <v>47435</v>
      </c>
      <c r="X12" s="45">
        <v>45339</v>
      </c>
      <c r="Y12" s="45">
        <v>42604</v>
      </c>
      <c r="Z12" s="45">
        <v>39047</v>
      </c>
      <c r="AA12" s="46">
        <f t="shared" si="0"/>
        <v>1055053</v>
      </c>
      <c r="AB12" s="16">
        <v>4</v>
      </c>
      <c r="AC12" s="46">
        <f t="shared" si="1"/>
        <v>4220212</v>
      </c>
      <c r="AD12" s="83"/>
    </row>
    <row r="13" spans="1:30" x14ac:dyDescent="0.35">
      <c r="A13" s="91"/>
      <c r="B13" s="17" t="s">
        <v>41</v>
      </c>
      <c r="C13" s="45">
        <v>47823</v>
      </c>
      <c r="D13" s="45">
        <v>44366</v>
      </c>
      <c r="E13" s="45">
        <v>41904</v>
      </c>
      <c r="F13" s="45">
        <v>39881</v>
      </c>
      <c r="G13" s="45">
        <v>38843</v>
      </c>
      <c r="H13" s="45">
        <v>38561</v>
      </c>
      <c r="I13" s="45">
        <v>38213</v>
      </c>
      <c r="J13" s="45">
        <v>30722</v>
      </c>
      <c r="K13" s="45">
        <v>29838</v>
      </c>
      <c r="L13" s="45">
        <v>29671</v>
      </c>
      <c r="M13" s="45">
        <v>29123</v>
      </c>
      <c r="N13" s="45">
        <v>29303</v>
      </c>
      <c r="O13" s="45">
        <v>30010</v>
      </c>
      <c r="P13" s="45">
        <v>33492</v>
      </c>
      <c r="Q13" s="45">
        <v>39113</v>
      </c>
      <c r="R13" s="45">
        <v>43767</v>
      </c>
      <c r="S13" s="45">
        <v>45877</v>
      </c>
      <c r="T13" s="45">
        <v>40099</v>
      </c>
      <c r="U13" s="45">
        <v>45131</v>
      </c>
      <c r="V13" s="45">
        <v>47617</v>
      </c>
      <c r="W13" s="45">
        <v>47892</v>
      </c>
      <c r="X13" s="45">
        <v>47351</v>
      </c>
      <c r="Y13" s="45">
        <v>44093</v>
      </c>
      <c r="Z13" s="45">
        <v>39352</v>
      </c>
      <c r="AA13" s="46">
        <f t="shared" si="0"/>
        <v>942042</v>
      </c>
      <c r="AB13" s="16">
        <v>4</v>
      </c>
      <c r="AC13" s="46">
        <f t="shared" si="1"/>
        <v>3768168</v>
      </c>
      <c r="AD13" s="83"/>
    </row>
    <row r="14" spans="1:30" x14ac:dyDescent="0.35">
      <c r="A14" s="92"/>
      <c r="B14" s="18" t="s">
        <v>42</v>
      </c>
      <c r="C14" s="45">
        <v>0</v>
      </c>
      <c r="D14" s="45">
        <v>0</v>
      </c>
      <c r="E14" s="45">
        <v>0</v>
      </c>
      <c r="F14" s="45">
        <v>0</v>
      </c>
      <c r="G14" s="45">
        <v>0</v>
      </c>
      <c r="H14" s="45">
        <v>0</v>
      </c>
      <c r="I14" s="45">
        <v>0</v>
      </c>
      <c r="J14" s="45">
        <v>0</v>
      </c>
      <c r="K14" s="45">
        <v>0</v>
      </c>
      <c r="L14" s="45">
        <v>0</v>
      </c>
      <c r="M14" s="45">
        <v>0</v>
      </c>
      <c r="N14" s="45">
        <v>0</v>
      </c>
      <c r="O14" s="45">
        <v>0</v>
      </c>
      <c r="P14" s="45">
        <v>0</v>
      </c>
      <c r="Q14" s="45">
        <v>0</v>
      </c>
      <c r="R14" s="45">
        <v>0</v>
      </c>
      <c r="S14" s="45">
        <v>0</v>
      </c>
      <c r="T14" s="45">
        <v>0</v>
      </c>
      <c r="U14" s="45">
        <v>0</v>
      </c>
      <c r="V14" s="45">
        <v>0</v>
      </c>
      <c r="W14" s="45">
        <v>0</v>
      </c>
      <c r="X14" s="45">
        <v>0</v>
      </c>
      <c r="Y14" s="45">
        <v>0</v>
      </c>
      <c r="Z14" s="45">
        <v>0</v>
      </c>
      <c r="AA14" s="46">
        <f t="shared" si="0"/>
        <v>0</v>
      </c>
      <c r="AB14" s="16">
        <v>0</v>
      </c>
      <c r="AC14" s="46">
        <f t="shared" si="1"/>
        <v>0</v>
      </c>
      <c r="AD14" s="84"/>
    </row>
    <row r="15" spans="1:30" x14ac:dyDescent="0.35">
      <c r="A15" s="90">
        <v>46447</v>
      </c>
      <c r="B15" s="13" t="s">
        <v>39</v>
      </c>
      <c r="C15" s="45">
        <v>42438</v>
      </c>
      <c r="D15" s="45">
        <v>39189</v>
      </c>
      <c r="E15" s="45">
        <v>36930</v>
      </c>
      <c r="F15" s="45">
        <v>35294</v>
      </c>
      <c r="G15" s="45">
        <v>35134</v>
      </c>
      <c r="H15" s="45">
        <v>37302</v>
      </c>
      <c r="I15" s="45">
        <v>37693</v>
      </c>
      <c r="J15" s="45">
        <v>33501</v>
      </c>
      <c r="K15" s="45">
        <v>35187</v>
      </c>
      <c r="L15" s="45">
        <v>35414</v>
      </c>
      <c r="M15" s="45">
        <v>36192</v>
      </c>
      <c r="N15" s="45">
        <v>35473</v>
      </c>
      <c r="O15" s="45">
        <v>30763</v>
      </c>
      <c r="P15" s="45">
        <v>40390</v>
      </c>
      <c r="Q15" s="45">
        <v>51147</v>
      </c>
      <c r="R15" s="45">
        <v>55530</v>
      </c>
      <c r="S15" s="45">
        <v>56258</v>
      </c>
      <c r="T15" s="45">
        <v>44997</v>
      </c>
      <c r="U15" s="45">
        <v>46090</v>
      </c>
      <c r="V15" s="45">
        <v>45967</v>
      </c>
      <c r="W15" s="45">
        <v>45546</v>
      </c>
      <c r="X15" s="45">
        <v>44111</v>
      </c>
      <c r="Y15" s="45">
        <v>40230</v>
      </c>
      <c r="Z15" s="45">
        <v>35586</v>
      </c>
      <c r="AA15" s="46">
        <f t="shared" si="0"/>
        <v>976362</v>
      </c>
      <c r="AB15" s="16">
        <v>20</v>
      </c>
      <c r="AC15" s="46">
        <f t="shared" si="1"/>
        <v>19527240</v>
      </c>
      <c r="AD15" s="82">
        <f>+SUM(AC15:AC18)</f>
        <v>28669562</v>
      </c>
    </row>
    <row r="16" spans="1:30" x14ac:dyDescent="0.35">
      <c r="A16" s="91"/>
      <c r="B16" s="17" t="s">
        <v>40</v>
      </c>
      <c r="C16" s="45">
        <v>44097</v>
      </c>
      <c r="D16" s="45">
        <v>40752</v>
      </c>
      <c r="E16" s="45">
        <v>38290</v>
      </c>
      <c r="F16" s="45">
        <v>36289</v>
      </c>
      <c r="G16" s="45">
        <v>35336</v>
      </c>
      <c r="H16" s="45">
        <v>35457</v>
      </c>
      <c r="I16" s="45">
        <v>35950</v>
      </c>
      <c r="J16" s="45">
        <v>32380</v>
      </c>
      <c r="K16" s="45">
        <v>34689</v>
      </c>
      <c r="L16" s="45">
        <v>35289</v>
      </c>
      <c r="M16" s="45">
        <v>35851</v>
      </c>
      <c r="N16" s="45">
        <v>35065</v>
      </c>
      <c r="O16" s="45">
        <v>32033</v>
      </c>
      <c r="P16" s="45">
        <v>36088</v>
      </c>
      <c r="Q16" s="45">
        <v>42715</v>
      </c>
      <c r="R16" s="45">
        <v>46532</v>
      </c>
      <c r="S16" s="45">
        <v>47331</v>
      </c>
      <c r="T16" s="45">
        <v>40490</v>
      </c>
      <c r="U16" s="45">
        <v>44005</v>
      </c>
      <c r="V16" s="45">
        <v>44119</v>
      </c>
      <c r="W16" s="45">
        <v>42963</v>
      </c>
      <c r="X16" s="45">
        <v>41861</v>
      </c>
      <c r="Y16" s="45">
        <v>40174</v>
      </c>
      <c r="Z16" s="45">
        <v>37247</v>
      </c>
      <c r="AA16" s="46">
        <f t="shared" si="0"/>
        <v>935003</v>
      </c>
      <c r="AB16" s="16">
        <v>4</v>
      </c>
      <c r="AC16" s="46">
        <f t="shared" si="1"/>
        <v>3740012</v>
      </c>
      <c r="AD16" s="83"/>
    </row>
    <row r="17" spans="1:30" x14ac:dyDescent="0.35">
      <c r="A17" s="91"/>
      <c r="B17" s="17" t="s">
        <v>41</v>
      </c>
      <c r="C17" s="45">
        <v>44800</v>
      </c>
      <c r="D17" s="45">
        <v>41474</v>
      </c>
      <c r="E17" s="45">
        <v>39117</v>
      </c>
      <c r="F17" s="45">
        <v>37202</v>
      </c>
      <c r="G17" s="45">
        <v>35997</v>
      </c>
      <c r="H17" s="45">
        <v>35170</v>
      </c>
      <c r="I17" s="45">
        <v>33915</v>
      </c>
      <c r="J17" s="45">
        <v>25618</v>
      </c>
      <c r="K17" s="45">
        <v>23974</v>
      </c>
      <c r="L17" s="45">
        <v>22599</v>
      </c>
      <c r="M17" s="45">
        <v>21167</v>
      </c>
      <c r="N17" s="45">
        <v>21019</v>
      </c>
      <c r="O17" s="45">
        <v>22106</v>
      </c>
      <c r="P17" s="45">
        <v>26056</v>
      </c>
      <c r="Q17" s="45">
        <v>31765</v>
      </c>
      <c r="R17" s="45">
        <v>36226</v>
      </c>
      <c r="S17" s="45">
        <v>38358</v>
      </c>
      <c r="T17" s="45">
        <v>33968</v>
      </c>
      <c r="U17" s="45">
        <v>38475</v>
      </c>
      <c r="V17" s="45">
        <v>41095</v>
      </c>
      <c r="W17" s="45">
        <v>41842</v>
      </c>
      <c r="X17" s="45">
        <v>41777</v>
      </c>
      <c r="Y17" s="45">
        <v>38623</v>
      </c>
      <c r="Z17" s="45">
        <v>34537</v>
      </c>
      <c r="AA17" s="46">
        <f t="shared" si="0"/>
        <v>806880</v>
      </c>
      <c r="AB17" s="16">
        <v>4</v>
      </c>
      <c r="AC17" s="46">
        <f t="shared" si="1"/>
        <v>3227520</v>
      </c>
      <c r="AD17" s="83"/>
    </row>
    <row r="18" spans="1:30" x14ac:dyDescent="0.35">
      <c r="A18" s="92"/>
      <c r="B18" s="18" t="s">
        <v>42</v>
      </c>
      <c r="C18" s="45">
        <v>35684</v>
      </c>
      <c r="D18" s="45">
        <v>32343</v>
      </c>
      <c r="E18" s="45">
        <v>30239</v>
      </c>
      <c r="F18" s="45">
        <v>28800</v>
      </c>
      <c r="G18" s="45">
        <v>28211</v>
      </c>
      <c r="H18" s="45">
        <v>27928</v>
      </c>
      <c r="I18" s="45">
        <v>27957</v>
      </c>
      <c r="J18" s="45">
        <v>21950</v>
      </c>
      <c r="K18" s="45">
        <v>21908</v>
      </c>
      <c r="L18" s="45">
        <v>22088</v>
      </c>
      <c r="M18" s="45">
        <v>22724</v>
      </c>
      <c r="N18" s="45">
        <v>23182</v>
      </c>
      <c r="O18" s="45">
        <v>22505</v>
      </c>
      <c r="P18" s="45">
        <v>27122</v>
      </c>
      <c r="Q18" s="45">
        <v>32133</v>
      </c>
      <c r="R18" s="45">
        <v>35252</v>
      </c>
      <c r="S18" s="45">
        <v>36386</v>
      </c>
      <c r="T18" s="45">
        <v>31475</v>
      </c>
      <c r="U18" s="45">
        <v>36690</v>
      </c>
      <c r="V18" s="45">
        <v>39243</v>
      </c>
      <c r="W18" s="45">
        <v>39433</v>
      </c>
      <c r="X18" s="45">
        <v>38220</v>
      </c>
      <c r="Y18" s="45">
        <v>33982</v>
      </c>
      <c r="Z18" s="45">
        <v>29475</v>
      </c>
      <c r="AA18" s="46">
        <f t="shared" si="0"/>
        <v>724930</v>
      </c>
      <c r="AB18" s="16">
        <v>3</v>
      </c>
      <c r="AC18" s="46">
        <f t="shared" si="1"/>
        <v>2174790</v>
      </c>
      <c r="AD18" s="84"/>
    </row>
    <row r="19" spans="1:30" x14ac:dyDescent="0.35">
      <c r="A19" s="90">
        <v>46478</v>
      </c>
      <c r="B19" s="13" t="s">
        <v>39</v>
      </c>
      <c r="C19" s="45">
        <v>44738</v>
      </c>
      <c r="D19" s="45">
        <v>41342</v>
      </c>
      <c r="E19" s="45">
        <v>39022</v>
      </c>
      <c r="F19" s="45">
        <v>37383</v>
      </c>
      <c r="G19" s="45">
        <v>37293</v>
      </c>
      <c r="H19" s="45">
        <v>38546</v>
      </c>
      <c r="I19" s="45">
        <v>39663</v>
      </c>
      <c r="J19" s="45">
        <v>36746</v>
      </c>
      <c r="K19" s="45">
        <v>39674</v>
      </c>
      <c r="L19" s="45">
        <v>40487</v>
      </c>
      <c r="M19" s="45">
        <v>42012</v>
      </c>
      <c r="N19" s="45">
        <v>41757</v>
      </c>
      <c r="O19" s="45">
        <v>36265</v>
      </c>
      <c r="P19" s="45">
        <v>46015</v>
      </c>
      <c r="Q19" s="45">
        <v>57550</v>
      </c>
      <c r="R19" s="45">
        <v>61684</v>
      </c>
      <c r="S19" s="45">
        <v>61752</v>
      </c>
      <c r="T19" s="45">
        <v>49573</v>
      </c>
      <c r="U19" s="45">
        <v>50644</v>
      </c>
      <c r="V19" s="45">
        <v>50052</v>
      </c>
      <c r="W19" s="45">
        <v>49368</v>
      </c>
      <c r="X19" s="45">
        <v>47638</v>
      </c>
      <c r="Y19" s="45">
        <v>43601</v>
      </c>
      <c r="Z19" s="45">
        <v>38526</v>
      </c>
      <c r="AA19" s="46">
        <f t="shared" si="0"/>
        <v>1071331</v>
      </c>
      <c r="AB19" s="16">
        <v>22</v>
      </c>
      <c r="AC19" s="46">
        <f t="shared" si="1"/>
        <v>23569282</v>
      </c>
      <c r="AD19" s="82">
        <f>+SUM(AC19:AC22)</f>
        <v>30932254</v>
      </c>
    </row>
    <row r="20" spans="1:30" x14ac:dyDescent="0.35">
      <c r="A20" s="91"/>
      <c r="B20" s="17" t="s">
        <v>40</v>
      </c>
      <c r="C20" s="45">
        <v>45959</v>
      </c>
      <c r="D20" s="45">
        <v>42639</v>
      </c>
      <c r="E20" s="45">
        <v>40181</v>
      </c>
      <c r="F20" s="45">
        <v>38169</v>
      </c>
      <c r="G20" s="45">
        <v>37405</v>
      </c>
      <c r="H20" s="45">
        <v>36598</v>
      </c>
      <c r="I20" s="45">
        <v>37816</v>
      </c>
      <c r="J20" s="45">
        <v>34278</v>
      </c>
      <c r="K20" s="45">
        <v>37566</v>
      </c>
      <c r="L20" s="45">
        <v>38497</v>
      </c>
      <c r="M20" s="45">
        <v>39438</v>
      </c>
      <c r="N20" s="45">
        <v>39246</v>
      </c>
      <c r="O20" s="45">
        <v>36403</v>
      </c>
      <c r="P20" s="45">
        <v>40429</v>
      </c>
      <c r="Q20" s="45">
        <v>46890</v>
      </c>
      <c r="R20" s="45">
        <v>50418</v>
      </c>
      <c r="S20" s="45">
        <v>50548</v>
      </c>
      <c r="T20" s="45">
        <v>43432</v>
      </c>
      <c r="U20" s="45">
        <v>46765</v>
      </c>
      <c r="V20" s="45">
        <v>45844</v>
      </c>
      <c r="W20" s="45">
        <v>44202</v>
      </c>
      <c r="X20" s="45">
        <v>42405</v>
      </c>
      <c r="Y20" s="45">
        <v>40123</v>
      </c>
      <c r="Z20" s="45">
        <v>37150</v>
      </c>
      <c r="AA20" s="46">
        <f t="shared" si="0"/>
        <v>992401</v>
      </c>
      <c r="AB20" s="16">
        <v>4</v>
      </c>
      <c r="AC20" s="46">
        <f t="shared" si="1"/>
        <v>3969604</v>
      </c>
      <c r="AD20" s="83"/>
    </row>
    <row r="21" spans="1:30" x14ac:dyDescent="0.35">
      <c r="A21" s="91"/>
      <c r="B21" s="17" t="s">
        <v>41</v>
      </c>
      <c r="C21" s="45">
        <v>46024</v>
      </c>
      <c r="D21" s="45">
        <v>42408</v>
      </c>
      <c r="E21" s="45">
        <v>39771</v>
      </c>
      <c r="F21" s="45">
        <v>37703</v>
      </c>
      <c r="G21" s="45">
        <v>36461</v>
      </c>
      <c r="H21" s="45">
        <v>34886</v>
      </c>
      <c r="I21" s="45">
        <v>34358</v>
      </c>
      <c r="J21" s="45">
        <v>26915</v>
      </c>
      <c r="K21" s="45">
        <v>25852</v>
      </c>
      <c r="L21" s="45">
        <v>24927</v>
      </c>
      <c r="M21" s="45">
        <v>24264</v>
      </c>
      <c r="N21" s="45">
        <v>24910</v>
      </c>
      <c r="O21" s="45">
        <v>25708</v>
      </c>
      <c r="P21" s="45">
        <v>29593</v>
      </c>
      <c r="Q21" s="45">
        <v>35350</v>
      </c>
      <c r="R21" s="45">
        <v>39547</v>
      </c>
      <c r="S21" s="45">
        <v>41275</v>
      </c>
      <c r="T21" s="45">
        <v>36260</v>
      </c>
      <c r="U21" s="45">
        <v>40882</v>
      </c>
      <c r="V21" s="45">
        <v>42756</v>
      </c>
      <c r="W21" s="45">
        <v>42279</v>
      </c>
      <c r="X21" s="45">
        <v>42018</v>
      </c>
      <c r="Y21" s="45">
        <v>39251</v>
      </c>
      <c r="Z21" s="45">
        <v>34944</v>
      </c>
      <c r="AA21" s="46">
        <f t="shared" si="0"/>
        <v>848342</v>
      </c>
      <c r="AB21" s="16">
        <v>4</v>
      </c>
      <c r="AC21" s="46">
        <f t="shared" si="1"/>
        <v>3393368</v>
      </c>
      <c r="AD21" s="83"/>
    </row>
    <row r="22" spans="1:30" x14ac:dyDescent="0.35">
      <c r="A22" s="92"/>
      <c r="B22" s="18" t="s">
        <v>42</v>
      </c>
      <c r="C22" s="45">
        <v>0</v>
      </c>
      <c r="D22" s="45">
        <v>0</v>
      </c>
      <c r="E22" s="45">
        <v>0</v>
      </c>
      <c r="F22" s="45">
        <v>0</v>
      </c>
      <c r="G22" s="45">
        <v>0</v>
      </c>
      <c r="H22" s="45">
        <v>0</v>
      </c>
      <c r="I22" s="45">
        <v>0</v>
      </c>
      <c r="J22" s="45">
        <v>0</v>
      </c>
      <c r="K22" s="45">
        <v>0</v>
      </c>
      <c r="L22" s="45">
        <v>0</v>
      </c>
      <c r="M22" s="45">
        <v>0</v>
      </c>
      <c r="N22" s="45">
        <v>0</v>
      </c>
      <c r="O22" s="45">
        <v>0</v>
      </c>
      <c r="P22" s="45">
        <v>0</v>
      </c>
      <c r="Q22" s="45">
        <v>0</v>
      </c>
      <c r="R22" s="45">
        <v>0</v>
      </c>
      <c r="S22" s="45">
        <v>0</v>
      </c>
      <c r="T22" s="45">
        <v>0</v>
      </c>
      <c r="U22" s="45">
        <v>0</v>
      </c>
      <c r="V22" s="45">
        <v>0</v>
      </c>
      <c r="W22" s="45">
        <v>0</v>
      </c>
      <c r="X22" s="45">
        <v>0</v>
      </c>
      <c r="Y22" s="45">
        <v>0</v>
      </c>
      <c r="Z22" s="45">
        <v>0</v>
      </c>
      <c r="AA22" s="46">
        <f t="shared" si="0"/>
        <v>0</v>
      </c>
      <c r="AB22" s="16">
        <v>0</v>
      </c>
      <c r="AC22" s="46">
        <f t="shared" si="1"/>
        <v>0</v>
      </c>
      <c r="AD22" s="84"/>
    </row>
    <row r="23" spans="1:30" x14ac:dyDescent="0.35">
      <c r="A23" s="90">
        <v>46508</v>
      </c>
      <c r="B23" s="13" t="s">
        <v>39</v>
      </c>
      <c r="C23" s="45">
        <v>25971</v>
      </c>
      <c r="D23" s="45">
        <v>22672</v>
      </c>
      <c r="E23" s="45">
        <v>20181</v>
      </c>
      <c r="F23" s="45">
        <v>18421</v>
      </c>
      <c r="G23" s="45">
        <v>17938</v>
      </c>
      <c r="H23" s="45">
        <v>17756</v>
      </c>
      <c r="I23" s="45">
        <v>18985</v>
      </c>
      <c r="J23" s="45">
        <v>16415</v>
      </c>
      <c r="K23" s="45">
        <v>19746</v>
      </c>
      <c r="L23" s="45">
        <v>20852</v>
      </c>
      <c r="M23" s="45">
        <v>22195</v>
      </c>
      <c r="N23" s="45">
        <v>21678</v>
      </c>
      <c r="O23" s="45">
        <v>16294</v>
      </c>
      <c r="P23" s="45">
        <v>26297</v>
      </c>
      <c r="Q23" s="45">
        <v>37701</v>
      </c>
      <c r="R23" s="45">
        <v>41357</v>
      </c>
      <c r="S23" s="45">
        <v>41175</v>
      </c>
      <c r="T23" s="45">
        <v>29125</v>
      </c>
      <c r="U23" s="45">
        <v>29090</v>
      </c>
      <c r="V23" s="45">
        <v>28903</v>
      </c>
      <c r="W23" s="45">
        <v>28985</v>
      </c>
      <c r="X23" s="45">
        <v>27787</v>
      </c>
      <c r="Y23" s="45">
        <v>24090</v>
      </c>
      <c r="Z23" s="45">
        <v>19275</v>
      </c>
      <c r="AA23" s="46">
        <f t="shared" si="0"/>
        <v>592889</v>
      </c>
      <c r="AB23" s="16">
        <v>19</v>
      </c>
      <c r="AC23" s="46">
        <f t="shared" si="1"/>
        <v>11264891</v>
      </c>
      <c r="AD23" s="82">
        <f>+SUM(AC23:AC26)</f>
        <v>15982260</v>
      </c>
    </row>
    <row r="24" spans="1:30" x14ac:dyDescent="0.35">
      <c r="A24" s="91"/>
      <c r="B24" s="17" t="s">
        <v>40</v>
      </c>
      <c r="C24" s="45">
        <v>27812</v>
      </c>
      <c r="D24" s="45">
        <v>24040</v>
      </c>
      <c r="E24" s="45">
        <v>21193</v>
      </c>
      <c r="F24" s="45">
        <v>19104</v>
      </c>
      <c r="G24" s="45">
        <v>18162</v>
      </c>
      <c r="H24" s="45">
        <v>16430</v>
      </c>
      <c r="I24" s="45">
        <v>17997</v>
      </c>
      <c r="J24" s="45">
        <v>14675</v>
      </c>
      <c r="K24" s="45">
        <v>18311</v>
      </c>
      <c r="L24" s="45">
        <v>19825</v>
      </c>
      <c r="M24" s="45">
        <v>20842</v>
      </c>
      <c r="N24" s="45">
        <v>20128</v>
      </c>
      <c r="O24" s="45">
        <v>17050</v>
      </c>
      <c r="P24" s="45">
        <v>21162</v>
      </c>
      <c r="Q24" s="45">
        <v>27367</v>
      </c>
      <c r="R24" s="45">
        <v>30343</v>
      </c>
      <c r="S24" s="45">
        <v>30298</v>
      </c>
      <c r="T24" s="45">
        <v>21870</v>
      </c>
      <c r="U24" s="45">
        <v>24743</v>
      </c>
      <c r="V24" s="45">
        <v>25107</v>
      </c>
      <c r="W24" s="45">
        <v>23712</v>
      </c>
      <c r="X24" s="45">
        <v>22510</v>
      </c>
      <c r="Y24" s="45">
        <v>20651</v>
      </c>
      <c r="Z24" s="45">
        <v>17500</v>
      </c>
      <c r="AA24" s="46">
        <f t="shared" si="0"/>
        <v>520832</v>
      </c>
      <c r="AB24" s="16">
        <v>4</v>
      </c>
      <c r="AC24" s="46">
        <f t="shared" si="1"/>
        <v>2083328</v>
      </c>
      <c r="AD24" s="83"/>
    </row>
    <row r="25" spans="1:30" x14ac:dyDescent="0.35">
      <c r="A25" s="91"/>
      <c r="B25" s="17" t="s">
        <v>41</v>
      </c>
      <c r="C25" s="45">
        <v>25777</v>
      </c>
      <c r="D25" s="45">
        <v>22636</v>
      </c>
      <c r="E25" s="45">
        <v>20157</v>
      </c>
      <c r="F25" s="45">
        <v>18123</v>
      </c>
      <c r="G25" s="45">
        <v>16791</v>
      </c>
      <c r="H25" s="45">
        <v>14156</v>
      </c>
      <c r="I25" s="45">
        <v>14387</v>
      </c>
      <c r="J25" s="45">
        <v>6928</v>
      </c>
      <c r="K25" s="45">
        <v>5685</v>
      </c>
      <c r="L25" s="45">
        <v>4768</v>
      </c>
      <c r="M25" s="45">
        <v>4360</v>
      </c>
      <c r="N25" s="45">
        <v>4113</v>
      </c>
      <c r="O25" s="45">
        <v>3857</v>
      </c>
      <c r="P25" s="45">
        <v>7226</v>
      </c>
      <c r="Q25" s="45">
        <v>13267</v>
      </c>
      <c r="R25" s="45">
        <v>17221</v>
      </c>
      <c r="S25" s="45">
        <v>19062</v>
      </c>
      <c r="T25" s="45">
        <v>14579</v>
      </c>
      <c r="U25" s="45">
        <v>18829</v>
      </c>
      <c r="V25" s="45">
        <v>20846</v>
      </c>
      <c r="W25" s="45">
        <v>21457</v>
      </c>
      <c r="X25" s="45">
        <v>21937</v>
      </c>
      <c r="Y25" s="45">
        <v>19902</v>
      </c>
      <c r="Z25" s="45">
        <v>16149</v>
      </c>
      <c r="AA25" s="46">
        <f t="shared" si="0"/>
        <v>352213</v>
      </c>
      <c r="AB25" s="16">
        <v>5</v>
      </c>
      <c r="AC25" s="46">
        <f t="shared" si="1"/>
        <v>1761065</v>
      </c>
      <c r="AD25" s="83"/>
    </row>
    <row r="26" spans="1:30" x14ac:dyDescent="0.35">
      <c r="A26" s="92"/>
      <c r="B26" s="18" t="s">
        <v>42</v>
      </c>
      <c r="C26" s="45">
        <v>18781</v>
      </c>
      <c r="D26" s="45">
        <v>15673</v>
      </c>
      <c r="E26" s="45">
        <v>13425</v>
      </c>
      <c r="F26" s="45">
        <v>11737</v>
      </c>
      <c r="G26" s="45">
        <v>10936</v>
      </c>
      <c r="H26" s="45">
        <v>9048</v>
      </c>
      <c r="I26" s="45">
        <v>9808</v>
      </c>
      <c r="J26" s="45">
        <v>3323</v>
      </c>
      <c r="K26" s="45">
        <v>3087</v>
      </c>
      <c r="L26" s="45">
        <v>3121</v>
      </c>
      <c r="M26" s="45">
        <v>3473</v>
      </c>
      <c r="N26" s="45">
        <v>3758</v>
      </c>
      <c r="O26" s="45">
        <v>3448</v>
      </c>
      <c r="P26" s="45">
        <v>7787</v>
      </c>
      <c r="Q26" s="45">
        <v>13492</v>
      </c>
      <c r="R26" s="45">
        <v>17285</v>
      </c>
      <c r="S26" s="45">
        <v>18291</v>
      </c>
      <c r="T26" s="45">
        <v>12722</v>
      </c>
      <c r="U26" s="45">
        <v>17497</v>
      </c>
      <c r="V26" s="45">
        <v>20726</v>
      </c>
      <c r="W26" s="45">
        <v>21452</v>
      </c>
      <c r="X26" s="45">
        <v>21095</v>
      </c>
      <c r="Y26" s="45">
        <v>17773</v>
      </c>
      <c r="Z26" s="45">
        <v>13254</v>
      </c>
      <c r="AA26" s="46">
        <f t="shared" si="0"/>
        <v>290992</v>
      </c>
      <c r="AB26" s="16">
        <v>3</v>
      </c>
      <c r="AC26" s="46">
        <f t="shared" si="1"/>
        <v>872976</v>
      </c>
      <c r="AD26" s="84"/>
    </row>
    <row r="27" spans="1:30" x14ac:dyDescent="0.35">
      <c r="A27" s="90">
        <v>46539</v>
      </c>
      <c r="B27" s="13" t="s">
        <v>39</v>
      </c>
      <c r="C27" s="45">
        <v>31286</v>
      </c>
      <c r="D27" s="45">
        <v>27821</v>
      </c>
      <c r="E27" s="45">
        <v>25181</v>
      </c>
      <c r="F27" s="45">
        <v>23405</v>
      </c>
      <c r="G27" s="45">
        <v>22903</v>
      </c>
      <c r="H27" s="45">
        <v>22459</v>
      </c>
      <c r="I27" s="45">
        <v>24576</v>
      </c>
      <c r="J27" s="45">
        <v>22636</v>
      </c>
      <c r="K27" s="45">
        <v>26134</v>
      </c>
      <c r="L27" s="45">
        <v>27023</v>
      </c>
      <c r="M27" s="45">
        <v>28296</v>
      </c>
      <c r="N27" s="45">
        <v>28170</v>
      </c>
      <c r="O27" s="45">
        <v>22193</v>
      </c>
      <c r="P27" s="45">
        <v>31721</v>
      </c>
      <c r="Q27" s="45">
        <v>42634</v>
      </c>
      <c r="R27" s="45">
        <v>46573</v>
      </c>
      <c r="S27" s="45">
        <v>46747</v>
      </c>
      <c r="T27" s="45">
        <v>33484</v>
      </c>
      <c r="U27" s="45">
        <v>33371</v>
      </c>
      <c r="V27" s="45">
        <v>33627</v>
      </c>
      <c r="W27" s="45">
        <v>33190</v>
      </c>
      <c r="X27" s="45">
        <v>31780</v>
      </c>
      <c r="Y27" s="45">
        <v>28272</v>
      </c>
      <c r="Z27" s="45">
        <v>23528</v>
      </c>
      <c r="AA27" s="46">
        <f t="shared" si="0"/>
        <v>717010</v>
      </c>
      <c r="AB27" s="16">
        <v>21</v>
      </c>
      <c r="AC27" s="46">
        <f t="shared" si="1"/>
        <v>15057210</v>
      </c>
      <c r="AD27" s="82">
        <f>+SUM(AC27:AC30)</f>
        <v>20007543</v>
      </c>
    </row>
    <row r="28" spans="1:30" x14ac:dyDescent="0.35">
      <c r="A28" s="91"/>
      <c r="B28" s="17" t="s">
        <v>40</v>
      </c>
      <c r="C28" s="45">
        <v>31749</v>
      </c>
      <c r="D28" s="45">
        <v>28374</v>
      </c>
      <c r="E28" s="45">
        <v>25788</v>
      </c>
      <c r="F28" s="45">
        <v>23828</v>
      </c>
      <c r="G28" s="45">
        <v>23155</v>
      </c>
      <c r="H28" s="45">
        <v>21544</v>
      </c>
      <c r="I28" s="45">
        <v>23565</v>
      </c>
      <c r="J28" s="45">
        <v>20851</v>
      </c>
      <c r="K28" s="45">
        <v>24143</v>
      </c>
      <c r="L28" s="45">
        <v>25131</v>
      </c>
      <c r="M28" s="45">
        <v>25833</v>
      </c>
      <c r="N28" s="45">
        <v>25103</v>
      </c>
      <c r="O28" s="45">
        <v>21516</v>
      </c>
      <c r="P28" s="45">
        <v>24946</v>
      </c>
      <c r="Q28" s="45">
        <v>32165</v>
      </c>
      <c r="R28" s="45">
        <v>36125</v>
      </c>
      <c r="S28" s="45">
        <v>36315</v>
      </c>
      <c r="T28" s="45">
        <v>27788</v>
      </c>
      <c r="U28" s="45">
        <v>30292</v>
      </c>
      <c r="V28" s="45">
        <v>30405</v>
      </c>
      <c r="W28" s="45">
        <v>28938</v>
      </c>
      <c r="X28" s="45">
        <v>27381</v>
      </c>
      <c r="Y28" s="45">
        <v>25328</v>
      </c>
      <c r="Z28" s="45">
        <v>22376</v>
      </c>
      <c r="AA28" s="46">
        <f t="shared" si="0"/>
        <v>642639</v>
      </c>
      <c r="AB28" s="16">
        <v>4</v>
      </c>
      <c r="AC28" s="46">
        <f t="shared" si="1"/>
        <v>2570556</v>
      </c>
      <c r="AD28" s="83"/>
    </row>
    <row r="29" spans="1:30" x14ac:dyDescent="0.35">
      <c r="A29" s="91"/>
      <c r="B29" s="17" t="s">
        <v>41</v>
      </c>
      <c r="C29" s="45">
        <v>31429</v>
      </c>
      <c r="D29" s="45">
        <v>28313</v>
      </c>
      <c r="E29" s="45">
        <v>25870</v>
      </c>
      <c r="F29" s="45">
        <v>23820</v>
      </c>
      <c r="G29" s="45">
        <v>22641</v>
      </c>
      <c r="H29" s="45">
        <v>20061</v>
      </c>
      <c r="I29" s="45">
        <v>20166</v>
      </c>
      <c r="J29" s="45">
        <v>12905</v>
      </c>
      <c r="K29" s="45">
        <v>11055</v>
      </c>
      <c r="L29" s="45">
        <v>10698</v>
      </c>
      <c r="M29" s="45">
        <v>9166</v>
      </c>
      <c r="N29" s="45">
        <v>8853</v>
      </c>
      <c r="O29" s="45">
        <v>9384</v>
      </c>
      <c r="P29" s="45">
        <v>12943</v>
      </c>
      <c r="Q29" s="45">
        <v>18574</v>
      </c>
      <c r="R29" s="45">
        <v>22719</v>
      </c>
      <c r="S29" s="45">
        <v>24962</v>
      </c>
      <c r="T29" s="45">
        <v>18999</v>
      </c>
      <c r="U29" s="45">
        <v>23179</v>
      </c>
      <c r="V29" s="45">
        <v>26378</v>
      </c>
      <c r="W29" s="45">
        <v>26897</v>
      </c>
      <c r="X29" s="45">
        <v>27392</v>
      </c>
      <c r="Y29" s="45">
        <v>25690</v>
      </c>
      <c r="Z29" s="45">
        <v>22448</v>
      </c>
      <c r="AA29" s="46">
        <f t="shared" si="0"/>
        <v>484542</v>
      </c>
      <c r="AB29" s="16">
        <v>4</v>
      </c>
      <c r="AC29" s="46">
        <f t="shared" si="1"/>
        <v>1938168</v>
      </c>
      <c r="AD29" s="83"/>
    </row>
    <row r="30" spans="1:30" x14ac:dyDescent="0.35">
      <c r="A30" s="92"/>
      <c r="B30" s="18" t="s">
        <v>42</v>
      </c>
      <c r="C30" s="45">
        <v>25130</v>
      </c>
      <c r="D30" s="45">
        <v>22080</v>
      </c>
      <c r="E30" s="45">
        <v>19906</v>
      </c>
      <c r="F30" s="45">
        <v>18130</v>
      </c>
      <c r="G30" s="45">
        <v>17410</v>
      </c>
      <c r="H30" s="45">
        <v>15526</v>
      </c>
      <c r="I30" s="45">
        <v>16281</v>
      </c>
      <c r="J30" s="45">
        <v>10823</v>
      </c>
      <c r="K30" s="45">
        <v>11499</v>
      </c>
      <c r="L30" s="45">
        <v>12159</v>
      </c>
      <c r="M30" s="45">
        <v>12545</v>
      </c>
      <c r="N30" s="45">
        <v>12399</v>
      </c>
      <c r="O30" s="45">
        <v>11426</v>
      </c>
      <c r="P30" s="45">
        <v>15190</v>
      </c>
      <c r="Q30" s="45">
        <v>20513</v>
      </c>
      <c r="R30" s="45">
        <v>23654</v>
      </c>
      <c r="S30" s="45">
        <v>24319</v>
      </c>
      <c r="T30" s="45">
        <v>17435</v>
      </c>
      <c r="U30" s="45">
        <v>21304</v>
      </c>
      <c r="V30" s="45">
        <v>25311</v>
      </c>
      <c r="W30" s="45">
        <v>25188</v>
      </c>
      <c r="X30" s="45">
        <v>24496</v>
      </c>
      <c r="Y30" s="45">
        <v>21546</v>
      </c>
      <c r="Z30" s="45">
        <v>17339</v>
      </c>
      <c r="AA30" s="46">
        <f t="shared" si="0"/>
        <v>441609</v>
      </c>
      <c r="AB30" s="16">
        <v>1</v>
      </c>
      <c r="AC30" s="46">
        <f t="shared" si="1"/>
        <v>441609</v>
      </c>
      <c r="AD30" s="84"/>
    </row>
    <row r="31" spans="1:30" x14ac:dyDescent="0.35">
      <c r="A31" s="90">
        <v>46569</v>
      </c>
      <c r="B31" s="13" t="s">
        <v>39</v>
      </c>
      <c r="C31" s="45">
        <v>31940</v>
      </c>
      <c r="D31" s="45">
        <v>28554</v>
      </c>
      <c r="E31" s="45">
        <v>26115</v>
      </c>
      <c r="F31" s="45">
        <v>24191</v>
      </c>
      <c r="G31" s="45">
        <v>23596</v>
      </c>
      <c r="H31" s="45">
        <v>23743</v>
      </c>
      <c r="I31" s="45">
        <v>25212</v>
      </c>
      <c r="J31" s="45">
        <v>22579</v>
      </c>
      <c r="K31" s="45">
        <v>25865</v>
      </c>
      <c r="L31" s="45">
        <v>26753</v>
      </c>
      <c r="M31" s="45">
        <v>27994</v>
      </c>
      <c r="N31" s="45">
        <v>27034</v>
      </c>
      <c r="O31" s="45">
        <v>20994</v>
      </c>
      <c r="P31" s="45">
        <v>30308</v>
      </c>
      <c r="Q31" s="45">
        <v>41068</v>
      </c>
      <c r="R31" s="45">
        <v>44982</v>
      </c>
      <c r="S31" s="45">
        <v>44835</v>
      </c>
      <c r="T31" s="45">
        <v>32230</v>
      </c>
      <c r="U31" s="45">
        <v>31786</v>
      </c>
      <c r="V31" s="45">
        <v>32925</v>
      </c>
      <c r="W31" s="45">
        <v>32992</v>
      </c>
      <c r="X31" s="45">
        <v>31898</v>
      </c>
      <c r="Y31" s="45">
        <v>28537</v>
      </c>
      <c r="Z31" s="45">
        <v>23975</v>
      </c>
      <c r="AA31" s="46">
        <f t="shared" si="0"/>
        <v>710106</v>
      </c>
      <c r="AB31" s="16">
        <v>20</v>
      </c>
      <c r="AC31" s="46">
        <f t="shared" si="1"/>
        <v>14202120</v>
      </c>
      <c r="AD31" s="82">
        <f>+SUM(AC31:AC34)</f>
        <v>20327705</v>
      </c>
    </row>
    <row r="32" spans="1:30" x14ac:dyDescent="0.35">
      <c r="A32" s="91"/>
      <c r="B32" s="17" t="s">
        <v>40</v>
      </c>
      <c r="C32" s="45">
        <v>30776</v>
      </c>
      <c r="D32" s="45">
        <v>27636</v>
      </c>
      <c r="E32" s="45">
        <v>25352</v>
      </c>
      <c r="F32" s="45">
        <v>23521</v>
      </c>
      <c r="G32" s="45">
        <v>22892</v>
      </c>
      <c r="H32" s="45">
        <v>21642</v>
      </c>
      <c r="I32" s="45">
        <v>22932</v>
      </c>
      <c r="J32" s="45">
        <v>19702</v>
      </c>
      <c r="K32" s="45">
        <v>22538</v>
      </c>
      <c r="L32" s="45">
        <v>23512</v>
      </c>
      <c r="M32" s="45">
        <v>23815</v>
      </c>
      <c r="N32" s="45">
        <v>23665</v>
      </c>
      <c r="O32" s="45">
        <v>20531</v>
      </c>
      <c r="P32" s="45">
        <v>24608</v>
      </c>
      <c r="Q32" s="45">
        <v>31470</v>
      </c>
      <c r="R32" s="45">
        <v>34652</v>
      </c>
      <c r="S32" s="45">
        <v>34563</v>
      </c>
      <c r="T32" s="45">
        <v>25327</v>
      </c>
      <c r="U32" s="45">
        <v>28322</v>
      </c>
      <c r="V32" s="45">
        <v>30234</v>
      </c>
      <c r="W32" s="45">
        <v>28735</v>
      </c>
      <c r="X32" s="45">
        <v>27751</v>
      </c>
      <c r="Y32" s="45">
        <v>26424</v>
      </c>
      <c r="Z32" s="45">
        <v>24011</v>
      </c>
      <c r="AA32" s="46">
        <f t="shared" si="0"/>
        <v>624611</v>
      </c>
      <c r="AB32" s="16">
        <v>5</v>
      </c>
      <c r="AC32" s="46">
        <f t="shared" si="1"/>
        <v>3123055</v>
      </c>
      <c r="AD32" s="83"/>
    </row>
    <row r="33" spans="1:30" x14ac:dyDescent="0.35">
      <c r="A33" s="91"/>
      <c r="B33" s="17" t="s">
        <v>41</v>
      </c>
      <c r="C33" s="45">
        <v>33347</v>
      </c>
      <c r="D33" s="45">
        <v>30079</v>
      </c>
      <c r="E33" s="45">
        <v>27445</v>
      </c>
      <c r="F33" s="45">
        <v>25491</v>
      </c>
      <c r="G33" s="45">
        <v>24167</v>
      </c>
      <c r="H33" s="45">
        <v>21969</v>
      </c>
      <c r="I33" s="45">
        <v>21810</v>
      </c>
      <c r="J33" s="45">
        <v>13358</v>
      </c>
      <c r="K33" s="45">
        <v>11925</v>
      </c>
      <c r="L33" s="45">
        <v>11177</v>
      </c>
      <c r="M33" s="45">
        <v>10016</v>
      </c>
      <c r="N33" s="45">
        <v>9341</v>
      </c>
      <c r="O33" s="45">
        <v>10086</v>
      </c>
      <c r="P33" s="45">
        <v>13882</v>
      </c>
      <c r="Q33" s="45">
        <v>19057</v>
      </c>
      <c r="R33" s="45">
        <v>23524</v>
      </c>
      <c r="S33" s="45">
        <v>25390</v>
      </c>
      <c r="T33" s="45">
        <v>21061</v>
      </c>
      <c r="U33" s="45">
        <v>24631</v>
      </c>
      <c r="V33" s="45">
        <v>27953</v>
      </c>
      <c r="W33" s="45">
        <v>28539</v>
      </c>
      <c r="X33" s="45">
        <v>28807</v>
      </c>
      <c r="Y33" s="45">
        <v>26818</v>
      </c>
      <c r="Z33" s="45">
        <v>23492</v>
      </c>
      <c r="AA33" s="46">
        <f t="shared" si="0"/>
        <v>513365</v>
      </c>
      <c r="AB33" s="16">
        <v>4</v>
      </c>
      <c r="AC33" s="46">
        <f t="shared" si="1"/>
        <v>2053460</v>
      </c>
      <c r="AD33" s="83"/>
    </row>
    <row r="34" spans="1:30" x14ac:dyDescent="0.35">
      <c r="A34" s="92"/>
      <c r="B34" s="18" t="s">
        <v>42</v>
      </c>
      <c r="C34" s="45">
        <v>28766</v>
      </c>
      <c r="D34" s="45">
        <v>25544</v>
      </c>
      <c r="E34" s="45">
        <v>23053</v>
      </c>
      <c r="F34" s="45">
        <v>21466</v>
      </c>
      <c r="G34" s="45">
        <v>20619</v>
      </c>
      <c r="H34" s="45">
        <v>19096</v>
      </c>
      <c r="I34" s="45">
        <v>19271</v>
      </c>
      <c r="J34" s="45">
        <v>12918</v>
      </c>
      <c r="K34" s="45">
        <v>12677</v>
      </c>
      <c r="L34" s="45">
        <v>12445</v>
      </c>
      <c r="M34" s="45">
        <v>12103</v>
      </c>
      <c r="N34" s="45">
        <v>11481</v>
      </c>
      <c r="O34" s="45">
        <v>10291</v>
      </c>
      <c r="P34" s="45">
        <v>14753</v>
      </c>
      <c r="Q34" s="45">
        <v>20254</v>
      </c>
      <c r="R34" s="45">
        <v>24137</v>
      </c>
      <c r="S34" s="45">
        <v>25197</v>
      </c>
      <c r="T34" s="45">
        <v>18250</v>
      </c>
      <c r="U34" s="45">
        <v>22370</v>
      </c>
      <c r="V34" s="45">
        <v>26396</v>
      </c>
      <c r="W34" s="45">
        <v>26454</v>
      </c>
      <c r="X34" s="45">
        <v>25621</v>
      </c>
      <c r="Y34" s="45">
        <v>22696</v>
      </c>
      <c r="Z34" s="45">
        <v>18677</v>
      </c>
      <c r="AA34" s="46">
        <f t="shared" si="0"/>
        <v>474535</v>
      </c>
      <c r="AB34" s="16">
        <v>2</v>
      </c>
      <c r="AC34" s="46">
        <f t="shared" si="1"/>
        <v>949070</v>
      </c>
      <c r="AD34" s="84"/>
    </row>
    <row r="35" spans="1:30" x14ac:dyDescent="0.35">
      <c r="A35" s="90">
        <v>46600</v>
      </c>
      <c r="B35" s="13" t="s">
        <v>39</v>
      </c>
      <c r="C35" s="45">
        <v>28700</v>
      </c>
      <c r="D35" s="45">
        <v>25178</v>
      </c>
      <c r="E35" s="45">
        <v>22551</v>
      </c>
      <c r="F35" s="45">
        <v>20531</v>
      </c>
      <c r="G35" s="45">
        <v>19833</v>
      </c>
      <c r="H35" s="45">
        <v>19853</v>
      </c>
      <c r="I35" s="45">
        <v>20862</v>
      </c>
      <c r="J35" s="45">
        <v>18380</v>
      </c>
      <c r="K35" s="45">
        <v>21318</v>
      </c>
      <c r="L35" s="45">
        <v>22747</v>
      </c>
      <c r="M35" s="45">
        <v>24050</v>
      </c>
      <c r="N35" s="45">
        <v>23596</v>
      </c>
      <c r="O35" s="45">
        <v>17620</v>
      </c>
      <c r="P35" s="45">
        <v>27917</v>
      </c>
      <c r="Q35" s="45">
        <v>39568</v>
      </c>
      <c r="R35" s="45">
        <v>43495</v>
      </c>
      <c r="S35" s="45">
        <v>43489</v>
      </c>
      <c r="T35" s="45">
        <v>30002</v>
      </c>
      <c r="U35" s="45">
        <v>29905</v>
      </c>
      <c r="V35" s="45">
        <v>30646</v>
      </c>
      <c r="W35" s="45">
        <v>30937</v>
      </c>
      <c r="X35" s="45">
        <v>30313</v>
      </c>
      <c r="Y35" s="45">
        <v>26731</v>
      </c>
      <c r="Z35" s="45">
        <v>22238</v>
      </c>
      <c r="AA35" s="46">
        <f t="shared" si="0"/>
        <v>640460</v>
      </c>
      <c r="AB35" s="16">
        <v>21</v>
      </c>
      <c r="AC35" s="46">
        <f t="shared" si="1"/>
        <v>13449660</v>
      </c>
      <c r="AD35" s="82">
        <f>+SUM(AC35:AC38)</f>
        <v>17995137</v>
      </c>
    </row>
    <row r="36" spans="1:30" x14ac:dyDescent="0.35">
      <c r="A36" s="91"/>
      <c r="B36" s="17" t="s">
        <v>40</v>
      </c>
      <c r="C36" s="45">
        <v>32979</v>
      </c>
      <c r="D36" s="45">
        <v>29177</v>
      </c>
      <c r="E36" s="45">
        <v>26225</v>
      </c>
      <c r="F36" s="45">
        <v>23905</v>
      </c>
      <c r="G36" s="45">
        <v>22711</v>
      </c>
      <c r="H36" s="45">
        <v>21101</v>
      </c>
      <c r="I36" s="45">
        <v>21941</v>
      </c>
      <c r="J36" s="45">
        <v>19092</v>
      </c>
      <c r="K36" s="45">
        <v>21819</v>
      </c>
      <c r="L36" s="45">
        <v>23332</v>
      </c>
      <c r="M36" s="45">
        <v>23461</v>
      </c>
      <c r="N36" s="45">
        <v>23838</v>
      </c>
      <c r="O36" s="45">
        <v>19875</v>
      </c>
      <c r="P36" s="45">
        <v>24245</v>
      </c>
      <c r="Q36" s="45">
        <v>30887</v>
      </c>
      <c r="R36" s="45">
        <v>34132</v>
      </c>
      <c r="S36" s="45">
        <v>34523</v>
      </c>
      <c r="T36" s="45">
        <v>25197</v>
      </c>
      <c r="U36" s="45">
        <v>28514</v>
      </c>
      <c r="V36" s="45">
        <v>28892</v>
      </c>
      <c r="W36" s="45">
        <v>27380</v>
      </c>
      <c r="X36" s="45">
        <v>27217</v>
      </c>
      <c r="Y36" s="45">
        <v>25949</v>
      </c>
      <c r="Z36" s="45">
        <v>23323</v>
      </c>
      <c r="AA36" s="46">
        <f t="shared" si="0"/>
        <v>619715</v>
      </c>
      <c r="AB36" s="16">
        <v>3</v>
      </c>
      <c r="AC36" s="46">
        <f t="shared" si="1"/>
        <v>1859145</v>
      </c>
      <c r="AD36" s="83"/>
    </row>
    <row r="37" spans="1:30" x14ac:dyDescent="0.35">
      <c r="A37" s="91"/>
      <c r="B37" s="17" t="s">
        <v>41</v>
      </c>
      <c r="C37" s="45">
        <v>30687</v>
      </c>
      <c r="D37" s="45">
        <v>27187</v>
      </c>
      <c r="E37" s="45">
        <v>24379</v>
      </c>
      <c r="F37" s="45">
        <v>22167</v>
      </c>
      <c r="G37" s="45">
        <v>20482</v>
      </c>
      <c r="H37" s="45">
        <v>17566</v>
      </c>
      <c r="I37" s="45">
        <v>16726</v>
      </c>
      <c r="J37" s="45">
        <v>9219</v>
      </c>
      <c r="K37" s="45">
        <v>7384</v>
      </c>
      <c r="L37" s="45">
        <v>5653</v>
      </c>
      <c r="M37" s="45">
        <v>5021</v>
      </c>
      <c r="N37" s="45">
        <v>3729</v>
      </c>
      <c r="O37" s="45">
        <v>4684</v>
      </c>
      <c r="P37" s="45">
        <v>9866</v>
      </c>
      <c r="Q37" s="45">
        <v>15044</v>
      </c>
      <c r="R37" s="45">
        <v>19391</v>
      </c>
      <c r="S37" s="45">
        <v>19954</v>
      </c>
      <c r="T37" s="45">
        <v>14386</v>
      </c>
      <c r="U37" s="45">
        <v>19060</v>
      </c>
      <c r="V37" s="45">
        <v>21344</v>
      </c>
      <c r="W37" s="45">
        <v>22051</v>
      </c>
      <c r="X37" s="45">
        <v>22773</v>
      </c>
      <c r="Y37" s="45">
        <v>20870</v>
      </c>
      <c r="Z37" s="45">
        <v>17455</v>
      </c>
      <c r="AA37" s="46">
        <f t="shared" si="0"/>
        <v>397078</v>
      </c>
      <c r="AB37" s="16">
        <v>5</v>
      </c>
      <c r="AC37" s="46">
        <f t="shared" si="1"/>
        <v>1985390</v>
      </c>
      <c r="AD37" s="83"/>
    </row>
    <row r="38" spans="1:30" x14ac:dyDescent="0.35">
      <c r="A38" s="92"/>
      <c r="B38" s="18" t="s">
        <v>42</v>
      </c>
      <c r="C38" s="45">
        <v>20835</v>
      </c>
      <c r="D38" s="45">
        <v>18133</v>
      </c>
      <c r="E38" s="45">
        <v>15882</v>
      </c>
      <c r="F38" s="45">
        <v>14412</v>
      </c>
      <c r="G38" s="45">
        <v>13667</v>
      </c>
      <c r="H38" s="45">
        <v>12325</v>
      </c>
      <c r="I38" s="45">
        <v>12059</v>
      </c>
      <c r="J38" s="45">
        <v>5552</v>
      </c>
      <c r="K38" s="45">
        <v>5450</v>
      </c>
      <c r="L38" s="45">
        <v>6232</v>
      </c>
      <c r="M38" s="45">
        <v>6525</v>
      </c>
      <c r="N38" s="45">
        <v>6941</v>
      </c>
      <c r="O38" s="45">
        <v>6560</v>
      </c>
      <c r="P38" s="45">
        <v>10815</v>
      </c>
      <c r="Q38" s="45">
        <v>16480</v>
      </c>
      <c r="R38" s="45">
        <v>20676</v>
      </c>
      <c r="S38" s="45">
        <v>21517</v>
      </c>
      <c r="T38" s="45">
        <v>13713</v>
      </c>
      <c r="U38" s="45">
        <v>18716</v>
      </c>
      <c r="V38" s="45">
        <v>21970</v>
      </c>
      <c r="W38" s="45">
        <v>22265</v>
      </c>
      <c r="X38" s="45">
        <v>23214</v>
      </c>
      <c r="Y38" s="45">
        <v>20686</v>
      </c>
      <c r="Z38" s="45">
        <v>15846</v>
      </c>
      <c r="AA38" s="46">
        <f t="shared" si="0"/>
        <v>350471</v>
      </c>
      <c r="AB38" s="16">
        <v>2</v>
      </c>
      <c r="AC38" s="46">
        <f t="shared" si="1"/>
        <v>700942</v>
      </c>
      <c r="AD38" s="84"/>
    </row>
    <row r="39" spans="1:30" x14ac:dyDescent="0.35">
      <c r="A39" s="90">
        <v>46631</v>
      </c>
      <c r="B39" s="13" t="s">
        <v>39</v>
      </c>
      <c r="C39" s="45">
        <v>33068</v>
      </c>
      <c r="D39" s="45">
        <v>29195</v>
      </c>
      <c r="E39" s="45">
        <v>26318</v>
      </c>
      <c r="F39" s="45">
        <v>24086</v>
      </c>
      <c r="G39" s="45">
        <v>23261</v>
      </c>
      <c r="H39" s="45">
        <v>23190</v>
      </c>
      <c r="I39" s="45">
        <v>24533</v>
      </c>
      <c r="J39" s="45">
        <v>22457</v>
      </c>
      <c r="K39" s="45">
        <v>25696</v>
      </c>
      <c r="L39" s="45">
        <v>27313</v>
      </c>
      <c r="M39" s="45">
        <v>28920</v>
      </c>
      <c r="N39" s="45">
        <v>28526</v>
      </c>
      <c r="O39" s="45">
        <v>22826</v>
      </c>
      <c r="P39" s="45">
        <v>33661</v>
      </c>
      <c r="Q39" s="45">
        <v>44816</v>
      </c>
      <c r="R39" s="45">
        <v>48512</v>
      </c>
      <c r="S39" s="45">
        <v>47791</v>
      </c>
      <c r="T39" s="45">
        <v>34928</v>
      </c>
      <c r="U39" s="45">
        <v>35688</v>
      </c>
      <c r="V39" s="45">
        <v>34632</v>
      </c>
      <c r="W39" s="45">
        <v>34718</v>
      </c>
      <c r="X39" s="45">
        <v>34058</v>
      </c>
      <c r="Y39" s="45">
        <v>30569</v>
      </c>
      <c r="Z39" s="45">
        <v>25367</v>
      </c>
      <c r="AA39" s="46">
        <f t="shared" si="0"/>
        <v>744129</v>
      </c>
      <c r="AB39" s="16">
        <v>22</v>
      </c>
      <c r="AC39" s="46">
        <f t="shared" si="1"/>
        <v>16370838</v>
      </c>
      <c r="AD39" s="82">
        <f>+SUM(AC39:AC42)</f>
        <v>21229482</v>
      </c>
    </row>
    <row r="40" spans="1:30" x14ac:dyDescent="0.35">
      <c r="A40" s="91"/>
      <c r="B40" s="17" t="s">
        <v>40</v>
      </c>
      <c r="C40" s="45">
        <v>34099</v>
      </c>
      <c r="D40" s="45">
        <v>30556</v>
      </c>
      <c r="E40" s="45">
        <v>27760</v>
      </c>
      <c r="F40" s="45">
        <v>25488</v>
      </c>
      <c r="G40" s="45">
        <v>24364</v>
      </c>
      <c r="H40" s="45">
        <v>22633</v>
      </c>
      <c r="I40" s="45">
        <v>24067</v>
      </c>
      <c r="J40" s="45">
        <v>21825</v>
      </c>
      <c r="K40" s="45">
        <v>25507</v>
      </c>
      <c r="L40" s="45">
        <v>26645</v>
      </c>
      <c r="M40" s="45">
        <v>27848</v>
      </c>
      <c r="N40" s="45">
        <v>27766</v>
      </c>
      <c r="O40" s="45">
        <v>24098</v>
      </c>
      <c r="P40" s="45">
        <v>28784</v>
      </c>
      <c r="Q40" s="45">
        <v>35777</v>
      </c>
      <c r="R40" s="45">
        <v>39005</v>
      </c>
      <c r="S40" s="45">
        <v>38711</v>
      </c>
      <c r="T40" s="45">
        <v>30611</v>
      </c>
      <c r="U40" s="45">
        <v>34288</v>
      </c>
      <c r="V40" s="45">
        <v>32884</v>
      </c>
      <c r="W40" s="45">
        <v>30932</v>
      </c>
      <c r="X40" s="45">
        <v>29783</v>
      </c>
      <c r="Y40" s="45">
        <v>28049</v>
      </c>
      <c r="Z40" s="45">
        <v>25383</v>
      </c>
      <c r="AA40" s="46">
        <f t="shared" si="0"/>
        <v>696863</v>
      </c>
      <c r="AB40" s="16">
        <v>4</v>
      </c>
      <c r="AC40" s="46">
        <f t="shared" si="1"/>
        <v>2787452</v>
      </c>
      <c r="AD40" s="83"/>
    </row>
    <row r="41" spans="1:30" x14ac:dyDescent="0.35">
      <c r="A41" s="91"/>
      <c r="B41" s="17" t="s">
        <v>41</v>
      </c>
      <c r="C41" s="45">
        <v>33360</v>
      </c>
      <c r="D41" s="45">
        <v>30008</v>
      </c>
      <c r="E41" s="45">
        <v>27450</v>
      </c>
      <c r="F41" s="45">
        <v>25378</v>
      </c>
      <c r="G41" s="45">
        <v>23862</v>
      </c>
      <c r="H41" s="45">
        <v>21748</v>
      </c>
      <c r="I41" s="45">
        <v>21517</v>
      </c>
      <c r="J41" s="45">
        <v>13764</v>
      </c>
      <c r="K41" s="45">
        <v>11897</v>
      </c>
      <c r="L41" s="45">
        <v>10216</v>
      </c>
      <c r="M41" s="45">
        <v>9945</v>
      </c>
      <c r="N41" s="45">
        <v>10182</v>
      </c>
      <c r="O41" s="45">
        <v>9970</v>
      </c>
      <c r="P41" s="45">
        <v>14624</v>
      </c>
      <c r="Q41" s="45">
        <v>21184</v>
      </c>
      <c r="R41" s="45">
        <v>25054</v>
      </c>
      <c r="S41" s="45">
        <v>26439</v>
      </c>
      <c r="T41" s="45">
        <v>20987</v>
      </c>
      <c r="U41" s="45">
        <v>25950</v>
      </c>
      <c r="V41" s="45">
        <v>27619</v>
      </c>
      <c r="W41" s="45">
        <v>28494</v>
      </c>
      <c r="X41" s="45">
        <v>28995</v>
      </c>
      <c r="Y41" s="45">
        <v>26602</v>
      </c>
      <c r="Z41" s="45">
        <v>22553</v>
      </c>
      <c r="AA41" s="46">
        <f t="shared" si="0"/>
        <v>517798</v>
      </c>
      <c r="AB41" s="16">
        <v>4</v>
      </c>
      <c r="AC41" s="46">
        <f t="shared" si="1"/>
        <v>2071192</v>
      </c>
      <c r="AD41" s="83"/>
    </row>
    <row r="42" spans="1:30" x14ac:dyDescent="0.35">
      <c r="A42" s="92"/>
      <c r="B42" s="18" t="s">
        <v>42</v>
      </c>
      <c r="C42" s="45">
        <v>0</v>
      </c>
      <c r="D42" s="45">
        <v>0</v>
      </c>
      <c r="E42" s="45">
        <v>0</v>
      </c>
      <c r="F42" s="45">
        <v>0</v>
      </c>
      <c r="G42" s="45">
        <v>0</v>
      </c>
      <c r="H42" s="45">
        <v>0</v>
      </c>
      <c r="I42" s="45">
        <v>0</v>
      </c>
      <c r="J42" s="45">
        <v>0</v>
      </c>
      <c r="K42" s="45">
        <v>0</v>
      </c>
      <c r="L42" s="45">
        <v>0</v>
      </c>
      <c r="M42" s="45">
        <v>0</v>
      </c>
      <c r="N42" s="45">
        <v>0</v>
      </c>
      <c r="O42" s="45">
        <v>0</v>
      </c>
      <c r="P42" s="45">
        <v>0</v>
      </c>
      <c r="Q42" s="45">
        <v>0</v>
      </c>
      <c r="R42" s="45">
        <v>0</v>
      </c>
      <c r="S42" s="45">
        <v>0</v>
      </c>
      <c r="T42" s="45">
        <v>0</v>
      </c>
      <c r="U42" s="45">
        <v>0</v>
      </c>
      <c r="V42" s="45">
        <v>0</v>
      </c>
      <c r="W42" s="45">
        <v>0</v>
      </c>
      <c r="X42" s="45">
        <v>0</v>
      </c>
      <c r="Y42" s="45">
        <v>0</v>
      </c>
      <c r="Z42" s="45">
        <v>0</v>
      </c>
      <c r="AA42" s="46">
        <f t="shared" si="0"/>
        <v>0</v>
      </c>
      <c r="AB42" s="16">
        <v>0</v>
      </c>
      <c r="AC42" s="46">
        <f t="shared" si="1"/>
        <v>0</v>
      </c>
      <c r="AD42" s="84"/>
    </row>
    <row r="43" spans="1:30" x14ac:dyDescent="0.35">
      <c r="A43" s="90">
        <v>46661</v>
      </c>
      <c r="B43" s="13" t="s">
        <v>39</v>
      </c>
      <c r="C43" s="45">
        <v>27382</v>
      </c>
      <c r="D43" s="45">
        <v>23870</v>
      </c>
      <c r="E43" s="45">
        <v>21342</v>
      </c>
      <c r="F43" s="45">
        <v>19563</v>
      </c>
      <c r="G43" s="45">
        <v>19063</v>
      </c>
      <c r="H43" s="45">
        <v>19059</v>
      </c>
      <c r="I43" s="45">
        <v>20571</v>
      </c>
      <c r="J43" s="45">
        <v>18455</v>
      </c>
      <c r="K43" s="45">
        <v>22520</v>
      </c>
      <c r="L43" s="45">
        <v>24256</v>
      </c>
      <c r="M43" s="45">
        <v>26142</v>
      </c>
      <c r="N43" s="45">
        <v>26267</v>
      </c>
      <c r="O43" s="45">
        <v>20680</v>
      </c>
      <c r="P43" s="45">
        <v>30770</v>
      </c>
      <c r="Q43" s="45">
        <v>42034</v>
      </c>
      <c r="R43" s="45">
        <v>45316</v>
      </c>
      <c r="S43" s="45">
        <v>44770</v>
      </c>
      <c r="T43" s="45">
        <v>34027</v>
      </c>
      <c r="U43" s="45">
        <v>33520</v>
      </c>
      <c r="V43" s="45">
        <v>31164</v>
      </c>
      <c r="W43" s="45">
        <v>29869</v>
      </c>
      <c r="X43" s="45">
        <v>28275</v>
      </c>
      <c r="Y43" s="45">
        <v>24402</v>
      </c>
      <c r="Z43" s="45">
        <v>19584</v>
      </c>
      <c r="AA43" s="46">
        <f t="shared" si="0"/>
        <v>652901</v>
      </c>
      <c r="AB43" s="16">
        <v>20</v>
      </c>
      <c r="AC43" s="46">
        <f t="shared" si="1"/>
        <v>13058020</v>
      </c>
      <c r="AD43" s="82">
        <f>+SUM(AC43:AC46)</f>
        <v>18186273</v>
      </c>
    </row>
    <row r="44" spans="1:30" x14ac:dyDescent="0.35">
      <c r="A44" s="91"/>
      <c r="B44" s="17" t="s">
        <v>40</v>
      </c>
      <c r="C44" s="45">
        <v>25741</v>
      </c>
      <c r="D44" s="45">
        <v>22220</v>
      </c>
      <c r="E44" s="45">
        <v>19728</v>
      </c>
      <c r="F44" s="45">
        <v>17749</v>
      </c>
      <c r="G44" s="45">
        <v>16952</v>
      </c>
      <c r="H44" s="45">
        <v>15867</v>
      </c>
      <c r="I44" s="45">
        <v>17081</v>
      </c>
      <c r="J44" s="45">
        <v>13939</v>
      </c>
      <c r="K44" s="45">
        <v>18048</v>
      </c>
      <c r="L44" s="45">
        <v>19775</v>
      </c>
      <c r="M44" s="45">
        <v>20919</v>
      </c>
      <c r="N44" s="45">
        <v>21043</v>
      </c>
      <c r="O44" s="45">
        <v>18243</v>
      </c>
      <c r="P44" s="45">
        <v>21685</v>
      </c>
      <c r="Q44" s="45">
        <v>28027</v>
      </c>
      <c r="R44" s="45">
        <v>30978</v>
      </c>
      <c r="S44" s="45">
        <v>31587</v>
      </c>
      <c r="T44" s="45">
        <v>25069</v>
      </c>
      <c r="U44" s="45">
        <v>27910</v>
      </c>
      <c r="V44" s="45">
        <v>25986</v>
      </c>
      <c r="W44" s="45">
        <v>24281</v>
      </c>
      <c r="X44" s="45">
        <v>22359</v>
      </c>
      <c r="Y44" s="45">
        <v>20004</v>
      </c>
      <c r="Z44" s="45">
        <v>16986</v>
      </c>
      <c r="AA44" s="46">
        <f t="shared" si="0"/>
        <v>522177</v>
      </c>
      <c r="AB44" s="16">
        <v>5</v>
      </c>
      <c r="AC44" s="46">
        <f t="shared" si="1"/>
        <v>2610885</v>
      </c>
      <c r="AD44" s="83"/>
    </row>
    <row r="45" spans="1:30" x14ac:dyDescent="0.35">
      <c r="A45" s="91"/>
      <c r="B45" s="17" t="s">
        <v>41</v>
      </c>
      <c r="C45" s="45">
        <v>27401</v>
      </c>
      <c r="D45" s="45">
        <v>24182</v>
      </c>
      <c r="E45" s="45">
        <v>21700</v>
      </c>
      <c r="F45" s="45">
        <v>19613</v>
      </c>
      <c r="G45" s="45">
        <v>18224</v>
      </c>
      <c r="H45" s="45">
        <v>16207</v>
      </c>
      <c r="I45" s="45">
        <v>16178</v>
      </c>
      <c r="J45" s="45">
        <v>8093</v>
      </c>
      <c r="K45" s="45">
        <v>6756</v>
      </c>
      <c r="L45" s="45">
        <v>6369</v>
      </c>
      <c r="M45" s="45">
        <v>5747</v>
      </c>
      <c r="N45" s="45">
        <v>6316</v>
      </c>
      <c r="O45" s="45">
        <v>6793</v>
      </c>
      <c r="P45" s="45">
        <v>10699</v>
      </c>
      <c r="Q45" s="45">
        <v>16200</v>
      </c>
      <c r="R45" s="45">
        <v>20856</v>
      </c>
      <c r="S45" s="45">
        <v>22677</v>
      </c>
      <c r="T45" s="45">
        <v>19174</v>
      </c>
      <c r="U45" s="45">
        <v>23280</v>
      </c>
      <c r="V45" s="45">
        <v>23992</v>
      </c>
      <c r="W45" s="45">
        <v>24328</v>
      </c>
      <c r="X45" s="45">
        <v>24188</v>
      </c>
      <c r="Y45" s="45">
        <v>21471</v>
      </c>
      <c r="Z45" s="45">
        <v>17710</v>
      </c>
      <c r="AA45" s="46">
        <f t="shared" si="0"/>
        <v>408154</v>
      </c>
      <c r="AB45" s="16">
        <v>5</v>
      </c>
      <c r="AC45" s="46">
        <f t="shared" si="1"/>
        <v>2040770</v>
      </c>
      <c r="AD45" s="83"/>
    </row>
    <row r="46" spans="1:30" x14ac:dyDescent="0.35">
      <c r="A46" s="92"/>
      <c r="B46" s="18" t="s">
        <v>42</v>
      </c>
      <c r="C46" s="45">
        <v>26392</v>
      </c>
      <c r="D46" s="45">
        <v>23130</v>
      </c>
      <c r="E46" s="45">
        <v>20866</v>
      </c>
      <c r="F46" s="45">
        <v>19318</v>
      </c>
      <c r="G46" s="45">
        <v>18560</v>
      </c>
      <c r="H46" s="45">
        <v>16306</v>
      </c>
      <c r="I46" s="45">
        <v>16102</v>
      </c>
      <c r="J46" s="45">
        <v>10850</v>
      </c>
      <c r="K46" s="45">
        <v>11482</v>
      </c>
      <c r="L46" s="45">
        <v>12573</v>
      </c>
      <c r="M46" s="45">
        <v>12926</v>
      </c>
      <c r="N46" s="45">
        <v>12004</v>
      </c>
      <c r="O46" s="45">
        <v>12912</v>
      </c>
      <c r="P46" s="45">
        <v>17371</v>
      </c>
      <c r="Q46" s="45">
        <v>23971</v>
      </c>
      <c r="R46" s="45">
        <v>26884</v>
      </c>
      <c r="S46" s="45">
        <v>27850</v>
      </c>
      <c r="T46" s="45">
        <v>22656</v>
      </c>
      <c r="U46" s="45">
        <v>26270</v>
      </c>
      <c r="V46" s="45">
        <v>26859</v>
      </c>
      <c r="W46" s="45">
        <v>26822</v>
      </c>
      <c r="X46" s="45">
        <v>25442</v>
      </c>
      <c r="Y46" s="45">
        <v>21735</v>
      </c>
      <c r="Z46" s="45">
        <v>17317</v>
      </c>
      <c r="AA46" s="46">
        <f t="shared" si="0"/>
        <v>476598</v>
      </c>
      <c r="AB46" s="16">
        <v>1</v>
      </c>
      <c r="AC46" s="46">
        <f t="shared" si="1"/>
        <v>476598</v>
      </c>
      <c r="AD46" s="84"/>
    </row>
    <row r="47" spans="1:30" x14ac:dyDescent="0.35">
      <c r="A47" s="90">
        <v>46692</v>
      </c>
      <c r="B47" s="13" t="s">
        <v>39</v>
      </c>
      <c r="C47" s="45">
        <v>27436</v>
      </c>
      <c r="D47" s="45">
        <v>24014</v>
      </c>
      <c r="E47" s="45">
        <v>21626</v>
      </c>
      <c r="F47" s="45">
        <v>20075</v>
      </c>
      <c r="G47" s="45">
        <v>19930</v>
      </c>
      <c r="H47" s="45">
        <v>20519</v>
      </c>
      <c r="I47" s="45">
        <v>22819</v>
      </c>
      <c r="J47" s="45">
        <v>21005</v>
      </c>
      <c r="K47" s="45">
        <v>24833</v>
      </c>
      <c r="L47" s="45">
        <v>26196</v>
      </c>
      <c r="M47" s="45">
        <v>27834</v>
      </c>
      <c r="N47" s="45">
        <v>27912</v>
      </c>
      <c r="O47" s="45">
        <v>22163</v>
      </c>
      <c r="P47" s="45">
        <v>31229</v>
      </c>
      <c r="Q47" s="45">
        <v>42001</v>
      </c>
      <c r="R47" s="45">
        <v>46224</v>
      </c>
      <c r="S47" s="45">
        <v>46097</v>
      </c>
      <c r="T47" s="45">
        <v>36672</v>
      </c>
      <c r="U47" s="45">
        <v>36085</v>
      </c>
      <c r="V47" s="45">
        <v>33147</v>
      </c>
      <c r="W47" s="45">
        <v>31571</v>
      </c>
      <c r="X47" s="45">
        <v>29106</v>
      </c>
      <c r="Y47" s="45">
        <v>24854</v>
      </c>
      <c r="Z47" s="45">
        <v>19805</v>
      </c>
      <c r="AA47" s="46">
        <f t="shared" si="0"/>
        <v>683153</v>
      </c>
      <c r="AB47" s="16">
        <v>20</v>
      </c>
      <c r="AC47" s="46">
        <f t="shared" si="1"/>
        <v>13663060</v>
      </c>
      <c r="AD47" s="82">
        <f>+SUM(AC47:AC50)</f>
        <v>18888936</v>
      </c>
    </row>
    <row r="48" spans="1:30" x14ac:dyDescent="0.35">
      <c r="A48" s="91"/>
      <c r="B48" s="17" t="s">
        <v>40</v>
      </c>
      <c r="C48" s="45">
        <v>28560</v>
      </c>
      <c r="D48" s="45">
        <v>25152</v>
      </c>
      <c r="E48" s="45">
        <v>22671</v>
      </c>
      <c r="F48" s="45">
        <v>20782</v>
      </c>
      <c r="G48" s="45">
        <v>20013</v>
      </c>
      <c r="H48" s="45">
        <v>19192</v>
      </c>
      <c r="I48" s="45">
        <v>20709</v>
      </c>
      <c r="J48" s="45">
        <v>18388</v>
      </c>
      <c r="K48" s="45">
        <v>22790</v>
      </c>
      <c r="L48" s="45">
        <v>24932</v>
      </c>
      <c r="M48" s="45">
        <v>25534</v>
      </c>
      <c r="N48" s="45">
        <v>25462</v>
      </c>
      <c r="O48" s="45">
        <v>21819</v>
      </c>
      <c r="P48" s="45">
        <v>25092</v>
      </c>
      <c r="Q48" s="45">
        <v>31011</v>
      </c>
      <c r="R48" s="45">
        <v>33842</v>
      </c>
      <c r="S48" s="45">
        <v>34246</v>
      </c>
      <c r="T48" s="45">
        <v>28372</v>
      </c>
      <c r="U48" s="45">
        <v>30322</v>
      </c>
      <c r="V48" s="45">
        <v>28130</v>
      </c>
      <c r="W48" s="45">
        <v>25947</v>
      </c>
      <c r="X48" s="45">
        <v>23412</v>
      </c>
      <c r="Y48" s="45">
        <v>21024</v>
      </c>
      <c r="Z48" s="45">
        <v>17875</v>
      </c>
      <c r="AA48" s="46">
        <f t="shared" si="0"/>
        <v>595277</v>
      </c>
      <c r="AB48" s="16">
        <v>4</v>
      </c>
      <c r="AC48" s="46">
        <f t="shared" si="1"/>
        <v>2381108</v>
      </c>
      <c r="AD48" s="83"/>
    </row>
    <row r="49" spans="1:30" x14ac:dyDescent="0.35">
      <c r="A49" s="91"/>
      <c r="B49" s="17" t="s">
        <v>41</v>
      </c>
      <c r="C49" s="45">
        <v>27143</v>
      </c>
      <c r="D49" s="45">
        <v>24039</v>
      </c>
      <c r="E49" s="45">
        <v>21801</v>
      </c>
      <c r="F49" s="45">
        <v>19863</v>
      </c>
      <c r="G49" s="45">
        <v>18669</v>
      </c>
      <c r="H49" s="45">
        <v>17145</v>
      </c>
      <c r="I49" s="45">
        <v>17373</v>
      </c>
      <c r="J49" s="45">
        <v>10576</v>
      </c>
      <c r="K49" s="45">
        <v>10401</v>
      </c>
      <c r="L49" s="45">
        <v>10208</v>
      </c>
      <c r="M49" s="45">
        <v>10442</v>
      </c>
      <c r="N49" s="45">
        <v>10478</v>
      </c>
      <c r="O49" s="45">
        <v>11120</v>
      </c>
      <c r="P49" s="45">
        <v>14581</v>
      </c>
      <c r="Q49" s="45">
        <v>19640</v>
      </c>
      <c r="R49" s="45">
        <v>22858</v>
      </c>
      <c r="S49" s="45">
        <v>24442</v>
      </c>
      <c r="T49" s="45">
        <v>22083</v>
      </c>
      <c r="U49" s="45">
        <v>25053</v>
      </c>
      <c r="V49" s="45">
        <v>25036</v>
      </c>
      <c r="W49" s="45">
        <v>24267</v>
      </c>
      <c r="X49" s="45">
        <v>23268</v>
      </c>
      <c r="Y49" s="45">
        <v>20967</v>
      </c>
      <c r="Z49" s="45">
        <v>17317</v>
      </c>
      <c r="AA49" s="46">
        <f t="shared" si="0"/>
        <v>448770</v>
      </c>
      <c r="AB49" s="16">
        <v>4</v>
      </c>
      <c r="AC49" s="46">
        <f t="shared" si="1"/>
        <v>1795080</v>
      </c>
      <c r="AD49" s="83"/>
    </row>
    <row r="50" spans="1:30" x14ac:dyDescent="0.35">
      <c r="A50" s="92"/>
      <c r="B50" s="18" t="s">
        <v>42</v>
      </c>
      <c r="C50" s="45">
        <v>26522</v>
      </c>
      <c r="D50" s="45">
        <v>23211</v>
      </c>
      <c r="E50" s="45">
        <v>20863</v>
      </c>
      <c r="F50" s="45">
        <v>19215</v>
      </c>
      <c r="G50" s="45">
        <v>18585</v>
      </c>
      <c r="H50" s="45">
        <v>17227</v>
      </c>
      <c r="I50" s="45">
        <v>17452</v>
      </c>
      <c r="J50" s="45">
        <v>12380</v>
      </c>
      <c r="K50" s="45">
        <v>13334</v>
      </c>
      <c r="L50" s="45">
        <v>14715</v>
      </c>
      <c r="M50" s="45">
        <v>15894</v>
      </c>
      <c r="N50" s="45">
        <v>16533</v>
      </c>
      <c r="O50" s="45">
        <v>16204</v>
      </c>
      <c r="P50" s="45">
        <v>21173</v>
      </c>
      <c r="Q50" s="45">
        <v>26463</v>
      </c>
      <c r="R50" s="45">
        <v>29632</v>
      </c>
      <c r="S50" s="45">
        <v>30787</v>
      </c>
      <c r="T50" s="45">
        <v>27100</v>
      </c>
      <c r="U50" s="45">
        <v>30037</v>
      </c>
      <c r="V50" s="45">
        <v>29793</v>
      </c>
      <c r="W50" s="45">
        <v>28757</v>
      </c>
      <c r="X50" s="45">
        <v>26896</v>
      </c>
      <c r="Y50" s="45">
        <v>23179</v>
      </c>
      <c r="Z50" s="45">
        <v>18892</v>
      </c>
      <c r="AA50" s="46">
        <f t="shared" si="0"/>
        <v>524844</v>
      </c>
      <c r="AB50" s="16">
        <v>2</v>
      </c>
      <c r="AC50" s="46">
        <f t="shared" si="1"/>
        <v>1049688</v>
      </c>
      <c r="AD50" s="84"/>
    </row>
    <row r="51" spans="1:30" x14ac:dyDescent="0.35">
      <c r="A51" s="90">
        <v>46722</v>
      </c>
      <c r="B51" s="13" t="s">
        <v>39</v>
      </c>
      <c r="C51" s="45">
        <v>45484</v>
      </c>
      <c r="D51" s="45">
        <v>42141</v>
      </c>
      <c r="E51" s="45">
        <v>39823</v>
      </c>
      <c r="F51" s="45">
        <v>38126</v>
      </c>
      <c r="G51" s="45">
        <v>37566</v>
      </c>
      <c r="H51" s="45">
        <v>37624</v>
      </c>
      <c r="I51" s="45">
        <v>38478</v>
      </c>
      <c r="J51" s="45">
        <v>35716</v>
      </c>
      <c r="K51" s="45">
        <v>38874</v>
      </c>
      <c r="L51" s="45">
        <v>40275</v>
      </c>
      <c r="M51" s="45">
        <v>41410</v>
      </c>
      <c r="N51" s="45">
        <v>41527</v>
      </c>
      <c r="O51" s="45">
        <v>37320</v>
      </c>
      <c r="P51" s="45">
        <v>44201</v>
      </c>
      <c r="Q51" s="45">
        <v>54271</v>
      </c>
      <c r="R51" s="45">
        <v>58526</v>
      </c>
      <c r="S51" s="45">
        <v>59268</v>
      </c>
      <c r="T51" s="45">
        <v>49791</v>
      </c>
      <c r="U51" s="45">
        <v>51462</v>
      </c>
      <c r="V51" s="45">
        <v>48980</v>
      </c>
      <c r="W51" s="45">
        <v>46746</v>
      </c>
      <c r="X51" s="45">
        <v>44853</v>
      </c>
      <c r="Y51" s="45">
        <v>41923</v>
      </c>
      <c r="Z51" s="45">
        <v>38007</v>
      </c>
      <c r="AA51" s="46">
        <f t="shared" si="0"/>
        <v>1052392</v>
      </c>
      <c r="AB51" s="16">
        <v>22</v>
      </c>
      <c r="AC51" s="46">
        <f t="shared" si="1"/>
        <v>23152624</v>
      </c>
      <c r="AD51" s="82">
        <f>+SUM(AC51:AC54)</f>
        <v>31197528</v>
      </c>
    </row>
    <row r="52" spans="1:30" x14ac:dyDescent="0.35">
      <c r="A52" s="91"/>
      <c r="B52" s="17" t="s">
        <v>40</v>
      </c>
      <c r="C52" s="45">
        <v>47151</v>
      </c>
      <c r="D52" s="45">
        <v>43520</v>
      </c>
      <c r="E52" s="45">
        <v>40907</v>
      </c>
      <c r="F52" s="45">
        <v>38938</v>
      </c>
      <c r="G52" s="45">
        <v>37994</v>
      </c>
      <c r="H52" s="45">
        <v>37703</v>
      </c>
      <c r="I52" s="45">
        <v>38079</v>
      </c>
      <c r="J52" s="45">
        <v>33666</v>
      </c>
      <c r="K52" s="45">
        <v>36341</v>
      </c>
      <c r="L52" s="45">
        <v>37323</v>
      </c>
      <c r="M52" s="45">
        <v>38187</v>
      </c>
      <c r="N52" s="45">
        <v>38149</v>
      </c>
      <c r="O52" s="45">
        <v>36541</v>
      </c>
      <c r="P52" s="45">
        <v>40608</v>
      </c>
      <c r="Q52" s="45">
        <v>47053</v>
      </c>
      <c r="R52" s="45">
        <v>50562</v>
      </c>
      <c r="S52" s="45">
        <v>51306</v>
      </c>
      <c r="T52" s="45">
        <v>45795</v>
      </c>
      <c r="U52" s="45">
        <v>50014</v>
      </c>
      <c r="V52" s="45">
        <v>48766</v>
      </c>
      <c r="W52" s="45">
        <v>45784</v>
      </c>
      <c r="X52" s="45">
        <v>43036</v>
      </c>
      <c r="Y52" s="45">
        <v>40624</v>
      </c>
      <c r="Z52" s="45">
        <v>37789</v>
      </c>
      <c r="AA52" s="46">
        <f t="shared" si="0"/>
        <v>1005836</v>
      </c>
      <c r="AB52" s="16">
        <v>3</v>
      </c>
      <c r="AC52" s="46">
        <f t="shared" si="1"/>
        <v>3017508</v>
      </c>
      <c r="AD52" s="83"/>
    </row>
    <row r="53" spans="1:30" x14ac:dyDescent="0.35">
      <c r="A53" s="91"/>
      <c r="B53" s="17" t="s">
        <v>41</v>
      </c>
      <c r="C53" s="45">
        <v>48279</v>
      </c>
      <c r="D53" s="45">
        <v>44888</v>
      </c>
      <c r="E53" s="45">
        <v>42296</v>
      </c>
      <c r="F53" s="45">
        <v>40308</v>
      </c>
      <c r="G53" s="45">
        <v>39075</v>
      </c>
      <c r="H53" s="45">
        <v>36785</v>
      </c>
      <c r="I53" s="45">
        <v>36086</v>
      </c>
      <c r="J53" s="45">
        <v>28712</v>
      </c>
      <c r="K53" s="45">
        <v>27996</v>
      </c>
      <c r="L53" s="45">
        <v>27797</v>
      </c>
      <c r="M53" s="45">
        <v>27525</v>
      </c>
      <c r="N53" s="45">
        <v>27612</v>
      </c>
      <c r="O53" s="45">
        <v>27636</v>
      </c>
      <c r="P53" s="45">
        <v>31385</v>
      </c>
      <c r="Q53" s="45">
        <v>37081</v>
      </c>
      <c r="R53" s="45">
        <v>42022</v>
      </c>
      <c r="S53" s="45">
        <v>43886</v>
      </c>
      <c r="T53" s="45">
        <v>40746</v>
      </c>
      <c r="U53" s="45">
        <v>45878</v>
      </c>
      <c r="V53" s="45">
        <v>45178</v>
      </c>
      <c r="W53" s="45">
        <v>43211</v>
      </c>
      <c r="X53" s="45">
        <v>40960</v>
      </c>
      <c r="Y53" s="45">
        <v>37952</v>
      </c>
      <c r="Z53" s="45">
        <v>34762</v>
      </c>
      <c r="AA53" s="46">
        <f t="shared" si="0"/>
        <v>898056</v>
      </c>
      <c r="AB53" s="16">
        <v>4</v>
      </c>
      <c r="AC53" s="46">
        <f t="shared" si="1"/>
        <v>3592224</v>
      </c>
      <c r="AD53" s="83"/>
    </row>
    <row r="54" spans="1:30" x14ac:dyDescent="0.35">
      <c r="A54" s="92"/>
      <c r="B54" s="18" t="s">
        <v>42</v>
      </c>
      <c r="C54" s="45">
        <v>37407</v>
      </c>
      <c r="D54" s="45">
        <v>35545</v>
      </c>
      <c r="E54" s="45">
        <v>34077</v>
      </c>
      <c r="F54" s="45">
        <v>32649</v>
      </c>
      <c r="G54" s="45">
        <v>31752</v>
      </c>
      <c r="H54" s="45">
        <v>30794</v>
      </c>
      <c r="I54" s="45">
        <v>29704</v>
      </c>
      <c r="J54" s="45">
        <v>22273</v>
      </c>
      <c r="K54" s="45">
        <v>21023</v>
      </c>
      <c r="L54" s="45">
        <v>20637</v>
      </c>
      <c r="M54" s="45">
        <v>20199</v>
      </c>
      <c r="N54" s="45">
        <v>19839</v>
      </c>
      <c r="O54" s="45">
        <v>20385</v>
      </c>
      <c r="P54" s="45">
        <v>24450</v>
      </c>
      <c r="Q54" s="45">
        <v>29456</v>
      </c>
      <c r="R54" s="45">
        <v>33252</v>
      </c>
      <c r="S54" s="45">
        <v>35216</v>
      </c>
      <c r="T54" s="45">
        <v>31612</v>
      </c>
      <c r="U54" s="45">
        <v>36736</v>
      </c>
      <c r="V54" s="45">
        <v>37298</v>
      </c>
      <c r="W54" s="45">
        <v>36135</v>
      </c>
      <c r="X54" s="45">
        <v>34926</v>
      </c>
      <c r="Y54" s="45">
        <v>32795</v>
      </c>
      <c r="Z54" s="45">
        <v>29426</v>
      </c>
      <c r="AA54" s="46">
        <f t="shared" si="0"/>
        <v>717586</v>
      </c>
      <c r="AB54" s="16">
        <v>2</v>
      </c>
      <c r="AC54" s="46">
        <f t="shared" si="1"/>
        <v>1435172</v>
      </c>
      <c r="AD54" s="84"/>
    </row>
    <row r="55" spans="1:30" x14ac:dyDescent="0.35">
      <c r="AC55" s="25"/>
      <c r="AD55" s="47">
        <f>SUM(AD7:AD51)</f>
        <v>283414525</v>
      </c>
    </row>
  </sheetData>
  <mergeCells count="28">
    <mergeCell ref="A47:A50"/>
    <mergeCell ref="AD47:AD50"/>
    <mergeCell ref="A51:A54"/>
    <mergeCell ref="AD51:AD54"/>
    <mergeCell ref="A35:A38"/>
    <mergeCell ref="AD35:AD38"/>
    <mergeCell ref="A39:A42"/>
    <mergeCell ref="AD39:AD42"/>
    <mergeCell ref="A43:A46"/>
    <mergeCell ref="AD43:AD46"/>
    <mergeCell ref="A23:A26"/>
    <mergeCell ref="AD23:AD26"/>
    <mergeCell ref="A27:A30"/>
    <mergeCell ref="AD27:AD30"/>
    <mergeCell ref="A31:A34"/>
    <mergeCell ref="AD31:AD34"/>
    <mergeCell ref="A11:A14"/>
    <mergeCell ref="AD11:AD14"/>
    <mergeCell ref="A15:A18"/>
    <mergeCell ref="AD15:AD18"/>
    <mergeCell ref="A19:A22"/>
    <mergeCell ref="AD19:AD22"/>
    <mergeCell ref="AD7:AD10"/>
    <mergeCell ref="A1:D1"/>
    <mergeCell ref="A2:L2"/>
    <mergeCell ref="A4:B4"/>
    <mergeCell ref="C4:D4"/>
    <mergeCell ref="A7:A10"/>
  </mergeCells>
  <conditionalFormatting sqref="C7:Z54">
    <cfRule type="cellIs" dxfId="3" priority="1" operator="lessThan">
      <formula>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349F6E-D379-495A-BB97-26BFF67AF468}">
  <sheetPr>
    <tabColor rgb="FF92D050"/>
  </sheetPr>
  <dimension ref="C1:G22"/>
  <sheetViews>
    <sheetView showGridLines="0" topLeftCell="A5" workbookViewId="0">
      <selection activeCell="C18" sqref="C1:G18"/>
    </sheetView>
  </sheetViews>
  <sheetFormatPr baseColWidth="10" defaultRowHeight="14.5" x14ac:dyDescent="0.35"/>
  <cols>
    <col min="2" max="2" width="2.54296875" customWidth="1"/>
    <col min="4" max="4" width="15.1796875" customWidth="1"/>
    <col min="5" max="5" width="15.1796875" bestFit="1" customWidth="1"/>
    <col min="6" max="6" width="12.54296875" customWidth="1"/>
    <col min="8" max="8" width="2" customWidth="1"/>
    <col min="9" max="9" width="14.1796875" bestFit="1" customWidth="1"/>
  </cols>
  <sheetData>
    <row r="1" spans="3:7" ht="14.5" customHeight="1" x14ac:dyDescent="0.35">
      <c r="C1" s="77" t="s">
        <v>44</v>
      </c>
      <c r="D1" s="77"/>
      <c r="E1" s="77"/>
      <c r="F1" s="77"/>
      <c r="G1" s="77"/>
    </row>
    <row r="2" spans="3:7" x14ac:dyDescent="0.35">
      <c r="C2" s="77"/>
      <c r="D2" s="77"/>
      <c r="E2" s="77"/>
      <c r="F2" s="77"/>
      <c r="G2" s="77"/>
    </row>
    <row r="3" spans="3:7" ht="15" thickBot="1" x14ac:dyDescent="0.4"/>
    <row r="4" spans="3:7" ht="15" thickBot="1" x14ac:dyDescent="0.4">
      <c r="C4" s="93" t="s">
        <v>4</v>
      </c>
      <c r="D4" s="94"/>
      <c r="E4" s="94"/>
      <c r="F4" s="94"/>
      <c r="G4" s="95"/>
    </row>
    <row r="5" spans="3:7" ht="32" thickBot="1" x14ac:dyDescent="0.4">
      <c r="C5" s="23" t="s">
        <v>0</v>
      </c>
      <c r="D5" s="23" t="s">
        <v>5</v>
      </c>
      <c r="E5" s="23" t="s">
        <v>1</v>
      </c>
      <c r="F5" s="23" t="s">
        <v>6</v>
      </c>
      <c r="G5" s="23" t="s">
        <v>2</v>
      </c>
    </row>
    <row r="6" spans="3:7" x14ac:dyDescent="0.35">
      <c r="C6" s="3">
        <v>46388</v>
      </c>
      <c r="D6" s="4">
        <f>+VLOOKUP(C6,'PLANA P2 '!$A$4:$AD$55,30,FALSE)</f>
        <v>20832000</v>
      </c>
      <c r="E6" s="96" t="s">
        <v>1</v>
      </c>
      <c r="F6" s="1"/>
      <c r="G6" s="99" t="s">
        <v>3</v>
      </c>
    </row>
    <row r="7" spans="3:7" x14ac:dyDescent="0.35">
      <c r="C7" s="3">
        <v>46419</v>
      </c>
      <c r="D7" s="4">
        <f>+VLOOKUP(C7,'PLANA P2 '!$A$4:$AD$55,30,FALSE)</f>
        <v>18816000</v>
      </c>
      <c r="E7" s="97"/>
      <c r="F7" s="1"/>
      <c r="G7" s="100"/>
    </row>
    <row r="8" spans="3:7" x14ac:dyDescent="0.35">
      <c r="C8" s="3">
        <v>46447</v>
      </c>
      <c r="D8" s="4">
        <f>+VLOOKUP(C8,'PLANA P2 '!$A$4:$AD$55,30,FALSE)</f>
        <v>20832000</v>
      </c>
      <c r="E8" s="97"/>
      <c r="F8" s="1"/>
      <c r="G8" s="100"/>
    </row>
    <row r="9" spans="3:7" x14ac:dyDescent="0.35">
      <c r="C9" s="3">
        <v>46478</v>
      </c>
      <c r="D9" s="4">
        <f>+VLOOKUP(C9,'PLANA P2 '!$A$4:$AD$55,30,FALSE)</f>
        <v>20160000</v>
      </c>
      <c r="E9" s="97"/>
      <c r="F9" s="1"/>
      <c r="G9" s="100"/>
    </row>
    <row r="10" spans="3:7" x14ac:dyDescent="0.35">
      <c r="C10" s="3">
        <v>46508</v>
      </c>
      <c r="D10" s="4">
        <f>+VLOOKUP(C10,'PLANA P2 '!$A$4:$AD$55,30,FALSE)</f>
        <v>20832000</v>
      </c>
      <c r="E10" s="97"/>
      <c r="F10" s="1"/>
      <c r="G10" s="100"/>
    </row>
    <row r="11" spans="3:7" x14ac:dyDescent="0.35">
      <c r="C11" s="3">
        <v>46539</v>
      </c>
      <c r="D11" s="4">
        <f>+VLOOKUP(C11,'PLANA P2 '!$A$4:$AD$55,30,FALSE)</f>
        <v>20160000</v>
      </c>
      <c r="E11" s="97"/>
      <c r="F11" s="1"/>
      <c r="G11" s="100"/>
    </row>
    <row r="12" spans="3:7" x14ac:dyDescent="0.35">
      <c r="C12" s="3">
        <v>46569</v>
      </c>
      <c r="D12" s="4">
        <f>+VLOOKUP(C12,'PLANA P2 '!$A$4:$AD$55,30,FALSE)</f>
        <v>20832000</v>
      </c>
      <c r="E12" s="97"/>
      <c r="F12" s="1"/>
      <c r="G12" s="100"/>
    </row>
    <row r="13" spans="3:7" x14ac:dyDescent="0.35">
      <c r="C13" s="3">
        <v>46600</v>
      </c>
      <c r="D13" s="4">
        <f>+VLOOKUP(C13,'PLANA P2 '!$A$4:$AD$55,30,FALSE)</f>
        <v>20832000</v>
      </c>
      <c r="E13" s="97"/>
      <c r="F13" s="1"/>
      <c r="G13" s="100"/>
    </row>
    <row r="14" spans="3:7" x14ac:dyDescent="0.35">
      <c r="C14" s="3">
        <v>46631</v>
      </c>
      <c r="D14" s="4">
        <f>+VLOOKUP(C14,'PLANA P2 '!$A$4:$AD$55,30,FALSE)</f>
        <v>20160000</v>
      </c>
      <c r="E14" s="97"/>
      <c r="F14" s="1"/>
      <c r="G14" s="100"/>
    </row>
    <row r="15" spans="3:7" x14ac:dyDescent="0.35">
      <c r="C15" s="3">
        <v>46661</v>
      </c>
      <c r="D15" s="4">
        <f>+VLOOKUP(C15,'PLANA P2 '!$A$4:$AD$55,30,FALSE)</f>
        <v>20832000</v>
      </c>
      <c r="E15" s="97"/>
      <c r="F15" s="1"/>
      <c r="G15" s="100"/>
    </row>
    <row r="16" spans="3:7" x14ac:dyDescent="0.35">
      <c r="C16" s="3">
        <v>46692</v>
      </c>
      <c r="D16" s="4">
        <f>+VLOOKUP(C16,'PLANA P2 '!$A$4:$AD$55,30,FALSE)</f>
        <v>20160000</v>
      </c>
      <c r="E16" s="97"/>
      <c r="F16" s="1"/>
      <c r="G16" s="100"/>
    </row>
    <row r="17" spans="3:7" ht="15" thickBot="1" x14ac:dyDescent="0.4">
      <c r="C17" s="5">
        <v>46722</v>
      </c>
      <c r="D17" s="6">
        <f>+VLOOKUP(C17,'PLANA P2 '!$A$4:$AD$55,30,FALSE)</f>
        <v>20832000</v>
      </c>
      <c r="E17" s="98"/>
      <c r="F17" s="7"/>
      <c r="G17" s="101"/>
    </row>
    <row r="18" spans="3:7" ht="15" thickBot="1" x14ac:dyDescent="0.4">
      <c r="D18" s="26">
        <f>SUM(D6:D17)</f>
        <v>245280000</v>
      </c>
    </row>
    <row r="19" spans="3:7" x14ac:dyDescent="0.35">
      <c r="D19" s="21"/>
    </row>
    <row r="20" spans="3:7" x14ac:dyDescent="0.35">
      <c r="D20" s="19">
        <f>D18/1000000</f>
        <v>245.28</v>
      </c>
    </row>
    <row r="21" spans="3:7" x14ac:dyDescent="0.35">
      <c r="D21" s="8">
        <f>D20*1000</f>
        <v>245280</v>
      </c>
    </row>
    <row r="22" spans="3:7" x14ac:dyDescent="0.35">
      <c r="F22" s="8"/>
    </row>
  </sheetData>
  <mergeCells count="4">
    <mergeCell ref="C1:G2"/>
    <mergeCell ref="C4:G4"/>
    <mergeCell ref="E6:E17"/>
    <mergeCell ref="G6:G17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F9B2E0-9592-4D63-B204-317ADE41A917}">
  <dimension ref="A1:AD55"/>
  <sheetViews>
    <sheetView showGridLines="0" topLeftCell="A38" zoomScale="84" zoomScaleNormal="84" workbookViewId="0">
      <selection activeCell="C7" sqref="C7:Z54"/>
    </sheetView>
  </sheetViews>
  <sheetFormatPr baseColWidth="10" defaultRowHeight="14.5" x14ac:dyDescent="0.35"/>
  <cols>
    <col min="1" max="1" width="7.26953125" bestFit="1" customWidth="1"/>
    <col min="2" max="2" width="8" bestFit="1" customWidth="1"/>
    <col min="3" max="26" width="9.54296875" bestFit="1" customWidth="1"/>
    <col min="27" max="27" width="10.453125" bestFit="1" customWidth="1"/>
    <col min="28" max="28" width="10.6328125" bestFit="1" customWidth="1"/>
    <col min="29" max="29" width="12.81640625" bestFit="1" customWidth="1"/>
    <col min="30" max="30" width="16" bestFit="1" customWidth="1"/>
  </cols>
  <sheetData>
    <row r="1" spans="1:30" x14ac:dyDescent="0.35">
      <c r="A1" s="85" t="s">
        <v>8</v>
      </c>
      <c r="B1" s="85"/>
      <c r="C1" s="85"/>
      <c r="D1" s="85"/>
    </row>
    <row r="2" spans="1:30" x14ac:dyDescent="0.35">
      <c r="A2" s="86" t="s">
        <v>43</v>
      </c>
      <c r="B2" s="86"/>
      <c r="C2" s="86"/>
      <c r="D2" s="86"/>
      <c r="E2" s="86"/>
      <c r="F2" s="86"/>
      <c r="G2" s="86"/>
      <c r="H2" s="86"/>
      <c r="I2" s="86"/>
      <c r="J2" s="86"/>
      <c r="K2" s="86"/>
      <c r="L2" s="86"/>
    </row>
    <row r="4" spans="1:30" x14ac:dyDescent="0.35">
      <c r="A4" s="87" t="s">
        <v>9</v>
      </c>
      <c r="B4" s="87"/>
      <c r="C4" s="88">
        <f>+AD55</f>
        <v>245280000</v>
      </c>
      <c r="D4" s="8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</row>
    <row r="5" spans="1:30" x14ac:dyDescent="0.35">
      <c r="A5" s="9" t="s">
        <v>0</v>
      </c>
      <c r="B5" s="10" t="s">
        <v>10</v>
      </c>
      <c r="C5" s="9" t="s">
        <v>11</v>
      </c>
      <c r="D5" s="9" t="s">
        <v>12</v>
      </c>
      <c r="E5" s="9" t="s">
        <v>13</v>
      </c>
      <c r="F5" s="9" t="s">
        <v>14</v>
      </c>
      <c r="G5" s="9" t="s">
        <v>15</v>
      </c>
      <c r="H5" s="9" t="s">
        <v>16</v>
      </c>
      <c r="I5" s="9" t="s">
        <v>17</v>
      </c>
      <c r="J5" s="9" t="s">
        <v>18</v>
      </c>
      <c r="K5" s="9" t="s">
        <v>19</v>
      </c>
      <c r="L5" s="9" t="s">
        <v>20</v>
      </c>
      <c r="M5" s="9" t="s">
        <v>21</v>
      </c>
      <c r="N5" s="9" t="s">
        <v>22</v>
      </c>
      <c r="O5" s="9" t="s">
        <v>23</v>
      </c>
      <c r="P5" s="9" t="s">
        <v>24</v>
      </c>
      <c r="Q5" s="9" t="s">
        <v>25</v>
      </c>
      <c r="R5" s="9" t="s">
        <v>26</v>
      </c>
      <c r="S5" s="9" t="s">
        <v>27</v>
      </c>
      <c r="T5" s="9" t="s">
        <v>28</v>
      </c>
      <c r="U5" s="9" t="s">
        <v>29</v>
      </c>
      <c r="V5" s="9" t="s">
        <v>30</v>
      </c>
      <c r="W5" s="9" t="s">
        <v>31</v>
      </c>
      <c r="X5" s="9" t="s">
        <v>32</v>
      </c>
      <c r="Y5" s="9" t="s">
        <v>33</v>
      </c>
      <c r="Z5" s="9" t="s">
        <v>34</v>
      </c>
      <c r="AA5" s="9" t="s">
        <v>35</v>
      </c>
      <c r="AB5" s="9" t="s">
        <v>36</v>
      </c>
      <c r="AC5" s="9" t="s">
        <v>37</v>
      </c>
      <c r="AD5" s="9" t="s">
        <v>38</v>
      </c>
    </row>
    <row r="6" spans="1:30" hidden="1" x14ac:dyDescent="0.35">
      <c r="A6" s="11"/>
      <c r="B6" s="12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</row>
    <row r="7" spans="1:30" x14ac:dyDescent="0.35">
      <c r="A7" s="90">
        <v>46388</v>
      </c>
      <c r="B7" s="13" t="s">
        <v>39</v>
      </c>
      <c r="C7" s="73">
        <v>28000</v>
      </c>
      <c r="D7" s="73">
        <v>28000</v>
      </c>
      <c r="E7" s="73">
        <v>28000</v>
      </c>
      <c r="F7" s="73">
        <v>28000</v>
      </c>
      <c r="G7" s="73">
        <v>28000</v>
      </c>
      <c r="H7" s="73">
        <v>28000</v>
      </c>
      <c r="I7" s="73">
        <v>28000</v>
      </c>
      <c r="J7" s="73">
        <v>28000</v>
      </c>
      <c r="K7" s="73">
        <v>28000</v>
      </c>
      <c r="L7" s="73">
        <v>28000</v>
      </c>
      <c r="M7" s="73">
        <v>28000</v>
      </c>
      <c r="N7" s="73">
        <v>28000</v>
      </c>
      <c r="O7" s="73">
        <v>28000</v>
      </c>
      <c r="P7" s="73">
        <v>28000</v>
      </c>
      <c r="Q7" s="73">
        <v>28000</v>
      </c>
      <c r="R7" s="73">
        <v>28000</v>
      </c>
      <c r="S7" s="73">
        <v>28000</v>
      </c>
      <c r="T7" s="73">
        <v>28000</v>
      </c>
      <c r="U7" s="73">
        <v>28000</v>
      </c>
      <c r="V7" s="73">
        <v>28000</v>
      </c>
      <c r="W7" s="73">
        <v>28000</v>
      </c>
      <c r="X7" s="73">
        <v>28000</v>
      </c>
      <c r="Y7" s="73">
        <v>28000</v>
      </c>
      <c r="Z7" s="73">
        <v>28000</v>
      </c>
      <c r="AA7" s="49">
        <f>SUM(C7:Z7)</f>
        <v>672000</v>
      </c>
      <c r="AB7" s="50">
        <v>19</v>
      </c>
      <c r="AC7" s="49">
        <f>+AA7*AB7</f>
        <v>12768000</v>
      </c>
      <c r="AD7" s="102">
        <f>+SUM(AC7:AC10)</f>
        <v>20832000</v>
      </c>
    </row>
    <row r="8" spans="1:30" x14ac:dyDescent="0.35">
      <c r="A8" s="91"/>
      <c r="B8" s="17" t="s">
        <v>40</v>
      </c>
      <c r="C8" s="73">
        <v>28000</v>
      </c>
      <c r="D8" s="73">
        <v>28000</v>
      </c>
      <c r="E8" s="73">
        <v>28000</v>
      </c>
      <c r="F8" s="73">
        <v>28000</v>
      </c>
      <c r="G8" s="73">
        <v>28000</v>
      </c>
      <c r="H8" s="73">
        <v>28000</v>
      </c>
      <c r="I8" s="73">
        <v>28000</v>
      </c>
      <c r="J8" s="73">
        <v>28000</v>
      </c>
      <c r="K8" s="73">
        <v>28000</v>
      </c>
      <c r="L8" s="73">
        <v>28000</v>
      </c>
      <c r="M8" s="73">
        <v>28000</v>
      </c>
      <c r="N8" s="73">
        <v>28000</v>
      </c>
      <c r="O8" s="73">
        <v>28000</v>
      </c>
      <c r="P8" s="73">
        <v>28000</v>
      </c>
      <c r="Q8" s="73">
        <v>28000</v>
      </c>
      <c r="R8" s="73">
        <v>28000</v>
      </c>
      <c r="S8" s="73">
        <v>28000</v>
      </c>
      <c r="T8" s="73">
        <v>28000</v>
      </c>
      <c r="U8" s="73">
        <v>28000</v>
      </c>
      <c r="V8" s="73">
        <v>28000</v>
      </c>
      <c r="W8" s="73">
        <v>28000</v>
      </c>
      <c r="X8" s="73">
        <v>28000</v>
      </c>
      <c r="Y8" s="73">
        <v>28000</v>
      </c>
      <c r="Z8" s="73">
        <v>28000</v>
      </c>
      <c r="AA8" s="49">
        <f t="shared" ref="AA8:AA54" si="0">SUM(C8:Z8)</f>
        <v>672000</v>
      </c>
      <c r="AB8" s="50">
        <v>5</v>
      </c>
      <c r="AC8" s="49">
        <f t="shared" ref="AC8:AC54" si="1">+AA8*AB8</f>
        <v>3360000</v>
      </c>
      <c r="AD8" s="103"/>
    </row>
    <row r="9" spans="1:30" x14ac:dyDescent="0.35">
      <c r="A9" s="91"/>
      <c r="B9" s="17" t="s">
        <v>41</v>
      </c>
      <c r="C9" s="73">
        <v>28000</v>
      </c>
      <c r="D9" s="73">
        <v>28000</v>
      </c>
      <c r="E9" s="73">
        <v>28000</v>
      </c>
      <c r="F9" s="73">
        <v>28000</v>
      </c>
      <c r="G9" s="73">
        <v>28000</v>
      </c>
      <c r="H9" s="73">
        <v>28000</v>
      </c>
      <c r="I9" s="73">
        <v>28000</v>
      </c>
      <c r="J9" s="73">
        <v>28000</v>
      </c>
      <c r="K9" s="73">
        <v>28000</v>
      </c>
      <c r="L9" s="73">
        <v>28000</v>
      </c>
      <c r="M9" s="73">
        <v>28000</v>
      </c>
      <c r="N9" s="73">
        <v>28000</v>
      </c>
      <c r="O9" s="73">
        <v>28000</v>
      </c>
      <c r="P9" s="73">
        <v>28000</v>
      </c>
      <c r="Q9" s="73">
        <v>28000</v>
      </c>
      <c r="R9" s="73">
        <v>28000</v>
      </c>
      <c r="S9" s="73">
        <v>28000</v>
      </c>
      <c r="T9" s="73">
        <v>28000</v>
      </c>
      <c r="U9" s="73">
        <v>28000</v>
      </c>
      <c r="V9" s="73">
        <v>28000</v>
      </c>
      <c r="W9" s="73">
        <v>28000</v>
      </c>
      <c r="X9" s="73">
        <v>28000</v>
      </c>
      <c r="Y9" s="73">
        <v>28000</v>
      </c>
      <c r="Z9" s="73">
        <v>28000</v>
      </c>
      <c r="AA9" s="49">
        <f t="shared" si="0"/>
        <v>672000</v>
      </c>
      <c r="AB9" s="50">
        <v>5</v>
      </c>
      <c r="AC9" s="49">
        <f t="shared" si="1"/>
        <v>3360000</v>
      </c>
      <c r="AD9" s="103"/>
    </row>
    <row r="10" spans="1:30" x14ac:dyDescent="0.35">
      <c r="A10" s="92"/>
      <c r="B10" s="18" t="s">
        <v>42</v>
      </c>
      <c r="C10" s="73">
        <v>28000</v>
      </c>
      <c r="D10" s="73">
        <v>28000</v>
      </c>
      <c r="E10" s="73">
        <v>28000</v>
      </c>
      <c r="F10" s="73">
        <v>28000</v>
      </c>
      <c r="G10" s="73">
        <v>28000</v>
      </c>
      <c r="H10" s="73">
        <v>28000</v>
      </c>
      <c r="I10" s="73">
        <v>28000</v>
      </c>
      <c r="J10" s="73">
        <v>28000</v>
      </c>
      <c r="K10" s="73">
        <v>28000</v>
      </c>
      <c r="L10" s="73">
        <v>28000</v>
      </c>
      <c r="M10" s="73">
        <v>28000</v>
      </c>
      <c r="N10" s="73">
        <v>28000</v>
      </c>
      <c r="O10" s="73">
        <v>28000</v>
      </c>
      <c r="P10" s="73">
        <v>28000</v>
      </c>
      <c r="Q10" s="73">
        <v>28000</v>
      </c>
      <c r="R10" s="73">
        <v>28000</v>
      </c>
      <c r="S10" s="73">
        <v>28000</v>
      </c>
      <c r="T10" s="73">
        <v>28000</v>
      </c>
      <c r="U10" s="73">
        <v>28000</v>
      </c>
      <c r="V10" s="73">
        <v>28000</v>
      </c>
      <c r="W10" s="73">
        <v>28000</v>
      </c>
      <c r="X10" s="73">
        <v>28000</v>
      </c>
      <c r="Y10" s="73">
        <v>28000</v>
      </c>
      <c r="Z10" s="73">
        <v>28000</v>
      </c>
      <c r="AA10" s="49">
        <f t="shared" si="0"/>
        <v>672000</v>
      </c>
      <c r="AB10" s="50">
        <v>2</v>
      </c>
      <c r="AC10" s="49">
        <f t="shared" si="1"/>
        <v>1344000</v>
      </c>
      <c r="AD10" s="104"/>
    </row>
    <row r="11" spans="1:30" x14ac:dyDescent="0.35">
      <c r="A11" s="90">
        <v>46419</v>
      </c>
      <c r="B11" s="13" t="s">
        <v>39</v>
      </c>
      <c r="C11" s="73">
        <v>28000</v>
      </c>
      <c r="D11" s="73">
        <v>28000</v>
      </c>
      <c r="E11" s="73">
        <v>28000</v>
      </c>
      <c r="F11" s="73">
        <v>28000</v>
      </c>
      <c r="G11" s="73">
        <v>28000</v>
      </c>
      <c r="H11" s="73">
        <v>28000</v>
      </c>
      <c r="I11" s="73">
        <v>28000</v>
      </c>
      <c r="J11" s="73">
        <v>28000</v>
      </c>
      <c r="K11" s="73">
        <v>28000</v>
      </c>
      <c r="L11" s="73">
        <v>28000</v>
      </c>
      <c r="M11" s="73">
        <v>28000</v>
      </c>
      <c r="N11" s="73">
        <v>28000</v>
      </c>
      <c r="O11" s="73">
        <v>28000</v>
      </c>
      <c r="P11" s="73">
        <v>28000</v>
      </c>
      <c r="Q11" s="73">
        <v>28000</v>
      </c>
      <c r="R11" s="73">
        <v>28000</v>
      </c>
      <c r="S11" s="73">
        <v>28000</v>
      </c>
      <c r="T11" s="73">
        <v>28000</v>
      </c>
      <c r="U11" s="73">
        <v>28000</v>
      </c>
      <c r="V11" s="73">
        <v>28000</v>
      </c>
      <c r="W11" s="73">
        <v>28000</v>
      </c>
      <c r="X11" s="73">
        <v>28000</v>
      </c>
      <c r="Y11" s="73">
        <v>28000</v>
      </c>
      <c r="Z11" s="73">
        <v>28000</v>
      </c>
      <c r="AA11" s="49">
        <f t="shared" si="0"/>
        <v>672000</v>
      </c>
      <c r="AB11" s="50">
        <v>20</v>
      </c>
      <c r="AC11" s="49">
        <f t="shared" si="1"/>
        <v>13440000</v>
      </c>
      <c r="AD11" s="102">
        <f>+SUM(AC11:AC14)</f>
        <v>18816000</v>
      </c>
    </row>
    <row r="12" spans="1:30" x14ac:dyDescent="0.35">
      <c r="A12" s="91"/>
      <c r="B12" s="17" t="s">
        <v>40</v>
      </c>
      <c r="C12" s="73">
        <v>28000</v>
      </c>
      <c r="D12" s="73">
        <v>28000</v>
      </c>
      <c r="E12" s="73">
        <v>28000</v>
      </c>
      <c r="F12" s="73">
        <v>28000</v>
      </c>
      <c r="G12" s="73">
        <v>28000</v>
      </c>
      <c r="H12" s="73">
        <v>28000</v>
      </c>
      <c r="I12" s="73">
        <v>28000</v>
      </c>
      <c r="J12" s="73">
        <v>28000</v>
      </c>
      <c r="K12" s="73">
        <v>28000</v>
      </c>
      <c r="L12" s="73">
        <v>28000</v>
      </c>
      <c r="M12" s="73">
        <v>28000</v>
      </c>
      <c r="N12" s="73">
        <v>28000</v>
      </c>
      <c r="O12" s="73">
        <v>28000</v>
      </c>
      <c r="P12" s="73">
        <v>28000</v>
      </c>
      <c r="Q12" s="73">
        <v>28000</v>
      </c>
      <c r="R12" s="73">
        <v>28000</v>
      </c>
      <c r="S12" s="73">
        <v>28000</v>
      </c>
      <c r="T12" s="73">
        <v>28000</v>
      </c>
      <c r="U12" s="73">
        <v>28000</v>
      </c>
      <c r="V12" s="73">
        <v>28000</v>
      </c>
      <c r="W12" s="73">
        <v>28000</v>
      </c>
      <c r="X12" s="73">
        <v>28000</v>
      </c>
      <c r="Y12" s="73">
        <v>28000</v>
      </c>
      <c r="Z12" s="73">
        <v>28000</v>
      </c>
      <c r="AA12" s="49">
        <f t="shared" si="0"/>
        <v>672000</v>
      </c>
      <c r="AB12" s="50">
        <v>4</v>
      </c>
      <c r="AC12" s="49">
        <f t="shared" si="1"/>
        <v>2688000</v>
      </c>
      <c r="AD12" s="103"/>
    </row>
    <row r="13" spans="1:30" x14ac:dyDescent="0.35">
      <c r="A13" s="91"/>
      <c r="B13" s="17" t="s">
        <v>41</v>
      </c>
      <c r="C13" s="73">
        <v>28000</v>
      </c>
      <c r="D13" s="73">
        <v>28000</v>
      </c>
      <c r="E13" s="73">
        <v>28000</v>
      </c>
      <c r="F13" s="73">
        <v>28000</v>
      </c>
      <c r="G13" s="73">
        <v>28000</v>
      </c>
      <c r="H13" s="73">
        <v>28000</v>
      </c>
      <c r="I13" s="73">
        <v>28000</v>
      </c>
      <c r="J13" s="73">
        <v>28000</v>
      </c>
      <c r="K13" s="73">
        <v>28000</v>
      </c>
      <c r="L13" s="73">
        <v>28000</v>
      </c>
      <c r="M13" s="73">
        <v>28000</v>
      </c>
      <c r="N13" s="73">
        <v>28000</v>
      </c>
      <c r="O13" s="73">
        <v>28000</v>
      </c>
      <c r="P13" s="73">
        <v>28000</v>
      </c>
      <c r="Q13" s="73">
        <v>28000</v>
      </c>
      <c r="R13" s="73">
        <v>28000</v>
      </c>
      <c r="S13" s="73">
        <v>28000</v>
      </c>
      <c r="T13" s="73">
        <v>28000</v>
      </c>
      <c r="U13" s="73">
        <v>28000</v>
      </c>
      <c r="V13" s="73">
        <v>28000</v>
      </c>
      <c r="W13" s="73">
        <v>28000</v>
      </c>
      <c r="X13" s="73">
        <v>28000</v>
      </c>
      <c r="Y13" s="73">
        <v>28000</v>
      </c>
      <c r="Z13" s="73">
        <v>28000</v>
      </c>
      <c r="AA13" s="49">
        <f t="shared" si="0"/>
        <v>672000</v>
      </c>
      <c r="AB13" s="50">
        <v>4</v>
      </c>
      <c r="AC13" s="49">
        <f t="shared" si="1"/>
        <v>2688000</v>
      </c>
      <c r="AD13" s="103"/>
    </row>
    <row r="14" spans="1:30" x14ac:dyDescent="0.35">
      <c r="A14" s="92"/>
      <c r="B14" s="18" t="s">
        <v>42</v>
      </c>
      <c r="C14" s="73"/>
      <c r="D14" s="73"/>
      <c r="E14" s="73"/>
      <c r="F14" s="73"/>
      <c r="G14" s="73"/>
      <c r="H14" s="73"/>
      <c r="I14" s="73"/>
      <c r="J14" s="73"/>
      <c r="K14" s="73"/>
      <c r="L14" s="73"/>
      <c r="M14" s="73"/>
      <c r="N14" s="73"/>
      <c r="O14" s="73"/>
      <c r="P14" s="73"/>
      <c r="Q14" s="73"/>
      <c r="R14" s="73"/>
      <c r="S14" s="73"/>
      <c r="T14" s="73"/>
      <c r="U14" s="73"/>
      <c r="V14" s="73"/>
      <c r="W14" s="73"/>
      <c r="X14" s="73"/>
      <c r="Y14" s="73"/>
      <c r="Z14" s="73"/>
      <c r="AA14" s="49">
        <f t="shared" si="0"/>
        <v>0</v>
      </c>
      <c r="AB14" s="50">
        <v>0</v>
      </c>
      <c r="AC14" s="49">
        <f t="shared" si="1"/>
        <v>0</v>
      </c>
      <c r="AD14" s="104"/>
    </row>
    <row r="15" spans="1:30" x14ac:dyDescent="0.35">
      <c r="A15" s="90">
        <v>46447</v>
      </c>
      <c r="B15" s="13" t="s">
        <v>39</v>
      </c>
      <c r="C15" s="73">
        <v>28000</v>
      </c>
      <c r="D15" s="73">
        <v>28000</v>
      </c>
      <c r="E15" s="73">
        <v>28000</v>
      </c>
      <c r="F15" s="73">
        <v>28000</v>
      </c>
      <c r="G15" s="73">
        <v>28000</v>
      </c>
      <c r="H15" s="73">
        <v>28000</v>
      </c>
      <c r="I15" s="73">
        <v>28000</v>
      </c>
      <c r="J15" s="73">
        <v>28000</v>
      </c>
      <c r="K15" s="73">
        <v>28000</v>
      </c>
      <c r="L15" s="73">
        <v>28000</v>
      </c>
      <c r="M15" s="73">
        <v>28000</v>
      </c>
      <c r="N15" s="73">
        <v>28000</v>
      </c>
      <c r="O15" s="73">
        <v>28000</v>
      </c>
      <c r="P15" s="73">
        <v>28000</v>
      </c>
      <c r="Q15" s="73">
        <v>28000</v>
      </c>
      <c r="R15" s="73">
        <v>28000</v>
      </c>
      <c r="S15" s="73">
        <v>28000</v>
      </c>
      <c r="T15" s="73">
        <v>28000</v>
      </c>
      <c r="U15" s="73">
        <v>28000</v>
      </c>
      <c r="V15" s="73">
        <v>28000</v>
      </c>
      <c r="W15" s="73">
        <v>28000</v>
      </c>
      <c r="X15" s="73">
        <v>28000</v>
      </c>
      <c r="Y15" s="73">
        <v>28000</v>
      </c>
      <c r="Z15" s="73">
        <v>28000</v>
      </c>
      <c r="AA15" s="49">
        <f t="shared" si="0"/>
        <v>672000</v>
      </c>
      <c r="AB15" s="50">
        <v>20</v>
      </c>
      <c r="AC15" s="49">
        <f t="shared" si="1"/>
        <v>13440000</v>
      </c>
      <c r="AD15" s="102">
        <f>+SUM(AC15:AC18)</f>
        <v>20832000</v>
      </c>
    </row>
    <row r="16" spans="1:30" x14ac:dyDescent="0.35">
      <c r="A16" s="91"/>
      <c r="B16" s="17" t="s">
        <v>40</v>
      </c>
      <c r="C16" s="73">
        <v>28000</v>
      </c>
      <c r="D16" s="73">
        <v>28000</v>
      </c>
      <c r="E16" s="73">
        <v>28000</v>
      </c>
      <c r="F16" s="73">
        <v>28000</v>
      </c>
      <c r="G16" s="73">
        <v>28000</v>
      </c>
      <c r="H16" s="73">
        <v>28000</v>
      </c>
      <c r="I16" s="73">
        <v>28000</v>
      </c>
      <c r="J16" s="73">
        <v>28000</v>
      </c>
      <c r="K16" s="73">
        <v>28000</v>
      </c>
      <c r="L16" s="73">
        <v>28000</v>
      </c>
      <c r="M16" s="73">
        <v>28000</v>
      </c>
      <c r="N16" s="73">
        <v>28000</v>
      </c>
      <c r="O16" s="73">
        <v>28000</v>
      </c>
      <c r="P16" s="73">
        <v>28000</v>
      </c>
      <c r="Q16" s="73">
        <v>28000</v>
      </c>
      <c r="R16" s="73">
        <v>28000</v>
      </c>
      <c r="S16" s="73">
        <v>28000</v>
      </c>
      <c r="T16" s="73">
        <v>28000</v>
      </c>
      <c r="U16" s="73">
        <v>28000</v>
      </c>
      <c r="V16" s="73">
        <v>28000</v>
      </c>
      <c r="W16" s="73">
        <v>28000</v>
      </c>
      <c r="X16" s="73">
        <v>28000</v>
      </c>
      <c r="Y16" s="73">
        <v>28000</v>
      </c>
      <c r="Z16" s="73">
        <v>28000</v>
      </c>
      <c r="AA16" s="49">
        <f t="shared" si="0"/>
        <v>672000</v>
      </c>
      <c r="AB16" s="50">
        <v>4</v>
      </c>
      <c r="AC16" s="49">
        <f t="shared" si="1"/>
        <v>2688000</v>
      </c>
      <c r="AD16" s="103"/>
    </row>
    <row r="17" spans="1:30" x14ac:dyDescent="0.35">
      <c r="A17" s="91"/>
      <c r="B17" s="17" t="s">
        <v>41</v>
      </c>
      <c r="C17" s="73">
        <v>28000</v>
      </c>
      <c r="D17" s="73">
        <v>28000</v>
      </c>
      <c r="E17" s="73">
        <v>28000</v>
      </c>
      <c r="F17" s="73">
        <v>28000</v>
      </c>
      <c r="G17" s="73">
        <v>28000</v>
      </c>
      <c r="H17" s="73">
        <v>28000</v>
      </c>
      <c r="I17" s="73">
        <v>28000</v>
      </c>
      <c r="J17" s="73">
        <v>28000</v>
      </c>
      <c r="K17" s="73">
        <v>28000</v>
      </c>
      <c r="L17" s="73">
        <v>28000</v>
      </c>
      <c r="M17" s="73">
        <v>28000</v>
      </c>
      <c r="N17" s="73">
        <v>28000</v>
      </c>
      <c r="O17" s="73">
        <v>28000</v>
      </c>
      <c r="P17" s="73">
        <v>28000</v>
      </c>
      <c r="Q17" s="73">
        <v>28000</v>
      </c>
      <c r="R17" s="73">
        <v>28000</v>
      </c>
      <c r="S17" s="73">
        <v>28000</v>
      </c>
      <c r="T17" s="73">
        <v>28000</v>
      </c>
      <c r="U17" s="73">
        <v>28000</v>
      </c>
      <c r="V17" s="73">
        <v>28000</v>
      </c>
      <c r="W17" s="73">
        <v>28000</v>
      </c>
      <c r="X17" s="73">
        <v>28000</v>
      </c>
      <c r="Y17" s="73">
        <v>28000</v>
      </c>
      <c r="Z17" s="73">
        <v>28000</v>
      </c>
      <c r="AA17" s="49">
        <f t="shared" si="0"/>
        <v>672000</v>
      </c>
      <c r="AB17" s="50">
        <v>4</v>
      </c>
      <c r="AC17" s="49">
        <f t="shared" si="1"/>
        <v>2688000</v>
      </c>
      <c r="AD17" s="103"/>
    </row>
    <row r="18" spans="1:30" x14ac:dyDescent="0.35">
      <c r="A18" s="92"/>
      <c r="B18" s="18" t="s">
        <v>42</v>
      </c>
      <c r="C18" s="73">
        <v>28000</v>
      </c>
      <c r="D18" s="73">
        <v>28000</v>
      </c>
      <c r="E18" s="73">
        <v>28000</v>
      </c>
      <c r="F18" s="73">
        <v>28000</v>
      </c>
      <c r="G18" s="73">
        <v>28000</v>
      </c>
      <c r="H18" s="73">
        <v>28000</v>
      </c>
      <c r="I18" s="73">
        <v>28000</v>
      </c>
      <c r="J18" s="73">
        <v>28000</v>
      </c>
      <c r="K18" s="73">
        <v>28000</v>
      </c>
      <c r="L18" s="73">
        <v>28000</v>
      </c>
      <c r="M18" s="73">
        <v>28000</v>
      </c>
      <c r="N18" s="73">
        <v>28000</v>
      </c>
      <c r="O18" s="73">
        <v>28000</v>
      </c>
      <c r="P18" s="73">
        <v>28000</v>
      </c>
      <c r="Q18" s="73">
        <v>28000</v>
      </c>
      <c r="R18" s="73">
        <v>28000</v>
      </c>
      <c r="S18" s="73">
        <v>28000</v>
      </c>
      <c r="T18" s="73">
        <v>28000</v>
      </c>
      <c r="U18" s="73">
        <v>28000</v>
      </c>
      <c r="V18" s="73">
        <v>28000</v>
      </c>
      <c r="W18" s="73">
        <v>28000</v>
      </c>
      <c r="X18" s="73">
        <v>28000</v>
      </c>
      <c r="Y18" s="73">
        <v>28000</v>
      </c>
      <c r="Z18" s="73">
        <v>28000</v>
      </c>
      <c r="AA18" s="49">
        <f t="shared" si="0"/>
        <v>672000</v>
      </c>
      <c r="AB18" s="50">
        <v>3</v>
      </c>
      <c r="AC18" s="49">
        <f t="shared" si="1"/>
        <v>2016000</v>
      </c>
      <c r="AD18" s="104"/>
    </row>
    <row r="19" spans="1:30" x14ac:dyDescent="0.35">
      <c r="A19" s="90">
        <v>46478</v>
      </c>
      <c r="B19" s="13" t="s">
        <v>39</v>
      </c>
      <c r="C19" s="73">
        <v>28000</v>
      </c>
      <c r="D19" s="73">
        <v>28000</v>
      </c>
      <c r="E19" s="73">
        <v>28000</v>
      </c>
      <c r="F19" s="73">
        <v>28000</v>
      </c>
      <c r="G19" s="73">
        <v>28000</v>
      </c>
      <c r="H19" s="73">
        <v>28000</v>
      </c>
      <c r="I19" s="73">
        <v>28000</v>
      </c>
      <c r="J19" s="73">
        <v>28000</v>
      </c>
      <c r="K19" s="73">
        <v>28000</v>
      </c>
      <c r="L19" s="73">
        <v>28000</v>
      </c>
      <c r="M19" s="73">
        <v>28000</v>
      </c>
      <c r="N19" s="73">
        <v>28000</v>
      </c>
      <c r="O19" s="73">
        <v>28000</v>
      </c>
      <c r="P19" s="73">
        <v>28000</v>
      </c>
      <c r="Q19" s="73">
        <v>28000</v>
      </c>
      <c r="R19" s="73">
        <v>28000</v>
      </c>
      <c r="S19" s="73">
        <v>28000</v>
      </c>
      <c r="T19" s="73">
        <v>28000</v>
      </c>
      <c r="U19" s="73">
        <v>28000</v>
      </c>
      <c r="V19" s="73">
        <v>28000</v>
      </c>
      <c r="W19" s="73">
        <v>28000</v>
      </c>
      <c r="X19" s="73">
        <v>28000</v>
      </c>
      <c r="Y19" s="73">
        <v>28000</v>
      </c>
      <c r="Z19" s="73">
        <v>28000</v>
      </c>
      <c r="AA19" s="49">
        <f t="shared" si="0"/>
        <v>672000</v>
      </c>
      <c r="AB19" s="50">
        <v>22</v>
      </c>
      <c r="AC19" s="49">
        <f t="shared" si="1"/>
        <v>14784000</v>
      </c>
      <c r="AD19" s="102">
        <f>+SUM(AC19:AC22)</f>
        <v>20160000</v>
      </c>
    </row>
    <row r="20" spans="1:30" x14ac:dyDescent="0.35">
      <c r="A20" s="91"/>
      <c r="B20" s="17" t="s">
        <v>40</v>
      </c>
      <c r="C20" s="73">
        <v>28000</v>
      </c>
      <c r="D20" s="73">
        <v>28000</v>
      </c>
      <c r="E20" s="73">
        <v>28000</v>
      </c>
      <c r="F20" s="73">
        <v>28000</v>
      </c>
      <c r="G20" s="73">
        <v>28000</v>
      </c>
      <c r="H20" s="73">
        <v>28000</v>
      </c>
      <c r="I20" s="73">
        <v>28000</v>
      </c>
      <c r="J20" s="73">
        <v>28000</v>
      </c>
      <c r="K20" s="73">
        <v>28000</v>
      </c>
      <c r="L20" s="73">
        <v>28000</v>
      </c>
      <c r="M20" s="73">
        <v>28000</v>
      </c>
      <c r="N20" s="73">
        <v>28000</v>
      </c>
      <c r="O20" s="73">
        <v>28000</v>
      </c>
      <c r="P20" s="73">
        <v>28000</v>
      </c>
      <c r="Q20" s="73">
        <v>28000</v>
      </c>
      <c r="R20" s="73">
        <v>28000</v>
      </c>
      <c r="S20" s="73">
        <v>28000</v>
      </c>
      <c r="T20" s="73">
        <v>28000</v>
      </c>
      <c r="U20" s="73">
        <v>28000</v>
      </c>
      <c r="V20" s="73">
        <v>28000</v>
      </c>
      <c r="W20" s="73">
        <v>28000</v>
      </c>
      <c r="X20" s="73">
        <v>28000</v>
      </c>
      <c r="Y20" s="73">
        <v>28000</v>
      </c>
      <c r="Z20" s="73">
        <v>28000</v>
      </c>
      <c r="AA20" s="49">
        <f t="shared" si="0"/>
        <v>672000</v>
      </c>
      <c r="AB20" s="50">
        <v>4</v>
      </c>
      <c r="AC20" s="49">
        <f t="shared" si="1"/>
        <v>2688000</v>
      </c>
      <c r="AD20" s="103"/>
    </row>
    <row r="21" spans="1:30" x14ac:dyDescent="0.35">
      <c r="A21" s="91"/>
      <c r="B21" s="17" t="s">
        <v>41</v>
      </c>
      <c r="C21" s="73">
        <v>28000</v>
      </c>
      <c r="D21" s="73">
        <v>28000</v>
      </c>
      <c r="E21" s="73">
        <v>28000</v>
      </c>
      <c r="F21" s="73">
        <v>28000</v>
      </c>
      <c r="G21" s="73">
        <v>28000</v>
      </c>
      <c r="H21" s="73">
        <v>28000</v>
      </c>
      <c r="I21" s="73">
        <v>28000</v>
      </c>
      <c r="J21" s="73">
        <v>28000</v>
      </c>
      <c r="K21" s="73">
        <v>28000</v>
      </c>
      <c r="L21" s="73">
        <v>28000</v>
      </c>
      <c r="M21" s="73">
        <v>28000</v>
      </c>
      <c r="N21" s="73">
        <v>28000</v>
      </c>
      <c r="O21" s="73">
        <v>28000</v>
      </c>
      <c r="P21" s="73">
        <v>28000</v>
      </c>
      <c r="Q21" s="73">
        <v>28000</v>
      </c>
      <c r="R21" s="73">
        <v>28000</v>
      </c>
      <c r="S21" s="73">
        <v>28000</v>
      </c>
      <c r="T21" s="73">
        <v>28000</v>
      </c>
      <c r="U21" s="73">
        <v>28000</v>
      </c>
      <c r="V21" s="73">
        <v>28000</v>
      </c>
      <c r="W21" s="73">
        <v>28000</v>
      </c>
      <c r="X21" s="73">
        <v>28000</v>
      </c>
      <c r="Y21" s="73">
        <v>28000</v>
      </c>
      <c r="Z21" s="73">
        <v>28000</v>
      </c>
      <c r="AA21" s="49">
        <f t="shared" si="0"/>
        <v>672000</v>
      </c>
      <c r="AB21" s="50">
        <v>4</v>
      </c>
      <c r="AC21" s="49">
        <f t="shared" si="1"/>
        <v>2688000</v>
      </c>
      <c r="AD21" s="103"/>
    </row>
    <row r="22" spans="1:30" x14ac:dyDescent="0.35">
      <c r="A22" s="92"/>
      <c r="B22" s="18" t="s">
        <v>42</v>
      </c>
      <c r="C22" s="73"/>
      <c r="D22" s="73"/>
      <c r="E22" s="73"/>
      <c r="F22" s="73"/>
      <c r="G22" s="73"/>
      <c r="H22" s="73"/>
      <c r="I22" s="73"/>
      <c r="J22" s="73"/>
      <c r="K22" s="73"/>
      <c r="L22" s="73"/>
      <c r="M22" s="73"/>
      <c r="N22" s="73"/>
      <c r="O22" s="73"/>
      <c r="P22" s="73"/>
      <c r="Q22" s="73"/>
      <c r="R22" s="73"/>
      <c r="S22" s="73"/>
      <c r="T22" s="73"/>
      <c r="U22" s="73"/>
      <c r="V22" s="73"/>
      <c r="W22" s="73"/>
      <c r="X22" s="73"/>
      <c r="Y22" s="73"/>
      <c r="Z22" s="73"/>
      <c r="AA22" s="49">
        <f t="shared" si="0"/>
        <v>0</v>
      </c>
      <c r="AB22" s="50">
        <v>0</v>
      </c>
      <c r="AC22" s="49">
        <f t="shared" si="1"/>
        <v>0</v>
      </c>
      <c r="AD22" s="104"/>
    </row>
    <row r="23" spans="1:30" x14ac:dyDescent="0.35">
      <c r="A23" s="90">
        <v>46508</v>
      </c>
      <c r="B23" s="13" t="s">
        <v>39</v>
      </c>
      <c r="C23" s="73">
        <v>28000</v>
      </c>
      <c r="D23" s="73">
        <v>28000</v>
      </c>
      <c r="E23" s="73">
        <v>28000</v>
      </c>
      <c r="F23" s="73">
        <v>28000</v>
      </c>
      <c r="G23" s="73">
        <v>28000</v>
      </c>
      <c r="H23" s="73">
        <v>28000</v>
      </c>
      <c r="I23" s="73">
        <v>28000</v>
      </c>
      <c r="J23" s="73">
        <v>28000</v>
      </c>
      <c r="K23" s="73">
        <v>28000</v>
      </c>
      <c r="L23" s="73">
        <v>28000</v>
      </c>
      <c r="M23" s="73">
        <v>28000</v>
      </c>
      <c r="N23" s="73">
        <v>28000</v>
      </c>
      <c r="O23" s="73">
        <v>28000</v>
      </c>
      <c r="P23" s="73">
        <v>28000</v>
      </c>
      <c r="Q23" s="73">
        <v>28000</v>
      </c>
      <c r="R23" s="73">
        <v>28000</v>
      </c>
      <c r="S23" s="73">
        <v>28000</v>
      </c>
      <c r="T23" s="73">
        <v>28000</v>
      </c>
      <c r="U23" s="73">
        <v>28000</v>
      </c>
      <c r="V23" s="73">
        <v>28000</v>
      </c>
      <c r="W23" s="73">
        <v>28000</v>
      </c>
      <c r="X23" s="73">
        <v>28000</v>
      </c>
      <c r="Y23" s="73">
        <v>28000</v>
      </c>
      <c r="Z23" s="73">
        <v>28000</v>
      </c>
      <c r="AA23" s="49">
        <f t="shared" si="0"/>
        <v>672000</v>
      </c>
      <c r="AB23" s="50">
        <v>19</v>
      </c>
      <c r="AC23" s="49">
        <f t="shared" si="1"/>
        <v>12768000</v>
      </c>
      <c r="AD23" s="102">
        <f>+SUM(AC23:AC26)</f>
        <v>20832000</v>
      </c>
    </row>
    <row r="24" spans="1:30" x14ac:dyDescent="0.35">
      <c r="A24" s="91"/>
      <c r="B24" s="17" t="s">
        <v>40</v>
      </c>
      <c r="C24" s="73">
        <v>28000</v>
      </c>
      <c r="D24" s="73">
        <v>28000</v>
      </c>
      <c r="E24" s="73">
        <v>28000</v>
      </c>
      <c r="F24" s="73">
        <v>28000</v>
      </c>
      <c r="G24" s="73">
        <v>28000</v>
      </c>
      <c r="H24" s="73">
        <v>28000</v>
      </c>
      <c r="I24" s="73">
        <v>28000</v>
      </c>
      <c r="J24" s="73">
        <v>28000</v>
      </c>
      <c r="K24" s="73">
        <v>28000</v>
      </c>
      <c r="L24" s="73">
        <v>28000</v>
      </c>
      <c r="M24" s="73">
        <v>28000</v>
      </c>
      <c r="N24" s="73">
        <v>28000</v>
      </c>
      <c r="O24" s="73">
        <v>28000</v>
      </c>
      <c r="P24" s="73">
        <v>28000</v>
      </c>
      <c r="Q24" s="73">
        <v>28000</v>
      </c>
      <c r="R24" s="73">
        <v>28000</v>
      </c>
      <c r="S24" s="73">
        <v>28000</v>
      </c>
      <c r="T24" s="73">
        <v>28000</v>
      </c>
      <c r="U24" s="73">
        <v>28000</v>
      </c>
      <c r="V24" s="73">
        <v>28000</v>
      </c>
      <c r="W24" s="73">
        <v>28000</v>
      </c>
      <c r="X24" s="73">
        <v>28000</v>
      </c>
      <c r="Y24" s="73">
        <v>28000</v>
      </c>
      <c r="Z24" s="73">
        <v>28000</v>
      </c>
      <c r="AA24" s="49">
        <f t="shared" si="0"/>
        <v>672000</v>
      </c>
      <c r="AB24" s="50">
        <v>4</v>
      </c>
      <c r="AC24" s="49">
        <f t="shared" si="1"/>
        <v>2688000</v>
      </c>
      <c r="AD24" s="103"/>
    </row>
    <row r="25" spans="1:30" x14ac:dyDescent="0.35">
      <c r="A25" s="91"/>
      <c r="B25" s="17" t="s">
        <v>41</v>
      </c>
      <c r="C25" s="73">
        <v>28000</v>
      </c>
      <c r="D25" s="73">
        <v>28000</v>
      </c>
      <c r="E25" s="73">
        <v>28000</v>
      </c>
      <c r="F25" s="73">
        <v>28000</v>
      </c>
      <c r="G25" s="73">
        <v>28000</v>
      </c>
      <c r="H25" s="73">
        <v>28000</v>
      </c>
      <c r="I25" s="73">
        <v>28000</v>
      </c>
      <c r="J25" s="73">
        <v>28000</v>
      </c>
      <c r="K25" s="73">
        <v>28000</v>
      </c>
      <c r="L25" s="73">
        <v>28000</v>
      </c>
      <c r="M25" s="73">
        <v>28000</v>
      </c>
      <c r="N25" s="73">
        <v>28000</v>
      </c>
      <c r="O25" s="73">
        <v>28000</v>
      </c>
      <c r="P25" s="73">
        <v>28000</v>
      </c>
      <c r="Q25" s="73">
        <v>28000</v>
      </c>
      <c r="R25" s="73">
        <v>28000</v>
      </c>
      <c r="S25" s="73">
        <v>28000</v>
      </c>
      <c r="T25" s="73">
        <v>28000</v>
      </c>
      <c r="U25" s="73">
        <v>28000</v>
      </c>
      <c r="V25" s="73">
        <v>28000</v>
      </c>
      <c r="W25" s="73">
        <v>28000</v>
      </c>
      <c r="X25" s="73">
        <v>28000</v>
      </c>
      <c r="Y25" s="73">
        <v>28000</v>
      </c>
      <c r="Z25" s="73">
        <v>28000</v>
      </c>
      <c r="AA25" s="49">
        <f t="shared" si="0"/>
        <v>672000</v>
      </c>
      <c r="AB25" s="50">
        <v>5</v>
      </c>
      <c r="AC25" s="49">
        <f t="shared" si="1"/>
        <v>3360000</v>
      </c>
      <c r="AD25" s="103"/>
    </row>
    <row r="26" spans="1:30" x14ac:dyDescent="0.35">
      <c r="A26" s="92"/>
      <c r="B26" s="18" t="s">
        <v>42</v>
      </c>
      <c r="C26" s="73">
        <v>28000</v>
      </c>
      <c r="D26" s="73">
        <v>28000</v>
      </c>
      <c r="E26" s="73">
        <v>28000</v>
      </c>
      <c r="F26" s="73">
        <v>28000</v>
      </c>
      <c r="G26" s="73">
        <v>28000</v>
      </c>
      <c r="H26" s="73">
        <v>28000</v>
      </c>
      <c r="I26" s="73">
        <v>28000</v>
      </c>
      <c r="J26" s="73">
        <v>28000</v>
      </c>
      <c r="K26" s="73">
        <v>28000</v>
      </c>
      <c r="L26" s="73">
        <v>28000</v>
      </c>
      <c r="M26" s="73">
        <v>28000</v>
      </c>
      <c r="N26" s="73">
        <v>28000</v>
      </c>
      <c r="O26" s="73">
        <v>28000</v>
      </c>
      <c r="P26" s="73">
        <v>28000</v>
      </c>
      <c r="Q26" s="73">
        <v>28000</v>
      </c>
      <c r="R26" s="73">
        <v>28000</v>
      </c>
      <c r="S26" s="73">
        <v>28000</v>
      </c>
      <c r="T26" s="73">
        <v>28000</v>
      </c>
      <c r="U26" s="73">
        <v>28000</v>
      </c>
      <c r="V26" s="73">
        <v>28000</v>
      </c>
      <c r="W26" s="73">
        <v>28000</v>
      </c>
      <c r="X26" s="73">
        <v>28000</v>
      </c>
      <c r="Y26" s="73">
        <v>28000</v>
      </c>
      <c r="Z26" s="73">
        <v>28000</v>
      </c>
      <c r="AA26" s="49">
        <f t="shared" si="0"/>
        <v>672000</v>
      </c>
      <c r="AB26" s="50">
        <v>3</v>
      </c>
      <c r="AC26" s="49">
        <f t="shared" si="1"/>
        <v>2016000</v>
      </c>
      <c r="AD26" s="104"/>
    </row>
    <row r="27" spans="1:30" x14ac:dyDescent="0.35">
      <c r="A27" s="90">
        <v>46539</v>
      </c>
      <c r="B27" s="13" t="s">
        <v>39</v>
      </c>
      <c r="C27" s="73">
        <v>28000</v>
      </c>
      <c r="D27" s="73">
        <v>28000</v>
      </c>
      <c r="E27" s="73">
        <v>28000</v>
      </c>
      <c r="F27" s="73">
        <v>28000</v>
      </c>
      <c r="G27" s="73">
        <v>28000</v>
      </c>
      <c r="H27" s="73">
        <v>28000</v>
      </c>
      <c r="I27" s="73">
        <v>28000</v>
      </c>
      <c r="J27" s="73">
        <v>28000</v>
      </c>
      <c r="K27" s="73">
        <v>28000</v>
      </c>
      <c r="L27" s="73">
        <v>28000</v>
      </c>
      <c r="M27" s="73">
        <v>28000</v>
      </c>
      <c r="N27" s="73">
        <v>28000</v>
      </c>
      <c r="O27" s="73">
        <v>28000</v>
      </c>
      <c r="P27" s="73">
        <v>28000</v>
      </c>
      <c r="Q27" s="73">
        <v>28000</v>
      </c>
      <c r="R27" s="73">
        <v>28000</v>
      </c>
      <c r="S27" s="73">
        <v>28000</v>
      </c>
      <c r="T27" s="73">
        <v>28000</v>
      </c>
      <c r="U27" s="73">
        <v>28000</v>
      </c>
      <c r="V27" s="73">
        <v>28000</v>
      </c>
      <c r="W27" s="73">
        <v>28000</v>
      </c>
      <c r="X27" s="73">
        <v>28000</v>
      </c>
      <c r="Y27" s="73">
        <v>28000</v>
      </c>
      <c r="Z27" s="73">
        <v>28000</v>
      </c>
      <c r="AA27" s="49">
        <f t="shared" si="0"/>
        <v>672000</v>
      </c>
      <c r="AB27" s="50">
        <v>21</v>
      </c>
      <c r="AC27" s="49">
        <f t="shared" si="1"/>
        <v>14112000</v>
      </c>
      <c r="AD27" s="102">
        <f>+SUM(AC27:AC30)</f>
        <v>20160000</v>
      </c>
    </row>
    <row r="28" spans="1:30" x14ac:dyDescent="0.35">
      <c r="A28" s="91"/>
      <c r="B28" s="17" t="s">
        <v>40</v>
      </c>
      <c r="C28" s="73">
        <v>28000</v>
      </c>
      <c r="D28" s="73">
        <v>28000</v>
      </c>
      <c r="E28" s="73">
        <v>28000</v>
      </c>
      <c r="F28" s="73">
        <v>28000</v>
      </c>
      <c r="G28" s="73">
        <v>28000</v>
      </c>
      <c r="H28" s="73">
        <v>28000</v>
      </c>
      <c r="I28" s="73">
        <v>28000</v>
      </c>
      <c r="J28" s="73">
        <v>28000</v>
      </c>
      <c r="K28" s="73">
        <v>28000</v>
      </c>
      <c r="L28" s="73">
        <v>28000</v>
      </c>
      <c r="M28" s="73">
        <v>28000</v>
      </c>
      <c r="N28" s="73">
        <v>28000</v>
      </c>
      <c r="O28" s="73">
        <v>28000</v>
      </c>
      <c r="P28" s="73">
        <v>28000</v>
      </c>
      <c r="Q28" s="73">
        <v>28000</v>
      </c>
      <c r="R28" s="73">
        <v>28000</v>
      </c>
      <c r="S28" s="73">
        <v>28000</v>
      </c>
      <c r="T28" s="73">
        <v>28000</v>
      </c>
      <c r="U28" s="73">
        <v>28000</v>
      </c>
      <c r="V28" s="73">
        <v>28000</v>
      </c>
      <c r="W28" s="73">
        <v>28000</v>
      </c>
      <c r="X28" s="73">
        <v>28000</v>
      </c>
      <c r="Y28" s="73">
        <v>28000</v>
      </c>
      <c r="Z28" s="73">
        <v>28000</v>
      </c>
      <c r="AA28" s="49">
        <f t="shared" si="0"/>
        <v>672000</v>
      </c>
      <c r="AB28" s="50">
        <v>4</v>
      </c>
      <c r="AC28" s="49">
        <f t="shared" si="1"/>
        <v>2688000</v>
      </c>
      <c r="AD28" s="103"/>
    </row>
    <row r="29" spans="1:30" x14ac:dyDescent="0.35">
      <c r="A29" s="91"/>
      <c r="B29" s="17" t="s">
        <v>41</v>
      </c>
      <c r="C29" s="73">
        <v>28000</v>
      </c>
      <c r="D29" s="73">
        <v>28000</v>
      </c>
      <c r="E29" s="73">
        <v>28000</v>
      </c>
      <c r="F29" s="73">
        <v>28000</v>
      </c>
      <c r="G29" s="73">
        <v>28000</v>
      </c>
      <c r="H29" s="73">
        <v>28000</v>
      </c>
      <c r="I29" s="73">
        <v>28000</v>
      </c>
      <c r="J29" s="73">
        <v>28000</v>
      </c>
      <c r="K29" s="73">
        <v>28000</v>
      </c>
      <c r="L29" s="73">
        <v>28000</v>
      </c>
      <c r="M29" s="73">
        <v>28000</v>
      </c>
      <c r="N29" s="73">
        <v>28000</v>
      </c>
      <c r="O29" s="73">
        <v>28000</v>
      </c>
      <c r="P29" s="73">
        <v>28000</v>
      </c>
      <c r="Q29" s="73">
        <v>28000</v>
      </c>
      <c r="R29" s="73">
        <v>28000</v>
      </c>
      <c r="S29" s="73">
        <v>28000</v>
      </c>
      <c r="T29" s="73">
        <v>28000</v>
      </c>
      <c r="U29" s="73">
        <v>28000</v>
      </c>
      <c r="V29" s="73">
        <v>28000</v>
      </c>
      <c r="W29" s="73">
        <v>28000</v>
      </c>
      <c r="X29" s="73">
        <v>28000</v>
      </c>
      <c r="Y29" s="73">
        <v>28000</v>
      </c>
      <c r="Z29" s="73">
        <v>28000</v>
      </c>
      <c r="AA29" s="49">
        <f t="shared" si="0"/>
        <v>672000</v>
      </c>
      <c r="AB29" s="50">
        <v>4</v>
      </c>
      <c r="AC29" s="49">
        <f t="shared" si="1"/>
        <v>2688000</v>
      </c>
      <c r="AD29" s="103"/>
    </row>
    <row r="30" spans="1:30" x14ac:dyDescent="0.35">
      <c r="A30" s="92"/>
      <c r="B30" s="18" t="s">
        <v>42</v>
      </c>
      <c r="C30" s="73">
        <v>28000</v>
      </c>
      <c r="D30" s="73">
        <v>28000</v>
      </c>
      <c r="E30" s="73">
        <v>28000</v>
      </c>
      <c r="F30" s="73">
        <v>28000</v>
      </c>
      <c r="G30" s="73">
        <v>28000</v>
      </c>
      <c r="H30" s="73">
        <v>28000</v>
      </c>
      <c r="I30" s="73">
        <v>28000</v>
      </c>
      <c r="J30" s="73">
        <v>28000</v>
      </c>
      <c r="K30" s="73">
        <v>28000</v>
      </c>
      <c r="L30" s="73">
        <v>28000</v>
      </c>
      <c r="M30" s="73">
        <v>28000</v>
      </c>
      <c r="N30" s="73">
        <v>28000</v>
      </c>
      <c r="O30" s="73">
        <v>28000</v>
      </c>
      <c r="P30" s="73">
        <v>28000</v>
      </c>
      <c r="Q30" s="73">
        <v>28000</v>
      </c>
      <c r="R30" s="73">
        <v>28000</v>
      </c>
      <c r="S30" s="73">
        <v>28000</v>
      </c>
      <c r="T30" s="73">
        <v>28000</v>
      </c>
      <c r="U30" s="73">
        <v>28000</v>
      </c>
      <c r="V30" s="73">
        <v>28000</v>
      </c>
      <c r="W30" s="73">
        <v>28000</v>
      </c>
      <c r="X30" s="73">
        <v>28000</v>
      </c>
      <c r="Y30" s="73">
        <v>28000</v>
      </c>
      <c r="Z30" s="73">
        <v>28000</v>
      </c>
      <c r="AA30" s="49">
        <f t="shared" si="0"/>
        <v>672000</v>
      </c>
      <c r="AB30" s="50">
        <v>1</v>
      </c>
      <c r="AC30" s="49">
        <f t="shared" si="1"/>
        <v>672000</v>
      </c>
      <c r="AD30" s="104"/>
    </row>
    <row r="31" spans="1:30" x14ac:dyDescent="0.35">
      <c r="A31" s="90">
        <v>46569</v>
      </c>
      <c r="B31" s="13" t="s">
        <v>39</v>
      </c>
      <c r="C31" s="73">
        <v>28000</v>
      </c>
      <c r="D31" s="73">
        <v>28000</v>
      </c>
      <c r="E31" s="73">
        <v>28000</v>
      </c>
      <c r="F31" s="73">
        <v>28000</v>
      </c>
      <c r="G31" s="73">
        <v>28000</v>
      </c>
      <c r="H31" s="73">
        <v>28000</v>
      </c>
      <c r="I31" s="73">
        <v>28000</v>
      </c>
      <c r="J31" s="73">
        <v>28000</v>
      </c>
      <c r="K31" s="73">
        <v>28000</v>
      </c>
      <c r="L31" s="73">
        <v>28000</v>
      </c>
      <c r="M31" s="73">
        <v>28000</v>
      </c>
      <c r="N31" s="73">
        <v>28000</v>
      </c>
      <c r="O31" s="73">
        <v>28000</v>
      </c>
      <c r="P31" s="73">
        <v>28000</v>
      </c>
      <c r="Q31" s="73">
        <v>28000</v>
      </c>
      <c r="R31" s="73">
        <v>28000</v>
      </c>
      <c r="S31" s="73">
        <v>28000</v>
      </c>
      <c r="T31" s="73">
        <v>28000</v>
      </c>
      <c r="U31" s="73">
        <v>28000</v>
      </c>
      <c r="V31" s="73">
        <v>28000</v>
      </c>
      <c r="W31" s="73">
        <v>28000</v>
      </c>
      <c r="X31" s="73">
        <v>28000</v>
      </c>
      <c r="Y31" s="73">
        <v>28000</v>
      </c>
      <c r="Z31" s="73">
        <v>28000</v>
      </c>
      <c r="AA31" s="49">
        <f t="shared" si="0"/>
        <v>672000</v>
      </c>
      <c r="AB31" s="50">
        <v>20</v>
      </c>
      <c r="AC31" s="49">
        <f t="shared" si="1"/>
        <v>13440000</v>
      </c>
      <c r="AD31" s="102">
        <f>+SUM(AC31:AC34)</f>
        <v>20832000</v>
      </c>
    </row>
    <row r="32" spans="1:30" x14ac:dyDescent="0.35">
      <c r="A32" s="91"/>
      <c r="B32" s="17" t="s">
        <v>40</v>
      </c>
      <c r="C32" s="73">
        <v>28000</v>
      </c>
      <c r="D32" s="73">
        <v>28000</v>
      </c>
      <c r="E32" s="73">
        <v>28000</v>
      </c>
      <c r="F32" s="73">
        <v>28000</v>
      </c>
      <c r="G32" s="73">
        <v>28000</v>
      </c>
      <c r="H32" s="73">
        <v>28000</v>
      </c>
      <c r="I32" s="73">
        <v>28000</v>
      </c>
      <c r="J32" s="73">
        <v>28000</v>
      </c>
      <c r="K32" s="73">
        <v>28000</v>
      </c>
      <c r="L32" s="73">
        <v>28000</v>
      </c>
      <c r="M32" s="73">
        <v>28000</v>
      </c>
      <c r="N32" s="73">
        <v>28000</v>
      </c>
      <c r="O32" s="73">
        <v>28000</v>
      </c>
      <c r="P32" s="73">
        <v>28000</v>
      </c>
      <c r="Q32" s="73">
        <v>28000</v>
      </c>
      <c r="R32" s="73">
        <v>28000</v>
      </c>
      <c r="S32" s="73">
        <v>28000</v>
      </c>
      <c r="T32" s="73">
        <v>28000</v>
      </c>
      <c r="U32" s="73">
        <v>28000</v>
      </c>
      <c r="V32" s="73">
        <v>28000</v>
      </c>
      <c r="W32" s="73">
        <v>28000</v>
      </c>
      <c r="X32" s="73">
        <v>28000</v>
      </c>
      <c r="Y32" s="73">
        <v>28000</v>
      </c>
      <c r="Z32" s="73">
        <v>28000</v>
      </c>
      <c r="AA32" s="49">
        <f t="shared" si="0"/>
        <v>672000</v>
      </c>
      <c r="AB32" s="50">
        <v>5</v>
      </c>
      <c r="AC32" s="49">
        <f t="shared" si="1"/>
        <v>3360000</v>
      </c>
      <c r="AD32" s="103"/>
    </row>
    <row r="33" spans="1:30" x14ac:dyDescent="0.35">
      <c r="A33" s="91"/>
      <c r="B33" s="17" t="s">
        <v>41</v>
      </c>
      <c r="C33" s="73">
        <v>28000</v>
      </c>
      <c r="D33" s="73">
        <v>28000</v>
      </c>
      <c r="E33" s="73">
        <v>28000</v>
      </c>
      <c r="F33" s="73">
        <v>28000</v>
      </c>
      <c r="G33" s="73">
        <v>28000</v>
      </c>
      <c r="H33" s="73">
        <v>28000</v>
      </c>
      <c r="I33" s="73">
        <v>28000</v>
      </c>
      <c r="J33" s="73">
        <v>28000</v>
      </c>
      <c r="K33" s="73">
        <v>28000</v>
      </c>
      <c r="L33" s="73">
        <v>28000</v>
      </c>
      <c r="M33" s="73">
        <v>28000</v>
      </c>
      <c r="N33" s="73">
        <v>28000</v>
      </c>
      <c r="O33" s="73">
        <v>28000</v>
      </c>
      <c r="P33" s="73">
        <v>28000</v>
      </c>
      <c r="Q33" s="73">
        <v>28000</v>
      </c>
      <c r="R33" s="73">
        <v>28000</v>
      </c>
      <c r="S33" s="73">
        <v>28000</v>
      </c>
      <c r="T33" s="73">
        <v>28000</v>
      </c>
      <c r="U33" s="73">
        <v>28000</v>
      </c>
      <c r="V33" s="73">
        <v>28000</v>
      </c>
      <c r="W33" s="73">
        <v>28000</v>
      </c>
      <c r="X33" s="73">
        <v>28000</v>
      </c>
      <c r="Y33" s="73">
        <v>28000</v>
      </c>
      <c r="Z33" s="73">
        <v>28000</v>
      </c>
      <c r="AA33" s="49">
        <f t="shared" si="0"/>
        <v>672000</v>
      </c>
      <c r="AB33" s="50">
        <v>4</v>
      </c>
      <c r="AC33" s="49">
        <f t="shared" si="1"/>
        <v>2688000</v>
      </c>
      <c r="AD33" s="103"/>
    </row>
    <row r="34" spans="1:30" x14ac:dyDescent="0.35">
      <c r="A34" s="92"/>
      <c r="B34" s="18" t="s">
        <v>42</v>
      </c>
      <c r="C34" s="73">
        <v>28000</v>
      </c>
      <c r="D34" s="73">
        <v>28000</v>
      </c>
      <c r="E34" s="73">
        <v>28000</v>
      </c>
      <c r="F34" s="73">
        <v>28000</v>
      </c>
      <c r="G34" s="73">
        <v>28000</v>
      </c>
      <c r="H34" s="73">
        <v>28000</v>
      </c>
      <c r="I34" s="73">
        <v>28000</v>
      </c>
      <c r="J34" s="73">
        <v>28000</v>
      </c>
      <c r="K34" s="73">
        <v>28000</v>
      </c>
      <c r="L34" s="73">
        <v>28000</v>
      </c>
      <c r="M34" s="73">
        <v>28000</v>
      </c>
      <c r="N34" s="73">
        <v>28000</v>
      </c>
      <c r="O34" s="73">
        <v>28000</v>
      </c>
      <c r="P34" s="73">
        <v>28000</v>
      </c>
      <c r="Q34" s="73">
        <v>28000</v>
      </c>
      <c r="R34" s="73">
        <v>28000</v>
      </c>
      <c r="S34" s="73">
        <v>28000</v>
      </c>
      <c r="T34" s="73">
        <v>28000</v>
      </c>
      <c r="U34" s="73">
        <v>28000</v>
      </c>
      <c r="V34" s="73">
        <v>28000</v>
      </c>
      <c r="W34" s="73">
        <v>28000</v>
      </c>
      <c r="X34" s="73">
        <v>28000</v>
      </c>
      <c r="Y34" s="73">
        <v>28000</v>
      </c>
      <c r="Z34" s="73">
        <v>28000</v>
      </c>
      <c r="AA34" s="49">
        <f t="shared" si="0"/>
        <v>672000</v>
      </c>
      <c r="AB34" s="50">
        <v>2</v>
      </c>
      <c r="AC34" s="49">
        <f t="shared" si="1"/>
        <v>1344000</v>
      </c>
      <c r="AD34" s="104"/>
    </row>
    <row r="35" spans="1:30" x14ac:dyDescent="0.35">
      <c r="A35" s="90">
        <v>46600</v>
      </c>
      <c r="B35" s="13" t="s">
        <v>39</v>
      </c>
      <c r="C35" s="73">
        <v>28000</v>
      </c>
      <c r="D35" s="73">
        <v>28000</v>
      </c>
      <c r="E35" s="73">
        <v>28000</v>
      </c>
      <c r="F35" s="73">
        <v>28000</v>
      </c>
      <c r="G35" s="73">
        <v>28000</v>
      </c>
      <c r="H35" s="73">
        <v>28000</v>
      </c>
      <c r="I35" s="73">
        <v>28000</v>
      </c>
      <c r="J35" s="73">
        <v>28000</v>
      </c>
      <c r="K35" s="73">
        <v>28000</v>
      </c>
      <c r="L35" s="73">
        <v>28000</v>
      </c>
      <c r="M35" s="73">
        <v>28000</v>
      </c>
      <c r="N35" s="73">
        <v>28000</v>
      </c>
      <c r="O35" s="73">
        <v>28000</v>
      </c>
      <c r="P35" s="73">
        <v>28000</v>
      </c>
      <c r="Q35" s="73">
        <v>28000</v>
      </c>
      <c r="R35" s="73">
        <v>28000</v>
      </c>
      <c r="S35" s="73">
        <v>28000</v>
      </c>
      <c r="T35" s="73">
        <v>28000</v>
      </c>
      <c r="U35" s="73">
        <v>28000</v>
      </c>
      <c r="V35" s="73">
        <v>28000</v>
      </c>
      <c r="W35" s="73">
        <v>28000</v>
      </c>
      <c r="X35" s="73">
        <v>28000</v>
      </c>
      <c r="Y35" s="73">
        <v>28000</v>
      </c>
      <c r="Z35" s="73">
        <v>28000</v>
      </c>
      <c r="AA35" s="49">
        <f t="shared" si="0"/>
        <v>672000</v>
      </c>
      <c r="AB35" s="50">
        <v>21</v>
      </c>
      <c r="AC35" s="49">
        <f t="shared" si="1"/>
        <v>14112000</v>
      </c>
      <c r="AD35" s="102">
        <f>+SUM(AC35:AC38)</f>
        <v>20832000</v>
      </c>
    </row>
    <row r="36" spans="1:30" x14ac:dyDescent="0.35">
      <c r="A36" s="91"/>
      <c r="B36" s="17" t="s">
        <v>40</v>
      </c>
      <c r="C36" s="73">
        <v>28000</v>
      </c>
      <c r="D36" s="73">
        <v>28000</v>
      </c>
      <c r="E36" s="73">
        <v>28000</v>
      </c>
      <c r="F36" s="73">
        <v>28000</v>
      </c>
      <c r="G36" s="73">
        <v>28000</v>
      </c>
      <c r="H36" s="73">
        <v>28000</v>
      </c>
      <c r="I36" s="73">
        <v>28000</v>
      </c>
      <c r="J36" s="73">
        <v>28000</v>
      </c>
      <c r="K36" s="73">
        <v>28000</v>
      </c>
      <c r="L36" s="73">
        <v>28000</v>
      </c>
      <c r="M36" s="73">
        <v>28000</v>
      </c>
      <c r="N36" s="73">
        <v>28000</v>
      </c>
      <c r="O36" s="73">
        <v>28000</v>
      </c>
      <c r="P36" s="73">
        <v>28000</v>
      </c>
      <c r="Q36" s="73">
        <v>28000</v>
      </c>
      <c r="R36" s="73">
        <v>28000</v>
      </c>
      <c r="S36" s="73">
        <v>28000</v>
      </c>
      <c r="T36" s="73">
        <v>28000</v>
      </c>
      <c r="U36" s="73">
        <v>28000</v>
      </c>
      <c r="V36" s="73">
        <v>28000</v>
      </c>
      <c r="W36" s="73">
        <v>28000</v>
      </c>
      <c r="X36" s="73">
        <v>28000</v>
      </c>
      <c r="Y36" s="73">
        <v>28000</v>
      </c>
      <c r="Z36" s="73">
        <v>28000</v>
      </c>
      <c r="AA36" s="49">
        <f t="shared" si="0"/>
        <v>672000</v>
      </c>
      <c r="AB36" s="50">
        <v>3</v>
      </c>
      <c r="AC36" s="49">
        <f t="shared" si="1"/>
        <v>2016000</v>
      </c>
      <c r="AD36" s="103"/>
    </row>
    <row r="37" spans="1:30" x14ac:dyDescent="0.35">
      <c r="A37" s="91"/>
      <c r="B37" s="17" t="s">
        <v>41</v>
      </c>
      <c r="C37" s="73">
        <v>28000</v>
      </c>
      <c r="D37" s="73">
        <v>28000</v>
      </c>
      <c r="E37" s="73">
        <v>28000</v>
      </c>
      <c r="F37" s="73">
        <v>28000</v>
      </c>
      <c r="G37" s="73">
        <v>28000</v>
      </c>
      <c r="H37" s="73">
        <v>28000</v>
      </c>
      <c r="I37" s="73">
        <v>28000</v>
      </c>
      <c r="J37" s="73">
        <v>28000</v>
      </c>
      <c r="K37" s="73">
        <v>28000</v>
      </c>
      <c r="L37" s="73">
        <v>28000</v>
      </c>
      <c r="M37" s="73">
        <v>28000</v>
      </c>
      <c r="N37" s="73">
        <v>28000</v>
      </c>
      <c r="O37" s="73">
        <v>28000</v>
      </c>
      <c r="P37" s="73">
        <v>28000</v>
      </c>
      <c r="Q37" s="73">
        <v>28000</v>
      </c>
      <c r="R37" s="73">
        <v>28000</v>
      </c>
      <c r="S37" s="73">
        <v>28000</v>
      </c>
      <c r="T37" s="73">
        <v>28000</v>
      </c>
      <c r="U37" s="73">
        <v>28000</v>
      </c>
      <c r="V37" s="73">
        <v>28000</v>
      </c>
      <c r="W37" s="73">
        <v>28000</v>
      </c>
      <c r="X37" s="73">
        <v>28000</v>
      </c>
      <c r="Y37" s="73">
        <v>28000</v>
      </c>
      <c r="Z37" s="73">
        <v>28000</v>
      </c>
      <c r="AA37" s="49">
        <f t="shared" si="0"/>
        <v>672000</v>
      </c>
      <c r="AB37" s="50">
        <v>5</v>
      </c>
      <c r="AC37" s="49">
        <f t="shared" si="1"/>
        <v>3360000</v>
      </c>
      <c r="AD37" s="103"/>
    </row>
    <row r="38" spans="1:30" x14ac:dyDescent="0.35">
      <c r="A38" s="92"/>
      <c r="B38" s="18" t="s">
        <v>42</v>
      </c>
      <c r="C38" s="73">
        <v>28000</v>
      </c>
      <c r="D38" s="73">
        <v>28000</v>
      </c>
      <c r="E38" s="73">
        <v>28000</v>
      </c>
      <c r="F38" s="73">
        <v>28000</v>
      </c>
      <c r="G38" s="73">
        <v>28000</v>
      </c>
      <c r="H38" s="73">
        <v>28000</v>
      </c>
      <c r="I38" s="73">
        <v>28000</v>
      </c>
      <c r="J38" s="73">
        <v>28000</v>
      </c>
      <c r="K38" s="73">
        <v>28000</v>
      </c>
      <c r="L38" s="73">
        <v>28000</v>
      </c>
      <c r="M38" s="73">
        <v>28000</v>
      </c>
      <c r="N38" s="73">
        <v>28000</v>
      </c>
      <c r="O38" s="73">
        <v>28000</v>
      </c>
      <c r="P38" s="73">
        <v>28000</v>
      </c>
      <c r="Q38" s="73">
        <v>28000</v>
      </c>
      <c r="R38" s="73">
        <v>28000</v>
      </c>
      <c r="S38" s="73">
        <v>28000</v>
      </c>
      <c r="T38" s="73">
        <v>28000</v>
      </c>
      <c r="U38" s="73">
        <v>28000</v>
      </c>
      <c r="V38" s="73">
        <v>28000</v>
      </c>
      <c r="W38" s="73">
        <v>28000</v>
      </c>
      <c r="X38" s="73">
        <v>28000</v>
      </c>
      <c r="Y38" s="73">
        <v>28000</v>
      </c>
      <c r="Z38" s="73">
        <v>28000</v>
      </c>
      <c r="AA38" s="49">
        <f t="shared" si="0"/>
        <v>672000</v>
      </c>
      <c r="AB38" s="50">
        <v>2</v>
      </c>
      <c r="AC38" s="49">
        <f t="shared" si="1"/>
        <v>1344000</v>
      </c>
      <c r="AD38" s="104"/>
    </row>
    <row r="39" spans="1:30" x14ac:dyDescent="0.35">
      <c r="A39" s="90">
        <v>46631</v>
      </c>
      <c r="B39" s="13" t="s">
        <v>39</v>
      </c>
      <c r="C39" s="73">
        <v>28000</v>
      </c>
      <c r="D39" s="73">
        <v>28000</v>
      </c>
      <c r="E39" s="73">
        <v>28000</v>
      </c>
      <c r="F39" s="73">
        <v>28000</v>
      </c>
      <c r="G39" s="73">
        <v>28000</v>
      </c>
      <c r="H39" s="73">
        <v>28000</v>
      </c>
      <c r="I39" s="73">
        <v>28000</v>
      </c>
      <c r="J39" s="73">
        <v>28000</v>
      </c>
      <c r="K39" s="73">
        <v>28000</v>
      </c>
      <c r="L39" s="73">
        <v>28000</v>
      </c>
      <c r="M39" s="73">
        <v>28000</v>
      </c>
      <c r="N39" s="73">
        <v>28000</v>
      </c>
      <c r="O39" s="73">
        <v>28000</v>
      </c>
      <c r="P39" s="73">
        <v>28000</v>
      </c>
      <c r="Q39" s="73">
        <v>28000</v>
      </c>
      <c r="R39" s="73">
        <v>28000</v>
      </c>
      <c r="S39" s="73">
        <v>28000</v>
      </c>
      <c r="T39" s="73">
        <v>28000</v>
      </c>
      <c r="U39" s="73">
        <v>28000</v>
      </c>
      <c r="V39" s="73">
        <v>28000</v>
      </c>
      <c r="W39" s="73">
        <v>28000</v>
      </c>
      <c r="X39" s="73">
        <v>28000</v>
      </c>
      <c r="Y39" s="73">
        <v>28000</v>
      </c>
      <c r="Z39" s="73">
        <v>28000</v>
      </c>
      <c r="AA39" s="49">
        <f t="shared" si="0"/>
        <v>672000</v>
      </c>
      <c r="AB39" s="50">
        <v>22</v>
      </c>
      <c r="AC39" s="49">
        <f t="shared" si="1"/>
        <v>14784000</v>
      </c>
      <c r="AD39" s="102">
        <f>+SUM(AC39:AC42)</f>
        <v>20160000</v>
      </c>
    </row>
    <row r="40" spans="1:30" x14ac:dyDescent="0.35">
      <c r="A40" s="91"/>
      <c r="B40" s="17" t="s">
        <v>40</v>
      </c>
      <c r="C40" s="73">
        <v>28000</v>
      </c>
      <c r="D40" s="73">
        <v>28000</v>
      </c>
      <c r="E40" s="73">
        <v>28000</v>
      </c>
      <c r="F40" s="73">
        <v>28000</v>
      </c>
      <c r="G40" s="73">
        <v>28000</v>
      </c>
      <c r="H40" s="73">
        <v>28000</v>
      </c>
      <c r="I40" s="73">
        <v>28000</v>
      </c>
      <c r="J40" s="73">
        <v>28000</v>
      </c>
      <c r="K40" s="73">
        <v>28000</v>
      </c>
      <c r="L40" s="73">
        <v>28000</v>
      </c>
      <c r="M40" s="73">
        <v>28000</v>
      </c>
      <c r="N40" s="73">
        <v>28000</v>
      </c>
      <c r="O40" s="73">
        <v>28000</v>
      </c>
      <c r="P40" s="73">
        <v>28000</v>
      </c>
      <c r="Q40" s="73">
        <v>28000</v>
      </c>
      <c r="R40" s="73">
        <v>28000</v>
      </c>
      <c r="S40" s="73">
        <v>28000</v>
      </c>
      <c r="T40" s="73">
        <v>28000</v>
      </c>
      <c r="U40" s="73">
        <v>28000</v>
      </c>
      <c r="V40" s="73">
        <v>28000</v>
      </c>
      <c r="W40" s="73">
        <v>28000</v>
      </c>
      <c r="X40" s="73">
        <v>28000</v>
      </c>
      <c r="Y40" s="73">
        <v>28000</v>
      </c>
      <c r="Z40" s="73">
        <v>28000</v>
      </c>
      <c r="AA40" s="49">
        <f t="shared" si="0"/>
        <v>672000</v>
      </c>
      <c r="AB40" s="50">
        <v>4</v>
      </c>
      <c r="AC40" s="49">
        <f t="shared" si="1"/>
        <v>2688000</v>
      </c>
      <c r="AD40" s="103"/>
    </row>
    <row r="41" spans="1:30" x14ac:dyDescent="0.35">
      <c r="A41" s="91"/>
      <c r="B41" s="17" t="s">
        <v>41</v>
      </c>
      <c r="C41" s="73">
        <v>28000</v>
      </c>
      <c r="D41" s="73">
        <v>28000</v>
      </c>
      <c r="E41" s="73">
        <v>28000</v>
      </c>
      <c r="F41" s="73">
        <v>28000</v>
      </c>
      <c r="G41" s="73">
        <v>28000</v>
      </c>
      <c r="H41" s="73">
        <v>28000</v>
      </c>
      <c r="I41" s="73">
        <v>28000</v>
      </c>
      <c r="J41" s="73">
        <v>28000</v>
      </c>
      <c r="K41" s="73">
        <v>28000</v>
      </c>
      <c r="L41" s="73">
        <v>28000</v>
      </c>
      <c r="M41" s="73">
        <v>28000</v>
      </c>
      <c r="N41" s="73">
        <v>28000</v>
      </c>
      <c r="O41" s="73">
        <v>28000</v>
      </c>
      <c r="P41" s="73">
        <v>28000</v>
      </c>
      <c r="Q41" s="73">
        <v>28000</v>
      </c>
      <c r="R41" s="73">
        <v>28000</v>
      </c>
      <c r="S41" s="73">
        <v>28000</v>
      </c>
      <c r="T41" s="73">
        <v>28000</v>
      </c>
      <c r="U41" s="73">
        <v>28000</v>
      </c>
      <c r="V41" s="73">
        <v>28000</v>
      </c>
      <c r="W41" s="73">
        <v>28000</v>
      </c>
      <c r="X41" s="73">
        <v>28000</v>
      </c>
      <c r="Y41" s="73">
        <v>28000</v>
      </c>
      <c r="Z41" s="73">
        <v>28000</v>
      </c>
      <c r="AA41" s="49">
        <f t="shared" si="0"/>
        <v>672000</v>
      </c>
      <c r="AB41" s="50">
        <v>4</v>
      </c>
      <c r="AC41" s="49">
        <f t="shared" si="1"/>
        <v>2688000</v>
      </c>
      <c r="AD41" s="103"/>
    </row>
    <row r="42" spans="1:30" x14ac:dyDescent="0.35">
      <c r="A42" s="92"/>
      <c r="B42" s="18" t="s">
        <v>42</v>
      </c>
      <c r="C42" s="73"/>
      <c r="D42" s="73"/>
      <c r="E42" s="73"/>
      <c r="F42" s="73"/>
      <c r="G42" s="73"/>
      <c r="H42" s="73"/>
      <c r="I42" s="73"/>
      <c r="J42" s="73"/>
      <c r="K42" s="73"/>
      <c r="L42" s="73"/>
      <c r="M42" s="73"/>
      <c r="N42" s="73"/>
      <c r="O42" s="73"/>
      <c r="P42" s="73"/>
      <c r="Q42" s="73"/>
      <c r="R42" s="73"/>
      <c r="S42" s="73"/>
      <c r="T42" s="73"/>
      <c r="U42" s="73"/>
      <c r="V42" s="73"/>
      <c r="W42" s="73"/>
      <c r="X42" s="73"/>
      <c r="Y42" s="73"/>
      <c r="Z42" s="73"/>
      <c r="AA42" s="49">
        <f t="shared" si="0"/>
        <v>0</v>
      </c>
      <c r="AB42" s="50">
        <v>0</v>
      </c>
      <c r="AC42" s="49">
        <f t="shared" si="1"/>
        <v>0</v>
      </c>
      <c r="AD42" s="104"/>
    </row>
    <row r="43" spans="1:30" x14ac:dyDescent="0.35">
      <c r="A43" s="90">
        <v>46661</v>
      </c>
      <c r="B43" s="13" t="s">
        <v>39</v>
      </c>
      <c r="C43" s="73">
        <v>28000</v>
      </c>
      <c r="D43" s="73">
        <v>28000</v>
      </c>
      <c r="E43" s="73">
        <v>28000</v>
      </c>
      <c r="F43" s="73">
        <v>28000</v>
      </c>
      <c r="G43" s="73">
        <v>28000</v>
      </c>
      <c r="H43" s="73">
        <v>28000</v>
      </c>
      <c r="I43" s="73">
        <v>28000</v>
      </c>
      <c r="J43" s="73">
        <v>28000</v>
      </c>
      <c r="K43" s="73">
        <v>28000</v>
      </c>
      <c r="L43" s="73">
        <v>28000</v>
      </c>
      <c r="M43" s="73">
        <v>28000</v>
      </c>
      <c r="N43" s="73">
        <v>28000</v>
      </c>
      <c r="O43" s="73">
        <v>28000</v>
      </c>
      <c r="P43" s="73">
        <v>28000</v>
      </c>
      <c r="Q43" s="73">
        <v>28000</v>
      </c>
      <c r="R43" s="73">
        <v>28000</v>
      </c>
      <c r="S43" s="73">
        <v>28000</v>
      </c>
      <c r="T43" s="73">
        <v>28000</v>
      </c>
      <c r="U43" s="73">
        <v>28000</v>
      </c>
      <c r="V43" s="73">
        <v>28000</v>
      </c>
      <c r="W43" s="73">
        <v>28000</v>
      </c>
      <c r="X43" s="73">
        <v>28000</v>
      </c>
      <c r="Y43" s="73">
        <v>28000</v>
      </c>
      <c r="Z43" s="73">
        <v>28000</v>
      </c>
      <c r="AA43" s="49">
        <f t="shared" si="0"/>
        <v>672000</v>
      </c>
      <c r="AB43" s="50">
        <v>20</v>
      </c>
      <c r="AC43" s="49">
        <f t="shared" si="1"/>
        <v>13440000</v>
      </c>
      <c r="AD43" s="102">
        <f>+SUM(AC43:AC46)</f>
        <v>20832000</v>
      </c>
    </row>
    <row r="44" spans="1:30" x14ac:dyDescent="0.35">
      <c r="A44" s="91"/>
      <c r="B44" s="17" t="s">
        <v>40</v>
      </c>
      <c r="C44" s="73">
        <v>28000</v>
      </c>
      <c r="D44" s="73">
        <v>28000</v>
      </c>
      <c r="E44" s="73">
        <v>28000</v>
      </c>
      <c r="F44" s="73">
        <v>28000</v>
      </c>
      <c r="G44" s="73">
        <v>28000</v>
      </c>
      <c r="H44" s="73">
        <v>28000</v>
      </c>
      <c r="I44" s="73">
        <v>28000</v>
      </c>
      <c r="J44" s="73">
        <v>28000</v>
      </c>
      <c r="K44" s="73">
        <v>28000</v>
      </c>
      <c r="L44" s="73">
        <v>28000</v>
      </c>
      <c r="M44" s="73">
        <v>28000</v>
      </c>
      <c r="N44" s="73">
        <v>28000</v>
      </c>
      <c r="O44" s="73">
        <v>28000</v>
      </c>
      <c r="P44" s="73">
        <v>28000</v>
      </c>
      <c r="Q44" s="73">
        <v>28000</v>
      </c>
      <c r="R44" s="73">
        <v>28000</v>
      </c>
      <c r="S44" s="73">
        <v>28000</v>
      </c>
      <c r="T44" s="73">
        <v>28000</v>
      </c>
      <c r="U44" s="73">
        <v>28000</v>
      </c>
      <c r="V44" s="73">
        <v>28000</v>
      </c>
      <c r="W44" s="73">
        <v>28000</v>
      </c>
      <c r="X44" s="73">
        <v>28000</v>
      </c>
      <c r="Y44" s="73">
        <v>28000</v>
      </c>
      <c r="Z44" s="73">
        <v>28000</v>
      </c>
      <c r="AA44" s="49">
        <f t="shared" si="0"/>
        <v>672000</v>
      </c>
      <c r="AB44" s="50">
        <v>5</v>
      </c>
      <c r="AC44" s="49">
        <f t="shared" si="1"/>
        <v>3360000</v>
      </c>
      <c r="AD44" s="103"/>
    </row>
    <row r="45" spans="1:30" x14ac:dyDescent="0.35">
      <c r="A45" s="91"/>
      <c r="B45" s="17" t="s">
        <v>41</v>
      </c>
      <c r="C45" s="73">
        <v>28000</v>
      </c>
      <c r="D45" s="73">
        <v>28000</v>
      </c>
      <c r="E45" s="73">
        <v>28000</v>
      </c>
      <c r="F45" s="73">
        <v>28000</v>
      </c>
      <c r="G45" s="73">
        <v>28000</v>
      </c>
      <c r="H45" s="73">
        <v>28000</v>
      </c>
      <c r="I45" s="73">
        <v>28000</v>
      </c>
      <c r="J45" s="73">
        <v>28000</v>
      </c>
      <c r="K45" s="73">
        <v>28000</v>
      </c>
      <c r="L45" s="73">
        <v>28000</v>
      </c>
      <c r="M45" s="73">
        <v>28000</v>
      </c>
      <c r="N45" s="73">
        <v>28000</v>
      </c>
      <c r="O45" s="73">
        <v>28000</v>
      </c>
      <c r="P45" s="73">
        <v>28000</v>
      </c>
      <c r="Q45" s="73">
        <v>28000</v>
      </c>
      <c r="R45" s="73">
        <v>28000</v>
      </c>
      <c r="S45" s="73">
        <v>28000</v>
      </c>
      <c r="T45" s="73">
        <v>28000</v>
      </c>
      <c r="U45" s="73">
        <v>28000</v>
      </c>
      <c r="V45" s="73">
        <v>28000</v>
      </c>
      <c r="W45" s="73">
        <v>28000</v>
      </c>
      <c r="X45" s="73">
        <v>28000</v>
      </c>
      <c r="Y45" s="73">
        <v>28000</v>
      </c>
      <c r="Z45" s="73">
        <v>28000</v>
      </c>
      <c r="AA45" s="49">
        <f t="shared" si="0"/>
        <v>672000</v>
      </c>
      <c r="AB45" s="50">
        <v>5</v>
      </c>
      <c r="AC45" s="49">
        <f t="shared" si="1"/>
        <v>3360000</v>
      </c>
      <c r="AD45" s="103"/>
    </row>
    <row r="46" spans="1:30" x14ac:dyDescent="0.35">
      <c r="A46" s="92"/>
      <c r="B46" s="18" t="s">
        <v>42</v>
      </c>
      <c r="C46" s="73">
        <v>28000</v>
      </c>
      <c r="D46" s="73">
        <v>28000</v>
      </c>
      <c r="E46" s="73">
        <v>28000</v>
      </c>
      <c r="F46" s="73">
        <v>28000</v>
      </c>
      <c r="G46" s="73">
        <v>28000</v>
      </c>
      <c r="H46" s="73">
        <v>28000</v>
      </c>
      <c r="I46" s="73">
        <v>28000</v>
      </c>
      <c r="J46" s="73">
        <v>28000</v>
      </c>
      <c r="K46" s="73">
        <v>28000</v>
      </c>
      <c r="L46" s="73">
        <v>28000</v>
      </c>
      <c r="M46" s="73">
        <v>28000</v>
      </c>
      <c r="N46" s="73">
        <v>28000</v>
      </c>
      <c r="O46" s="73">
        <v>28000</v>
      </c>
      <c r="P46" s="73">
        <v>28000</v>
      </c>
      <c r="Q46" s="73">
        <v>28000</v>
      </c>
      <c r="R46" s="73">
        <v>28000</v>
      </c>
      <c r="S46" s="73">
        <v>28000</v>
      </c>
      <c r="T46" s="73">
        <v>28000</v>
      </c>
      <c r="U46" s="73">
        <v>28000</v>
      </c>
      <c r="V46" s="73">
        <v>28000</v>
      </c>
      <c r="W46" s="73">
        <v>28000</v>
      </c>
      <c r="X46" s="73">
        <v>28000</v>
      </c>
      <c r="Y46" s="73">
        <v>28000</v>
      </c>
      <c r="Z46" s="73">
        <v>28000</v>
      </c>
      <c r="AA46" s="49">
        <f t="shared" si="0"/>
        <v>672000</v>
      </c>
      <c r="AB46" s="50">
        <v>1</v>
      </c>
      <c r="AC46" s="49">
        <f t="shared" si="1"/>
        <v>672000</v>
      </c>
      <c r="AD46" s="104"/>
    </row>
    <row r="47" spans="1:30" x14ac:dyDescent="0.35">
      <c r="A47" s="90">
        <v>46692</v>
      </c>
      <c r="B47" s="13" t="s">
        <v>39</v>
      </c>
      <c r="C47" s="73">
        <v>28000</v>
      </c>
      <c r="D47" s="73">
        <v>28000</v>
      </c>
      <c r="E47" s="73">
        <v>28000</v>
      </c>
      <c r="F47" s="73">
        <v>28000</v>
      </c>
      <c r="G47" s="73">
        <v>28000</v>
      </c>
      <c r="H47" s="73">
        <v>28000</v>
      </c>
      <c r="I47" s="73">
        <v>28000</v>
      </c>
      <c r="J47" s="73">
        <v>28000</v>
      </c>
      <c r="K47" s="73">
        <v>28000</v>
      </c>
      <c r="L47" s="73">
        <v>28000</v>
      </c>
      <c r="M47" s="73">
        <v>28000</v>
      </c>
      <c r="N47" s="73">
        <v>28000</v>
      </c>
      <c r="O47" s="73">
        <v>28000</v>
      </c>
      <c r="P47" s="73">
        <v>28000</v>
      </c>
      <c r="Q47" s="73">
        <v>28000</v>
      </c>
      <c r="R47" s="73">
        <v>28000</v>
      </c>
      <c r="S47" s="73">
        <v>28000</v>
      </c>
      <c r="T47" s="73">
        <v>28000</v>
      </c>
      <c r="U47" s="73">
        <v>28000</v>
      </c>
      <c r="V47" s="73">
        <v>28000</v>
      </c>
      <c r="W47" s="73">
        <v>28000</v>
      </c>
      <c r="X47" s="73">
        <v>28000</v>
      </c>
      <c r="Y47" s="73">
        <v>28000</v>
      </c>
      <c r="Z47" s="73">
        <v>28000</v>
      </c>
      <c r="AA47" s="49">
        <f t="shared" si="0"/>
        <v>672000</v>
      </c>
      <c r="AB47" s="50">
        <v>20</v>
      </c>
      <c r="AC47" s="49">
        <f t="shared" si="1"/>
        <v>13440000</v>
      </c>
      <c r="AD47" s="102">
        <f>+SUM(AC47:AC50)</f>
        <v>20160000</v>
      </c>
    </row>
    <row r="48" spans="1:30" x14ac:dyDescent="0.35">
      <c r="A48" s="91"/>
      <c r="B48" s="17" t="s">
        <v>40</v>
      </c>
      <c r="C48" s="73">
        <v>28000</v>
      </c>
      <c r="D48" s="73">
        <v>28000</v>
      </c>
      <c r="E48" s="73">
        <v>28000</v>
      </c>
      <c r="F48" s="73">
        <v>28000</v>
      </c>
      <c r="G48" s="73">
        <v>28000</v>
      </c>
      <c r="H48" s="73">
        <v>28000</v>
      </c>
      <c r="I48" s="73">
        <v>28000</v>
      </c>
      <c r="J48" s="73">
        <v>28000</v>
      </c>
      <c r="K48" s="73">
        <v>28000</v>
      </c>
      <c r="L48" s="73">
        <v>28000</v>
      </c>
      <c r="M48" s="73">
        <v>28000</v>
      </c>
      <c r="N48" s="73">
        <v>28000</v>
      </c>
      <c r="O48" s="73">
        <v>28000</v>
      </c>
      <c r="P48" s="73">
        <v>28000</v>
      </c>
      <c r="Q48" s="73">
        <v>28000</v>
      </c>
      <c r="R48" s="73">
        <v>28000</v>
      </c>
      <c r="S48" s="73">
        <v>28000</v>
      </c>
      <c r="T48" s="73">
        <v>28000</v>
      </c>
      <c r="U48" s="73">
        <v>28000</v>
      </c>
      <c r="V48" s="73">
        <v>28000</v>
      </c>
      <c r="W48" s="73">
        <v>28000</v>
      </c>
      <c r="X48" s="73">
        <v>28000</v>
      </c>
      <c r="Y48" s="73">
        <v>28000</v>
      </c>
      <c r="Z48" s="73">
        <v>28000</v>
      </c>
      <c r="AA48" s="49">
        <f t="shared" si="0"/>
        <v>672000</v>
      </c>
      <c r="AB48" s="50">
        <v>4</v>
      </c>
      <c r="AC48" s="49">
        <f t="shared" si="1"/>
        <v>2688000</v>
      </c>
      <c r="AD48" s="103"/>
    </row>
    <row r="49" spans="1:30" x14ac:dyDescent="0.35">
      <c r="A49" s="91"/>
      <c r="B49" s="17" t="s">
        <v>41</v>
      </c>
      <c r="C49" s="73">
        <v>28000</v>
      </c>
      <c r="D49" s="73">
        <v>28000</v>
      </c>
      <c r="E49" s="73">
        <v>28000</v>
      </c>
      <c r="F49" s="73">
        <v>28000</v>
      </c>
      <c r="G49" s="73">
        <v>28000</v>
      </c>
      <c r="H49" s="73">
        <v>28000</v>
      </c>
      <c r="I49" s="73">
        <v>28000</v>
      </c>
      <c r="J49" s="73">
        <v>28000</v>
      </c>
      <c r="K49" s="73">
        <v>28000</v>
      </c>
      <c r="L49" s="73">
        <v>28000</v>
      </c>
      <c r="M49" s="73">
        <v>28000</v>
      </c>
      <c r="N49" s="73">
        <v>28000</v>
      </c>
      <c r="O49" s="73">
        <v>28000</v>
      </c>
      <c r="P49" s="73">
        <v>28000</v>
      </c>
      <c r="Q49" s="73">
        <v>28000</v>
      </c>
      <c r="R49" s="73">
        <v>28000</v>
      </c>
      <c r="S49" s="73">
        <v>28000</v>
      </c>
      <c r="T49" s="73">
        <v>28000</v>
      </c>
      <c r="U49" s="73">
        <v>28000</v>
      </c>
      <c r="V49" s="73">
        <v>28000</v>
      </c>
      <c r="W49" s="73">
        <v>28000</v>
      </c>
      <c r="X49" s="73">
        <v>28000</v>
      </c>
      <c r="Y49" s="73">
        <v>28000</v>
      </c>
      <c r="Z49" s="73">
        <v>28000</v>
      </c>
      <c r="AA49" s="49">
        <f t="shared" si="0"/>
        <v>672000</v>
      </c>
      <c r="AB49" s="50">
        <v>4</v>
      </c>
      <c r="AC49" s="49">
        <f t="shared" si="1"/>
        <v>2688000</v>
      </c>
      <c r="AD49" s="103"/>
    </row>
    <row r="50" spans="1:30" x14ac:dyDescent="0.35">
      <c r="A50" s="92"/>
      <c r="B50" s="18" t="s">
        <v>42</v>
      </c>
      <c r="C50" s="73">
        <v>28000</v>
      </c>
      <c r="D50" s="73">
        <v>28000</v>
      </c>
      <c r="E50" s="73">
        <v>28000</v>
      </c>
      <c r="F50" s="73">
        <v>28000</v>
      </c>
      <c r="G50" s="73">
        <v>28000</v>
      </c>
      <c r="H50" s="73">
        <v>28000</v>
      </c>
      <c r="I50" s="73">
        <v>28000</v>
      </c>
      <c r="J50" s="73">
        <v>28000</v>
      </c>
      <c r="K50" s="73">
        <v>28000</v>
      </c>
      <c r="L50" s="73">
        <v>28000</v>
      </c>
      <c r="M50" s="73">
        <v>28000</v>
      </c>
      <c r="N50" s="73">
        <v>28000</v>
      </c>
      <c r="O50" s="73">
        <v>28000</v>
      </c>
      <c r="P50" s="73">
        <v>28000</v>
      </c>
      <c r="Q50" s="73">
        <v>28000</v>
      </c>
      <c r="R50" s="73">
        <v>28000</v>
      </c>
      <c r="S50" s="73">
        <v>28000</v>
      </c>
      <c r="T50" s="73">
        <v>28000</v>
      </c>
      <c r="U50" s="73">
        <v>28000</v>
      </c>
      <c r="V50" s="73">
        <v>28000</v>
      </c>
      <c r="W50" s="73">
        <v>28000</v>
      </c>
      <c r="X50" s="73">
        <v>28000</v>
      </c>
      <c r="Y50" s="73">
        <v>28000</v>
      </c>
      <c r="Z50" s="73">
        <v>28000</v>
      </c>
      <c r="AA50" s="49">
        <f t="shared" si="0"/>
        <v>672000</v>
      </c>
      <c r="AB50" s="50">
        <v>2</v>
      </c>
      <c r="AC50" s="49">
        <f t="shared" si="1"/>
        <v>1344000</v>
      </c>
      <c r="AD50" s="104"/>
    </row>
    <row r="51" spans="1:30" x14ac:dyDescent="0.35">
      <c r="A51" s="90">
        <v>46722</v>
      </c>
      <c r="B51" s="13" t="s">
        <v>39</v>
      </c>
      <c r="C51" s="73">
        <v>28000</v>
      </c>
      <c r="D51" s="73">
        <v>28000</v>
      </c>
      <c r="E51" s="73">
        <v>28000</v>
      </c>
      <c r="F51" s="73">
        <v>28000</v>
      </c>
      <c r="G51" s="73">
        <v>28000</v>
      </c>
      <c r="H51" s="73">
        <v>28000</v>
      </c>
      <c r="I51" s="73">
        <v>28000</v>
      </c>
      <c r="J51" s="73">
        <v>28000</v>
      </c>
      <c r="K51" s="73">
        <v>28000</v>
      </c>
      <c r="L51" s="73">
        <v>28000</v>
      </c>
      <c r="M51" s="73">
        <v>28000</v>
      </c>
      <c r="N51" s="73">
        <v>28000</v>
      </c>
      <c r="O51" s="73">
        <v>28000</v>
      </c>
      <c r="P51" s="73">
        <v>28000</v>
      </c>
      <c r="Q51" s="73">
        <v>28000</v>
      </c>
      <c r="R51" s="73">
        <v>28000</v>
      </c>
      <c r="S51" s="73">
        <v>28000</v>
      </c>
      <c r="T51" s="73">
        <v>28000</v>
      </c>
      <c r="U51" s="73">
        <v>28000</v>
      </c>
      <c r="V51" s="73">
        <v>28000</v>
      </c>
      <c r="W51" s="73">
        <v>28000</v>
      </c>
      <c r="X51" s="73">
        <v>28000</v>
      </c>
      <c r="Y51" s="73">
        <v>28000</v>
      </c>
      <c r="Z51" s="73">
        <v>28000</v>
      </c>
      <c r="AA51" s="49">
        <f t="shared" si="0"/>
        <v>672000</v>
      </c>
      <c r="AB51" s="50">
        <v>22</v>
      </c>
      <c r="AC51" s="49">
        <f t="shared" si="1"/>
        <v>14784000</v>
      </c>
      <c r="AD51" s="102">
        <f>+SUM(AC51:AC54)</f>
        <v>20832000</v>
      </c>
    </row>
    <row r="52" spans="1:30" x14ac:dyDescent="0.35">
      <c r="A52" s="91"/>
      <c r="B52" s="17" t="s">
        <v>40</v>
      </c>
      <c r="C52" s="73">
        <v>28000</v>
      </c>
      <c r="D52" s="73">
        <v>28000</v>
      </c>
      <c r="E52" s="73">
        <v>28000</v>
      </c>
      <c r="F52" s="73">
        <v>28000</v>
      </c>
      <c r="G52" s="73">
        <v>28000</v>
      </c>
      <c r="H52" s="73">
        <v>28000</v>
      </c>
      <c r="I52" s="73">
        <v>28000</v>
      </c>
      <c r="J52" s="73">
        <v>28000</v>
      </c>
      <c r="K52" s="73">
        <v>28000</v>
      </c>
      <c r="L52" s="73">
        <v>28000</v>
      </c>
      <c r="M52" s="73">
        <v>28000</v>
      </c>
      <c r="N52" s="73">
        <v>28000</v>
      </c>
      <c r="O52" s="73">
        <v>28000</v>
      </c>
      <c r="P52" s="73">
        <v>28000</v>
      </c>
      <c r="Q52" s="73">
        <v>28000</v>
      </c>
      <c r="R52" s="73">
        <v>28000</v>
      </c>
      <c r="S52" s="73">
        <v>28000</v>
      </c>
      <c r="T52" s="73">
        <v>28000</v>
      </c>
      <c r="U52" s="73">
        <v>28000</v>
      </c>
      <c r="V52" s="73">
        <v>28000</v>
      </c>
      <c r="W52" s="73">
        <v>28000</v>
      </c>
      <c r="X52" s="73">
        <v>28000</v>
      </c>
      <c r="Y52" s="73">
        <v>28000</v>
      </c>
      <c r="Z52" s="73">
        <v>28000</v>
      </c>
      <c r="AA52" s="49">
        <f t="shared" si="0"/>
        <v>672000</v>
      </c>
      <c r="AB52" s="50">
        <v>3</v>
      </c>
      <c r="AC52" s="49">
        <f t="shared" si="1"/>
        <v>2016000</v>
      </c>
      <c r="AD52" s="103"/>
    </row>
    <row r="53" spans="1:30" x14ac:dyDescent="0.35">
      <c r="A53" s="91"/>
      <c r="B53" s="17" t="s">
        <v>41</v>
      </c>
      <c r="C53" s="73">
        <v>28000</v>
      </c>
      <c r="D53" s="73">
        <v>28000</v>
      </c>
      <c r="E53" s="73">
        <v>28000</v>
      </c>
      <c r="F53" s="73">
        <v>28000</v>
      </c>
      <c r="G53" s="73">
        <v>28000</v>
      </c>
      <c r="H53" s="73">
        <v>28000</v>
      </c>
      <c r="I53" s="73">
        <v>28000</v>
      </c>
      <c r="J53" s="73">
        <v>28000</v>
      </c>
      <c r="K53" s="73">
        <v>28000</v>
      </c>
      <c r="L53" s="73">
        <v>28000</v>
      </c>
      <c r="M53" s="73">
        <v>28000</v>
      </c>
      <c r="N53" s="73">
        <v>28000</v>
      </c>
      <c r="O53" s="73">
        <v>28000</v>
      </c>
      <c r="P53" s="73">
        <v>28000</v>
      </c>
      <c r="Q53" s="73">
        <v>28000</v>
      </c>
      <c r="R53" s="73">
        <v>28000</v>
      </c>
      <c r="S53" s="73">
        <v>28000</v>
      </c>
      <c r="T53" s="73">
        <v>28000</v>
      </c>
      <c r="U53" s="73">
        <v>28000</v>
      </c>
      <c r="V53" s="73">
        <v>28000</v>
      </c>
      <c r="W53" s="73">
        <v>28000</v>
      </c>
      <c r="X53" s="73">
        <v>28000</v>
      </c>
      <c r="Y53" s="73">
        <v>28000</v>
      </c>
      <c r="Z53" s="73">
        <v>28000</v>
      </c>
      <c r="AA53" s="49">
        <f t="shared" si="0"/>
        <v>672000</v>
      </c>
      <c r="AB53" s="50">
        <v>4</v>
      </c>
      <c r="AC53" s="49">
        <f t="shared" si="1"/>
        <v>2688000</v>
      </c>
      <c r="AD53" s="103"/>
    </row>
    <row r="54" spans="1:30" x14ac:dyDescent="0.35">
      <c r="A54" s="92"/>
      <c r="B54" s="18" t="s">
        <v>42</v>
      </c>
      <c r="C54" s="73">
        <v>28000</v>
      </c>
      <c r="D54" s="73">
        <v>28000</v>
      </c>
      <c r="E54" s="73">
        <v>28000</v>
      </c>
      <c r="F54" s="73">
        <v>28000</v>
      </c>
      <c r="G54" s="73">
        <v>28000</v>
      </c>
      <c r="H54" s="73">
        <v>28000</v>
      </c>
      <c r="I54" s="73">
        <v>28000</v>
      </c>
      <c r="J54" s="73">
        <v>28000</v>
      </c>
      <c r="K54" s="73">
        <v>28000</v>
      </c>
      <c r="L54" s="73">
        <v>28000</v>
      </c>
      <c r="M54" s="73">
        <v>28000</v>
      </c>
      <c r="N54" s="73">
        <v>28000</v>
      </c>
      <c r="O54" s="73">
        <v>28000</v>
      </c>
      <c r="P54" s="73">
        <v>28000</v>
      </c>
      <c r="Q54" s="73">
        <v>28000</v>
      </c>
      <c r="R54" s="73">
        <v>28000</v>
      </c>
      <c r="S54" s="73">
        <v>28000</v>
      </c>
      <c r="T54" s="73">
        <v>28000</v>
      </c>
      <c r="U54" s="73">
        <v>28000</v>
      </c>
      <c r="V54" s="73">
        <v>28000</v>
      </c>
      <c r="W54" s="73">
        <v>28000</v>
      </c>
      <c r="X54" s="73">
        <v>28000</v>
      </c>
      <c r="Y54" s="73">
        <v>28000</v>
      </c>
      <c r="Z54" s="73">
        <v>28000</v>
      </c>
      <c r="AA54" s="49">
        <f t="shared" si="0"/>
        <v>672000</v>
      </c>
      <c r="AB54" s="50">
        <v>2</v>
      </c>
      <c r="AC54" s="49">
        <f t="shared" si="1"/>
        <v>1344000</v>
      </c>
      <c r="AD54" s="104"/>
    </row>
    <row r="55" spans="1:30" x14ac:dyDescent="0.35">
      <c r="C55" s="19"/>
      <c r="D55" s="19"/>
      <c r="E55" s="19"/>
      <c r="F55" s="19"/>
      <c r="G55" s="19"/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  <c r="AA55" s="19"/>
      <c r="AB55" s="19"/>
      <c r="AC55" s="19"/>
      <c r="AD55" s="48">
        <f>SUM(AD7:AD51)</f>
        <v>245280000</v>
      </c>
    </row>
  </sheetData>
  <mergeCells count="28">
    <mergeCell ref="A47:A50"/>
    <mergeCell ref="AD47:AD50"/>
    <mergeCell ref="A51:A54"/>
    <mergeCell ref="AD51:AD54"/>
    <mergeCell ref="A35:A38"/>
    <mergeCell ref="AD35:AD38"/>
    <mergeCell ref="A39:A42"/>
    <mergeCell ref="AD39:AD42"/>
    <mergeCell ref="A43:A46"/>
    <mergeCell ref="AD43:AD46"/>
    <mergeCell ref="A23:A26"/>
    <mergeCell ref="AD23:AD26"/>
    <mergeCell ref="A27:A30"/>
    <mergeCell ref="AD27:AD30"/>
    <mergeCell ref="A31:A34"/>
    <mergeCell ref="AD31:AD34"/>
    <mergeCell ref="A11:A14"/>
    <mergeCell ref="AD11:AD14"/>
    <mergeCell ref="A15:A18"/>
    <mergeCell ref="AD15:AD18"/>
    <mergeCell ref="A19:A22"/>
    <mergeCell ref="AD19:AD22"/>
    <mergeCell ref="AD7:AD10"/>
    <mergeCell ref="A1:D1"/>
    <mergeCell ref="A2:L2"/>
    <mergeCell ref="A4:B4"/>
    <mergeCell ref="C4:D4"/>
    <mergeCell ref="A7:A10"/>
  </mergeCells>
  <conditionalFormatting sqref="C7:Z54">
    <cfRule type="cellIs" dxfId="2" priority="1" operator="lessThan">
      <formula>0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CC0CD0-09BB-4EDD-AB83-DDF688A80E41}">
  <sheetPr>
    <tabColor rgb="FF92D050"/>
  </sheetPr>
  <dimension ref="C1:G21"/>
  <sheetViews>
    <sheetView showGridLines="0" topLeftCell="A5" workbookViewId="0">
      <selection activeCell="G6" sqref="G6:G17"/>
    </sheetView>
  </sheetViews>
  <sheetFormatPr baseColWidth="10" defaultRowHeight="14.5" x14ac:dyDescent="0.35"/>
  <cols>
    <col min="2" max="2" width="2.54296875" customWidth="1"/>
    <col min="4" max="4" width="15.1796875" customWidth="1"/>
    <col min="5" max="5" width="13.90625" customWidth="1"/>
    <col min="6" max="6" width="12.54296875" customWidth="1"/>
    <col min="8" max="8" width="2" customWidth="1"/>
    <col min="9" max="9" width="14.1796875" bestFit="1" customWidth="1"/>
  </cols>
  <sheetData>
    <row r="1" spans="3:7" ht="14.5" customHeight="1" x14ac:dyDescent="0.35">
      <c r="C1" s="77" t="s">
        <v>43</v>
      </c>
      <c r="D1" s="77"/>
      <c r="E1" s="77"/>
      <c r="F1" s="77"/>
      <c r="G1" s="77"/>
    </row>
    <row r="2" spans="3:7" x14ac:dyDescent="0.35">
      <c r="C2" s="77"/>
      <c r="D2" s="77"/>
      <c r="E2" s="77"/>
      <c r="F2" s="77"/>
      <c r="G2" s="77"/>
    </row>
    <row r="3" spans="3:7" x14ac:dyDescent="0.35">
      <c r="C3" s="64"/>
      <c r="D3" s="64"/>
      <c r="E3" s="64"/>
      <c r="F3" s="64"/>
      <c r="G3" s="64"/>
    </row>
    <row r="4" spans="3:7" ht="15" thickBot="1" x14ac:dyDescent="0.4">
      <c r="C4" s="78" t="s">
        <v>46</v>
      </c>
      <c r="D4" s="78"/>
      <c r="E4" s="78"/>
      <c r="F4" s="78"/>
      <c r="G4" s="78"/>
    </row>
    <row r="5" spans="3:7" ht="32" thickBot="1" x14ac:dyDescent="0.4">
      <c r="C5" s="23" t="s">
        <v>0</v>
      </c>
      <c r="D5" s="23" t="s">
        <v>5</v>
      </c>
      <c r="E5" s="23" t="s">
        <v>1</v>
      </c>
      <c r="F5" s="55" t="s">
        <v>6</v>
      </c>
      <c r="G5" s="55" t="s">
        <v>2</v>
      </c>
    </row>
    <row r="6" spans="3:7" x14ac:dyDescent="0.35">
      <c r="C6" s="61">
        <v>46753</v>
      </c>
      <c r="D6" s="62">
        <f>+VLOOKUP(C6,'CURVA P3'!$A$4:$AD$55,30,FALSE)</f>
        <v>27293590</v>
      </c>
      <c r="E6" s="68" t="s">
        <v>1</v>
      </c>
      <c r="F6" s="63"/>
      <c r="G6" s="74" t="s">
        <v>3</v>
      </c>
    </row>
    <row r="7" spans="3:7" x14ac:dyDescent="0.35">
      <c r="C7" s="3">
        <v>46784</v>
      </c>
      <c r="D7" s="4">
        <f>+VLOOKUP(C7,'CURVA P3'!$A$4:$AD$55,30,FALSE)</f>
        <v>28327143</v>
      </c>
      <c r="E7" s="67" t="s">
        <v>1</v>
      </c>
      <c r="F7" s="1"/>
      <c r="G7" s="75" t="s">
        <v>3</v>
      </c>
    </row>
    <row r="8" spans="3:7" x14ac:dyDescent="0.35">
      <c r="C8" s="3">
        <v>46813</v>
      </c>
      <c r="D8" s="4">
        <f>+VLOOKUP(C8,'CURVA P3'!$A$4:$AD$55,30,FALSE)</f>
        <v>27529348</v>
      </c>
      <c r="E8" s="67" t="s">
        <v>1</v>
      </c>
      <c r="F8" s="1"/>
      <c r="G8" s="75" t="s">
        <v>3</v>
      </c>
    </row>
    <row r="9" spans="3:7" x14ac:dyDescent="0.35">
      <c r="C9" s="3">
        <v>46844</v>
      </c>
      <c r="D9" s="4">
        <f>+VLOOKUP(C9,'CURVA P3'!$A$4:$AD$55,30,FALSE)</f>
        <v>28305101</v>
      </c>
      <c r="E9" s="67" t="s">
        <v>1</v>
      </c>
      <c r="F9" s="1"/>
      <c r="G9" s="75" t="s">
        <v>3</v>
      </c>
    </row>
    <row r="10" spans="3:7" x14ac:dyDescent="0.35">
      <c r="C10" s="3">
        <v>46874</v>
      </c>
      <c r="D10" s="4">
        <f>+VLOOKUP(C10,'CURVA P3'!$A$4:$AD$55,30,FALSE)</f>
        <v>17994946</v>
      </c>
      <c r="E10" s="67" t="s">
        <v>1</v>
      </c>
      <c r="F10" s="1"/>
      <c r="G10" s="75" t="s">
        <v>3</v>
      </c>
    </row>
    <row r="11" spans="3:7" x14ac:dyDescent="0.35">
      <c r="C11" s="3">
        <v>46905</v>
      </c>
      <c r="D11" s="4">
        <f>+VLOOKUP(C11,'CURVA P3'!$A$4:$AD$55,30,FALSE)</f>
        <v>24728392</v>
      </c>
      <c r="E11" s="67" t="s">
        <v>1</v>
      </c>
      <c r="F11" s="1"/>
      <c r="G11" s="75" t="s">
        <v>3</v>
      </c>
    </row>
    <row r="12" spans="3:7" x14ac:dyDescent="0.35">
      <c r="C12" s="3">
        <v>46935</v>
      </c>
      <c r="D12" s="4">
        <f>+VLOOKUP(C12,'CURVA P3'!$A$4:$AD$55,30,FALSE)</f>
        <v>19351405</v>
      </c>
      <c r="E12" s="67" t="s">
        <v>1</v>
      </c>
      <c r="F12" s="1"/>
      <c r="G12" s="75" t="s">
        <v>3</v>
      </c>
    </row>
    <row r="13" spans="3:7" x14ac:dyDescent="0.35">
      <c r="C13" s="3">
        <v>46966</v>
      </c>
      <c r="D13" s="4">
        <f>+VLOOKUP(C13,'CURVA P3'!$A$4:$AD$55,30,FALSE)</f>
        <v>19300018</v>
      </c>
      <c r="E13" s="67" t="s">
        <v>1</v>
      </c>
      <c r="F13" s="1"/>
      <c r="G13" s="75" t="s">
        <v>3</v>
      </c>
    </row>
    <row r="14" spans="3:7" x14ac:dyDescent="0.35">
      <c r="C14" s="3">
        <v>46997</v>
      </c>
      <c r="D14" s="4">
        <f>+VLOOKUP(C14,'CURVA P3'!$A$4:$AD$55,30,FALSE)</f>
        <v>26083915</v>
      </c>
      <c r="E14" s="67" t="s">
        <v>1</v>
      </c>
      <c r="F14" s="1"/>
      <c r="G14" s="75" t="s">
        <v>3</v>
      </c>
    </row>
    <row r="15" spans="3:7" x14ac:dyDescent="0.35">
      <c r="C15" s="3">
        <v>47027</v>
      </c>
      <c r="D15" s="4">
        <f>+VLOOKUP(C15,'CURVA P3'!$A$4:$AD$55,30,FALSE)</f>
        <v>23052095</v>
      </c>
      <c r="E15" s="67" t="s">
        <v>1</v>
      </c>
      <c r="F15" s="1"/>
      <c r="G15" s="75" t="s">
        <v>3</v>
      </c>
    </row>
    <row r="16" spans="3:7" x14ac:dyDescent="0.35">
      <c r="C16" s="3">
        <v>47058</v>
      </c>
      <c r="D16" s="4">
        <f>+VLOOKUP(C16,'CURVA P3'!$A$4:$AD$55,30,FALSE)</f>
        <v>16958156</v>
      </c>
      <c r="E16" s="67" t="s">
        <v>1</v>
      </c>
      <c r="F16" s="1"/>
      <c r="G16" s="75" t="s">
        <v>3</v>
      </c>
    </row>
    <row r="17" spans="3:7" ht="15" thickBot="1" x14ac:dyDescent="0.4">
      <c r="C17" s="5">
        <v>47088</v>
      </c>
      <c r="D17" s="6">
        <f>+VLOOKUP(C17,'CURVA P3'!$A$4:$AD$55,30,FALSE)</f>
        <v>26365460</v>
      </c>
      <c r="E17" s="70" t="s">
        <v>1</v>
      </c>
      <c r="F17" s="71"/>
      <c r="G17" s="76" t="s">
        <v>3</v>
      </c>
    </row>
    <row r="18" spans="3:7" ht="15" thickBot="1" x14ac:dyDescent="0.4">
      <c r="D18" s="26">
        <f>SUM(D6:D17)</f>
        <v>285289569</v>
      </c>
    </row>
    <row r="19" spans="3:7" x14ac:dyDescent="0.35">
      <c r="D19" s="21"/>
    </row>
    <row r="20" spans="3:7" x14ac:dyDescent="0.35">
      <c r="D20" s="19">
        <f>D18/1000000</f>
        <v>285.28956899999997</v>
      </c>
    </row>
    <row r="21" spans="3:7" x14ac:dyDescent="0.35">
      <c r="D21" s="8">
        <f>D20*1000</f>
        <v>285289.56899999996</v>
      </c>
    </row>
  </sheetData>
  <mergeCells count="2">
    <mergeCell ref="C1:G2"/>
    <mergeCell ref="C4:G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4F2810-FC24-42CC-9F71-D0DA13446831}">
  <dimension ref="A1:AD55"/>
  <sheetViews>
    <sheetView showGridLines="0" tabSelected="1" topLeftCell="J39" workbookViewId="0">
      <selection sqref="A1:AD55"/>
    </sheetView>
  </sheetViews>
  <sheetFormatPr baseColWidth="10" defaultRowHeight="14.5" x14ac:dyDescent="0.35"/>
  <cols>
    <col min="1" max="1" width="6.81640625" bestFit="1" customWidth="1"/>
    <col min="2" max="2" width="7.6328125" bestFit="1" customWidth="1"/>
    <col min="3" max="26" width="6.7265625" bestFit="1" customWidth="1"/>
    <col min="27" max="27" width="7.6328125" bestFit="1" customWidth="1"/>
    <col min="28" max="28" width="6.36328125" bestFit="1" customWidth="1"/>
    <col min="29" max="29" width="10.26953125" bestFit="1" customWidth="1"/>
    <col min="30" max="30" width="12.1796875" bestFit="1" customWidth="1"/>
  </cols>
  <sheetData>
    <row r="1" spans="1:30" x14ac:dyDescent="0.35">
      <c r="A1" s="85" t="s">
        <v>8</v>
      </c>
      <c r="B1" s="85"/>
      <c r="C1" s="85"/>
      <c r="D1" s="85"/>
    </row>
    <row r="2" spans="1:30" x14ac:dyDescent="0.35">
      <c r="A2" s="114" t="s">
        <v>43</v>
      </c>
      <c r="B2" s="114"/>
      <c r="C2" s="114"/>
      <c r="D2" s="114"/>
      <c r="E2" s="114"/>
      <c r="F2" s="114"/>
      <c r="G2" s="114"/>
      <c r="H2" s="114"/>
      <c r="I2" s="114"/>
      <c r="J2" s="114"/>
      <c r="K2" s="114"/>
      <c r="L2" s="114"/>
      <c r="M2" s="114"/>
    </row>
    <row r="4" spans="1:30" x14ac:dyDescent="0.35">
      <c r="A4" s="115" t="s">
        <v>9</v>
      </c>
      <c r="B4" s="116"/>
      <c r="C4" s="88">
        <f>+AD55</f>
        <v>285289569</v>
      </c>
      <c r="D4" s="8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</row>
    <row r="5" spans="1:30" ht="21" x14ac:dyDescent="0.35">
      <c r="A5" s="9" t="s">
        <v>0</v>
      </c>
      <c r="B5" s="10" t="s">
        <v>10</v>
      </c>
      <c r="C5" s="9" t="s">
        <v>11</v>
      </c>
      <c r="D5" s="9" t="s">
        <v>12</v>
      </c>
      <c r="E5" s="9" t="s">
        <v>13</v>
      </c>
      <c r="F5" s="9" t="s">
        <v>14</v>
      </c>
      <c r="G5" s="9" t="s">
        <v>15</v>
      </c>
      <c r="H5" s="9" t="s">
        <v>16</v>
      </c>
      <c r="I5" s="9" t="s">
        <v>17</v>
      </c>
      <c r="J5" s="9" t="s">
        <v>18</v>
      </c>
      <c r="K5" s="9" t="s">
        <v>19</v>
      </c>
      <c r="L5" s="9" t="s">
        <v>20</v>
      </c>
      <c r="M5" s="9" t="s">
        <v>21</v>
      </c>
      <c r="N5" s="9" t="s">
        <v>22</v>
      </c>
      <c r="O5" s="9" t="s">
        <v>23</v>
      </c>
      <c r="P5" s="9" t="s">
        <v>24</v>
      </c>
      <c r="Q5" s="9" t="s">
        <v>25</v>
      </c>
      <c r="R5" s="9" t="s">
        <v>26</v>
      </c>
      <c r="S5" s="9" t="s">
        <v>27</v>
      </c>
      <c r="T5" s="9" t="s">
        <v>28</v>
      </c>
      <c r="U5" s="9" t="s">
        <v>29</v>
      </c>
      <c r="V5" s="9" t="s">
        <v>30</v>
      </c>
      <c r="W5" s="9" t="s">
        <v>31</v>
      </c>
      <c r="X5" s="9" t="s">
        <v>32</v>
      </c>
      <c r="Y5" s="9" t="s">
        <v>33</v>
      </c>
      <c r="Z5" s="9" t="s">
        <v>34</v>
      </c>
      <c r="AA5" s="9" t="s">
        <v>35</v>
      </c>
      <c r="AB5" s="9" t="s">
        <v>36</v>
      </c>
      <c r="AC5" s="9" t="s">
        <v>37</v>
      </c>
      <c r="AD5" s="9" t="s">
        <v>38</v>
      </c>
    </row>
    <row r="6" spans="1:30" hidden="1" x14ac:dyDescent="0.35">
      <c r="A6" s="11"/>
      <c r="B6" s="12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</row>
    <row r="7" spans="1:30" x14ac:dyDescent="0.35">
      <c r="A7" s="90">
        <v>46753</v>
      </c>
      <c r="B7" s="13" t="s">
        <v>39</v>
      </c>
      <c r="C7" s="14">
        <v>40381</v>
      </c>
      <c r="D7" s="14">
        <v>38830</v>
      </c>
      <c r="E7" s="14">
        <v>37350</v>
      </c>
      <c r="F7" s="14">
        <v>36190</v>
      </c>
      <c r="G7" s="14">
        <v>35741</v>
      </c>
      <c r="H7" s="14">
        <v>36093</v>
      </c>
      <c r="I7" s="14">
        <v>35927</v>
      </c>
      <c r="J7" s="14">
        <v>37524</v>
      </c>
      <c r="K7" s="14">
        <v>29199</v>
      </c>
      <c r="L7" s="14">
        <v>25414</v>
      </c>
      <c r="M7" s="14">
        <v>23774</v>
      </c>
      <c r="N7" s="14">
        <v>21492</v>
      </c>
      <c r="O7" s="14">
        <v>20489</v>
      </c>
      <c r="P7" s="14">
        <v>30983</v>
      </c>
      <c r="Q7" s="14">
        <v>46682</v>
      </c>
      <c r="R7" s="14">
        <v>58735</v>
      </c>
      <c r="S7" s="14">
        <v>63747</v>
      </c>
      <c r="T7" s="14">
        <v>45876</v>
      </c>
      <c r="U7" s="14">
        <v>47143</v>
      </c>
      <c r="V7" s="14">
        <v>46528</v>
      </c>
      <c r="W7" s="14">
        <v>46070</v>
      </c>
      <c r="X7" s="14">
        <v>45334</v>
      </c>
      <c r="Y7" s="14">
        <v>43279</v>
      </c>
      <c r="Z7" s="14">
        <v>40410</v>
      </c>
      <c r="AA7" s="15">
        <f>SUM(C7:Z7)</f>
        <v>933191</v>
      </c>
      <c r="AB7" s="16">
        <v>20</v>
      </c>
      <c r="AC7" s="15">
        <f>+AA7*AB7</f>
        <v>18663820</v>
      </c>
      <c r="AD7" s="105">
        <f>+SUM(AC7:AC10)</f>
        <v>27293590</v>
      </c>
    </row>
    <row r="8" spans="1:30" x14ac:dyDescent="0.35">
      <c r="A8" s="91"/>
      <c r="B8" s="17" t="s">
        <v>40</v>
      </c>
      <c r="C8" s="14">
        <v>40691</v>
      </c>
      <c r="D8" s="14">
        <v>38882</v>
      </c>
      <c r="E8" s="14">
        <v>37222</v>
      </c>
      <c r="F8" s="14">
        <v>36044</v>
      </c>
      <c r="G8" s="14">
        <v>35406</v>
      </c>
      <c r="H8" s="14">
        <v>35405</v>
      </c>
      <c r="I8" s="14">
        <v>34974</v>
      </c>
      <c r="J8" s="14">
        <v>36233</v>
      </c>
      <c r="K8" s="14">
        <v>28288</v>
      </c>
      <c r="L8" s="14">
        <v>24478</v>
      </c>
      <c r="M8" s="14">
        <v>22484</v>
      </c>
      <c r="N8" s="14">
        <v>19677</v>
      </c>
      <c r="O8" s="14">
        <v>19642</v>
      </c>
      <c r="P8" s="14">
        <v>27140</v>
      </c>
      <c r="Q8" s="14">
        <v>40046</v>
      </c>
      <c r="R8" s="14">
        <v>51567</v>
      </c>
      <c r="S8" s="14">
        <v>56624</v>
      </c>
      <c r="T8" s="14">
        <v>42516</v>
      </c>
      <c r="U8" s="14">
        <v>45310</v>
      </c>
      <c r="V8" s="14">
        <v>44826</v>
      </c>
      <c r="W8" s="14">
        <v>43713</v>
      </c>
      <c r="X8" s="14">
        <v>42747</v>
      </c>
      <c r="Y8" s="14">
        <v>41469</v>
      </c>
      <c r="Z8" s="14">
        <v>39382</v>
      </c>
      <c r="AA8" s="15">
        <f t="shared" ref="AA8:AA54" si="0">SUM(C8:Z8)</f>
        <v>884766</v>
      </c>
      <c r="AB8" s="16">
        <v>4</v>
      </c>
      <c r="AC8" s="15">
        <f t="shared" ref="AC8:AC54" si="1">+AA8*AB8</f>
        <v>3539064</v>
      </c>
      <c r="AD8" s="106"/>
    </row>
    <row r="9" spans="1:30" x14ac:dyDescent="0.35">
      <c r="A9" s="91"/>
      <c r="B9" s="17" t="s">
        <v>41</v>
      </c>
      <c r="C9" s="14">
        <v>40069</v>
      </c>
      <c r="D9" s="14">
        <v>38431</v>
      </c>
      <c r="E9" s="14">
        <v>36854</v>
      </c>
      <c r="F9" s="14">
        <v>35626</v>
      </c>
      <c r="G9" s="14">
        <v>34901</v>
      </c>
      <c r="H9" s="14">
        <v>34414</v>
      </c>
      <c r="I9" s="14">
        <v>33411</v>
      </c>
      <c r="J9" s="14">
        <v>31183</v>
      </c>
      <c r="K9" s="14">
        <v>19904</v>
      </c>
      <c r="L9" s="14">
        <v>14703</v>
      </c>
      <c r="M9" s="14">
        <v>11470</v>
      </c>
      <c r="N9" s="14">
        <v>8601</v>
      </c>
      <c r="O9" s="14">
        <v>11053</v>
      </c>
      <c r="P9" s="14">
        <v>18213</v>
      </c>
      <c r="Q9" s="14">
        <v>30161</v>
      </c>
      <c r="R9" s="14">
        <v>42172</v>
      </c>
      <c r="S9" s="14">
        <v>48249</v>
      </c>
      <c r="T9" s="14">
        <v>37477</v>
      </c>
      <c r="U9" s="14">
        <v>40860</v>
      </c>
      <c r="V9" s="14">
        <v>41934</v>
      </c>
      <c r="W9" s="14">
        <v>42086</v>
      </c>
      <c r="X9" s="14">
        <v>41887</v>
      </c>
      <c r="Y9" s="14">
        <v>40352</v>
      </c>
      <c r="Z9" s="14">
        <v>37755</v>
      </c>
      <c r="AA9" s="15">
        <f t="shared" si="0"/>
        <v>771766</v>
      </c>
      <c r="AB9" s="16">
        <v>5</v>
      </c>
      <c r="AC9" s="15">
        <f t="shared" si="1"/>
        <v>3858830</v>
      </c>
      <c r="AD9" s="106"/>
    </row>
    <row r="10" spans="1:30" x14ac:dyDescent="0.35">
      <c r="A10" s="92"/>
      <c r="B10" s="18" t="s">
        <v>42</v>
      </c>
      <c r="C10" s="14">
        <v>31909</v>
      </c>
      <c r="D10" s="14">
        <v>31092</v>
      </c>
      <c r="E10" s="14">
        <v>30434</v>
      </c>
      <c r="F10" s="14">
        <v>29732</v>
      </c>
      <c r="G10" s="14">
        <v>29378</v>
      </c>
      <c r="H10" s="14">
        <v>29070</v>
      </c>
      <c r="I10" s="14">
        <v>28018</v>
      </c>
      <c r="J10" s="14">
        <v>24854</v>
      </c>
      <c r="K10" s="14">
        <v>12919</v>
      </c>
      <c r="L10" s="14">
        <v>7565</v>
      </c>
      <c r="M10" s="14">
        <v>4702</v>
      </c>
      <c r="N10" s="14">
        <v>1811</v>
      </c>
      <c r="O10" s="14">
        <v>4232</v>
      </c>
      <c r="P10" s="14">
        <v>11533</v>
      </c>
      <c r="Q10" s="14">
        <v>23225</v>
      </c>
      <c r="R10" s="14">
        <v>34920</v>
      </c>
      <c r="S10" s="14">
        <v>40783</v>
      </c>
      <c r="T10" s="14">
        <v>31718</v>
      </c>
      <c r="U10" s="14">
        <v>35624</v>
      </c>
      <c r="V10" s="14">
        <v>36315</v>
      </c>
      <c r="W10" s="14">
        <v>35920</v>
      </c>
      <c r="X10" s="14">
        <v>35090</v>
      </c>
      <c r="Y10" s="14">
        <v>33543</v>
      </c>
      <c r="Z10" s="14">
        <v>31551</v>
      </c>
      <c r="AA10" s="15">
        <f t="shared" si="0"/>
        <v>615938</v>
      </c>
      <c r="AB10" s="16">
        <v>2</v>
      </c>
      <c r="AC10" s="15">
        <f t="shared" si="1"/>
        <v>1231876</v>
      </c>
      <c r="AD10" s="107"/>
    </row>
    <row r="11" spans="1:30" x14ac:dyDescent="0.35">
      <c r="A11" s="90">
        <v>46784</v>
      </c>
      <c r="B11" s="13" t="s">
        <v>39</v>
      </c>
      <c r="C11" s="14">
        <v>42870</v>
      </c>
      <c r="D11" s="14">
        <v>40825</v>
      </c>
      <c r="E11" s="14">
        <v>39322</v>
      </c>
      <c r="F11" s="14">
        <v>38318</v>
      </c>
      <c r="G11" s="14">
        <v>38230</v>
      </c>
      <c r="H11" s="14">
        <v>39776</v>
      </c>
      <c r="I11" s="14">
        <v>40370</v>
      </c>
      <c r="J11" s="14">
        <v>43509</v>
      </c>
      <c r="K11" s="14">
        <v>34672</v>
      </c>
      <c r="L11" s="14">
        <v>30462</v>
      </c>
      <c r="M11" s="14">
        <v>28777</v>
      </c>
      <c r="N11" s="14">
        <v>24927</v>
      </c>
      <c r="O11" s="14">
        <v>22238</v>
      </c>
      <c r="P11" s="14">
        <v>34555</v>
      </c>
      <c r="Q11" s="14">
        <v>51559</v>
      </c>
      <c r="R11" s="14">
        <v>64140</v>
      </c>
      <c r="S11" s="14">
        <v>69227</v>
      </c>
      <c r="T11" s="14">
        <v>48664</v>
      </c>
      <c r="U11" s="14">
        <v>49068</v>
      </c>
      <c r="V11" s="14">
        <v>48865</v>
      </c>
      <c r="W11" s="14">
        <v>48683</v>
      </c>
      <c r="X11" s="14">
        <v>47472</v>
      </c>
      <c r="Y11" s="14">
        <v>44563</v>
      </c>
      <c r="Z11" s="14">
        <v>41191</v>
      </c>
      <c r="AA11" s="15">
        <f t="shared" si="0"/>
        <v>1012283</v>
      </c>
      <c r="AB11" s="16">
        <v>21</v>
      </c>
      <c r="AC11" s="15">
        <f t="shared" si="1"/>
        <v>21257943</v>
      </c>
      <c r="AD11" s="105">
        <f>+SUM(AC11:AC14)</f>
        <v>28327143</v>
      </c>
    </row>
    <row r="12" spans="1:30" x14ac:dyDescent="0.35">
      <c r="A12" s="91"/>
      <c r="B12" s="17" t="s">
        <v>40</v>
      </c>
      <c r="C12" s="14">
        <v>40517</v>
      </c>
      <c r="D12" s="14">
        <v>38768</v>
      </c>
      <c r="E12" s="14">
        <v>37390</v>
      </c>
      <c r="F12" s="14">
        <v>36560</v>
      </c>
      <c r="G12" s="14">
        <v>36256</v>
      </c>
      <c r="H12" s="14">
        <v>36769</v>
      </c>
      <c r="I12" s="14">
        <v>37072</v>
      </c>
      <c r="J12" s="14">
        <v>39866</v>
      </c>
      <c r="K12" s="14">
        <v>31709</v>
      </c>
      <c r="L12" s="14">
        <v>27668</v>
      </c>
      <c r="M12" s="14">
        <v>25476</v>
      </c>
      <c r="N12" s="14">
        <v>22301</v>
      </c>
      <c r="O12" s="14">
        <v>21444</v>
      </c>
      <c r="P12" s="14">
        <v>28565</v>
      </c>
      <c r="Q12" s="14">
        <v>41721</v>
      </c>
      <c r="R12" s="14">
        <v>53693</v>
      </c>
      <c r="S12" s="14">
        <v>58931</v>
      </c>
      <c r="T12" s="14">
        <v>43263</v>
      </c>
      <c r="U12" s="14">
        <v>45854</v>
      </c>
      <c r="V12" s="14">
        <v>46030</v>
      </c>
      <c r="W12" s="14">
        <v>45085</v>
      </c>
      <c r="X12" s="14">
        <v>44083</v>
      </c>
      <c r="Y12" s="14">
        <v>42642</v>
      </c>
      <c r="Z12" s="14">
        <v>40409</v>
      </c>
      <c r="AA12" s="15">
        <f t="shared" si="0"/>
        <v>922072</v>
      </c>
      <c r="AB12" s="16">
        <v>4</v>
      </c>
      <c r="AC12" s="15">
        <f t="shared" si="1"/>
        <v>3688288</v>
      </c>
      <c r="AD12" s="106"/>
    </row>
    <row r="13" spans="1:30" x14ac:dyDescent="0.35">
      <c r="A13" s="91"/>
      <c r="B13" s="17" t="s">
        <v>41</v>
      </c>
      <c r="C13" s="14">
        <v>41898</v>
      </c>
      <c r="D13" s="14">
        <v>39899</v>
      </c>
      <c r="E13" s="14">
        <v>38430</v>
      </c>
      <c r="F13" s="14">
        <v>37195</v>
      </c>
      <c r="G13" s="14">
        <v>36570</v>
      </c>
      <c r="H13" s="14">
        <v>36227</v>
      </c>
      <c r="I13" s="14">
        <v>35433</v>
      </c>
      <c r="J13" s="14">
        <v>34179</v>
      </c>
      <c r="K13" s="14">
        <v>22490</v>
      </c>
      <c r="L13" s="14">
        <v>17610</v>
      </c>
      <c r="M13" s="14">
        <v>14653</v>
      </c>
      <c r="N13" s="14">
        <v>12150</v>
      </c>
      <c r="O13" s="14">
        <v>14619</v>
      </c>
      <c r="P13" s="14">
        <v>21578</v>
      </c>
      <c r="Q13" s="14">
        <v>34044</v>
      </c>
      <c r="R13" s="14">
        <v>46765</v>
      </c>
      <c r="S13" s="14">
        <v>53319</v>
      </c>
      <c r="T13" s="14">
        <v>40587</v>
      </c>
      <c r="U13" s="14">
        <v>43883</v>
      </c>
      <c r="V13" s="14">
        <v>45660</v>
      </c>
      <c r="W13" s="14">
        <v>46278</v>
      </c>
      <c r="X13" s="14">
        <v>46292</v>
      </c>
      <c r="Y13" s="14">
        <v>44305</v>
      </c>
      <c r="Z13" s="14">
        <v>41164</v>
      </c>
      <c r="AA13" s="15">
        <f t="shared" si="0"/>
        <v>845228</v>
      </c>
      <c r="AB13" s="16">
        <v>4</v>
      </c>
      <c r="AC13" s="15">
        <f t="shared" si="1"/>
        <v>3380912</v>
      </c>
      <c r="AD13" s="106"/>
    </row>
    <row r="14" spans="1:30" x14ac:dyDescent="0.35">
      <c r="A14" s="92"/>
      <c r="B14" s="18" t="s">
        <v>42</v>
      </c>
      <c r="C14" s="14">
        <v>0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>
        <v>0</v>
      </c>
      <c r="L14" s="14">
        <v>0</v>
      </c>
      <c r="M14" s="14">
        <v>0</v>
      </c>
      <c r="N14" s="14">
        <v>0</v>
      </c>
      <c r="O14" s="14">
        <v>0</v>
      </c>
      <c r="P14" s="14">
        <v>0</v>
      </c>
      <c r="Q14" s="14">
        <v>0</v>
      </c>
      <c r="R14" s="14">
        <v>0</v>
      </c>
      <c r="S14" s="14">
        <v>0</v>
      </c>
      <c r="T14" s="14">
        <v>0</v>
      </c>
      <c r="U14" s="14">
        <v>0</v>
      </c>
      <c r="V14" s="14">
        <v>0</v>
      </c>
      <c r="W14" s="14">
        <v>0</v>
      </c>
      <c r="X14" s="14">
        <v>0</v>
      </c>
      <c r="Y14" s="14">
        <v>0</v>
      </c>
      <c r="Z14" s="14">
        <v>0</v>
      </c>
      <c r="AA14" s="15"/>
      <c r="AB14" s="16">
        <v>0</v>
      </c>
      <c r="AC14" s="15">
        <f t="shared" si="1"/>
        <v>0</v>
      </c>
      <c r="AD14" s="107"/>
    </row>
    <row r="15" spans="1:30" x14ac:dyDescent="0.35">
      <c r="A15" s="90">
        <v>46813</v>
      </c>
      <c r="B15" s="13" t="s">
        <v>39</v>
      </c>
      <c r="C15" s="14">
        <v>40616</v>
      </c>
      <c r="D15" s="14">
        <v>38559</v>
      </c>
      <c r="E15" s="14">
        <v>37070</v>
      </c>
      <c r="F15" s="14">
        <v>35924</v>
      </c>
      <c r="G15" s="14">
        <v>35595</v>
      </c>
      <c r="H15" s="14">
        <v>36269</v>
      </c>
      <c r="I15" s="14">
        <v>36247</v>
      </c>
      <c r="J15" s="14">
        <v>38148</v>
      </c>
      <c r="K15" s="14">
        <v>29340</v>
      </c>
      <c r="L15" s="14">
        <v>24885</v>
      </c>
      <c r="M15" s="14">
        <v>22915</v>
      </c>
      <c r="N15" s="14">
        <v>19597</v>
      </c>
      <c r="O15" s="14">
        <v>17897</v>
      </c>
      <c r="P15" s="14">
        <v>29600</v>
      </c>
      <c r="Q15" s="14">
        <v>45570</v>
      </c>
      <c r="R15" s="14">
        <v>57472</v>
      </c>
      <c r="S15" s="14">
        <v>62574</v>
      </c>
      <c r="T15" s="14">
        <v>44023</v>
      </c>
      <c r="U15" s="14">
        <v>44718</v>
      </c>
      <c r="V15" s="14">
        <v>44772</v>
      </c>
      <c r="W15" s="14">
        <v>45018</v>
      </c>
      <c r="X15" s="14">
        <v>44631</v>
      </c>
      <c r="Y15" s="14">
        <v>42584</v>
      </c>
      <c r="Z15" s="14">
        <v>39711</v>
      </c>
      <c r="AA15" s="15">
        <f t="shared" si="0"/>
        <v>913735</v>
      </c>
      <c r="AB15" s="16">
        <v>22</v>
      </c>
      <c r="AC15" s="15">
        <f t="shared" si="1"/>
        <v>20102170</v>
      </c>
      <c r="AD15" s="105">
        <f>+SUM(AC15:AC18)</f>
        <v>27529348</v>
      </c>
    </row>
    <row r="16" spans="1:30" x14ac:dyDescent="0.35">
      <c r="A16" s="91"/>
      <c r="B16" s="17" t="s">
        <v>40</v>
      </c>
      <c r="C16" s="14">
        <v>42048</v>
      </c>
      <c r="D16" s="14">
        <v>39913</v>
      </c>
      <c r="E16" s="14">
        <v>38269</v>
      </c>
      <c r="F16" s="14">
        <v>36940</v>
      </c>
      <c r="G16" s="14">
        <v>36198</v>
      </c>
      <c r="H16" s="14">
        <v>35983</v>
      </c>
      <c r="I16" s="14">
        <v>35842</v>
      </c>
      <c r="J16" s="14">
        <v>37438</v>
      </c>
      <c r="K16" s="14">
        <v>29120</v>
      </c>
      <c r="L16" s="14">
        <v>24851</v>
      </c>
      <c r="M16" s="14">
        <v>22742</v>
      </c>
      <c r="N16" s="14">
        <v>19251</v>
      </c>
      <c r="O16" s="14">
        <v>18623</v>
      </c>
      <c r="P16" s="14">
        <v>26212</v>
      </c>
      <c r="Q16" s="14">
        <v>39317</v>
      </c>
      <c r="R16" s="14">
        <v>50859</v>
      </c>
      <c r="S16" s="14">
        <v>55982</v>
      </c>
      <c r="T16" s="14">
        <v>41959</v>
      </c>
      <c r="U16" s="14">
        <v>44166</v>
      </c>
      <c r="V16" s="14">
        <v>44253</v>
      </c>
      <c r="W16" s="14">
        <v>43718</v>
      </c>
      <c r="X16" s="14">
        <v>43472</v>
      </c>
      <c r="Y16" s="14">
        <v>42708</v>
      </c>
      <c r="Z16" s="14">
        <v>40857</v>
      </c>
      <c r="AA16" s="15">
        <f t="shared" si="0"/>
        <v>890721</v>
      </c>
      <c r="AB16" s="16">
        <v>4</v>
      </c>
      <c r="AC16" s="15">
        <f t="shared" si="1"/>
        <v>3562884</v>
      </c>
      <c r="AD16" s="106"/>
    </row>
    <row r="17" spans="1:30" x14ac:dyDescent="0.35">
      <c r="A17" s="91"/>
      <c r="B17" s="17" t="s">
        <v>41</v>
      </c>
      <c r="C17" s="14">
        <v>42322</v>
      </c>
      <c r="D17" s="14">
        <v>40378</v>
      </c>
      <c r="E17" s="14">
        <v>38862</v>
      </c>
      <c r="F17" s="14">
        <v>37665</v>
      </c>
      <c r="G17" s="14">
        <v>36863</v>
      </c>
      <c r="H17" s="14">
        <v>36061</v>
      </c>
      <c r="I17" s="14">
        <v>34892</v>
      </c>
      <c r="J17" s="14">
        <v>32257</v>
      </c>
      <c r="K17" s="14">
        <v>20607</v>
      </c>
      <c r="L17" s="14">
        <v>14908</v>
      </c>
      <c r="M17" s="14">
        <v>11326</v>
      </c>
      <c r="N17" s="14">
        <v>8600</v>
      </c>
      <c r="O17" s="14">
        <v>11174</v>
      </c>
      <c r="P17" s="14">
        <v>18525</v>
      </c>
      <c r="Q17" s="14">
        <v>31028</v>
      </c>
      <c r="R17" s="14">
        <v>43118</v>
      </c>
      <c r="S17" s="14">
        <v>49228</v>
      </c>
      <c r="T17" s="14">
        <v>38252</v>
      </c>
      <c r="U17" s="14">
        <v>40969</v>
      </c>
      <c r="V17" s="14">
        <v>42936</v>
      </c>
      <c r="W17" s="14">
        <v>44121</v>
      </c>
      <c r="X17" s="14">
        <v>44765</v>
      </c>
      <c r="Y17" s="14">
        <v>43004</v>
      </c>
      <c r="Z17" s="14">
        <v>40209</v>
      </c>
      <c r="AA17" s="15">
        <f t="shared" si="0"/>
        <v>802070</v>
      </c>
      <c r="AB17" s="16">
        <v>4</v>
      </c>
      <c r="AC17" s="15">
        <f t="shared" si="1"/>
        <v>3208280</v>
      </c>
      <c r="AD17" s="106"/>
    </row>
    <row r="18" spans="1:30" x14ac:dyDescent="0.35">
      <c r="A18" s="92"/>
      <c r="B18" s="18" t="s">
        <v>42</v>
      </c>
      <c r="C18" s="14">
        <v>32207</v>
      </c>
      <c r="D18" s="14">
        <v>30431</v>
      </c>
      <c r="E18" s="14">
        <v>29297</v>
      </c>
      <c r="F18" s="14">
        <v>28526</v>
      </c>
      <c r="G18" s="14">
        <v>28168</v>
      </c>
      <c r="H18" s="14">
        <v>28056</v>
      </c>
      <c r="I18" s="14">
        <v>27862</v>
      </c>
      <c r="J18" s="14">
        <v>27344</v>
      </c>
      <c r="K18" s="14">
        <v>16796</v>
      </c>
      <c r="L18" s="14">
        <v>12123</v>
      </c>
      <c r="M18" s="14">
        <v>9854</v>
      </c>
      <c r="N18" s="14">
        <v>7223</v>
      </c>
      <c r="O18" s="14">
        <v>8201</v>
      </c>
      <c r="P18" s="14">
        <v>15832</v>
      </c>
      <c r="Q18" s="14">
        <v>27564</v>
      </c>
      <c r="R18" s="14">
        <v>38783</v>
      </c>
      <c r="S18" s="14">
        <v>44351</v>
      </c>
      <c r="T18" s="14">
        <v>32205</v>
      </c>
      <c r="U18" s="14">
        <v>35664</v>
      </c>
      <c r="V18" s="14">
        <v>37218</v>
      </c>
      <c r="W18" s="14">
        <v>37222</v>
      </c>
      <c r="X18" s="14">
        <v>36351</v>
      </c>
      <c r="Y18" s="14">
        <v>33756</v>
      </c>
      <c r="Z18" s="14">
        <v>30980</v>
      </c>
      <c r="AA18" s="15">
        <f t="shared" si="0"/>
        <v>656014</v>
      </c>
      <c r="AB18" s="16">
        <v>1</v>
      </c>
      <c r="AC18" s="15">
        <f t="shared" si="1"/>
        <v>656014</v>
      </c>
      <c r="AD18" s="107"/>
    </row>
    <row r="19" spans="1:30" s="20" customFormat="1" x14ac:dyDescent="0.35">
      <c r="A19" s="108">
        <v>46844</v>
      </c>
      <c r="B19" s="57" t="s">
        <v>39</v>
      </c>
      <c r="C19" s="65">
        <v>42251</v>
      </c>
      <c r="D19" s="65">
        <v>40116</v>
      </c>
      <c r="E19" s="65">
        <v>38632</v>
      </c>
      <c r="F19" s="65">
        <v>37531</v>
      </c>
      <c r="G19" s="65">
        <v>37382</v>
      </c>
      <c r="H19" s="65">
        <v>37986</v>
      </c>
      <c r="I19" s="65">
        <v>38280</v>
      </c>
      <c r="J19" s="65">
        <v>41997</v>
      </c>
      <c r="K19" s="65">
        <v>34259</v>
      </c>
      <c r="L19" s="65">
        <v>30217</v>
      </c>
      <c r="M19" s="65">
        <v>28909</v>
      </c>
      <c r="N19" s="65">
        <v>25860</v>
      </c>
      <c r="O19" s="65">
        <v>23031</v>
      </c>
      <c r="P19" s="65">
        <v>35142</v>
      </c>
      <c r="Q19" s="65">
        <v>52281</v>
      </c>
      <c r="R19" s="65">
        <v>64352</v>
      </c>
      <c r="S19" s="65">
        <v>69036</v>
      </c>
      <c r="T19" s="65">
        <v>48576</v>
      </c>
      <c r="U19" s="65">
        <v>49237</v>
      </c>
      <c r="V19" s="65">
        <v>49001</v>
      </c>
      <c r="W19" s="65">
        <v>49091</v>
      </c>
      <c r="X19" s="65">
        <v>48272</v>
      </c>
      <c r="Y19" s="65">
        <v>45680</v>
      </c>
      <c r="Z19" s="65">
        <v>42294</v>
      </c>
      <c r="AA19" s="58">
        <f t="shared" si="0"/>
        <v>1009413</v>
      </c>
      <c r="AB19" s="53">
        <v>18</v>
      </c>
      <c r="AC19" s="58">
        <f t="shared" si="1"/>
        <v>18169434</v>
      </c>
      <c r="AD19" s="111">
        <f>+SUM(AC19:AC22)</f>
        <v>28305101</v>
      </c>
    </row>
    <row r="20" spans="1:30" s="20" customFormat="1" x14ac:dyDescent="0.35">
      <c r="A20" s="109"/>
      <c r="B20" s="59" t="s">
        <v>40</v>
      </c>
      <c r="C20" s="65">
        <v>42575</v>
      </c>
      <c r="D20" s="65">
        <v>40498</v>
      </c>
      <c r="E20" s="65">
        <v>39036</v>
      </c>
      <c r="F20" s="65">
        <v>37755</v>
      </c>
      <c r="G20" s="65">
        <v>37139</v>
      </c>
      <c r="H20" s="65">
        <v>36514</v>
      </c>
      <c r="I20" s="65">
        <v>36830</v>
      </c>
      <c r="J20" s="65">
        <v>39519</v>
      </c>
      <c r="K20" s="65">
        <v>31984</v>
      </c>
      <c r="L20" s="65">
        <v>28047</v>
      </c>
      <c r="M20" s="65">
        <v>26093</v>
      </c>
      <c r="N20" s="65">
        <v>23435</v>
      </c>
      <c r="O20" s="65">
        <v>22751</v>
      </c>
      <c r="P20" s="65">
        <v>30343</v>
      </c>
      <c r="Q20" s="65">
        <v>43469</v>
      </c>
      <c r="R20" s="65">
        <v>55054</v>
      </c>
      <c r="S20" s="65">
        <v>59745</v>
      </c>
      <c r="T20" s="65">
        <v>44135</v>
      </c>
      <c r="U20" s="65">
        <v>46268</v>
      </c>
      <c r="V20" s="65">
        <v>45813</v>
      </c>
      <c r="W20" s="65">
        <v>45034</v>
      </c>
      <c r="X20" s="65">
        <v>44138</v>
      </c>
      <c r="Y20" s="65">
        <v>42759</v>
      </c>
      <c r="Z20" s="65">
        <v>40691</v>
      </c>
      <c r="AA20" s="58">
        <f t="shared" si="0"/>
        <v>939625</v>
      </c>
      <c r="AB20" s="53">
        <v>5</v>
      </c>
      <c r="AC20" s="58">
        <f t="shared" si="1"/>
        <v>4698125</v>
      </c>
      <c r="AD20" s="112"/>
    </row>
    <row r="21" spans="1:30" s="20" customFormat="1" x14ac:dyDescent="0.35">
      <c r="A21" s="109"/>
      <c r="B21" s="59" t="s">
        <v>41</v>
      </c>
      <c r="C21" s="65">
        <v>42311</v>
      </c>
      <c r="D21" s="65">
        <v>40160</v>
      </c>
      <c r="E21" s="65">
        <v>38594</v>
      </c>
      <c r="F21" s="65">
        <v>37293</v>
      </c>
      <c r="G21" s="65">
        <v>36472</v>
      </c>
      <c r="H21" s="65">
        <v>35353</v>
      </c>
      <c r="I21" s="65">
        <v>34661</v>
      </c>
      <c r="J21" s="65">
        <v>33565</v>
      </c>
      <c r="K21" s="65">
        <v>22264</v>
      </c>
      <c r="L21" s="65">
        <v>17004</v>
      </c>
      <c r="M21" s="65">
        <v>13943</v>
      </c>
      <c r="N21" s="65">
        <v>11610</v>
      </c>
      <c r="O21" s="65">
        <v>14094</v>
      </c>
      <c r="P21" s="65">
        <v>21495</v>
      </c>
      <c r="Q21" s="65">
        <v>34013</v>
      </c>
      <c r="R21" s="65">
        <v>46062</v>
      </c>
      <c r="S21" s="65">
        <v>52016</v>
      </c>
      <c r="T21" s="65">
        <v>39573</v>
      </c>
      <c r="U21" s="65">
        <v>42808</v>
      </c>
      <c r="V21" s="65">
        <v>44279</v>
      </c>
      <c r="W21" s="65">
        <v>44357</v>
      </c>
      <c r="X21" s="65">
        <v>44521</v>
      </c>
      <c r="Y21" s="65">
        <v>42740</v>
      </c>
      <c r="Z21" s="65">
        <v>39646</v>
      </c>
      <c r="AA21" s="58">
        <f t="shared" si="0"/>
        <v>828834</v>
      </c>
      <c r="AB21" s="53">
        <v>5</v>
      </c>
      <c r="AC21" s="58">
        <f t="shared" si="1"/>
        <v>4144170</v>
      </c>
      <c r="AD21" s="112"/>
    </row>
    <row r="22" spans="1:30" s="20" customFormat="1" x14ac:dyDescent="0.35">
      <c r="A22" s="110"/>
      <c r="B22" s="60" t="s">
        <v>42</v>
      </c>
      <c r="C22" s="65">
        <v>36283</v>
      </c>
      <c r="D22" s="65">
        <v>34415</v>
      </c>
      <c r="E22" s="65">
        <v>33077</v>
      </c>
      <c r="F22" s="65">
        <v>32111</v>
      </c>
      <c r="G22" s="65">
        <v>31464</v>
      </c>
      <c r="H22" s="65">
        <v>30545</v>
      </c>
      <c r="I22" s="65">
        <v>30181</v>
      </c>
      <c r="J22" s="65">
        <v>27585</v>
      </c>
      <c r="K22" s="65">
        <v>14675</v>
      </c>
      <c r="L22" s="65">
        <v>7911</v>
      </c>
      <c r="M22" s="65">
        <v>4149</v>
      </c>
      <c r="N22" s="65">
        <v>1400</v>
      </c>
      <c r="O22" s="65">
        <v>4143</v>
      </c>
      <c r="P22" s="65">
        <v>11448</v>
      </c>
      <c r="Q22" s="65">
        <v>23933</v>
      </c>
      <c r="R22" s="65">
        <v>35584</v>
      </c>
      <c r="S22" s="65">
        <v>41974</v>
      </c>
      <c r="T22" s="65">
        <v>32135</v>
      </c>
      <c r="U22" s="65">
        <v>35697</v>
      </c>
      <c r="V22" s="65">
        <v>36808</v>
      </c>
      <c r="W22" s="65">
        <v>36569</v>
      </c>
      <c r="X22" s="65">
        <v>36216</v>
      </c>
      <c r="Y22" s="65">
        <v>35126</v>
      </c>
      <c r="Z22" s="65">
        <v>33257</v>
      </c>
      <c r="AA22" s="58">
        <f t="shared" si="0"/>
        <v>646686</v>
      </c>
      <c r="AB22" s="53">
        <v>2</v>
      </c>
      <c r="AC22" s="58">
        <f t="shared" si="1"/>
        <v>1293372</v>
      </c>
      <c r="AD22" s="113"/>
    </row>
    <row r="23" spans="1:30" x14ac:dyDescent="0.35">
      <c r="A23" s="90">
        <v>46874</v>
      </c>
      <c r="B23" s="13" t="s">
        <v>39</v>
      </c>
      <c r="C23" s="14">
        <v>23668</v>
      </c>
      <c r="D23" s="14">
        <v>22666</v>
      </c>
      <c r="E23" s="14">
        <v>21876</v>
      </c>
      <c r="F23" s="14">
        <v>21331</v>
      </c>
      <c r="G23" s="14">
        <v>21145</v>
      </c>
      <c r="H23" s="14">
        <v>21016</v>
      </c>
      <c r="I23" s="14">
        <v>32249</v>
      </c>
      <c r="J23" s="14">
        <v>33232</v>
      </c>
      <c r="K23" s="14">
        <v>26541</v>
      </c>
      <c r="L23" s="14">
        <v>22326</v>
      </c>
      <c r="M23" s="14">
        <v>19929</v>
      </c>
      <c r="N23" s="14">
        <v>17106</v>
      </c>
      <c r="O23" s="14">
        <v>15898</v>
      </c>
      <c r="P23" s="14">
        <v>24428</v>
      </c>
      <c r="Q23" s="14">
        <v>36457</v>
      </c>
      <c r="R23" s="14">
        <v>45227</v>
      </c>
      <c r="S23" s="14">
        <v>37849</v>
      </c>
      <c r="T23" s="14">
        <v>23920</v>
      </c>
      <c r="U23" s="14">
        <v>24129</v>
      </c>
      <c r="V23" s="14">
        <v>24166</v>
      </c>
      <c r="W23" s="14">
        <v>24306</v>
      </c>
      <c r="X23" s="14">
        <v>24052</v>
      </c>
      <c r="Y23" s="14">
        <v>22946</v>
      </c>
      <c r="Z23" s="14">
        <v>21337</v>
      </c>
      <c r="AA23" s="15">
        <f t="shared" si="0"/>
        <v>607800</v>
      </c>
      <c r="AB23" s="16">
        <v>21</v>
      </c>
      <c r="AC23" s="15">
        <f t="shared" si="1"/>
        <v>12763800</v>
      </c>
      <c r="AD23" s="105">
        <f>+SUM(AC23:AC26)</f>
        <v>17994946</v>
      </c>
    </row>
    <row r="24" spans="1:30" x14ac:dyDescent="0.35">
      <c r="A24" s="91"/>
      <c r="B24" s="17" t="s">
        <v>40</v>
      </c>
      <c r="C24" s="14">
        <v>24347</v>
      </c>
      <c r="D24" s="14">
        <v>23101</v>
      </c>
      <c r="E24" s="14">
        <v>22119</v>
      </c>
      <c r="F24" s="14">
        <v>21454</v>
      </c>
      <c r="G24" s="14">
        <v>21115</v>
      </c>
      <c r="H24" s="14">
        <v>20607</v>
      </c>
      <c r="I24" s="14">
        <v>31874</v>
      </c>
      <c r="J24" s="14">
        <v>32317</v>
      </c>
      <c r="K24" s="14">
        <v>25756</v>
      </c>
      <c r="L24" s="14">
        <v>21749</v>
      </c>
      <c r="M24" s="14">
        <v>19130</v>
      </c>
      <c r="N24" s="14">
        <v>16112</v>
      </c>
      <c r="O24" s="14">
        <v>15692</v>
      </c>
      <c r="P24" s="14">
        <v>21749</v>
      </c>
      <c r="Q24" s="14">
        <v>31443</v>
      </c>
      <c r="R24" s="14">
        <v>40024</v>
      </c>
      <c r="S24" s="14">
        <v>32823</v>
      </c>
      <c r="T24" s="14">
        <v>21242</v>
      </c>
      <c r="U24" s="14">
        <v>22523</v>
      </c>
      <c r="V24" s="14">
        <v>22688</v>
      </c>
      <c r="W24" s="14">
        <v>22294</v>
      </c>
      <c r="X24" s="14">
        <v>21987</v>
      </c>
      <c r="Y24" s="14">
        <v>21451</v>
      </c>
      <c r="Z24" s="14">
        <v>20433</v>
      </c>
      <c r="AA24" s="15">
        <f t="shared" si="0"/>
        <v>574030</v>
      </c>
      <c r="AB24" s="16">
        <v>4</v>
      </c>
      <c r="AC24" s="15">
        <f t="shared" si="1"/>
        <v>2296120</v>
      </c>
      <c r="AD24" s="106"/>
    </row>
    <row r="25" spans="1:30" x14ac:dyDescent="0.35">
      <c r="A25" s="91"/>
      <c r="B25" s="17" t="s">
        <v>41</v>
      </c>
      <c r="C25" s="14">
        <v>23338</v>
      </c>
      <c r="D25" s="14">
        <v>22412</v>
      </c>
      <c r="E25" s="14">
        <v>21688</v>
      </c>
      <c r="F25" s="14">
        <v>21043</v>
      </c>
      <c r="G25" s="14">
        <v>20594</v>
      </c>
      <c r="H25" s="14">
        <v>19836</v>
      </c>
      <c r="I25" s="14">
        <v>30701</v>
      </c>
      <c r="J25" s="14">
        <v>29034</v>
      </c>
      <c r="K25" s="14">
        <v>20218</v>
      </c>
      <c r="L25" s="14">
        <v>15003</v>
      </c>
      <c r="M25" s="14">
        <v>11930</v>
      </c>
      <c r="N25" s="14">
        <v>9204</v>
      </c>
      <c r="O25" s="14">
        <v>10217</v>
      </c>
      <c r="P25" s="14">
        <v>15851</v>
      </c>
      <c r="Q25" s="14">
        <v>25483</v>
      </c>
      <c r="R25" s="14">
        <v>34316</v>
      </c>
      <c r="S25" s="14">
        <v>27786</v>
      </c>
      <c r="T25" s="14">
        <v>18523</v>
      </c>
      <c r="U25" s="14">
        <v>20201</v>
      </c>
      <c r="V25" s="14">
        <v>20988</v>
      </c>
      <c r="W25" s="14">
        <v>21294</v>
      </c>
      <c r="X25" s="14">
        <v>21566</v>
      </c>
      <c r="Y25" s="14">
        <v>20940</v>
      </c>
      <c r="Z25" s="14">
        <v>19655</v>
      </c>
      <c r="AA25" s="15">
        <f t="shared" si="0"/>
        <v>501821</v>
      </c>
      <c r="AB25" s="16">
        <v>4</v>
      </c>
      <c r="AC25" s="15">
        <f t="shared" si="1"/>
        <v>2007284</v>
      </c>
      <c r="AD25" s="106"/>
    </row>
    <row r="26" spans="1:30" x14ac:dyDescent="0.35">
      <c r="A26" s="92"/>
      <c r="B26" s="18" t="s">
        <v>42</v>
      </c>
      <c r="C26" s="14">
        <v>19984</v>
      </c>
      <c r="D26" s="14">
        <v>19097</v>
      </c>
      <c r="E26" s="14">
        <v>18458</v>
      </c>
      <c r="F26" s="14">
        <v>17986</v>
      </c>
      <c r="G26" s="14">
        <v>17764</v>
      </c>
      <c r="H26" s="14">
        <v>17244</v>
      </c>
      <c r="I26" s="14">
        <v>28424</v>
      </c>
      <c r="J26" s="14">
        <v>26963</v>
      </c>
      <c r="K26" s="14">
        <v>18568</v>
      </c>
      <c r="L26" s="14">
        <v>13898</v>
      </c>
      <c r="M26" s="14">
        <v>11145</v>
      </c>
      <c r="N26" s="14">
        <v>8645</v>
      </c>
      <c r="O26" s="14">
        <v>9504</v>
      </c>
      <c r="P26" s="14">
        <v>15668</v>
      </c>
      <c r="Q26" s="14">
        <v>25211</v>
      </c>
      <c r="R26" s="14">
        <v>34017</v>
      </c>
      <c r="S26" s="14">
        <v>27201</v>
      </c>
      <c r="T26" s="14">
        <v>17552</v>
      </c>
      <c r="U26" s="14">
        <v>19188</v>
      </c>
      <c r="V26" s="14">
        <v>20169</v>
      </c>
      <c r="W26" s="14">
        <v>20325</v>
      </c>
      <c r="X26" s="14">
        <v>20127</v>
      </c>
      <c r="Y26" s="14">
        <v>19072</v>
      </c>
      <c r="Z26" s="14">
        <v>17661</v>
      </c>
      <c r="AA26" s="15">
        <f t="shared" si="0"/>
        <v>463871</v>
      </c>
      <c r="AB26" s="16">
        <v>2</v>
      </c>
      <c r="AC26" s="15">
        <f t="shared" si="1"/>
        <v>927742</v>
      </c>
      <c r="AD26" s="107"/>
    </row>
    <row r="27" spans="1:30" x14ac:dyDescent="0.35">
      <c r="A27" s="90">
        <v>46905</v>
      </c>
      <c r="B27" s="13" t="s">
        <v>39</v>
      </c>
      <c r="C27" s="14">
        <v>35666</v>
      </c>
      <c r="D27" s="14">
        <v>34035</v>
      </c>
      <c r="E27" s="14">
        <v>32777</v>
      </c>
      <c r="F27" s="14">
        <v>31938</v>
      </c>
      <c r="G27" s="14">
        <v>31637</v>
      </c>
      <c r="H27" s="14">
        <v>31298</v>
      </c>
      <c r="I27" s="14">
        <v>36971</v>
      </c>
      <c r="J27" s="14">
        <v>40195</v>
      </c>
      <c r="K27" s="14">
        <v>33174</v>
      </c>
      <c r="L27" s="14">
        <v>28949</v>
      </c>
      <c r="M27" s="14">
        <v>26877</v>
      </c>
      <c r="N27" s="14">
        <v>24042</v>
      </c>
      <c r="O27" s="14">
        <v>21629</v>
      </c>
      <c r="P27" s="14">
        <v>31728</v>
      </c>
      <c r="Q27" s="14">
        <v>46098</v>
      </c>
      <c r="R27" s="14">
        <v>56639</v>
      </c>
      <c r="S27" s="14">
        <v>56157</v>
      </c>
      <c r="T27" s="14">
        <v>37569</v>
      </c>
      <c r="U27" s="14">
        <v>37881</v>
      </c>
      <c r="V27" s="14">
        <v>38112</v>
      </c>
      <c r="W27" s="14">
        <v>38060</v>
      </c>
      <c r="X27" s="14">
        <v>37525</v>
      </c>
      <c r="Y27" s="14">
        <v>35812</v>
      </c>
      <c r="Z27" s="14">
        <v>33359</v>
      </c>
      <c r="AA27" s="15">
        <f t="shared" si="0"/>
        <v>858128</v>
      </c>
      <c r="AB27" s="16">
        <v>20</v>
      </c>
      <c r="AC27" s="15">
        <f t="shared" si="1"/>
        <v>17162560</v>
      </c>
      <c r="AD27" s="105">
        <f>+SUM(AC27:AC30)</f>
        <v>24728392</v>
      </c>
    </row>
    <row r="28" spans="1:30" x14ac:dyDescent="0.35">
      <c r="A28" s="91"/>
      <c r="B28" s="17" t="s">
        <v>40</v>
      </c>
      <c r="C28" s="14">
        <v>36234</v>
      </c>
      <c r="D28" s="14">
        <v>34697</v>
      </c>
      <c r="E28" s="14">
        <v>33412</v>
      </c>
      <c r="F28" s="14">
        <v>32485</v>
      </c>
      <c r="G28" s="14">
        <v>32121</v>
      </c>
      <c r="H28" s="14">
        <v>31333</v>
      </c>
      <c r="I28" s="14">
        <v>37064</v>
      </c>
      <c r="J28" s="14">
        <v>39522</v>
      </c>
      <c r="K28" s="14">
        <v>32237</v>
      </c>
      <c r="L28" s="14">
        <v>27927</v>
      </c>
      <c r="M28" s="14">
        <v>25668</v>
      </c>
      <c r="N28" s="14">
        <v>22508</v>
      </c>
      <c r="O28" s="14">
        <v>21561</v>
      </c>
      <c r="P28" s="14">
        <v>27718</v>
      </c>
      <c r="Q28" s="14">
        <v>39915</v>
      </c>
      <c r="R28" s="14">
        <v>50619</v>
      </c>
      <c r="S28" s="14">
        <v>50028</v>
      </c>
      <c r="T28" s="14">
        <v>35400</v>
      </c>
      <c r="U28" s="14">
        <v>36780</v>
      </c>
      <c r="V28" s="14">
        <v>36916</v>
      </c>
      <c r="W28" s="14">
        <v>36192</v>
      </c>
      <c r="X28" s="14">
        <v>35612</v>
      </c>
      <c r="Y28" s="14">
        <v>34694</v>
      </c>
      <c r="Z28" s="14">
        <v>33224</v>
      </c>
      <c r="AA28" s="15">
        <f t="shared" si="0"/>
        <v>823867</v>
      </c>
      <c r="AB28" s="16">
        <v>4</v>
      </c>
      <c r="AC28" s="15">
        <f t="shared" si="1"/>
        <v>3295468</v>
      </c>
      <c r="AD28" s="106"/>
    </row>
    <row r="29" spans="1:30" x14ac:dyDescent="0.35">
      <c r="A29" s="91"/>
      <c r="B29" s="17" t="s">
        <v>41</v>
      </c>
      <c r="C29" s="14">
        <v>35802</v>
      </c>
      <c r="D29" s="14">
        <v>34358</v>
      </c>
      <c r="E29" s="14">
        <v>33215</v>
      </c>
      <c r="F29" s="14">
        <v>32237</v>
      </c>
      <c r="G29" s="14">
        <v>31683</v>
      </c>
      <c r="H29" s="14">
        <v>30442</v>
      </c>
      <c r="I29" s="14">
        <v>35157</v>
      </c>
      <c r="J29" s="14">
        <v>34338</v>
      </c>
      <c r="K29" s="14">
        <v>23443</v>
      </c>
      <c r="L29" s="14">
        <v>18725</v>
      </c>
      <c r="M29" s="14">
        <v>14734</v>
      </c>
      <c r="N29" s="14">
        <v>12005</v>
      </c>
      <c r="O29" s="14">
        <v>13897</v>
      </c>
      <c r="P29" s="14">
        <v>20505</v>
      </c>
      <c r="Q29" s="14">
        <v>31753</v>
      </c>
      <c r="R29" s="14">
        <v>42500</v>
      </c>
      <c r="S29" s="14">
        <v>43330</v>
      </c>
      <c r="T29" s="14">
        <v>31388</v>
      </c>
      <c r="U29" s="14">
        <v>33906</v>
      </c>
      <c r="V29" s="14">
        <v>35515</v>
      </c>
      <c r="W29" s="14">
        <v>35843</v>
      </c>
      <c r="X29" s="14">
        <v>36278</v>
      </c>
      <c r="Y29" s="14">
        <v>35604</v>
      </c>
      <c r="Z29" s="14">
        <v>33952</v>
      </c>
      <c r="AA29" s="15">
        <f t="shared" si="0"/>
        <v>730610</v>
      </c>
      <c r="AB29" s="16">
        <v>4</v>
      </c>
      <c r="AC29" s="15">
        <f t="shared" si="1"/>
        <v>2922440</v>
      </c>
      <c r="AD29" s="106"/>
    </row>
    <row r="30" spans="1:30" x14ac:dyDescent="0.35">
      <c r="A30" s="92"/>
      <c r="B30" s="18" t="s">
        <v>42</v>
      </c>
      <c r="C30" s="14">
        <v>31035</v>
      </c>
      <c r="D30" s="14">
        <v>29658</v>
      </c>
      <c r="E30" s="14">
        <v>28694</v>
      </c>
      <c r="F30" s="14">
        <v>27917</v>
      </c>
      <c r="G30" s="14">
        <v>27616</v>
      </c>
      <c r="H30" s="14">
        <v>26788</v>
      </c>
      <c r="I30" s="14">
        <v>31974</v>
      </c>
      <c r="J30" s="14">
        <v>31907</v>
      </c>
      <c r="K30" s="14">
        <v>22709</v>
      </c>
      <c r="L30" s="14">
        <v>18342</v>
      </c>
      <c r="M30" s="14">
        <v>15949</v>
      </c>
      <c r="N30" s="14">
        <v>13235</v>
      </c>
      <c r="O30" s="14">
        <v>14063</v>
      </c>
      <c r="P30" s="14">
        <v>20751</v>
      </c>
      <c r="Q30" s="14">
        <v>31652</v>
      </c>
      <c r="R30" s="14">
        <v>41757</v>
      </c>
      <c r="S30" s="14">
        <v>41578</v>
      </c>
      <c r="T30" s="14">
        <v>28935</v>
      </c>
      <c r="U30" s="14">
        <v>31137</v>
      </c>
      <c r="V30" s="14">
        <v>33130</v>
      </c>
      <c r="W30" s="14">
        <v>33024</v>
      </c>
      <c r="X30" s="14">
        <v>32505</v>
      </c>
      <c r="Y30" s="14">
        <v>30902</v>
      </c>
      <c r="Z30" s="14">
        <v>28704</v>
      </c>
      <c r="AA30" s="15">
        <f t="shared" si="0"/>
        <v>673962</v>
      </c>
      <c r="AB30" s="16">
        <v>2</v>
      </c>
      <c r="AC30" s="15">
        <f t="shared" si="1"/>
        <v>1347924</v>
      </c>
      <c r="AD30" s="107"/>
    </row>
    <row r="31" spans="1:30" x14ac:dyDescent="0.35">
      <c r="A31" s="90">
        <v>46935</v>
      </c>
      <c r="B31" s="13" t="s">
        <v>39</v>
      </c>
      <c r="C31" s="14">
        <v>26556</v>
      </c>
      <c r="D31" s="14">
        <v>25438</v>
      </c>
      <c r="E31" s="14">
        <v>24606</v>
      </c>
      <c r="F31" s="14">
        <v>23953</v>
      </c>
      <c r="G31" s="14">
        <v>23688</v>
      </c>
      <c r="H31" s="14">
        <v>23652</v>
      </c>
      <c r="I31" s="14">
        <v>34225</v>
      </c>
      <c r="J31" s="14">
        <v>35496</v>
      </c>
      <c r="K31" s="14">
        <v>28717</v>
      </c>
      <c r="L31" s="14">
        <v>24349</v>
      </c>
      <c r="M31" s="14">
        <v>22027</v>
      </c>
      <c r="N31" s="14">
        <v>18932</v>
      </c>
      <c r="O31" s="14">
        <v>17206</v>
      </c>
      <c r="P31" s="14">
        <v>25877</v>
      </c>
      <c r="Q31" s="14">
        <v>38145</v>
      </c>
      <c r="R31" s="14">
        <v>47230</v>
      </c>
      <c r="S31" s="14">
        <v>40613</v>
      </c>
      <c r="T31" s="14">
        <v>25416</v>
      </c>
      <c r="U31" s="14">
        <v>25426</v>
      </c>
      <c r="V31" s="14">
        <v>25981</v>
      </c>
      <c r="W31" s="14">
        <v>26120</v>
      </c>
      <c r="X31" s="14">
        <v>25883</v>
      </c>
      <c r="Y31" s="14">
        <v>24741</v>
      </c>
      <c r="Z31" s="14">
        <v>23032</v>
      </c>
      <c r="AA31" s="15">
        <f t="shared" si="0"/>
        <v>657309</v>
      </c>
      <c r="AB31" s="16">
        <v>19</v>
      </c>
      <c r="AC31" s="15">
        <f t="shared" si="1"/>
        <v>12488871</v>
      </c>
      <c r="AD31" s="105">
        <f>+SUM(AC31:AC34)</f>
        <v>19351405</v>
      </c>
    </row>
    <row r="32" spans="1:30" x14ac:dyDescent="0.35">
      <c r="A32" s="91"/>
      <c r="B32" s="17" t="s">
        <v>40</v>
      </c>
      <c r="C32" s="14">
        <v>25255</v>
      </c>
      <c r="D32" s="14">
        <v>24303</v>
      </c>
      <c r="E32" s="14">
        <v>23575</v>
      </c>
      <c r="F32" s="14">
        <v>22994</v>
      </c>
      <c r="G32" s="14">
        <v>22780</v>
      </c>
      <c r="H32" s="14">
        <v>22423</v>
      </c>
      <c r="I32" s="14">
        <v>32876</v>
      </c>
      <c r="J32" s="14">
        <v>33704</v>
      </c>
      <c r="K32" s="14">
        <v>26624</v>
      </c>
      <c r="L32" s="14">
        <v>22305</v>
      </c>
      <c r="M32" s="14">
        <v>19446</v>
      </c>
      <c r="N32" s="14">
        <v>16879</v>
      </c>
      <c r="O32" s="14">
        <v>16492</v>
      </c>
      <c r="P32" s="14">
        <v>22647</v>
      </c>
      <c r="Q32" s="14">
        <v>33058</v>
      </c>
      <c r="R32" s="14">
        <v>41630</v>
      </c>
      <c r="S32" s="14">
        <v>35152</v>
      </c>
      <c r="T32" s="14">
        <v>22375</v>
      </c>
      <c r="U32" s="14">
        <v>23638</v>
      </c>
      <c r="V32" s="14">
        <v>24323</v>
      </c>
      <c r="W32" s="14">
        <v>23861</v>
      </c>
      <c r="X32" s="14">
        <v>23535</v>
      </c>
      <c r="Y32" s="14">
        <v>23047</v>
      </c>
      <c r="Z32" s="14">
        <v>22092</v>
      </c>
      <c r="AA32" s="15">
        <f t="shared" si="0"/>
        <v>605014</v>
      </c>
      <c r="AB32" s="16">
        <v>5</v>
      </c>
      <c r="AC32" s="15">
        <f t="shared" si="1"/>
        <v>3025070</v>
      </c>
      <c r="AD32" s="106"/>
    </row>
    <row r="33" spans="1:30" x14ac:dyDescent="0.35">
      <c r="A33" s="91"/>
      <c r="B33" s="17" t="s">
        <v>41</v>
      </c>
      <c r="C33" s="14">
        <v>26056</v>
      </c>
      <c r="D33" s="14">
        <v>25074</v>
      </c>
      <c r="E33" s="14">
        <v>24273</v>
      </c>
      <c r="F33" s="14">
        <v>23642</v>
      </c>
      <c r="G33" s="14">
        <v>23207</v>
      </c>
      <c r="H33" s="14">
        <v>22569</v>
      </c>
      <c r="I33" s="14">
        <v>32660</v>
      </c>
      <c r="J33" s="14">
        <v>30907</v>
      </c>
      <c r="K33" s="14">
        <v>21861</v>
      </c>
      <c r="L33" s="14">
        <v>16811</v>
      </c>
      <c r="M33" s="14">
        <v>13371</v>
      </c>
      <c r="N33" s="14">
        <v>10371</v>
      </c>
      <c r="O33" s="14">
        <v>11939</v>
      </c>
      <c r="P33" s="14">
        <v>17924</v>
      </c>
      <c r="Q33" s="14">
        <v>27301</v>
      </c>
      <c r="R33" s="14">
        <v>36709</v>
      </c>
      <c r="S33" s="14">
        <v>30917</v>
      </c>
      <c r="T33" s="14">
        <v>20758</v>
      </c>
      <c r="U33" s="14">
        <v>22216</v>
      </c>
      <c r="V33" s="14">
        <v>23434</v>
      </c>
      <c r="W33" s="14">
        <v>23604</v>
      </c>
      <c r="X33" s="14">
        <v>23722</v>
      </c>
      <c r="Y33" s="14">
        <v>23051</v>
      </c>
      <c r="Z33" s="14">
        <v>21949</v>
      </c>
      <c r="AA33" s="15">
        <f t="shared" si="0"/>
        <v>554326</v>
      </c>
      <c r="AB33" s="16">
        <v>5</v>
      </c>
      <c r="AC33" s="15">
        <f t="shared" si="1"/>
        <v>2771630</v>
      </c>
      <c r="AD33" s="106"/>
    </row>
    <row r="34" spans="1:30" x14ac:dyDescent="0.35">
      <c r="A34" s="92"/>
      <c r="B34" s="18" t="s">
        <v>42</v>
      </c>
      <c r="C34" s="14">
        <v>23851</v>
      </c>
      <c r="D34" s="14">
        <v>22832</v>
      </c>
      <c r="E34" s="14">
        <v>22060</v>
      </c>
      <c r="F34" s="14">
        <v>21569</v>
      </c>
      <c r="G34" s="14">
        <v>21311</v>
      </c>
      <c r="H34" s="14">
        <v>20856</v>
      </c>
      <c r="I34" s="14">
        <v>31078</v>
      </c>
      <c r="J34" s="14">
        <v>30245</v>
      </c>
      <c r="K34" s="14">
        <v>21859</v>
      </c>
      <c r="L34" s="14">
        <v>17085</v>
      </c>
      <c r="M34" s="14">
        <v>14070</v>
      </c>
      <c r="N34" s="14">
        <v>11213</v>
      </c>
      <c r="O34" s="14">
        <v>11636</v>
      </c>
      <c r="P34" s="14">
        <v>18055</v>
      </c>
      <c r="Q34" s="14">
        <v>27825</v>
      </c>
      <c r="R34" s="14">
        <v>36942</v>
      </c>
      <c r="S34" s="14">
        <v>31095</v>
      </c>
      <c r="T34" s="14">
        <v>19854</v>
      </c>
      <c r="U34" s="14">
        <v>21199</v>
      </c>
      <c r="V34" s="14">
        <v>22603</v>
      </c>
      <c r="W34" s="14">
        <v>22583</v>
      </c>
      <c r="X34" s="14">
        <v>22242</v>
      </c>
      <c r="Y34" s="14">
        <v>21173</v>
      </c>
      <c r="Z34" s="14">
        <v>19681</v>
      </c>
      <c r="AA34" s="15">
        <f t="shared" si="0"/>
        <v>532917</v>
      </c>
      <c r="AB34" s="16">
        <v>2</v>
      </c>
      <c r="AC34" s="15">
        <f t="shared" si="1"/>
        <v>1065834</v>
      </c>
      <c r="AD34" s="107"/>
    </row>
    <row r="35" spans="1:30" x14ac:dyDescent="0.35">
      <c r="A35" s="90">
        <v>46966</v>
      </c>
      <c r="B35" s="13" t="s">
        <v>39</v>
      </c>
      <c r="C35" s="14">
        <v>25704</v>
      </c>
      <c r="D35" s="14">
        <v>24518</v>
      </c>
      <c r="E35" s="14">
        <v>23613</v>
      </c>
      <c r="F35" s="14">
        <v>22893</v>
      </c>
      <c r="G35" s="14">
        <v>22608</v>
      </c>
      <c r="H35" s="14">
        <v>22513</v>
      </c>
      <c r="I35" s="14">
        <v>32856</v>
      </c>
      <c r="J35" s="14">
        <v>34251</v>
      </c>
      <c r="K35" s="14">
        <v>27139</v>
      </c>
      <c r="L35" s="14">
        <v>23128</v>
      </c>
      <c r="M35" s="14">
        <v>20795</v>
      </c>
      <c r="N35" s="14">
        <v>18022</v>
      </c>
      <c r="O35" s="14">
        <v>16249</v>
      </c>
      <c r="P35" s="14">
        <v>25342</v>
      </c>
      <c r="Q35" s="14">
        <v>37922</v>
      </c>
      <c r="R35" s="14">
        <v>46999</v>
      </c>
      <c r="S35" s="14">
        <v>40875</v>
      </c>
      <c r="T35" s="14">
        <v>25987</v>
      </c>
      <c r="U35" s="14">
        <v>26161</v>
      </c>
      <c r="V35" s="14">
        <v>26494</v>
      </c>
      <c r="W35" s="14">
        <v>26741</v>
      </c>
      <c r="X35" s="14">
        <v>26596</v>
      </c>
      <c r="Y35" s="14">
        <v>25412</v>
      </c>
      <c r="Z35" s="14">
        <v>23730</v>
      </c>
      <c r="AA35" s="15">
        <f t="shared" si="0"/>
        <v>646548</v>
      </c>
      <c r="AB35" s="16">
        <v>21</v>
      </c>
      <c r="AC35" s="15">
        <f t="shared" si="1"/>
        <v>13577508</v>
      </c>
      <c r="AD35" s="105">
        <f>+SUM(AC35:AC38)</f>
        <v>19300018</v>
      </c>
    </row>
    <row r="36" spans="1:30" x14ac:dyDescent="0.35">
      <c r="A36" s="91"/>
      <c r="B36" s="17" t="s">
        <v>40</v>
      </c>
      <c r="C36" s="14">
        <v>27112</v>
      </c>
      <c r="D36" s="14">
        <v>25917</v>
      </c>
      <c r="E36" s="14">
        <v>24884</v>
      </c>
      <c r="F36" s="14">
        <v>24099</v>
      </c>
      <c r="G36" s="14">
        <v>23658</v>
      </c>
      <c r="H36" s="14">
        <v>23057</v>
      </c>
      <c r="I36" s="14">
        <v>33237</v>
      </c>
      <c r="J36" s="14">
        <v>34526</v>
      </c>
      <c r="K36" s="14">
        <v>27335</v>
      </c>
      <c r="L36" s="14">
        <v>23383</v>
      </c>
      <c r="M36" s="14">
        <v>20288</v>
      </c>
      <c r="N36" s="14">
        <v>18197</v>
      </c>
      <c r="O36" s="14">
        <v>17093</v>
      </c>
      <c r="P36" s="14">
        <v>23526</v>
      </c>
      <c r="Q36" s="14">
        <v>33790</v>
      </c>
      <c r="R36" s="14">
        <v>42706</v>
      </c>
      <c r="S36" s="14">
        <v>37043</v>
      </c>
      <c r="T36" s="14">
        <v>24478</v>
      </c>
      <c r="U36" s="14">
        <v>25843</v>
      </c>
      <c r="V36" s="14">
        <v>26034</v>
      </c>
      <c r="W36" s="14">
        <v>25647</v>
      </c>
      <c r="X36" s="14">
        <v>25562</v>
      </c>
      <c r="Y36" s="14">
        <v>25124</v>
      </c>
      <c r="Z36" s="14">
        <v>24180</v>
      </c>
      <c r="AA36" s="15">
        <f t="shared" si="0"/>
        <v>636719</v>
      </c>
      <c r="AB36" s="16">
        <v>4</v>
      </c>
      <c r="AC36" s="15">
        <f t="shared" si="1"/>
        <v>2546876</v>
      </c>
      <c r="AD36" s="106"/>
    </row>
    <row r="37" spans="1:30" x14ac:dyDescent="0.35">
      <c r="A37" s="91"/>
      <c r="B37" s="17" t="s">
        <v>41</v>
      </c>
      <c r="C37" s="14">
        <v>26440</v>
      </c>
      <c r="D37" s="14">
        <v>25320</v>
      </c>
      <c r="E37" s="14">
        <v>24422</v>
      </c>
      <c r="F37" s="14">
        <v>23666</v>
      </c>
      <c r="G37" s="14">
        <v>22971</v>
      </c>
      <c r="H37" s="14">
        <v>21983</v>
      </c>
      <c r="I37" s="14">
        <v>31666</v>
      </c>
      <c r="J37" s="14">
        <v>30132</v>
      </c>
      <c r="K37" s="14">
        <v>20688</v>
      </c>
      <c r="L37" s="14">
        <v>14966</v>
      </c>
      <c r="M37" s="14">
        <v>11935</v>
      </c>
      <c r="N37" s="14">
        <v>8579</v>
      </c>
      <c r="O37" s="14">
        <v>10093</v>
      </c>
      <c r="P37" s="14">
        <v>16824</v>
      </c>
      <c r="Q37" s="14">
        <v>26199</v>
      </c>
      <c r="R37" s="14">
        <v>35763</v>
      </c>
      <c r="S37" s="14">
        <v>29865</v>
      </c>
      <c r="T37" s="14">
        <v>20353</v>
      </c>
      <c r="U37" s="14">
        <v>22286</v>
      </c>
      <c r="V37" s="14">
        <v>23359</v>
      </c>
      <c r="W37" s="14">
        <v>23615</v>
      </c>
      <c r="X37" s="14">
        <v>24064</v>
      </c>
      <c r="Y37" s="14">
        <v>23413</v>
      </c>
      <c r="Z37" s="14">
        <v>22092</v>
      </c>
      <c r="AA37" s="15">
        <f t="shared" si="0"/>
        <v>540694</v>
      </c>
      <c r="AB37" s="16">
        <v>4</v>
      </c>
      <c r="AC37" s="15">
        <f t="shared" si="1"/>
        <v>2162776</v>
      </c>
      <c r="AD37" s="106"/>
    </row>
    <row r="38" spans="1:30" x14ac:dyDescent="0.35">
      <c r="A38" s="92"/>
      <c r="B38" s="18" t="s">
        <v>42</v>
      </c>
      <c r="C38" s="14">
        <v>21856</v>
      </c>
      <c r="D38" s="14">
        <v>20981</v>
      </c>
      <c r="E38" s="14">
        <v>20268</v>
      </c>
      <c r="F38" s="14">
        <v>19794</v>
      </c>
      <c r="G38" s="14">
        <v>19560</v>
      </c>
      <c r="H38" s="14">
        <v>19124</v>
      </c>
      <c r="I38" s="14">
        <v>28907</v>
      </c>
      <c r="J38" s="14">
        <v>27748</v>
      </c>
      <c r="K38" s="14">
        <v>19315</v>
      </c>
      <c r="L38" s="14">
        <v>14978</v>
      </c>
      <c r="M38" s="14">
        <v>12266</v>
      </c>
      <c r="N38" s="14">
        <v>9871</v>
      </c>
      <c r="O38" s="14">
        <v>10729</v>
      </c>
      <c r="P38" s="14">
        <v>16986</v>
      </c>
      <c r="Q38" s="14">
        <v>26782</v>
      </c>
      <c r="R38" s="14">
        <v>36111</v>
      </c>
      <c r="S38" s="14">
        <v>30436</v>
      </c>
      <c r="T38" s="14">
        <v>19718</v>
      </c>
      <c r="U38" s="14">
        <v>21507</v>
      </c>
      <c r="V38" s="14">
        <v>22528</v>
      </c>
      <c r="W38" s="14">
        <v>22531</v>
      </c>
      <c r="X38" s="14">
        <v>22650</v>
      </c>
      <c r="Y38" s="14">
        <v>21686</v>
      </c>
      <c r="Z38" s="14">
        <v>20097</v>
      </c>
      <c r="AA38" s="15">
        <f t="shared" si="0"/>
        <v>506429</v>
      </c>
      <c r="AB38" s="16">
        <v>2</v>
      </c>
      <c r="AC38" s="15">
        <f t="shared" si="1"/>
        <v>1012858</v>
      </c>
      <c r="AD38" s="107"/>
    </row>
    <row r="39" spans="1:30" x14ac:dyDescent="0.35">
      <c r="A39" s="90">
        <v>46997</v>
      </c>
      <c r="B39" s="13" t="s">
        <v>39</v>
      </c>
      <c r="C39" s="14">
        <v>37241</v>
      </c>
      <c r="D39" s="14">
        <v>35326</v>
      </c>
      <c r="E39" s="14">
        <v>33846</v>
      </c>
      <c r="F39" s="14">
        <v>32694</v>
      </c>
      <c r="G39" s="14">
        <v>32254</v>
      </c>
      <c r="H39" s="14">
        <v>32234</v>
      </c>
      <c r="I39" s="14">
        <v>36634</v>
      </c>
      <c r="J39" s="14">
        <v>40084</v>
      </c>
      <c r="K39" s="14">
        <v>32539</v>
      </c>
      <c r="L39" s="14">
        <v>28863</v>
      </c>
      <c r="M39" s="14">
        <v>27141</v>
      </c>
      <c r="N39" s="14">
        <v>24070</v>
      </c>
      <c r="O39" s="14">
        <v>21642</v>
      </c>
      <c r="P39" s="14">
        <v>33109</v>
      </c>
      <c r="Q39" s="14">
        <v>48259</v>
      </c>
      <c r="R39" s="14">
        <v>59163</v>
      </c>
      <c r="S39" s="14">
        <v>58998</v>
      </c>
      <c r="T39" s="14">
        <v>41028</v>
      </c>
      <c r="U39" s="14">
        <v>41845</v>
      </c>
      <c r="V39" s="14">
        <v>41305</v>
      </c>
      <c r="W39" s="14">
        <v>41541</v>
      </c>
      <c r="X39" s="14">
        <v>41275</v>
      </c>
      <c r="Y39" s="14">
        <v>39352</v>
      </c>
      <c r="Z39" s="14">
        <v>36540</v>
      </c>
      <c r="AA39" s="15">
        <f t="shared" si="0"/>
        <v>896983</v>
      </c>
      <c r="AB39" s="16">
        <v>21</v>
      </c>
      <c r="AC39" s="15">
        <f t="shared" si="1"/>
        <v>18836643</v>
      </c>
      <c r="AD39" s="105">
        <f>+SUM(AC39:AC42)</f>
        <v>26083915</v>
      </c>
    </row>
    <row r="40" spans="1:30" x14ac:dyDescent="0.35">
      <c r="A40" s="91"/>
      <c r="B40" s="17" t="s">
        <v>40</v>
      </c>
      <c r="C40" s="14">
        <v>36800</v>
      </c>
      <c r="D40" s="14">
        <v>35138</v>
      </c>
      <c r="E40" s="14">
        <v>33778</v>
      </c>
      <c r="F40" s="14">
        <v>32670</v>
      </c>
      <c r="G40" s="14">
        <v>32159</v>
      </c>
      <c r="H40" s="14">
        <v>31405</v>
      </c>
      <c r="I40" s="14">
        <v>35889</v>
      </c>
      <c r="J40" s="14">
        <v>39293</v>
      </c>
      <c r="K40" s="14">
        <v>31895</v>
      </c>
      <c r="L40" s="14">
        <v>27617</v>
      </c>
      <c r="M40" s="14">
        <v>25761</v>
      </c>
      <c r="N40" s="14">
        <v>23106</v>
      </c>
      <c r="O40" s="14">
        <v>22050</v>
      </c>
      <c r="P40" s="14">
        <v>29514</v>
      </c>
      <c r="Q40" s="14">
        <v>41834</v>
      </c>
      <c r="R40" s="14">
        <v>52154</v>
      </c>
      <c r="S40" s="14">
        <v>52501</v>
      </c>
      <c r="T40" s="14">
        <v>38307</v>
      </c>
      <c r="U40" s="14">
        <v>40661</v>
      </c>
      <c r="V40" s="14">
        <v>39894</v>
      </c>
      <c r="W40" s="14">
        <v>39016</v>
      </c>
      <c r="X40" s="14">
        <v>38372</v>
      </c>
      <c r="Y40" s="14">
        <v>37479</v>
      </c>
      <c r="Z40" s="14">
        <v>35915</v>
      </c>
      <c r="AA40" s="15">
        <f t="shared" si="0"/>
        <v>853208</v>
      </c>
      <c r="AB40" s="16">
        <v>5</v>
      </c>
      <c r="AC40" s="15">
        <f t="shared" si="1"/>
        <v>4266040</v>
      </c>
      <c r="AD40" s="106"/>
    </row>
    <row r="41" spans="1:30" x14ac:dyDescent="0.35">
      <c r="A41" s="91"/>
      <c r="B41" s="17" t="s">
        <v>41</v>
      </c>
      <c r="C41" s="14">
        <v>37163</v>
      </c>
      <c r="D41" s="14">
        <v>35530</v>
      </c>
      <c r="E41" s="14">
        <v>34244</v>
      </c>
      <c r="F41" s="14">
        <v>33183</v>
      </c>
      <c r="G41" s="14">
        <v>32490</v>
      </c>
      <c r="H41" s="14">
        <v>31414</v>
      </c>
      <c r="I41" s="14">
        <v>35049</v>
      </c>
      <c r="J41" s="14">
        <v>34088</v>
      </c>
      <c r="K41" s="14">
        <v>22879</v>
      </c>
      <c r="L41" s="14">
        <v>16670</v>
      </c>
      <c r="M41" s="14">
        <v>13909</v>
      </c>
      <c r="N41" s="14">
        <v>11287</v>
      </c>
      <c r="O41" s="14">
        <v>12430</v>
      </c>
      <c r="P41" s="14">
        <v>19969</v>
      </c>
      <c r="Q41" s="14">
        <v>32063</v>
      </c>
      <c r="R41" s="14">
        <v>42902</v>
      </c>
      <c r="S41" s="14">
        <v>44477</v>
      </c>
      <c r="T41" s="14">
        <v>33488</v>
      </c>
      <c r="U41" s="14">
        <v>36518</v>
      </c>
      <c r="V41" s="14">
        <v>37433</v>
      </c>
      <c r="W41" s="14">
        <v>38061</v>
      </c>
      <c r="X41" s="14">
        <v>38342</v>
      </c>
      <c r="Y41" s="14">
        <v>37020</v>
      </c>
      <c r="Z41" s="14">
        <v>34699</v>
      </c>
      <c r="AA41" s="15">
        <f t="shared" si="0"/>
        <v>745308</v>
      </c>
      <c r="AB41" s="16">
        <v>4</v>
      </c>
      <c r="AC41" s="15">
        <f t="shared" si="1"/>
        <v>2981232</v>
      </c>
      <c r="AD41" s="106"/>
    </row>
    <row r="42" spans="1:30" x14ac:dyDescent="0.35">
      <c r="A42" s="92"/>
      <c r="B42" s="18" t="s">
        <v>42</v>
      </c>
      <c r="C42" s="14">
        <v>0</v>
      </c>
      <c r="D42" s="14">
        <v>0</v>
      </c>
      <c r="E42" s="14">
        <v>0</v>
      </c>
      <c r="F42" s="14">
        <v>0</v>
      </c>
      <c r="G42" s="14">
        <v>0</v>
      </c>
      <c r="H42" s="14">
        <v>0</v>
      </c>
      <c r="I42" s="14">
        <v>0</v>
      </c>
      <c r="J42" s="14">
        <v>0</v>
      </c>
      <c r="K42" s="14">
        <v>0</v>
      </c>
      <c r="L42" s="14">
        <v>0</v>
      </c>
      <c r="M42" s="14">
        <v>0</v>
      </c>
      <c r="N42" s="14">
        <v>0</v>
      </c>
      <c r="O42" s="14">
        <v>0</v>
      </c>
      <c r="P42" s="14">
        <v>0</v>
      </c>
      <c r="Q42" s="14">
        <v>0</v>
      </c>
      <c r="R42" s="14">
        <v>0</v>
      </c>
      <c r="S42" s="14">
        <v>0</v>
      </c>
      <c r="T42" s="14">
        <v>0</v>
      </c>
      <c r="U42" s="14">
        <v>0</v>
      </c>
      <c r="V42" s="14">
        <v>0</v>
      </c>
      <c r="W42" s="14">
        <v>0</v>
      </c>
      <c r="X42" s="14">
        <v>0</v>
      </c>
      <c r="Y42" s="14">
        <v>0</v>
      </c>
      <c r="Z42" s="14">
        <v>0</v>
      </c>
      <c r="AA42" s="15"/>
      <c r="AB42" s="16">
        <v>0</v>
      </c>
      <c r="AC42" s="15">
        <f t="shared" si="1"/>
        <v>0</v>
      </c>
      <c r="AD42" s="107"/>
    </row>
    <row r="43" spans="1:30" x14ac:dyDescent="0.35">
      <c r="A43" s="90">
        <v>47027</v>
      </c>
      <c r="B43" s="13" t="s">
        <v>39</v>
      </c>
      <c r="C43" s="14">
        <v>31116</v>
      </c>
      <c r="D43" s="14">
        <v>29594</v>
      </c>
      <c r="E43" s="14">
        <v>28425</v>
      </c>
      <c r="F43" s="14">
        <v>27563</v>
      </c>
      <c r="G43" s="14">
        <v>27200</v>
      </c>
      <c r="H43" s="14">
        <v>26960</v>
      </c>
      <c r="I43" s="14">
        <v>33780</v>
      </c>
      <c r="J43" s="14">
        <v>36478</v>
      </c>
      <c r="K43" s="14">
        <v>30050</v>
      </c>
      <c r="L43" s="14">
        <v>26484</v>
      </c>
      <c r="M43" s="14">
        <v>24919</v>
      </c>
      <c r="N43" s="14">
        <v>22471</v>
      </c>
      <c r="O43" s="14">
        <v>20415</v>
      </c>
      <c r="P43" s="14">
        <v>30741</v>
      </c>
      <c r="Q43" s="14">
        <v>44865</v>
      </c>
      <c r="R43" s="14">
        <v>54433</v>
      </c>
      <c r="S43" s="14">
        <v>51507</v>
      </c>
      <c r="T43" s="14">
        <v>35735</v>
      </c>
      <c r="U43" s="14">
        <v>35250</v>
      </c>
      <c r="V43" s="14">
        <v>34308</v>
      </c>
      <c r="W43" s="14">
        <v>33981</v>
      </c>
      <c r="X43" s="14">
        <v>33541</v>
      </c>
      <c r="Y43" s="14">
        <v>31837</v>
      </c>
      <c r="Z43" s="14">
        <v>29601</v>
      </c>
      <c r="AA43" s="15">
        <f t="shared" si="0"/>
        <v>781254</v>
      </c>
      <c r="AB43" s="16">
        <v>21</v>
      </c>
      <c r="AC43" s="15">
        <f t="shared" si="1"/>
        <v>16406334</v>
      </c>
      <c r="AD43" s="105">
        <f>+SUM(AC43:AC46)</f>
        <v>23052095</v>
      </c>
    </row>
    <row r="44" spans="1:30" x14ac:dyDescent="0.35">
      <c r="A44" s="91"/>
      <c r="B44" s="17" t="s">
        <v>40</v>
      </c>
      <c r="C44" s="14">
        <v>29656</v>
      </c>
      <c r="D44" s="14">
        <v>28263</v>
      </c>
      <c r="E44" s="14">
        <v>27142</v>
      </c>
      <c r="F44" s="14">
        <v>26307</v>
      </c>
      <c r="G44" s="14">
        <v>25895</v>
      </c>
      <c r="H44" s="14">
        <v>25370</v>
      </c>
      <c r="I44" s="14">
        <v>31989</v>
      </c>
      <c r="J44" s="14">
        <v>33472</v>
      </c>
      <c r="K44" s="14">
        <v>27019</v>
      </c>
      <c r="L44" s="14">
        <v>23386</v>
      </c>
      <c r="M44" s="14">
        <v>21214</v>
      </c>
      <c r="N44" s="14">
        <v>18680</v>
      </c>
      <c r="O44" s="14">
        <v>18338</v>
      </c>
      <c r="P44" s="14">
        <v>24443</v>
      </c>
      <c r="Q44" s="14">
        <v>35614</v>
      </c>
      <c r="R44" s="14">
        <v>45075</v>
      </c>
      <c r="S44" s="14">
        <v>43070</v>
      </c>
      <c r="T44" s="14">
        <v>30780</v>
      </c>
      <c r="U44" s="14">
        <v>31812</v>
      </c>
      <c r="V44" s="14">
        <v>30887</v>
      </c>
      <c r="W44" s="14">
        <v>30357</v>
      </c>
      <c r="X44" s="14">
        <v>29850</v>
      </c>
      <c r="Y44" s="14">
        <v>29098</v>
      </c>
      <c r="Z44" s="14">
        <v>27802</v>
      </c>
      <c r="AA44" s="15">
        <f t="shared" si="0"/>
        <v>695519</v>
      </c>
      <c r="AB44" s="16">
        <v>4</v>
      </c>
      <c r="AC44" s="15">
        <f t="shared" si="1"/>
        <v>2782076</v>
      </c>
      <c r="AD44" s="106"/>
    </row>
    <row r="45" spans="1:30" x14ac:dyDescent="0.35">
      <c r="A45" s="91"/>
      <c r="B45" s="17" t="s">
        <v>41</v>
      </c>
      <c r="C45" s="14">
        <v>31339</v>
      </c>
      <c r="D45" s="14">
        <v>29944</v>
      </c>
      <c r="E45" s="14">
        <v>28927</v>
      </c>
      <c r="F45" s="14">
        <v>28091</v>
      </c>
      <c r="G45" s="14">
        <v>27429</v>
      </c>
      <c r="H45" s="14">
        <v>26459</v>
      </c>
      <c r="I45" s="14">
        <v>32635</v>
      </c>
      <c r="J45" s="14">
        <v>30623</v>
      </c>
      <c r="K45" s="14">
        <v>20472</v>
      </c>
      <c r="L45" s="14">
        <v>15357</v>
      </c>
      <c r="M45" s="14">
        <v>12011</v>
      </c>
      <c r="N45" s="14">
        <v>9782</v>
      </c>
      <c r="O45" s="14">
        <v>11194</v>
      </c>
      <c r="P45" s="14">
        <v>17795</v>
      </c>
      <c r="Q45" s="14">
        <v>28360</v>
      </c>
      <c r="R45" s="14">
        <v>39057</v>
      </c>
      <c r="S45" s="14">
        <v>37713</v>
      </c>
      <c r="T45" s="14">
        <v>28074</v>
      </c>
      <c r="U45" s="14">
        <v>30007</v>
      </c>
      <c r="V45" s="14">
        <v>30539</v>
      </c>
      <c r="W45" s="14">
        <v>31122</v>
      </c>
      <c r="X45" s="14">
        <v>31502</v>
      </c>
      <c r="Y45" s="14">
        <v>30372</v>
      </c>
      <c r="Z45" s="14">
        <v>28649</v>
      </c>
      <c r="AA45" s="15">
        <f t="shared" si="0"/>
        <v>637453</v>
      </c>
      <c r="AB45" s="16">
        <v>5</v>
      </c>
      <c r="AC45" s="15">
        <f t="shared" si="1"/>
        <v>3187265</v>
      </c>
      <c r="AD45" s="106"/>
    </row>
    <row r="46" spans="1:30" x14ac:dyDescent="0.35">
      <c r="A46" s="92"/>
      <c r="B46" s="18" t="s">
        <v>42</v>
      </c>
      <c r="C46" s="14">
        <v>30504</v>
      </c>
      <c r="D46" s="14">
        <v>28947</v>
      </c>
      <c r="E46" s="14">
        <v>27988</v>
      </c>
      <c r="F46" s="14">
        <v>27405</v>
      </c>
      <c r="G46" s="14">
        <v>26996</v>
      </c>
      <c r="H46" s="14">
        <v>25886</v>
      </c>
      <c r="I46" s="14">
        <v>31708</v>
      </c>
      <c r="J46" s="14">
        <v>31990</v>
      </c>
      <c r="K46" s="14">
        <v>23304</v>
      </c>
      <c r="L46" s="14">
        <v>19356</v>
      </c>
      <c r="M46" s="14">
        <v>16427</v>
      </c>
      <c r="N46" s="14">
        <v>12769</v>
      </c>
      <c r="O46" s="14">
        <v>15286</v>
      </c>
      <c r="P46" s="14">
        <v>22315</v>
      </c>
      <c r="Q46" s="14">
        <v>33812</v>
      </c>
      <c r="R46" s="14">
        <v>42847</v>
      </c>
      <c r="S46" s="14">
        <v>40752</v>
      </c>
      <c r="T46" s="14">
        <v>29616</v>
      </c>
      <c r="U46" s="14">
        <v>31459</v>
      </c>
      <c r="V46" s="14">
        <v>31904</v>
      </c>
      <c r="W46" s="14">
        <v>32478</v>
      </c>
      <c r="X46" s="14">
        <v>32575</v>
      </c>
      <c r="Y46" s="14">
        <v>31043</v>
      </c>
      <c r="Z46" s="14">
        <v>29053</v>
      </c>
      <c r="AA46" s="15">
        <f t="shared" si="0"/>
        <v>676420</v>
      </c>
      <c r="AB46" s="16">
        <v>1</v>
      </c>
      <c r="AC46" s="15">
        <f t="shared" si="1"/>
        <v>676420</v>
      </c>
      <c r="AD46" s="107"/>
    </row>
    <row r="47" spans="1:30" x14ac:dyDescent="0.35">
      <c r="A47" s="90">
        <v>47058</v>
      </c>
      <c r="B47" s="13" t="s">
        <v>39</v>
      </c>
      <c r="C47" s="14">
        <v>21773</v>
      </c>
      <c r="D47" s="14">
        <v>20806</v>
      </c>
      <c r="E47" s="14">
        <v>20138</v>
      </c>
      <c r="F47" s="14">
        <v>19635</v>
      </c>
      <c r="G47" s="14">
        <v>19527</v>
      </c>
      <c r="H47" s="14">
        <v>19485</v>
      </c>
      <c r="I47" s="14">
        <v>31799</v>
      </c>
      <c r="J47" s="14">
        <v>33259</v>
      </c>
      <c r="K47" s="14">
        <v>26745</v>
      </c>
      <c r="L47" s="14">
        <v>22537</v>
      </c>
      <c r="M47" s="14">
        <v>20239</v>
      </c>
      <c r="N47" s="14">
        <v>17642</v>
      </c>
      <c r="O47" s="14">
        <v>16401</v>
      </c>
      <c r="P47" s="14">
        <v>24633</v>
      </c>
      <c r="Q47" s="14">
        <v>36112</v>
      </c>
      <c r="R47" s="14">
        <v>45062</v>
      </c>
      <c r="S47" s="14">
        <v>36721</v>
      </c>
      <c r="T47" s="14">
        <v>23924</v>
      </c>
      <c r="U47" s="14">
        <v>23591</v>
      </c>
      <c r="V47" s="14">
        <v>22849</v>
      </c>
      <c r="W47" s="14">
        <v>22657</v>
      </c>
      <c r="X47" s="14">
        <v>22099</v>
      </c>
      <c r="Y47" s="14">
        <v>20930</v>
      </c>
      <c r="Z47" s="14">
        <v>19483</v>
      </c>
      <c r="AA47" s="15">
        <f t="shared" si="0"/>
        <v>588047</v>
      </c>
      <c r="AB47" s="16">
        <v>20</v>
      </c>
      <c r="AC47" s="15">
        <f t="shared" si="1"/>
        <v>11760940</v>
      </c>
      <c r="AD47" s="105">
        <f>+SUM(AC47:AC50)</f>
        <v>16958156</v>
      </c>
    </row>
    <row r="48" spans="1:30" x14ac:dyDescent="0.35">
      <c r="A48" s="91"/>
      <c r="B48" s="17" t="s">
        <v>40</v>
      </c>
      <c r="C48" s="14">
        <v>21933</v>
      </c>
      <c r="D48" s="14">
        <v>20958</v>
      </c>
      <c r="E48" s="14">
        <v>20245</v>
      </c>
      <c r="F48" s="14">
        <v>19775</v>
      </c>
      <c r="G48" s="14">
        <v>19534</v>
      </c>
      <c r="H48" s="14">
        <v>19245</v>
      </c>
      <c r="I48" s="14">
        <v>31295</v>
      </c>
      <c r="J48" s="14">
        <v>32142</v>
      </c>
      <c r="K48" s="14">
        <v>25716</v>
      </c>
      <c r="L48" s="14">
        <v>21763</v>
      </c>
      <c r="M48" s="14">
        <v>18749</v>
      </c>
      <c r="N48" s="14">
        <v>16143</v>
      </c>
      <c r="O48" s="14">
        <v>15669</v>
      </c>
      <c r="P48" s="14">
        <v>21470</v>
      </c>
      <c r="Q48" s="14">
        <v>31118</v>
      </c>
      <c r="R48" s="14">
        <v>39514</v>
      </c>
      <c r="S48" s="14">
        <v>31456</v>
      </c>
      <c r="T48" s="14">
        <v>20951</v>
      </c>
      <c r="U48" s="14">
        <v>21622</v>
      </c>
      <c r="V48" s="14">
        <v>20921</v>
      </c>
      <c r="W48" s="14">
        <v>20276</v>
      </c>
      <c r="X48" s="14">
        <v>19717</v>
      </c>
      <c r="Y48" s="14">
        <v>19263</v>
      </c>
      <c r="Z48" s="14">
        <v>18318</v>
      </c>
      <c r="AA48" s="15">
        <f t="shared" si="0"/>
        <v>547793</v>
      </c>
      <c r="AB48" s="16">
        <v>4</v>
      </c>
      <c r="AC48" s="15">
        <f t="shared" si="1"/>
        <v>2191172</v>
      </c>
      <c r="AD48" s="106"/>
    </row>
    <row r="49" spans="1:30" x14ac:dyDescent="0.35">
      <c r="A49" s="91"/>
      <c r="B49" s="17" t="s">
        <v>41</v>
      </c>
      <c r="C49" s="14">
        <v>21130</v>
      </c>
      <c r="D49" s="14">
        <v>20342</v>
      </c>
      <c r="E49" s="14">
        <v>19805</v>
      </c>
      <c r="F49" s="14">
        <v>19207</v>
      </c>
      <c r="G49" s="14">
        <v>18884</v>
      </c>
      <c r="H49" s="14">
        <v>18403</v>
      </c>
      <c r="I49" s="14">
        <v>30231</v>
      </c>
      <c r="J49" s="14">
        <v>28926</v>
      </c>
      <c r="K49" s="14">
        <v>20435</v>
      </c>
      <c r="L49" s="14">
        <v>15445</v>
      </c>
      <c r="M49" s="14">
        <v>12632</v>
      </c>
      <c r="N49" s="14">
        <v>9935</v>
      </c>
      <c r="O49" s="14">
        <v>11255</v>
      </c>
      <c r="P49" s="14">
        <v>17109</v>
      </c>
      <c r="Q49" s="14">
        <v>26408</v>
      </c>
      <c r="R49" s="14">
        <v>35054</v>
      </c>
      <c r="S49" s="14">
        <v>27391</v>
      </c>
      <c r="T49" s="14">
        <v>19095</v>
      </c>
      <c r="U49" s="14">
        <v>19860</v>
      </c>
      <c r="V49" s="14">
        <v>19956</v>
      </c>
      <c r="W49" s="14">
        <v>19822</v>
      </c>
      <c r="X49" s="14">
        <v>19642</v>
      </c>
      <c r="Y49" s="14">
        <v>19176</v>
      </c>
      <c r="Z49" s="14">
        <v>18152</v>
      </c>
      <c r="AA49" s="15">
        <f t="shared" si="0"/>
        <v>488295</v>
      </c>
      <c r="AB49" s="16">
        <v>4</v>
      </c>
      <c r="AC49" s="15">
        <f t="shared" si="1"/>
        <v>1953180</v>
      </c>
      <c r="AD49" s="106"/>
    </row>
    <row r="50" spans="1:30" x14ac:dyDescent="0.35">
      <c r="A50" s="92"/>
      <c r="B50" s="18" t="s">
        <v>42</v>
      </c>
      <c r="C50" s="14">
        <v>21734</v>
      </c>
      <c r="D50" s="14">
        <v>20824</v>
      </c>
      <c r="E50" s="14">
        <v>20106</v>
      </c>
      <c r="F50" s="14">
        <v>19576</v>
      </c>
      <c r="G50" s="14">
        <v>19297</v>
      </c>
      <c r="H50" s="14">
        <v>18807</v>
      </c>
      <c r="I50" s="14">
        <v>30414</v>
      </c>
      <c r="J50" s="14">
        <v>29834</v>
      </c>
      <c r="K50" s="14">
        <v>21888</v>
      </c>
      <c r="L50" s="14">
        <v>17569</v>
      </c>
      <c r="M50" s="14">
        <v>14910</v>
      </c>
      <c r="N50" s="14">
        <v>12519</v>
      </c>
      <c r="O50" s="14">
        <v>13656</v>
      </c>
      <c r="P50" s="14">
        <v>20054</v>
      </c>
      <c r="Q50" s="14">
        <v>29277</v>
      </c>
      <c r="R50" s="14">
        <v>37774</v>
      </c>
      <c r="S50" s="14">
        <v>30030</v>
      </c>
      <c r="T50" s="14">
        <v>20615</v>
      </c>
      <c r="U50" s="14">
        <v>21528</v>
      </c>
      <c r="V50" s="14">
        <v>21747</v>
      </c>
      <c r="W50" s="14">
        <v>21972</v>
      </c>
      <c r="X50" s="14">
        <v>21821</v>
      </c>
      <c r="Y50" s="14">
        <v>20908</v>
      </c>
      <c r="Z50" s="14">
        <v>19572</v>
      </c>
      <c r="AA50" s="15">
        <f t="shared" si="0"/>
        <v>526432</v>
      </c>
      <c r="AB50" s="16">
        <v>2</v>
      </c>
      <c r="AC50" s="15">
        <f t="shared" si="1"/>
        <v>1052864</v>
      </c>
      <c r="AD50" s="107"/>
    </row>
    <row r="51" spans="1:30" x14ac:dyDescent="0.35">
      <c r="A51" s="90">
        <v>47088</v>
      </c>
      <c r="B51" s="13" t="s">
        <v>39</v>
      </c>
      <c r="C51" s="14">
        <v>37750</v>
      </c>
      <c r="D51" s="14">
        <v>36044</v>
      </c>
      <c r="E51" s="14">
        <v>34782</v>
      </c>
      <c r="F51" s="14">
        <v>33809</v>
      </c>
      <c r="G51" s="14">
        <v>33410</v>
      </c>
      <c r="H51" s="14">
        <v>33182</v>
      </c>
      <c r="I51" s="14">
        <v>35742</v>
      </c>
      <c r="J51" s="14">
        <v>38503</v>
      </c>
      <c r="K51" s="14">
        <v>31001</v>
      </c>
      <c r="L51" s="14">
        <v>27360</v>
      </c>
      <c r="M51" s="14">
        <v>25464</v>
      </c>
      <c r="N51" s="14">
        <v>22715</v>
      </c>
      <c r="O51" s="14">
        <v>21255</v>
      </c>
      <c r="P51" s="14">
        <v>30622</v>
      </c>
      <c r="Q51" s="14">
        <v>45398</v>
      </c>
      <c r="R51" s="14">
        <v>56463</v>
      </c>
      <c r="S51" s="14">
        <v>58811</v>
      </c>
      <c r="T51" s="14">
        <v>42428</v>
      </c>
      <c r="U51" s="14">
        <v>43144</v>
      </c>
      <c r="V51" s="14">
        <v>41793</v>
      </c>
      <c r="W51" s="14">
        <v>40920</v>
      </c>
      <c r="X51" s="14">
        <v>40156</v>
      </c>
      <c r="Y51" s="14">
        <v>38782</v>
      </c>
      <c r="Z51" s="14">
        <v>36683</v>
      </c>
      <c r="AA51" s="15">
        <f t="shared" si="0"/>
        <v>886217</v>
      </c>
      <c r="AB51" s="16">
        <v>19</v>
      </c>
      <c r="AC51" s="15">
        <f t="shared" si="1"/>
        <v>16838123</v>
      </c>
      <c r="AD51" s="105">
        <f>+SUM(AC51:AC54)</f>
        <v>26365460</v>
      </c>
    </row>
    <row r="52" spans="1:30" x14ac:dyDescent="0.35">
      <c r="A52" s="91"/>
      <c r="B52" s="17" t="s">
        <v>40</v>
      </c>
      <c r="C52" s="14">
        <v>38997</v>
      </c>
      <c r="D52" s="14">
        <v>37244</v>
      </c>
      <c r="E52" s="14">
        <v>35713</v>
      </c>
      <c r="F52" s="14">
        <v>34549</v>
      </c>
      <c r="G52" s="14">
        <v>33943</v>
      </c>
      <c r="H52" s="14">
        <v>33773</v>
      </c>
      <c r="I52" s="14">
        <v>35887</v>
      </c>
      <c r="J52" s="14">
        <v>37344</v>
      </c>
      <c r="K52" s="14">
        <v>29735</v>
      </c>
      <c r="L52" s="14">
        <v>25799</v>
      </c>
      <c r="M52" s="14">
        <v>23556</v>
      </c>
      <c r="N52" s="14">
        <v>20737</v>
      </c>
      <c r="O52" s="14">
        <v>21074</v>
      </c>
      <c r="P52" s="14">
        <v>28258</v>
      </c>
      <c r="Q52" s="14">
        <v>40445</v>
      </c>
      <c r="R52" s="14">
        <v>51091</v>
      </c>
      <c r="S52" s="14">
        <v>53506</v>
      </c>
      <c r="T52" s="14">
        <v>40904</v>
      </c>
      <c r="U52" s="14">
        <v>43034</v>
      </c>
      <c r="V52" s="14">
        <v>42017</v>
      </c>
      <c r="W52" s="14">
        <v>40838</v>
      </c>
      <c r="X52" s="14">
        <v>40158</v>
      </c>
      <c r="Y52" s="14">
        <v>39652</v>
      </c>
      <c r="Z52" s="14">
        <v>38232</v>
      </c>
      <c r="AA52" s="15">
        <f t="shared" si="0"/>
        <v>866486</v>
      </c>
      <c r="AB52" s="16">
        <v>5</v>
      </c>
      <c r="AC52" s="15">
        <f t="shared" si="1"/>
        <v>4332430</v>
      </c>
      <c r="AD52" s="106"/>
    </row>
    <row r="53" spans="1:30" x14ac:dyDescent="0.35">
      <c r="A53" s="91"/>
      <c r="B53" s="17" t="s">
        <v>41</v>
      </c>
      <c r="C53" s="14">
        <v>40810</v>
      </c>
      <c r="D53" s="14">
        <v>38829</v>
      </c>
      <c r="E53" s="14">
        <v>37316</v>
      </c>
      <c r="F53" s="14">
        <v>36182</v>
      </c>
      <c r="G53" s="14">
        <v>35400</v>
      </c>
      <c r="H53" s="14">
        <v>33510</v>
      </c>
      <c r="I53" s="14">
        <v>35192</v>
      </c>
      <c r="J53" s="14">
        <v>33654</v>
      </c>
      <c r="K53" s="14">
        <v>23108</v>
      </c>
      <c r="L53" s="14">
        <v>18010</v>
      </c>
      <c r="M53" s="14">
        <v>14945</v>
      </c>
      <c r="N53" s="14">
        <v>12545</v>
      </c>
      <c r="O53" s="14">
        <v>14169</v>
      </c>
      <c r="P53" s="14">
        <v>21309</v>
      </c>
      <c r="Q53" s="14">
        <v>33345</v>
      </c>
      <c r="R53" s="14">
        <v>45694</v>
      </c>
      <c r="S53" s="14">
        <v>49057</v>
      </c>
      <c r="T53" s="14">
        <v>38888</v>
      </c>
      <c r="U53" s="14">
        <v>42265</v>
      </c>
      <c r="V53" s="14">
        <v>41859</v>
      </c>
      <c r="W53" s="14">
        <v>40378</v>
      </c>
      <c r="X53" s="14">
        <v>38577</v>
      </c>
      <c r="Y53" s="14">
        <v>36698</v>
      </c>
      <c r="Z53" s="14">
        <v>34989</v>
      </c>
      <c r="AA53" s="15">
        <f t="shared" si="0"/>
        <v>796729</v>
      </c>
      <c r="AB53" s="16">
        <v>5</v>
      </c>
      <c r="AC53" s="15">
        <f t="shared" si="1"/>
        <v>3983645</v>
      </c>
      <c r="AD53" s="106"/>
    </row>
    <row r="54" spans="1:30" x14ac:dyDescent="0.35">
      <c r="A54" s="92"/>
      <c r="B54" s="18" t="s">
        <v>42</v>
      </c>
      <c r="C54" s="14">
        <v>29979</v>
      </c>
      <c r="D54" s="14">
        <v>29105</v>
      </c>
      <c r="E54" s="14">
        <v>28407</v>
      </c>
      <c r="F54" s="14">
        <v>27725</v>
      </c>
      <c r="G54" s="14">
        <v>27279</v>
      </c>
      <c r="H54" s="14">
        <v>26797</v>
      </c>
      <c r="I54" s="14">
        <v>28687</v>
      </c>
      <c r="J54" s="14">
        <v>27453</v>
      </c>
      <c r="K54" s="14">
        <v>16370</v>
      </c>
      <c r="L54" s="14">
        <v>11200</v>
      </c>
      <c r="M54" s="14">
        <v>8219</v>
      </c>
      <c r="N54" s="14">
        <v>5136</v>
      </c>
      <c r="O54" s="14">
        <v>7192</v>
      </c>
      <c r="P54" s="14">
        <v>14259</v>
      </c>
      <c r="Q54" s="14">
        <v>25331</v>
      </c>
      <c r="R54" s="14">
        <v>36247</v>
      </c>
      <c r="S54" s="14">
        <v>39520</v>
      </c>
      <c r="T54" s="14">
        <v>29468</v>
      </c>
      <c r="U54" s="14">
        <v>32412</v>
      </c>
      <c r="V54" s="14">
        <v>32709</v>
      </c>
      <c r="W54" s="14">
        <v>32104</v>
      </c>
      <c r="X54" s="14">
        <v>31442</v>
      </c>
      <c r="Y54" s="14">
        <v>30217</v>
      </c>
      <c r="Z54" s="14">
        <v>28373</v>
      </c>
      <c r="AA54" s="15">
        <f t="shared" si="0"/>
        <v>605631</v>
      </c>
      <c r="AB54" s="16">
        <v>2</v>
      </c>
      <c r="AC54" s="15">
        <f t="shared" si="1"/>
        <v>1211262</v>
      </c>
      <c r="AD54" s="107"/>
    </row>
    <row r="55" spans="1:30" x14ac:dyDescent="0.35">
      <c r="AD55" s="24">
        <f>SUM(AD7:AD51)</f>
        <v>285289569</v>
      </c>
    </row>
  </sheetData>
  <mergeCells count="28">
    <mergeCell ref="AD7:AD10"/>
    <mergeCell ref="A1:D1"/>
    <mergeCell ref="A2:M2"/>
    <mergeCell ref="A4:B4"/>
    <mergeCell ref="C4:D4"/>
    <mergeCell ref="A7:A10"/>
    <mergeCell ref="A11:A14"/>
    <mergeCell ref="AD11:AD14"/>
    <mergeCell ref="A15:A18"/>
    <mergeCell ref="AD15:AD18"/>
    <mergeCell ref="A19:A22"/>
    <mergeCell ref="AD19:AD22"/>
    <mergeCell ref="A23:A26"/>
    <mergeCell ref="AD23:AD26"/>
    <mergeCell ref="A27:A30"/>
    <mergeCell ref="AD27:AD30"/>
    <mergeCell ref="A31:A34"/>
    <mergeCell ref="AD31:AD34"/>
    <mergeCell ref="A47:A50"/>
    <mergeCell ref="AD47:AD50"/>
    <mergeCell ref="A51:A54"/>
    <mergeCell ref="AD51:AD54"/>
    <mergeCell ref="A35:A38"/>
    <mergeCell ref="AD35:AD38"/>
    <mergeCell ref="A39:A42"/>
    <mergeCell ref="AD39:AD42"/>
    <mergeCell ref="A43:A46"/>
    <mergeCell ref="AD43:AD46"/>
  </mergeCells>
  <conditionalFormatting sqref="C7:Z54">
    <cfRule type="cellIs" dxfId="1" priority="1" operator="lessThan">
      <formula>0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51D3BE-2344-4CF8-A6A2-7E222511A6FE}">
  <sheetPr>
    <tabColor rgb="FF92D050"/>
  </sheetPr>
  <dimension ref="C1:I22"/>
  <sheetViews>
    <sheetView showGridLines="0" topLeftCell="A6" workbookViewId="0">
      <selection activeCell="C1" sqref="C1:G18"/>
    </sheetView>
  </sheetViews>
  <sheetFormatPr baseColWidth="10" defaultRowHeight="14.5" x14ac:dyDescent="0.35"/>
  <cols>
    <col min="2" max="2" width="2.54296875" customWidth="1"/>
    <col min="4" max="4" width="15.1796875" customWidth="1"/>
    <col min="5" max="5" width="15.1796875" bestFit="1" customWidth="1"/>
    <col min="6" max="6" width="12.54296875" customWidth="1"/>
    <col min="8" max="8" width="2" customWidth="1"/>
    <col min="9" max="9" width="14.1796875" bestFit="1" customWidth="1"/>
  </cols>
  <sheetData>
    <row r="1" spans="3:7" x14ac:dyDescent="0.35">
      <c r="C1" s="77" t="s">
        <v>43</v>
      </c>
      <c r="D1" s="77"/>
      <c r="E1" s="77"/>
      <c r="F1" s="77"/>
      <c r="G1" s="77"/>
    </row>
    <row r="2" spans="3:7" x14ac:dyDescent="0.35">
      <c r="C2" s="77"/>
      <c r="D2" s="77"/>
      <c r="E2" s="77"/>
      <c r="F2" s="77"/>
      <c r="G2" s="77"/>
    </row>
    <row r="3" spans="3:7" ht="15" thickBot="1" x14ac:dyDescent="0.4"/>
    <row r="4" spans="3:7" ht="15" thickBot="1" x14ac:dyDescent="0.4">
      <c r="C4" s="117" t="s">
        <v>47</v>
      </c>
      <c r="D4" s="118"/>
      <c r="E4" s="118"/>
      <c r="F4" s="118"/>
      <c r="G4" s="119"/>
    </row>
    <row r="5" spans="3:7" ht="32" thickBot="1" x14ac:dyDescent="0.4">
      <c r="C5" s="23" t="s">
        <v>0</v>
      </c>
      <c r="D5" s="23" t="s">
        <v>5</v>
      </c>
      <c r="E5" s="23" t="s">
        <v>1</v>
      </c>
      <c r="F5" s="23" t="s">
        <v>6</v>
      </c>
      <c r="G5" s="23" t="s">
        <v>2</v>
      </c>
    </row>
    <row r="6" spans="3:7" x14ac:dyDescent="0.35">
      <c r="C6" s="3">
        <v>47119</v>
      </c>
      <c r="D6" s="4">
        <f>+VLOOKUP(C6,'CURVA P4'!$A$4:$AD$55,30,FALSE)</f>
        <v>34074890</v>
      </c>
      <c r="E6" s="96" t="s">
        <v>1</v>
      </c>
      <c r="F6" s="1"/>
      <c r="G6" s="99" t="s">
        <v>3</v>
      </c>
    </row>
    <row r="7" spans="3:7" x14ac:dyDescent="0.35">
      <c r="C7" s="3">
        <v>47150</v>
      </c>
      <c r="D7" s="4">
        <f>+VLOOKUP(C7,'CURVA P4'!$A$4:$AD$55,30,FALSE)</f>
        <v>37016204</v>
      </c>
      <c r="E7" s="97"/>
      <c r="F7" s="1"/>
      <c r="G7" s="100"/>
    </row>
    <row r="8" spans="3:7" x14ac:dyDescent="0.35">
      <c r="C8" s="3">
        <v>47178</v>
      </c>
      <c r="D8" s="4">
        <f>+VLOOKUP(C8,'CURVA P4'!$A$4:$AD$55,30,FALSE)</f>
        <v>33999707</v>
      </c>
      <c r="E8" s="97"/>
      <c r="F8" s="1"/>
      <c r="G8" s="100"/>
    </row>
    <row r="9" spans="3:7" x14ac:dyDescent="0.35">
      <c r="C9" s="3">
        <v>47209</v>
      </c>
      <c r="D9" s="4">
        <f>+VLOOKUP(C9,'CURVA P4'!$A$4:$AD$55,30,FALSE)</f>
        <v>36272875</v>
      </c>
      <c r="E9" s="97"/>
      <c r="F9" s="1"/>
      <c r="G9" s="100"/>
    </row>
    <row r="10" spans="3:7" x14ac:dyDescent="0.35">
      <c r="C10" s="3">
        <v>47239</v>
      </c>
      <c r="D10" s="4">
        <f>+VLOOKUP(C10,'CURVA P4'!$A$4:$AD$55,30,FALSE)</f>
        <v>36538851</v>
      </c>
      <c r="E10" s="97"/>
      <c r="F10" s="1"/>
      <c r="G10" s="100"/>
    </row>
    <row r="11" spans="3:7" x14ac:dyDescent="0.35">
      <c r="C11" s="3">
        <v>47270</v>
      </c>
      <c r="D11" s="4">
        <f>+VLOOKUP(C11,'CURVA P4'!$A$4:$AD$55,30,FALSE)</f>
        <v>37976865</v>
      </c>
      <c r="E11" s="97"/>
      <c r="F11" s="1"/>
      <c r="G11" s="100"/>
    </row>
    <row r="12" spans="3:7" x14ac:dyDescent="0.35">
      <c r="C12" s="3">
        <v>47300</v>
      </c>
      <c r="D12" s="4">
        <f>+VLOOKUP(C12,'CURVA P4'!$A$4:$AD$55,30,FALSE)</f>
        <v>36037226</v>
      </c>
      <c r="E12" s="97"/>
      <c r="F12" s="1"/>
      <c r="G12" s="100"/>
    </row>
    <row r="13" spans="3:7" x14ac:dyDescent="0.35">
      <c r="C13" s="3">
        <v>47331</v>
      </c>
      <c r="D13" s="4">
        <f>+VLOOKUP(C13,'CURVA P4'!$A$4:$AD$55,30,FALSE)</f>
        <v>37660774</v>
      </c>
      <c r="E13" s="97"/>
      <c r="F13" s="1"/>
      <c r="G13" s="100"/>
    </row>
    <row r="14" spans="3:7" x14ac:dyDescent="0.35">
      <c r="C14" s="3">
        <v>47362</v>
      </c>
      <c r="D14" s="4">
        <f>+VLOOKUP(C14,'CURVA P4'!$A$4:$AD$55,30,FALSE)</f>
        <v>39521710</v>
      </c>
      <c r="E14" s="97"/>
      <c r="F14" s="1"/>
      <c r="G14" s="100"/>
    </row>
    <row r="15" spans="3:7" x14ac:dyDescent="0.35">
      <c r="C15" s="3">
        <v>47392</v>
      </c>
      <c r="D15" s="4">
        <f>+VLOOKUP(C15,'CURVA P4'!$A$4:$AD$55,30,FALSE)</f>
        <v>38647476</v>
      </c>
      <c r="E15" s="97"/>
      <c r="F15" s="1"/>
      <c r="G15" s="100"/>
    </row>
    <row r="16" spans="3:7" x14ac:dyDescent="0.35">
      <c r="C16" s="3">
        <v>47423</v>
      </c>
      <c r="D16" s="4">
        <f>+VLOOKUP(C16,'CURVA P4'!$A$4:$AD$55,30,FALSE)</f>
        <v>38283096</v>
      </c>
      <c r="E16" s="97"/>
      <c r="F16" s="1"/>
      <c r="G16" s="100"/>
    </row>
    <row r="17" spans="3:9" ht="15" thickBot="1" x14ac:dyDescent="0.4">
      <c r="C17" s="3">
        <v>47453</v>
      </c>
      <c r="D17" s="6">
        <f>+VLOOKUP(C17,'CURVA P4'!$A$4:$AD$55,30,FALSE)</f>
        <v>36672929</v>
      </c>
      <c r="E17" s="98"/>
      <c r="F17" s="7"/>
      <c r="G17" s="101"/>
    </row>
    <row r="18" spans="3:9" ht="15" thickBot="1" x14ac:dyDescent="0.4">
      <c r="D18" s="26">
        <f>SUM(D6:D17)</f>
        <v>442702603</v>
      </c>
    </row>
    <row r="19" spans="3:9" x14ac:dyDescent="0.35">
      <c r="D19" s="21"/>
      <c r="I19" s="22"/>
    </row>
    <row r="20" spans="3:9" x14ac:dyDescent="0.35">
      <c r="D20" s="19">
        <f>D18/1000000</f>
        <v>442.70260300000001</v>
      </c>
      <c r="E20" s="8"/>
      <c r="I20" s="22"/>
    </row>
    <row r="21" spans="3:9" x14ac:dyDescent="0.35">
      <c r="D21" s="8">
        <f>D20*1000</f>
        <v>442702.603</v>
      </c>
      <c r="I21" s="22"/>
    </row>
    <row r="22" spans="3:9" x14ac:dyDescent="0.35">
      <c r="I22" s="8"/>
    </row>
  </sheetData>
  <mergeCells count="4">
    <mergeCell ref="C4:G4"/>
    <mergeCell ref="E6:E17"/>
    <mergeCell ref="G6:G17"/>
    <mergeCell ref="C1:G2"/>
  </mergeCells>
  <pageMargins left="0.7" right="0.7" top="0.75" bottom="0.75" header="0.3" footer="0.3"/>
  <ignoredErrors>
    <ignoredError sqref="D6:D17" evalError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04906C-A357-40EB-8F46-CB28082B8AD3}">
  <dimension ref="A1:AD58"/>
  <sheetViews>
    <sheetView showGridLines="0" topLeftCell="R42" zoomScaleNormal="100" workbookViewId="0">
      <selection sqref="A1:AD55"/>
    </sheetView>
  </sheetViews>
  <sheetFormatPr baseColWidth="10" defaultRowHeight="14.5" x14ac:dyDescent="0.35"/>
  <cols>
    <col min="1" max="1" width="7.26953125" bestFit="1" customWidth="1"/>
    <col min="2" max="2" width="8" bestFit="1" customWidth="1"/>
    <col min="3" max="3" width="9.90625" bestFit="1" customWidth="1"/>
    <col min="4" max="19" width="9" bestFit="1" customWidth="1"/>
    <col min="20" max="26" width="9.90625" bestFit="1" customWidth="1"/>
    <col min="27" max="27" width="9" bestFit="1" customWidth="1"/>
    <col min="28" max="28" width="10.453125" style="54" bestFit="1" customWidth="1"/>
    <col min="29" max="29" width="11" bestFit="1" customWidth="1"/>
    <col min="30" max="30" width="12" bestFit="1" customWidth="1"/>
  </cols>
  <sheetData>
    <row r="1" spans="1:30" x14ac:dyDescent="0.35">
      <c r="A1" s="123" t="s">
        <v>8</v>
      </c>
      <c r="B1" s="123"/>
      <c r="C1" s="123"/>
      <c r="D1" s="123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51"/>
      <c r="AC1" s="27"/>
      <c r="AD1" s="27"/>
    </row>
    <row r="2" spans="1:30" x14ac:dyDescent="0.35">
      <c r="A2" s="124" t="s">
        <v>43</v>
      </c>
      <c r="B2" s="124"/>
      <c r="C2" s="124"/>
      <c r="D2" s="124"/>
      <c r="E2" s="124"/>
      <c r="F2" s="124"/>
      <c r="G2" s="124"/>
      <c r="H2" s="124"/>
      <c r="I2" s="124"/>
      <c r="J2" s="124"/>
      <c r="K2" s="124"/>
      <c r="L2" s="124"/>
      <c r="M2" s="124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51"/>
      <c r="AC2" s="27"/>
      <c r="AD2" s="27"/>
    </row>
    <row r="3" spans="1:30" x14ac:dyDescent="0.35">
      <c r="A3" s="27"/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  <c r="AA3" s="27"/>
      <c r="AB3" s="51"/>
      <c r="AC3" s="27"/>
      <c r="AD3" s="27"/>
    </row>
    <row r="4" spans="1:30" x14ac:dyDescent="0.35">
      <c r="A4" s="125" t="s">
        <v>9</v>
      </c>
      <c r="B4" s="125"/>
      <c r="C4" s="126">
        <f>+AD55</f>
        <v>442702603</v>
      </c>
      <c r="D4" s="127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  <c r="W4" s="28"/>
      <c r="X4" s="28"/>
      <c r="Y4" s="28"/>
      <c r="Z4" s="28"/>
      <c r="AA4" s="28"/>
      <c r="AB4" s="9"/>
      <c r="AC4" s="28"/>
      <c r="AD4" s="28"/>
    </row>
    <row r="5" spans="1:30" x14ac:dyDescent="0.35">
      <c r="A5" s="28" t="s">
        <v>0</v>
      </c>
      <c r="B5" s="29" t="s">
        <v>10</v>
      </c>
      <c r="C5" s="28" t="s">
        <v>11</v>
      </c>
      <c r="D5" s="28" t="s">
        <v>12</v>
      </c>
      <c r="E5" s="28" t="s">
        <v>13</v>
      </c>
      <c r="F5" s="28" t="s">
        <v>14</v>
      </c>
      <c r="G5" s="28" t="s">
        <v>15</v>
      </c>
      <c r="H5" s="28" t="s">
        <v>16</v>
      </c>
      <c r="I5" s="28" t="s">
        <v>17</v>
      </c>
      <c r="J5" s="28" t="s">
        <v>18</v>
      </c>
      <c r="K5" s="28" t="s">
        <v>19</v>
      </c>
      <c r="L5" s="28" t="s">
        <v>20</v>
      </c>
      <c r="M5" s="28" t="s">
        <v>21</v>
      </c>
      <c r="N5" s="28" t="s">
        <v>22</v>
      </c>
      <c r="O5" s="28" t="s">
        <v>23</v>
      </c>
      <c r="P5" s="28" t="s">
        <v>24</v>
      </c>
      <c r="Q5" s="28" t="s">
        <v>25</v>
      </c>
      <c r="R5" s="28" t="s">
        <v>26</v>
      </c>
      <c r="S5" s="28" t="s">
        <v>27</v>
      </c>
      <c r="T5" s="28" t="s">
        <v>28</v>
      </c>
      <c r="U5" s="28" t="s">
        <v>29</v>
      </c>
      <c r="V5" s="28" t="s">
        <v>30</v>
      </c>
      <c r="W5" s="28" t="s">
        <v>31</v>
      </c>
      <c r="X5" s="28" t="s">
        <v>32</v>
      </c>
      <c r="Y5" s="28" t="s">
        <v>33</v>
      </c>
      <c r="Z5" s="28" t="s">
        <v>34</v>
      </c>
      <c r="AA5" s="28" t="s">
        <v>35</v>
      </c>
      <c r="AB5" s="9" t="s">
        <v>36</v>
      </c>
      <c r="AC5" s="28" t="s">
        <v>37</v>
      </c>
      <c r="AD5" s="28" t="s">
        <v>38</v>
      </c>
    </row>
    <row r="6" spans="1:30" hidden="1" x14ac:dyDescent="0.35">
      <c r="A6" s="30"/>
      <c r="B6" s="31"/>
      <c r="C6" s="30"/>
      <c r="D6" s="30"/>
      <c r="E6" s="30"/>
      <c r="F6" s="30"/>
      <c r="G6" s="30"/>
      <c r="H6" s="30"/>
      <c r="I6" s="30"/>
      <c r="J6" s="30"/>
      <c r="K6" s="30"/>
      <c r="L6" s="30"/>
      <c r="M6" s="30"/>
      <c r="N6" s="30"/>
      <c r="O6" s="30"/>
      <c r="P6" s="30"/>
      <c r="Q6" s="30"/>
      <c r="R6" s="30"/>
      <c r="S6" s="30"/>
      <c r="T6" s="30"/>
      <c r="U6" s="30"/>
      <c r="V6" s="30"/>
      <c r="W6" s="30"/>
      <c r="X6" s="30"/>
      <c r="Y6" s="30"/>
      <c r="Z6" s="30"/>
      <c r="AA6" s="30"/>
      <c r="AB6" s="52"/>
      <c r="AC6" s="30"/>
      <c r="AD6" s="30"/>
    </row>
    <row r="7" spans="1:30" x14ac:dyDescent="0.35">
      <c r="A7" s="128">
        <v>47119</v>
      </c>
      <c r="B7" s="32" t="s">
        <v>39</v>
      </c>
      <c r="C7" s="33">
        <v>49918</v>
      </c>
      <c r="D7" s="33">
        <v>46686</v>
      </c>
      <c r="E7" s="33">
        <v>44077</v>
      </c>
      <c r="F7" s="33">
        <v>42157</v>
      </c>
      <c r="G7" s="33">
        <v>41553</v>
      </c>
      <c r="H7" s="33">
        <v>42709</v>
      </c>
      <c r="I7" s="33">
        <v>43061</v>
      </c>
      <c r="J7" s="33">
        <v>33987</v>
      </c>
      <c r="K7" s="33">
        <v>29672</v>
      </c>
      <c r="L7" s="33">
        <v>27993</v>
      </c>
      <c r="M7" s="33">
        <v>28340</v>
      </c>
      <c r="N7" s="33">
        <v>27115</v>
      </c>
      <c r="O7" s="33">
        <v>24534</v>
      </c>
      <c r="P7" s="33">
        <v>35699</v>
      </c>
      <c r="Q7" s="33">
        <v>52657</v>
      </c>
      <c r="R7" s="33">
        <v>64537</v>
      </c>
      <c r="S7" s="33">
        <v>69227</v>
      </c>
      <c r="T7" s="33">
        <v>68034</v>
      </c>
      <c r="U7" s="33">
        <v>71131</v>
      </c>
      <c r="V7" s="33">
        <v>70030</v>
      </c>
      <c r="W7" s="33">
        <v>68602</v>
      </c>
      <c r="X7" s="33">
        <v>66311</v>
      </c>
      <c r="Y7" s="33">
        <v>61642</v>
      </c>
      <c r="Z7" s="33">
        <v>55444</v>
      </c>
      <c r="AA7" s="33">
        <f>SUM(C7:Z7)</f>
        <v>1165116</v>
      </c>
      <c r="AB7" s="53">
        <v>21</v>
      </c>
      <c r="AC7" s="33">
        <f>+AA7*AB7</f>
        <v>24467436</v>
      </c>
      <c r="AD7" s="120">
        <f>+SUM(AC7:AC10)</f>
        <v>34074890</v>
      </c>
    </row>
    <row r="8" spans="1:30" x14ac:dyDescent="0.35">
      <c r="A8" s="129"/>
      <c r="B8" s="34" t="s">
        <v>40</v>
      </c>
      <c r="C8" s="33">
        <v>51593</v>
      </c>
      <c r="D8" s="33">
        <v>48016</v>
      </c>
      <c r="E8" s="33">
        <v>45110</v>
      </c>
      <c r="F8" s="33">
        <v>42968</v>
      </c>
      <c r="G8" s="33">
        <v>42095</v>
      </c>
      <c r="H8" s="33">
        <v>42474</v>
      </c>
      <c r="I8" s="33">
        <v>42090</v>
      </c>
      <c r="J8" s="33">
        <v>32171</v>
      </c>
      <c r="K8" s="33">
        <v>27848</v>
      </c>
      <c r="L8" s="33">
        <v>26057</v>
      </c>
      <c r="M8" s="33">
        <v>25752</v>
      </c>
      <c r="N8" s="33">
        <v>23961</v>
      </c>
      <c r="O8" s="33">
        <v>23184</v>
      </c>
      <c r="P8" s="33">
        <v>30139</v>
      </c>
      <c r="Q8" s="33">
        <v>42769</v>
      </c>
      <c r="R8" s="33">
        <v>53652</v>
      </c>
      <c r="S8" s="33">
        <v>58381</v>
      </c>
      <c r="T8" s="33">
        <v>61019</v>
      </c>
      <c r="U8" s="33">
        <v>67469</v>
      </c>
      <c r="V8" s="33">
        <v>67052</v>
      </c>
      <c r="W8" s="33">
        <v>64728</v>
      </c>
      <c r="X8" s="33">
        <v>62392</v>
      </c>
      <c r="Y8" s="33">
        <v>59167</v>
      </c>
      <c r="Z8" s="33">
        <v>54743</v>
      </c>
      <c r="AA8" s="33">
        <f t="shared" ref="AA8:AA54" si="0">SUM(C8:Z8)</f>
        <v>1094830</v>
      </c>
      <c r="AB8" s="53">
        <v>4</v>
      </c>
      <c r="AC8" s="33">
        <f t="shared" ref="AC8:AC54" si="1">+AA8*AB8</f>
        <v>4379320</v>
      </c>
      <c r="AD8" s="121"/>
    </row>
    <row r="9" spans="1:30" x14ac:dyDescent="0.35">
      <c r="A9" s="129"/>
      <c r="B9" s="34" t="s">
        <v>41</v>
      </c>
      <c r="C9" s="33">
        <v>50749</v>
      </c>
      <c r="D9" s="33">
        <v>47406</v>
      </c>
      <c r="E9" s="33">
        <v>44582</v>
      </c>
      <c r="F9" s="33">
        <v>42356</v>
      </c>
      <c r="G9" s="33">
        <v>41087</v>
      </c>
      <c r="H9" s="33">
        <v>40461</v>
      </c>
      <c r="I9" s="33">
        <v>38828</v>
      </c>
      <c r="J9" s="33">
        <v>24831</v>
      </c>
      <c r="K9" s="33">
        <v>15890</v>
      </c>
      <c r="L9" s="33">
        <v>12329</v>
      </c>
      <c r="M9" s="33">
        <v>10180</v>
      </c>
      <c r="N9" s="33">
        <v>8249</v>
      </c>
      <c r="O9" s="33">
        <v>10901</v>
      </c>
      <c r="P9" s="33">
        <v>17282</v>
      </c>
      <c r="Q9" s="33">
        <v>28602</v>
      </c>
      <c r="R9" s="33">
        <v>40222</v>
      </c>
      <c r="S9" s="33">
        <v>46524</v>
      </c>
      <c r="T9" s="33">
        <v>51816</v>
      </c>
      <c r="U9" s="33">
        <v>59550</v>
      </c>
      <c r="V9" s="33">
        <v>61722</v>
      </c>
      <c r="W9" s="33">
        <v>61452</v>
      </c>
      <c r="X9" s="33">
        <v>60334</v>
      </c>
      <c r="Y9" s="33">
        <v>56721</v>
      </c>
      <c r="Z9" s="33">
        <v>51592</v>
      </c>
      <c r="AA9" s="33">
        <f t="shared" si="0"/>
        <v>923666</v>
      </c>
      <c r="AB9" s="53">
        <v>4</v>
      </c>
      <c r="AC9" s="33">
        <f t="shared" si="1"/>
        <v>3694664</v>
      </c>
      <c r="AD9" s="121"/>
    </row>
    <row r="10" spans="1:30" x14ac:dyDescent="0.35">
      <c r="A10" s="130"/>
      <c r="B10" s="35" t="s">
        <v>42</v>
      </c>
      <c r="C10" s="33">
        <v>40903</v>
      </c>
      <c r="D10" s="33">
        <v>39282</v>
      </c>
      <c r="E10" s="33">
        <v>37855</v>
      </c>
      <c r="F10" s="33">
        <v>36401</v>
      </c>
      <c r="G10" s="33">
        <v>35652</v>
      </c>
      <c r="H10" s="33">
        <v>35013</v>
      </c>
      <c r="I10" s="33">
        <v>32767</v>
      </c>
      <c r="J10" s="33">
        <v>18152</v>
      </c>
      <c r="K10" s="33">
        <v>8549</v>
      </c>
      <c r="L10" s="33">
        <v>4952</v>
      </c>
      <c r="M10" s="33">
        <v>3412</v>
      </c>
      <c r="N10" s="33">
        <v>1477</v>
      </c>
      <c r="O10" s="33">
        <v>4234</v>
      </c>
      <c r="P10" s="33">
        <v>10969</v>
      </c>
      <c r="Q10" s="33">
        <v>22023</v>
      </c>
      <c r="R10" s="33">
        <v>33296</v>
      </c>
      <c r="S10" s="33">
        <v>39090</v>
      </c>
      <c r="T10" s="33">
        <v>46364</v>
      </c>
      <c r="U10" s="33">
        <v>54732</v>
      </c>
      <c r="V10" s="33">
        <v>56264</v>
      </c>
      <c r="W10" s="33">
        <v>55391</v>
      </c>
      <c r="X10" s="33">
        <v>53574</v>
      </c>
      <c r="Y10" s="33">
        <v>50286</v>
      </c>
      <c r="Z10" s="33">
        <v>46097</v>
      </c>
      <c r="AA10" s="33">
        <f t="shared" si="0"/>
        <v>766735</v>
      </c>
      <c r="AB10" s="53">
        <v>2</v>
      </c>
      <c r="AC10" s="33">
        <f t="shared" si="1"/>
        <v>1533470</v>
      </c>
      <c r="AD10" s="122"/>
    </row>
    <row r="11" spans="1:30" x14ac:dyDescent="0.35">
      <c r="A11" s="128">
        <v>47150</v>
      </c>
      <c r="B11" s="32" t="s">
        <v>39</v>
      </c>
      <c r="C11" s="33">
        <v>57510</v>
      </c>
      <c r="D11" s="33">
        <v>53555</v>
      </c>
      <c r="E11" s="33">
        <v>50768</v>
      </c>
      <c r="F11" s="33">
        <v>48895</v>
      </c>
      <c r="G11" s="33">
        <v>48824</v>
      </c>
      <c r="H11" s="33">
        <v>52068</v>
      </c>
      <c r="I11" s="33">
        <v>53585</v>
      </c>
      <c r="J11" s="33">
        <v>45167</v>
      </c>
      <c r="K11" s="33">
        <v>40283</v>
      </c>
      <c r="L11" s="33">
        <v>38232</v>
      </c>
      <c r="M11" s="33">
        <v>38638</v>
      </c>
      <c r="N11" s="33">
        <v>35729</v>
      </c>
      <c r="O11" s="33">
        <v>30553</v>
      </c>
      <c r="P11" s="33">
        <v>44682</v>
      </c>
      <c r="Q11" s="33">
        <v>63870</v>
      </c>
      <c r="R11" s="33">
        <v>76779</v>
      </c>
      <c r="S11" s="33">
        <v>81554</v>
      </c>
      <c r="T11" s="33">
        <v>77533</v>
      </c>
      <c r="U11" s="33">
        <v>79128</v>
      </c>
      <c r="V11" s="33">
        <v>78979</v>
      </c>
      <c r="W11" s="33">
        <v>77734</v>
      </c>
      <c r="X11" s="33">
        <v>74968</v>
      </c>
      <c r="Y11" s="33">
        <v>68978</v>
      </c>
      <c r="Z11" s="33">
        <v>61635</v>
      </c>
      <c r="AA11" s="33">
        <f t="shared" si="0"/>
        <v>1379647</v>
      </c>
      <c r="AB11" s="53">
        <v>20</v>
      </c>
      <c r="AC11" s="33">
        <f t="shared" si="1"/>
        <v>27592940</v>
      </c>
      <c r="AD11" s="120">
        <f>+SUM(AC11:AC14)</f>
        <v>37016204</v>
      </c>
    </row>
    <row r="12" spans="1:30" x14ac:dyDescent="0.35">
      <c r="A12" s="129"/>
      <c r="B12" s="34" t="s">
        <v>40</v>
      </c>
      <c r="C12" s="33">
        <v>55611</v>
      </c>
      <c r="D12" s="33">
        <v>51818</v>
      </c>
      <c r="E12" s="33">
        <v>49121</v>
      </c>
      <c r="F12" s="33">
        <v>47265</v>
      </c>
      <c r="G12" s="33">
        <v>46644</v>
      </c>
      <c r="H12" s="33">
        <v>47693</v>
      </c>
      <c r="I12" s="33">
        <v>48798</v>
      </c>
      <c r="J12" s="33">
        <v>40554</v>
      </c>
      <c r="K12" s="33">
        <v>36695</v>
      </c>
      <c r="L12" s="33">
        <v>34857</v>
      </c>
      <c r="M12" s="33">
        <v>34492</v>
      </c>
      <c r="N12" s="33">
        <v>32067</v>
      </c>
      <c r="O12" s="33">
        <v>29751</v>
      </c>
      <c r="P12" s="33">
        <v>36485</v>
      </c>
      <c r="Q12" s="33">
        <v>50118</v>
      </c>
      <c r="R12" s="33">
        <v>61802</v>
      </c>
      <c r="S12" s="33">
        <v>66688</v>
      </c>
      <c r="T12" s="33">
        <v>67397</v>
      </c>
      <c r="U12" s="33">
        <v>73171</v>
      </c>
      <c r="V12" s="33">
        <v>73799</v>
      </c>
      <c r="W12" s="33">
        <v>71392</v>
      </c>
      <c r="X12" s="33">
        <v>68800</v>
      </c>
      <c r="Y12" s="33">
        <v>65422</v>
      </c>
      <c r="Z12" s="33">
        <v>60595</v>
      </c>
      <c r="AA12" s="33">
        <f t="shared" si="0"/>
        <v>1251035</v>
      </c>
      <c r="AB12" s="53">
        <v>4</v>
      </c>
      <c r="AC12" s="33">
        <f t="shared" si="1"/>
        <v>5004140</v>
      </c>
      <c r="AD12" s="121"/>
    </row>
    <row r="13" spans="1:30" x14ac:dyDescent="0.35">
      <c r="A13" s="129"/>
      <c r="B13" s="34" t="s">
        <v>41</v>
      </c>
      <c r="C13" s="33">
        <v>57136</v>
      </c>
      <c r="D13" s="33">
        <v>53101</v>
      </c>
      <c r="E13" s="33">
        <v>50292</v>
      </c>
      <c r="F13" s="33">
        <v>48040</v>
      </c>
      <c r="G13" s="33">
        <v>46785</v>
      </c>
      <c r="H13" s="33">
        <v>46403</v>
      </c>
      <c r="I13" s="33">
        <v>45340</v>
      </c>
      <c r="J13" s="33">
        <v>32011</v>
      </c>
      <c r="K13" s="33">
        <v>22506</v>
      </c>
      <c r="L13" s="33">
        <v>19098</v>
      </c>
      <c r="M13" s="33">
        <v>17209</v>
      </c>
      <c r="N13" s="33">
        <v>15429</v>
      </c>
      <c r="O13" s="33">
        <v>18213</v>
      </c>
      <c r="P13" s="33">
        <v>24642</v>
      </c>
      <c r="Q13" s="33">
        <v>36975</v>
      </c>
      <c r="R13" s="33">
        <v>49702</v>
      </c>
      <c r="S13" s="33">
        <v>56629</v>
      </c>
      <c r="T13" s="33">
        <v>59886</v>
      </c>
      <c r="U13" s="33">
        <v>67039</v>
      </c>
      <c r="V13" s="33">
        <v>70769</v>
      </c>
      <c r="W13" s="33">
        <v>71280</v>
      </c>
      <c r="X13" s="33">
        <v>70604</v>
      </c>
      <c r="Y13" s="33">
        <v>66034</v>
      </c>
      <c r="Z13" s="33">
        <v>59658</v>
      </c>
      <c r="AA13" s="33">
        <f t="shared" si="0"/>
        <v>1104781</v>
      </c>
      <c r="AB13" s="53">
        <v>4</v>
      </c>
      <c r="AC13" s="33">
        <f t="shared" si="1"/>
        <v>4419124</v>
      </c>
      <c r="AD13" s="121"/>
    </row>
    <row r="14" spans="1:30" x14ac:dyDescent="0.35">
      <c r="A14" s="130"/>
      <c r="B14" s="35" t="s">
        <v>42</v>
      </c>
      <c r="C14" s="33">
        <v>0</v>
      </c>
      <c r="D14" s="33">
        <v>0</v>
      </c>
      <c r="E14" s="33">
        <v>0</v>
      </c>
      <c r="F14" s="33">
        <v>0</v>
      </c>
      <c r="G14" s="33">
        <v>0</v>
      </c>
      <c r="H14" s="33">
        <v>0</v>
      </c>
      <c r="I14" s="33">
        <v>0</v>
      </c>
      <c r="J14" s="33">
        <v>0</v>
      </c>
      <c r="K14" s="33">
        <v>0</v>
      </c>
      <c r="L14" s="33">
        <v>0</v>
      </c>
      <c r="M14" s="33">
        <v>0</v>
      </c>
      <c r="N14" s="33">
        <v>0</v>
      </c>
      <c r="O14" s="33">
        <v>0</v>
      </c>
      <c r="P14" s="33">
        <v>0</v>
      </c>
      <c r="Q14" s="33">
        <v>0</v>
      </c>
      <c r="R14" s="33">
        <v>0</v>
      </c>
      <c r="S14" s="33">
        <v>0</v>
      </c>
      <c r="T14" s="33">
        <v>0</v>
      </c>
      <c r="U14" s="33">
        <v>0</v>
      </c>
      <c r="V14" s="33">
        <v>0</v>
      </c>
      <c r="W14" s="33">
        <v>0</v>
      </c>
      <c r="X14" s="33">
        <v>0</v>
      </c>
      <c r="Y14" s="33">
        <v>0</v>
      </c>
      <c r="Z14" s="33">
        <v>0</v>
      </c>
      <c r="AA14" s="33">
        <f t="shared" si="0"/>
        <v>0</v>
      </c>
      <c r="AB14" s="53">
        <v>0</v>
      </c>
      <c r="AC14" s="33">
        <f t="shared" si="1"/>
        <v>0</v>
      </c>
      <c r="AD14" s="122"/>
    </row>
    <row r="15" spans="1:30" x14ac:dyDescent="0.35">
      <c r="A15" s="128">
        <v>47178</v>
      </c>
      <c r="B15" s="32" t="s">
        <v>39</v>
      </c>
      <c r="C15" s="33">
        <v>50285</v>
      </c>
      <c r="D15" s="33">
        <v>46572</v>
      </c>
      <c r="E15" s="33">
        <v>44001</v>
      </c>
      <c r="F15" s="33">
        <v>42144</v>
      </c>
      <c r="G15" s="33">
        <v>41938</v>
      </c>
      <c r="H15" s="33">
        <v>44077</v>
      </c>
      <c r="I15" s="33">
        <v>44383</v>
      </c>
      <c r="J15" s="33">
        <v>35683</v>
      </c>
      <c r="K15" s="33">
        <v>30815</v>
      </c>
      <c r="L15" s="33">
        <v>28372</v>
      </c>
      <c r="M15" s="33">
        <v>28289</v>
      </c>
      <c r="N15" s="33">
        <v>25866</v>
      </c>
      <c r="O15" s="33">
        <v>21932</v>
      </c>
      <c r="P15" s="33">
        <v>34849</v>
      </c>
      <c r="Q15" s="33">
        <v>52475</v>
      </c>
      <c r="R15" s="33">
        <v>64314</v>
      </c>
      <c r="S15" s="33">
        <v>69235</v>
      </c>
      <c r="T15" s="33">
        <v>67167</v>
      </c>
      <c r="U15" s="33">
        <v>69270</v>
      </c>
      <c r="V15" s="33">
        <v>69157</v>
      </c>
      <c r="W15" s="33">
        <v>68202</v>
      </c>
      <c r="X15" s="33">
        <v>66046</v>
      </c>
      <c r="Y15" s="33">
        <v>61161</v>
      </c>
      <c r="Z15" s="33">
        <v>54766</v>
      </c>
      <c r="AA15" s="33">
        <f t="shared" si="0"/>
        <v>1160999</v>
      </c>
      <c r="AB15" s="53">
        <v>19</v>
      </c>
      <c r="AC15" s="33">
        <f t="shared" si="1"/>
        <v>22058981</v>
      </c>
      <c r="AD15" s="120">
        <f>+SUM(AC15:AC18)</f>
        <v>33999707</v>
      </c>
    </row>
    <row r="16" spans="1:30" x14ac:dyDescent="0.35">
      <c r="A16" s="129"/>
      <c r="B16" s="34" t="s">
        <v>40</v>
      </c>
      <c r="C16" s="33">
        <v>52111</v>
      </c>
      <c r="D16" s="33">
        <v>48219</v>
      </c>
      <c r="E16" s="33">
        <v>45460</v>
      </c>
      <c r="F16" s="33">
        <v>43251</v>
      </c>
      <c r="G16" s="33">
        <v>42275</v>
      </c>
      <c r="H16" s="33">
        <v>42467</v>
      </c>
      <c r="I16" s="33">
        <v>42705</v>
      </c>
      <c r="J16" s="33">
        <v>34299</v>
      </c>
      <c r="K16" s="33">
        <v>29862</v>
      </c>
      <c r="L16" s="33">
        <v>27558</v>
      </c>
      <c r="M16" s="33">
        <v>27125</v>
      </c>
      <c r="N16" s="33">
        <v>24392</v>
      </c>
      <c r="O16" s="33">
        <v>22399</v>
      </c>
      <c r="P16" s="33">
        <v>29115</v>
      </c>
      <c r="Q16" s="33">
        <v>41864</v>
      </c>
      <c r="R16" s="33">
        <v>52928</v>
      </c>
      <c r="S16" s="33">
        <v>57932</v>
      </c>
      <c r="T16" s="33">
        <v>60164</v>
      </c>
      <c r="U16" s="33">
        <v>65702</v>
      </c>
      <c r="V16" s="33">
        <v>66119</v>
      </c>
      <c r="W16" s="33">
        <v>64220</v>
      </c>
      <c r="X16" s="33">
        <v>62313</v>
      </c>
      <c r="Y16" s="33">
        <v>59671</v>
      </c>
      <c r="Z16" s="33">
        <v>55645</v>
      </c>
      <c r="AA16" s="33">
        <f t="shared" si="0"/>
        <v>1097796</v>
      </c>
      <c r="AB16" s="53">
        <v>5</v>
      </c>
      <c r="AC16" s="33">
        <f t="shared" si="1"/>
        <v>5488980</v>
      </c>
      <c r="AD16" s="121"/>
    </row>
    <row r="17" spans="1:30" x14ac:dyDescent="0.35">
      <c r="A17" s="129"/>
      <c r="B17" s="34" t="s">
        <v>41</v>
      </c>
      <c r="C17" s="33">
        <v>52400</v>
      </c>
      <c r="D17" s="33">
        <v>48659</v>
      </c>
      <c r="E17" s="33">
        <v>45993</v>
      </c>
      <c r="F17" s="33">
        <v>43831</v>
      </c>
      <c r="G17" s="33">
        <v>42538</v>
      </c>
      <c r="H17" s="33">
        <v>41704</v>
      </c>
      <c r="I17" s="33">
        <v>39906</v>
      </c>
      <c r="J17" s="33">
        <v>26245</v>
      </c>
      <c r="K17" s="33">
        <v>17047</v>
      </c>
      <c r="L17" s="33">
        <v>12923</v>
      </c>
      <c r="M17" s="33">
        <v>10268</v>
      </c>
      <c r="N17" s="33">
        <v>8629</v>
      </c>
      <c r="O17" s="33">
        <v>11387</v>
      </c>
      <c r="P17" s="33">
        <v>17874</v>
      </c>
      <c r="Q17" s="33">
        <v>29759</v>
      </c>
      <c r="R17" s="33">
        <v>41479</v>
      </c>
      <c r="S17" s="33">
        <v>47957</v>
      </c>
      <c r="T17" s="33">
        <v>52653</v>
      </c>
      <c r="U17" s="33">
        <v>59355</v>
      </c>
      <c r="V17" s="33">
        <v>62786</v>
      </c>
      <c r="W17" s="33">
        <v>63560</v>
      </c>
      <c r="X17" s="33">
        <v>63208</v>
      </c>
      <c r="Y17" s="33">
        <v>59233</v>
      </c>
      <c r="Z17" s="33">
        <v>53703</v>
      </c>
      <c r="AA17" s="33">
        <f t="shared" si="0"/>
        <v>953097</v>
      </c>
      <c r="AB17" s="53">
        <v>4</v>
      </c>
      <c r="AC17" s="33">
        <f t="shared" si="1"/>
        <v>3812388</v>
      </c>
      <c r="AD17" s="121"/>
    </row>
    <row r="18" spans="1:30" x14ac:dyDescent="0.35">
      <c r="A18" s="130"/>
      <c r="B18" s="35" t="s">
        <v>42</v>
      </c>
      <c r="C18" s="33">
        <v>44009</v>
      </c>
      <c r="D18" s="33">
        <v>40247</v>
      </c>
      <c r="E18" s="33">
        <v>37826</v>
      </c>
      <c r="F18" s="33">
        <v>36180</v>
      </c>
      <c r="G18" s="33">
        <v>35359</v>
      </c>
      <c r="H18" s="33">
        <v>35175</v>
      </c>
      <c r="I18" s="33">
        <v>34705</v>
      </c>
      <c r="J18" s="33">
        <v>23489</v>
      </c>
      <c r="K18" s="33">
        <v>16043</v>
      </c>
      <c r="L18" s="33">
        <v>13504</v>
      </c>
      <c r="M18" s="33">
        <v>12884</v>
      </c>
      <c r="N18" s="33">
        <v>11265</v>
      </c>
      <c r="O18" s="33">
        <v>11782</v>
      </c>
      <c r="P18" s="33">
        <v>19090</v>
      </c>
      <c r="Q18" s="33">
        <v>30379</v>
      </c>
      <c r="R18" s="33">
        <v>40976</v>
      </c>
      <c r="S18" s="33">
        <v>46259</v>
      </c>
      <c r="T18" s="33">
        <v>50271</v>
      </c>
      <c r="U18" s="33">
        <v>57827</v>
      </c>
      <c r="V18" s="33">
        <v>61125</v>
      </c>
      <c r="W18" s="33">
        <v>61047</v>
      </c>
      <c r="X18" s="33">
        <v>59098</v>
      </c>
      <c r="Y18" s="33">
        <v>53580</v>
      </c>
      <c r="Z18" s="33">
        <v>47666</v>
      </c>
      <c r="AA18" s="33">
        <f t="shared" si="0"/>
        <v>879786</v>
      </c>
      <c r="AB18" s="53">
        <v>3</v>
      </c>
      <c r="AC18" s="33">
        <f t="shared" si="1"/>
        <v>2639358</v>
      </c>
      <c r="AD18" s="122"/>
    </row>
    <row r="19" spans="1:30" x14ac:dyDescent="0.35">
      <c r="A19" s="128">
        <v>47209</v>
      </c>
      <c r="B19" s="32" t="s">
        <v>39</v>
      </c>
      <c r="C19" s="33">
        <v>53103</v>
      </c>
      <c r="D19" s="33">
        <v>49194</v>
      </c>
      <c r="E19" s="33">
        <v>46518</v>
      </c>
      <c r="F19" s="33">
        <v>44638</v>
      </c>
      <c r="G19" s="33">
        <v>44433</v>
      </c>
      <c r="H19" s="33">
        <v>45409</v>
      </c>
      <c r="I19" s="33">
        <v>46301</v>
      </c>
      <c r="J19" s="33">
        <v>38840</v>
      </c>
      <c r="K19" s="33">
        <v>35194</v>
      </c>
      <c r="L19" s="33">
        <v>33473</v>
      </c>
      <c r="M19" s="33">
        <v>34147</v>
      </c>
      <c r="N19" s="33">
        <v>32193</v>
      </c>
      <c r="O19" s="33">
        <v>27485</v>
      </c>
      <c r="P19" s="33">
        <v>40836</v>
      </c>
      <c r="Q19" s="33">
        <v>59479</v>
      </c>
      <c r="R19" s="33">
        <v>71273</v>
      </c>
      <c r="S19" s="33">
        <v>75552</v>
      </c>
      <c r="T19" s="33">
        <v>72562</v>
      </c>
      <c r="U19" s="33">
        <v>74198</v>
      </c>
      <c r="V19" s="33">
        <v>73735</v>
      </c>
      <c r="W19" s="33">
        <v>72997</v>
      </c>
      <c r="X19" s="33">
        <v>70649</v>
      </c>
      <c r="Y19" s="33">
        <v>65421</v>
      </c>
      <c r="Z19" s="33">
        <v>58531</v>
      </c>
      <c r="AA19" s="33">
        <f t="shared" si="0"/>
        <v>1266161</v>
      </c>
      <c r="AB19" s="53">
        <v>21</v>
      </c>
      <c r="AC19" s="33">
        <f t="shared" si="1"/>
        <v>26589381</v>
      </c>
      <c r="AD19" s="120">
        <f>+SUM(AC19:AC22)</f>
        <v>36272875</v>
      </c>
    </row>
    <row r="20" spans="1:30" x14ac:dyDescent="0.35">
      <c r="A20" s="129"/>
      <c r="B20" s="34" t="s">
        <v>40</v>
      </c>
      <c r="C20" s="33">
        <v>54112</v>
      </c>
      <c r="D20" s="33">
        <v>50194</v>
      </c>
      <c r="E20" s="33">
        <v>47334</v>
      </c>
      <c r="F20" s="33">
        <v>45164</v>
      </c>
      <c r="G20" s="33">
        <v>44269</v>
      </c>
      <c r="H20" s="33">
        <v>43195</v>
      </c>
      <c r="I20" s="33">
        <v>44057</v>
      </c>
      <c r="J20" s="33">
        <v>35667</v>
      </c>
      <c r="K20" s="33">
        <v>32227</v>
      </c>
      <c r="L20" s="33">
        <v>30664</v>
      </c>
      <c r="M20" s="33">
        <v>30393</v>
      </c>
      <c r="N20" s="33">
        <v>28396</v>
      </c>
      <c r="O20" s="33">
        <v>26800</v>
      </c>
      <c r="P20" s="33">
        <v>33875</v>
      </c>
      <c r="Q20" s="33">
        <v>46979</v>
      </c>
      <c r="R20" s="33">
        <v>57903</v>
      </c>
      <c r="S20" s="33">
        <v>62246</v>
      </c>
      <c r="T20" s="33">
        <v>63900</v>
      </c>
      <c r="U20" s="33">
        <v>68982</v>
      </c>
      <c r="V20" s="33">
        <v>68366</v>
      </c>
      <c r="W20" s="33">
        <v>66352</v>
      </c>
      <c r="X20" s="33">
        <v>64153</v>
      </c>
      <c r="Y20" s="33">
        <v>61177</v>
      </c>
      <c r="Z20" s="33">
        <v>57081</v>
      </c>
      <c r="AA20" s="33">
        <f t="shared" si="0"/>
        <v>1163486</v>
      </c>
      <c r="AB20" s="53">
        <v>4</v>
      </c>
      <c r="AC20" s="33">
        <f t="shared" si="1"/>
        <v>4653944</v>
      </c>
      <c r="AD20" s="121"/>
    </row>
    <row r="21" spans="1:30" x14ac:dyDescent="0.35">
      <c r="A21" s="129"/>
      <c r="B21" s="34" t="s">
        <v>41</v>
      </c>
      <c r="C21" s="33">
        <v>54317</v>
      </c>
      <c r="D21" s="33">
        <v>50239</v>
      </c>
      <c r="E21" s="33">
        <v>47269</v>
      </c>
      <c r="F21" s="33">
        <v>44900</v>
      </c>
      <c r="G21" s="33">
        <v>43538</v>
      </c>
      <c r="H21" s="33">
        <v>41662</v>
      </c>
      <c r="I21" s="33">
        <v>40731</v>
      </c>
      <c r="J21" s="33">
        <v>27798</v>
      </c>
      <c r="K21" s="33">
        <v>18780</v>
      </c>
      <c r="L21" s="33">
        <v>15135</v>
      </c>
      <c r="M21" s="33">
        <v>13364</v>
      </c>
      <c r="N21" s="33">
        <v>12210</v>
      </c>
      <c r="O21" s="33">
        <v>14895</v>
      </c>
      <c r="P21" s="33">
        <v>21596</v>
      </c>
      <c r="Q21" s="33">
        <v>33740</v>
      </c>
      <c r="R21" s="33">
        <v>45494</v>
      </c>
      <c r="S21" s="33">
        <v>51561</v>
      </c>
      <c r="T21" s="33">
        <v>55572</v>
      </c>
      <c r="U21" s="33">
        <v>62211</v>
      </c>
      <c r="V21" s="33">
        <v>64936</v>
      </c>
      <c r="W21" s="33">
        <v>64925</v>
      </c>
      <c r="X21" s="33">
        <v>64632</v>
      </c>
      <c r="Y21" s="33">
        <v>61037</v>
      </c>
      <c r="Z21" s="33">
        <v>55368</v>
      </c>
      <c r="AA21" s="33">
        <f t="shared" si="0"/>
        <v>1005910</v>
      </c>
      <c r="AB21" s="53">
        <v>5</v>
      </c>
      <c r="AC21" s="33">
        <f t="shared" si="1"/>
        <v>5029550</v>
      </c>
      <c r="AD21" s="121"/>
    </row>
    <row r="22" spans="1:30" x14ac:dyDescent="0.35">
      <c r="A22" s="130"/>
      <c r="B22" s="35" t="s">
        <v>42</v>
      </c>
      <c r="C22" s="33">
        <v>0</v>
      </c>
      <c r="D22" s="33">
        <v>0</v>
      </c>
      <c r="E22" s="33">
        <v>0</v>
      </c>
      <c r="F22" s="33">
        <v>0</v>
      </c>
      <c r="G22" s="33">
        <v>0</v>
      </c>
      <c r="H22" s="33">
        <v>0</v>
      </c>
      <c r="I22" s="33">
        <v>0</v>
      </c>
      <c r="J22" s="33">
        <v>0</v>
      </c>
      <c r="K22" s="33">
        <v>0</v>
      </c>
      <c r="L22" s="33">
        <v>0</v>
      </c>
      <c r="M22" s="33">
        <v>0</v>
      </c>
      <c r="N22" s="33">
        <v>0</v>
      </c>
      <c r="O22" s="33">
        <v>0</v>
      </c>
      <c r="P22" s="33">
        <v>0</v>
      </c>
      <c r="Q22" s="33">
        <v>0</v>
      </c>
      <c r="R22" s="33">
        <v>0</v>
      </c>
      <c r="S22" s="33">
        <v>0</v>
      </c>
      <c r="T22" s="33">
        <v>0</v>
      </c>
      <c r="U22" s="33">
        <v>0</v>
      </c>
      <c r="V22" s="33">
        <v>0</v>
      </c>
      <c r="W22" s="33">
        <v>0</v>
      </c>
      <c r="X22" s="33">
        <v>0</v>
      </c>
      <c r="Y22" s="33">
        <v>0</v>
      </c>
      <c r="Z22" s="33">
        <v>0</v>
      </c>
      <c r="AA22" s="33">
        <f t="shared" si="0"/>
        <v>0</v>
      </c>
      <c r="AB22" s="53">
        <v>0</v>
      </c>
      <c r="AC22" s="33">
        <f t="shared" si="1"/>
        <v>0</v>
      </c>
      <c r="AD22" s="122"/>
    </row>
    <row r="23" spans="1:30" x14ac:dyDescent="0.35">
      <c r="A23" s="128">
        <v>47239</v>
      </c>
      <c r="B23" s="32" t="s">
        <v>39</v>
      </c>
      <c r="C23" s="33">
        <v>53115</v>
      </c>
      <c r="D23" s="33">
        <v>49407</v>
      </c>
      <c r="E23" s="33">
        <v>46674</v>
      </c>
      <c r="F23" s="33">
        <v>44761</v>
      </c>
      <c r="G23" s="33">
        <v>44264</v>
      </c>
      <c r="H23" s="33">
        <v>43835</v>
      </c>
      <c r="I23" s="33">
        <v>45095</v>
      </c>
      <c r="J23" s="33">
        <v>37911</v>
      </c>
      <c r="K23" s="33">
        <v>34975</v>
      </c>
      <c r="L23" s="33">
        <v>33560</v>
      </c>
      <c r="M23" s="33">
        <v>34004</v>
      </c>
      <c r="N23" s="33">
        <v>31800</v>
      </c>
      <c r="O23" s="33">
        <v>27278</v>
      </c>
      <c r="P23" s="33">
        <v>40298</v>
      </c>
      <c r="Q23" s="33">
        <v>58461</v>
      </c>
      <c r="R23" s="33">
        <v>69507</v>
      </c>
      <c r="S23" s="33">
        <v>73441</v>
      </c>
      <c r="T23" s="33">
        <v>70437</v>
      </c>
      <c r="U23" s="33">
        <v>71688</v>
      </c>
      <c r="V23" s="33">
        <v>71784</v>
      </c>
      <c r="W23" s="33">
        <v>71492</v>
      </c>
      <c r="X23" s="33">
        <v>69592</v>
      </c>
      <c r="Y23" s="33">
        <v>64687</v>
      </c>
      <c r="Z23" s="33">
        <v>58201</v>
      </c>
      <c r="AA23" s="33">
        <f t="shared" si="0"/>
        <v>1246267</v>
      </c>
      <c r="AB23" s="53">
        <v>21</v>
      </c>
      <c r="AC23" s="33">
        <f t="shared" si="1"/>
        <v>26171607</v>
      </c>
      <c r="AD23" s="120">
        <f>+SUM(AC23:AC26)</f>
        <v>36538851</v>
      </c>
    </row>
    <row r="24" spans="1:30" x14ac:dyDescent="0.35">
      <c r="A24" s="129"/>
      <c r="B24" s="34" t="s">
        <v>40</v>
      </c>
      <c r="C24" s="33">
        <v>55831</v>
      </c>
      <c r="D24" s="33">
        <v>51629</v>
      </c>
      <c r="E24" s="33">
        <v>48544</v>
      </c>
      <c r="F24" s="33">
        <v>46155</v>
      </c>
      <c r="G24" s="33">
        <v>45178</v>
      </c>
      <c r="H24" s="33">
        <v>43229</v>
      </c>
      <c r="I24" s="33">
        <v>44256</v>
      </c>
      <c r="J24" s="33">
        <v>35949</v>
      </c>
      <c r="K24" s="33">
        <v>33169</v>
      </c>
      <c r="L24" s="33">
        <v>32040</v>
      </c>
      <c r="M24" s="33">
        <v>31799</v>
      </c>
      <c r="N24" s="33">
        <v>29157</v>
      </c>
      <c r="O24" s="33">
        <v>27051</v>
      </c>
      <c r="P24" s="33">
        <v>33792</v>
      </c>
      <c r="Q24" s="33">
        <v>46165</v>
      </c>
      <c r="R24" s="33">
        <v>56923</v>
      </c>
      <c r="S24" s="33">
        <v>61023</v>
      </c>
      <c r="T24" s="33">
        <v>61844</v>
      </c>
      <c r="U24" s="33">
        <v>66643</v>
      </c>
      <c r="V24" s="33">
        <v>67335</v>
      </c>
      <c r="W24" s="33">
        <v>65689</v>
      </c>
      <c r="X24" s="33">
        <v>64002</v>
      </c>
      <c r="Y24" s="33">
        <v>61312</v>
      </c>
      <c r="Z24" s="33">
        <v>57293</v>
      </c>
      <c r="AA24" s="33">
        <f t="shared" si="0"/>
        <v>1166008</v>
      </c>
      <c r="AB24" s="53">
        <v>4</v>
      </c>
      <c r="AC24" s="33">
        <f t="shared" si="1"/>
        <v>4664032</v>
      </c>
      <c r="AD24" s="121"/>
    </row>
    <row r="25" spans="1:30" x14ac:dyDescent="0.35">
      <c r="A25" s="129"/>
      <c r="B25" s="34" t="s">
        <v>41</v>
      </c>
      <c r="C25" s="33">
        <v>53587</v>
      </c>
      <c r="D25" s="33">
        <v>49979</v>
      </c>
      <c r="E25" s="33">
        <v>47235</v>
      </c>
      <c r="F25" s="33">
        <v>44960</v>
      </c>
      <c r="G25" s="33">
        <v>43505</v>
      </c>
      <c r="H25" s="33">
        <v>40547</v>
      </c>
      <c r="I25" s="33">
        <v>40417</v>
      </c>
      <c r="J25" s="33">
        <v>27150</v>
      </c>
      <c r="K25" s="33">
        <v>18294</v>
      </c>
      <c r="L25" s="33">
        <v>14634</v>
      </c>
      <c r="M25" s="33">
        <v>13054</v>
      </c>
      <c r="N25" s="33">
        <v>11052</v>
      </c>
      <c r="O25" s="33">
        <v>12590</v>
      </c>
      <c r="P25" s="33">
        <v>18659</v>
      </c>
      <c r="Q25" s="33">
        <v>30847</v>
      </c>
      <c r="R25" s="33">
        <v>42064</v>
      </c>
      <c r="S25" s="33">
        <v>48129</v>
      </c>
      <c r="T25" s="33">
        <v>52505</v>
      </c>
      <c r="U25" s="33">
        <v>58956</v>
      </c>
      <c r="V25" s="33">
        <v>62033</v>
      </c>
      <c r="W25" s="33">
        <v>62663</v>
      </c>
      <c r="X25" s="33">
        <v>62798</v>
      </c>
      <c r="Y25" s="33">
        <v>59877</v>
      </c>
      <c r="Z25" s="33">
        <v>54817</v>
      </c>
      <c r="AA25" s="33">
        <f t="shared" si="0"/>
        <v>970352</v>
      </c>
      <c r="AB25" s="53">
        <v>4</v>
      </c>
      <c r="AC25" s="33">
        <f t="shared" si="1"/>
        <v>3881408</v>
      </c>
      <c r="AD25" s="121"/>
    </row>
    <row r="26" spans="1:30" x14ac:dyDescent="0.35">
      <c r="A26" s="130"/>
      <c r="B26" s="35" t="s">
        <v>42</v>
      </c>
      <c r="C26" s="33">
        <v>45929</v>
      </c>
      <c r="D26" s="33">
        <v>42379</v>
      </c>
      <c r="E26" s="33">
        <v>39855</v>
      </c>
      <c r="F26" s="33">
        <v>38019</v>
      </c>
      <c r="G26" s="33">
        <v>37176</v>
      </c>
      <c r="H26" s="33">
        <v>35207</v>
      </c>
      <c r="I26" s="33">
        <v>35627</v>
      </c>
      <c r="J26" s="33">
        <v>23805</v>
      </c>
      <c r="K26" s="33">
        <v>16135</v>
      </c>
      <c r="L26" s="33">
        <v>13596</v>
      </c>
      <c r="M26" s="33">
        <v>13050</v>
      </c>
      <c r="N26" s="33">
        <v>11533</v>
      </c>
      <c r="O26" s="33">
        <v>12601</v>
      </c>
      <c r="P26" s="33">
        <v>19708</v>
      </c>
      <c r="Q26" s="33">
        <v>31782</v>
      </c>
      <c r="R26" s="33">
        <v>42830</v>
      </c>
      <c r="S26" s="33">
        <v>48005</v>
      </c>
      <c r="T26" s="33">
        <v>51359</v>
      </c>
      <c r="U26" s="33">
        <v>58092</v>
      </c>
      <c r="V26" s="33">
        <v>61847</v>
      </c>
      <c r="W26" s="33">
        <v>62278</v>
      </c>
      <c r="X26" s="33">
        <v>61304</v>
      </c>
      <c r="Y26" s="33">
        <v>57145</v>
      </c>
      <c r="Z26" s="33">
        <v>51640</v>
      </c>
      <c r="AA26" s="33">
        <f t="shared" si="0"/>
        <v>910902</v>
      </c>
      <c r="AB26" s="53">
        <v>2</v>
      </c>
      <c r="AC26" s="33">
        <f t="shared" si="1"/>
        <v>1821804</v>
      </c>
      <c r="AD26" s="122"/>
    </row>
    <row r="27" spans="1:30" x14ac:dyDescent="0.35">
      <c r="A27" s="128">
        <v>47270</v>
      </c>
      <c r="B27" s="32" t="s">
        <v>39</v>
      </c>
      <c r="C27" s="33">
        <v>56811</v>
      </c>
      <c r="D27" s="33">
        <v>52841</v>
      </c>
      <c r="E27" s="33">
        <v>49917</v>
      </c>
      <c r="F27" s="33">
        <v>47911</v>
      </c>
      <c r="G27" s="33">
        <v>47394</v>
      </c>
      <c r="H27" s="33">
        <v>46711</v>
      </c>
      <c r="I27" s="33">
        <v>48813</v>
      </c>
      <c r="J27" s="33">
        <v>42544</v>
      </c>
      <c r="K27" s="33">
        <v>39763</v>
      </c>
      <c r="L27" s="33">
        <v>38131</v>
      </c>
      <c r="M27" s="33">
        <v>38504</v>
      </c>
      <c r="N27" s="33">
        <v>36597</v>
      </c>
      <c r="O27" s="33">
        <v>31352</v>
      </c>
      <c r="P27" s="33">
        <v>44248</v>
      </c>
      <c r="Q27" s="33">
        <v>62432</v>
      </c>
      <c r="R27" s="33">
        <v>73975</v>
      </c>
      <c r="S27" s="33">
        <v>78370</v>
      </c>
      <c r="T27" s="33">
        <v>74344</v>
      </c>
      <c r="U27" s="33">
        <v>74806</v>
      </c>
      <c r="V27" s="33">
        <v>75563</v>
      </c>
      <c r="W27" s="33">
        <v>74705</v>
      </c>
      <c r="X27" s="33">
        <v>72421</v>
      </c>
      <c r="Y27" s="33">
        <v>67590</v>
      </c>
      <c r="Z27" s="33">
        <v>61098</v>
      </c>
      <c r="AA27" s="33">
        <f t="shared" si="0"/>
        <v>1336841</v>
      </c>
      <c r="AB27" s="53">
        <v>19</v>
      </c>
      <c r="AC27" s="33">
        <f t="shared" si="1"/>
        <v>25399979</v>
      </c>
      <c r="AD27" s="120">
        <f>+SUM(AC27:AC30)</f>
        <v>37976865</v>
      </c>
    </row>
    <row r="28" spans="1:30" x14ac:dyDescent="0.35">
      <c r="A28" s="129"/>
      <c r="B28" s="34" t="s">
        <v>40</v>
      </c>
      <c r="C28" s="33">
        <v>58050</v>
      </c>
      <c r="D28" s="33">
        <v>54191</v>
      </c>
      <c r="E28" s="33">
        <v>51265</v>
      </c>
      <c r="F28" s="33">
        <v>49097</v>
      </c>
      <c r="G28" s="33">
        <v>48347</v>
      </c>
      <c r="H28" s="33">
        <v>46465</v>
      </c>
      <c r="I28" s="33">
        <v>48304</v>
      </c>
      <c r="J28" s="33">
        <v>40589</v>
      </c>
      <c r="K28" s="33">
        <v>37449</v>
      </c>
      <c r="L28" s="33">
        <v>35900</v>
      </c>
      <c r="M28" s="33">
        <v>35715</v>
      </c>
      <c r="N28" s="33">
        <v>33214</v>
      </c>
      <c r="O28" s="33">
        <v>30727</v>
      </c>
      <c r="P28" s="33">
        <v>36696</v>
      </c>
      <c r="Q28" s="33">
        <v>50065</v>
      </c>
      <c r="R28" s="33">
        <v>61433</v>
      </c>
      <c r="S28" s="33">
        <v>65883</v>
      </c>
      <c r="T28" s="33">
        <v>66495</v>
      </c>
      <c r="U28" s="33">
        <v>70393</v>
      </c>
      <c r="V28" s="33">
        <v>71516</v>
      </c>
      <c r="W28" s="33">
        <v>69510</v>
      </c>
      <c r="X28" s="33">
        <v>67431</v>
      </c>
      <c r="Y28" s="33">
        <v>64595</v>
      </c>
      <c r="Z28" s="33">
        <v>60582</v>
      </c>
      <c r="AA28" s="33">
        <f t="shared" si="0"/>
        <v>1253912</v>
      </c>
      <c r="AB28" s="53">
        <v>5</v>
      </c>
      <c r="AC28" s="33">
        <f t="shared" si="1"/>
        <v>6269560</v>
      </c>
      <c r="AD28" s="121"/>
    </row>
    <row r="29" spans="1:30" x14ac:dyDescent="0.35">
      <c r="A29" s="129"/>
      <c r="B29" s="34" t="s">
        <v>41</v>
      </c>
      <c r="C29" s="33">
        <v>57536</v>
      </c>
      <c r="D29" s="33">
        <v>53832</v>
      </c>
      <c r="E29" s="33">
        <v>51077</v>
      </c>
      <c r="F29" s="33">
        <v>48850</v>
      </c>
      <c r="G29" s="33">
        <v>47525</v>
      </c>
      <c r="H29" s="33">
        <v>44643</v>
      </c>
      <c r="I29" s="33">
        <v>44417</v>
      </c>
      <c r="J29" s="33">
        <v>31692</v>
      </c>
      <c r="K29" s="33">
        <v>21977</v>
      </c>
      <c r="L29" s="33">
        <v>18880</v>
      </c>
      <c r="M29" s="33">
        <v>16051</v>
      </c>
      <c r="N29" s="33">
        <v>13883</v>
      </c>
      <c r="O29" s="33">
        <v>16122</v>
      </c>
      <c r="P29" s="33">
        <v>22302</v>
      </c>
      <c r="Q29" s="33">
        <v>34170</v>
      </c>
      <c r="R29" s="33">
        <v>45748</v>
      </c>
      <c r="S29" s="33">
        <v>52547</v>
      </c>
      <c r="T29" s="33">
        <v>55754</v>
      </c>
      <c r="U29" s="33">
        <v>61908</v>
      </c>
      <c r="V29" s="33">
        <v>66496</v>
      </c>
      <c r="W29" s="33">
        <v>66871</v>
      </c>
      <c r="X29" s="33">
        <v>66672</v>
      </c>
      <c r="Y29" s="33">
        <v>64042</v>
      </c>
      <c r="Z29" s="33">
        <v>59427</v>
      </c>
      <c r="AA29" s="33">
        <f t="shared" si="0"/>
        <v>1062422</v>
      </c>
      <c r="AB29" s="53">
        <v>4</v>
      </c>
      <c r="AC29" s="33">
        <f t="shared" si="1"/>
        <v>4249688</v>
      </c>
      <c r="AD29" s="121"/>
    </row>
    <row r="30" spans="1:30" x14ac:dyDescent="0.35">
      <c r="A30" s="130"/>
      <c r="B30" s="35" t="s">
        <v>42</v>
      </c>
      <c r="C30" s="33">
        <v>50637</v>
      </c>
      <c r="D30" s="33">
        <v>47053</v>
      </c>
      <c r="E30" s="33">
        <v>44579</v>
      </c>
      <c r="F30" s="33">
        <v>42599</v>
      </c>
      <c r="G30" s="33">
        <v>41862</v>
      </c>
      <c r="H30" s="33">
        <v>39750</v>
      </c>
      <c r="I30" s="33">
        <v>40202</v>
      </c>
      <c r="J30" s="33">
        <v>29443</v>
      </c>
      <c r="K30" s="33">
        <v>22537</v>
      </c>
      <c r="L30" s="33">
        <v>20511</v>
      </c>
      <c r="M30" s="33">
        <v>20184</v>
      </c>
      <c r="N30" s="33">
        <v>18437</v>
      </c>
      <c r="O30" s="33">
        <v>19058</v>
      </c>
      <c r="P30" s="33">
        <v>25825</v>
      </c>
      <c r="Q30" s="33">
        <v>37491</v>
      </c>
      <c r="R30" s="33">
        <v>48029</v>
      </c>
      <c r="S30" s="33">
        <v>52959</v>
      </c>
      <c r="T30" s="33">
        <v>55262</v>
      </c>
      <c r="U30" s="33">
        <v>61138</v>
      </c>
      <c r="V30" s="33">
        <v>66228</v>
      </c>
      <c r="W30" s="33">
        <v>65910</v>
      </c>
      <c r="X30" s="33">
        <v>64425</v>
      </c>
      <c r="Y30" s="33">
        <v>60204</v>
      </c>
      <c r="Z30" s="33">
        <v>54496</v>
      </c>
      <c r="AA30" s="33">
        <f t="shared" si="0"/>
        <v>1028819</v>
      </c>
      <c r="AB30" s="53">
        <v>2</v>
      </c>
      <c r="AC30" s="33">
        <f t="shared" si="1"/>
        <v>2057638</v>
      </c>
      <c r="AD30" s="122"/>
    </row>
    <row r="31" spans="1:30" x14ac:dyDescent="0.35">
      <c r="A31" s="128">
        <v>47300</v>
      </c>
      <c r="B31" s="32" t="s">
        <v>39</v>
      </c>
      <c r="C31" s="33">
        <v>53628</v>
      </c>
      <c r="D31" s="33">
        <v>49785</v>
      </c>
      <c r="E31" s="33">
        <v>47028</v>
      </c>
      <c r="F31" s="33">
        <v>44916</v>
      </c>
      <c r="G31" s="33">
        <v>44266</v>
      </c>
      <c r="H31" s="33">
        <v>44225</v>
      </c>
      <c r="I31" s="33">
        <v>45730</v>
      </c>
      <c r="J31" s="33">
        <v>38577</v>
      </c>
      <c r="K31" s="33">
        <v>35505</v>
      </c>
      <c r="L31" s="33">
        <v>33892</v>
      </c>
      <c r="M31" s="33">
        <v>34210</v>
      </c>
      <c r="N31" s="33">
        <v>31535</v>
      </c>
      <c r="O31" s="33">
        <v>26135</v>
      </c>
      <c r="P31" s="33">
        <v>38869</v>
      </c>
      <c r="Q31" s="33">
        <v>56716</v>
      </c>
      <c r="R31" s="33">
        <v>68114</v>
      </c>
      <c r="S31" s="33">
        <v>72040</v>
      </c>
      <c r="T31" s="33">
        <v>68652</v>
      </c>
      <c r="U31" s="33">
        <v>68564</v>
      </c>
      <c r="V31" s="33">
        <v>70558</v>
      </c>
      <c r="W31" s="33">
        <v>70212</v>
      </c>
      <c r="X31" s="33">
        <v>68494</v>
      </c>
      <c r="Y31" s="33">
        <v>64037</v>
      </c>
      <c r="Z31" s="33">
        <v>57906</v>
      </c>
      <c r="AA31" s="33">
        <f t="shared" si="0"/>
        <v>1233594</v>
      </c>
      <c r="AB31" s="53">
        <v>20</v>
      </c>
      <c r="AC31" s="33">
        <f t="shared" si="1"/>
        <v>24671880</v>
      </c>
      <c r="AD31" s="120">
        <f>+SUM(AC31:AC34)</f>
        <v>36037226</v>
      </c>
    </row>
    <row r="32" spans="1:30" x14ac:dyDescent="0.35">
      <c r="A32" s="129"/>
      <c r="B32" s="34" t="s">
        <v>40</v>
      </c>
      <c r="C32" s="33">
        <v>52838</v>
      </c>
      <c r="D32" s="33">
        <v>49137</v>
      </c>
      <c r="E32" s="33">
        <v>46564</v>
      </c>
      <c r="F32" s="33">
        <v>44488</v>
      </c>
      <c r="G32" s="33">
        <v>43695</v>
      </c>
      <c r="H32" s="33">
        <v>42298</v>
      </c>
      <c r="I32" s="33">
        <v>43418</v>
      </c>
      <c r="J32" s="33">
        <v>35451</v>
      </c>
      <c r="K32" s="33">
        <v>31888</v>
      </c>
      <c r="L32" s="33">
        <v>30334</v>
      </c>
      <c r="M32" s="33">
        <v>29590</v>
      </c>
      <c r="N32" s="33">
        <v>27677</v>
      </c>
      <c r="O32" s="33">
        <v>25531</v>
      </c>
      <c r="P32" s="33">
        <v>32139</v>
      </c>
      <c r="Q32" s="33">
        <v>45191</v>
      </c>
      <c r="R32" s="33">
        <v>55600</v>
      </c>
      <c r="S32" s="33">
        <v>59749</v>
      </c>
      <c r="T32" s="33">
        <v>60358</v>
      </c>
      <c r="U32" s="33">
        <v>64391</v>
      </c>
      <c r="V32" s="33">
        <v>66922</v>
      </c>
      <c r="W32" s="33">
        <v>64979</v>
      </c>
      <c r="X32" s="33">
        <v>63221</v>
      </c>
      <c r="Y32" s="33">
        <v>60993</v>
      </c>
      <c r="Z32" s="33">
        <v>57457</v>
      </c>
      <c r="AA32" s="33">
        <f t="shared" si="0"/>
        <v>1133909</v>
      </c>
      <c r="AB32" s="53">
        <v>4</v>
      </c>
      <c r="AC32" s="33">
        <f t="shared" si="1"/>
        <v>4535636</v>
      </c>
      <c r="AD32" s="121"/>
    </row>
    <row r="33" spans="1:30" x14ac:dyDescent="0.35">
      <c r="A33" s="129"/>
      <c r="B33" s="34" t="s">
        <v>41</v>
      </c>
      <c r="C33" s="33">
        <v>54678</v>
      </c>
      <c r="D33" s="33">
        <v>50851</v>
      </c>
      <c r="E33" s="33">
        <v>48008</v>
      </c>
      <c r="F33" s="33">
        <v>45889</v>
      </c>
      <c r="G33" s="33">
        <v>44475</v>
      </c>
      <c r="H33" s="33">
        <v>42063</v>
      </c>
      <c r="I33" s="33">
        <v>41509</v>
      </c>
      <c r="J33" s="33">
        <v>27716</v>
      </c>
      <c r="K33" s="33">
        <v>18667</v>
      </c>
      <c r="L33" s="33">
        <v>14823</v>
      </c>
      <c r="M33" s="33">
        <v>12490</v>
      </c>
      <c r="N33" s="33">
        <v>9956</v>
      </c>
      <c r="O33" s="33">
        <v>12545</v>
      </c>
      <c r="P33" s="33">
        <v>18820</v>
      </c>
      <c r="Q33" s="33">
        <v>30104</v>
      </c>
      <c r="R33" s="33">
        <v>42045</v>
      </c>
      <c r="S33" s="33">
        <v>48051</v>
      </c>
      <c r="T33" s="33">
        <v>52443</v>
      </c>
      <c r="U33" s="33">
        <v>57471</v>
      </c>
      <c r="V33" s="33">
        <v>62307</v>
      </c>
      <c r="W33" s="33">
        <v>63069</v>
      </c>
      <c r="X33" s="33">
        <v>63006</v>
      </c>
      <c r="Y33" s="33">
        <v>60087</v>
      </c>
      <c r="Z33" s="33">
        <v>55487</v>
      </c>
      <c r="AA33" s="33">
        <f t="shared" si="0"/>
        <v>976560</v>
      </c>
      <c r="AB33" s="53">
        <v>5</v>
      </c>
      <c r="AC33" s="33">
        <f t="shared" si="1"/>
        <v>4882800</v>
      </c>
      <c r="AD33" s="121"/>
    </row>
    <row r="34" spans="1:30" x14ac:dyDescent="0.35">
      <c r="A34" s="130"/>
      <c r="B34" s="35" t="s">
        <v>42</v>
      </c>
      <c r="C34" s="33">
        <v>50155</v>
      </c>
      <c r="D34" s="33">
        <v>46455</v>
      </c>
      <c r="E34" s="33">
        <v>43701</v>
      </c>
      <c r="F34" s="33">
        <v>41907</v>
      </c>
      <c r="G34" s="33">
        <v>41024</v>
      </c>
      <c r="H34" s="33">
        <v>39389</v>
      </c>
      <c r="I34" s="33">
        <v>39501</v>
      </c>
      <c r="J34" s="33">
        <v>28049</v>
      </c>
      <c r="K34" s="33">
        <v>20787</v>
      </c>
      <c r="L34" s="33">
        <v>17931</v>
      </c>
      <c r="M34" s="33">
        <v>16587</v>
      </c>
      <c r="N34" s="33">
        <v>14224</v>
      </c>
      <c r="O34" s="33">
        <v>14165</v>
      </c>
      <c r="P34" s="33">
        <v>21664</v>
      </c>
      <c r="Q34" s="33">
        <v>33744</v>
      </c>
      <c r="R34" s="33">
        <v>45077</v>
      </c>
      <c r="S34" s="33">
        <v>50318</v>
      </c>
      <c r="T34" s="33">
        <v>52738</v>
      </c>
      <c r="U34" s="33">
        <v>57753</v>
      </c>
      <c r="V34" s="33">
        <v>63142</v>
      </c>
      <c r="W34" s="33">
        <v>63056</v>
      </c>
      <c r="X34" s="33">
        <v>61829</v>
      </c>
      <c r="Y34" s="33">
        <v>57939</v>
      </c>
      <c r="Z34" s="33">
        <v>52320</v>
      </c>
      <c r="AA34" s="33">
        <f t="shared" si="0"/>
        <v>973455</v>
      </c>
      <c r="AB34" s="53">
        <v>2</v>
      </c>
      <c r="AC34" s="33">
        <f>+AA34*AB34</f>
        <v>1946910</v>
      </c>
      <c r="AD34" s="122"/>
    </row>
    <row r="35" spans="1:30" x14ac:dyDescent="0.35">
      <c r="A35" s="128">
        <v>47331</v>
      </c>
      <c r="B35" s="32" t="s">
        <v>39</v>
      </c>
      <c r="C35" s="33">
        <v>54992</v>
      </c>
      <c r="D35" s="33">
        <v>51101</v>
      </c>
      <c r="E35" s="33">
        <v>48153</v>
      </c>
      <c r="F35" s="33">
        <v>45925</v>
      </c>
      <c r="G35" s="33">
        <v>45176</v>
      </c>
      <c r="H35" s="33">
        <v>45159</v>
      </c>
      <c r="I35" s="33">
        <v>46064</v>
      </c>
      <c r="J35" s="33">
        <v>38911</v>
      </c>
      <c r="K35" s="33">
        <v>35597</v>
      </c>
      <c r="L35" s="33">
        <v>34558</v>
      </c>
      <c r="M35" s="33">
        <v>35075</v>
      </c>
      <c r="N35" s="33">
        <v>32929</v>
      </c>
      <c r="O35" s="33">
        <v>27719</v>
      </c>
      <c r="P35" s="33">
        <v>41427</v>
      </c>
      <c r="Q35" s="33">
        <v>60071</v>
      </c>
      <c r="R35" s="33">
        <v>71370</v>
      </c>
      <c r="S35" s="33">
        <v>75376</v>
      </c>
      <c r="T35" s="33">
        <v>71414</v>
      </c>
      <c r="U35" s="33">
        <v>71970</v>
      </c>
      <c r="V35" s="33">
        <v>72789</v>
      </c>
      <c r="W35" s="33">
        <v>72715</v>
      </c>
      <c r="X35" s="33">
        <v>71269</v>
      </c>
      <c r="Y35" s="33">
        <v>66575</v>
      </c>
      <c r="Z35" s="33">
        <v>60413</v>
      </c>
      <c r="AA35" s="33">
        <f t="shared" si="0"/>
        <v>1276748</v>
      </c>
      <c r="AB35" s="53">
        <v>21</v>
      </c>
      <c r="AC35" s="33">
        <f t="shared" si="1"/>
        <v>26811708</v>
      </c>
      <c r="AD35" s="120">
        <f>+SUM(AC35:AC38)</f>
        <v>37660774</v>
      </c>
    </row>
    <row r="36" spans="1:30" x14ac:dyDescent="0.35">
      <c r="A36" s="129"/>
      <c r="B36" s="34" t="s">
        <v>40</v>
      </c>
      <c r="C36" s="33">
        <v>58947</v>
      </c>
      <c r="D36" s="33">
        <v>54762</v>
      </c>
      <c r="E36" s="33">
        <v>51534</v>
      </c>
      <c r="F36" s="33">
        <v>49038</v>
      </c>
      <c r="G36" s="33">
        <v>47718</v>
      </c>
      <c r="H36" s="33">
        <v>46135</v>
      </c>
      <c r="I36" s="33">
        <v>46710</v>
      </c>
      <c r="J36" s="33">
        <v>38911</v>
      </c>
      <c r="K36" s="33">
        <v>35408</v>
      </c>
      <c r="L36" s="33">
        <v>34309</v>
      </c>
      <c r="M36" s="33">
        <v>33476</v>
      </c>
      <c r="N36" s="33">
        <v>32248</v>
      </c>
      <c r="O36" s="33">
        <v>29378</v>
      </c>
      <c r="P36" s="33">
        <v>36519</v>
      </c>
      <c r="Q36" s="33">
        <v>49407</v>
      </c>
      <c r="R36" s="33">
        <v>60051</v>
      </c>
      <c r="S36" s="33">
        <v>64478</v>
      </c>
      <c r="T36" s="33">
        <v>64398</v>
      </c>
      <c r="U36" s="33">
        <v>69136</v>
      </c>
      <c r="V36" s="33">
        <v>69797</v>
      </c>
      <c r="W36" s="33">
        <v>67769</v>
      </c>
      <c r="X36" s="33">
        <v>66757</v>
      </c>
      <c r="Y36" s="33">
        <v>64748</v>
      </c>
      <c r="Z36" s="33">
        <v>60957</v>
      </c>
      <c r="AA36" s="33">
        <f t="shared" si="0"/>
        <v>1232591</v>
      </c>
      <c r="AB36" s="53">
        <v>4</v>
      </c>
      <c r="AC36" s="33">
        <f t="shared" si="1"/>
        <v>4930364</v>
      </c>
      <c r="AD36" s="121"/>
    </row>
    <row r="37" spans="1:30" x14ac:dyDescent="0.35">
      <c r="A37" s="129"/>
      <c r="B37" s="34" t="s">
        <v>41</v>
      </c>
      <c r="C37" s="33">
        <v>57229</v>
      </c>
      <c r="D37" s="33">
        <v>53260</v>
      </c>
      <c r="E37" s="33">
        <v>50103</v>
      </c>
      <c r="F37" s="33">
        <v>47673</v>
      </c>
      <c r="G37" s="33">
        <v>45856</v>
      </c>
      <c r="H37" s="33">
        <v>42721</v>
      </c>
      <c r="I37" s="33">
        <v>41468</v>
      </c>
      <c r="J37" s="33">
        <v>28507</v>
      </c>
      <c r="K37" s="33">
        <v>19161</v>
      </c>
      <c r="L37" s="33">
        <v>14742</v>
      </c>
      <c r="M37" s="33">
        <v>12947</v>
      </c>
      <c r="N37" s="33">
        <v>9924</v>
      </c>
      <c r="O37" s="33">
        <v>12616</v>
      </c>
      <c r="P37" s="33">
        <v>20303</v>
      </c>
      <c r="Q37" s="33">
        <v>31639</v>
      </c>
      <c r="R37" s="33">
        <v>43398</v>
      </c>
      <c r="S37" s="33">
        <v>48293</v>
      </c>
      <c r="T37" s="33">
        <v>51870</v>
      </c>
      <c r="U37" s="33">
        <v>58289</v>
      </c>
      <c r="V37" s="33">
        <v>61855</v>
      </c>
      <c r="W37" s="33">
        <v>62784</v>
      </c>
      <c r="X37" s="33">
        <v>63132</v>
      </c>
      <c r="Y37" s="33">
        <v>60505</v>
      </c>
      <c r="Z37" s="33">
        <v>55702</v>
      </c>
      <c r="AA37" s="33">
        <f t="shared" si="0"/>
        <v>993977</v>
      </c>
      <c r="AB37" s="53">
        <v>4</v>
      </c>
      <c r="AC37" s="33">
        <f t="shared" si="1"/>
        <v>3975908</v>
      </c>
      <c r="AD37" s="121"/>
    </row>
    <row r="38" spans="1:30" x14ac:dyDescent="0.35">
      <c r="A38" s="130"/>
      <c r="B38" s="35" t="s">
        <v>42</v>
      </c>
      <c r="C38" s="33">
        <v>47994</v>
      </c>
      <c r="D38" s="33">
        <v>44733</v>
      </c>
      <c r="E38" s="33">
        <v>42135</v>
      </c>
      <c r="F38" s="33">
        <v>40370</v>
      </c>
      <c r="G38" s="33">
        <v>39523</v>
      </c>
      <c r="H38" s="33">
        <v>37895</v>
      </c>
      <c r="I38" s="33">
        <v>37396</v>
      </c>
      <c r="J38" s="33">
        <v>25796</v>
      </c>
      <c r="K38" s="33">
        <v>18633</v>
      </c>
      <c r="L38" s="33">
        <v>16872</v>
      </c>
      <c r="M38" s="33">
        <v>16320</v>
      </c>
      <c r="N38" s="33">
        <v>15119</v>
      </c>
      <c r="O38" s="33">
        <v>16066</v>
      </c>
      <c r="P38" s="33">
        <v>23078</v>
      </c>
      <c r="Q38" s="33">
        <v>35088</v>
      </c>
      <c r="R38" s="33">
        <v>46795</v>
      </c>
      <c r="S38" s="33">
        <v>51696</v>
      </c>
      <c r="T38" s="33">
        <v>53341</v>
      </c>
      <c r="U38" s="33">
        <v>59806</v>
      </c>
      <c r="V38" s="33">
        <v>63216</v>
      </c>
      <c r="W38" s="33">
        <v>63036</v>
      </c>
      <c r="X38" s="33">
        <v>63049</v>
      </c>
      <c r="Y38" s="33">
        <v>59456</v>
      </c>
      <c r="Z38" s="33">
        <v>53984</v>
      </c>
      <c r="AA38" s="33">
        <f t="shared" si="0"/>
        <v>971397</v>
      </c>
      <c r="AB38" s="53">
        <v>2</v>
      </c>
      <c r="AC38" s="33">
        <f t="shared" si="1"/>
        <v>1942794</v>
      </c>
      <c r="AD38" s="122"/>
    </row>
    <row r="39" spans="1:30" x14ac:dyDescent="0.35">
      <c r="A39" s="128">
        <v>47362</v>
      </c>
      <c r="B39" s="32" t="s">
        <v>39</v>
      </c>
      <c r="C39" s="33">
        <v>58742</v>
      </c>
      <c r="D39" s="33">
        <v>54422</v>
      </c>
      <c r="E39" s="33">
        <v>51226</v>
      </c>
      <c r="F39" s="33">
        <v>48764</v>
      </c>
      <c r="G39" s="33">
        <v>47885</v>
      </c>
      <c r="H39" s="33">
        <v>47678</v>
      </c>
      <c r="I39" s="33">
        <v>48926</v>
      </c>
      <c r="J39" s="33">
        <v>42309</v>
      </c>
      <c r="K39" s="33">
        <v>39378</v>
      </c>
      <c r="L39" s="33">
        <v>38557</v>
      </c>
      <c r="M39" s="33">
        <v>39379</v>
      </c>
      <c r="N39" s="33">
        <v>37273</v>
      </c>
      <c r="O39" s="33">
        <v>32293</v>
      </c>
      <c r="P39" s="33">
        <v>46758</v>
      </c>
      <c r="Q39" s="33">
        <v>65384</v>
      </c>
      <c r="R39" s="33">
        <v>76700</v>
      </c>
      <c r="S39" s="33">
        <v>79993</v>
      </c>
      <c r="T39" s="33">
        <v>76884</v>
      </c>
      <c r="U39" s="33">
        <v>78343</v>
      </c>
      <c r="V39" s="33">
        <v>76766</v>
      </c>
      <c r="W39" s="33">
        <v>76411</v>
      </c>
      <c r="X39" s="33">
        <v>75081</v>
      </c>
      <c r="Y39" s="33">
        <v>70378</v>
      </c>
      <c r="Z39" s="33">
        <v>63559</v>
      </c>
      <c r="AA39" s="33">
        <f t="shared" si="0"/>
        <v>1373089</v>
      </c>
      <c r="AB39" s="53">
        <v>20</v>
      </c>
      <c r="AC39" s="33">
        <f t="shared" si="1"/>
        <v>27461780</v>
      </c>
      <c r="AD39" s="120">
        <f>+SUM(AC39:AC42)</f>
        <v>39521710</v>
      </c>
    </row>
    <row r="40" spans="1:30" x14ac:dyDescent="0.35">
      <c r="A40" s="129"/>
      <c r="B40" s="34" t="s">
        <v>40</v>
      </c>
      <c r="C40" s="33">
        <v>60280</v>
      </c>
      <c r="D40" s="33">
        <v>56299</v>
      </c>
      <c r="E40" s="33">
        <v>53145</v>
      </c>
      <c r="F40" s="33">
        <v>50480</v>
      </c>
      <c r="G40" s="33">
        <v>49207</v>
      </c>
      <c r="H40" s="33">
        <v>47402</v>
      </c>
      <c r="I40" s="33">
        <v>48413</v>
      </c>
      <c r="J40" s="33">
        <v>41300</v>
      </c>
      <c r="K40" s="33">
        <v>38540</v>
      </c>
      <c r="L40" s="33">
        <v>37180</v>
      </c>
      <c r="M40" s="33">
        <v>37623</v>
      </c>
      <c r="N40" s="33">
        <v>35713</v>
      </c>
      <c r="O40" s="33">
        <v>33349</v>
      </c>
      <c r="P40" s="33">
        <v>40790</v>
      </c>
      <c r="Q40" s="33">
        <v>54163</v>
      </c>
      <c r="R40" s="33">
        <v>64726</v>
      </c>
      <c r="S40" s="33">
        <v>68420</v>
      </c>
      <c r="T40" s="33">
        <v>69826</v>
      </c>
      <c r="U40" s="33">
        <v>75348</v>
      </c>
      <c r="V40" s="33">
        <v>73887</v>
      </c>
      <c r="W40" s="33">
        <v>71313</v>
      </c>
      <c r="X40" s="33">
        <v>69416</v>
      </c>
      <c r="Y40" s="33">
        <v>67187</v>
      </c>
      <c r="Z40" s="33">
        <v>63481</v>
      </c>
      <c r="AA40" s="33">
        <f t="shared" si="0"/>
        <v>1307488</v>
      </c>
      <c r="AB40" s="53">
        <v>5</v>
      </c>
      <c r="AC40" s="33">
        <f t="shared" si="1"/>
        <v>6537440</v>
      </c>
      <c r="AD40" s="121"/>
    </row>
    <row r="41" spans="1:30" x14ac:dyDescent="0.35">
      <c r="A41" s="129"/>
      <c r="B41" s="34" t="s">
        <v>41</v>
      </c>
      <c r="C41" s="33">
        <v>59463</v>
      </c>
      <c r="D41" s="33">
        <v>55601</v>
      </c>
      <c r="E41" s="33">
        <v>52632</v>
      </c>
      <c r="F41" s="33">
        <v>50259</v>
      </c>
      <c r="G41" s="33">
        <v>48644</v>
      </c>
      <c r="H41" s="33">
        <v>46200</v>
      </c>
      <c r="I41" s="33">
        <v>45539</v>
      </c>
      <c r="J41" s="33">
        <v>32250</v>
      </c>
      <c r="K41" s="33">
        <v>22654</v>
      </c>
      <c r="L41" s="33">
        <v>18210</v>
      </c>
      <c r="M41" s="33">
        <v>16688</v>
      </c>
      <c r="N41" s="33">
        <v>15279</v>
      </c>
      <c r="O41" s="33">
        <v>17021</v>
      </c>
      <c r="P41" s="33">
        <v>24576</v>
      </c>
      <c r="Q41" s="33">
        <v>37404</v>
      </c>
      <c r="R41" s="33">
        <v>48764</v>
      </c>
      <c r="S41" s="33">
        <v>54531</v>
      </c>
      <c r="T41" s="33">
        <v>58618</v>
      </c>
      <c r="U41" s="33">
        <v>65925</v>
      </c>
      <c r="V41" s="33">
        <v>68009</v>
      </c>
      <c r="W41" s="33">
        <v>69201</v>
      </c>
      <c r="X41" s="33">
        <v>69704</v>
      </c>
      <c r="Y41" s="33">
        <v>66491</v>
      </c>
      <c r="Z41" s="33">
        <v>60835</v>
      </c>
      <c r="AA41" s="33">
        <f t="shared" si="0"/>
        <v>1104498</v>
      </c>
      <c r="AB41" s="53">
        <v>5</v>
      </c>
      <c r="AC41" s="33">
        <f t="shared" si="1"/>
        <v>5522490</v>
      </c>
      <c r="AD41" s="121"/>
    </row>
    <row r="42" spans="1:30" x14ac:dyDescent="0.35">
      <c r="A42" s="130"/>
      <c r="B42" s="35" t="s">
        <v>42</v>
      </c>
      <c r="C42" s="33">
        <v>0</v>
      </c>
      <c r="D42" s="33">
        <v>0</v>
      </c>
      <c r="E42" s="33">
        <v>0</v>
      </c>
      <c r="F42" s="33">
        <v>0</v>
      </c>
      <c r="G42" s="33">
        <v>0</v>
      </c>
      <c r="H42" s="33">
        <v>0</v>
      </c>
      <c r="I42" s="33">
        <v>0</v>
      </c>
      <c r="J42" s="33">
        <v>0</v>
      </c>
      <c r="K42" s="33">
        <v>0</v>
      </c>
      <c r="L42" s="33">
        <v>0</v>
      </c>
      <c r="M42" s="33">
        <v>0</v>
      </c>
      <c r="N42" s="33">
        <v>0</v>
      </c>
      <c r="O42" s="33">
        <v>0</v>
      </c>
      <c r="P42" s="33">
        <v>0</v>
      </c>
      <c r="Q42" s="33">
        <v>0</v>
      </c>
      <c r="R42" s="33">
        <v>0</v>
      </c>
      <c r="S42" s="33">
        <v>0</v>
      </c>
      <c r="T42" s="33">
        <v>0</v>
      </c>
      <c r="U42" s="33">
        <v>0</v>
      </c>
      <c r="V42" s="33">
        <v>0</v>
      </c>
      <c r="W42" s="33">
        <v>0</v>
      </c>
      <c r="X42" s="33">
        <v>0</v>
      </c>
      <c r="Y42" s="33">
        <v>0</v>
      </c>
      <c r="Z42" s="33">
        <v>0</v>
      </c>
      <c r="AA42" s="33">
        <f t="shared" si="0"/>
        <v>0</v>
      </c>
      <c r="AB42" s="53">
        <v>0</v>
      </c>
      <c r="AC42" s="33">
        <f t="shared" si="1"/>
        <v>0</v>
      </c>
      <c r="AD42" s="122"/>
    </row>
    <row r="43" spans="1:30" x14ac:dyDescent="0.35">
      <c r="A43" s="128">
        <v>47392</v>
      </c>
      <c r="B43" s="32" t="s">
        <v>39</v>
      </c>
      <c r="C43" s="33">
        <v>54539</v>
      </c>
      <c r="D43" s="33">
        <v>50577</v>
      </c>
      <c r="E43" s="33">
        <v>47736</v>
      </c>
      <c r="F43" s="33">
        <v>45768</v>
      </c>
      <c r="G43" s="33">
        <v>45191</v>
      </c>
      <c r="H43" s="33">
        <v>44966</v>
      </c>
      <c r="I43" s="33">
        <v>46367</v>
      </c>
      <c r="J43" s="33">
        <v>39579</v>
      </c>
      <c r="K43" s="33">
        <v>37517</v>
      </c>
      <c r="L43" s="33">
        <v>36844</v>
      </c>
      <c r="M43" s="33">
        <v>37824</v>
      </c>
      <c r="N43" s="33">
        <v>36239</v>
      </c>
      <c r="O43" s="33">
        <v>31423</v>
      </c>
      <c r="P43" s="33">
        <v>45113</v>
      </c>
      <c r="Q43" s="33">
        <v>63413</v>
      </c>
      <c r="R43" s="33">
        <v>74037</v>
      </c>
      <c r="S43" s="33">
        <v>77527</v>
      </c>
      <c r="T43" s="33">
        <v>77567</v>
      </c>
      <c r="U43" s="33">
        <v>77546</v>
      </c>
      <c r="V43" s="33">
        <v>74470</v>
      </c>
      <c r="W43" s="33">
        <v>72747</v>
      </c>
      <c r="X43" s="33">
        <v>70445</v>
      </c>
      <c r="Y43" s="33">
        <v>65385</v>
      </c>
      <c r="Z43" s="33">
        <v>59019</v>
      </c>
      <c r="AA43" s="33">
        <f t="shared" si="0"/>
        <v>1311839</v>
      </c>
      <c r="AB43" s="53">
        <v>22</v>
      </c>
      <c r="AC43" s="33">
        <f t="shared" si="1"/>
        <v>28860458</v>
      </c>
      <c r="AD43" s="120">
        <f>+SUM(AC43:AC46)</f>
        <v>38647476</v>
      </c>
    </row>
    <row r="44" spans="1:30" x14ac:dyDescent="0.35">
      <c r="A44" s="129"/>
      <c r="B44" s="34" t="s">
        <v>40</v>
      </c>
      <c r="C44" s="33">
        <v>52953</v>
      </c>
      <c r="D44" s="33">
        <v>49027</v>
      </c>
      <c r="E44" s="33">
        <v>46271</v>
      </c>
      <c r="F44" s="33">
        <v>44072</v>
      </c>
      <c r="G44" s="33">
        <v>43171</v>
      </c>
      <c r="H44" s="33">
        <v>41868</v>
      </c>
      <c r="I44" s="33">
        <v>42820</v>
      </c>
      <c r="J44" s="33">
        <v>34749</v>
      </c>
      <c r="K44" s="33">
        <v>32605</v>
      </c>
      <c r="L44" s="33">
        <v>31858</v>
      </c>
      <c r="M44" s="33">
        <v>32158</v>
      </c>
      <c r="N44" s="33">
        <v>30515</v>
      </c>
      <c r="O44" s="33">
        <v>28799</v>
      </c>
      <c r="P44" s="33">
        <v>34988</v>
      </c>
      <c r="Q44" s="33">
        <v>47672</v>
      </c>
      <c r="R44" s="33">
        <v>57517</v>
      </c>
      <c r="S44" s="33">
        <v>61958</v>
      </c>
      <c r="T44" s="33">
        <v>66175</v>
      </c>
      <c r="U44" s="33">
        <v>69823</v>
      </c>
      <c r="V44" s="33">
        <v>67504</v>
      </c>
      <c r="W44" s="33">
        <v>65217</v>
      </c>
      <c r="X44" s="33">
        <v>62702</v>
      </c>
      <c r="Y44" s="33">
        <v>59577</v>
      </c>
      <c r="Z44" s="33">
        <v>55494</v>
      </c>
      <c r="AA44" s="33">
        <f t="shared" si="0"/>
        <v>1159493</v>
      </c>
      <c r="AB44" s="53">
        <v>4</v>
      </c>
      <c r="AC44" s="33">
        <f t="shared" si="1"/>
        <v>4637972</v>
      </c>
      <c r="AD44" s="121"/>
    </row>
    <row r="45" spans="1:30" x14ac:dyDescent="0.35">
      <c r="A45" s="129"/>
      <c r="B45" s="34" t="s">
        <v>41</v>
      </c>
      <c r="C45" s="33">
        <v>54340</v>
      </c>
      <c r="D45" s="33">
        <v>50695</v>
      </c>
      <c r="E45" s="33">
        <v>47932</v>
      </c>
      <c r="F45" s="33">
        <v>45558</v>
      </c>
      <c r="G45" s="33">
        <v>44038</v>
      </c>
      <c r="H45" s="33">
        <v>41771</v>
      </c>
      <c r="I45" s="33">
        <v>41244</v>
      </c>
      <c r="J45" s="33">
        <v>27384</v>
      </c>
      <c r="K45" s="33">
        <v>18448</v>
      </c>
      <c r="L45" s="33">
        <v>15402</v>
      </c>
      <c r="M45" s="33">
        <v>13683</v>
      </c>
      <c r="N45" s="33">
        <v>12601</v>
      </c>
      <c r="O45" s="33">
        <v>14817</v>
      </c>
      <c r="P45" s="33">
        <v>21327</v>
      </c>
      <c r="Q45" s="33">
        <v>33043</v>
      </c>
      <c r="R45" s="33">
        <v>45123</v>
      </c>
      <c r="S45" s="33">
        <v>51066</v>
      </c>
      <c r="T45" s="33">
        <v>58037</v>
      </c>
      <c r="U45" s="33">
        <v>63513</v>
      </c>
      <c r="V45" s="33">
        <v>64353</v>
      </c>
      <c r="W45" s="33">
        <v>64748</v>
      </c>
      <c r="X45" s="33">
        <v>64411</v>
      </c>
      <c r="Y45" s="33">
        <v>61008</v>
      </c>
      <c r="Z45" s="33">
        <v>56024</v>
      </c>
      <c r="AA45" s="33">
        <f t="shared" si="0"/>
        <v>1010566</v>
      </c>
      <c r="AB45" s="53">
        <v>4</v>
      </c>
      <c r="AC45" s="33">
        <f t="shared" si="1"/>
        <v>4042264</v>
      </c>
      <c r="AD45" s="121"/>
    </row>
    <row r="46" spans="1:30" x14ac:dyDescent="0.35">
      <c r="A46" s="130"/>
      <c r="B46" s="35" t="s">
        <v>42</v>
      </c>
      <c r="C46" s="33">
        <v>53404</v>
      </c>
      <c r="D46" s="33">
        <v>49664</v>
      </c>
      <c r="E46" s="33">
        <v>46993</v>
      </c>
      <c r="F46" s="33">
        <v>45017</v>
      </c>
      <c r="G46" s="33">
        <v>44089</v>
      </c>
      <c r="H46" s="33">
        <v>41406</v>
      </c>
      <c r="I46" s="33">
        <v>41025</v>
      </c>
      <c r="J46" s="33">
        <v>30509</v>
      </c>
      <c r="K46" s="33">
        <v>24144</v>
      </c>
      <c r="L46" s="33">
        <v>22782</v>
      </c>
      <c r="M46" s="33">
        <v>22212</v>
      </c>
      <c r="N46" s="33">
        <v>19612</v>
      </c>
      <c r="O46" s="33">
        <v>22160</v>
      </c>
      <c r="P46" s="33">
        <v>29653</v>
      </c>
      <c r="Q46" s="33">
        <v>42662</v>
      </c>
      <c r="R46" s="33">
        <v>52861</v>
      </c>
      <c r="S46" s="33">
        <v>57838</v>
      </c>
      <c r="T46" s="33">
        <v>63043</v>
      </c>
      <c r="U46" s="33">
        <v>68353</v>
      </c>
      <c r="V46" s="33">
        <v>69796</v>
      </c>
      <c r="W46" s="33">
        <v>69754</v>
      </c>
      <c r="X46" s="33">
        <v>68399</v>
      </c>
      <c r="Y46" s="33">
        <v>63811</v>
      </c>
      <c r="Z46" s="33">
        <v>57595</v>
      </c>
      <c r="AA46" s="33">
        <f t="shared" si="0"/>
        <v>1106782</v>
      </c>
      <c r="AB46" s="53">
        <v>1</v>
      </c>
      <c r="AC46" s="33">
        <f t="shared" si="1"/>
        <v>1106782</v>
      </c>
      <c r="AD46" s="122"/>
    </row>
    <row r="47" spans="1:30" x14ac:dyDescent="0.35">
      <c r="A47" s="131">
        <v>47423</v>
      </c>
      <c r="B47" s="36" t="s">
        <v>39</v>
      </c>
      <c r="C47" s="33">
        <v>54290</v>
      </c>
      <c r="D47" s="33">
        <v>50435</v>
      </c>
      <c r="E47" s="33">
        <v>47709</v>
      </c>
      <c r="F47" s="33">
        <v>45942</v>
      </c>
      <c r="G47" s="33">
        <v>45728</v>
      </c>
      <c r="H47" s="33">
        <v>46207</v>
      </c>
      <c r="I47" s="33">
        <v>48486</v>
      </c>
      <c r="J47" s="33">
        <v>42042</v>
      </c>
      <c r="K47" s="33">
        <v>39512</v>
      </c>
      <c r="L47" s="33">
        <v>38347</v>
      </c>
      <c r="M47" s="33">
        <v>39199</v>
      </c>
      <c r="N47" s="33">
        <v>37584</v>
      </c>
      <c r="O47" s="33">
        <v>32579</v>
      </c>
      <c r="P47" s="33">
        <v>45321</v>
      </c>
      <c r="Q47" s="33">
        <v>63391</v>
      </c>
      <c r="R47" s="33">
        <v>75130</v>
      </c>
      <c r="S47" s="33">
        <v>79145</v>
      </c>
      <c r="T47" s="33">
        <v>80671</v>
      </c>
      <c r="U47" s="33">
        <v>80409</v>
      </c>
      <c r="V47" s="33">
        <v>76765</v>
      </c>
      <c r="W47" s="33">
        <v>74531</v>
      </c>
      <c r="X47" s="33">
        <v>71172</v>
      </c>
      <c r="Y47" s="33">
        <v>65662</v>
      </c>
      <c r="Z47" s="33">
        <v>58990</v>
      </c>
      <c r="AA47" s="37">
        <f t="shared" si="0"/>
        <v>1339247</v>
      </c>
      <c r="AB47" s="16">
        <v>20</v>
      </c>
      <c r="AC47" s="37">
        <f t="shared" si="1"/>
        <v>26784940</v>
      </c>
      <c r="AD47" s="134">
        <f>+SUM(AC47:AC50)</f>
        <v>38283096</v>
      </c>
    </row>
    <row r="48" spans="1:30" x14ac:dyDescent="0.35">
      <c r="A48" s="132"/>
      <c r="B48" s="38" t="s">
        <v>40</v>
      </c>
      <c r="C48" s="33">
        <v>55707</v>
      </c>
      <c r="D48" s="33">
        <v>51805</v>
      </c>
      <c r="E48" s="33">
        <v>49014</v>
      </c>
      <c r="F48" s="33">
        <v>46804</v>
      </c>
      <c r="G48" s="33">
        <v>45968</v>
      </c>
      <c r="H48" s="33">
        <v>44956</v>
      </c>
      <c r="I48" s="33">
        <v>46259</v>
      </c>
      <c r="J48" s="33">
        <v>39144</v>
      </c>
      <c r="K48" s="33">
        <v>37197</v>
      </c>
      <c r="L48" s="33">
        <v>36984</v>
      </c>
      <c r="M48" s="33">
        <v>36664</v>
      </c>
      <c r="N48" s="33">
        <v>34789</v>
      </c>
      <c r="O48" s="33">
        <v>32288</v>
      </c>
      <c r="P48" s="33">
        <v>38547</v>
      </c>
      <c r="Q48" s="33">
        <v>51113</v>
      </c>
      <c r="R48" s="33">
        <v>61412</v>
      </c>
      <c r="S48" s="33">
        <v>65937</v>
      </c>
      <c r="T48" s="33">
        <v>71037</v>
      </c>
      <c r="U48" s="33">
        <v>73989</v>
      </c>
      <c r="V48" s="33">
        <v>71251</v>
      </c>
      <c r="W48" s="33">
        <v>68399</v>
      </c>
      <c r="X48" s="33">
        <v>65150</v>
      </c>
      <c r="Y48" s="33">
        <v>61786</v>
      </c>
      <c r="Z48" s="33">
        <v>57676</v>
      </c>
      <c r="AA48" s="37">
        <f t="shared" si="0"/>
        <v>1243876</v>
      </c>
      <c r="AB48" s="16">
        <v>4</v>
      </c>
      <c r="AC48" s="37">
        <f t="shared" si="1"/>
        <v>4975504</v>
      </c>
      <c r="AD48" s="135"/>
    </row>
    <row r="49" spans="1:30" x14ac:dyDescent="0.35">
      <c r="A49" s="132"/>
      <c r="B49" s="38" t="s">
        <v>41</v>
      </c>
      <c r="C49" s="33">
        <v>54666</v>
      </c>
      <c r="D49" s="33">
        <v>51046</v>
      </c>
      <c r="E49" s="33">
        <v>48294</v>
      </c>
      <c r="F49" s="33">
        <v>46087</v>
      </c>
      <c r="G49" s="33">
        <v>44721</v>
      </c>
      <c r="H49" s="33">
        <v>42914</v>
      </c>
      <c r="I49" s="33">
        <v>42729</v>
      </c>
      <c r="J49" s="33">
        <v>30340</v>
      </c>
      <c r="K49" s="33">
        <v>22445</v>
      </c>
      <c r="L49" s="33">
        <v>19380</v>
      </c>
      <c r="M49" s="33">
        <v>18571</v>
      </c>
      <c r="N49" s="33">
        <v>16771</v>
      </c>
      <c r="O49" s="33">
        <v>19341</v>
      </c>
      <c r="P49" s="33">
        <v>25573</v>
      </c>
      <c r="Q49" s="33">
        <v>37009</v>
      </c>
      <c r="R49" s="33">
        <v>47839</v>
      </c>
      <c r="S49" s="33">
        <v>53805</v>
      </c>
      <c r="T49" s="33">
        <v>62133</v>
      </c>
      <c r="U49" s="33">
        <v>66581</v>
      </c>
      <c r="V49" s="33">
        <v>66686</v>
      </c>
      <c r="W49" s="33">
        <v>65844</v>
      </c>
      <c r="X49" s="33">
        <v>64495</v>
      </c>
      <c r="Y49" s="33">
        <v>61297</v>
      </c>
      <c r="Z49" s="33">
        <v>56390</v>
      </c>
      <c r="AA49" s="37">
        <f t="shared" si="0"/>
        <v>1064957</v>
      </c>
      <c r="AB49" s="16">
        <v>4</v>
      </c>
      <c r="AC49" s="37">
        <f t="shared" si="1"/>
        <v>4259828</v>
      </c>
      <c r="AD49" s="135"/>
    </row>
    <row r="50" spans="1:30" x14ac:dyDescent="0.35">
      <c r="A50" s="133"/>
      <c r="B50" s="39" t="s">
        <v>42</v>
      </c>
      <c r="C50" s="33">
        <v>52720</v>
      </c>
      <c r="D50" s="33">
        <v>48897</v>
      </c>
      <c r="E50" s="33">
        <v>46374</v>
      </c>
      <c r="F50" s="33">
        <v>44554</v>
      </c>
      <c r="G50" s="33">
        <v>43824</v>
      </c>
      <c r="H50" s="33">
        <v>42320</v>
      </c>
      <c r="I50" s="33">
        <v>42244</v>
      </c>
      <c r="J50" s="33">
        <v>31876</v>
      </c>
      <c r="K50" s="33">
        <v>25445</v>
      </c>
      <c r="L50" s="33">
        <v>24237</v>
      </c>
      <c r="M50" s="33">
        <v>24490</v>
      </c>
      <c r="N50" s="33">
        <v>23384</v>
      </c>
      <c r="O50" s="33">
        <v>24398</v>
      </c>
      <c r="P50" s="33">
        <v>32323</v>
      </c>
      <c r="Q50" s="33">
        <v>44009</v>
      </c>
      <c r="R50" s="33">
        <v>54633</v>
      </c>
      <c r="S50" s="33">
        <v>60094</v>
      </c>
      <c r="T50" s="33">
        <v>67015</v>
      </c>
      <c r="U50" s="33">
        <v>71271</v>
      </c>
      <c r="V50" s="33">
        <v>71122</v>
      </c>
      <c r="W50" s="33">
        <v>69833</v>
      </c>
      <c r="X50" s="33">
        <v>67388</v>
      </c>
      <c r="Y50" s="33">
        <v>62388</v>
      </c>
      <c r="Z50" s="33">
        <v>56573</v>
      </c>
      <c r="AA50" s="37">
        <f t="shared" si="0"/>
        <v>1131412</v>
      </c>
      <c r="AB50" s="16">
        <v>2</v>
      </c>
      <c r="AC50" s="37">
        <f t="shared" si="1"/>
        <v>2262824</v>
      </c>
      <c r="AD50" s="136"/>
    </row>
    <row r="51" spans="1:30" x14ac:dyDescent="0.35">
      <c r="A51" s="131">
        <v>47453</v>
      </c>
      <c r="B51" s="36" t="s">
        <v>39</v>
      </c>
      <c r="C51" s="33">
        <v>53585</v>
      </c>
      <c r="D51" s="33">
        <v>49775</v>
      </c>
      <c r="E51" s="33">
        <v>47128</v>
      </c>
      <c r="F51" s="33">
        <v>45179</v>
      </c>
      <c r="G51" s="33">
        <v>44563</v>
      </c>
      <c r="H51" s="33">
        <v>44637</v>
      </c>
      <c r="I51" s="33">
        <v>45289</v>
      </c>
      <c r="J51" s="33">
        <v>37792</v>
      </c>
      <c r="K51" s="33">
        <v>34636</v>
      </c>
      <c r="L51" s="33">
        <v>33505</v>
      </c>
      <c r="M51" s="33">
        <v>33776</v>
      </c>
      <c r="N51" s="33">
        <v>32129</v>
      </c>
      <c r="O51" s="33">
        <v>28705</v>
      </c>
      <c r="P51" s="33">
        <v>38904</v>
      </c>
      <c r="Q51" s="33">
        <v>55850</v>
      </c>
      <c r="R51" s="33">
        <v>67453</v>
      </c>
      <c r="S51" s="33">
        <v>72381</v>
      </c>
      <c r="T51" s="33">
        <v>73415</v>
      </c>
      <c r="U51" s="33">
        <v>76154</v>
      </c>
      <c r="V51" s="33">
        <v>72909</v>
      </c>
      <c r="W51" s="33">
        <v>69921</v>
      </c>
      <c r="X51" s="33">
        <v>67190</v>
      </c>
      <c r="Y51" s="33">
        <v>63126</v>
      </c>
      <c r="Z51" s="33">
        <v>57834</v>
      </c>
      <c r="AA51" s="37">
        <f t="shared" si="0"/>
        <v>1245836</v>
      </c>
      <c r="AB51" s="16">
        <v>20</v>
      </c>
      <c r="AC51" s="37">
        <f t="shared" si="1"/>
        <v>24916720</v>
      </c>
      <c r="AD51" s="134">
        <f>+SUM(AC51:AC54)</f>
        <v>36672929</v>
      </c>
    </row>
    <row r="52" spans="1:30" x14ac:dyDescent="0.35">
      <c r="A52" s="132"/>
      <c r="B52" s="38" t="s">
        <v>40</v>
      </c>
      <c r="C52" s="33">
        <v>55065</v>
      </c>
      <c r="D52" s="33">
        <v>51033</v>
      </c>
      <c r="E52" s="33">
        <v>48042</v>
      </c>
      <c r="F52" s="33">
        <v>45850</v>
      </c>
      <c r="G52" s="33">
        <v>44843</v>
      </c>
      <c r="H52" s="33">
        <v>44519</v>
      </c>
      <c r="I52" s="33">
        <v>44619</v>
      </c>
      <c r="J52" s="33">
        <v>35626</v>
      </c>
      <c r="K52" s="33">
        <v>31964</v>
      </c>
      <c r="L52" s="33">
        <v>30479</v>
      </c>
      <c r="M52" s="33">
        <v>30418</v>
      </c>
      <c r="N52" s="33">
        <v>28603</v>
      </c>
      <c r="O52" s="33">
        <v>28018</v>
      </c>
      <c r="P52" s="33">
        <v>34774</v>
      </c>
      <c r="Q52" s="33">
        <v>47398</v>
      </c>
      <c r="R52" s="33">
        <v>58019</v>
      </c>
      <c r="S52" s="33">
        <v>62853</v>
      </c>
      <c r="T52" s="33">
        <v>67862</v>
      </c>
      <c r="U52" s="33">
        <v>73474</v>
      </c>
      <c r="V52" s="33">
        <v>71531</v>
      </c>
      <c r="W52" s="33">
        <v>67852</v>
      </c>
      <c r="X52" s="33">
        <v>64546</v>
      </c>
      <c r="Y52" s="33">
        <v>61298</v>
      </c>
      <c r="Z52" s="33">
        <v>57489</v>
      </c>
      <c r="AA52" s="37">
        <f t="shared" si="0"/>
        <v>1186175</v>
      </c>
      <c r="AB52" s="16">
        <v>4</v>
      </c>
      <c r="AC52" s="37">
        <f t="shared" si="1"/>
        <v>4744700</v>
      </c>
      <c r="AD52" s="135"/>
    </row>
    <row r="53" spans="1:30" x14ac:dyDescent="0.35">
      <c r="A53" s="132"/>
      <c r="B53" s="38" t="s">
        <v>41</v>
      </c>
      <c r="C53" s="33">
        <v>55900</v>
      </c>
      <c r="D53" s="33">
        <v>52077</v>
      </c>
      <c r="E53" s="33">
        <v>49137</v>
      </c>
      <c r="F53" s="33">
        <v>46921</v>
      </c>
      <c r="G53" s="33">
        <v>45516</v>
      </c>
      <c r="H53" s="33">
        <v>42977</v>
      </c>
      <c r="I53" s="33">
        <v>41839</v>
      </c>
      <c r="J53" s="33">
        <v>29045</v>
      </c>
      <c r="K53" s="33">
        <v>20923</v>
      </c>
      <c r="L53" s="33">
        <v>18163</v>
      </c>
      <c r="M53" s="33">
        <v>16868</v>
      </c>
      <c r="N53" s="33">
        <v>15318</v>
      </c>
      <c r="O53" s="33">
        <v>17567</v>
      </c>
      <c r="P53" s="33">
        <v>24099</v>
      </c>
      <c r="Q53" s="33">
        <v>36011</v>
      </c>
      <c r="R53" s="33">
        <v>48322</v>
      </c>
      <c r="S53" s="33">
        <v>54403</v>
      </c>
      <c r="T53" s="33">
        <v>61416</v>
      </c>
      <c r="U53" s="33">
        <v>68382</v>
      </c>
      <c r="V53" s="33">
        <v>67720</v>
      </c>
      <c r="W53" s="33">
        <v>65570</v>
      </c>
      <c r="X53" s="33">
        <v>62981</v>
      </c>
      <c r="Y53" s="33">
        <v>59182</v>
      </c>
      <c r="Z53" s="33">
        <v>54804</v>
      </c>
      <c r="AA53" s="37">
        <f t="shared" si="0"/>
        <v>1055141</v>
      </c>
      <c r="AB53" s="16">
        <v>5</v>
      </c>
      <c r="AC53" s="37">
        <f t="shared" si="1"/>
        <v>5275705</v>
      </c>
      <c r="AD53" s="135"/>
    </row>
    <row r="54" spans="1:30" x14ac:dyDescent="0.35">
      <c r="A54" s="133"/>
      <c r="B54" s="39" t="s">
        <v>42</v>
      </c>
      <c r="C54" s="33">
        <v>45521</v>
      </c>
      <c r="D54" s="33">
        <v>43523</v>
      </c>
      <c r="E54" s="33">
        <v>41911</v>
      </c>
      <c r="F54" s="33">
        <v>40331</v>
      </c>
      <c r="G54" s="33">
        <v>39270</v>
      </c>
      <c r="H54" s="33">
        <v>38115</v>
      </c>
      <c r="I54" s="33">
        <v>36432</v>
      </c>
      <c r="J54" s="33">
        <v>23428</v>
      </c>
      <c r="K54" s="33">
        <v>14380</v>
      </c>
      <c r="L54" s="33">
        <v>11007</v>
      </c>
      <c r="M54" s="33">
        <v>9344</v>
      </c>
      <c r="N54" s="33">
        <v>7109</v>
      </c>
      <c r="O54" s="33">
        <v>9250</v>
      </c>
      <c r="P54" s="33">
        <v>16070</v>
      </c>
      <c r="Q54" s="33">
        <v>27179</v>
      </c>
      <c r="R54" s="33">
        <v>38221</v>
      </c>
      <c r="S54" s="33">
        <v>44523</v>
      </c>
      <c r="T54" s="33">
        <v>51034</v>
      </c>
      <c r="U54" s="33">
        <v>58017</v>
      </c>
      <c r="V54" s="33">
        <v>58702</v>
      </c>
      <c r="W54" s="33">
        <v>57319</v>
      </c>
      <c r="X54" s="33">
        <v>55776</v>
      </c>
      <c r="Y54" s="33">
        <v>52868</v>
      </c>
      <c r="Z54" s="33">
        <v>48572</v>
      </c>
      <c r="AA54" s="37">
        <f t="shared" si="0"/>
        <v>867902</v>
      </c>
      <c r="AB54" s="16">
        <v>2</v>
      </c>
      <c r="AC54" s="37">
        <f t="shared" si="1"/>
        <v>1735804</v>
      </c>
      <c r="AD54" s="136"/>
    </row>
    <row r="55" spans="1:30" x14ac:dyDescent="0.3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C55" s="2"/>
      <c r="AD55" s="40">
        <f>+SUM(AD7:AD54)</f>
        <v>442702603</v>
      </c>
    </row>
    <row r="58" spans="1:30" x14ac:dyDescent="0.35">
      <c r="C58" s="25"/>
      <c r="D58" s="25"/>
      <c r="E58" s="25"/>
      <c r="F58" s="25"/>
      <c r="G58" s="25"/>
      <c r="H58" s="25"/>
      <c r="I58" s="25"/>
      <c r="J58" s="25"/>
      <c r="K58" s="25"/>
      <c r="L58" s="25"/>
      <c r="M58" s="25"/>
      <c r="N58" s="25"/>
      <c r="O58" s="25"/>
      <c r="P58" s="25"/>
      <c r="Q58" s="25"/>
      <c r="R58" s="25"/>
      <c r="S58" s="25"/>
      <c r="T58" s="25"/>
      <c r="U58" s="25"/>
      <c r="V58" s="25"/>
      <c r="W58" s="25"/>
      <c r="X58" s="25"/>
      <c r="Y58" s="25"/>
      <c r="Z58" s="25"/>
    </row>
  </sheetData>
  <mergeCells count="28">
    <mergeCell ref="A47:A50"/>
    <mergeCell ref="AD47:AD50"/>
    <mergeCell ref="A51:A54"/>
    <mergeCell ref="AD51:AD54"/>
    <mergeCell ref="A35:A38"/>
    <mergeCell ref="AD35:AD38"/>
    <mergeCell ref="A39:A42"/>
    <mergeCell ref="AD39:AD42"/>
    <mergeCell ref="A43:A46"/>
    <mergeCell ref="AD43:AD46"/>
    <mergeCell ref="A23:A26"/>
    <mergeCell ref="AD23:AD26"/>
    <mergeCell ref="A27:A30"/>
    <mergeCell ref="AD27:AD30"/>
    <mergeCell ref="A31:A34"/>
    <mergeCell ref="AD31:AD34"/>
    <mergeCell ref="A11:A14"/>
    <mergeCell ref="AD11:AD14"/>
    <mergeCell ref="A15:A18"/>
    <mergeCell ref="AD15:AD18"/>
    <mergeCell ref="A19:A22"/>
    <mergeCell ref="AD19:AD22"/>
    <mergeCell ref="AD7:AD10"/>
    <mergeCell ref="A1:D1"/>
    <mergeCell ref="A2:M2"/>
    <mergeCell ref="A4:B4"/>
    <mergeCell ref="C4:D4"/>
    <mergeCell ref="A7:A10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C0DF64-F3AB-4600-B1A6-A0F5CCCC3743}">
  <sheetPr>
    <tabColor rgb="FF92D050"/>
  </sheetPr>
  <dimension ref="C1:I22"/>
  <sheetViews>
    <sheetView showGridLines="0" topLeftCell="A5" workbookViewId="0">
      <selection activeCell="C1" sqref="C1:G18"/>
    </sheetView>
  </sheetViews>
  <sheetFormatPr baseColWidth="10" defaultRowHeight="14.5" x14ac:dyDescent="0.35"/>
  <cols>
    <col min="2" max="2" width="2.54296875" customWidth="1"/>
    <col min="4" max="4" width="15.1796875" customWidth="1"/>
    <col min="5" max="5" width="15.1796875" bestFit="1" customWidth="1"/>
    <col min="6" max="6" width="12.54296875" customWidth="1"/>
    <col min="8" max="8" width="2" customWidth="1"/>
    <col min="9" max="9" width="14.1796875" bestFit="1" customWidth="1"/>
  </cols>
  <sheetData>
    <row r="1" spans="3:7" ht="14.5" customHeight="1" x14ac:dyDescent="0.35">
      <c r="C1" s="77" t="s">
        <v>44</v>
      </c>
      <c r="D1" s="77"/>
      <c r="E1" s="77"/>
      <c r="F1" s="77"/>
      <c r="G1" s="77"/>
    </row>
    <row r="2" spans="3:7" x14ac:dyDescent="0.35">
      <c r="C2" s="77"/>
      <c r="D2" s="77"/>
      <c r="E2" s="77"/>
      <c r="F2" s="77"/>
      <c r="G2" s="77"/>
    </row>
    <row r="3" spans="3:7" ht="15" thickBot="1" x14ac:dyDescent="0.4"/>
    <row r="4" spans="3:7" ht="15" thickBot="1" x14ac:dyDescent="0.4">
      <c r="C4" s="117" t="s">
        <v>7</v>
      </c>
      <c r="D4" s="118"/>
      <c r="E4" s="118"/>
      <c r="F4" s="118"/>
      <c r="G4" s="119"/>
    </row>
    <row r="5" spans="3:7" ht="32" thickBot="1" x14ac:dyDescent="0.4">
      <c r="C5" s="23" t="s">
        <v>0</v>
      </c>
      <c r="D5" s="23" t="s">
        <v>5</v>
      </c>
      <c r="E5" s="23" t="s">
        <v>1</v>
      </c>
      <c r="F5" s="23" t="s">
        <v>6</v>
      </c>
      <c r="G5" s="23" t="s">
        <v>2</v>
      </c>
    </row>
    <row r="6" spans="3:7" x14ac:dyDescent="0.35">
      <c r="C6" s="3">
        <v>47119</v>
      </c>
      <c r="D6" s="4">
        <f>+VLOOKUP(C6,'PLANA P5'!$A$4:$AD$55,30,FALSE)</f>
        <v>29760000</v>
      </c>
      <c r="E6" s="96" t="s">
        <v>1</v>
      </c>
      <c r="F6" s="1"/>
      <c r="G6" s="99" t="s">
        <v>3</v>
      </c>
    </row>
    <row r="7" spans="3:7" x14ac:dyDescent="0.35">
      <c r="C7" s="3">
        <v>47150</v>
      </c>
      <c r="D7" s="4">
        <f>+VLOOKUP(C7,'PLANA P5'!$A$4:$AD$55,30,FALSE)</f>
        <v>26880000</v>
      </c>
      <c r="E7" s="97"/>
      <c r="F7" s="1"/>
      <c r="G7" s="100"/>
    </row>
    <row r="8" spans="3:7" x14ac:dyDescent="0.35">
      <c r="C8" s="3">
        <v>47178</v>
      </c>
      <c r="D8" s="4">
        <f>+VLOOKUP(C8,'PLANA P5'!$A$4:$AD$55,30,FALSE)</f>
        <v>29760000</v>
      </c>
      <c r="E8" s="97"/>
      <c r="F8" s="1"/>
      <c r="G8" s="100"/>
    </row>
    <row r="9" spans="3:7" x14ac:dyDescent="0.35">
      <c r="C9" s="3">
        <v>47209</v>
      </c>
      <c r="D9" s="4">
        <f>+VLOOKUP(C9,'PLANA P5'!$A$4:$AD$55,30,FALSE)</f>
        <v>28800000</v>
      </c>
      <c r="E9" s="97"/>
      <c r="F9" s="1"/>
      <c r="G9" s="100"/>
    </row>
    <row r="10" spans="3:7" x14ac:dyDescent="0.35">
      <c r="C10" s="3">
        <v>47239</v>
      </c>
      <c r="D10" s="4">
        <f>+VLOOKUP(C10,'PLANA P5'!$A$4:$AD$55,30,FALSE)</f>
        <v>29760000</v>
      </c>
      <c r="E10" s="97"/>
      <c r="F10" s="1"/>
      <c r="G10" s="100"/>
    </row>
    <row r="11" spans="3:7" x14ac:dyDescent="0.35">
      <c r="C11" s="3">
        <v>47270</v>
      </c>
      <c r="D11" s="4">
        <f>+VLOOKUP(C11,'PLANA P5'!$A$4:$AD$55,30,FALSE)</f>
        <v>28800000</v>
      </c>
      <c r="E11" s="97"/>
      <c r="F11" s="1"/>
      <c r="G11" s="100"/>
    </row>
    <row r="12" spans="3:7" x14ac:dyDescent="0.35">
      <c r="C12" s="3">
        <v>47300</v>
      </c>
      <c r="D12" s="4">
        <f>+VLOOKUP(C12,'PLANA P5'!$A$4:$AD$55,30,FALSE)</f>
        <v>29760000</v>
      </c>
      <c r="E12" s="97"/>
      <c r="F12" s="1"/>
      <c r="G12" s="100"/>
    </row>
    <row r="13" spans="3:7" x14ac:dyDescent="0.35">
      <c r="C13" s="3">
        <v>47331</v>
      </c>
      <c r="D13" s="4">
        <f>+VLOOKUP(C13,'PLANA P5'!$A$4:$AD$55,30,FALSE)</f>
        <v>29760000</v>
      </c>
      <c r="E13" s="97"/>
      <c r="F13" s="1"/>
      <c r="G13" s="100"/>
    </row>
    <row r="14" spans="3:7" x14ac:dyDescent="0.35">
      <c r="C14" s="3">
        <v>47362</v>
      </c>
      <c r="D14" s="4">
        <f>+VLOOKUP(C14,'PLANA P5'!$A$4:$AD$55,30,FALSE)</f>
        <v>28800000</v>
      </c>
      <c r="E14" s="97"/>
      <c r="F14" s="1"/>
      <c r="G14" s="100"/>
    </row>
    <row r="15" spans="3:7" x14ac:dyDescent="0.35">
      <c r="C15" s="3">
        <v>47392</v>
      </c>
      <c r="D15" s="4">
        <f>+VLOOKUP(C15,'PLANA P5'!$A$4:$AD$55,30,FALSE)</f>
        <v>29760000</v>
      </c>
      <c r="E15" s="97"/>
      <c r="F15" s="1"/>
      <c r="G15" s="100"/>
    </row>
    <row r="16" spans="3:7" x14ac:dyDescent="0.35">
      <c r="C16" s="3">
        <v>47423</v>
      </c>
      <c r="D16" s="4">
        <f>+VLOOKUP(C16,'PLANA P5'!$A$4:$AD$55,30,FALSE)</f>
        <v>28800000</v>
      </c>
      <c r="E16" s="97"/>
      <c r="F16" s="1"/>
      <c r="G16" s="100"/>
    </row>
    <row r="17" spans="3:9" ht="15" thickBot="1" x14ac:dyDescent="0.4">
      <c r="C17" s="3">
        <v>47453</v>
      </c>
      <c r="D17" s="6">
        <f>+VLOOKUP(C17,'PLANA P5'!$A$4:$AD$55,30,FALSE)</f>
        <v>29760000</v>
      </c>
      <c r="E17" s="98"/>
      <c r="F17" s="7"/>
      <c r="G17" s="101"/>
    </row>
    <row r="18" spans="3:9" ht="15" thickBot="1" x14ac:dyDescent="0.4">
      <c r="D18" s="26">
        <f>SUM(D6:D17)</f>
        <v>350400000</v>
      </c>
    </row>
    <row r="19" spans="3:9" x14ac:dyDescent="0.35">
      <c r="D19" s="21"/>
      <c r="I19" s="22"/>
    </row>
    <row r="20" spans="3:9" x14ac:dyDescent="0.35">
      <c r="D20" s="19">
        <f>D18/1000000</f>
        <v>350.4</v>
      </c>
      <c r="E20" s="8"/>
      <c r="I20" s="22"/>
    </row>
    <row r="21" spans="3:9" x14ac:dyDescent="0.35">
      <c r="D21" s="8">
        <f>D20*1000</f>
        <v>350400</v>
      </c>
      <c r="I21" s="22"/>
    </row>
    <row r="22" spans="3:9" x14ac:dyDescent="0.35">
      <c r="I22" s="8"/>
    </row>
  </sheetData>
  <mergeCells count="4">
    <mergeCell ref="C1:G2"/>
    <mergeCell ref="C4:G4"/>
    <mergeCell ref="E6:E17"/>
    <mergeCell ref="G6:G17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D1614F-A8BB-45B2-9F7F-72727A0EFD51}">
  <dimension ref="A1:AD58"/>
  <sheetViews>
    <sheetView showGridLines="0" topLeftCell="O33" zoomScaleNormal="100" workbookViewId="0">
      <selection sqref="A1:AD55"/>
    </sheetView>
  </sheetViews>
  <sheetFormatPr baseColWidth="10" defaultRowHeight="14.5" x14ac:dyDescent="0.35"/>
  <cols>
    <col min="1" max="1" width="7.26953125" bestFit="1" customWidth="1"/>
    <col min="2" max="2" width="8" bestFit="1" customWidth="1"/>
    <col min="3" max="3" width="9.90625" bestFit="1" customWidth="1"/>
    <col min="4" max="19" width="9" bestFit="1" customWidth="1"/>
    <col min="20" max="26" width="9.90625" bestFit="1" customWidth="1"/>
    <col min="27" max="27" width="9" bestFit="1" customWidth="1"/>
    <col min="28" max="28" width="10.453125" style="54" bestFit="1" customWidth="1"/>
    <col min="29" max="29" width="11" bestFit="1" customWidth="1"/>
    <col min="30" max="30" width="12" bestFit="1" customWidth="1"/>
  </cols>
  <sheetData>
    <row r="1" spans="1:30" x14ac:dyDescent="0.35">
      <c r="A1" s="123" t="s">
        <v>8</v>
      </c>
      <c r="B1" s="123"/>
      <c r="C1" s="123"/>
      <c r="D1" s="123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51"/>
      <c r="AC1" s="27"/>
      <c r="AD1" s="27"/>
    </row>
    <row r="2" spans="1:30" x14ac:dyDescent="0.35">
      <c r="A2" s="124" t="s">
        <v>43</v>
      </c>
      <c r="B2" s="124"/>
      <c r="C2" s="124"/>
      <c r="D2" s="124"/>
      <c r="E2" s="124"/>
      <c r="F2" s="124"/>
      <c r="G2" s="124"/>
      <c r="H2" s="124"/>
      <c r="I2" s="124"/>
      <c r="J2" s="124"/>
      <c r="K2" s="124"/>
      <c r="L2" s="124"/>
      <c r="M2" s="124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51"/>
      <c r="AC2" s="27"/>
      <c r="AD2" s="27"/>
    </row>
    <row r="3" spans="1:30" x14ac:dyDescent="0.35">
      <c r="A3" s="27"/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  <c r="AA3" s="27"/>
      <c r="AB3" s="51"/>
      <c r="AC3" s="27"/>
      <c r="AD3" s="27"/>
    </row>
    <row r="4" spans="1:30" x14ac:dyDescent="0.35">
      <c r="A4" s="125" t="s">
        <v>9</v>
      </c>
      <c r="B4" s="125"/>
      <c r="C4" s="126">
        <f>+AD55</f>
        <v>350400000</v>
      </c>
      <c r="D4" s="127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  <c r="W4" s="28"/>
      <c r="X4" s="28"/>
      <c r="Y4" s="28"/>
      <c r="Z4" s="28"/>
      <c r="AA4" s="28"/>
      <c r="AB4" s="9"/>
      <c r="AC4" s="28"/>
      <c r="AD4" s="28"/>
    </row>
    <row r="5" spans="1:30" x14ac:dyDescent="0.35">
      <c r="A5" s="28" t="s">
        <v>0</v>
      </c>
      <c r="B5" s="29" t="s">
        <v>10</v>
      </c>
      <c r="C5" s="28" t="s">
        <v>11</v>
      </c>
      <c r="D5" s="28" t="s">
        <v>12</v>
      </c>
      <c r="E5" s="28" t="s">
        <v>13</v>
      </c>
      <c r="F5" s="28" t="s">
        <v>14</v>
      </c>
      <c r="G5" s="28" t="s">
        <v>15</v>
      </c>
      <c r="H5" s="28" t="s">
        <v>16</v>
      </c>
      <c r="I5" s="28" t="s">
        <v>17</v>
      </c>
      <c r="J5" s="28" t="s">
        <v>18</v>
      </c>
      <c r="K5" s="28" t="s">
        <v>19</v>
      </c>
      <c r="L5" s="28" t="s">
        <v>20</v>
      </c>
      <c r="M5" s="28" t="s">
        <v>21</v>
      </c>
      <c r="N5" s="28" t="s">
        <v>22</v>
      </c>
      <c r="O5" s="28" t="s">
        <v>23</v>
      </c>
      <c r="P5" s="28" t="s">
        <v>24</v>
      </c>
      <c r="Q5" s="28" t="s">
        <v>25</v>
      </c>
      <c r="R5" s="28" t="s">
        <v>26</v>
      </c>
      <c r="S5" s="28" t="s">
        <v>27</v>
      </c>
      <c r="T5" s="28" t="s">
        <v>28</v>
      </c>
      <c r="U5" s="28" t="s">
        <v>29</v>
      </c>
      <c r="V5" s="28" t="s">
        <v>30</v>
      </c>
      <c r="W5" s="28" t="s">
        <v>31</v>
      </c>
      <c r="X5" s="28" t="s">
        <v>32</v>
      </c>
      <c r="Y5" s="28" t="s">
        <v>33</v>
      </c>
      <c r="Z5" s="28" t="s">
        <v>34</v>
      </c>
      <c r="AA5" s="28" t="s">
        <v>35</v>
      </c>
      <c r="AB5" s="9" t="s">
        <v>36</v>
      </c>
      <c r="AC5" s="28" t="s">
        <v>37</v>
      </c>
      <c r="AD5" s="28" t="s">
        <v>38</v>
      </c>
    </row>
    <row r="6" spans="1:30" hidden="1" x14ac:dyDescent="0.35">
      <c r="A6" s="30"/>
      <c r="B6" s="31"/>
      <c r="C6" s="30"/>
      <c r="D6" s="30"/>
      <c r="E6" s="30"/>
      <c r="F6" s="30"/>
      <c r="G6" s="30"/>
      <c r="H6" s="30"/>
      <c r="I6" s="30"/>
      <c r="J6" s="30"/>
      <c r="K6" s="30"/>
      <c r="L6" s="30"/>
      <c r="M6" s="30"/>
      <c r="N6" s="30"/>
      <c r="O6" s="30"/>
      <c r="P6" s="30"/>
      <c r="Q6" s="30"/>
      <c r="R6" s="30"/>
      <c r="S6" s="30"/>
      <c r="T6" s="30"/>
      <c r="U6" s="30"/>
      <c r="V6" s="30"/>
      <c r="W6" s="30"/>
      <c r="X6" s="30"/>
      <c r="Y6" s="30"/>
      <c r="Z6" s="30"/>
      <c r="AA6" s="30"/>
      <c r="AB6" s="52"/>
      <c r="AC6" s="30"/>
      <c r="AD6" s="30"/>
    </row>
    <row r="7" spans="1:30" x14ac:dyDescent="0.35">
      <c r="A7" s="128">
        <v>47119</v>
      </c>
      <c r="B7" s="32" t="s">
        <v>39</v>
      </c>
      <c r="C7" s="33">
        <v>40000</v>
      </c>
      <c r="D7" s="33">
        <v>40000</v>
      </c>
      <c r="E7" s="33">
        <v>40000</v>
      </c>
      <c r="F7" s="33">
        <v>40000</v>
      </c>
      <c r="G7" s="33">
        <v>40000</v>
      </c>
      <c r="H7" s="33">
        <v>40000</v>
      </c>
      <c r="I7" s="33">
        <v>40000</v>
      </c>
      <c r="J7" s="33">
        <v>40000</v>
      </c>
      <c r="K7" s="33">
        <v>40000</v>
      </c>
      <c r="L7" s="33">
        <v>40000</v>
      </c>
      <c r="M7" s="33">
        <v>40000</v>
      </c>
      <c r="N7" s="33">
        <v>40000</v>
      </c>
      <c r="O7" s="33">
        <v>40000</v>
      </c>
      <c r="P7" s="33">
        <v>40000</v>
      </c>
      <c r="Q7" s="33">
        <v>40000</v>
      </c>
      <c r="R7" s="33">
        <v>40000</v>
      </c>
      <c r="S7" s="33">
        <v>40000</v>
      </c>
      <c r="T7" s="33">
        <v>40000</v>
      </c>
      <c r="U7" s="33">
        <v>40000</v>
      </c>
      <c r="V7" s="33">
        <v>40000</v>
      </c>
      <c r="W7" s="33">
        <v>40000</v>
      </c>
      <c r="X7" s="33">
        <v>40000</v>
      </c>
      <c r="Y7" s="33">
        <v>40000</v>
      </c>
      <c r="Z7" s="33">
        <v>40000</v>
      </c>
      <c r="AA7" s="33">
        <f>SUM(C7:Z7)</f>
        <v>960000</v>
      </c>
      <c r="AB7" s="53">
        <v>21</v>
      </c>
      <c r="AC7" s="33">
        <f>+AA7*AB7</f>
        <v>20160000</v>
      </c>
      <c r="AD7" s="120">
        <f>+SUM(AC7:AC10)</f>
        <v>29760000</v>
      </c>
    </row>
    <row r="8" spans="1:30" x14ac:dyDescent="0.35">
      <c r="A8" s="129"/>
      <c r="B8" s="34" t="s">
        <v>40</v>
      </c>
      <c r="C8" s="33">
        <v>40000</v>
      </c>
      <c r="D8" s="33">
        <v>40000</v>
      </c>
      <c r="E8" s="33">
        <v>40000</v>
      </c>
      <c r="F8" s="33">
        <v>40000</v>
      </c>
      <c r="G8" s="33">
        <v>40000</v>
      </c>
      <c r="H8" s="33">
        <v>40000</v>
      </c>
      <c r="I8" s="33">
        <v>40000</v>
      </c>
      <c r="J8" s="33">
        <v>40000</v>
      </c>
      <c r="K8" s="33">
        <v>40000</v>
      </c>
      <c r="L8" s="33">
        <v>40000</v>
      </c>
      <c r="M8" s="33">
        <v>40000</v>
      </c>
      <c r="N8" s="33">
        <v>40000</v>
      </c>
      <c r="O8" s="33">
        <v>40000</v>
      </c>
      <c r="P8" s="33">
        <v>40000</v>
      </c>
      <c r="Q8" s="33">
        <v>40000</v>
      </c>
      <c r="R8" s="33">
        <v>40000</v>
      </c>
      <c r="S8" s="33">
        <v>40000</v>
      </c>
      <c r="T8" s="33">
        <v>40000</v>
      </c>
      <c r="U8" s="33">
        <v>40000</v>
      </c>
      <c r="V8" s="33">
        <v>40000</v>
      </c>
      <c r="W8" s="33">
        <v>40000</v>
      </c>
      <c r="X8" s="33">
        <v>40000</v>
      </c>
      <c r="Y8" s="33">
        <v>40000</v>
      </c>
      <c r="Z8" s="33">
        <v>40000</v>
      </c>
      <c r="AA8" s="33">
        <f t="shared" ref="AA8:AA54" si="0">SUM(C8:Z8)</f>
        <v>960000</v>
      </c>
      <c r="AB8" s="53">
        <v>4</v>
      </c>
      <c r="AC8" s="33">
        <f t="shared" ref="AC8:AC54" si="1">+AA8*AB8</f>
        <v>3840000</v>
      </c>
      <c r="AD8" s="121"/>
    </row>
    <row r="9" spans="1:30" x14ac:dyDescent="0.35">
      <c r="A9" s="129"/>
      <c r="B9" s="34" t="s">
        <v>41</v>
      </c>
      <c r="C9" s="33">
        <v>40000</v>
      </c>
      <c r="D9" s="33">
        <v>40000</v>
      </c>
      <c r="E9" s="33">
        <v>40000</v>
      </c>
      <c r="F9" s="33">
        <v>40000</v>
      </c>
      <c r="G9" s="33">
        <v>40000</v>
      </c>
      <c r="H9" s="33">
        <v>40000</v>
      </c>
      <c r="I9" s="33">
        <v>40000</v>
      </c>
      <c r="J9" s="33">
        <v>40000</v>
      </c>
      <c r="K9" s="33">
        <v>40000</v>
      </c>
      <c r="L9" s="33">
        <v>40000</v>
      </c>
      <c r="M9" s="33">
        <v>40000</v>
      </c>
      <c r="N9" s="33">
        <v>40000</v>
      </c>
      <c r="O9" s="33">
        <v>40000</v>
      </c>
      <c r="P9" s="33">
        <v>40000</v>
      </c>
      <c r="Q9" s="33">
        <v>40000</v>
      </c>
      <c r="R9" s="33">
        <v>40000</v>
      </c>
      <c r="S9" s="33">
        <v>40000</v>
      </c>
      <c r="T9" s="33">
        <v>40000</v>
      </c>
      <c r="U9" s="33">
        <v>40000</v>
      </c>
      <c r="V9" s="33">
        <v>40000</v>
      </c>
      <c r="W9" s="33">
        <v>40000</v>
      </c>
      <c r="X9" s="33">
        <v>40000</v>
      </c>
      <c r="Y9" s="33">
        <v>40000</v>
      </c>
      <c r="Z9" s="33">
        <v>40000</v>
      </c>
      <c r="AA9" s="33">
        <f t="shared" si="0"/>
        <v>960000</v>
      </c>
      <c r="AB9" s="53">
        <v>4</v>
      </c>
      <c r="AC9" s="33">
        <f t="shared" si="1"/>
        <v>3840000</v>
      </c>
      <c r="AD9" s="121"/>
    </row>
    <row r="10" spans="1:30" x14ac:dyDescent="0.35">
      <c r="A10" s="130"/>
      <c r="B10" s="35" t="s">
        <v>42</v>
      </c>
      <c r="C10" s="33">
        <v>40000</v>
      </c>
      <c r="D10" s="33">
        <v>40000</v>
      </c>
      <c r="E10" s="33">
        <v>40000</v>
      </c>
      <c r="F10" s="33">
        <v>40000</v>
      </c>
      <c r="G10" s="33">
        <v>40000</v>
      </c>
      <c r="H10" s="33">
        <v>40000</v>
      </c>
      <c r="I10" s="33">
        <v>40000</v>
      </c>
      <c r="J10" s="33">
        <v>40000</v>
      </c>
      <c r="K10" s="33">
        <v>40000</v>
      </c>
      <c r="L10" s="33">
        <v>40000</v>
      </c>
      <c r="M10" s="33">
        <v>40000</v>
      </c>
      <c r="N10" s="33">
        <v>40000</v>
      </c>
      <c r="O10" s="33">
        <v>40000</v>
      </c>
      <c r="P10" s="33">
        <v>40000</v>
      </c>
      <c r="Q10" s="33">
        <v>40000</v>
      </c>
      <c r="R10" s="33">
        <v>40000</v>
      </c>
      <c r="S10" s="33">
        <v>40000</v>
      </c>
      <c r="T10" s="33">
        <v>40000</v>
      </c>
      <c r="U10" s="33">
        <v>40000</v>
      </c>
      <c r="V10" s="33">
        <v>40000</v>
      </c>
      <c r="W10" s="33">
        <v>40000</v>
      </c>
      <c r="X10" s="33">
        <v>40000</v>
      </c>
      <c r="Y10" s="33">
        <v>40000</v>
      </c>
      <c r="Z10" s="33">
        <v>40000</v>
      </c>
      <c r="AA10" s="33">
        <f t="shared" si="0"/>
        <v>960000</v>
      </c>
      <c r="AB10" s="53">
        <v>2</v>
      </c>
      <c r="AC10" s="33">
        <f t="shared" si="1"/>
        <v>1920000</v>
      </c>
      <c r="AD10" s="122"/>
    </row>
    <row r="11" spans="1:30" x14ac:dyDescent="0.35">
      <c r="A11" s="128">
        <v>47150</v>
      </c>
      <c r="B11" s="32" t="s">
        <v>39</v>
      </c>
      <c r="C11" s="33">
        <v>40000</v>
      </c>
      <c r="D11" s="33">
        <v>40000</v>
      </c>
      <c r="E11" s="33">
        <v>40000</v>
      </c>
      <c r="F11" s="33">
        <v>40000</v>
      </c>
      <c r="G11" s="33">
        <v>40000</v>
      </c>
      <c r="H11" s="33">
        <v>40000</v>
      </c>
      <c r="I11" s="33">
        <v>40000</v>
      </c>
      <c r="J11" s="33">
        <v>40000</v>
      </c>
      <c r="K11" s="33">
        <v>40000</v>
      </c>
      <c r="L11" s="33">
        <v>40000</v>
      </c>
      <c r="M11" s="33">
        <v>40000</v>
      </c>
      <c r="N11" s="33">
        <v>40000</v>
      </c>
      <c r="O11" s="33">
        <v>40000</v>
      </c>
      <c r="P11" s="33">
        <v>40000</v>
      </c>
      <c r="Q11" s="33">
        <v>40000</v>
      </c>
      <c r="R11" s="33">
        <v>40000</v>
      </c>
      <c r="S11" s="33">
        <v>40000</v>
      </c>
      <c r="T11" s="33">
        <v>40000</v>
      </c>
      <c r="U11" s="33">
        <v>40000</v>
      </c>
      <c r="V11" s="33">
        <v>40000</v>
      </c>
      <c r="W11" s="33">
        <v>40000</v>
      </c>
      <c r="X11" s="33">
        <v>40000</v>
      </c>
      <c r="Y11" s="33">
        <v>40000</v>
      </c>
      <c r="Z11" s="33">
        <v>40000</v>
      </c>
      <c r="AA11" s="33">
        <f t="shared" si="0"/>
        <v>960000</v>
      </c>
      <c r="AB11" s="53">
        <v>20</v>
      </c>
      <c r="AC11" s="33">
        <f t="shared" si="1"/>
        <v>19200000</v>
      </c>
      <c r="AD11" s="120">
        <f>+SUM(AC11:AC14)</f>
        <v>26880000</v>
      </c>
    </row>
    <row r="12" spans="1:30" x14ac:dyDescent="0.35">
      <c r="A12" s="129"/>
      <c r="B12" s="34" t="s">
        <v>40</v>
      </c>
      <c r="C12" s="33">
        <v>40000</v>
      </c>
      <c r="D12" s="33">
        <v>40000</v>
      </c>
      <c r="E12" s="33">
        <v>40000</v>
      </c>
      <c r="F12" s="33">
        <v>40000</v>
      </c>
      <c r="G12" s="33">
        <v>40000</v>
      </c>
      <c r="H12" s="33">
        <v>40000</v>
      </c>
      <c r="I12" s="33">
        <v>40000</v>
      </c>
      <c r="J12" s="33">
        <v>40000</v>
      </c>
      <c r="K12" s="33">
        <v>40000</v>
      </c>
      <c r="L12" s="33">
        <v>40000</v>
      </c>
      <c r="M12" s="33">
        <v>40000</v>
      </c>
      <c r="N12" s="33">
        <v>40000</v>
      </c>
      <c r="O12" s="33">
        <v>40000</v>
      </c>
      <c r="P12" s="33">
        <v>40000</v>
      </c>
      <c r="Q12" s="33">
        <v>40000</v>
      </c>
      <c r="R12" s="33">
        <v>40000</v>
      </c>
      <c r="S12" s="33">
        <v>40000</v>
      </c>
      <c r="T12" s="33">
        <v>40000</v>
      </c>
      <c r="U12" s="33">
        <v>40000</v>
      </c>
      <c r="V12" s="33">
        <v>40000</v>
      </c>
      <c r="W12" s="33">
        <v>40000</v>
      </c>
      <c r="X12" s="33">
        <v>40000</v>
      </c>
      <c r="Y12" s="33">
        <v>40000</v>
      </c>
      <c r="Z12" s="33">
        <v>40000</v>
      </c>
      <c r="AA12" s="33">
        <f t="shared" si="0"/>
        <v>960000</v>
      </c>
      <c r="AB12" s="53">
        <v>4</v>
      </c>
      <c r="AC12" s="33">
        <f t="shared" si="1"/>
        <v>3840000</v>
      </c>
      <c r="AD12" s="121"/>
    </row>
    <row r="13" spans="1:30" x14ac:dyDescent="0.35">
      <c r="A13" s="129"/>
      <c r="B13" s="34" t="s">
        <v>41</v>
      </c>
      <c r="C13" s="33">
        <v>40000</v>
      </c>
      <c r="D13" s="33">
        <v>40000</v>
      </c>
      <c r="E13" s="33">
        <v>40000</v>
      </c>
      <c r="F13" s="33">
        <v>40000</v>
      </c>
      <c r="G13" s="33">
        <v>40000</v>
      </c>
      <c r="H13" s="33">
        <v>40000</v>
      </c>
      <c r="I13" s="33">
        <v>40000</v>
      </c>
      <c r="J13" s="33">
        <v>40000</v>
      </c>
      <c r="K13" s="33">
        <v>40000</v>
      </c>
      <c r="L13" s="33">
        <v>40000</v>
      </c>
      <c r="M13" s="33">
        <v>40000</v>
      </c>
      <c r="N13" s="33">
        <v>40000</v>
      </c>
      <c r="O13" s="33">
        <v>40000</v>
      </c>
      <c r="P13" s="33">
        <v>40000</v>
      </c>
      <c r="Q13" s="33">
        <v>40000</v>
      </c>
      <c r="R13" s="33">
        <v>40000</v>
      </c>
      <c r="S13" s="33">
        <v>40000</v>
      </c>
      <c r="T13" s="33">
        <v>40000</v>
      </c>
      <c r="U13" s="33">
        <v>40000</v>
      </c>
      <c r="V13" s="33">
        <v>40000</v>
      </c>
      <c r="W13" s="33">
        <v>40000</v>
      </c>
      <c r="X13" s="33">
        <v>40000</v>
      </c>
      <c r="Y13" s="33">
        <v>40000</v>
      </c>
      <c r="Z13" s="33">
        <v>40000</v>
      </c>
      <c r="AA13" s="33">
        <f t="shared" si="0"/>
        <v>960000</v>
      </c>
      <c r="AB13" s="53">
        <v>4</v>
      </c>
      <c r="AC13" s="33">
        <f t="shared" si="1"/>
        <v>3840000</v>
      </c>
      <c r="AD13" s="121"/>
    </row>
    <row r="14" spans="1:30" x14ac:dyDescent="0.35">
      <c r="A14" s="130"/>
      <c r="B14" s="35" t="s">
        <v>42</v>
      </c>
      <c r="C14" s="33"/>
      <c r="D14" s="33"/>
      <c r="E14" s="33"/>
      <c r="F14" s="33"/>
      <c r="G14" s="33"/>
      <c r="H14" s="33"/>
      <c r="I14" s="33"/>
      <c r="J14" s="33"/>
      <c r="K14" s="33"/>
      <c r="L14" s="33"/>
      <c r="M14" s="33"/>
      <c r="N14" s="33"/>
      <c r="O14" s="33"/>
      <c r="P14" s="33"/>
      <c r="Q14" s="33"/>
      <c r="R14" s="33"/>
      <c r="S14" s="33"/>
      <c r="T14" s="33"/>
      <c r="U14" s="33"/>
      <c r="V14" s="33"/>
      <c r="W14" s="33"/>
      <c r="X14" s="33"/>
      <c r="Y14" s="33"/>
      <c r="Z14" s="33"/>
      <c r="AA14" s="33">
        <f t="shared" si="0"/>
        <v>0</v>
      </c>
      <c r="AB14" s="53">
        <v>0</v>
      </c>
      <c r="AC14" s="33">
        <f t="shared" si="1"/>
        <v>0</v>
      </c>
      <c r="AD14" s="122"/>
    </row>
    <row r="15" spans="1:30" x14ac:dyDescent="0.35">
      <c r="A15" s="128">
        <v>47178</v>
      </c>
      <c r="B15" s="32" t="s">
        <v>39</v>
      </c>
      <c r="C15" s="33">
        <v>40000</v>
      </c>
      <c r="D15" s="33">
        <v>40000</v>
      </c>
      <c r="E15" s="33">
        <v>40000</v>
      </c>
      <c r="F15" s="33">
        <v>40000</v>
      </c>
      <c r="G15" s="33">
        <v>40000</v>
      </c>
      <c r="H15" s="33">
        <v>40000</v>
      </c>
      <c r="I15" s="33">
        <v>40000</v>
      </c>
      <c r="J15" s="33">
        <v>40000</v>
      </c>
      <c r="K15" s="33">
        <v>40000</v>
      </c>
      <c r="L15" s="33">
        <v>40000</v>
      </c>
      <c r="M15" s="33">
        <v>40000</v>
      </c>
      <c r="N15" s="33">
        <v>40000</v>
      </c>
      <c r="O15" s="33">
        <v>40000</v>
      </c>
      <c r="P15" s="33">
        <v>40000</v>
      </c>
      <c r="Q15" s="33">
        <v>40000</v>
      </c>
      <c r="R15" s="33">
        <v>40000</v>
      </c>
      <c r="S15" s="33">
        <v>40000</v>
      </c>
      <c r="T15" s="33">
        <v>40000</v>
      </c>
      <c r="U15" s="33">
        <v>40000</v>
      </c>
      <c r="V15" s="33">
        <v>40000</v>
      </c>
      <c r="W15" s="33">
        <v>40000</v>
      </c>
      <c r="X15" s="33">
        <v>40000</v>
      </c>
      <c r="Y15" s="33">
        <v>40000</v>
      </c>
      <c r="Z15" s="33">
        <v>40000</v>
      </c>
      <c r="AA15" s="33">
        <f t="shared" si="0"/>
        <v>960000</v>
      </c>
      <c r="AB15" s="53">
        <v>19</v>
      </c>
      <c r="AC15" s="33">
        <f t="shared" si="1"/>
        <v>18240000</v>
      </c>
      <c r="AD15" s="120">
        <f>+SUM(AC15:AC18)</f>
        <v>29760000</v>
      </c>
    </row>
    <row r="16" spans="1:30" x14ac:dyDescent="0.35">
      <c r="A16" s="129"/>
      <c r="B16" s="34" t="s">
        <v>40</v>
      </c>
      <c r="C16" s="33">
        <v>40000</v>
      </c>
      <c r="D16" s="33">
        <v>40000</v>
      </c>
      <c r="E16" s="33">
        <v>40000</v>
      </c>
      <c r="F16" s="33">
        <v>40000</v>
      </c>
      <c r="G16" s="33">
        <v>40000</v>
      </c>
      <c r="H16" s="33">
        <v>40000</v>
      </c>
      <c r="I16" s="33">
        <v>40000</v>
      </c>
      <c r="J16" s="33">
        <v>40000</v>
      </c>
      <c r="K16" s="33">
        <v>40000</v>
      </c>
      <c r="L16" s="33">
        <v>40000</v>
      </c>
      <c r="M16" s="33">
        <v>40000</v>
      </c>
      <c r="N16" s="33">
        <v>40000</v>
      </c>
      <c r="O16" s="33">
        <v>40000</v>
      </c>
      <c r="P16" s="33">
        <v>40000</v>
      </c>
      <c r="Q16" s="33">
        <v>40000</v>
      </c>
      <c r="R16" s="33">
        <v>40000</v>
      </c>
      <c r="S16" s="33">
        <v>40000</v>
      </c>
      <c r="T16" s="33">
        <v>40000</v>
      </c>
      <c r="U16" s="33">
        <v>40000</v>
      </c>
      <c r="V16" s="33">
        <v>40000</v>
      </c>
      <c r="W16" s="33">
        <v>40000</v>
      </c>
      <c r="X16" s="33">
        <v>40000</v>
      </c>
      <c r="Y16" s="33">
        <v>40000</v>
      </c>
      <c r="Z16" s="33">
        <v>40000</v>
      </c>
      <c r="AA16" s="33">
        <f t="shared" si="0"/>
        <v>960000</v>
      </c>
      <c r="AB16" s="53">
        <v>5</v>
      </c>
      <c r="AC16" s="33">
        <f t="shared" si="1"/>
        <v>4800000</v>
      </c>
      <c r="AD16" s="121"/>
    </row>
    <row r="17" spans="1:30" x14ac:dyDescent="0.35">
      <c r="A17" s="129"/>
      <c r="B17" s="34" t="s">
        <v>41</v>
      </c>
      <c r="C17" s="33">
        <v>40000</v>
      </c>
      <c r="D17" s="33">
        <v>40000</v>
      </c>
      <c r="E17" s="33">
        <v>40000</v>
      </c>
      <c r="F17" s="33">
        <v>40000</v>
      </c>
      <c r="G17" s="33">
        <v>40000</v>
      </c>
      <c r="H17" s="33">
        <v>40000</v>
      </c>
      <c r="I17" s="33">
        <v>40000</v>
      </c>
      <c r="J17" s="33">
        <v>40000</v>
      </c>
      <c r="K17" s="33">
        <v>40000</v>
      </c>
      <c r="L17" s="33">
        <v>40000</v>
      </c>
      <c r="M17" s="33">
        <v>40000</v>
      </c>
      <c r="N17" s="33">
        <v>40000</v>
      </c>
      <c r="O17" s="33">
        <v>40000</v>
      </c>
      <c r="P17" s="33">
        <v>40000</v>
      </c>
      <c r="Q17" s="33">
        <v>40000</v>
      </c>
      <c r="R17" s="33">
        <v>40000</v>
      </c>
      <c r="S17" s="33">
        <v>40000</v>
      </c>
      <c r="T17" s="33">
        <v>40000</v>
      </c>
      <c r="U17" s="33">
        <v>40000</v>
      </c>
      <c r="V17" s="33">
        <v>40000</v>
      </c>
      <c r="W17" s="33">
        <v>40000</v>
      </c>
      <c r="X17" s="33">
        <v>40000</v>
      </c>
      <c r="Y17" s="33">
        <v>40000</v>
      </c>
      <c r="Z17" s="33">
        <v>40000</v>
      </c>
      <c r="AA17" s="33">
        <f t="shared" si="0"/>
        <v>960000</v>
      </c>
      <c r="AB17" s="53">
        <v>4</v>
      </c>
      <c r="AC17" s="33">
        <f t="shared" si="1"/>
        <v>3840000</v>
      </c>
      <c r="AD17" s="121"/>
    </row>
    <row r="18" spans="1:30" x14ac:dyDescent="0.35">
      <c r="A18" s="130"/>
      <c r="B18" s="35" t="s">
        <v>42</v>
      </c>
      <c r="C18" s="33">
        <v>40000</v>
      </c>
      <c r="D18" s="33">
        <v>40000</v>
      </c>
      <c r="E18" s="33">
        <v>40000</v>
      </c>
      <c r="F18" s="33">
        <v>40000</v>
      </c>
      <c r="G18" s="33">
        <v>40000</v>
      </c>
      <c r="H18" s="33">
        <v>40000</v>
      </c>
      <c r="I18" s="33">
        <v>40000</v>
      </c>
      <c r="J18" s="33">
        <v>40000</v>
      </c>
      <c r="K18" s="33">
        <v>40000</v>
      </c>
      <c r="L18" s="33">
        <v>40000</v>
      </c>
      <c r="M18" s="33">
        <v>40000</v>
      </c>
      <c r="N18" s="33">
        <v>40000</v>
      </c>
      <c r="O18" s="33">
        <v>40000</v>
      </c>
      <c r="P18" s="33">
        <v>40000</v>
      </c>
      <c r="Q18" s="33">
        <v>40000</v>
      </c>
      <c r="R18" s="33">
        <v>40000</v>
      </c>
      <c r="S18" s="33">
        <v>40000</v>
      </c>
      <c r="T18" s="33">
        <v>40000</v>
      </c>
      <c r="U18" s="33">
        <v>40000</v>
      </c>
      <c r="V18" s="33">
        <v>40000</v>
      </c>
      <c r="W18" s="33">
        <v>40000</v>
      </c>
      <c r="X18" s="33">
        <v>40000</v>
      </c>
      <c r="Y18" s="33">
        <v>40000</v>
      </c>
      <c r="Z18" s="33">
        <v>40000</v>
      </c>
      <c r="AA18" s="33">
        <f t="shared" si="0"/>
        <v>960000</v>
      </c>
      <c r="AB18" s="53">
        <v>3</v>
      </c>
      <c r="AC18" s="33">
        <f t="shared" si="1"/>
        <v>2880000</v>
      </c>
      <c r="AD18" s="122"/>
    </row>
    <row r="19" spans="1:30" x14ac:dyDescent="0.35">
      <c r="A19" s="128">
        <v>47209</v>
      </c>
      <c r="B19" s="32" t="s">
        <v>39</v>
      </c>
      <c r="C19" s="33">
        <v>40000</v>
      </c>
      <c r="D19" s="33">
        <v>40000</v>
      </c>
      <c r="E19" s="33">
        <v>40000</v>
      </c>
      <c r="F19" s="33">
        <v>40000</v>
      </c>
      <c r="G19" s="33">
        <v>40000</v>
      </c>
      <c r="H19" s="33">
        <v>40000</v>
      </c>
      <c r="I19" s="33">
        <v>40000</v>
      </c>
      <c r="J19" s="33">
        <v>40000</v>
      </c>
      <c r="K19" s="33">
        <v>40000</v>
      </c>
      <c r="L19" s="33">
        <v>40000</v>
      </c>
      <c r="M19" s="33">
        <v>40000</v>
      </c>
      <c r="N19" s="33">
        <v>40000</v>
      </c>
      <c r="O19" s="33">
        <v>40000</v>
      </c>
      <c r="P19" s="33">
        <v>40000</v>
      </c>
      <c r="Q19" s="33">
        <v>40000</v>
      </c>
      <c r="R19" s="33">
        <v>40000</v>
      </c>
      <c r="S19" s="33">
        <v>40000</v>
      </c>
      <c r="T19" s="33">
        <v>40000</v>
      </c>
      <c r="U19" s="33">
        <v>40000</v>
      </c>
      <c r="V19" s="33">
        <v>40000</v>
      </c>
      <c r="W19" s="33">
        <v>40000</v>
      </c>
      <c r="X19" s="33">
        <v>40000</v>
      </c>
      <c r="Y19" s="33">
        <v>40000</v>
      </c>
      <c r="Z19" s="33">
        <v>40000</v>
      </c>
      <c r="AA19" s="33">
        <f t="shared" si="0"/>
        <v>960000</v>
      </c>
      <c r="AB19" s="53">
        <v>21</v>
      </c>
      <c r="AC19" s="33">
        <f t="shared" si="1"/>
        <v>20160000</v>
      </c>
      <c r="AD19" s="120">
        <f>+SUM(AC19:AC22)</f>
        <v>28800000</v>
      </c>
    </row>
    <row r="20" spans="1:30" x14ac:dyDescent="0.35">
      <c r="A20" s="129"/>
      <c r="B20" s="34" t="s">
        <v>40</v>
      </c>
      <c r="C20" s="33">
        <v>40000</v>
      </c>
      <c r="D20" s="33">
        <v>40000</v>
      </c>
      <c r="E20" s="33">
        <v>40000</v>
      </c>
      <c r="F20" s="33">
        <v>40000</v>
      </c>
      <c r="G20" s="33">
        <v>40000</v>
      </c>
      <c r="H20" s="33">
        <v>40000</v>
      </c>
      <c r="I20" s="33">
        <v>40000</v>
      </c>
      <c r="J20" s="33">
        <v>40000</v>
      </c>
      <c r="K20" s="33">
        <v>40000</v>
      </c>
      <c r="L20" s="33">
        <v>40000</v>
      </c>
      <c r="M20" s="33">
        <v>40000</v>
      </c>
      <c r="N20" s="33">
        <v>40000</v>
      </c>
      <c r="O20" s="33">
        <v>40000</v>
      </c>
      <c r="P20" s="33">
        <v>40000</v>
      </c>
      <c r="Q20" s="33">
        <v>40000</v>
      </c>
      <c r="R20" s="33">
        <v>40000</v>
      </c>
      <c r="S20" s="33">
        <v>40000</v>
      </c>
      <c r="T20" s="33">
        <v>40000</v>
      </c>
      <c r="U20" s="33">
        <v>40000</v>
      </c>
      <c r="V20" s="33">
        <v>40000</v>
      </c>
      <c r="W20" s="33">
        <v>40000</v>
      </c>
      <c r="X20" s="33">
        <v>40000</v>
      </c>
      <c r="Y20" s="33">
        <v>40000</v>
      </c>
      <c r="Z20" s="33">
        <v>40000</v>
      </c>
      <c r="AA20" s="33">
        <f t="shared" si="0"/>
        <v>960000</v>
      </c>
      <c r="AB20" s="53">
        <v>4</v>
      </c>
      <c r="AC20" s="33">
        <f t="shared" si="1"/>
        <v>3840000</v>
      </c>
      <c r="AD20" s="121"/>
    </row>
    <row r="21" spans="1:30" x14ac:dyDescent="0.35">
      <c r="A21" s="129"/>
      <c r="B21" s="34" t="s">
        <v>41</v>
      </c>
      <c r="C21" s="33">
        <v>40000</v>
      </c>
      <c r="D21" s="33">
        <v>40000</v>
      </c>
      <c r="E21" s="33">
        <v>40000</v>
      </c>
      <c r="F21" s="33">
        <v>40000</v>
      </c>
      <c r="G21" s="33">
        <v>40000</v>
      </c>
      <c r="H21" s="33">
        <v>40000</v>
      </c>
      <c r="I21" s="33">
        <v>40000</v>
      </c>
      <c r="J21" s="33">
        <v>40000</v>
      </c>
      <c r="K21" s="33">
        <v>40000</v>
      </c>
      <c r="L21" s="33">
        <v>40000</v>
      </c>
      <c r="M21" s="33">
        <v>40000</v>
      </c>
      <c r="N21" s="33">
        <v>40000</v>
      </c>
      <c r="O21" s="33">
        <v>40000</v>
      </c>
      <c r="P21" s="33">
        <v>40000</v>
      </c>
      <c r="Q21" s="33">
        <v>40000</v>
      </c>
      <c r="R21" s="33">
        <v>40000</v>
      </c>
      <c r="S21" s="33">
        <v>40000</v>
      </c>
      <c r="T21" s="33">
        <v>40000</v>
      </c>
      <c r="U21" s="33">
        <v>40000</v>
      </c>
      <c r="V21" s="33">
        <v>40000</v>
      </c>
      <c r="W21" s="33">
        <v>40000</v>
      </c>
      <c r="X21" s="33">
        <v>40000</v>
      </c>
      <c r="Y21" s="33">
        <v>40000</v>
      </c>
      <c r="Z21" s="33">
        <v>40000</v>
      </c>
      <c r="AA21" s="33">
        <f t="shared" si="0"/>
        <v>960000</v>
      </c>
      <c r="AB21" s="53">
        <v>5</v>
      </c>
      <c r="AC21" s="33">
        <f t="shared" si="1"/>
        <v>4800000</v>
      </c>
      <c r="AD21" s="121"/>
    </row>
    <row r="22" spans="1:30" x14ac:dyDescent="0.35">
      <c r="A22" s="130"/>
      <c r="B22" s="35" t="s">
        <v>42</v>
      </c>
      <c r="C22" s="33"/>
      <c r="D22" s="33"/>
      <c r="E22" s="33"/>
      <c r="F22" s="33"/>
      <c r="G22" s="33"/>
      <c r="H22" s="33"/>
      <c r="I22" s="33"/>
      <c r="J22" s="33"/>
      <c r="K22" s="33"/>
      <c r="L22" s="33"/>
      <c r="M22" s="33"/>
      <c r="N22" s="33"/>
      <c r="O22" s="33"/>
      <c r="P22" s="33"/>
      <c r="Q22" s="33"/>
      <c r="R22" s="33"/>
      <c r="S22" s="33"/>
      <c r="T22" s="33"/>
      <c r="U22" s="33"/>
      <c r="V22" s="33"/>
      <c r="W22" s="33"/>
      <c r="X22" s="33"/>
      <c r="Y22" s="33"/>
      <c r="Z22" s="33"/>
      <c r="AA22" s="33">
        <f t="shared" si="0"/>
        <v>0</v>
      </c>
      <c r="AB22" s="53">
        <v>0</v>
      </c>
      <c r="AC22" s="33">
        <f t="shared" si="1"/>
        <v>0</v>
      </c>
      <c r="AD22" s="122"/>
    </row>
    <row r="23" spans="1:30" x14ac:dyDescent="0.35">
      <c r="A23" s="128">
        <v>47239</v>
      </c>
      <c r="B23" s="32" t="s">
        <v>39</v>
      </c>
      <c r="C23" s="33">
        <v>40000</v>
      </c>
      <c r="D23" s="33">
        <v>40000</v>
      </c>
      <c r="E23" s="33">
        <v>40000</v>
      </c>
      <c r="F23" s="33">
        <v>40000</v>
      </c>
      <c r="G23" s="33">
        <v>40000</v>
      </c>
      <c r="H23" s="33">
        <v>40000</v>
      </c>
      <c r="I23" s="33">
        <v>40000</v>
      </c>
      <c r="J23" s="33">
        <v>40000</v>
      </c>
      <c r="K23" s="33">
        <v>40000</v>
      </c>
      <c r="L23" s="33">
        <v>40000</v>
      </c>
      <c r="M23" s="33">
        <v>40000</v>
      </c>
      <c r="N23" s="33">
        <v>40000</v>
      </c>
      <c r="O23" s="33">
        <v>40000</v>
      </c>
      <c r="P23" s="33">
        <v>40000</v>
      </c>
      <c r="Q23" s="33">
        <v>40000</v>
      </c>
      <c r="R23" s="33">
        <v>40000</v>
      </c>
      <c r="S23" s="33">
        <v>40000</v>
      </c>
      <c r="T23" s="33">
        <v>40000</v>
      </c>
      <c r="U23" s="33">
        <v>40000</v>
      </c>
      <c r="V23" s="33">
        <v>40000</v>
      </c>
      <c r="W23" s="33">
        <v>40000</v>
      </c>
      <c r="X23" s="33">
        <v>40000</v>
      </c>
      <c r="Y23" s="33">
        <v>40000</v>
      </c>
      <c r="Z23" s="33">
        <v>40000</v>
      </c>
      <c r="AA23" s="33">
        <f t="shared" si="0"/>
        <v>960000</v>
      </c>
      <c r="AB23" s="53">
        <v>21</v>
      </c>
      <c r="AC23" s="33">
        <f t="shared" si="1"/>
        <v>20160000</v>
      </c>
      <c r="AD23" s="120">
        <f>+SUM(AC23:AC26)</f>
        <v>29760000</v>
      </c>
    </row>
    <row r="24" spans="1:30" x14ac:dyDescent="0.35">
      <c r="A24" s="129"/>
      <c r="B24" s="34" t="s">
        <v>40</v>
      </c>
      <c r="C24" s="33">
        <v>40000</v>
      </c>
      <c r="D24" s="33">
        <v>40000</v>
      </c>
      <c r="E24" s="33">
        <v>40000</v>
      </c>
      <c r="F24" s="33">
        <v>40000</v>
      </c>
      <c r="G24" s="33">
        <v>40000</v>
      </c>
      <c r="H24" s="33">
        <v>40000</v>
      </c>
      <c r="I24" s="33">
        <v>40000</v>
      </c>
      <c r="J24" s="33">
        <v>40000</v>
      </c>
      <c r="K24" s="33">
        <v>40000</v>
      </c>
      <c r="L24" s="33">
        <v>40000</v>
      </c>
      <c r="M24" s="33">
        <v>40000</v>
      </c>
      <c r="N24" s="33">
        <v>40000</v>
      </c>
      <c r="O24" s="33">
        <v>40000</v>
      </c>
      <c r="P24" s="33">
        <v>40000</v>
      </c>
      <c r="Q24" s="33">
        <v>40000</v>
      </c>
      <c r="R24" s="33">
        <v>40000</v>
      </c>
      <c r="S24" s="33">
        <v>40000</v>
      </c>
      <c r="T24" s="33">
        <v>40000</v>
      </c>
      <c r="U24" s="33">
        <v>40000</v>
      </c>
      <c r="V24" s="33">
        <v>40000</v>
      </c>
      <c r="W24" s="33">
        <v>40000</v>
      </c>
      <c r="X24" s="33">
        <v>40000</v>
      </c>
      <c r="Y24" s="33">
        <v>40000</v>
      </c>
      <c r="Z24" s="33">
        <v>40000</v>
      </c>
      <c r="AA24" s="33">
        <f t="shared" si="0"/>
        <v>960000</v>
      </c>
      <c r="AB24" s="53">
        <v>4</v>
      </c>
      <c r="AC24" s="33">
        <f t="shared" si="1"/>
        <v>3840000</v>
      </c>
      <c r="AD24" s="121"/>
    </row>
    <row r="25" spans="1:30" x14ac:dyDescent="0.35">
      <c r="A25" s="129"/>
      <c r="B25" s="34" t="s">
        <v>41</v>
      </c>
      <c r="C25" s="33">
        <v>40000</v>
      </c>
      <c r="D25" s="33">
        <v>40000</v>
      </c>
      <c r="E25" s="33">
        <v>40000</v>
      </c>
      <c r="F25" s="33">
        <v>40000</v>
      </c>
      <c r="G25" s="33">
        <v>40000</v>
      </c>
      <c r="H25" s="33">
        <v>40000</v>
      </c>
      <c r="I25" s="33">
        <v>40000</v>
      </c>
      <c r="J25" s="33">
        <v>40000</v>
      </c>
      <c r="K25" s="33">
        <v>40000</v>
      </c>
      <c r="L25" s="33">
        <v>40000</v>
      </c>
      <c r="M25" s="33">
        <v>40000</v>
      </c>
      <c r="N25" s="33">
        <v>40000</v>
      </c>
      <c r="O25" s="33">
        <v>40000</v>
      </c>
      <c r="P25" s="33">
        <v>40000</v>
      </c>
      <c r="Q25" s="33">
        <v>40000</v>
      </c>
      <c r="R25" s="33">
        <v>40000</v>
      </c>
      <c r="S25" s="33">
        <v>40000</v>
      </c>
      <c r="T25" s="33">
        <v>40000</v>
      </c>
      <c r="U25" s="33">
        <v>40000</v>
      </c>
      <c r="V25" s="33">
        <v>40000</v>
      </c>
      <c r="W25" s="33">
        <v>40000</v>
      </c>
      <c r="X25" s="33">
        <v>40000</v>
      </c>
      <c r="Y25" s="33">
        <v>40000</v>
      </c>
      <c r="Z25" s="33">
        <v>40000</v>
      </c>
      <c r="AA25" s="33">
        <f t="shared" si="0"/>
        <v>960000</v>
      </c>
      <c r="AB25" s="53">
        <v>4</v>
      </c>
      <c r="AC25" s="33">
        <f t="shared" si="1"/>
        <v>3840000</v>
      </c>
      <c r="AD25" s="121"/>
    </row>
    <row r="26" spans="1:30" x14ac:dyDescent="0.35">
      <c r="A26" s="130"/>
      <c r="B26" s="35" t="s">
        <v>42</v>
      </c>
      <c r="C26" s="33">
        <v>40000</v>
      </c>
      <c r="D26" s="33">
        <v>40000</v>
      </c>
      <c r="E26" s="33">
        <v>40000</v>
      </c>
      <c r="F26" s="33">
        <v>40000</v>
      </c>
      <c r="G26" s="33">
        <v>40000</v>
      </c>
      <c r="H26" s="33">
        <v>40000</v>
      </c>
      <c r="I26" s="33">
        <v>40000</v>
      </c>
      <c r="J26" s="33">
        <v>40000</v>
      </c>
      <c r="K26" s="33">
        <v>40000</v>
      </c>
      <c r="L26" s="33">
        <v>40000</v>
      </c>
      <c r="M26" s="33">
        <v>40000</v>
      </c>
      <c r="N26" s="33">
        <v>40000</v>
      </c>
      <c r="O26" s="33">
        <v>40000</v>
      </c>
      <c r="P26" s="33">
        <v>40000</v>
      </c>
      <c r="Q26" s="33">
        <v>40000</v>
      </c>
      <c r="R26" s="33">
        <v>40000</v>
      </c>
      <c r="S26" s="33">
        <v>40000</v>
      </c>
      <c r="T26" s="33">
        <v>40000</v>
      </c>
      <c r="U26" s="33">
        <v>40000</v>
      </c>
      <c r="V26" s="33">
        <v>40000</v>
      </c>
      <c r="W26" s="33">
        <v>40000</v>
      </c>
      <c r="X26" s="33">
        <v>40000</v>
      </c>
      <c r="Y26" s="33">
        <v>40000</v>
      </c>
      <c r="Z26" s="33">
        <v>40000</v>
      </c>
      <c r="AA26" s="33">
        <f t="shared" si="0"/>
        <v>960000</v>
      </c>
      <c r="AB26" s="53">
        <v>2</v>
      </c>
      <c r="AC26" s="33">
        <f t="shared" si="1"/>
        <v>1920000</v>
      </c>
      <c r="AD26" s="122"/>
    </row>
    <row r="27" spans="1:30" x14ac:dyDescent="0.35">
      <c r="A27" s="128">
        <v>47270</v>
      </c>
      <c r="B27" s="32" t="s">
        <v>39</v>
      </c>
      <c r="C27" s="33">
        <v>40000</v>
      </c>
      <c r="D27" s="33">
        <v>40000</v>
      </c>
      <c r="E27" s="33">
        <v>40000</v>
      </c>
      <c r="F27" s="33">
        <v>40000</v>
      </c>
      <c r="G27" s="33">
        <v>40000</v>
      </c>
      <c r="H27" s="33">
        <v>40000</v>
      </c>
      <c r="I27" s="33">
        <v>40000</v>
      </c>
      <c r="J27" s="33">
        <v>40000</v>
      </c>
      <c r="K27" s="33">
        <v>40000</v>
      </c>
      <c r="L27" s="33">
        <v>40000</v>
      </c>
      <c r="M27" s="33">
        <v>40000</v>
      </c>
      <c r="N27" s="33">
        <v>40000</v>
      </c>
      <c r="O27" s="33">
        <v>40000</v>
      </c>
      <c r="P27" s="33">
        <v>40000</v>
      </c>
      <c r="Q27" s="33">
        <v>40000</v>
      </c>
      <c r="R27" s="33">
        <v>40000</v>
      </c>
      <c r="S27" s="33">
        <v>40000</v>
      </c>
      <c r="T27" s="33">
        <v>40000</v>
      </c>
      <c r="U27" s="33">
        <v>40000</v>
      </c>
      <c r="V27" s="33">
        <v>40000</v>
      </c>
      <c r="W27" s="33">
        <v>40000</v>
      </c>
      <c r="X27" s="33">
        <v>40000</v>
      </c>
      <c r="Y27" s="33">
        <v>40000</v>
      </c>
      <c r="Z27" s="33">
        <v>40000</v>
      </c>
      <c r="AA27" s="33">
        <f t="shared" si="0"/>
        <v>960000</v>
      </c>
      <c r="AB27" s="53">
        <v>19</v>
      </c>
      <c r="AC27" s="33">
        <f t="shared" si="1"/>
        <v>18240000</v>
      </c>
      <c r="AD27" s="120">
        <f>+SUM(AC27:AC30)</f>
        <v>28800000</v>
      </c>
    </row>
    <row r="28" spans="1:30" x14ac:dyDescent="0.35">
      <c r="A28" s="129"/>
      <c r="B28" s="34" t="s">
        <v>40</v>
      </c>
      <c r="C28" s="33">
        <v>40000</v>
      </c>
      <c r="D28" s="33">
        <v>40000</v>
      </c>
      <c r="E28" s="33">
        <v>40000</v>
      </c>
      <c r="F28" s="33">
        <v>40000</v>
      </c>
      <c r="G28" s="33">
        <v>40000</v>
      </c>
      <c r="H28" s="33">
        <v>40000</v>
      </c>
      <c r="I28" s="33">
        <v>40000</v>
      </c>
      <c r="J28" s="33">
        <v>40000</v>
      </c>
      <c r="K28" s="33">
        <v>40000</v>
      </c>
      <c r="L28" s="33">
        <v>40000</v>
      </c>
      <c r="M28" s="33">
        <v>40000</v>
      </c>
      <c r="N28" s="33">
        <v>40000</v>
      </c>
      <c r="O28" s="33">
        <v>40000</v>
      </c>
      <c r="P28" s="33">
        <v>40000</v>
      </c>
      <c r="Q28" s="33">
        <v>40000</v>
      </c>
      <c r="R28" s="33">
        <v>40000</v>
      </c>
      <c r="S28" s="33">
        <v>40000</v>
      </c>
      <c r="T28" s="33">
        <v>40000</v>
      </c>
      <c r="U28" s="33">
        <v>40000</v>
      </c>
      <c r="V28" s="33">
        <v>40000</v>
      </c>
      <c r="W28" s="33">
        <v>40000</v>
      </c>
      <c r="X28" s="33">
        <v>40000</v>
      </c>
      <c r="Y28" s="33">
        <v>40000</v>
      </c>
      <c r="Z28" s="33">
        <v>40000</v>
      </c>
      <c r="AA28" s="33">
        <f t="shared" si="0"/>
        <v>960000</v>
      </c>
      <c r="AB28" s="53">
        <v>5</v>
      </c>
      <c r="AC28" s="33">
        <f t="shared" si="1"/>
        <v>4800000</v>
      </c>
      <c r="AD28" s="121"/>
    </row>
    <row r="29" spans="1:30" x14ac:dyDescent="0.35">
      <c r="A29" s="129"/>
      <c r="B29" s="34" t="s">
        <v>41</v>
      </c>
      <c r="C29" s="33">
        <v>40000</v>
      </c>
      <c r="D29" s="33">
        <v>40000</v>
      </c>
      <c r="E29" s="33">
        <v>40000</v>
      </c>
      <c r="F29" s="33">
        <v>40000</v>
      </c>
      <c r="G29" s="33">
        <v>40000</v>
      </c>
      <c r="H29" s="33">
        <v>40000</v>
      </c>
      <c r="I29" s="33">
        <v>40000</v>
      </c>
      <c r="J29" s="33">
        <v>40000</v>
      </c>
      <c r="K29" s="33">
        <v>40000</v>
      </c>
      <c r="L29" s="33">
        <v>40000</v>
      </c>
      <c r="M29" s="33">
        <v>40000</v>
      </c>
      <c r="N29" s="33">
        <v>40000</v>
      </c>
      <c r="O29" s="33">
        <v>40000</v>
      </c>
      <c r="P29" s="33">
        <v>40000</v>
      </c>
      <c r="Q29" s="33">
        <v>40000</v>
      </c>
      <c r="R29" s="33">
        <v>40000</v>
      </c>
      <c r="S29" s="33">
        <v>40000</v>
      </c>
      <c r="T29" s="33">
        <v>40000</v>
      </c>
      <c r="U29" s="33">
        <v>40000</v>
      </c>
      <c r="V29" s="33">
        <v>40000</v>
      </c>
      <c r="W29" s="33">
        <v>40000</v>
      </c>
      <c r="X29" s="33">
        <v>40000</v>
      </c>
      <c r="Y29" s="33">
        <v>40000</v>
      </c>
      <c r="Z29" s="33">
        <v>40000</v>
      </c>
      <c r="AA29" s="33">
        <f t="shared" si="0"/>
        <v>960000</v>
      </c>
      <c r="AB29" s="53">
        <v>4</v>
      </c>
      <c r="AC29" s="33">
        <f t="shared" si="1"/>
        <v>3840000</v>
      </c>
      <c r="AD29" s="121"/>
    </row>
    <row r="30" spans="1:30" x14ac:dyDescent="0.35">
      <c r="A30" s="130"/>
      <c r="B30" s="35" t="s">
        <v>42</v>
      </c>
      <c r="C30" s="33">
        <v>40000</v>
      </c>
      <c r="D30" s="33">
        <v>40000</v>
      </c>
      <c r="E30" s="33">
        <v>40000</v>
      </c>
      <c r="F30" s="33">
        <v>40000</v>
      </c>
      <c r="G30" s="33">
        <v>40000</v>
      </c>
      <c r="H30" s="33">
        <v>40000</v>
      </c>
      <c r="I30" s="33">
        <v>40000</v>
      </c>
      <c r="J30" s="33">
        <v>40000</v>
      </c>
      <c r="K30" s="33">
        <v>40000</v>
      </c>
      <c r="L30" s="33">
        <v>40000</v>
      </c>
      <c r="M30" s="33">
        <v>40000</v>
      </c>
      <c r="N30" s="33">
        <v>40000</v>
      </c>
      <c r="O30" s="33">
        <v>40000</v>
      </c>
      <c r="P30" s="33">
        <v>40000</v>
      </c>
      <c r="Q30" s="33">
        <v>40000</v>
      </c>
      <c r="R30" s="33">
        <v>40000</v>
      </c>
      <c r="S30" s="33">
        <v>40000</v>
      </c>
      <c r="T30" s="33">
        <v>40000</v>
      </c>
      <c r="U30" s="33">
        <v>40000</v>
      </c>
      <c r="V30" s="33">
        <v>40000</v>
      </c>
      <c r="W30" s="33">
        <v>40000</v>
      </c>
      <c r="X30" s="33">
        <v>40000</v>
      </c>
      <c r="Y30" s="33">
        <v>40000</v>
      </c>
      <c r="Z30" s="33">
        <v>40000</v>
      </c>
      <c r="AA30" s="33">
        <f t="shared" si="0"/>
        <v>960000</v>
      </c>
      <c r="AB30" s="53">
        <v>2</v>
      </c>
      <c r="AC30" s="33">
        <f t="shared" si="1"/>
        <v>1920000</v>
      </c>
      <c r="AD30" s="122"/>
    </row>
    <row r="31" spans="1:30" x14ac:dyDescent="0.35">
      <c r="A31" s="128">
        <v>47300</v>
      </c>
      <c r="B31" s="32" t="s">
        <v>39</v>
      </c>
      <c r="C31" s="33">
        <v>40000</v>
      </c>
      <c r="D31" s="33">
        <v>40000</v>
      </c>
      <c r="E31" s="33">
        <v>40000</v>
      </c>
      <c r="F31" s="33">
        <v>40000</v>
      </c>
      <c r="G31" s="33">
        <v>40000</v>
      </c>
      <c r="H31" s="33">
        <v>40000</v>
      </c>
      <c r="I31" s="33">
        <v>40000</v>
      </c>
      <c r="J31" s="33">
        <v>40000</v>
      </c>
      <c r="K31" s="33">
        <v>40000</v>
      </c>
      <c r="L31" s="33">
        <v>40000</v>
      </c>
      <c r="M31" s="33">
        <v>40000</v>
      </c>
      <c r="N31" s="33">
        <v>40000</v>
      </c>
      <c r="O31" s="33">
        <v>40000</v>
      </c>
      <c r="P31" s="33">
        <v>40000</v>
      </c>
      <c r="Q31" s="33">
        <v>40000</v>
      </c>
      <c r="R31" s="33">
        <v>40000</v>
      </c>
      <c r="S31" s="33">
        <v>40000</v>
      </c>
      <c r="T31" s="33">
        <v>40000</v>
      </c>
      <c r="U31" s="33">
        <v>40000</v>
      </c>
      <c r="V31" s="33">
        <v>40000</v>
      </c>
      <c r="W31" s="33">
        <v>40000</v>
      </c>
      <c r="X31" s="33">
        <v>40000</v>
      </c>
      <c r="Y31" s="33">
        <v>40000</v>
      </c>
      <c r="Z31" s="33">
        <v>40000</v>
      </c>
      <c r="AA31" s="33">
        <f t="shared" si="0"/>
        <v>960000</v>
      </c>
      <c r="AB31" s="53">
        <v>20</v>
      </c>
      <c r="AC31" s="33">
        <f t="shared" si="1"/>
        <v>19200000</v>
      </c>
      <c r="AD31" s="120">
        <f>+SUM(AC31:AC34)</f>
        <v>29760000</v>
      </c>
    </row>
    <row r="32" spans="1:30" x14ac:dyDescent="0.35">
      <c r="A32" s="129"/>
      <c r="B32" s="34" t="s">
        <v>40</v>
      </c>
      <c r="C32" s="33">
        <v>40000</v>
      </c>
      <c r="D32" s="33">
        <v>40000</v>
      </c>
      <c r="E32" s="33">
        <v>40000</v>
      </c>
      <c r="F32" s="33">
        <v>40000</v>
      </c>
      <c r="G32" s="33">
        <v>40000</v>
      </c>
      <c r="H32" s="33">
        <v>40000</v>
      </c>
      <c r="I32" s="33">
        <v>40000</v>
      </c>
      <c r="J32" s="33">
        <v>40000</v>
      </c>
      <c r="K32" s="33">
        <v>40000</v>
      </c>
      <c r="L32" s="33">
        <v>40000</v>
      </c>
      <c r="M32" s="33">
        <v>40000</v>
      </c>
      <c r="N32" s="33">
        <v>40000</v>
      </c>
      <c r="O32" s="33">
        <v>40000</v>
      </c>
      <c r="P32" s="33">
        <v>40000</v>
      </c>
      <c r="Q32" s="33">
        <v>40000</v>
      </c>
      <c r="R32" s="33">
        <v>40000</v>
      </c>
      <c r="S32" s="33">
        <v>40000</v>
      </c>
      <c r="T32" s="33">
        <v>40000</v>
      </c>
      <c r="U32" s="33">
        <v>40000</v>
      </c>
      <c r="V32" s="33">
        <v>40000</v>
      </c>
      <c r="W32" s="33">
        <v>40000</v>
      </c>
      <c r="X32" s="33">
        <v>40000</v>
      </c>
      <c r="Y32" s="33">
        <v>40000</v>
      </c>
      <c r="Z32" s="33">
        <v>40000</v>
      </c>
      <c r="AA32" s="33">
        <f t="shared" si="0"/>
        <v>960000</v>
      </c>
      <c r="AB32" s="53">
        <v>4</v>
      </c>
      <c r="AC32" s="33">
        <f t="shared" si="1"/>
        <v>3840000</v>
      </c>
      <c r="AD32" s="121"/>
    </row>
    <row r="33" spans="1:30" x14ac:dyDescent="0.35">
      <c r="A33" s="129"/>
      <c r="B33" s="34" t="s">
        <v>41</v>
      </c>
      <c r="C33" s="33">
        <v>40000</v>
      </c>
      <c r="D33" s="33">
        <v>40000</v>
      </c>
      <c r="E33" s="33">
        <v>40000</v>
      </c>
      <c r="F33" s="33">
        <v>40000</v>
      </c>
      <c r="G33" s="33">
        <v>40000</v>
      </c>
      <c r="H33" s="33">
        <v>40000</v>
      </c>
      <c r="I33" s="33">
        <v>40000</v>
      </c>
      <c r="J33" s="33">
        <v>40000</v>
      </c>
      <c r="K33" s="33">
        <v>40000</v>
      </c>
      <c r="L33" s="33">
        <v>40000</v>
      </c>
      <c r="M33" s="33">
        <v>40000</v>
      </c>
      <c r="N33" s="33">
        <v>40000</v>
      </c>
      <c r="O33" s="33">
        <v>40000</v>
      </c>
      <c r="P33" s="33">
        <v>40000</v>
      </c>
      <c r="Q33" s="33">
        <v>40000</v>
      </c>
      <c r="R33" s="33">
        <v>40000</v>
      </c>
      <c r="S33" s="33">
        <v>40000</v>
      </c>
      <c r="T33" s="33">
        <v>40000</v>
      </c>
      <c r="U33" s="33">
        <v>40000</v>
      </c>
      <c r="V33" s="33">
        <v>40000</v>
      </c>
      <c r="W33" s="33">
        <v>40000</v>
      </c>
      <c r="X33" s="33">
        <v>40000</v>
      </c>
      <c r="Y33" s="33">
        <v>40000</v>
      </c>
      <c r="Z33" s="33">
        <v>40000</v>
      </c>
      <c r="AA33" s="33">
        <f t="shared" si="0"/>
        <v>960000</v>
      </c>
      <c r="AB33" s="53">
        <v>5</v>
      </c>
      <c r="AC33" s="33">
        <f t="shared" si="1"/>
        <v>4800000</v>
      </c>
      <c r="AD33" s="121"/>
    </row>
    <row r="34" spans="1:30" x14ac:dyDescent="0.35">
      <c r="A34" s="130"/>
      <c r="B34" s="35" t="s">
        <v>42</v>
      </c>
      <c r="C34" s="33">
        <v>40000</v>
      </c>
      <c r="D34" s="33">
        <v>40000</v>
      </c>
      <c r="E34" s="33">
        <v>40000</v>
      </c>
      <c r="F34" s="33">
        <v>40000</v>
      </c>
      <c r="G34" s="33">
        <v>40000</v>
      </c>
      <c r="H34" s="33">
        <v>40000</v>
      </c>
      <c r="I34" s="33">
        <v>40000</v>
      </c>
      <c r="J34" s="33">
        <v>40000</v>
      </c>
      <c r="K34" s="33">
        <v>40000</v>
      </c>
      <c r="L34" s="33">
        <v>40000</v>
      </c>
      <c r="M34" s="33">
        <v>40000</v>
      </c>
      <c r="N34" s="33">
        <v>40000</v>
      </c>
      <c r="O34" s="33">
        <v>40000</v>
      </c>
      <c r="P34" s="33">
        <v>40000</v>
      </c>
      <c r="Q34" s="33">
        <v>40000</v>
      </c>
      <c r="R34" s="33">
        <v>40000</v>
      </c>
      <c r="S34" s="33">
        <v>40000</v>
      </c>
      <c r="T34" s="33">
        <v>40000</v>
      </c>
      <c r="U34" s="33">
        <v>40000</v>
      </c>
      <c r="V34" s="33">
        <v>40000</v>
      </c>
      <c r="W34" s="33">
        <v>40000</v>
      </c>
      <c r="X34" s="33">
        <v>40000</v>
      </c>
      <c r="Y34" s="33">
        <v>40000</v>
      </c>
      <c r="Z34" s="33">
        <v>40000</v>
      </c>
      <c r="AA34" s="33">
        <f t="shared" si="0"/>
        <v>960000</v>
      </c>
      <c r="AB34" s="53">
        <v>2</v>
      </c>
      <c r="AC34" s="33">
        <f>+AA34*AB34</f>
        <v>1920000</v>
      </c>
      <c r="AD34" s="122"/>
    </row>
    <row r="35" spans="1:30" x14ac:dyDescent="0.35">
      <c r="A35" s="128">
        <v>47331</v>
      </c>
      <c r="B35" s="32" t="s">
        <v>39</v>
      </c>
      <c r="C35" s="33">
        <v>40000</v>
      </c>
      <c r="D35" s="33">
        <v>40000</v>
      </c>
      <c r="E35" s="33">
        <v>40000</v>
      </c>
      <c r="F35" s="33">
        <v>40000</v>
      </c>
      <c r="G35" s="33">
        <v>40000</v>
      </c>
      <c r="H35" s="33">
        <v>40000</v>
      </c>
      <c r="I35" s="33">
        <v>40000</v>
      </c>
      <c r="J35" s="33">
        <v>40000</v>
      </c>
      <c r="K35" s="33">
        <v>40000</v>
      </c>
      <c r="L35" s="33">
        <v>40000</v>
      </c>
      <c r="M35" s="33">
        <v>40000</v>
      </c>
      <c r="N35" s="33">
        <v>40000</v>
      </c>
      <c r="O35" s="33">
        <v>40000</v>
      </c>
      <c r="P35" s="33">
        <v>40000</v>
      </c>
      <c r="Q35" s="33">
        <v>40000</v>
      </c>
      <c r="R35" s="33">
        <v>40000</v>
      </c>
      <c r="S35" s="33">
        <v>40000</v>
      </c>
      <c r="T35" s="33">
        <v>40000</v>
      </c>
      <c r="U35" s="33">
        <v>40000</v>
      </c>
      <c r="V35" s="33">
        <v>40000</v>
      </c>
      <c r="W35" s="33">
        <v>40000</v>
      </c>
      <c r="X35" s="33">
        <v>40000</v>
      </c>
      <c r="Y35" s="33">
        <v>40000</v>
      </c>
      <c r="Z35" s="33">
        <v>40000</v>
      </c>
      <c r="AA35" s="33">
        <f t="shared" si="0"/>
        <v>960000</v>
      </c>
      <c r="AB35" s="53">
        <v>21</v>
      </c>
      <c r="AC35" s="33">
        <f t="shared" si="1"/>
        <v>20160000</v>
      </c>
      <c r="AD35" s="120">
        <f>+SUM(AC35:AC38)</f>
        <v>29760000</v>
      </c>
    </row>
    <row r="36" spans="1:30" x14ac:dyDescent="0.35">
      <c r="A36" s="129"/>
      <c r="B36" s="34" t="s">
        <v>40</v>
      </c>
      <c r="C36" s="33">
        <v>40000</v>
      </c>
      <c r="D36" s="33">
        <v>40000</v>
      </c>
      <c r="E36" s="33">
        <v>40000</v>
      </c>
      <c r="F36" s="33">
        <v>40000</v>
      </c>
      <c r="G36" s="33">
        <v>40000</v>
      </c>
      <c r="H36" s="33">
        <v>40000</v>
      </c>
      <c r="I36" s="33">
        <v>40000</v>
      </c>
      <c r="J36" s="33">
        <v>40000</v>
      </c>
      <c r="K36" s="33">
        <v>40000</v>
      </c>
      <c r="L36" s="33">
        <v>40000</v>
      </c>
      <c r="M36" s="33">
        <v>40000</v>
      </c>
      <c r="N36" s="33">
        <v>40000</v>
      </c>
      <c r="O36" s="33">
        <v>40000</v>
      </c>
      <c r="P36" s="33">
        <v>40000</v>
      </c>
      <c r="Q36" s="33">
        <v>40000</v>
      </c>
      <c r="R36" s="33">
        <v>40000</v>
      </c>
      <c r="S36" s="33">
        <v>40000</v>
      </c>
      <c r="T36" s="33">
        <v>40000</v>
      </c>
      <c r="U36" s="33">
        <v>40000</v>
      </c>
      <c r="V36" s="33">
        <v>40000</v>
      </c>
      <c r="W36" s="33">
        <v>40000</v>
      </c>
      <c r="X36" s="33">
        <v>40000</v>
      </c>
      <c r="Y36" s="33">
        <v>40000</v>
      </c>
      <c r="Z36" s="33">
        <v>40000</v>
      </c>
      <c r="AA36" s="33">
        <f t="shared" si="0"/>
        <v>960000</v>
      </c>
      <c r="AB36" s="53">
        <v>4</v>
      </c>
      <c r="AC36" s="33">
        <f t="shared" si="1"/>
        <v>3840000</v>
      </c>
      <c r="AD36" s="121"/>
    </row>
    <row r="37" spans="1:30" x14ac:dyDescent="0.35">
      <c r="A37" s="129"/>
      <c r="B37" s="34" t="s">
        <v>41</v>
      </c>
      <c r="C37" s="33">
        <v>40000</v>
      </c>
      <c r="D37" s="33">
        <v>40000</v>
      </c>
      <c r="E37" s="33">
        <v>40000</v>
      </c>
      <c r="F37" s="33">
        <v>40000</v>
      </c>
      <c r="G37" s="33">
        <v>40000</v>
      </c>
      <c r="H37" s="33">
        <v>40000</v>
      </c>
      <c r="I37" s="33">
        <v>40000</v>
      </c>
      <c r="J37" s="33">
        <v>40000</v>
      </c>
      <c r="K37" s="33">
        <v>40000</v>
      </c>
      <c r="L37" s="33">
        <v>40000</v>
      </c>
      <c r="M37" s="33">
        <v>40000</v>
      </c>
      <c r="N37" s="33">
        <v>40000</v>
      </c>
      <c r="O37" s="33">
        <v>40000</v>
      </c>
      <c r="P37" s="33">
        <v>40000</v>
      </c>
      <c r="Q37" s="33">
        <v>40000</v>
      </c>
      <c r="R37" s="33">
        <v>40000</v>
      </c>
      <c r="S37" s="33">
        <v>40000</v>
      </c>
      <c r="T37" s="33">
        <v>40000</v>
      </c>
      <c r="U37" s="33">
        <v>40000</v>
      </c>
      <c r="V37" s="33">
        <v>40000</v>
      </c>
      <c r="W37" s="33">
        <v>40000</v>
      </c>
      <c r="X37" s="33">
        <v>40000</v>
      </c>
      <c r="Y37" s="33">
        <v>40000</v>
      </c>
      <c r="Z37" s="33">
        <v>40000</v>
      </c>
      <c r="AA37" s="33">
        <f t="shared" si="0"/>
        <v>960000</v>
      </c>
      <c r="AB37" s="53">
        <v>4</v>
      </c>
      <c r="AC37" s="33">
        <f t="shared" si="1"/>
        <v>3840000</v>
      </c>
      <c r="AD37" s="121"/>
    </row>
    <row r="38" spans="1:30" x14ac:dyDescent="0.35">
      <c r="A38" s="130"/>
      <c r="B38" s="35" t="s">
        <v>42</v>
      </c>
      <c r="C38" s="33">
        <v>40000</v>
      </c>
      <c r="D38" s="33">
        <v>40000</v>
      </c>
      <c r="E38" s="33">
        <v>40000</v>
      </c>
      <c r="F38" s="33">
        <v>40000</v>
      </c>
      <c r="G38" s="33">
        <v>40000</v>
      </c>
      <c r="H38" s="33">
        <v>40000</v>
      </c>
      <c r="I38" s="33">
        <v>40000</v>
      </c>
      <c r="J38" s="33">
        <v>40000</v>
      </c>
      <c r="K38" s="33">
        <v>40000</v>
      </c>
      <c r="L38" s="33">
        <v>40000</v>
      </c>
      <c r="M38" s="33">
        <v>40000</v>
      </c>
      <c r="N38" s="33">
        <v>40000</v>
      </c>
      <c r="O38" s="33">
        <v>40000</v>
      </c>
      <c r="P38" s="33">
        <v>40000</v>
      </c>
      <c r="Q38" s="33">
        <v>40000</v>
      </c>
      <c r="R38" s="33">
        <v>40000</v>
      </c>
      <c r="S38" s="33">
        <v>40000</v>
      </c>
      <c r="T38" s="33">
        <v>40000</v>
      </c>
      <c r="U38" s="33">
        <v>40000</v>
      </c>
      <c r="V38" s="33">
        <v>40000</v>
      </c>
      <c r="W38" s="33">
        <v>40000</v>
      </c>
      <c r="X38" s="33">
        <v>40000</v>
      </c>
      <c r="Y38" s="33">
        <v>40000</v>
      </c>
      <c r="Z38" s="33">
        <v>40000</v>
      </c>
      <c r="AA38" s="33">
        <f t="shared" si="0"/>
        <v>960000</v>
      </c>
      <c r="AB38" s="53">
        <v>2</v>
      </c>
      <c r="AC38" s="33">
        <f t="shared" si="1"/>
        <v>1920000</v>
      </c>
      <c r="AD38" s="122"/>
    </row>
    <row r="39" spans="1:30" x14ac:dyDescent="0.35">
      <c r="A39" s="128">
        <v>47362</v>
      </c>
      <c r="B39" s="32" t="s">
        <v>39</v>
      </c>
      <c r="C39" s="33">
        <v>40000</v>
      </c>
      <c r="D39" s="33">
        <v>40000</v>
      </c>
      <c r="E39" s="33">
        <v>40000</v>
      </c>
      <c r="F39" s="33">
        <v>40000</v>
      </c>
      <c r="G39" s="33">
        <v>40000</v>
      </c>
      <c r="H39" s="33">
        <v>40000</v>
      </c>
      <c r="I39" s="33">
        <v>40000</v>
      </c>
      <c r="J39" s="33">
        <v>40000</v>
      </c>
      <c r="K39" s="33">
        <v>40000</v>
      </c>
      <c r="L39" s="33">
        <v>40000</v>
      </c>
      <c r="M39" s="33">
        <v>40000</v>
      </c>
      <c r="N39" s="33">
        <v>40000</v>
      </c>
      <c r="O39" s="33">
        <v>40000</v>
      </c>
      <c r="P39" s="33">
        <v>40000</v>
      </c>
      <c r="Q39" s="33">
        <v>40000</v>
      </c>
      <c r="R39" s="33">
        <v>40000</v>
      </c>
      <c r="S39" s="33">
        <v>40000</v>
      </c>
      <c r="T39" s="33">
        <v>40000</v>
      </c>
      <c r="U39" s="33">
        <v>40000</v>
      </c>
      <c r="V39" s="33">
        <v>40000</v>
      </c>
      <c r="W39" s="33">
        <v>40000</v>
      </c>
      <c r="X39" s="33">
        <v>40000</v>
      </c>
      <c r="Y39" s="33">
        <v>40000</v>
      </c>
      <c r="Z39" s="33">
        <v>40000</v>
      </c>
      <c r="AA39" s="33">
        <f t="shared" si="0"/>
        <v>960000</v>
      </c>
      <c r="AB39" s="53">
        <v>20</v>
      </c>
      <c r="AC39" s="33">
        <f t="shared" si="1"/>
        <v>19200000</v>
      </c>
      <c r="AD39" s="120">
        <f>+SUM(AC39:AC42)</f>
        <v>28800000</v>
      </c>
    </row>
    <row r="40" spans="1:30" x14ac:dyDescent="0.35">
      <c r="A40" s="129"/>
      <c r="B40" s="34" t="s">
        <v>40</v>
      </c>
      <c r="C40" s="33">
        <v>40000</v>
      </c>
      <c r="D40" s="33">
        <v>40000</v>
      </c>
      <c r="E40" s="33">
        <v>40000</v>
      </c>
      <c r="F40" s="33">
        <v>40000</v>
      </c>
      <c r="G40" s="33">
        <v>40000</v>
      </c>
      <c r="H40" s="33">
        <v>40000</v>
      </c>
      <c r="I40" s="33">
        <v>40000</v>
      </c>
      <c r="J40" s="33">
        <v>40000</v>
      </c>
      <c r="K40" s="33">
        <v>40000</v>
      </c>
      <c r="L40" s="33">
        <v>40000</v>
      </c>
      <c r="M40" s="33">
        <v>40000</v>
      </c>
      <c r="N40" s="33">
        <v>40000</v>
      </c>
      <c r="O40" s="33">
        <v>40000</v>
      </c>
      <c r="P40" s="33">
        <v>40000</v>
      </c>
      <c r="Q40" s="33">
        <v>40000</v>
      </c>
      <c r="R40" s="33">
        <v>40000</v>
      </c>
      <c r="S40" s="33">
        <v>40000</v>
      </c>
      <c r="T40" s="33">
        <v>40000</v>
      </c>
      <c r="U40" s="33">
        <v>40000</v>
      </c>
      <c r="V40" s="33">
        <v>40000</v>
      </c>
      <c r="W40" s="33">
        <v>40000</v>
      </c>
      <c r="X40" s="33">
        <v>40000</v>
      </c>
      <c r="Y40" s="33">
        <v>40000</v>
      </c>
      <c r="Z40" s="33">
        <v>40000</v>
      </c>
      <c r="AA40" s="33">
        <f t="shared" si="0"/>
        <v>960000</v>
      </c>
      <c r="AB40" s="53">
        <v>5</v>
      </c>
      <c r="AC40" s="33">
        <f t="shared" si="1"/>
        <v>4800000</v>
      </c>
      <c r="AD40" s="121"/>
    </row>
    <row r="41" spans="1:30" x14ac:dyDescent="0.35">
      <c r="A41" s="129"/>
      <c r="B41" s="34" t="s">
        <v>41</v>
      </c>
      <c r="C41" s="33">
        <v>40000</v>
      </c>
      <c r="D41" s="33">
        <v>40000</v>
      </c>
      <c r="E41" s="33">
        <v>40000</v>
      </c>
      <c r="F41" s="33">
        <v>40000</v>
      </c>
      <c r="G41" s="33">
        <v>40000</v>
      </c>
      <c r="H41" s="33">
        <v>40000</v>
      </c>
      <c r="I41" s="33">
        <v>40000</v>
      </c>
      <c r="J41" s="33">
        <v>40000</v>
      </c>
      <c r="K41" s="33">
        <v>40000</v>
      </c>
      <c r="L41" s="33">
        <v>40000</v>
      </c>
      <c r="M41" s="33">
        <v>40000</v>
      </c>
      <c r="N41" s="33">
        <v>40000</v>
      </c>
      <c r="O41" s="33">
        <v>40000</v>
      </c>
      <c r="P41" s="33">
        <v>40000</v>
      </c>
      <c r="Q41" s="33">
        <v>40000</v>
      </c>
      <c r="R41" s="33">
        <v>40000</v>
      </c>
      <c r="S41" s="33">
        <v>40000</v>
      </c>
      <c r="T41" s="33">
        <v>40000</v>
      </c>
      <c r="U41" s="33">
        <v>40000</v>
      </c>
      <c r="V41" s="33">
        <v>40000</v>
      </c>
      <c r="W41" s="33">
        <v>40000</v>
      </c>
      <c r="X41" s="33">
        <v>40000</v>
      </c>
      <c r="Y41" s="33">
        <v>40000</v>
      </c>
      <c r="Z41" s="33">
        <v>40000</v>
      </c>
      <c r="AA41" s="33">
        <f t="shared" si="0"/>
        <v>960000</v>
      </c>
      <c r="AB41" s="53">
        <v>5</v>
      </c>
      <c r="AC41" s="33">
        <f t="shared" si="1"/>
        <v>4800000</v>
      </c>
      <c r="AD41" s="121"/>
    </row>
    <row r="42" spans="1:30" x14ac:dyDescent="0.35">
      <c r="A42" s="130"/>
      <c r="B42" s="35" t="s">
        <v>42</v>
      </c>
      <c r="C42" s="33"/>
      <c r="D42" s="33"/>
      <c r="E42" s="33"/>
      <c r="F42" s="33"/>
      <c r="G42" s="33"/>
      <c r="H42" s="33"/>
      <c r="I42" s="33"/>
      <c r="J42" s="33"/>
      <c r="K42" s="33"/>
      <c r="L42" s="33"/>
      <c r="M42" s="33"/>
      <c r="N42" s="33"/>
      <c r="O42" s="33"/>
      <c r="P42" s="33"/>
      <c r="Q42" s="33"/>
      <c r="R42" s="33"/>
      <c r="S42" s="33"/>
      <c r="T42" s="33"/>
      <c r="U42" s="33"/>
      <c r="V42" s="33"/>
      <c r="W42" s="33"/>
      <c r="X42" s="33"/>
      <c r="Y42" s="33"/>
      <c r="Z42" s="33"/>
      <c r="AA42" s="33">
        <f t="shared" si="0"/>
        <v>0</v>
      </c>
      <c r="AB42" s="53">
        <v>0</v>
      </c>
      <c r="AC42" s="33">
        <f t="shared" si="1"/>
        <v>0</v>
      </c>
      <c r="AD42" s="122"/>
    </row>
    <row r="43" spans="1:30" x14ac:dyDescent="0.35">
      <c r="A43" s="128">
        <v>47392</v>
      </c>
      <c r="B43" s="32" t="s">
        <v>39</v>
      </c>
      <c r="C43" s="33">
        <v>40000</v>
      </c>
      <c r="D43" s="33">
        <v>40000</v>
      </c>
      <c r="E43" s="33">
        <v>40000</v>
      </c>
      <c r="F43" s="33">
        <v>40000</v>
      </c>
      <c r="G43" s="33">
        <v>40000</v>
      </c>
      <c r="H43" s="33">
        <v>40000</v>
      </c>
      <c r="I43" s="33">
        <v>40000</v>
      </c>
      <c r="J43" s="33">
        <v>40000</v>
      </c>
      <c r="K43" s="33">
        <v>40000</v>
      </c>
      <c r="L43" s="33">
        <v>40000</v>
      </c>
      <c r="M43" s="33">
        <v>40000</v>
      </c>
      <c r="N43" s="33">
        <v>40000</v>
      </c>
      <c r="O43" s="33">
        <v>40000</v>
      </c>
      <c r="P43" s="33">
        <v>40000</v>
      </c>
      <c r="Q43" s="33">
        <v>40000</v>
      </c>
      <c r="R43" s="33">
        <v>40000</v>
      </c>
      <c r="S43" s="33">
        <v>40000</v>
      </c>
      <c r="T43" s="33">
        <v>40000</v>
      </c>
      <c r="U43" s="33">
        <v>40000</v>
      </c>
      <c r="V43" s="33">
        <v>40000</v>
      </c>
      <c r="W43" s="33">
        <v>40000</v>
      </c>
      <c r="X43" s="33">
        <v>40000</v>
      </c>
      <c r="Y43" s="33">
        <v>40000</v>
      </c>
      <c r="Z43" s="33">
        <v>40000</v>
      </c>
      <c r="AA43" s="33">
        <f t="shared" si="0"/>
        <v>960000</v>
      </c>
      <c r="AB43" s="53">
        <v>22</v>
      </c>
      <c r="AC43" s="33">
        <f t="shared" si="1"/>
        <v>21120000</v>
      </c>
      <c r="AD43" s="120">
        <f>+SUM(AC43:AC46)</f>
        <v>29760000</v>
      </c>
    </row>
    <row r="44" spans="1:30" x14ac:dyDescent="0.35">
      <c r="A44" s="129"/>
      <c r="B44" s="34" t="s">
        <v>40</v>
      </c>
      <c r="C44" s="33">
        <v>40000</v>
      </c>
      <c r="D44" s="33">
        <v>40000</v>
      </c>
      <c r="E44" s="33">
        <v>40000</v>
      </c>
      <c r="F44" s="33">
        <v>40000</v>
      </c>
      <c r="G44" s="33">
        <v>40000</v>
      </c>
      <c r="H44" s="33">
        <v>40000</v>
      </c>
      <c r="I44" s="33">
        <v>40000</v>
      </c>
      <c r="J44" s="33">
        <v>40000</v>
      </c>
      <c r="K44" s="33">
        <v>40000</v>
      </c>
      <c r="L44" s="33">
        <v>40000</v>
      </c>
      <c r="M44" s="33">
        <v>40000</v>
      </c>
      <c r="N44" s="33">
        <v>40000</v>
      </c>
      <c r="O44" s="33">
        <v>40000</v>
      </c>
      <c r="P44" s="33">
        <v>40000</v>
      </c>
      <c r="Q44" s="33">
        <v>40000</v>
      </c>
      <c r="R44" s="33">
        <v>40000</v>
      </c>
      <c r="S44" s="33">
        <v>40000</v>
      </c>
      <c r="T44" s="33">
        <v>40000</v>
      </c>
      <c r="U44" s="33">
        <v>40000</v>
      </c>
      <c r="V44" s="33">
        <v>40000</v>
      </c>
      <c r="W44" s="33">
        <v>40000</v>
      </c>
      <c r="X44" s="33">
        <v>40000</v>
      </c>
      <c r="Y44" s="33">
        <v>40000</v>
      </c>
      <c r="Z44" s="33">
        <v>40000</v>
      </c>
      <c r="AA44" s="33">
        <f t="shared" si="0"/>
        <v>960000</v>
      </c>
      <c r="AB44" s="53">
        <v>4</v>
      </c>
      <c r="AC44" s="33">
        <f t="shared" si="1"/>
        <v>3840000</v>
      </c>
      <c r="AD44" s="121"/>
    </row>
    <row r="45" spans="1:30" x14ac:dyDescent="0.35">
      <c r="A45" s="129"/>
      <c r="B45" s="34" t="s">
        <v>41</v>
      </c>
      <c r="C45" s="33">
        <v>40000</v>
      </c>
      <c r="D45" s="33">
        <v>40000</v>
      </c>
      <c r="E45" s="33">
        <v>40000</v>
      </c>
      <c r="F45" s="33">
        <v>40000</v>
      </c>
      <c r="G45" s="33">
        <v>40000</v>
      </c>
      <c r="H45" s="33">
        <v>40000</v>
      </c>
      <c r="I45" s="33">
        <v>40000</v>
      </c>
      <c r="J45" s="33">
        <v>40000</v>
      </c>
      <c r="K45" s="33">
        <v>40000</v>
      </c>
      <c r="L45" s="33">
        <v>40000</v>
      </c>
      <c r="M45" s="33">
        <v>40000</v>
      </c>
      <c r="N45" s="33">
        <v>40000</v>
      </c>
      <c r="O45" s="33">
        <v>40000</v>
      </c>
      <c r="P45" s="33">
        <v>40000</v>
      </c>
      <c r="Q45" s="33">
        <v>40000</v>
      </c>
      <c r="R45" s="33">
        <v>40000</v>
      </c>
      <c r="S45" s="33">
        <v>40000</v>
      </c>
      <c r="T45" s="33">
        <v>40000</v>
      </c>
      <c r="U45" s="33">
        <v>40000</v>
      </c>
      <c r="V45" s="33">
        <v>40000</v>
      </c>
      <c r="W45" s="33">
        <v>40000</v>
      </c>
      <c r="X45" s="33">
        <v>40000</v>
      </c>
      <c r="Y45" s="33">
        <v>40000</v>
      </c>
      <c r="Z45" s="33">
        <v>40000</v>
      </c>
      <c r="AA45" s="33">
        <f t="shared" si="0"/>
        <v>960000</v>
      </c>
      <c r="AB45" s="53">
        <v>4</v>
      </c>
      <c r="AC45" s="33">
        <f t="shared" si="1"/>
        <v>3840000</v>
      </c>
      <c r="AD45" s="121"/>
    </row>
    <row r="46" spans="1:30" x14ac:dyDescent="0.35">
      <c r="A46" s="130"/>
      <c r="B46" s="35" t="s">
        <v>42</v>
      </c>
      <c r="C46" s="33">
        <v>40000</v>
      </c>
      <c r="D46" s="33">
        <v>40000</v>
      </c>
      <c r="E46" s="33">
        <v>40000</v>
      </c>
      <c r="F46" s="33">
        <v>40000</v>
      </c>
      <c r="G46" s="33">
        <v>40000</v>
      </c>
      <c r="H46" s="33">
        <v>40000</v>
      </c>
      <c r="I46" s="33">
        <v>40000</v>
      </c>
      <c r="J46" s="33">
        <v>40000</v>
      </c>
      <c r="K46" s="33">
        <v>40000</v>
      </c>
      <c r="L46" s="33">
        <v>40000</v>
      </c>
      <c r="M46" s="33">
        <v>40000</v>
      </c>
      <c r="N46" s="33">
        <v>40000</v>
      </c>
      <c r="O46" s="33">
        <v>40000</v>
      </c>
      <c r="P46" s="33">
        <v>40000</v>
      </c>
      <c r="Q46" s="33">
        <v>40000</v>
      </c>
      <c r="R46" s="33">
        <v>40000</v>
      </c>
      <c r="S46" s="33">
        <v>40000</v>
      </c>
      <c r="T46" s="33">
        <v>40000</v>
      </c>
      <c r="U46" s="33">
        <v>40000</v>
      </c>
      <c r="V46" s="33">
        <v>40000</v>
      </c>
      <c r="W46" s="33">
        <v>40000</v>
      </c>
      <c r="X46" s="33">
        <v>40000</v>
      </c>
      <c r="Y46" s="33">
        <v>40000</v>
      </c>
      <c r="Z46" s="33">
        <v>40000</v>
      </c>
      <c r="AA46" s="33">
        <f t="shared" si="0"/>
        <v>960000</v>
      </c>
      <c r="AB46" s="53">
        <v>1</v>
      </c>
      <c r="AC46" s="33">
        <f t="shared" si="1"/>
        <v>960000</v>
      </c>
      <c r="AD46" s="122"/>
    </row>
    <row r="47" spans="1:30" x14ac:dyDescent="0.35">
      <c r="A47" s="131">
        <v>47423</v>
      </c>
      <c r="B47" s="36" t="s">
        <v>39</v>
      </c>
      <c r="C47" s="33">
        <v>40000</v>
      </c>
      <c r="D47" s="33">
        <v>40000</v>
      </c>
      <c r="E47" s="33">
        <v>40000</v>
      </c>
      <c r="F47" s="33">
        <v>40000</v>
      </c>
      <c r="G47" s="33">
        <v>40000</v>
      </c>
      <c r="H47" s="33">
        <v>40000</v>
      </c>
      <c r="I47" s="33">
        <v>40000</v>
      </c>
      <c r="J47" s="33">
        <v>40000</v>
      </c>
      <c r="K47" s="33">
        <v>40000</v>
      </c>
      <c r="L47" s="33">
        <v>40000</v>
      </c>
      <c r="M47" s="33">
        <v>40000</v>
      </c>
      <c r="N47" s="33">
        <v>40000</v>
      </c>
      <c r="O47" s="33">
        <v>40000</v>
      </c>
      <c r="P47" s="33">
        <v>40000</v>
      </c>
      <c r="Q47" s="33">
        <v>40000</v>
      </c>
      <c r="R47" s="33">
        <v>40000</v>
      </c>
      <c r="S47" s="33">
        <v>40000</v>
      </c>
      <c r="T47" s="33">
        <v>40000</v>
      </c>
      <c r="U47" s="33">
        <v>40000</v>
      </c>
      <c r="V47" s="33">
        <v>40000</v>
      </c>
      <c r="W47" s="33">
        <v>40000</v>
      </c>
      <c r="X47" s="33">
        <v>40000</v>
      </c>
      <c r="Y47" s="33">
        <v>40000</v>
      </c>
      <c r="Z47" s="33">
        <v>40000</v>
      </c>
      <c r="AA47" s="37">
        <f t="shared" si="0"/>
        <v>960000</v>
      </c>
      <c r="AB47" s="16">
        <v>20</v>
      </c>
      <c r="AC47" s="37">
        <f t="shared" si="1"/>
        <v>19200000</v>
      </c>
      <c r="AD47" s="134">
        <f>+SUM(AC47:AC50)</f>
        <v>28800000</v>
      </c>
    </row>
    <row r="48" spans="1:30" x14ac:dyDescent="0.35">
      <c r="A48" s="132"/>
      <c r="B48" s="38" t="s">
        <v>40</v>
      </c>
      <c r="C48" s="33">
        <v>40000</v>
      </c>
      <c r="D48" s="33">
        <v>40000</v>
      </c>
      <c r="E48" s="33">
        <v>40000</v>
      </c>
      <c r="F48" s="33">
        <v>40000</v>
      </c>
      <c r="G48" s="33">
        <v>40000</v>
      </c>
      <c r="H48" s="33">
        <v>40000</v>
      </c>
      <c r="I48" s="33">
        <v>40000</v>
      </c>
      <c r="J48" s="33">
        <v>40000</v>
      </c>
      <c r="K48" s="33">
        <v>40000</v>
      </c>
      <c r="L48" s="33">
        <v>40000</v>
      </c>
      <c r="M48" s="33">
        <v>40000</v>
      </c>
      <c r="N48" s="33">
        <v>40000</v>
      </c>
      <c r="O48" s="33">
        <v>40000</v>
      </c>
      <c r="P48" s="33">
        <v>40000</v>
      </c>
      <c r="Q48" s="33">
        <v>40000</v>
      </c>
      <c r="R48" s="33">
        <v>40000</v>
      </c>
      <c r="S48" s="33">
        <v>40000</v>
      </c>
      <c r="T48" s="33">
        <v>40000</v>
      </c>
      <c r="U48" s="33">
        <v>40000</v>
      </c>
      <c r="V48" s="33">
        <v>40000</v>
      </c>
      <c r="W48" s="33">
        <v>40000</v>
      </c>
      <c r="X48" s="33">
        <v>40000</v>
      </c>
      <c r="Y48" s="33">
        <v>40000</v>
      </c>
      <c r="Z48" s="33">
        <v>40000</v>
      </c>
      <c r="AA48" s="37">
        <f t="shared" si="0"/>
        <v>960000</v>
      </c>
      <c r="AB48" s="16">
        <v>4</v>
      </c>
      <c r="AC48" s="37">
        <f t="shared" si="1"/>
        <v>3840000</v>
      </c>
      <c r="AD48" s="135"/>
    </row>
    <row r="49" spans="1:30" x14ac:dyDescent="0.35">
      <c r="A49" s="132"/>
      <c r="B49" s="38" t="s">
        <v>41</v>
      </c>
      <c r="C49" s="33">
        <v>40000</v>
      </c>
      <c r="D49" s="33">
        <v>40000</v>
      </c>
      <c r="E49" s="33">
        <v>40000</v>
      </c>
      <c r="F49" s="33">
        <v>40000</v>
      </c>
      <c r="G49" s="33">
        <v>40000</v>
      </c>
      <c r="H49" s="33">
        <v>40000</v>
      </c>
      <c r="I49" s="33">
        <v>40000</v>
      </c>
      <c r="J49" s="33">
        <v>40000</v>
      </c>
      <c r="K49" s="33">
        <v>40000</v>
      </c>
      <c r="L49" s="33">
        <v>40000</v>
      </c>
      <c r="M49" s="33">
        <v>40000</v>
      </c>
      <c r="N49" s="33">
        <v>40000</v>
      </c>
      <c r="O49" s="33">
        <v>40000</v>
      </c>
      <c r="P49" s="33">
        <v>40000</v>
      </c>
      <c r="Q49" s="33">
        <v>40000</v>
      </c>
      <c r="R49" s="33">
        <v>40000</v>
      </c>
      <c r="S49" s="33">
        <v>40000</v>
      </c>
      <c r="T49" s="33">
        <v>40000</v>
      </c>
      <c r="U49" s="33">
        <v>40000</v>
      </c>
      <c r="V49" s="33">
        <v>40000</v>
      </c>
      <c r="W49" s="33">
        <v>40000</v>
      </c>
      <c r="X49" s="33">
        <v>40000</v>
      </c>
      <c r="Y49" s="33">
        <v>40000</v>
      </c>
      <c r="Z49" s="33">
        <v>40000</v>
      </c>
      <c r="AA49" s="37">
        <f t="shared" si="0"/>
        <v>960000</v>
      </c>
      <c r="AB49" s="16">
        <v>4</v>
      </c>
      <c r="AC49" s="37">
        <f t="shared" si="1"/>
        <v>3840000</v>
      </c>
      <c r="AD49" s="135"/>
    </row>
    <row r="50" spans="1:30" x14ac:dyDescent="0.35">
      <c r="A50" s="133"/>
      <c r="B50" s="39" t="s">
        <v>42</v>
      </c>
      <c r="C50" s="33">
        <v>40000</v>
      </c>
      <c r="D50" s="33">
        <v>40000</v>
      </c>
      <c r="E50" s="33">
        <v>40000</v>
      </c>
      <c r="F50" s="33">
        <v>40000</v>
      </c>
      <c r="G50" s="33">
        <v>40000</v>
      </c>
      <c r="H50" s="33">
        <v>40000</v>
      </c>
      <c r="I50" s="33">
        <v>40000</v>
      </c>
      <c r="J50" s="33">
        <v>40000</v>
      </c>
      <c r="K50" s="33">
        <v>40000</v>
      </c>
      <c r="L50" s="33">
        <v>40000</v>
      </c>
      <c r="M50" s="33">
        <v>40000</v>
      </c>
      <c r="N50" s="33">
        <v>40000</v>
      </c>
      <c r="O50" s="33">
        <v>40000</v>
      </c>
      <c r="P50" s="33">
        <v>40000</v>
      </c>
      <c r="Q50" s="33">
        <v>40000</v>
      </c>
      <c r="R50" s="33">
        <v>40000</v>
      </c>
      <c r="S50" s="33">
        <v>40000</v>
      </c>
      <c r="T50" s="33">
        <v>40000</v>
      </c>
      <c r="U50" s="33">
        <v>40000</v>
      </c>
      <c r="V50" s="33">
        <v>40000</v>
      </c>
      <c r="W50" s="33">
        <v>40000</v>
      </c>
      <c r="X50" s="33">
        <v>40000</v>
      </c>
      <c r="Y50" s="33">
        <v>40000</v>
      </c>
      <c r="Z50" s="33">
        <v>40000</v>
      </c>
      <c r="AA50" s="37">
        <f t="shared" si="0"/>
        <v>960000</v>
      </c>
      <c r="AB50" s="16">
        <v>2</v>
      </c>
      <c r="AC50" s="37">
        <f t="shared" si="1"/>
        <v>1920000</v>
      </c>
      <c r="AD50" s="136"/>
    </row>
    <row r="51" spans="1:30" x14ac:dyDescent="0.35">
      <c r="A51" s="131">
        <v>47453</v>
      </c>
      <c r="B51" s="36" t="s">
        <v>39</v>
      </c>
      <c r="C51" s="33">
        <v>40000</v>
      </c>
      <c r="D51" s="33">
        <v>40000</v>
      </c>
      <c r="E51" s="33">
        <v>40000</v>
      </c>
      <c r="F51" s="33">
        <v>40000</v>
      </c>
      <c r="G51" s="33">
        <v>40000</v>
      </c>
      <c r="H51" s="33">
        <v>40000</v>
      </c>
      <c r="I51" s="33">
        <v>40000</v>
      </c>
      <c r="J51" s="33">
        <v>40000</v>
      </c>
      <c r="K51" s="33">
        <v>40000</v>
      </c>
      <c r="L51" s="33">
        <v>40000</v>
      </c>
      <c r="M51" s="33">
        <v>40000</v>
      </c>
      <c r="N51" s="33">
        <v>40000</v>
      </c>
      <c r="O51" s="33">
        <v>40000</v>
      </c>
      <c r="P51" s="33">
        <v>40000</v>
      </c>
      <c r="Q51" s="33">
        <v>40000</v>
      </c>
      <c r="R51" s="33">
        <v>40000</v>
      </c>
      <c r="S51" s="33">
        <v>40000</v>
      </c>
      <c r="T51" s="33">
        <v>40000</v>
      </c>
      <c r="U51" s="33">
        <v>40000</v>
      </c>
      <c r="V51" s="33">
        <v>40000</v>
      </c>
      <c r="W51" s="33">
        <v>40000</v>
      </c>
      <c r="X51" s="33">
        <v>40000</v>
      </c>
      <c r="Y51" s="33">
        <v>40000</v>
      </c>
      <c r="Z51" s="33">
        <v>40000</v>
      </c>
      <c r="AA51" s="37">
        <f t="shared" si="0"/>
        <v>960000</v>
      </c>
      <c r="AB51" s="16">
        <v>20</v>
      </c>
      <c r="AC51" s="37">
        <f t="shared" si="1"/>
        <v>19200000</v>
      </c>
      <c r="AD51" s="134">
        <f>+SUM(AC51:AC54)</f>
        <v>29760000</v>
      </c>
    </row>
    <row r="52" spans="1:30" x14ac:dyDescent="0.35">
      <c r="A52" s="132"/>
      <c r="B52" s="38" t="s">
        <v>40</v>
      </c>
      <c r="C52" s="33">
        <v>40000</v>
      </c>
      <c r="D52" s="33">
        <v>40000</v>
      </c>
      <c r="E52" s="33">
        <v>40000</v>
      </c>
      <c r="F52" s="33">
        <v>40000</v>
      </c>
      <c r="G52" s="33">
        <v>40000</v>
      </c>
      <c r="H52" s="33">
        <v>40000</v>
      </c>
      <c r="I52" s="33">
        <v>40000</v>
      </c>
      <c r="J52" s="33">
        <v>40000</v>
      </c>
      <c r="K52" s="33">
        <v>40000</v>
      </c>
      <c r="L52" s="33">
        <v>40000</v>
      </c>
      <c r="M52" s="33">
        <v>40000</v>
      </c>
      <c r="N52" s="33">
        <v>40000</v>
      </c>
      <c r="O52" s="33">
        <v>40000</v>
      </c>
      <c r="P52" s="33">
        <v>40000</v>
      </c>
      <c r="Q52" s="33">
        <v>40000</v>
      </c>
      <c r="R52" s="33">
        <v>40000</v>
      </c>
      <c r="S52" s="33">
        <v>40000</v>
      </c>
      <c r="T52" s="33">
        <v>40000</v>
      </c>
      <c r="U52" s="33">
        <v>40000</v>
      </c>
      <c r="V52" s="33">
        <v>40000</v>
      </c>
      <c r="W52" s="33">
        <v>40000</v>
      </c>
      <c r="X52" s="33">
        <v>40000</v>
      </c>
      <c r="Y52" s="33">
        <v>40000</v>
      </c>
      <c r="Z52" s="33">
        <v>40000</v>
      </c>
      <c r="AA52" s="37">
        <f t="shared" si="0"/>
        <v>960000</v>
      </c>
      <c r="AB52" s="16">
        <v>4</v>
      </c>
      <c r="AC52" s="37">
        <f t="shared" si="1"/>
        <v>3840000</v>
      </c>
      <c r="AD52" s="135"/>
    </row>
    <row r="53" spans="1:30" x14ac:dyDescent="0.35">
      <c r="A53" s="132"/>
      <c r="B53" s="38" t="s">
        <v>41</v>
      </c>
      <c r="C53" s="33">
        <v>40000</v>
      </c>
      <c r="D53" s="33">
        <v>40000</v>
      </c>
      <c r="E53" s="33">
        <v>40000</v>
      </c>
      <c r="F53" s="33">
        <v>40000</v>
      </c>
      <c r="G53" s="33">
        <v>40000</v>
      </c>
      <c r="H53" s="33">
        <v>40000</v>
      </c>
      <c r="I53" s="33">
        <v>40000</v>
      </c>
      <c r="J53" s="33">
        <v>40000</v>
      </c>
      <c r="K53" s="33">
        <v>40000</v>
      </c>
      <c r="L53" s="33">
        <v>40000</v>
      </c>
      <c r="M53" s="33">
        <v>40000</v>
      </c>
      <c r="N53" s="33">
        <v>40000</v>
      </c>
      <c r="O53" s="33">
        <v>40000</v>
      </c>
      <c r="P53" s="33">
        <v>40000</v>
      </c>
      <c r="Q53" s="33">
        <v>40000</v>
      </c>
      <c r="R53" s="33">
        <v>40000</v>
      </c>
      <c r="S53" s="33">
        <v>40000</v>
      </c>
      <c r="T53" s="33">
        <v>40000</v>
      </c>
      <c r="U53" s="33">
        <v>40000</v>
      </c>
      <c r="V53" s="33">
        <v>40000</v>
      </c>
      <c r="W53" s="33">
        <v>40000</v>
      </c>
      <c r="X53" s="33">
        <v>40000</v>
      </c>
      <c r="Y53" s="33">
        <v>40000</v>
      </c>
      <c r="Z53" s="33">
        <v>40000</v>
      </c>
      <c r="AA53" s="37">
        <f t="shared" si="0"/>
        <v>960000</v>
      </c>
      <c r="AB53" s="16">
        <v>5</v>
      </c>
      <c r="AC53" s="37">
        <f t="shared" si="1"/>
        <v>4800000</v>
      </c>
      <c r="AD53" s="135"/>
    </row>
    <row r="54" spans="1:30" x14ac:dyDescent="0.35">
      <c r="A54" s="133"/>
      <c r="B54" s="39" t="s">
        <v>42</v>
      </c>
      <c r="C54" s="33">
        <v>40000</v>
      </c>
      <c r="D54" s="33">
        <v>40000</v>
      </c>
      <c r="E54" s="33">
        <v>40000</v>
      </c>
      <c r="F54" s="33">
        <v>40000</v>
      </c>
      <c r="G54" s="33">
        <v>40000</v>
      </c>
      <c r="H54" s="33">
        <v>40000</v>
      </c>
      <c r="I54" s="33">
        <v>40000</v>
      </c>
      <c r="J54" s="33">
        <v>40000</v>
      </c>
      <c r="K54" s="33">
        <v>40000</v>
      </c>
      <c r="L54" s="33">
        <v>40000</v>
      </c>
      <c r="M54" s="33">
        <v>40000</v>
      </c>
      <c r="N54" s="33">
        <v>40000</v>
      </c>
      <c r="O54" s="33">
        <v>40000</v>
      </c>
      <c r="P54" s="33">
        <v>40000</v>
      </c>
      <c r="Q54" s="33">
        <v>40000</v>
      </c>
      <c r="R54" s="33">
        <v>40000</v>
      </c>
      <c r="S54" s="33">
        <v>40000</v>
      </c>
      <c r="T54" s="33">
        <v>40000</v>
      </c>
      <c r="U54" s="33">
        <v>40000</v>
      </c>
      <c r="V54" s="33">
        <v>40000</v>
      </c>
      <c r="W54" s="33">
        <v>40000</v>
      </c>
      <c r="X54" s="33">
        <v>40000</v>
      </c>
      <c r="Y54" s="33">
        <v>40000</v>
      </c>
      <c r="Z54" s="33">
        <v>40000</v>
      </c>
      <c r="AA54" s="37">
        <f t="shared" si="0"/>
        <v>960000</v>
      </c>
      <c r="AB54" s="16">
        <v>2</v>
      </c>
      <c r="AC54" s="37">
        <f t="shared" si="1"/>
        <v>1920000</v>
      </c>
      <c r="AD54" s="136"/>
    </row>
    <row r="55" spans="1:30" x14ac:dyDescent="0.3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C55" s="2"/>
      <c r="AD55" s="40">
        <f>+SUM(AD7:AD54)</f>
        <v>350400000</v>
      </c>
    </row>
    <row r="58" spans="1:30" x14ac:dyDescent="0.35">
      <c r="C58" s="25"/>
      <c r="D58" s="25"/>
      <c r="E58" s="25"/>
      <c r="F58" s="25"/>
      <c r="G58" s="25"/>
      <c r="H58" s="25"/>
      <c r="I58" s="25"/>
      <c r="J58" s="25"/>
      <c r="K58" s="25"/>
      <c r="L58" s="25"/>
      <c r="M58" s="25"/>
      <c r="N58" s="25"/>
      <c r="O58" s="25"/>
      <c r="P58" s="25"/>
      <c r="Q58" s="25"/>
      <c r="R58" s="25"/>
      <c r="S58" s="25"/>
      <c r="T58" s="25"/>
      <c r="U58" s="25"/>
      <c r="V58" s="25"/>
      <c r="W58" s="25"/>
      <c r="X58" s="25"/>
      <c r="Y58" s="25"/>
      <c r="Z58" s="25"/>
    </row>
  </sheetData>
  <mergeCells count="28">
    <mergeCell ref="A47:A50"/>
    <mergeCell ref="AD47:AD50"/>
    <mergeCell ref="A51:A54"/>
    <mergeCell ref="AD51:AD54"/>
    <mergeCell ref="A35:A38"/>
    <mergeCell ref="AD35:AD38"/>
    <mergeCell ref="A39:A42"/>
    <mergeCell ref="AD39:AD42"/>
    <mergeCell ref="A43:A46"/>
    <mergeCell ref="AD43:AD46"/>
    <mergeCell ref="A23:A26"/>
    <mergeCell ref="AD23:AD26"/>
    <mergeCell ref="A27:A30"/>
    <mergeCell ref="AD27:AD30"/>
    <mergeCell ref="A31:A34"/>
    <mergeCell ref="AD31:AD34"/>
    <mergeCell ref="A11:A14"/>
    <mergeCell ref="AD11:AD14"/>
    <mergeCell ref="A15:A18"/>
    <mergeCell ref="AD15:AD18"/>
    <mergeCell ref="A19:A22"/>
    <mergeCell ref="AD19:AD22"/>
    <mergeCell ref="AD7:AD10"/>
    <mergeCell ref="A1:D1"/>
    <mergeCell ref="A2:M2"/>
    <mergeCell ref="A4:B4"/>
    <mergeCell ref="C4:D4"/>
    <mergeCell ref="A7:A10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18D8A4-2429-49D4-BD19-1DEF9CA922F7}">
  <sheetPr>
    <tabColor rgb="FF92D050"/>
  </sheetPr>
  <dimension ref="C1:I22"/>
  <sheetViews>
    <sheetView showGridLines="0" topLeftCell="A5" workbookViewId="0">
      <selection activeCell="C1" sqref="C1:G18"/>
    </sheetView>
  </sheetViews>
  <sheetFormatPr baseColWidth="10" defaultRowHeight="14.5" x14ac:dyDescent="0.35"/>
  <cols>
    <col min="2" max="2" width="2.54296875" customWidth="1"/>
    <col min="4" max="4" width="15.1796875" customWidth="1"/>
    <col min="5" max="5" width="15.1796875" bestFit="1" customWidth="1"/>
    <col min="6" max="6" width="12.54296875" customWidth="1"/>
    <col min="8" max="8" width="2" customWidth="1"/>
    <col min="9" max="9" width="14.1796875" bestFit="1" customWidth="1"/>
  </cols>
  <sheetData>
    <row r="1" spans="3:7" x14ac:dyDescent="0.35">
      <c r="C1" s="77" t="s">
        <v>43</v>
      </c>
      <c r="D1" s="77"/>
      <c r="E1" s="77"/>
      <c r="F1" s="77"/>
      <c r="G1" s="77"/>
    </row>
    <row r="2" spans="3:7" x14ac:dyDescent="0.35">
      <c r="C2" s="77"/>
      <c r="D2" s="77"/>
      <c r="E2" s="77"/>
      <c r="F2" s="77"/>
      <c r="G2" s="77"/>
    </row>
    <row r="3" spans="3:7" ht="15" thickBot="1" x14ac:dyDescent="0.4"/>
    <row r="4" spans="3:7" ht="15" thickBot="1" x14ac:dyDescent="0.4">
      <c r="C4" s="117" t="s">
        <v>48</v>
      </c>
      <c r="D4" s="118"/>
      <c r="E4" s="118"/>
      <c r="F4" s="118"/>
      <c r="G4" s="119"/>
    </row>
    <row r="5" spans="3:7" ht="32" thickBot="1" x14ac:dyDescent="0.4">
      <c r="C5" s="23" t="s">
        <v>0</v>
      </c>
      <c r="D5" s="23" t="s">
        <v>5</v>
      </c>
      <c r="E5" s="23" t="s">
        <v>1</v>
      </c>
      <c r="F5" s="55" t="s">
        <v>6</v>
      </c>
      <c r="G5" s="55" t="s">
        <v>2</v>
      </c>
    </row>
    <row r="6" spans="3:7" x14ac:dyDescent="0.35">
      <c r="C6" s="3">
        <v>47484</v>
      </c>
      <c r="D6" s="4">
        <f>+VLOOKUP(C6,'CURVA P6'!$A$4:$AD$55,30,FALSE)</f>
        <v>37293323</v>
      </c>
      <c r="E6" s="96" t="s">
        <v>1</v>
      </c>
      <c r="F6" s="1"/>
      <c r="G6" s="99" t="s">
        <v>3</v>
      </c>
    </row>
    <row r="7" spans="3:7" x14ac:dyDescent="0.35">
      <c r="C7" s="3">
        <v>47515</v>
      </c>
      <c r="D7" s="4">
        <f>+VLOOKUP(C7,'CURVA P6'!$A$4:$AD$55,30,FALSE)</f>
        <v>39743100</v>
      </c>
      <c r="E7" s="97"/>
      <c r="F7" s="1"/>
      <c r="G7" s="100"/>
    </row>
    <row r="8" spans="3:7" x14ac:dyDescent="0.35">
      <c r="C8" s="3">
        <v>47543</v>
      </c>
      <c r="D8" s="4">
        <f>+VLOOKUP(C8,'CURVA P6'!$A$4:$AD$55,30,FALSE)</f>
        <v>37163429</v>
      </c>
      <c r="E8" s="97"/>
      <c r="F8" s="1"/>
      <c r="G8" s="100"/>
    </row>
    <row r="9" spans="3:7" x14ac:dyDescent="0.35">
      <c r="C9" s="3">
        <v>47574</v>
      </c>
      <c r="D9" s="4">
        <f>+VLOOKUP(C9,'CURVA P6'!$A$4:$AD$55,30,FALSE)</f>
        <v>39331446</v>
      </c>
      <c r="E9" s="97"/>
      <c r="F9" s="1"/>
      <c r="G9" s="100"/>
    </row>
    <row r="10" spans="3:7" x14ac:dyDescent="0.35">
      <c r="C10" s="3">
        <v>47604</v>
      </c>
      <c r="D10" s="4">
        <f>+VLOOKUP(C10,'CURVA P6'!$A$4:$AD$55,30,FALSE)</f>
        <v>39645761</v>
      </c>
      <c r="E10" s="97"/>
      <c r="F10" s="1"/>
      <c r="G10" s="100"/>
    </row>
    <row r="11" spans="3:7" x14ac:dyDescent="0.35">
      <c r="C11" s="3">
        <v>47635</v>
      </c>
      <c r="D11" s="4">
        <f>+VLOOKUP(C11,'CURVA P6'!$A$4:$AD$55,30,FALSE)</f>
        <v>40931335</v>
      </c>
      <c r="E11" s="97"/>
      <c r="F11" s="1"/>
      <c r="G11" s="100"/>
    </row>
    <row r="12" spans="3:7" x14ac:dyDescent="0.35">
      <c r="C12" s="3">
        <v>47665</v>
      </c>
      <c r="D12" s="4">
        <f>+VLOOKUP(C12,'CURVA P6'!$A$4:$AD$55,30,FALSE)</f>
        <v>39122600</v>
      </c>
      <c r="E12" s="97"/>
      <c r="F12" s="1"/>
      <c r="G12" s="100"/>
    </row>
    <row r="13" spans="3:7" x14ac:dyDescent="0.35">
      <c r="C13" s="3">
        <v>47696</v>
      </c>
      <c r="D13" s="4">
        <f>+VLOOKUP(C13,'CURVA P6'!$A$4:$AD$55,30,FALSE)</f>
        <v>40790419</v>
      </c>
      <c r="E13" s="97"/>
      <c r="F13" s="1"/>
      <c r="G13" s="100"/>
    </row>
    <row r="14" spans="3:7" x14ac:dyDescent="0.35">
      <c r="C14" s="3">
        <v>47727</v>
      </c>
      <c r="D14" s="4">
        <f>+VLOOKUP(C14,'CURVA P6'!$A$4:$AD$55,30,FALSE)</f>
        <v>42415574</v>
      </c>
      <c r="E14" s="97"/>
      <c r="F14" s="1"/>
      <c r="G14" s="100"/>
    </row>
    <row r="15" spans="3:7" x14ac:dyDescent="0.35">
      <c r="C15" s="3">
        <v>47757</v>
      </c>
      <c r="D15" s="4">
        <f>+VLOOKUP(C15,'CURVA P6'!$A$4:$AD$55,30,FALSE)</f>
        <v>41662961</v>
      </c>
      <c r="E15" s="97"/>
      <c r="F15" s="1"/>
      <c r="G15" s="100"/>
    </row>
    <row r="16" spans="3:7" x14ac:dyDescent="0.35">
      <c r="C16" s="3">
        <v>47788</v>
      </c>
      <c r="D16" s="4">
        <f>+VLOOKUP(C16,'CURVA P6'!$A$4:$AD$55,30,FALSE)</f>
        <v>41208669</v>
      </c>
      <c r="E16" s="97"/>
      <c r="F16" s="1"/>
      <c r="G16" s="100"/>
    </row>
    <row r="17" spans="3:9" ht="15" thickBot="1" x14ac:dyDescent="0.4">
      <c r="C17" s="3">
        <v>47818</v>
      </c>
      <c r="D17" s="6">
        <f>+VLOOKUP(C17,'CURVA P6'!$A$4:$AD$55,30,FALSE)</f>
        <v>39740989</v>
      </c>
      <c r="E17" s="98"/>
      <c r="F17" s="7"/>
      <c r="G17" s="101"/>
    </row>
    <row r="18" spans="3:9" ht="15" thickBot="1" x14ac:dyDescent="0.4">
      <c r="D18" s="26">
        <f>SUM(D6:D17)</f>
        <v>479049606</v>
      </c>
    </row>
    <row r="19" spans="3:9" x14ac:dyDescent="0.35">
      <c r="D19" s="21"/>
      <c r="I19" s="22"/>
    </row>
    <row r="20" spans="3:9" x14ac:dyDescent="0.35">
      <c r="D20" s="19">
        <f>D18/1000000</f>
        <v>479.04960599999998</v>
      </c>
      <c r="I20" s="22"/>
    </row>
    <row r="21" spans="3:9" x14ac:dyDescent="0.35">
      <c r="D21" s="8">
        <f>D20*1000</f>
        <v>479049.60599999997</v>
      </c>
      <c r="I21" s="22"/>
    </row>
    <row r="22" spans="3:9" x14ac:dyDescent="0.35">
      <c r="I22" s="8"/>
    </row>
  </sheetData>
  <mergeCells count="4">
    <mergeCell ref="C1:G2"/>
    <mergeCell ref="C4:G4"/>
    <mergeCell ref="E6:E17"/>
    <mergeCell ref="G6:G17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716D3A-089F-40BD-BC5D-FFFCE5F4684F}">
  <dimension ref="A1:AD58"/>
  <sheetViews>
    <sheetView showGridLines="0" topLeftCell="O42" zoomScaleNormal="100" workbookViewId="0">
      <selection sqref="A1:AD55"/>
    </sheetView>
  </sheetViews>
  <sheetFormatPr baseColWidth="10" defaultRowHeight="14.5" x14ac:dyDescent="0.35"/>
  <cols>
    <col min="1" max="1" width="7.26953125" bestFit="1" customWidth="1"/>
    <col min="2" max="2" width="8" bestFit="1" customWidth="1"/>
    <col min="3" max="3" width="9.90625" bestFit="1" customWidth="1"/>
    <col min="4" max="19" width="9" bestFit="1" customWidth="1"/>
    <col min="20" max="26" width="9.90625" bestFit="1" customWidth="1"/>
    <col min="27" max="27" width="9" bestFit="1" customWidth="1"/>
    <col min="28" max="28" width="10.453125" bestFit="1" customWidth="1"/>
    <col min="29" max="29" width="11" bestFit="1" customWidth="1"/>
    <col min="30" max="30" width="12" bestFit="1" customWidth="1"/>
  </cols>
  <sheetData>
    <row r="1" spans="1:30" x14ac:dyDescent="0.35">
      <c r="A1" s="123" t="s">
        <v>8</v>
      </c>
      <c r="B1" s="123"/>
      <c r="C1" s="123"/>
      <c r="D1" s="123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</row>
    <row r="2" spans="1:30" x14ac:dyDescent="0.35">
      <c r="A2" s="124" t="s">
        <v>43</v>
      </c>
      <c r="B2" s="124"/>
      <c r="C2" s="124"/>
      <c r="D2" s="124"/>
      <c r="E2" s="124"/>
      <c r="F2" s="124"/>
      <c r="G2" s="124"/>
      <c r="H2" s="124"/>
      <c r="I2" s="124"/>
      <c r="J2" s="124"/>
      <c r="K2" s="124"/>
      <c r="L2" s="124"/>
      <c r="M2" s="124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  <c r="AA2" s="20"/>
      <c r="AB2" s="20"/>
      <c r="AC2" s="20"/>
      <c r="AD2" s="20"/>
    </row>
    <row r="3" spans="1:30" x14ac:dyDescent="0.35">
      <c r="A3" s="20"/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  <c r="AC3" s="20"/>
      <c r="AD3" s="20"/>
    </row>
    <row r="4" spans="1:30" x14ac:dyDescent="0.35">
      <c r="A4" s="87" t="s">
        <v>9</v>
      </c>
      <c r="B4" s="87"/>
      <c r="C4" s="88">
        <f>+AD55</f>
        <v>479049606</v>
      </c>
      <c r="D4" s="8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</row>
    <row r="5" spans="1:30" x14ac:dyDescent="0.35">
      <c r="A5" s="9" t="s">
        <v>0</v>
      </c>
      <c r="B5" s="10" t="s">
        <v>10</v>
      </c>
      <c r="C5" s="9" t="s">
        <v>11</v>
      </c>
      <c r="D5" s="9" t="s">
        <v>12</v>
      </c>
      <c r="E5" s="9" t="s">
        <v>13</v>
      </c>
      <c r="F5" s="9" t="s">
        <v>14</v>
      </c>
      <c r="G5" s="9" t="s">
        <v>15</v>
      </c>
      <c r="H5" s="9" t="s">
        <v>16</v>
      </c>
      <c r="I5" s="9" t="s">
        <v>17</v>
      </c>
      <c r="J5" s="9" t="s">
        <v>18</v>
      </c>
      <c r="K5" s="9" t="s">
        <v>19</v>
      </c>
      <c r="L5" s="9" t="s">
        <v>20</v>
      </c>
      <c r="M5" s="9" t="s">
        <v>21</v>
      </c>
      <c r="N5" s="9" t="s">
        <v>22</v>
      </c>
      <c r="O5" s="9" t="s">
        <v>23</v>
      </c>
      <c r="P5" s="9" t="s">
        <v>24</v>
      </c>
      <c r="Q5" s="9" t="s">
        <v>25</v>
      </c>
      <c r="R5" s="9" t="s">
        <v>26</v>
      </c>
      <c r="S5" s="9" t="s">
        <v>27</v>
      </c>
      <c r="T5" s="9" t="s">
        <v>28</v>
      </c>
      <c r="U5" s="9" t="s">
        <v>29</v>
      </c>
      <c r="V5" s="9" t="s">
        <v>30</v>
      </c>
      <c r="W5" s="9" t="s">
        <v>31</v>
      </c>
      <c r="X5" s="9" t="s">
        <v>32</v>
      </c>
      <c r="Y5" s="9" t="s">
        <v>33</v>
      </c>
      <c r="Z5" s="9" t="s">
        <v>34</v>
      </c>
      <c r="AA5" s="9" t="s">
        <v>35</v>
      </c>
      <c r="AB5" s="9" t="s">
        <v>36</v>
      </c>
      <c r="AC5" s="9" t="s">
        <v>37</v>
      </c>
      <c r="AD5" s="9" t="s">
        <v>38</v>
      </c>
    </row>
    <row r="6" spans="1:30" hidden="1" x14ac:dyDescent="0.35">
      <c r="A6" s="52"/>
      <c r="B6" s="56"/>
      <c r="C6" s="52"/>
      <c r="D6" s="52"/>
      <c r="E6" s="52"/>
      <c r="F6" s="52"/>
      <c r="G6" s="52"/>
      <c r="H6" s="52"/>
      <c r="I6" s="52"/>
      <c r="J6" s="52"/>
      <c r="K6" s="52"/>
      <c r="L6" s="52"/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X6" s="52"/>
      <c r="Y6" s="52"/>
      <c r="Z6" s="52"/>
      <c r="AA6" s="52"/>
      <c r="AB6" s="52"/>
      <c r="AC6" s="52"/>
      <c r="AD6" s="52"/>
    </row>
    <row r="7" spans="1:30" x14ac:dyDescent="0.35">
      <c r="A7" s="108">
        <v>47484</v>
      </c>
      <c r="B7" s="57" t="s">
        <v>39</v>
      </c>
      <c r="C7" s="58">
        <v>53192</v>
      </c>
      <c r="D7" s="58">
        <v>49949</v>
      </c>
      <c r="E7" s="58">
        <v>47361</v>
      </c>
      <c r="F7" s="58">
        <v>45472</v>
      </c>
      <c r="G7" s="58">
        <v>44896</v>
      </c>
      <c r="H7" s="58">
        <v>46105</v>
      </c>
      <c r="I7" s="58">
        <v>46757</v>
      </c>
      <c r="J7" s="58">
        <v>39106</v>
      </c>
      <c r="K7" s="58">
        <v>34223</v>
      </c>
      <c r="L7" s="58">
        <v>33396</v>
      </c>
      <c r="M7" s="58">
        <v>34237</v>
      </c>
      <c r="N7" s="58">
        <v>33504</v>
      </c>
      <c r="O7" s="58">
        <v>30765</v>
      </c>
      <c r="P7" s="58">
        <v>40719</v>
      </c>
      <c r="Q7" s="58">
        <v>55777</v>
      </c>
      <c r="R7" s="58">
        <v>65909</v>
      </c>
      <c r="S7" s="58">
        <v>69576</v>
      </c>
      <c r="T7" s="58">
        <v>72998</v>
      </c>
      <c r="U7" s="58">
        <v>76193</v>
      </c>
      <c r="V7" s="58">
        <v>75077</v>
      </c>
      <c r="W7" s="58">
        <v>73560</v>
      </c>
      <c r="X7" s="58">
        <v>71144</v>
      </c>
      <c r="Y7" s="58">
        <v>66349</v>
      </c>
      <c r="Z7" s="58">
        <v>60014</v>
      </c>
      <c r="AA7" s="58">
        <f>SUM(C7:Z7)</f>
        <v>1266279</v>
      </c>
      <c r="AB7" s="53">
        <v>21</v>
      </c>
      <c r="AC7" s="58">
        <f>+AA7*AB7</f>
        <v>26591859</v>
      </c>
      <c r="AD7" s="111">
        <f>+SUM(AC7:AC10)</f>
        <v>37293323</v>
      </c>
    </row>
    <row r="8" spans="1:30" x14ac:dyDescent="0.35">
      <c r="A8" s="109"/>
      <c r="B8" s="59" t="s">
        <v>40</v>
      </c>
      <c r="C8" s="58">
        <v>54985</v>
      </c>
      <c r="D8" s="58">
        <v>51410</v>
      </c>
      <c r="E8" s="58">
        <v>48529</v>
      </c>
      <c r="F8" s="58">
        <v>46397</v>
      </c>
      <c r="G8" s="58">
        <v>45559</v>
      </c>
      <c r="H8" s="58">
        <v>45980</v>
      </c>
      <c r="I8" s="58">
        <v>45874</v>
      </c>
      <c r="J8" s="58">
        <v>37309</v>
      </c>
      <c r="K8" s="58">
        <v>32421</v>
      </c>
      <c r="L8" s="58">
        <v>31483</v>
      </c>
      <c r="M8" s="58">
        <v>31683</v>
      </c>
      <c r="N8" s="58">
        <v>30430</v>
      </c>
      <c r="O8" s="58">
        <v>29472</v>
      </c>
      <c r="P8" s="58">
        <v>35397</v>
      </c>
      <c r="Q8" s="58">
        <v>46260</v>
      </c>
      <c r="R8" s="58">
        <v>55406</v>
      </c>
      <c r="S8" s="58">
        <v>59103</v>
      </c>
      <c r="T8" s="58">
        <v>65855</v>
      </c>
      <c r="U8" s="58">
        <v>72481</v>
      </c>
      <c r="V8" s="58">
        <v>72106</v>
      </c>
      <c r="W8" s="58">
        <v>69732</v>
      </c>
      <c r="X8" s="58">
        <v>67313</v>
      </c>
      <c r="Y8" s="58">
        <v>63968</v>
      </c>
      <c r="Z8" s="58">
        <v>59450</v>
      </c>
      <c r="AA8" s="58">
        <f t="shared" ref="AA8:AA54" si="0">SUM(C8:Z8)</f>
        <v>1198603</v>
      </c>
      <c r="AB8" s="53">
        <v>4</v>
      </c>
      <c r="AC8" s="58">
        <f t="shared" ref="AC8:AC54" si="1">+AA8*AB8</f>
        <v>4794412</v>
      </c>
      <c r="AD8" s="112"/>
    </row>
    <row r="9" spans="1:30" x14ac:dyDescent="0.35">
      <c r="A9" s="109"/>
      <c r="B9" s="59" t="s">
        <v>41</v>
      </c>
      <c r="C9" s="58">
        <v>54174</v>
      </c>
      <c r="D9" s="58">
        <v>50823</v>
      </c>
      <c r="E9" s="58">
        <v>48019</v>
      </c>
      <c r="F9" s="58">
        <v>45805</v>
      </c>
      <c r="G9" s="58">
        <v>44548</v>
      </c>
      <c r="H9" s="58">
        <v>43954</v>
      </c>
      <c r="I9" s="58">
        <v>42581</v>
      </c>
      <c r="J9" s="58">
        <v>29934</v>
      </c>
      <c r="K9" s="58">
        <v>20946</v>
      </c>
      <c r="L9" s="58">
        <v>18336</v>
      </c>
      <c r="M9" s="58">
        <v>16757</v>
      </c>
      <c r="N9" s="58">
        <v>15363</v>
      </c>
      <c r="O9" s="58">
        <v>17682</v>
      </c>
      <c r="P9" s="58">
        <v>23045</v>
      </c>
      <c r="Q9" s="58">
        <v>32653</v>
      </c>
      <c r="R9" s="58">
        <v>42507</v>
      </c>
      <c r="S9" s="58">
        <v>47727</v>
      </c>
      <c r="T9" s="58">
        <v>56578</v>
      </c>
      <c r="U9" s="58">
        <v>64518</v>
      </c>
      <c r="V9" s="58">
        <v>66716</v>
      </c>
      <c r="W9" s="58">
        <v>66378</v>
      </c>
      <c r="X9" s="58">
        <v>65165</v>
      </c>
      <c r="Y9" s="58">
        <v>61444</v>
      </c>
      <c r="Z9" s="58">
        <v>56246</v>
      </c>
      <c r="AA9" s="58">
        <f t="shared" si="0"/>
        <v>1031899</v>
      </c>
      <c r="AB9" s="53">
        <v>4</v>
      </c>
      <c r="AC9" s="58">
        <f t="shared" si="1"/>
        <v>4127596</v>
      </c>
      <c r="AD9" s="112"/>
    </row>
    <row r="10" spans="1:30" x14ac:dyDescent="0.35">
      <c r="A10" s="110"/>
      <c r="B10" s="60" t="s">
        <v>42</v>
      </c>
      <c r="C10" s="58">
        <v>44943</v>
      </c>
      <c r="D10" s="58">
        <v>43309</v>
      </c>
      <c r="E10" s="58">
        <v>41869</v>
      </c>
      <c r="F10" s="58">
        <v>40404</v>
      </c>
      <c r="G10" s="58">
        <v>39649</v>
      </c>
      <c r="H10" s="58">
        <v>39004</v>
      </c>
      <c r="I10" s="58">
        <v>36960</v>
      </c>
      <c r="J10" s="58">
        <v>23700</v>
      </c>
      <c r="K10" s="58">
        <v>14226</v>
      </c>
      <c r="L10" s="58">
        <v>11601</v>
      </c>
      <c r="M10" s="58">
        <v>10627</v>
      </c>
      <c r="N10" s="58">
        <v>9230</v>
      </c>
      <c r="O10" s="58">
        <v>11674</v>
      </c>
      <c r="P10" s="58">
        <v>17416</v>
      </c>
      <c r="Q10" s="58">
        <v>26800</v>
      </c>
      <c r="R10" s="58">
        <v>36337</v>
      </c>
      <c r="S10" s="58">
        <v>41043</v>
      </c>
      <c r="T10" s="58">
        <v>51715</v>
      </c>
      <c r="U10" s="58">
        <v>60251</v>
      </c>
      <c r="V10" s="58">
        <v>61815</v>
      </c>
      <c r="W10" s="58">
        <v>60924</v>
      </c>
      <c r="X10" s="58">
        <v>59069</v>
      </c>
      <c r="Y10" s="58">
        <v>55716</v>
      </c>
      <c r="Z10" s="58">
        <v>51446</v>
      </c>
      <c r="AA10" s="58">
        <f t="shared" si="0"/>
        <v>889728</v>
      </c>
      <c r="AB10" s="53">
        <v>2</v>
      </c>
      <c r="AC10" s="58">
        <f t="shared" si="1"/>
        <v>1779456</v>
      </c>
      <c r="AD10" s="113"/>
    </row>
    <row r="11" spans="1:30" x14ac:dyDescent="0.35">
      <c r="A11" s="108">
        <v>47515</v>
      </c>
      <c r="B11" s="57" t="s">
        <v>39</v>
      </c>
      <c r="C11" s="58">
        <v>60616</v>
      </c>
      <c r="D11" s="58">
        <v>56675</v>
      </c>
      <c r="E11" s="58">
        <v>53910</v>
      </c>
      <c r="F11" s="58">
        <v>52052</v>
      </c>
      <c r="G11" s="58">
        <v>51995</v>
      </c>
      <c r="H11" s="58">
        <v>55269</v>
      </c>
      <c r="I11" s="58">
        <v>57057</v>
      </c>
      <c r="J11" s="58">
        <v>50059</v>
      </c>
      <c r="K11" s="58">
        <v>44329</v>
      </c>
      <c r="L11" s="58">
        <v>43198</v>
      </c>
      <c r="M11" s="58">
        <v>44111</v>
      </c>
      <c r="N11" s="58">
        <v>41856</v>
      </c>
      <c r="O11" s="58">
        <v>36612</v>
      </c>
      <c r="P11" s="58">
        <v>49380</v>
      </c>
      <c r="Q11" s="58">
        <v>66494</v>
      </c>
      <c r="R11" s="58">
        <v>77541</v>
      </c>
      <c r="S11" s="58">
        <v>81236</v>
      </c>
      <c r="T11" s="58">
        <v>82449</v>
      </c>
      <c r="U11" s="58">
        <v>84144</v>
      </c>
      <c r="V11" s="58">
        <v>84013</v>
      </c>
      <c r="W11" s="58">
        <v>82650</v>
      </c>
      <c r="X11" s="58">
        <v>79807</v>
      </c>
      <c r="Y11" s="58">
        <v>73725</v>
      </c>
      <c r="Z11" s="58">
        <v>66239</v>
      </c>
      <c r="AA11" s="58">
        <f t="shared" si="0"/>
        <v>1475417</v>
      </c>
      <c r="AB11" s="53">
        <v>20</v>
      </c>
      <c r="AC11" s="58">
        <f t="shared" si="1"/>
        <v>29508340</v>
      </c>
      <c r="AD11" s="111">
        <f>+SUM(AC11:AC14)</f>
        <v>39743100</v>
      </c>
    </row>
    <row r="12" spans="1:30" x14ac:dyDescent="0.35">
      <c r="A12" s="109"/>
      <c r="B12" s="59" t="s">
        <v>40</v>
      </c>
      <c r="C12" s="58">
        <v>59004</v>
      </c>
      <c r="D12" s="58">
        <v>55180</v>
      </c>
      <c r="E12" s="58">
        <v>52488</v>
      </c>
      <c r="F12" s="58">
        <v>50612</v>
      </c>
      <c r="G12" s="58">
        <v>49987</v>
      </c>
      <c r="H12" s="58">
        <v>51043</v>
      </c>
      <c r="I12" s="58">
        <v>52438</v>
      </c>
      <c r="J12" s="58">
        <v>45592</v>
      </c>
      <c r="K12" s="58">
        <v>40991</v>
      </c>
      <c r="L12" s="58">
        <v>40066</v>
      </c>
      <c r="M12" s="58">
        <v>40236</v>
      </c>
      <c r="N12" s="58">
        <v>38380</v>
      </c>
      <c r="O12" s="58">
        <v>35909</v>
      </c>
      <c r="P12" s="58">
        <v>41624</v>
      </c>
      <c r="Q12" s="58">
        <v>53427</v>
      </c>
      <c r="R12" s="58">
        <v>63258</v>
      </c>
      <c r="S12" s="58">
        <v>67040</v>
      </c>
      <c r="T12" s="58">
        <v>72275</v>
      </c>
      <c r="U12" s="58">
        <v>78168</v>
      </c>
      <c r="V12" s="58">
        <v>78830</v>
      </c>
      <c r="W12" s="58">
        <v>76337</v>
      </c>
      <c r="X12" s="58">
        <v>73645</v>
      </c>
      <c r="Y12" s="58">
        <v>70170</v>
      </c>
      <c r="Z12" s="58">
        <v>65252</v>
      </c>
      <c r="AA12" s="58">
        <f t="shared" si="0"/>
        <v>1351952</v>
      </c>
      <c r="AB12" s="53">
        <v>4</v>
      </c>
      <c r="AC12" s="58">
        <f t="shared" si="1"/>
        <v>5407808</v>
      </c>
      <c r="AD12" s="112"/>
    </row>
    <row r="13" spans="1:30" x14ac:dyDescent="0.35">
      <c r="A13" s="109"/>
      <c r="B13" s="59" t="s">
        <v>41</v>
      </c>
      <c r="C13" s="58">
        <v>60406</v>
      </c>
      <c r="D13" s="58">
        <v>56368</v>
      </c>
      <c r="E13" s="58">
        <v>53571</v>
      </c>
      <c r="F13" s="58">
        <v>51341</v>
      </c>
      <c r="G13" s="58">
        <v>50086</v>
      </c>
      <c r="H13" s="58">
        <v>49737</v>
      </c>
      <c r="I13" s="58">
        <v>48964</v>
      </c>
      <c r="J13" s="58">
        <v>37026</v>
      </c>
      <c r="K13" s="58">
        <v>27332</v>
      </c>
      <c r="L13" s="58">
        <v>24855</v>
      </c>
      <c r="M13" s="58">
        <v>23514</v>
      </c>
      <c r="N13" s="58">
        <v>22231</v>
      </c>
      <c r="O13" s="58">
        <v>24655</v>
      </c>
      <c r="P13" s="58">
        <v>30072</v>
      </c>
      <c r="Q13" s="58">
        <v>40602</v>
      </c>
      <c r="R13" s="58">
        <v>51425</v>
      </c>
      <c r="S13" s="58">
        <v>57178</v>
      </c>
      <c r="T13" s="58">
        <v>64453</v>
      </c>
      <c r="U13" s="58">
        <v>71734</v>
      </c>
      <c r="V13" s="58">
        <v>75516</v>
      </c>
      <c r="W13" s="58">
        <v>75946</v>
      </c>
      <c r="X13" s="58">
        <v>75181</v>
      </c>
      <c r="Y13" s="58">
        <v>70498</v>
      </c>
      <c r="Z13" s="58">
        <v>64047</v>
      </c>
      <c r="AA13" s="58">
        <f t="shared" si="0"/>
        <v>1206738</v>
      </c>
      <c r="AB13" s="53">
        <v>4</v>
      </c>
      <c r="AC13" s="58">
        <f t="shared" si="1"/>
        <v>4826952</v>
      </c>
      <c r="AD13" s="112"/>
    </row>
    <row r="14" spans="1:30" x14ac:dyDescent="0.35">
      <c r="A14" s="110"/>
      <c r="B14" s="60" t="s">
        <v>42</v>
      </c>
      <c r="C14" s="58">
        <v>0</v>
      </c>
      <c r="D14" s="58">
        <v>0</v>
      </c>
      <c r="E14" s="58">
        <v>0</v>
      </c>
      <c r="F14" s="58">
        <v>0</v>
      </c>
      <c r="G14" s="58">
        <v>0</v>
      </c>
      <c r="H14" s="58">
        <v>0</v>
      </c>
      <c r="I14" s="58">
        <v>0</v>
      </c>
      <c r="J14" s="58">
        <v>0</v>
      </c>
      <c r="K14" s="58">
        <v>0</v>
      </c>
      <c r="L14" s="58">
        <v>0</v>
      </c>
      <c r="M14" s="58">
        <v>0</v>
      </c>
      <c r="N14" s="58">
        <v>0</v>
      </c>
      <c r="O14" s="58">
        <v>0</v>
      </c>
      <c r="P14" s="58">
        <v>0</v>
      </c>
      <c r="Q14" s="58">
        <v>0</v>
      </c>
      <c r="R14" s="58">
        <v>0</v>
      </c>
      <c r="S14" s="58">
        <v>0</v>
      </c>
      <c r="T14" s="58">
        <v>0</v>
      </c>
      <c r="U14" s="58">
        <v>0</v>
      </c>
      <c r="V14" s="58">
        <v>0</v>
      </c>
      <c r="W14" s="58">
        <v>0</v>
      </c>
      <c r="X14" s="58">
        <v>0</v>
      </c>
      <c r="Y14" s="58">
        <v>0</v>
      </c>
      <c r="Z14" s="58">
        <v>0</v>
      </c>
      <c r="AA14" s="58">
        <f t="shared" si="0"/>
        <v>0</v>
      </c>
      <c r="AB14" s="53">
        <v>0</v>
      </c>
      <c r="AC14" s="58">
        <f t="shared" si="1"/>
        <v>0</v>
      </c>
      <c r="AD14" s="113"/>
    </row>
    <row r="15" spans="1:30" x14ac:dyDescent="0.35">
      <c r="A15" s="108">
        <v>47543</v>
      </c>
      <c r="B15" s="57" t="s">
        <v>39</v>
      </c>
      <c r="C15" s="58">
        <v>53031</v>
      </c>
      <c r="D15" s="58">
        <v>49366</v>
      </c>
      <c r="E15" s="58">
        <v>46842</v>
      </c>
      <c r="F15" s="58">
        <v>45032</v>
      </c>
      <c r="G15" s="58">
        <v>44873</v>
      </c>
      <c r="H15" s="58">
        <v>47100</v>
      </c>
      <c r="I15" s="58">
        <v>47651</v>
      </c>
      <c r="J15" s="58">
        <v>40317</v>
      </c>
      <c r="K15" s="58">
        <v>34820</v>
      </c>
      <c r="L15" s="58">
        <v>33261</v>
      </c>
      <c r="M15" s="58">
        <v>33672</v>
      </c>
      <c r="N15" s="58">
        <v>31813</v>
      </c>
      <c r="O15" s="58">
        <v>27762</v>
      </c>
      <c r="P15" s="58">
        <v>39370</v>
      </c>
      <c r="Q15" s="58">
        <v>55068</v>
      </c>
      <c r="R15" s="58">
        <v>65183</v>
      </c>
      <c r="S15" s="58">
        <v>69098</v>
      </c>
      <c r="T15" s="58">
        <v>71728</v>
      </c>
      <c r="U15" s="58">
        <v>73915</v>
      </c>
      <c r="V15" s="58">
        <v>73776</v>
      </c>
      <c r="W15" s="58">
        <v>72659</v>
      </c>
      <c r="X15" s="58">
        <v>70335</v>
      </c>
      <c r="Y15" s="58">
        <v>65315</v>
      </c>
      <c r="Z15" s="58">
        <v>58800</v>
      </c>
      <c r="AA15" s="58">
        <f t="shared" si="0"/>
        <v>1250787</v>
      </c>
      <c r="AB15" s="53">
        <v>20</v>
      </c>
      <c r="AC15" s="58">
        <f t="shared" si="1"/>
        <v>25015740</v>
      </c>
      <c r="AD15" s="111">
        <f>+SUM(AC15:AC18)</f>
        <v>37163429</v>
      </c>
    </row>
    <row r="16" spans="1:30" x14ac:dyDescent="0.35">
      <c r="A16" s="109"/>
      <c r="B16" s="59" t="s">
        <v>40</v>
      </c>
      <c r="C16" s="58">
        <v>54750</v>
      </c>
      <c r="D16" s="58">
        <v>50906</v>
      </c>
      <c r="E16" s="58">
        <v>48204</v>
      </c>
      <c r="F16" s="58">
        <v>46043</v>
      </c>
      <c r="G16" s="58">
        <v>45118</v>
      </c>
      <c r="H16" s="58">
        <v>45371</v>
      </c>
      <c r="I16" s="58">
        <v>45877</v>
      </c>
      <c r="J16" s="58">
        <v>38874</v>
      </c>
      <c r="K16" s="58">
        <v>33834</v>
      </c>
      <c r="L16" s="58">
        <v>32397</v>
      </c>
      <c r="M16" s="58">
        <v>32455</v>
      </c>
      <c r="N16" s="58">
        <v>30300</v>
      </c>
      <c r="O16" s="58">
        <v>28155</v>
      </c>
      <c r="P16" s="58">
        <v>33801</v>
      </c>
      <c r="Q16" s="58">
        <v>44745</v>
      </c>
      <c r="R16" s="58">
        <v>54089</v>
      </c>
      <c r="S16" s="58">
        <v>58090</v>
      </c>
      <c r="T16" s="58">
        <v>64366</v>
      </c>
      <c r="U16" s="58">
        <v>70056</v>
      </c>
      <c r="V16" s="58">
        <v>70500</v>
      </c>
      <c r="W16" s="58">
        <v>68500</v>
      </c>
      <c r="X16" s="58">
        <v>66428</v>
      </c>
      <c r="Y16" s="58">
        <v>63648</v>
      </c>
      <c r="Z16" s="58">
        <v>59554</v>
      </c>
      <c r="AA16" s="58">
        <f t="shared" si="0"/>
        <v>1186061</v>
      </c>
      <c r="AB16" s="53">
        <v>5</v>
      </c>
      <c r="AC16" s="58">
        <f t="shared" si="1"/>
        <v>5930305</v>
      </c>
      <c r="AD16" s="112"/>
    </row>
    <row r="17" spans="1:30" x14ac:dyDescent="0.35">
      <c r="A17" s="109"/>
      <c r="B17" s="59" t="s">
        <v>41</v>
      </c>
      <c r="C17" s="58">
        <v>55027</v>
      </c>
      <c r="D17" s="58">
        <v>51306</v>
      </c>
      <c r="E17" s="58">
        <v>48680</v>
      </c>
      <c r="F17" s="58">
        <v>46547</v>
      </c>
      <c r="G17" s="58">
        <v>45285</v>
      </c>
      <c r="H17" s="58">
        <v>44528</v>
      </c>
      <c r="I17" s="58">
        <v>43003</v>
      </c>
      <c r="J17" s="58">
        <v>30759</v>
      </c>
      <c r="K17" s="58">
        <v>21541</v>
      </c>
      <c r="L17" s="58">
        <v>18385</v>
      </c>
      <c r="M17" s="58">
        <v>16305</v>
      </c>
      <c r="N17" s="58">
        <v>15182</v>
      </c>
      <c r="O17" s="58">
        <v>17595</v>
      </c>
      <c r="P17" s="58">
        <v>23041</v>
      </c>
      <c r="Q17" s="58">
        <v>33155</v>
      </c>
      <c r="R17" s="58">
        <v>43109</v>
      </c>
      <c r="S17" s="58">
        <v>48525</v>
      </c>
      <c r="T17" s="58">
        <v>56759</v>
      </c>
      <c r="U17" s="58">
        <v>63642</v>
      </c>
      <c r="V17" s="58">
        <v>67048</v>
      </c>
      <c r="W17" s="58">
        <v>67654</v>
      </c>
      <c r="X17" s="58">
        <v>67120</v>
      </c>
      <c r="Y17" s="58">
        <v>63057</v>
      </c>
      <c r="Z17" s="58">
        <v>57491</v>
      </c>
      <c r="AA17" s="58">
        <f t="shared" si="0"/>
        <v>1044744</v>
      </c>
      <c r="AB17" s="53">
        <v>5</v>
      </c>
      <c r="AC17" s="58">
        <f t="shared" si="1"/>
        <v>5223720</v>
      </c>
      <c r="AD17" s="112"/>
    </row>
    <row r="18" spans="1:30" x14ac:dyDescent="0.35">
      <c r="A18" s="110"/>
      <c r="B18" s="60" t="s">
        <v>42</v>
      </c>
      <c r="C18" s="58">
        <v>47807</v>
      </c>
      <c r="D18" s="58">
        <v>44028</v>
      </c>
      <c r="E18" s="58">
        <v>41596</v>
      </c>
      <c r="F18" s="58">
        <v>39943</v>
      </c>
      <c r="G18" s="58">
        <v>39117</v>
      </c>
      <c r="H18" s="58">
        <v>38933</v>
      </c>
      <c r="I18" s="58">
        <v>38675</v>
      </c>
      <c r="J18" s="58">
        <v>28805</v>
      </c>
      <c r="K18" s="58">
        <v>21144</v>
      </c>
      <c r="L18" s="58">
        <v>19524</v>
      </c>
      <c r="M18" s="58">
        <v>19425</v>
      </c>
      <c r="N18" s="58">
        <v>18323</v>
      </c>
      <c r="O18" s="58">
        <v>18610</v>
      </c>
      <c r="P18" s="58">
        <v>24901</v>
      </c>
      <c r="Q18" s="58">
        <v>34510</v>
      </c>
      <c r="R18" s="58">
        <v>43401</v>
      </c>
      <c r="S18" s="58">
        <v>47621</v>
      </c>
      <c r="T18" s="58">
        <v>55425</v>
      </c>
      <c r="U18" s="58">
        <v>63101</v>
      </c>
      <c r="V18" s="58">
        <v>66451</v>
      </c>
      <c r="W18" s="58">
        <v>66370</v>
      </c>
      <c r="X18" s="58">
        <v>64388</v>
      </c>
      <c r="Y18" s="58">
        <v>58786</v>
      </c>
      <c r="Z18" s="58">
        <v>52780</v>
      </c>
      <c r="AA18" s="58">
        <f t="shared" si="0"/>
        <v>993664</v>
      </c>
      <c r="AB18" s="53">
        <v>1</v>
      </c>
      <c r="AC18" s="58">
        <f t="shared" si="1"/>
        <v>993664</v>
      </c>
      <c r="AD18" s="113"/>
    </row>
    <row r="19" spans="1:30" x14ac:dyDescent="0.35">
      <c r="A19" s="108">
        <v>47574</v>
      </c>
      <c r="B19" s="57" t="s">
        <v>39</v>
      </c>
      <c r="C19" s="58">
        <v>57259</v>
      </c>
      <c r="D19" s="58">
        <v>53324</v>
      </c>
      <c r="E19" s="58">
        <v>50635</v>
      </c>
      <c r="F19" s="58">
        <v>48758</v>
      </c>
      <c r="G19" s="58">
        <v>48562</v>
      </c>
      <c r="H19" s="58">
        <v>49541</v>
      </c>
      <c r="I19" s="58">
        <v>50722</v>
      </c>
      <c r="J19" s="58">
        <v>44776</v>
      </c>
      <c r="K19" s="58">
        <v>40452</v>
      </c>
      <c r="L19" s="58">
        <v>39698</v>
      </c>
      <c r="M19" s="58">
        <v>40894</v>
      </c>
      <c r="N19" s="58">
        <v>39537</v>
      </c>
      <c r="O19" s="58">
        <v>34740</v>
      </c>
      <c r="P19" s="58">
        <v>46851</v>
      </c>
      <c r="Q19" s="58">
        <v>63549</v>
      </c>
      <c r="R19" s="58">
        <v>73566</v>
      </c>
      <c r="S19" s="58">
        <v>76792</v>
      </c>
      <c r="T19" s="58">
        <v>78659</v>
      </c>
      <c r="U19" s="58">
        <v>80371</v>
      </c>
      <c r="V19" s="58">
        <v>79890</v>
      </c>
      <c r="W19" s="58">
        <v>79027</v>
      </c>
      <c r="X19" s="58">
        <v>76535</v>
      </c>
      <c r="Y19" s="58">
        <v>71157</v>
      </c>
      <c r="Z19" s="58">
        <v>64068</v>
      </c>
      <c r="AA19" s="58">
        <f t="shared" si="0"/>
        <v>1389363</v>
      </c>
      <c r="AB19" s="53">
        <v>20</v>
      </c>
      <c r="AC19" s="58">
        <f t="shared" si="1"/>
        <v>27787260</v>
      </c>
      <c r="AD19" s="111">
        <f>+SUM(AC19:AC22)</f>
        <v>39331446</v>
      </c>
    </row>
    <row r="20" spans="1:30" x14ac:dyDescent="0.35">
      <c r="A20" s="109"/>
      <c r="B20" s="59" t="s">
        <v>40</v>
      </c>
      <c r="C20" s="58">
        <v>58332</v>
      </c>
      <c r="D20" s="58">
        <v>54378</v>
      </c>
      <c r="E20" s="58">
        <v>51479</v>
      </c>
      <c r="F20" s="58">
        <v>49310</v>
      </c>
      <c r="G20" s="58">
        <v>48436</v>
      </c>
      <c r="H20" s="58">
        <v>47366</v>
      </c>
      <c r="I20" s="58">
        <v>48514</v>
      </c>
      <c r="J20" s="58">
        <v>41649</v>
      </c>
      <c r="K20" s="58">
        <v>37626</v>
      </c>
      <c r="L20" s="58">
        <v>37025</v>
      </c>
      <c r="M20" s="58">
        <v>37308</v>
      </c>
      <c r="N20" s="58">
        <v>35828</v>
      </c>
      <c r="O20" s="58">
        <v>34058</v>
      </c>
      <c r="P20" s="58">
        <v>40093</v>
      </c>
      <c r="Q20" s="58">
        <v>51433</v>
      </c>
      <c r="R20" s="58">
        <v>60585</v>
      </c>
      <c r="S20" s="58">
        <v>63882</v>
      </c>
      <c r="T20" s="58">
        <v>69796</v>
      </c>
      <c r="U20" s="58">
        <v>75096</v>
      </c>
      <c r="V20" s="58">
        <v>74483</v>
      </c>
      <c r="W20" s="58">
        <v>72360</v>
      </c>
      <c r="X20" s="58">
        <v>70053</v>
      </c>
      <c r="Y20" s="58">
        <v>66970</v>
      </c>
      <c r="Z20" s="58">
        <v>62770</v>
      </c>
      <c r="AA20" s="58">
        <f t="shared" si="0"/>
        <v>1288830</v>
      </c>
      <c r="AB20" s="53">
        <v>4</v>
      </c>
      <c r="AC20" s="58">
        <f t="shared" si="1"/>
        <v>5155320</v>
      </c>
      <c r="AD20" s="112"/>
    </row>
    <row r="21" spans="1:30" x14ac:dyDescent="0.35">
      <c r="A21" s="109"/>
      <c r="B21" s="59" t="s">
        <v>41</v>
      </c>
      <c r="C21" s="58">
        <v>58613</v>
      </c>
      <c r="D21" s="58">
        <v>54490</v>
      </c>
      <c r="E21" s="58">
        <v>51486</v>
      </c>
      <c r="F21" s="58">
        <v>49103</v>
      </c>
      <c r="G21" s="58">
        <v>47746</v>
      </c>
      <c r="H21" s="58">
        <v>45879</v>
      </c>
      <c r="I21" s="58">
        <v>45221</v>
      </c>
      <c r="J21" s="58">
        <v>33786</v>
      </c>
      <c r="K21" s="58">
        <v>24633</v>
      </c>
      <c r="L21" s="58">
        <v>21983</v>
      </c>
      <c r="M21" s="58">
        <v>20813</v>
      </c>
      <c r="N21" s="58">
        <v>20205</v>
      </c>
      <c r="O21" s="58">
        <v>22555</v>
      </c>
      <c r="P21" s="58">
        <v>28219</v>
      </c>
      <c r="Q21" s="58">
        <v>38619</v>
      </c>
      <c r="R21" s="58">
        <v>48598</v>
      </c>
      <c r="S21" s="58">
        <v>53560</v>
      </c>
      <c r="T21" s="58">
        <v>61306</v>
      </c>
      <c r="U21" s="58">
        <v>68137</v>
      </c>
      <c r="V21" s="58">
        <v>70908</v>
      </c>
      <c r="W21" s="58">
        <v>70866</v>
      </c>
      <c r="X21" s="58">
        <v>70494</v>
      </c>
      <c r="Y21" s="58">
        <v>66795</v>
      </c>
      <c r="Z21" s="58">
        <v>61030</v>
      </c>
      <c r="AA21" s="58">
        <f t="shared" si="0"/>
        <v>1135045</v>
      </c>
      <c r="AB21" s="53">
        <v>4</v>
      </c>
      <c r="AC21" s="58">
        <f t="shared" si="1"/>
        <v>4540180</v>
      </c>
      <c r="AD21" s="112"/>
    </row>
    <row r="22" spans="1:30" x14ac:dyDescent="0.35">
      <c r="A22" s="110"/>
      <c r="B22" s="60" t="s">
        <v>42</v>
      </c>
      <c r="C22" s="58">
        <v>52272</v>
      </c>
      <c r="D22" s="58">
        <v>48475</v>
      </c>
      <c r="E22" s="58">
        <v>45775</v>
      </c>
      <c r="F22" s="58">
        <v>43842</v>
      </c>
      <c r="G22" s="58">
        <v>42577</v>
      </c>
      <c r="H22" s="58">
        <v>40671</v>
      </c>
      <c r="I22" s="58">
        <v>40117</v>
      </c>
      <c r="J22" s="58">
        <v>27048</v>
      </c>
      <c r="K22" s="58">
        <v>16219</v>
      </c>
      <c r="L22" s="58">
        <v>11710</v>
      </c>
      <c r="M22" s="58">
        <v>9587</v>
      </c>
      <c r="N22" s="58">
        <v>8351</v>
      </c>
      <c r="O22" s="58">
        <v>11167</v>
      </c>
      <c r="P22" s="58">
        <v>16880</v>
      </c>
      <c r="Q22" s="58">
        <v>27323</v>
      </c>
      <c r="R22" s="58">
        <v>36642</v>
      </c>
      <c r="S22" s="58">
        <v>42069</v>
      </c>
      <c r="T22" s="58">
        <v>51349</v>
      </c>
      <c r="U22" s="58">
        <v>58915</v>
      </c>
      <c r="V22" s="58">
        <v>61229</v>
      </c>
      <c r="W22" s="58">
        <v>60792</v>
      </c>
      <c r="X22" s="58">
        <v>60009</v>
      </c>
      <c r="Y22" s="58">
        <v>57637</v>
      </c>
      <c r="Z22" s="58">
        <v>53687</v>
      </c>
      <c r="AA22" s="58">
        <f t="shared" si="0"/>
        <v>924343</v>
      </c>
      <c r="AB22" s="53">
        <v>2</v>
      </c>
      <c r="AC22" s="58">
        <f t="shared" si="1"/>
        <v>1848686</v>
      </c>
      <c r="AD22" s="113"/>
    </row>
    <row r="23" spans="1:30" x14ac:dyDescent="0.35">
      <c r="A23" s="108">
        <v>47604</v>
      </c>
      <c r="B23" s="57" t="s">
        <v>39</v>
      </c>
      <c r="C23" s="58">
        <v>55989</v>
      </c>
      <c r="D23" s="58">
        <v>52303</v>
      </c>
      <c r="E23" s="58">
        <v>49601</v>
      </c>
      <c r="F23" s="58">
        <v>47705</v>
      </c>
      <c r="G23" s="58">
        <v>47227</v>
      </c>
      <c r="H23" s="58">
        <v>46813</v>
      </c>
      <c r="I23" s="58">
        <v>48319</v>
      </c>
      <c r="J23" s="58">
        <v>42464</v>
      </c>
      <c r="K23" s="58">
        <v>38704</v>
      </c>
      <c r="L23" s="58">
        <v>38140</v>
      </c>
      <c r="M23" s="58">
        <v>39057</v>
      </c>
      <c r="N23" s="58">
        <v>37401</v>
      </c>
      <c r="O23" s="58">
        <v>32856</v>
      </c>
      <c r="P23" s="58">
        <v>44583</v>
      </c>
      <c r="Q23" s="58">
        <v>60726</v>
      </c>
      <c r="R23" s="58">
        <v>70053</v>
      </c>
      <c r="S23" s="58">
        <v>73017</v>
      </c>
      <c r="T23" s="58">
        <v>74872</v>
      </c>
      <c r="U23" s="58">
        <v>76137</v>
      </c>
      <c r="V23" s="58">
        <v>76222</v>
      </c>
      <c r="W23" s="58">
        <v>75863</v>
      </c>
      <c r="X23" s="58">
        <v>73875</v>
      </c>
      <c r="Y23" s="58">
        <v>68880</v>
      </c>
      <c r="Z23" s="58">
        <v>62328</v>
      </c>
      <c r="AA23" s="58">
        <f t="shared" si="0"/>
        <v>1333135</v>
      </c>
      <c r="AB23" s="53">
        <v>22</v>
      </c>
      <c r="AC23" s="58">
        <f t="shared" si="1"/>
        <v>29328970</v>
      </c>
      <c r="AD23" s="111">
        <f>+SUM(AC23:AC26)</f>
        <v>39645761</v>
      </c>
    </row>
    <row r="24" spans="1:30" x14ac:dyDescent="0.35">
      <c r="A24" s="109"/>
      <c r="B24" s="59" t="s">
        <v>40</v>
      </c>
      <c r="C24" s="58">
        <v>58684</v>
      </c>
      <c r="D24" s="58">
        <v>54539</v>
      </c>
      <c r="E24" s="58">
        <v>51516</v>
      </c>
      <c r="F24" s="58">
        <v>49148</v>
      </c>
      <c r="G24" s="58">
        <v>48199</v>
      </c>
      <c r="H24" s="58">
        <v>46254</v>
      </c>
      <c r="I24" s="58">
        <v>47521</v>
      </c>
      <c r="J24" s="58">
        <v>40585</v>
      </c>
      <c r="K24" s="58">
        <v>37015</v>
      </c>
      <c r="L24" s="58">
        <v>36698</v>
      </c>
      <c r="M24" s="58">
        <v>36959</v>
      </c>
      <c r="N24" s="58">
        <v>34900</v>
      </c>
      <c r="O24" s="58">
        <v>32710</v>
      </c>
      <c r="P24" s="58">
        <v>38449</v>
      </c>
      <c r="Q24" s="58">
        <v>49092</v>
      </c>
      <c r="R24" s="58">
        <v>58155</v>
      </c>
      <c r="S24" s="58">
        <v>61240</v>
      </c>
      <c r="T24" s="58">
        <v>66350</v>
      </c>
      <c r="U24" s="58">
        <v>71143</v>
      </c>
      <c r="V24" s="58">
        <v>71840</v>
      </c>
      <c r="W24" s="58">
        <v>70166</v>
      </c>
      <c r="X24" s="58">
        <v>68424</v>
      </c>
      <c r="Y24" s="58">
        <v>65666</v>
      </c>
      <c r="Z24" s="58">
        <v>61608</v>
      </c>
      <c r="AA24" s="58">
        <f t="shared" si="0"/>
        <v>1256861</v>
      </c>
      <c r="AB24" s="53">
        <v>4</v>
      </c>
      <c r="AC24" s="58">
        <f t="shared" si="1"/>
        <v>5027444</v>
      </c>
      <c r="AD24" s="112"/>
    </row>
    <row r="25" spans="1:30" x14ac:dyDescent="0.35">
      <c r="A25" s="109"/>
      <c r="B25" s="59" t="s">
        <v>41</v>
      </c>
      <c r="C25" s="58">
        <v>56578</v>
      </c>
      <c r="D25" s="58">
        <v>52978</v>
      </c>
      <c r="E25" s="58">
        <v>50245</v>
      </c>
      <c r="F25" s="58">
        <v>47992</v>
      </c>
      <c r="G25" s="58">
        <v>46560</v>
      </c>
      <c r="H25" s="58">
        <v>43608</v>
      </c>
      <c r="I25" s="58">
        <v>43739</v>
      </c>
      <c r="J25" s="58">
        <v>31796</v>
      </c>
      <c r="K25" s="58">
        <v>22774</v>
      </c>
      <c r="L25" s="58">
        <v>20106</v>
      </c>
      <c r="M25" s="58">
        <v>19061</v>
      </c>
      <c r="N25" s="58">
        <v>17596</v>
      </c>
      <c r="O25" s="58">
        <v>18861</v>
      </c>
      <c r="P25" s="58">
        <v>24002</v>
      </c>
      <c r="Q25" s="58">
        <v>34468</v>
      </c>
      <c r="R25" s="58">
        <v>43965</v>
      </c>
      <c r="S25" s="58">
        <v>48959</v>
      </c>
      <c r="T25" s="58">
        <v>57044</v>
      </c>
      <c r="U25" s="58">
        <v>63516</v>
      </c>
      <c r="V25" s="58">
        <v>66605</v>
      </c>
      <c r="W25" s="58">
        <v>67194</v>
      </c>
      <c r="X25" s="58">
        <v>67262</v>
      </c>
      <c r="Y25" s="58">
        <v>64281</v>
      </c>
      <c r="Z25" s="58">
        <v>59180</v>
      </c>
      <c r="AA25" s="58">
        <f t="shared" si="0"/>
        <v>1068370</v>
      </c>
      <c r="AB25" s="53">
        <v>4</v>
      </c>
      <c r="AC25" s="58">
        <f t="shared" si="1"/>
        <v>4273480</v>
      </c>
      <c r="AD25" s="112"/>
    </row>
    <row r="26" spans="1:30" x14ac:dyDescent="0.35">
      <c r="A26" s="110"/>
      <c r="B26" s="60" t="s">
        <v>42</v>
      </c>
      <c r="C26" s="58">
        <v>49367</v>
      </c>
      <c r="D26" s="58">
        <v>45816</v>
      </c>
      <c r="E26" s="58">
        <v>43293</v>
      </c>
      <c r="F26" s="58">
        <v>41458</v>
      </c>
      <c r="G26" s="58">
        <v>40616</v>
      </c>
      <c r="H26" s="58">
        <v>38648</v>
      </c>
      <c r="I26" s="58">
        <v>39276</v>
      </c>
      <c r="J26" s="58">
        <v>28779</v>
      </c>
      <c r="K26" s="58">
        <v>20940</v>
      </c>
      <c r="L26" s="58">
        <v>19305</v>
      </c>
      <c r="M26" s="58">
        <v>19266</v>
      </c>
      <c r="N26" s="58">
        <v>18256</v>
      </c>
      <c r="O26" s="58">
        <v>19077</v>
      </c>
      <c r="P26" s="58">
        <v>25172</v>
      </c>
      <c r="Q26" s="58">
        <v>35533</v>
      </c>
      <c r="R26" s="58">
        <v>44857</v>
      </c>
      <c r="S26" s="58">
        <v>48981</v>
      </c>
      <c r="T26" s="58">
        <v>56090</v>
      </c>
      <c r="U26" s="58">
        <v>62895</v>
      </c>
      <c r="V26" s="58">
        <v>66687</v>
      </c>
      <c r="W26" s="58">
        <v>67119</v>
      </c>
      <c r="X26" s="58">
        <v>66133</v>
      </c>
      <c r="Y26" s="58">
        <v>61931</v>
      </c>
      <c r="Z26" s="58">
        <v>56372</v>
      </c>
      <c r="AA26" s="58">
        <f t="shared" si="0"/>
        <v>1015867</v>
      </c>
      <c r="AB26" s="53">
        <v>1</v>
      </c>
      <c r="AC26" s="58">
        <f t="shared" si="1"/>
        <v>1015867</v>
      </c>
      <c r="AD26" s="113"/>
    </row>
    <row r="27" spans="1:30" x14ac:dyDescent="0.35">
      <c r="A27" s="108">
        <v>47635</v>
      </c>
      <c r="B27" s="57" t="s">
        <v>39</v>
      </c>
      <c r="C27" s="58">
        <v>60346</v>
      </c>
      <c r="D27" s="58">
        <v>56367</v>
      </c>
      <c r="E27" s="58">
        <v>53447</v>
      </c>
      <c r="F27" s="58">
        <v>51439</v>
      </c>
      <c r="G27" s="58">
        <v>50942</v>
      </c>
      <c r="H27" s="58">
        <v>50276</v>
      </c>
      <c r="I27" s="58">
        <v>52652</v>
      </c>
      <c r="J27" s="58">
        <v>47815</v>
      </c>
      <c r="K27" s="58">
        <v>44154</v>
      </c>
      <c r="L27" s="58">
        <v>43458</v>
      </c>
      <c r="M27" s="58">
        <v>44367</v>
      </c>
      <c r="N27" s="58">
        <v>43020</v>
      </c>
      <c r="O27" s="58">
        <v>37746</v>
      </c>
      <c r="P27" s="58">
        <v>49424</v>
      </c>
      <c r="Q27" s="58">
        <v>65685</v>
      </c>
      <c r="R27" s="58">
        <v>75474</v>
      </c>
      <c r="S27" s="58">
        <v>78810</v>
      </c>
      <c r="T27" s="58">
        <v>79856</v>
      </c>
      <c r="U27" s="58">
        <v>80277</v>
      </c>
      <c r="V27" s="58">
        <v>81058</v>
      </c>
      <c r="W27" s="58">
        <v>80113</v>
      </c>
      <c r="X27" s="58">
        <v>77701</v>
      </c>
      <c r="Y27" s="58">
        <v>72740</v>
      </c>
      <c r="Z27" s="58">
        <v>66112</v>
      </c>
      <c r="AA27" s="58">
        <f t="shared" si="0"/>
        <v>1443279</v>
      </c>
      <c r="AB27" s="53">
        <v>18</v>
      </c>
      <c r="AC27" s="58">
        <f t="shared" si="1"/>
        <v>25979022</v>
      </c>
      <c r="AD27" s="111">
        <f>+SUM(AC27:AC30)</f>
        <v>40931335</v>
      </c>
    </row>
    <row r="28" spans="1:30" x14ac:dyDescent="0.35">
      <c r="A28" s="109"/>
      <c r="B28" s="59" t="s">
        <v>40</v>
      </c>
      <c r="C28" s="58">
        <v>61554</v>
      </c>
      <c r="D28" s="58">
        <v>57673</v>
      </c>
      <c r="E28" s="58">
        <v>54759</v>
      </c>
      <c r="F28" s="58">
        <v>52592</v>
      </c>
      <c r="G28" s="58">
        <v>51854</v>
      </c>
      <c r="H28" s="58">
        <v>49972</v>
      </c>
      <c r="I28" s="58">
        <v>52049</v>
      </c>
      <c r="J28" s="58">
        <v>45712</v>
      </c>
      <c r="K28" s="58">
        <v>41844</v>
      </c>
      <c r="L28" s="58">
        <v>41261</v>
      </c>
      <c r="M28" s="58">
        <v>41598</v>
      </c>
      <c r="N28" s="58">
        <v>39677</v>
      </c>
      <c r="O28" s="58">
        <v>37073</v>
      </c>
      <c r="P28" s="58">
        <v>42102</v>
      </c>
      <c r="Q28" s="58">
        <v>53622</v>
      </c>
      <c r="R28" s="58">
        <v>63189</v>
      </c>
      <c r="S28" s="58">
        <v>66609</v>
      </c>
      <c r="T28" s="58">
        <v>71629</v>
      </c>
      <c r="U28" s="58">
        <v>75625</v>
      </c>
      <c r="V28" s="58">
        <v>76828</v>
      </c>
      <c r="W28" s="58">
        <v>74772</v>
      </c>
      <c r="X28" s="58">
        <v>72594</v>
      </c>
      <c r="Y28" s="58">
        <v>69658</v>
      </c>
      <c r="Z28" s="58">
        <v>65548</v>
      </c>
      <c r="AA28" s="58">
        <f t="shared" si="0"/>
        <v>1359794</v>
      </c>
      <c r="AB28" s="53">
        <v>5</v>
      </c>
      <c r="AC28" s="58">
        <f t="shared" si="1"/>
        <v>6798970</v>
      </c>
      <c r="AD28" s="112"/>
    </row>
    <row r="29" spans="1:30" x14ac:dyDescent="0.35">
      <c r="A29" s="109"/>
      <c r="B29" s="59" t="s">
        <v>41</v>
      </c>
      <c r="C29" s="58">
        <v>61097</v>
      </c>
      <c r="D29" s="58">
        <v>57368</v>
      </c>
      <c r="E29" s="58">
        <v>54609</v>
      </c>
      <c r="F29" s="58">
        <v>52388</v>
      </c>
      <c r="G29" s="58">
        <v>51062</v>
      </c>
      <c r="H29" s="58">
        <v>48184</v>
      </c>
      <c r="I29" s="58">
        <v>48228</v>
      </c>
      <c r="J29" s="58">
        <v>36860</v>
      </c>
      <c r="K29" s="58">
        <v>27006</v>
      </c>
      <c r="L29" s="58">
        <v>24824</v>
      </c>
      <c r="M29" s="58">
        <v>22681</v>
      </c>
      <c r="N29" s="58">
        <v>21027</v>
      </c>
      <c r="O29" s="58">
        <v>22923</v>
      </c>
      <c r="P29" s="58">
        <v>28073</v>
      </c>
      <c r="Q29" s="58">
        <v>38167</v>
      </c>
      <c r="R29" s="58">
        <v>47952</v>
      </c>
      <c r="S29" s="58">
        <v>53606</v>
      </c>
      <c r="T29" s="58">
        <v>60629</v>
      </c>
      <c r="U29" s="58">
        <v>66848</v>
      </c>
      <c r="V29" s="58">
        <v>71561</v>
      </c>
      <c r="W29" s="58">
        <v>71900</v>
      </c>
      <c r="X29" s="58">
        <v>71577</v>
      </c>
      <c r="Y29" s="58">
        <v>68812</v>
      </c>
      <c r="Z29" s="58">
        <v>64081</v>
      </c>
      <c r="AA29" s="58">
        <f t="shared" si="0"/>
        <v>1171463</v>
      </c>
      <c r="AB29" s="53">
        <v>5</v>
      </c>
      <c r="AC29" s="58">
        <f t="shared" si="1"/>
        <v>5857315</v>
      </c>
      <c r="AD29" s="112"/>
    </row>
    <row r="30" spans="1:30" x14ac:dyDescent="0.35">
      <c r="A30" s="110"/>
      <c r="B30" s="60" t="s">
        <v>42</v>
      </c>
      <c r="C30" s="58">
        <v>54650</v>
      </c>
      <c r="D30" s="58">
        <v>51036</v>
      </c>
      <c r="E30" s="58">
        <v>48542</v>
      </c>
      <c r="F30" s="58">
        <v>46547</v>
      </c>
      <c r="G30" s="58">
        <v>45805</v>
      </c>
      <c r="H30" s="58">
        <v>43677</v>
      </c>
      <c r="I30" s="58">
        <v>44355</v>
      </c>
      <c r="J30" s="58">
        <v>34994</v>
      </c>
      <c r="K30" s="58">
        <v>27793</v>
      </c>
      <c r="L30" s="58">
        <v>26703</v>
      </c>
      <c r="M30" s="58">
        <v>26911</v>
      </c>
      <c r="N30" s="58">
        <v>25707</v>
      </c>
      <c r="O30" s="58">
        <v>26083</v>
      </c>
      <c r="P30" s="58">
        <v>31847</v>
      </c>
      <c r="Q30" s="58">
        <v>41797</v>
      </c>
      <c r="R30" s="58">
        <v>50593</v>
      </c>
      <c r="S30" s="58">
        <v>54444</v>
      </c>
      <c r="T30" s="58">
        <v>60705</v>
      </c>
      <c r="U30" s="58">
        <v>66695</v>
      </c>
      <c r="V30" s="58">
        <v>71879</v>
      </c>
      <c r="W30" s="58">
        <v>71555</v>
      </c>
      <c r="X30" s="58">
        <v>70039</v>
      </c>
      <c r="Y30" s="58">
        <v>65736</v>
      </c>
      <c r="Z30" s="58">
        <v>59921</v>
      </c>
      <c r="AA30" s="58">
        <f t="shared" si="0"/>
        <v>1148014</v>
      </c>
      <c r="AB30" s="53">
        <v>2</v>
      </c>
      <c r="AC30" s="58">
        <f t="shared" si="1"/>
        <v>2296028</v>
      </c>
      <c r="AD30" s="113"/>
    </row>
    <row r="31" spans="1:30" x14ac:dyDescent="0.35">
      <c r="A31" s="108">
        <v>47665</v>
      </c>
      <c r="B31" s="57" t="s">
        <v>39</v>
      </c>
      <c r="C31" s="58">
        <v>56362</v>
      </c>
      <c r="D31" s="58">
        <v>52541</v>
      </c>
      <c r="E31" s="58">
        <v>49811</v>
      </c>
      <c r="F31" s="58">
        <v>47721</v>
      </c>
      <c r="G31" s="58">
        <v>47097</v>
      </c>
      <c r="H31" s="58">
        <v>47071</v>
      </c>
      <c r="I31" s="58">
        <v>48789</v>
      </c>
      <c r="J31" s="58">
        <v>42919</v>
      </c>
      <c r="K31" s="58">
        <v>39082</v>
      </c>
      <c r="L31" s="58">
        <v>38358</v>
      </c>
      <c r="M31" s="58">
        <v>39139</v>
      </c>
      <c r="N31" s="58">
        <v>37049</v>
      </c>
      <c r="O31" s="58">
        <v>31683</v>
      </c>
      <c r="P31" s="58">
        <v>43123</v>
      </c>
      <c r="Q31" s="58">
        <v>58952</v>
      </c>
      <c r="R31" s="58">
        <v>68626</v>
      </c>
      <c r="S31" s="58">
        <v>71627</v>
      </c>
      <c r="T31" s="58">
        <v>73070</v>
      </c>
      <c r="U31" s="58">
        <v>72957</v>
      </c>
      <c r="V31" s="58">
        <v>74954</v>
      </c>
      <c r="W31" s="58">
        <v>74538</v>
      </c>
      <c r="X31" s="58">
        <v>72735</v>
      </c>
      <c r="Y31" s="58">
        <v>68213</v>
      </c>
      <c r="Z31" s="58">
        <v>62039</v>
      </c>
      <c r="AA31" s="58">
        <f t="shared" si="0"/>
        <v>1318456</v>
      </c>
      <c r="AB31" s="53">
        <v>22</v>
      </c>
      <c r="AC31" s="58">
        <f t="shared" si="1"/>
        <v>29006032</v>
      </c>
      <c r="AD31" s="111">
        <f>+SUM(AC31:AC34)</f>
        <v>39122600</v>
      </c>
    </row>
    <row r="32" spans="1:30" x14ac:dyDescent="0.35">
      <c r="A32" s="109"/>
      <c r="B32" s="59" t="s">
        <v>40</v>
      </c>
      <c r="C32" s="58">
        <v>55885</v>
      </c>
      <c r="D32" s="58">
        <v>52172</v>
      </c>
      <c r="E32" s="58">
        <v>49607</v>
      </c>
      <c r="F32" s="58">
        <v>47537</v>
      </c>
      <c r="G32" s="58">
        <v>46747</v>
      </c>
      <c r="H32" s="58">
        <v>45344</v>
      </c>
      <c r="I32" s="58">
        <v>46687</v>
      </c>
      <c r="J32" s="58">
        <v>40016</v>
      </c>
      <c r="K32" s="58">
        <v>35804</v>
      </c>
      <c r="L32" s="58">
        <v>35130</v>
      </c>
      <c r="M32" s="58">
        <v>34927</v>
      </c>
      <c r="N32" s="58">
        <v>33505</v>
      </c>
      <c r="O32" s="58">
        <v>31246</v>
      </c>
      <c r="P32" s="58">
        <v>36845</v>
      </c>
      <c r="Q32" s="58">
        <v>48074</v>
      </c>
      <c r="R32" s="58">
        <v>56842</v>
      </c>
      <c r="S32" s="58">
        <v>60038</v>
      </c>
      <c r="T32" s="58">
        <v>64939</v>
      </c>
      <c r="U32" s="58">
        <v>68952</v>
      </c>
      <c r="V32" s="58">
        <v>71508</v>
      </c>
      <c r="W32" s="58">
        <v>69524</v>
      </c>
      <c r="X32" s="58">
        <v>67709</v>
      </c>
      <c r="Y32" s="58">
        <v>65433</v>
      </c>
      <c r="Z32" s="58">
        <v>61871</v>
      </c>
      <c r="AA32" s="58">
        <f t="shared" si="0"/>
        <v>1226342</v>
      </c>
      <c r="AB32" s="53">
        <v>3</v>
      </c>
      <c r="AC32" s="58">
        <f t="shared" si="1"/>
        <v>3679026</v>
      </c>
      <c r="AD32" s="112"/>
    </row>
    <row r="33" spans="1:30" x14ac:dyDescent="0.35">
      <c r="A33" s="109"/>
      <c r="B33" s="59" t="s">
        <v>41</v>
      </c>
      <c r="C33" s="58">
        <v>57670</v>
      </c>
      <c r="D33" s="58">
        <v>53831</v>
      </c>
      <c r="E33" s="58">
        <v>50992</v>
      </c>
      <c r="F33" s="58">
        <v>48887</v>
      </c>
      <c r="G33" s="58">
        <v>47486</v>
      </c>
      <c r="H33" s="58">
        <v>45065</v>
      </c>
      <c r="I33" s="58">
        <v>44710</v>
      </c>
      <c r="J33" s="58">
        <v>32197</v>
      </c>
      <c r="K33" s="58">
        <v>23024</v>
      </c>
      <c r="L33" s="58">
        <v>20115</v>
      </c>
      <c r="M33" s="58">
        <v>18371</v>
      </c>
      <c r="N33" s="58">
        <v>16411</v>
      </c>
      <c r="O33" s="58">
        <v>18657</v>
      </c>
      <c r="P33" s="58">
        <v>23948</v>
      </c>
      <c r="Q33" s="58">
        <v>33577</v>
      </c>
      <c r="R33" s="58">
        <v>43742</v>
      </c>
      <c r="S33" s="58">
        <v>48746</v>
      </c>
      <c r="T33" s="58">
        <v>56828</v>
      </c>
      <c r="U33" s="58">
        <v>61865</v>
      </c>
      <c r="V33" s="58">
        <v>66768</v>
      </c>
      <c r="W33" s="58">
        <v>67550</v>
      </c>
      <c r="X33" s="58">
        <v>67451</v>
      </c>
      <c r="Y33" s="58">
        <v>64471</v>
      </c>
      <c r="Z33" s="58">
        <v>59784</v>
      </c>
      <c r="AA33" s="58">
        <f t="shared" si="0"/>
        <v>1072146</v>
      </c>
      <c r="AB33" s="53">
        <v>4</v>
      </c>
      <c r="AC33" s="58">
        <f t="shared" si="1"/>
        <v>4288584</v>
      </c>
      <c r="AD33" s="112"/>
    </row>
    <row r="34" spans="1:30" x14ac:dyDescent="0.35">
      <c r="A34" s="110"/>
      <c r="B34" s="60" t="s">
        <v>42</v>
      </c>
      <c r="C34" s="58">
        <v>53433</v>
      </c>
      <c r="D34" s="58">
        <v>49738</v>
      </c>
      <c r="E34" s="58">
        <v>46989</v>
      </c>
      <c r="F34" s="58">
        <v>45197</v>
      </c>
      <c r="G34" s="58">
        <v>44316</v>
      </c>
      <c r="H34" s="58">
        <v>42683</v>
      </c>
      <c r="I34" s="58">
        <v>43003</v>
      </c>
      <c r="J34" s="58">
        <v>32846</v>
      </c>
      <c r="K34" s="58">
        <v>25288</v>
      </c>
      <c r="L34" s="58">
        <v>23345</v>
      </c>
      <c r="M34" s="58">
        <v>22540</v>
      </c>
      <c r="N34" s="58">
        <v>20719</v>
      </c>
      <c r="O34" s="58">
        <v>20461</v>
      </c>
      <c r="P34" s="58">
        <v>26933</v>
      </c>
      <c r="Q34" s="58">
        <v>37297</v>
      </c>
      <c r="R34" s="58">
        <v>46895</v>
      </c>
      <c r="S34" s="58">
        <v>51084</v>
      </c>
      <c r="T34" s="58">
        <v>57387</v>
      </c>
      <c r="U34" s="58">
        <v>62450</v>
      </c>
      <c r="V34" s="58">
        <v>67893</v>
      </c>
      <c r="W34" s="58">
        <v>67806</v>
      </c>
      <c r="X34" s="58">
        <v>66568</v>
      </c>
      <c r="Y34" s="58">
        <v>62641</v>
      </c>
      <c r="Z34" s="58">
        <v>56967</v>
      </c>
      <c r="AA34" s="58">
        <f t="shared" si="0"/>
        <v>1074479</v>
      </c>
      <c r="AB34" s="53">
        <v>2</v>
      </c>
      <c r="AC34" s="58">
        <f>+AA34*AB34</f>
        <v>2148958</v>
      </c>
      <c r="AD34" s="113"/>
    </row>
    <row r="35" spans="1:30" x14ac:dyDescent="0.35">
      <c r="A35" s="108">
        <v>47696</v>
      </c>
      <c r="B35" s="57" t="s">
        <v>39</v>
      </c>
      <c r="C35" s="58">
        <v>58376</v>
      </c>
      <c r="D35" s="58">
        <v>54494</v>
      </c>
      <c r="E35" s="58">
        <v>51556</v>
      </c>
      <c r="F35" s="58">
        <v>49347</v>
      </c>
      <c r="G35" s="58">
        <v>48616</v>
      </c>
      <c r="H35" s="58">
        <v>48627</v>
      </c>
      <c r="I35" s="58">
        <v>49704</v>
      </c>
      <c r="J35" s="58">
        <v>43918</v>
      </c>
      <c r="K35" s="58">
        <v>39865</v>
      </c>
      <c r="L35" s="58">
        <v>39687</v>
      </c>
      <c r="M35" s="58">
        <v>40710</v>
      </c>
      <c r="N35" s="58">
        <v>39103</v>
      </c>
      <c r="O35" s="58">
        <v>33907</v>
      </c>
      <c r="P35" s="58">
        <v>46332</v>
      </c>
      <c r="Q35" s="58">
        <v>63003</v>
      </c>
      <c r="R35" s="58">
        <v>72595</v>
      </c>
      <c r="S35" s="58">
        <v>75603</v>
      </c>
      <c r="T35" s="58">
        <v>76557</v>
      </c>
      <c r="U35" s="58">
        <v>77099</v>
      </c>
      <c r="V35" s="58">
        <v>77899</v>
      </c>
      <c r="W35" s="58">
        <v>77746</v>
      </c>
      <c r="X35" s="58">
        <v>76209</v>
      </c>
      <c r="Y35" s="58">
        <v>71404</v>
      </c>
      <c r="Z35" s="58">
        <v>65147</v>
      </c>
      <c r="AA35" s="58">
        <f t="shared" si="0"/>
        <v>1377504</v>
      </c>
      <c r="AB35" s="53">
        <v>20</v>
      </c>
      <c r="AC35" s="58">
        <f t="shared" si="1"/>
        <v>27550080</v>
      </c>
      <c r="AD35" s="111">
        <f>+SUM(AC35:AC38)</f>
        <v>40790419</v>
      </c>
    </row>
    <row r="36" spans="1:30" x14ac:dyDescent="0.35">
      <c r="A36" s="109"/>
      <c r="B36" s="59" t="s">
        <v>40</v>
      </c>
      <c r="C36" s="58">
        <v>62286</v>
      </c>
      <c r="D36" s="58">
        <v>58088</v>
      </c>
      <c r="E36" s="58">
        <v>54882</v>
      </c>
      <c r="F36" s="58">
        <v>52397</v>
      </c>
      <c r="G36" s="58">
        <v>51091</v>
      </c>
      <c r="H36" s="58">
        <v>49541</v>
      </c>
      <c r="I36" s="58">
        <v>50312</v>
      </c>
      <c r="J36" s="58">
        <v>43839</v>
      </c>
      <c r="K36" s="58">
        <v>39626</v>
      </c>
      <c r="L36" s="58">
        <v>39372</v>
      </c>
      <c r="M36" s="58">
        <v>39157</v>
      </c>
      <c r="N36" s="58">
        <v>38345</v>
      </c>
      <c r="O36" s="58">
        <v>35482</v>
      </c>
      <c r="P36" s="58">
        <v>41577</v>
      </c>
      <c r="Q36" s="58">
        <v>52703</v>
      </c>
      <c r="R36" s="58">
        <v>61629</v>
      </c>
      <c r="S36" s="58">
        <v>64961</v>
      </c>
      <c r="T36" s="58">
        <v>69308</v>
      </c>
      <c r="U36" s="58">
        <v>74091</v>
      </c>
      <c r="V36" s="58">
        <v>74757</v>
      </c>
      <c r="W36" s="58">
        <v>72640</v>
      </c>
      <c r="X36" s="58">
        <v>71568</v>
      </c>
      <c r="Y36" s="58">
        <v>69498</v>
      </c>
      <c r="Z36" s="58">
        <v>65621</v>
      </c>
      <c r="AA36" s="58">
        <f t="shared" si="0"/>
        <v>1332771</v>
      </c>
      <c r="AB36" s="53">
        <v>5</v>
      </c>
      <c r="AC36" s="58">
        <f t="shared" si="1"/>
        <v>6663855</v>
      </c>
      <c r="AD36" s="112"/>
    </row>
    <row r="37" spans="1:30" x14ac:dyDescent="0.35">
      <c r="A37" s="109"/>
      <c r="B37" s="59" t="s">
        <v>41</v>
      </c>
      <c r="C37" s="58">
        <v>60589</v>
      </c>
      <c r="D37" s="58">
        <v>56607</v>
      </c>
      <c r="E37" s="58">
        <v>53439</v>
      </c>
      <c r="F37" s="58">
        <v>51019</v>
      </c>
      <c r="G37" s="58">
        <v>49247</v>
      </c>
      <c r="H37" s="58">
        <v>46129</v>
      </c>
      <c r="I37" s="58">
        <v>45055</v>
      </c>
      <c r="J37" s="58">
        <v>33436</v>
      </c>
      <c r="K37" s="58">
        <v>23994</v>
      </c>
      <c r="L37" s="58">
        <v>20657</v>
      </c>
      <c r="M37" s="58">
        <v>19385</v>
      </c>
      <c r="N37" s="58">
        <v>16998</v>
      </c>
      <c r="O37" s="58">
        <v>19387</v>
      </c>
      <c r="P37" s="58">
        <v>25997</v>
      </c>
      <c r="Q37" s="58">
        <v>35700</v>
      </c>
      <c r="R37" s="58">
        <v>45647</v>
      </c>
      <c r="S37" s="58">
        <v>49544</v>
      </c>
      <c r="T37" s="58">
        <v>56764</v>
      </c>
      <c r="U37" s="58">
        <v>63222</v>
      </c>
      <c r="V37" s="58">
        <v>66800</v>
      </c>
      <c r="W37" s="58">
        <v>67745</v>
      </c>
      <c r="X37" s="58">
        <v>67996</v>
      </c>
      <c r="Y37" s="58">
        <v>65305</v>
      </c>
      <c r="Z37" s="58">
        <v>60435</v>
      </c>
      <c r="AA37" s="58">
        <f t="shared" si="0"/>
        <v>1101097</v>
      </c>
      <c r="AB37" s="53">
        <v>4</v>
      </c>
      <c r="AC37" s="58">
        <f t="shared" si="1"/>
        <v>4404388</v>
      </c>
      <c r="AD37" s="112"/>
    </row>
    <row r="38" spans="1:30" x14ac:dyDescent="0.35">
      <c r="A38" s="110"/>
      <c r="B38" s="60" t="s">
        <v>42</v>
      </c>
      <c r="C38" s="58">
        <v>51853</v>
      </c>
      <c r="D38" s="58">
        <v>48574</v>
      </c>
      <c r="E38" s="58">
        <v>45961</v>
      </c>
      <c r="F38" s="58">
        <v>44187</v>
      </c>
      <c r="G38" s="58">
        <v>43337</v>
      </c>
      <c r="H38" s="58">
        <v>41698</v>
      </c>
      <c r="I38" s="58">
        <v>41415</v>
      </c>
      <c r="J38" s="58">
        <v>31183</v>
      </c>
      <c r="K38" s="58">
        <v>23773</v>
      </c>
      <c r="L38" s="58">
        <v>22911</v>
      </c>
      <c r="M38" s="58">
        <v>22885</v>
      </c>
      <c r="N38" s="58">
        <v>22191</v>
      </c>
      <c r="O38" s="58">
        <v>22890</v>
      </c>
      <c r="P38" s="58">
        <v>28899</v>
      </c>
      <c r="Q38" s="58">
        <v>39204</v>
      </c>
      <c r="R38" s="58">
        <v>49159</v>
      </c>
      <c r="S38" s="58">
        <v>53007</v>
      </c>
      <c r="T38" s="58">
        <v>58545</v>
      </c>
      <c r="U38" s="58">
        <v>65111</v>
      </c>
      <c r="V38" s="58">
        <v>68570</v>
      </c>
      <c r="W38" s="58">
        <v>68384</v>
      </c>
      <c r="X38" s="58">
        <v>68390</v>
      </c>
      <c r="Y38" s="58">
        <v>64737</v>
      </c>
      <c r="Z38" s="58">
        <v>59184</v>
      </c>
      <c r="AA38" s="58">
        <f t="shared" si="0"/>
        <v>1086048</v>
      </c>
      <c r="AB38" s="53">
        <v>2</v>
      </c>
      <c r="AC38" s="58">
        <f t="shared" si="1"/>
        <v>2172096</v>
      </c>
      <c r="AD38" s="113"/>
    </row>
    <row r="39" spans="1:30" x14ac:dyDescent="0.35">
      <c r="A39" s="108">
        <v>47727</v>
      </c>
      <c r="B39" s="57" t="s">
        <v>39</v>
      </c>
      <c r="C39" s="58">
        <v>61846</v>
      </c>
      <c r="D39" s="58">
        <v>57543</v>
      </c>
      <c r="E39" s="58">
        <v>54373</v>
      </c>
      <c r="F39" s="58">
        <v>51935</v>
      </c>
      <c r="G39" s="58">
        <v>51069</v>
      </c>
      <c r="H39" s="58">
        <v>50850</v>
      </c>
      <c r="I39" s="58">
        <v>52316</v>
      </c>
      <c r="J39" s="58">
        <v>47057</v>
      </c>
      <c r="K39" s="58">
        <v>43242</v>
      </c>
      <c r="L39" s="58">
        <v>43283</v>
      </c>
      <c r="M39" s="58">
        <v>44593</v>
      </c>
      <c r="N39" s="58">
        <v>43063</v>
      </c>
      <c r="O39" s="58">
        <v>38088</v>
      </c>
      <c r="P39" s="58">
        <v>51200</v>
      </c>
      <c r="Q39" s="58">
        <v>67829</v>
      </c>
      <c r="R39" s="58">
        <v>77356</v>
      </c>
      <c r="S39" s="58">
        <v>79710</v>
      </c>
      <c r="T39" s="58">
        <v>81731</v>
      </c>
      <c r="U39" s="58">
        <v>83144</v>
      </c>
      <c r="V39" s="58">
        <v>81522</v>
      </c>
      <c r="W39" s="58">
        <v>81073</v>
      </c>
      <c r="X39" s="58">
        <v>79662</v>
      </c>
      <c r="Y39" s="58">
        <v>74895</v>
      </c>
      <c r="Z39" s="58">
        <v>67986</v>
      </c>
      <c r="AA39" s="58">
        <f t="shared" si="0"/>
        <v>1465366</v>
      </c>
      <c r="AB39" s="53">
        <v>21</v>
      </c>
      <c r="AC39" s="58">
        <f t="shared" si="1"/>
        <v>30772686</v>
      </c>
      <c r="AD39" s="111">
        <f>+SUM(AC39:AC42)</f>
        <v>42415574</v>
      </c>
    </row>
    <row r="40" spans="1:30" x14ac:dyDescent="0.35">
      <c r="A40" s="109"/>
      <c r="B40" s="59" t="s">
        <v>40</v>
      </c>
      <c r="C40" s="58">
        <v>63631</v>
      </c>
      <c r="D40" s="58">
        <v>59643</v>
      </c>
      <c r="E40" s="58">
        <v>56492</v>
      </c>
      <c r="F40" s="58">
        <v>53825</v>
      </c>
      <c r="G40" s="58">
        <v>52544</v>
      </c>
      <c r="H40" s="58">
        <v>50732</v>
      </c>
      <c r="I40" s="58">
        <v>51927</v>
      </c>
      <c r="J40" s="58">
        <v>46127</v>
      </c>
      <c r="K40" s="58">
        <v>42492</v>
      </c>
      <c r="L40" s="58">
        <v>42081</v>
      </c>
      <c r="M40" s="58">
        <v>43005</v>
      </c>
      <c r="N40" s="58">
        <v>41599</v>
      </c>
      <c r="O40" s="58">
        <v>39158</v>
      </c>
      <c r="P40" s="58">
        <v>45516</v>
      </c>
      <c r="Q40" s="58">
        <v>57072</v>
      </c>
      <c r="R40" s="58">
        <v>65913</v>
      </c>
      <c r="S40" s="58">
        <v>68593</v>
      </c>
      <c r="T40" s="58">
        <v>74559</v>
      </c>
      <c r="U40" s="58">
        <v>80120</v>
      </c>
      <c r="V40" s="58">
        <v>78674</v>
      </c>
      <c r="W40" s="58">
        <v>76020</v>
      </c>
      <c r="X40" s="58">
        <v>74069</v>
      </c>
      <c r="Y40" s="58">
        <v>71804</v>
      </c>
      <c r="Z40" s="58">
        <v>68061</v>
      </c>
      <c r="AA40" s="58">
        <f t="shared" si="0"/>
        <v>1403657</v>
      </c>
      <c r="AB40" s="53">
        <v>4</v>
      </c>
      <c r="AC40" s="58">
        <f t="shared" si="1"/>
        <v>5614628</v>
      </c>
      <c r="AD40" s="112"/>
    </row>
    <row r="41" spans="1:30" x14ac:dyDescent="0.35">
      <c r="A41" s="109"/>
      <c r="B41" s="59" t="s">
        <v>41</v>
      </c>
      <c r="C41" s="58">
        <v>62646</v>
      </c>
      <c r="D41" s="58">
        <v>58783</v>
      </c>
      <c r="E41" s="58">
        <v>55823</v>
      </c>
      <c r="F41" s="58">
        <v>53463</v>
      </c>
      <c r="G41" s="58">
        <v>51847</v>
      </c>
      <c r="H41" s="58">
        <v>49413</v>
      </c>
      <c r="I41" s="58">
        <v>48964</v>
      </c>
      <c r="J41" s="58">
        <v>37056</v>
      </c>
      <c r="K41" s="58">
        <v>27217</v>
      </c>
      <c r="L41" s="58">
        <v>23877</v>
      </c>
      <c r="M41" s="58">
        <v>22869</v>
      </c>
      <c r="N41" s="58">
        <v>22000</v>
      </c>
      <c r="O41" s="58">
        <v>23534</v>
      </c>
      <c r="P41" s="58">
        <v>29996</v>
      </c>
      <c r="Q41" s="58">
        <v>41007</v>
      </c>
      <c r="R41" s="58">
        <v>50599</v>
      </c>
      <c r="S41" s="58">
        <v>55258</v>
      </c>
      <c r="T41" s="58">
        <v>63224</v>
      </c>
      <c r="U41" s="58">
        <v>70607</v>
      </c>
      <c r="V41" s="58">
        <v>72708</v>
      </c>
      <c r="W41" s="58">
        <v>73880</v>
      </c>
      <c r="X41" s="58">
        <v>74373</v>
      </c>
      <c r="Y41" s="58">
        <v>71118</v>
      </c>
      <c r="Z41" s="58">
        <v>65390</v>
      </c>
      <c r="AA41" s="58">
        <f t="shared" si="0"/>
        <v>1205652</v>
      </c>
      <c r="AB41" s="53">
        <v>5</v>
      </c>
      <c r="AC41" s="58">
        <f t="shared" si="1"/>
        <v>6028260</v>
      </c>
      <c r="AD41" s="112"/>
    </row>
    <row r="42" spans="1:30" x14ac:dyDescent="0.35">
      <c r="A42" s="110"/>
      <c r="B42" s="60" t="s">
        <v>42</v>
      </c>
      <c r="C42" s="58">
        <v>0</v>
      </c>
      <c r="D42" s="58">
        <v>0</v>
      </c>
      <c r="E42" s="58">
        <v>0</v>
      </c>
      <c r="F42" s="58">
        <v>0</v>
      </c>
      <c r="G42" s="58">
        <v>0</v>
      </c>
      <c r="H42" s="58">
        <v>0</v>
      </c>
      <c r="I42" s="58">
        <v>0</v>
      </c>
      <c r="J42" s="58">
        <v>0</v>
      </c>
      <c r="K42" s="58">
        <v>0</v>
      </c>
      <c r="L42" s="58">
        <v>0</v>
      </c>
      <c r="M42" s="58">
        <v>0</v>
      </c>
      <c r="N42" s="58">
        <v>0</v>
      </c>
      <c r="O42" s="58">
        <v>0</v>
      </c>
      <c r="P42" s="58">
        <v>0</v>
      </c>
      <c r="Q42" s="58">
        <v>0</v>
      </c>
      <c r="R42" s="58">
        <v>0</v>
      </c>
      <c r="S42" s="58">
        <v>0</v>
      </c>
      <c r="T42" s="58">
        <v>0</v>
      </c>
      <c r="U42" s="58">
        <v>0</v>
      </c>
      <c r="V42" s="58">
        <v>0</v>
      </c>
      <c r="W42" s="58">
        <v>0</v>
      </c>
      <c r="X42" s="58">
        <v>0</v>
      </c>
      <c r="Y42" s="58">
        <v>0</v>
      </c>
      <c r="Z42" s="58">
        <v>0</v>
      </c>
      <c r="AA42" s="58">
        <f t="shared" si="0"/>
        <v>0</v>
      </c>
      <c r="AB42" s="53">
        <v>0</v>
      </c>
      <c r="AC42" s="58">
        <f t="shared" si="1"/>
        <v>0</v>
      </c>
      <c r="AD42" s="113"/>
    </row>
    <row r="43" spans="1:30" x14ac:dyDescent="0.35">
      <c r="A43" s="108">
        <v>47757</v>
      </c>
      <c r="B43" s="57" t="s">
        <v>39</v>
      </c>
      <c r="C43" s="58">
        <v>57742</v>
      </c>
      <c r="D43" s="58">
        <v>53797</v>
      </c>
      <c r="E43" s="58">
        <v>50987</v>
      </c>
      <c r="F43" s="58">
        <v>49053</v>
      </c>
      <c r="G43" s="58">
        <v>48515</v>
      </c>
      <c r="H43" s="58">
        <v>48338</v>
      </c>
      <c r="I43" s="58">
        <v>50025</v>
      </c>
      <c r="J43" s="58">
        <v>44581</v>
      </c>
      <c r="K43" s="58">
        <v>41556</v>
      </c>
      <c r="L43" s="58">
        <v>41700</v>
      </c>
      <c r="M43" s="58">
        <v>43097</v>
      </c>
      <c r="N43" s="58">
        <v>42000</v>
      </c>
      <c r="O43" s="58">
        <v>37190</v>
      </c>
      <c r="P43" s="58">
        <v>49534</v>
      </c>
      <c r="Q43" s="58">
        <v>65802</v>
      </c>
      <c r="R43" s="58">
        <v>74747</v>
      </c>
      <c r="S43" s="58">
        <v>77297</v>
      </c>
      <c r="T43" s="58">
        <v>82493</v>
      </c>
      <c r="U43" s="58">
        <v>82593</v>
      </c>
      <c r="V43" s="58">
        <v>79432</v>
      </c>
      <c r="W43" s="58">
        <v>77605</v>
      </c>
      <c r="X43" s="58">
        <v>75169</v>
      </c>
      <c r="Y43" s="58">
        <v>70013</v>
      </c>
      <c r="Z43" s="58">
        <v>63554</v>
      </c>
      <c r="AA43" s="58">
        <f t="shared" si="0"/>
        <v>1406820</v>
      </c>
      <c r="AB43" s="53">
        <v>22</v>
      </c>
      <c r="AC43" s="58">
        <f t="shared" si="1"/>
        <v>30950040</v>
      </c>
      <c r="AD43" s="111">
        <f>+SUM(AC43:AC46)</f>
        <v>41662961</v>
      </c>
    </row>
    <row r="44" spans="1:30" x14ac:dyDescent="0.35">
      <c r="A44" s="109"/>
      <c r="B44" s="59" t="s">
        <v>40</v>
      </c>
      <c r="C44" s="58">
        <v>56375</v>
      </c>
      <c r="D44" s="58">
        <v>52433</v>
      </c>
      <c r="E44" s="58">
        <v>49703</v>
      </c>
      <c r="F44" s="58">
        <v>47509</v>
      </c>
      <c r="G44" s="58">
        <v>46629</v>
      </c>
      <c r="H44" s="58">
        <v>45340</v>
      </c>
      <c r="I44" s="58">
        <v>46592</v>
      </c>
      <c r="J44" s="58">
        <v>39932</v>
      </c>
      <c r="K44" s="58">
        <v>36968</v>
      </c>
      <c r="L44" s="58">
        <v>37053</v>
      </c>
      <c r="M44" s="58">
        <v>37855</v>
      </c>
      <c r="N44" s="58">
        <v>36720</v>
      </c>
      <c r="O44" s="58">
        <v>34855</v>
      </c>
      <c r="P44" s="58">
        <v>40099</v>
      </c>
      <c r="Q44" s="58">
        <v>51001</v>
      </c>
      <c r="R44" s="58">
        <v>59136</v>
      </c>
      <c r="S44" s="58">
        <v>62502</v>
      </c>
      <c r="T44" s="58">
        <v>71195</v>
      </c>
      <c r="U44" s="58">
        <v>74970</v>
      </c>
      <c r="V44" s="58">
        <v>72644</v>
      </c>
      <c r="W44" s="58">
        <v>70246</v>
      </c>
      <c r="X44" s="58">
        <v>67588</v>
      </c>
      <c r="Y44" s="58">
        <v>64318</v>
      </c>
      <c r="Z44" s="58">
        <v>60139</v>
      </c>
      <c r="AA44" s="58">
        <f t="shared" si="0"/>
        <v>1261802</v>
      </c>
      <c r="AB44" s="53">
        <v>4</v>
      </c>
      <c r="AC44" s="58">
        <f t="shared" si="1"/>
        <v>5047208</v>
      </c>
      <c r="AD44" s="112"/>
    </row>
    <row r="45" spans="1:30" x14ac:dyDescent="0.35">
      <c r="A45" s="109"/>
      <c r="B45" s="59" t="s">
        <v>41</v>
      </c>
      <c r="C45" s="58">
        <v>57473</v>
      </c>
      <c r="D45" s="58">
        <v>53841</v>
      </c>
      <c r="E45" s="58">
        <v>51076</v>
      </c>
      <c r="F45" s="58">
        <v>48694</v>
      </c>
      <c r="G45" s="58">
        <v>47199</v>
      </c>
      <c r="H45" s="58">
        <v>44964</v>
      </c>
      <c r="I45" s="58">
        <v>44715</v>
      </c>
      <c r="J45" s="58">
        <v>32277</v>
      </c>
      <c r="K45" s="58">
        <v>23255</v>
      </c>
      <c r="L45" s="58">
        <v>21206</v>
      </c>
      <c r="M45" s="58">
        <v>20110</v>
      </c>
      <c r="N45" s="58">
        <v>19506</v>
      </c>
      <c r="O45" s="58">
        <v>21469</v>
      </c>
      <c r="P45" s="58">
        <v>26945</v>
      </c>
      <c r="Q45" s="58">
        <v>36947</v>
      </c>
      <c r="R45" s="58">
        <v>47194</v>
      </c>
      <c r="S45" s="58">
        <v>52023</v>
      </c>
      <c r="T45" s="58">
        <v>62903</v>
      </c>
      <c r="U45" s="58">
        <v>68456</v>
      </c>
      <c r="V45" s="58">
        <v>69242</v>
      </c>
      <c r="W45" s="58">
        <v>69518</v>
      </c>
      <c r="X45" s="58">
        <v>69038</v>
      </c>
      <c r="Y45" s="58">
        <v>65563</v>
      </c>
      <c r="Z45" s="58">
        <v>60498</v>
      </c>
      <c r="AA45" s="58">
        <f t="shared" si="0"/>
        <v>1114112</v>
      </c>
      <c r="AB45" s="53">
        <v>4</v>
      </c>
      <c r="AC45" s="58">
        <f t="shared" si="1"/>
        <v>4456448</v>
      </c>
      <c r="AD45" s="112"/>
    </row>
    <row r="46" spans="1:30" x14ac:dyDescent="0.35">
      <c r="A46" s="110"/>
      <c r="B46" s="60" t="s">
        <v>42</v>
      </c>
      <c r="C46" s="58">
        <v>56658</v>
      </c>
      <c r="D46" s="58">
        <v>52966</v>
      </c>
      <c r="E46" s="58">
        <v>50292</v>
      </c>
      <c r="F46" s="58">
        <v>48286</v>
      </c>
      <c r="G46" s="58">
        <v>47377</v>
      </c>
      <c r="H46" s="58">
        <v>44731</v>
      </c>
      <c r="I46" s="58">
        <v>44720</v>
      </c>
      <c r="J46" s="58">
        <v>35480</v>
      </c>
      <c r="K46" s="58">
        <v>28730</v>
      </c>
      <c r="L46" s="58">
        <v>28221</v>
      </c>
      <c r="M46" s="58">
        <v>28267</v>
      </c>
      <c r="N46" s="58">
        <v>26365</v>
      </c>
      <c r="O46" s="58">
        <v>28416</v>
      </c>
      <c r="P46" s="58">
        <v>34843</v>
      </c>
      <c r="Q46" s="58">
        <v>46017</v>
      </c>
      <c r="R46" s="58">
        <v>54633</v>
      </c>
      <c r="S46" s="58">
        <v>58599</v>
      </c>
      <c r="T46" s="58">
        <v>68034</v>
      </c>
      <c r="U46" s="58">
        <v>73416</v>
      </c>
      <c r="V46" s="58">
        <v>74884</v>
      </c>
      <c r="W46" s="58">
        <v>74674</v>
      </c>
      <c r="X46" s="58">
        <v>73126</v>
      </c>
      <c r="Y46" s="58">
        <v>68442</v>
      </c>
      <c r="Z46" s="58">
        <v>62088</v>
      </c>
      <c r="AA46" s="58">
        <f t="shared" si="0"/>
        <v>1209265</v>
      </c>
      <c r="AB46" s="53">
        <v>1</v>
      </c>
      <c r="AC46" s="58">
        <f t="shared" si="1"/>
        <v>1209265</v>
      </c>
      <c r="AD46" s="113"/>
    </row>
    <row r="47" spans="1:30" x14ac:dyDescent="0.35">
      <c r="A47" s="90">
        <v>47788</v>
      </c>
      <c r="B47" s="13" t="s">
        <v>39</v>
      </c>
      <c r="C47" s="58">
        <v>57577</v>
      </c>
      <c r="D47" s="58">
        <v>53727</v>
      </c>
      <c r="E47" s="58">
        <v>51002</v>
      </c>
      <c r="F47" s="58">
        <v>49260</v>
      </c>
      <c r="G47" s="58">
        <v>49066</v>
      </c>
      <c r="H47" s="58">
        <v>49608</v>
      </c>
      <c r="I47" s="58">
        <v>52212</v>
      </c>
      <c r="J47" s="58">
        <v>47175</v>
      </c>
      <c r="K47" s="58">
        <v>43665</v>
      </c>
      <c r="L47" s="58">
        <v>43387</v>
      </c>
      <c r="M47" s="58">
        <v>44709</v>
      </c>
      <c r="N47" s="58">
        <v>43637</v>
      </c>
      <c r="O47" s="58">
        <v>38587</v>
      </c>
      <c r="P47" s="58">
        <v>50026</v>
      </c>
      <c r="Q47" s="58">
        <v>66120</v>
      </c>
      <c r="R47" s="58">
        <v>76044</v>
      </c>
      <c r="S47" s="58">
        <v>79027</v>
      </c>
      <c r="T47" s="58">
        <v>85772</v>
      </c>
      <c r="U47" s="58">
        <v>85593</v>
      </c>
      <c r="V47" s="58">
        <v>81853</v>
      </c>
      <c r="W47" s="58">
        <v>79473</v>
      </c>
      <c r="X47" s="58">
        <v>75987</v>
      </c>
      <c r="Y47" s="58">
        <v>70358</v>
      </c>
      <c r="Z47" s="58">
        <v>63556</v>
      </c>
      <c r="AA47" s="15">
        <f t="shared" si="0"/>
        <v>1437421</v>
      </c>
      <c r="AB47" s="16">
        <v>19</v>
      </c>
      <c r="AC47" s="15">
        <f t="shared" si="1"/>
        <v>27310999</v>
      </c>
      <c r="AD47" s="105">
        <f>+SUM(AC47:AC50)</f>
        <v>41208669</v>
      </c>
    </row>
    <row r="48" spans="1:30" x14ac:dyDescent="0.35">
      <c r="A48" s="91"/>
      <c r="B48" s="17" t="s">
        <v>40</v>
      </c>
      <c r="C48" s="58">
        <v>59050</v>
      </c>
      <c r="D48" s="58">
        <v>55158</v>
      </c>
      <c r="E48" s="58">
        <v>52376</v>
      </c>
      <c r="F48" s="58">
        <v>50144</v>
      </c>
      <c r="G48" s="58">
        <v>49318</v>
      </c>
      <c r="H48" s="58">
        <v>48323</v>
      </c>
      <c r="I48" s="58">
        <v>49965</v>
      </c>
      <c r="J48" s="58">
        <v>44316</v>
      </c>
      <c r="K48" s="58">
        <v>41510</v>
      </c>
      <c r="L48" s="58">
        <v>42170</v>
      </c>
      <c r="M48" s="58">
        <v>42466</v>
      </c>
      <c r="N48" s="58">
        <v>41120</v>
      </c>
      <c r="O48" s="58">
        <v>38509</v>
      </c>
      <c r="P48" s="58">
        <v>43762</v>
      </c>
      <c r="Q48" s="58">
        <v>54530</v>
      </c>
      <c r="R48" s="58">
        <v>63083</v>
      </c>
      <c r="S48" s="58">
        <v>66525</v>
      </c>
      <c r="T48" s="58">
        <v>76240</v>
      </c>
      <c r="U48" s="58">
        <v>79229</v>
      </c>
      <c r="V48" s="58">
        <v>76471</v>
      </c>
      <c r="W48" s="58">
        <v>73573</v>
      </c>
      <c r="X48" s="58">
        <v>70204</v>
      </c>
      <c r="Y48" s="58">
        <v>66679</v>
      </c>
      <c r="Z48" s="58">
        <v>62507</v>
      </c>
      <c r="AA48" s="15">
        <f t="shared" si="0"/>
        <v>1347228</v>
      </c>
      <c r="AB48" s="16">
        <v>5</v>
      </c>
      <c r="AC48" s="15">
        <f t="shared" si="1"/>
        <v>6736140</v>
      </c>
      <c r="AD48" s="106"/>
    </row>
    <row r="49" spans="1:30" x14ac:dyDescent="0.35">
      <c r="A49" s="91"/>
      <c r="B49" s="17" t="s">
        <v>41</v>
      </c>
      <c r="C49" s="58">
        <v>58173</v>
      </c>
      <c r="D49" s="58">
        <v>54524</v>
      </c>
      <c r="E49" s="58">
        <v>51734</v>
      </c>
      <c r="F49" s="58">
        <v>49546</v>
      </c>
      <c r="G49" s="58">
        <v>48177</v>
      </c>
      <c r="H49" s="58">
        <v>46385</v>
      </c>
      <c r="I49" s="58">
        <v>46494</v>
      </c>
      <c r="J49" s="58">
        <v>35555</v>
      </c>
      <c r="K49" s="58">
        <v>27381</v>
      </c>
      <c r="L49" s="58">
        <v>25319</v>
      </c>
      <c r="M49" s="58">
        <v>25024</v>
      </c>
      <c r="N49" s="58">
        <v>23790</v>
      </c>
      <c r="O49" s="58">
        <v>26044</v>
      </c>
      <c r="P49" s="58">
        <v>31259</v>
      </c>
      <c r="Q49" s="58">
        <v>40931</v>
      </c>
      <c r="R49" s="58">
        <v>49969</v>
      </c>
      <c r="S49" s="58">
        <v>54830</v>
      </c>
      <c r="T49" s="58">
        <v>67149</v>
      </c>
      <c r="U49" s="58">
        <v>71744</v>
      </c>
      <c r="V49" s="58">
        <v>71822</v>
      </c>
      <c r="W49" s="58">
        <v>70941</v>
      </c>
      <c r="X49" s="58">
        <v>69525</v>
      </c>
      <c r="Y49" s="58">
        <v>66184</v>
      </c>
      <c r="Z49" s="58">
        <v>61169</v>
      </c>
      <c r="AA49" s="15">
        <f t="shared" si="0"/>
        <v>1173669</v>
      </c>
      <c r="AB49" s="16">
        <v>4</v>
      </c>
      <c r="AC49" s="15">
        <f t="shared" si="1"/>
        <v>4694676</v>
      </c>
      <c r="AD49" s="106"/>
    </row>
    <row r="50" spans="1:30" x14ac:dyDescent="0.35">
      <c r="A50" s="92"/>
      <c r="B50" s="18" t="s">
        <v>42</v>
      </c>
      <c r="C50" s="58">
        <v>55911</v>
      </c>
      <c r="D50" s="58">
        <v>52081</v>
      </c>
      <c r="E50" s="58">
        <v>49587</v>
      </c>
      <c r="F50" s="58">
        <v>47793</v>
      </c>
      <c r="G50" s="58">
        <v>47098</v>
      </c>
      <c r="H50" s="58">
        <v>45633</v>
      </c>
      <c r="I50" s="58">
        <v>45929</v>
      </c>
      <c r="J50" s="58">
        <v>36948</v>
      </c>
      <c r="K50" s="58">
        <v>30145</v>
      </c>
      <c r="L50" s="58">
        <v>29860</v>
      </c>
      <c r="M50" s="58">
        <v>30660</v>
      </c>
      <c r="N50" s="58">
        <v>30071</v>
      </c>
      <c r="O50" s="58">
        <v>30726</v>
      </c>
      <c r="P50" s="58">
        <v>37584</v>
      </c>
      <c r="Q50" s="58">
        <v>47552</v>
      </c>
      <c r="R50" s="58">
        <v>56420</v>
      </c>
      <c r="S50" s="58">
        <v>60765</v>
      </c>
      <c r="T50" s="58">
        <v>72004</v>
      </c>
      <c r="U50" s="58">
        <v>76338</v>
      </c>
      <c r="V50" s="58">
        <v>76087</v>
      </c>
      <c r="W50" s="58">
        <v>74587</v>
      </c>
      <c r="X50" s="58">
        <v>71954</v>
      </c>
      <c r="Y50" s="58">
        <v>66795</v>
      </c>
      <c r="Z50" s="58">
        <v>60899</v>
      </c>
      <c r="AA50" s="15">
        <f t="shared" si="0"/>
        <v>1233427</v>
      </c>
      <c r="AB50" s="16">
        <v>2</v>
      </c>
      <c r="AC50" s="15">
        <f t="shared" si="1"/>
        <v>2466854</v>
      </c>
      <c r="AD50" s="107"/>
    </row>
    <row r="51" spans="1:30" x14ac:dyDescent="0.35">
      <c r="A51" s="90">
        <v>47818</v>
      </c>
      <c r="B51" s="13" t="s">
        <v>39</v>
      </c>
      <c r="C51" s="58">
        <v>56333</v>
      </c>
      <c r="D51" s="58">
        <v>52531</v>
      </c>
      <c r="E51" s="58">
        <v>49908</v>
      </c>
      <c r="F51" s="58">
        <v>47986</v>
      </c>
      <c r="G51" s="58">
        <v>47398</v>
      </c>
      <c r="H51" s="58">
        <v>47529</v>
      </c>
      <c r="I51" s="58">
        <v>48463</v>
      </c>
      <c r="J51" s="58">
        <v>42300</v>
      </c>
      <c r="K51" s="58">
        <v>38343</v>
      </c>
      <c r="L51" s="58">
        <v>38034</v>
      </c>
      <c r="M51" s="58">
        <v>38786</v>
      </c>
      <c r="N51" s="58">
        <v>37674</v>
      </c>
      <c r="O51" s="58">
        <v>34175</v>
      </c>
      <c r="P51" s="58">
        <v>43157</v>
      </c>
      <c r="Q51" s="58">
        <v>58151</v>
      </c>
      <c r="R51" s="58">
        <v>68046</v>
      </c>
      <c r="S51" s="58">
        <v>71950</v>
      </c>
      <c r="T51" s="58">
        <v>77879</v>
      </c>
      <c r="U51" s="58">
        <v>80752</v>
      </c>
      <c r="V51" s="58">
        <v>77457</v>
      </c>
      <c r="W51" s="58">
        <v>74332</v>
      </c>
      <c r="X51" s="58">
        <v>71475</v>
      </c>
      <c r="Y51" s="58">
        <v>67274</v>
      </c>
      <c r="Z51" s="58">
        <v>61877</v>
      </c>
      <c r="AA51" s="15">
        <f t="shared" si="0"/>
        <v>1331810</v>
      </c>
      <c r="AB51" s="16">
        <v>21</v>
      </c>
      <c r="AC51" s="15">
        <f t="shared" si="1"/>
        <v>27968010</v>
      </c>
      <c r="AD51" s="105">
        <f>+SUM(AC51:AC54)</f>
        <v>39740989</v>
      </c>
    </row>
    <row r="52" spans="1:30" x14ac:dyDescent="0.35">
      <c r="A52" s="91"/>
      <c r="B52" s="17" t="s">
        <v>40</v>
      </c>
      <c r="C52" s="58">
        <v>57691</v>
      </c>
      <c r="D52" s="58">
        <v>53653</v>
      </c>
      <c r="E52" s="58">
        <v>50712</v>
      </c>
      <c r="F52" s="58">
        <v>48564</v>
      </c>
      <c r="G52" s="58">
        <v>47593</v>
      </c>
      <c r="H52" s="58">
        <v>47275</v>
      </c>
      <c r="I52" s="58">
        <v>47703</v>
      </c>
      <c r="J52" s="58">
        <v>40080</v>
      </c>
      <c r="K52" s="58">
        <v>35700</v>
      </c>
      <c r="L52" s="58">
        <v>35066</v>
      </c>
      <c r="M52" s="58">
        <v>35530</v>
      </c>
      <c r="N52" s="58">
        <v>34250</v>
      </c>
      <c r="O52" s="58">
        <v>33460</v>
      </c>
      <c r="P52" s="58">
        <v>39170</v>
      </c>
      <c r="Q52" s="58">
        <v>50021</v>
      </c>
      <c r="R52" s="58">
        <v>58939</v>
      </c>
      <c r="S52" s="58">
        <v>62729</v>
      </c>
      <c r="T52" s="58">
        <v>72054</v>
      </c>
      <c r="U52" s="58">
        <v>77803</v>
      </c>
      <c r="V52" s="58">
        <v>75886</v>
      </c>
      <c r="W52" s="58">
        <v>72058</v>
      </c>
      <c r="X52" s="58">
        <v>68527</v>
      </c>
      <c r="Y52" s="58">
        <v>65024</v>
      </c>
      <c r="Z52" s="58">
        <v>61116</v>
      </c>
      <c r="AA52" s="15">
        <f t="shared" si="0"/>
        <v>1270604</v>
      </c>
      <c r="AB52" s="16">
        <v>4</v>
      </c>
      <c r="AC52" s="15">
        <f t="shared" si="1"/>
        <v>5082416</v>
      </c>
      <c r="AD52" s="106"/>
    </row>
    <row r="53" spans="1:30" x14ac:dyDescent="0.35">
      <c r="A53" s="91"/>
      <c r="B53" s="17" t="s">
        <v>41</v>
      </c>
      <c r="C53" s="58">
        <v>58215</v>
      </c>
      <c r="D53" s="58">
        <v>54461</v>
      </c>
      <c r="E53" s="58">
        <v>51569</v>
      </c>
      <c r="F53" s="58">
        <v>49390</v>
      </c>
      <c r="G53" s="58">
        <v>48022</v>
      </c>
      <c r="H53" s="58">
        <v>45655</v>
      </c>
      <c r="I53" s="58">
        <v>44822</v>
      </c>
      <c r="J53" s="58">
        <v>33439</v>
      </c>
      <c r="K53" s="58">
        <v>25144</v>
      </c>
      <c r="L53" s="58">
        <v>23369</v>
      </c>
      <c r="M53" s="58">
        <v>22666</v>
      </c>
      <c r="N53" s="58">
        <v>21583</v>
      </c>
      <c r="O53" s="58">
        <v>23574</v>
      </c>
      <c r="P53" s="58">
        <v>29044</v>
      </c>
      <c r="Q53" s="58">
        <v>39149</v>
      </c>
      <c r="R53" s="58">
        <v>49540</v>
      </c>
      <c r="S53" s="58">
        <v>54485</v>
      </c>
      <c r="T53" s="58">
        <v>65342</v>
      </c>
      <c r="U53" s="58">
        <v>72295</v>
      </c>
      <c r="V53" s="58">
        <v>71650</v>
      </c>
      <c r="W53" s="58">
        <v>69599</v>
      </c>
      <c r="X53" s="58">
        <v>67140</v>
      </c>
      <c r="Y53" s="58">
        <v>63350</v>
      </c>
      <c r="Z53" s="58">
        <v>58879</v>
      </c>
      <c r="AA53" s="15">
        <f t="shared" si="0"/>
        <v>1142382</v>
      </c>
      <c r="AB53" s="16">
        <v>5</v>
      </c>
      <c r="AC53" s="15">
        <f t="shared" si="1"/>
        <v>5711910</v>
      </c>
      <c r="AD53" s="106"/>
    </row>
    <row r="54" spans="1:30" x14ac:dyDescent="0.35">
      <c r="A54" s="92"/>
      <c r="B54" s="18" t="s">
        <v>42</v>
      </c>
      <c r="C54" s="58">
        <v>49181</v>
      </c>
      <c r="D54" s="58">
        <v>47179</v>
      </c>
      <c r="E54" s="58">
        <v>45565</v>
      </c>
      <c r="F54" s="58">
        <v>43981</v>
      </c>
      <c r="G54" s="58">
        <v>42916</v>
      </c>
      <c r="H54" s="58">
        <v>41759</v>
      </c>
      <c r="I54" s="58">
        <v>40284</v>
      </c>
      <c r="J54" s="58">
        <v>28605</v>
      </c>
      <c r="K54" s="58">
        <v>19383</v>
      </c>
      <c r="L54" s="58">
        <v>16951</v>
      </c>
      <c r="M54" s="58">
        <v>15846</v>
      </c>
      <c r="N54" s="58">
        <v>14151</v>
      </c>
      <c r="O54" s="58">
        <v>15999</v>
      </c>
      <c r="P54" s="58">
        <v>21820</v>
      </c>
      <c r="Q54" s="58">
        <v>31257</v>
      </c>
      <c r="R54" s="58">
        <v>40575</v>
      </c>
      <c r="S54" s="58">
        <v>45777</v>
      </c>
      <c r="T54" s="58">
        <v>56005</v>
      </c>
      <c r="U54" s="58">
        <v>63081</v>
      </c>
      <c r="V54" s="58">
        <v>63775</v>
      </c>
      <c r="W54" s="58">
        <v>62375</v>
      </c>
      <c r="X54" s="58">
        <v>60811</v>
      </c>
      <c r="Y54" s="58">
        <v>57865</v>
      </c>
      <c r="Z54" s="58">
        <v>53512</v>
      </c>
      <c r="AA54" s="15">
        <f t="shared" si="0"/>
        <v>978653</v>
      </c>
      <c r="AB54" s="16">
        <v>1</v>
      </c>
      <c r="AC54" s="15">
        <f t="shared" si="1"/>
        <v>978653</v>
      </c>
      <c r="AD54" s="107"/>
    </row>
    <row r="55" spans="1:30" x14ac:dyDescent="0.35">
      <c r="AD55" s="24">
        <f>+SUM(AD7:AD54)</f>
        <v>479049606</v>
      </c>
    </row>
    <row r="58" spans="1:30" x14ac:dyDescent="0.35">
      <c r="C58" s="25"/>
      <c r="D58" s="25"/>
      <c r="E58" s="25"/>
      <c r="F58" s="25"/>
      <c r="G58" s="25"/>
      <c r="H58" s="25"/>
      <c r="I58" s="25"/>
      <c r="J58" s="25"/>
      <c r="K58" s="25"/>
      <c r="L58" s="25"/>
      <c r="M58" s="25"/>
      <c r="N58" s="25"/>
      <c r="O58" s="25"/>
      <c r="P58" s="25"/>
      <c r="Q58" s="25"/>
      <c r="R58" s="25"/>
      <c r="S58" s="25"/>
      <c r="T58" s="25"/>
      <c r="U58" s="25"/>
      <c r="V58" s="25"/>
      <c r="W58" s="25"/>
      <c r="X58" s="25"/>
      <c r="Y58" s="25"/>
      <c r="Z58" s="25"/>
    </row>
  </sheetData>
  <mergeCells count="28">
    <mergeCell ref="A47:A50"/>
    <mergeCell ref="AD47:AD50"/>
    <mergeCell ref="A51:A54"/>
    <mergeCell ref="AD51:AD54"/>
    <mergeCell ref="A35:A38"/>
    <mergeCell ref="AD35:AD38"/>
    <mergeCell ref="A39:A42"/>
    <mergeCell ref="AD39:AD42"/>
    <mergeCell ref="A43:A46"/>
    <mergeCell ref="AD43:AD46"/>
    <mergeCell ref="A23:A26"/>
    <mergeCell ref="AD23:AD26"/>
    <mergeCell ref="A27:A30"/>
    <mergeCell ref="AD27:AD30"/>
    <mergeCell ref="A31:A34"/>
    <mergeCell ref="AD31:AD34"/>
    <mergeCell ref="A11:A14"/>
    <mergeCell ref="AD11:AD14"/>
    <mergeCell ref="A15:A18"/>
    <mergeCell ref="AD15:AD18"/>
    <mergeCell ref="A19:A22"/>
    <mergeCell ref="AD19:AD22"/>
    <mergeCell ref="AD7:AD10"/>
    <mergeCell ref="A1:D1"/>
    <mergeCell ref="A2:M2"/>
    <mergeCell ref="A4:B4"/>
    <mergeCell ref="C4:D4"/>
    <mergeCell ref="A7:A10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17E64C-9D21-4DF3-A818-D2210819D01E}">
  <sheetPr>
    <tabColor rgb="FF92D050"/>
  </sheetPr>
  <dimension ref="C1:I22"/>
  <sheetViews>
    <sheetView showGridLines="0" topLeftCell="A6" workbookViewId="0">
      <selection activeCell="C1" sqref="C1:G19"/>
    </sheetView>
  </sheetViews>
  <sheetFormatPr baseColWidth="10" defaultRowHeight="14.5" x14ac:dyDescent="0.35"/>
  <cols>
    <col min="2" max="2" width="2.54296875" customWidth="1"/>
    <col min="4" max="4" width="15.1796875" customWidth="1"/>
    <col min="5" max="5" width="15.1796875" bestFit="1" customWidth="1"/>
    <col min="6" max="6" width="12.54296875" customWidth="1"/>
    <col min="8" max="8" width="2" customWidth="1"/>
    <col min="9" max="9" width="14.1796875" bestFit="1" customWidth="1"/>
  </cols>
  <sheetData>
    <row r="1" spans="3:7" x14ac:dyDescent="0.35">
      <c r="C1" s="77" t="s">
        <v>44</v>
      </c>
      <c r="D1" s="77"/>
      <c r="E1" s="77"/>
      <c r="F1" s="77"/>
      <c r="G1" s="77"/>
    </row>
    <row r="2" spans="3:7" x14ac:dyDescent="0.35">
      <c r="C2" s="77"/>
      <c r="D2" s="77"/>
      <c r="E2" s="77"/>
      <c r="F2" s="77"/>
      <c r="G2" s="77"/>
    </row>
    <row r="3" spans="3:7" ht="15" thickBot="1" x14ac:dyDescent="0.4"/>
    <row r="4" spans="3:7" ht="15" thickBot="1" x14ac:dyDescent="0.4">
      <c r="C4" s="117" t="s">
        <v>49</v>
      </c>
      <c r="D4" s="118"/>
      <c r="E4" s="118"/>
      <c r="F4" s="118"/>
      <c r="G4" s="119"/>
    </row>
    <row r="5" spans="3:7" ht="32" thickBot="1" x14ac:dyDescent="0.4">
      <c r="C5" s="23" t="s">
        <v>0</v>
      </c>
      <c r="D5" s="23" t="s">
        <v>5</v>
      </c>
      <c r="E5" s="23" t="s">
        <v>1</v>
      </c>
      <c r="F5" s="55" t="s">
        <v>6</v>
      </c>
      <c r="G5" s="55" t="s">
        <v>2</v>
      </c>
    </row>
    <row r="6" spans="3:7" x14ac:dyDescent="0.35">
      <c r="C6" s="3">
        <v>47484</v>
      </c>
      <c r="D6" s="4">
        <f>+VLOOKUP(C6,'PLANA P7'!$A$4:$AD$55,30,FALSE)</f>
        <v>37200000</v>
      </c>
      <c r="E6" s="96" t="s">
        <v>1</v>
      </c>
      <c r="F6" s="1"/>
      <c r="G6" s="99" t="s">
        <v>3</v>
      </c>
    </row>
    <row r="7" spans="3:7" x14ac:dyDescent="0.35">
      <c r="C7" s="3">
        <v>47515</v>
      </c>
      <c r="D7" s="4">
        <f>+VLOOKUP(C7,'PLANA P7'!$A$4:$AD$55,30,FALSE)</f>
        <v>33600000</v>
      </c>
      <c r="E7" s="97"/>
      <c r="F7" s="1"/>
      <c r="G7" s="100"/>
    </row>
    <row r="8" spans="3:7" x14ac:dyDescent="0.35">
      <c r="C8" s="3">
        <v>47543</v>
      </c>
      <c r="D8" s="4">
        <f>+VLOOKUP(C8,'PLANA P7'!$A$4:$AD$55,30,FALSE)</f>
        <v>37200000</v>
      </c>
      <c r="E8" s="97"/>
      <c r="F8" s="1"/>
      <c r="G8" s="100"/>
    </row>
    <row r="9" spans="3:7" x14ac:dyDescent="0.35">
      <c r="C9" s="3">
        <v>47574</v>
      </c>
      <c r="D9" s="4">
        <f>+VLOOKUP(C9,'PLANA P7'!$A$4:$AD$55,30,FALSE)</f>
        <v>36000000</v>
      </c>
      <c r="E9" s="97"/>
      <c r="F9" s="1"/>
      <c r="G9" s="100"/>
    </row>
    <row r="10" spans="3:7" x14ac:dyDescent="0.35">
      <c r="C10" s="3">
        <v>47604</v>
      </c>
      <c r="D10" s="4">
        <f>+VLOOKUP(C10,'PLANA P7'!$A$4:$AD$55,30,FALSE)</f>
        <v>37200000</v>
      </c>
      <c r="E10" s="97"/>
      <c r="F10" s="1"/>
      <c r="G10" s="100"/>
    </row>
    <row r="11" spans="3:7" x14ac:dyDescent="0.35">
      <c r="C11" s="3">
        <v>47635</v>
      </c>
      <c r="D11" s="4">
        <f>+VLOOKUP(C11,'PLANA P7'!$A$4:$AD$55,30,FALSE)</f>
        <v>36000000</v>
      </c>
      <c r="E11" s="97"/>
      <c r="F11" s="1"/>
      <c r="G11" s="100"/>
    </row>
    <row r="12" spans="3:7" x14ac:dyDescent="0.35">
      <c r="C12" s="3">
        <v>47665</v>
      </c>
      <c r="D12" s="4">
        <f>+VLOOKUP(C12,'PLANA P7'!$A$4:$AD$55,30,FALSE)</f>
        <v>37200000</v>
      </c>
      <c r="E12" s="97"/>
      <c r="F12" s="1"/>
      <c r="G12" s="100"/>
    </row>
    <row r="13" spans="3:7" x14ac:dyDescent="0.35">
      <c r="C13" s="3">
        <v>47696</v>
      </c>
      <c r="D13" s="4">
        <f>+VLOOKUP(C13,'PLANA P7'!$A$4:$AD$55,30,FALSE)</f>
        <v>37200000</v>
      </c>
      <c r="E13" s="97"/>
      <c r="F13" s="1"/>
      <c r="G13" s="100"/>
    </row>
    <row r="14" spans="3:7" x14ac:dyDescent="0.35">
      <c r="C14" s="3">
        <v>47727</v>
      </c>
      <c r="D14" s="4">
        <f>+VLOOKUP(C14,'PLANA P7'!$A$4:$AD$55,30,FALSE)</f>
        <v>36000000</v>
      </c>
      <c r="E14" s="97"/>
      <c r="F14" s="1"/>
      <c r="G14" s="100"/>
    </row>
    <row r="15" spans="3:7" x14ac:dyDescent="0.35">
      <c r="C15" s="3">
        <v>47757</v>
      </c>
      <c r="D15" s="4">
        <f>+VLOOKUP(C15,'PLANA P7'!$A$4:$AD$55,30,FALSE)</f>
        <v>37200000</v>
      </c>
      <c r="E15" s="97"/>
      <c r="F15" s="1"/>
      <c r="G15" s="100"/>
    </row>
    <row r="16" spans="3:7" x14ac:dyDescent="0.35">
      <c r="C16" s="3">
        <v>47788</v>
      </c>
      <c r="D16" s="4">
        <f>+VLOOKUP(C16,'PLANA P7'!$A$4:$AD$55,30,FALSE)</f>
        <v>36000000</v>
      </c>
      <c r="E16" s="97"/>
      <c r="F16" s="1"/>
      <c r="G16" s="100"/>
    </row>
    <row r="17" spans="3:9" ht="15" thickBot="1" x14ac:dyDescent="0.4">
      <c r="C17" s="3">
        <v>47818</v>
      </c>
      <c r="D17" s="6">
        <f>+VLOOKUP(C17,'PLANA P7'!$A$4:$AD$55,30,FALSE)</f>
        <v>37200000</v>
      </c>
      <c r="E17" s="98"/>
      <c r="F17" s="7"/>
      <c r="G17" s="101"/>
    </row>
    <row r="18" spans="3:9" ht="15" thickBot="1" x14ac:dyDescent="0.4">
      <c r="D18" s="26">
        <f>SUM(D6:D17)</f>
        <v>438000000</v>
      </c>
    </row>
    <row r="19" spans="3:9" x14ac:dyDescent="0.35">
      <c r="D19" s="21"/>
      <c r="I19" s="22"/>
    </row>
    <row r="20" spans="3:9" x14ac:dyDescent="0.35">
      <c r="D20" s="19">
        <f>D18/1000000</f>
        <v>438</v>
      </c>
      <c r="I20" s="22"/>
    </row>
    <row r="21" spans="3:9" x14ac:dyDescent="0.35">
      <c r="D21" s="8">
        <f>D20*1000</f>
        <v>438000</v>
      </c>
      <c r="I21" s="22"/>
    </row>
    <row r="22" spans="3:9" x14ac:dyDescent="0.35">
      <c r="I22" s="8"/>
    </row>
  </sheetData>
  <mergeCells count="4">
    <mergeCell ref="C1:G2"/>
    <mergeCell ref="C4:G4"/>
    <mergeCell ref="E6:E17"/>
    <mergeCell ref="G6:G17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52FF8F-5FC6-4DAF-BD74-4752575A4E34}">
  <dimension ref="A1:AD58"/>
  <sheetViews>
    <sheetView showGridLines="0" topLeftCell="A29" zoomScaleNormal="100" workbookViewId="0">
      <selection sqref="A1:AD55"/>
    </sheetView>
  </sheetViews>
  <sheetFormatPr baseColWidth="10" defaultRowHeight="14.5" x14ac:dyDescent="0.35"/>
  <cols>
    <col min="1" max="1" width="7.26953125" bestFit="1" customWidth="1"/>
    <col min="2" max="2" width="8" bestFit="1" customWidth="1"/>
    <col min="3" max="3" width="9.90625" bestFit="1" customWidth="1"/>
    <col min="4" max="19" width="9" bestFit="1" customWidth="1"/>
    <col min="20" max="26" width="9.90625" bestFit="1" customWidth="1"/>
    <col min="27" max="27" width="9" bestFit="1" customWidth="1"/>
    <col min="28" max="28" width="10.453125" bestFit="1" customWidth="1"/>
    <col min="29" max="29" width="11" bestFit="1" customWidth="1"/>
    <col min="30" max="30" width="12" bestFit="1" customWidth="1"/>
  </cols>
  <sheetData>
    <row r="1" spans="1:30" x14ac:dyDescent="0.35">
      <c r="A1" s="123" t="s">
        <v>8</v>
      </c>
      <c r="B1" s="123"/>
      <c r="C1" s="123"/>
      <c r="D1" s="123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</row>
    <row r="2" spans="1:30" x14ac:dyDescent="0.35">
      <c r="A2" s="124" t="s">
        <v>43</v>
      </c>
      <c r="B2" s="124"/>
      <c r="C2" s="124"/>
      <c r="D2" s="124"/>
      <c r="E2" s="124"/>
      <c r="F2" s="124"/>
      <c r="G2" s="124"/>
      <c r="H2" s="124"/>
      <c r="I2" s="124"/>
      <c r="J2" s="124"/>
      <c r="K2" s="124"/>
      <c r="L2" s="124"/>
      <c r="M2" s="124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  <c r="AA2" s="20"/>
      <c r="AB2" s="20"/>
      <c r="AC2" s="20"/>
      <c r="AD2" s="20"/>
    </row>
    <row r="3" spans="1:30" x14ac:dyDescent="0.35">
      <c r="A3" s="20"/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  <c r="AC3" s="20"/>
      <c r="AD3" s="20"/>
    </row>
    <row r="4" spans="1:30" x14ac:dyDescent="0.35">
      <c r="A4" s="87" t="s">
        <v>9</v>
      </c>
      <c r="B4" s="87"/>
      <c r="C4" s="88">
        <f>+AD55</f>
        <v>438000000</v>
      </c>
      <c r="D4" s="8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</row>
    <row r="5" spans="1:30" x14ac:dyDescent="0.35">
      <c r="A5" s="9" t="s">
        <v>0</v>
      </c>
      <c r="B5" s="10" t="s">
        <v>10</v>
      </c>
      <c r="C5" s="9" t="s">
        <v>11</v>
      </c>
      <c r="D5" s="9" t="s">
        <v>12</v>
      </c>
      <c r="E5" s="9" t="s">
        <v>13</v>
      </c>
      <c r="F5" s="9" t="s">
        <v>14</v>
      </c>
      <c r="G5" s="9" t="s">
        <v>15</v>
      </c>
      <c r="H5" s="9" t="s">
        <v>16</v>
      </c>
      <c r="I5" s="9" t="s">
        <v>17</v>
      </c>
      <c r="J5" s="9" t="s">
        <v>18</v>
      </c>
      <c r="K5" s="9" t="s">
        <v>19</v>
      </c>
      <c r="L5" s="9" t="s">
        <v>20</v>
      </c>
      <c r="M5" s="9" t="s">
        <v>21</v>
      </c>
      <c r="N5" s="9" t="s">
        <v>22</v>
      </c>
      <c r="O5" s="9" t="s">
        <v>23</v>
      </c>
      <c r="P5" s="9" t="s">
        <v>24</v>
      </c>
      <c r="Q5" s="9" t="s">
        <v>25</v>
      </c>
      <c r="R5" s="9" t="s">
        <v>26</v>
      </c>
      <c r="S5" s="9" t="s">
        <v>27</v>
      </c>
      <c r="T5" s="9" t="s">
        <v>28</v>
      </c>
      <c r="U5" s="9" t="s">
        <v>29</v>
      </c>
      <c r="V5" s="9" t="s">
        <v>30</v>
      </c>
      <c r="W5" s="9" t="s">
        <v>31</v>
      </c>
      <c r="X5" s="9" t="s">
        <v>32</v>
      </c>
      <c r="Y5" s="9" t="s">
        <v>33</v>
      </c>
      <c r="Z5" s="9" t="s">
        <v>34</v>
      </c>
      <c r="AA5" s="9" t="s">
        <v>35</v>
      </c>
      <c r="AB5" s="9" t="s">
        <v>36</v>
      </c>
      <c r="AC5" s="9" t="s">
        <v>37</v>
      </c>
      <c r="AD5" s="9" t="s">
        <v>38</v>
      </c>
    </row>
    <row r="6" spans="1:30" hidden="1" x14ac:dyDescent="0.35">
      <c r="A6" s="52"/>
      <c r="B6" s="56"/>
      <c r="C6" s="52"/>
      <c r="D6" s="52"/>
      <c r="E6" s="52"/>
      <c r="F6" s="52"/>
      <c r="G6" s="52"/>
      <c r="H6" s="52"/>
      <c r="I6" s="52"/>
      <c r="J6" s="52"/>
      <c r="K6" s="52"/>
      <c r="L6" s="52"/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X6" s="52"/>
      <c r="Y6" s="52"/>
      <c r="Z6" s="52"/>
      <c r="AA6" s="52"/>
      <c r="AB6" s="52"/>
      <c r="AC6" s="52"/>
      <c r="AD6" s="52"/>
    </row>
    <row r="7" spans="1:30" x14ac:dyDescent="0.35">
      <c r="A7" s="108">
        <v>47484</v>
      </c>
      <c r="B7" s="57" t="s">
        <v>39</v>
      </c>
      <c r="C7" s="14">
        <v>50000</v>
      </c>
      <c r="D7" s="14">
        <v>50000</v>
      </c>
      <c r="E7" s="14">
        <v>50000</v>
      </c>
      <c r="F7" s="14">
        <v>50000</v>
      </c>
      <c r="G7" s="14">
        <v>50000</v>
      </c>
      <c r="H7" s="14">
        <v>50000</v>
      </c>
      <c r="I7" s="14">
        <v>50000</v>
      </c>
      <c r="J7" s="14">
        <v>50000</v>
      </c>
      <c r="K7" s="14">
        <v>50000</v>
      </c>
      <c r="L7" s="14">
        <v>50000</v>
      </c>
      <c r="M7" s="14">
        <v>50000</v>
      </c>
      <c r="N7" s="14">
        <v>50000</v>
      </c>
      <c r="O7" s="14">
        <v>50000</v>
      </c>
      <c r="P7" s="14">
        <v>50000</v>
      </c>
      <c r="Q7" s="14">
        <v>50000</v>
      </c>
      <c r="R7" s="14">
        <v>50000</v>
      </c>
      <c r="S7" s="14">
        <v>50000</v>
      </c>
      <c r="T7" s="14">
        <v>50000</v>
      </c>
      <c r="U7" s="14">
        <v>50000</v>
      </c>
      <c r="V7" s="14">
        <v>50000</v>
      </c>
      <c r="W7" s="14">
        <v>50000</v>
      </c>
      <c r="X7" s="14">
        <v>50000</v>
      </c>
      <c r="Y7" s="14">
        <v>50000</v>
      </c>
      <c r="Z7" s="14">
        <v>50000</v>
      </c>
      <c r="AA7" s="58">
        <f>SUM(C7:Z7)</f>
        <v>1200000</v>
      </c>
      <c r="AB7" s="53">
        <v>21</v>
      </c>
      <c r="AC7" s="58">
        <f>+AA7*AB7</f>
        <v>25200000</v>
      </c>
      <c r="AD7" s="111">
        <f>+SUM(AC7:AC10)</f>
        <v>37200000</v>
      </c>
    </row>
    <row r="8" spans="1:30" x14ac:dyDescent="0.35">
      <c r="A8" s="109"/>
      <c r="B8" s="59" t="s">
        <v>40</v>
      </c>
      <c r="C8" s="14">
        <v>50000</v>
      </c>
      <c r="D8" s="14">
        <v>50000</v>
      </c>
      <c r="E8" s="14">
        <v>50000</v>
      </c>
      <c r="F8" s="14">
        <v>50000</v>
      </c>
      <c r="G8" s="14">
        <v>50000</v>
      </c>
      <c r="H8" s="14">
        <v>50000</v>
      </c>
      <c r="I8" s="14">
        <v>50000</v>
      </c>
      <c r="J8" s="14">
        <v>50000</v>
      </c>
      <c r="K8" s="14">
        <v>50000</v>
      </c>
      <c r="L8" s="14">
        <v>50000</v>
      </c>
      <c r="M8" s="14">
        <v>50000</v>
      </c>
      <c r="N8" s="14">
        <v>50000</v>
      </c>
      <c r="O8" s="14">
        <v>50000</v>
      </c>
      <c r="P8" s="14">
        <v>50000</v>
      </c>
      <c r="Q8" s="14">
        <v>50000</v>
      </c>
      <c r="R8" s="14">
        <v>50000</v>
      </c>
      <c r="S8" s="14">
        <v>50000</v>
      </c>
      <c r="T8" s="14">
        <v>50000</v>
      </c>
      <c r="U8" s="14">
        <v>50000</v>
      </c>
      <c r="V8" s="14">
        <v>50000</v>
      </c>
      <c r="W8" s="14">
        <v>50000</v>
      </c>
      <c r="X8" s="14">
        <v>50000</v>
      </c>
      <c r="Y8" s="14">
        <v>50000</v>
      </c>
      <c r="Z8" s="14">
        <v>50000</v>
      </c>
      <c r="AA8" s="58">
        <f t="shared" ref="AA8:AA54" si="0">SUM(C8:Z8)</f>
        <v>1200000</v>
      </c>
      <c r="AB8" s="53">
        <v>4</v>
      </c>
      <c r="AC8" s="58">
        <f t="shared" ref="AC8:AC54" si="1">+AA8*AB8</f>
        <v>4800000</v>
      </c>
      <c r="AD8" s="112"/>
    </row>
    <row r="9" spans="1:30" x14ac:dyDescent="0.35">
      <c r="A9" s="109"/>
      <c r="B9" s="59" t="s">
        <v>41</v>
      </c>
      <c r="C9" s="14">
        <v>50000</v>
      </c>
      <c r="D9" s="14">
        <v>50000</v>
      </c>
      <c r="E9" s="14">
        <v>50000</v>
      </c>
      <c r="F9" s="14">
        <v>50000</v>
      </c>
      <c r="G9" s="14">
        <v>50000</v>
      </c>
      <c r="H9" s="14">
        <v>50000</v>
      </c>
      <c r="I9" s="14">
        <v>50000</v>
      </c>
      <c r="J9" s="14">
        <v>50000</v>
      </c>
      <c r="K9" s="14">
        <v>50000</v>
      </c>
      <c r="L9" s="14">
        <v>50000</v>
      </c>
      <c r="M9" s="14">
        <v>50000</v>
      </c>
      <c r="N9" s="14">
        <v>50000</v>
      </c>
      <c r="O9" s="14">
        <v>50000</v>
      </c>
      <c r="P9" s="14">
        <v>50000</v>
      </c>
      <c r="Q9" s="14">
        <v>50000</v>
      </c>
      <c r="R9" s="14">
        <v>50000</v>
      </c>
      <c r="S9" s="14">
        <v>50000</v>
      </c>
      <c r="T9" s="14">
        <v>50000</v>
      </c>
      <c r="U9" s="14">
        <v>50000</v>
      </c>
      <c r="V9" s="14">
        <v>50000</v>
      </c>
      <c r="W9" s="14">
        <v>50000</v>
      </c>
      <c r="X9" s="14">
        <v>50000</v>
      </c>
      <c r="Y9" s="14">
        <v>50000</v>
      </c>
      <c r="Z9" s="14">
        <v>50000</v>
      </c>
      <c r="AA9" s="58">
        <f t="shared" si="0"/>
        <v>1200000</v>
      </c>
      <c r="AB9" s="53">
        <v>4</v>
      </c>
      <c r="AC9" s="58">
        <f t="shared" si="1"/>
        <v>4800000</v>
      </c>
      <c r="AD9" s="112"/>
    </row>
    <row r="10" spans="1:30" x14ac:dyDescent="0.35">
      <c r="A10" s="110"/>
      <c r="B10" s="60" t="s">
        <v>42</v>
      </c>
      <c r="C10" s="14">
        <v>50000</v>
      </c>
      <c r="D10" s="14">
        <v>50000</v>
      </c>
      <c r="E10" s="14">
        <v>50000</v>
      </c>
      <c r="F10" s="14">
        <v>50000</v>
      </c>
      <c r="G10" s="14">
        <v>50000</v>
      </c>
      <c r="H10" s="14">
        <v>50000</v>
      </c>
      <c r="I10" s="14">
        <v>50000</v>
      </c>
      <c r="J10" s="14">
        <v>50000</v>
      </c>
      <c r="K10" s="14">
        <v>50000</v>
      </c>
      <c r="L10" s="14">
        <v>50000</v>
      </c>
      <c r="M10" s="14">
        <v>50000</v>
      </c>
      <c r="N10" s="14">
        <v>50000</v>
      </c>
      <c r="O10" s="14">
        <v>50000</v>
      </c>
      <c r="P10" s="14">
        <v>50000</v>
      </c>
      <c r="Q10" s="14">
        <v>50000</v>
      </c>
      <c r="R10" s="14">
        <v>50000</v>
      </c>
      <c r="S10" s="14">
        <v>50000</v>
      </c>
      <c r="T10" s="14">
        <v>50000</v>
      </c>
      <c r="U10" s="14">
        <v>50000</v>
      </c>
      <c r="V10" s="14">
        <v>50000</v>
      </c>
      <c r="W10" s="14">
        <v>50000</v>
      </c>
      <c r="X10" s="14">
        <v>50000</v>
      </c>
      <c r="Y10" s="14">
        <v>50000</v>
      </c>
      <c r="Z10" s="14">
        <v>50000</v>
      </c>
      <c r="AA10" s="58">
        <f t="shared" si="0"/>
        <v>1200000</v>
      </c>
      <c r="AB10" s="53">
        <v>2</v>
      </c>
      <c r="AC10" s="58">
        <f t="shared" si="1"/>
        <v>2400000</v>
      </c>
      <c r="AD10" s="113"/>
    </row>
    <row r="11" spans="1:30" x14ac:dyDescent="0.35">
      <c r="A11" s="108">
        <v>47515</v>
      </c>
      <c r="B11" s="57" t="s">
        <v>39</v>
      </c>
      <c r="C11" s="14">
        <v>50000</v>
      </c>
      <c r="D11" s="14">
        <v>50000</v>
      </c>
      <c r="E11" s="14">
        <v>50000</v>
      </c>
      <c r="F11" s="14">
        <v>50000</v>
      </c>
      <c r="G11" s="14">
        <v>50000</v>
      </c>
      <c r="H11" s="14">
        <v>50000</v>
      </c>
      <c r="I11" s="14">
        <v>50000</v>
      </c>
      <c r="J11" s="14">
        <v>50000</v>
      </c>
      <c r="K11" s="14">
        <v>50000</v>
      </c>
      <c r="L11" s="14">
        <v>50000</v>
      </c>
      <c r="M11" s="14">
        <v>50000</v>
      </c>
      <c r="N11" s="14">
        <v>50000</v>
      </c>
      <c r="O11" s="14">
        <v>50000</v>
      </c>
      <c r="P11" s="14">
        <v>50000</v>
      </c>
      <c r="Q11" s="14">
        <v>50000</v>
      </c>
      <c r="R11" s="14">
        <v>50000</v>
      </c>
      <c r="S11" s="14">
        <v>50000</v>
      </c>
      <c r="T11" s="14">
        <v>50000</v>
      </c>
      <c r="U11" s="14">
        <v>50000</v>
      </c>
      <c r="V11" s="14">
        <v>50000</v>
      </c>
      <c r="W11" s="14">
        <v>50000</v>
      </c>
      <c r="X11" s="14">
        <v>50000</v>
      </c>
      <c r="Y11" s="14">
        <v>50000</v>
      </c>
      <c r="Z11" s="14">
        <v>50000</v>
      </c>
      <c r="AA11" s="58">
        <f t="shared" si="0"/>
        <v>1200000</v>
      </c>
      <c r="AB11" s="53">
        <v>20</v>
      </c>
      <c r="AC11" s="58">
        <f t="shared" si="1"/>
        <v>24000000</v>
      </c>
      <c r="AD11" s="111">
        <f>+SUM(AC11:AC14)</f>
        <v>33600000</v>
      </c>
    </row>
    <row r="12" spans="1:30" x14ac:dyDescent="0.35">
      <c r="A12" s="109"/>
      <c r="B12" s="59" t="s">
        <v>40</v>
      </c>
      <c r="C12" s="14">
        <v>50000</v>
      </c>
      <c r="D12" s="14">
        <v>50000</v>
      </c>
      <c r="E12" s="14">
        <v>50000</v>
      </c>
      <c r="F12" s="14">
        <v>50000</v>
      </c>
      <c r="G12" s="14">
        <v>50000</v>
      </c>
      <c r="H12" s="14">
        <v>50000</v>
      </c>
      <c r="I12" s="14">
        <v>50000</v>
      </c>
      <c r="J12" s="14">
        <v>50000</v>
      </c>
      <c r="K12" s="14">
        <v>50000</v>
      </c>
      <c r="L12" s="14">
        <v>50000</v>
      </c>
      <c r="M12" s="14">
        <v>50000</v>
      </c>
      <c r="N12" s="14">
        <v>50000</v>
      </c>
      <c r="O12" s="14">
        <v>50000</v>
      </c>
      <c r="P12" s="14">
        <v>50000</v>
      </c>
      <c r="Q12" s="14">
        <v>50000</v>
      </c>
      <c r="R12" s="14">
        <v>50000</v>
      </c>
      <c r="S12" s="14">
        <v>50000</v>
      </c>
      <c r="T12" s="14">
        <v>50000</v>
      </c>
      <c r="U12" s="14">
        <v>50000</v>
      </c>
      <c r="V12" s="14">
        <v>50000</v>
      </c>
      <c r="W12" s="14">
        <v>50000</v>
      </c>
      <c r="X12" s="14">
        <v>50000</v>
      </c>
      <c r="Y12" s="14">
        <v>50000</v>
      </c>
      <c r="Z12" s="14">
        <v>50000</v>
      </c>
      <c r="AA12" s="58">
        <f t="shared" si="0"/>
        <v>1200000</v>
      </c>
      <c r="AB12" s="53">
        <v>4</v>
      </c>
      <c r="AC12" s="58">
        <f t="shared" si="1"/>
        <v>4800000</v>
      </c>
      <c r="AD12" s="112"/>
    </row>
    <row r="13" spans="1:30" x14ac:dyDescent="0.35">
      <c r="A13" s="109"/>
      <c r="B13" s="59" t="s">
        <v>41</v>
      </c>
      <c r="C13" s="14">
        <v>50000</v>
      </c>
      <c r="D13" s="14">
        <v>50000</v>
      </c>
      <c r="E13" s="14">
        <v>50000</v>
      </c>
      <c r="F13" s="14">
        <v>50000</v>
      </c>
      <c r="G13" s="14">
        <v>50000</v>
      </c>
      <c r="H13" s="14">
        <v>50000</v>
      </c>
      <c r="I13" s="14">
        <v>50000</v>
      </c>
      <c r="J13" s="14">
        <v>50000</v>
      </c>
      <c r="K13" s="14">
        <v>50000</v>
      </c>
      <c r="L13" s="14">
        <v>50000</v>
      </c>
      <c r="M13" s="14">
        <v>50000</v>
      </c>
      <c r="N13" s="14">
        <v>50000</v>
      </c>
      <c r="O13" s="14">
        <v>50000</v>
      </c>
      <c r="P13" s="14">
        <v>50000</v>
      </c>
      <c r="Q13" s="14">
        <v>50000</v>
      </c>
      <c r="R13" s="14">
        <v>50000</v>
      </c>
      <c r="S13" s="14">
        <v>50000</v>
      </c>
      <c r="T13" s="14">
        <v>50000</v>
      </c>
      <c r="U13" s="14">
        <v>50000</v>
      </c>
      <c r="V13" s="14">
        <v>50000</v>
      </c>
      <c r="W13" s="14">
        <v>50000</v>
      </c>
      <c r="X13" s="14">
        <v>50000</v>
      </c>
      <c r="Y13" s="14">
        <v>50000</v>
      </c>
      <c r="Z13" s="14">
        <v>50000</v>
      </c>
      <c r="AA13" s="58">
        <f t="shared" si="0"/>
        <v>1200000</v>
      </c>
      <c r="AB13" s="53">
        <v>4</v>
      </c>
      <c r="AC13" s="58">
        <f t="shared" si="1"/>
        <v>4800000</v>
      </c>
      <c r="AD13" s="112"/>
    </row>
    <row r="14" spans="1:30" x14ac:dyDescent="0.35">
      <c r="A14" s="110"/>
      <c r="B14" s="60" t="s">
        <v>42</v>
      </c>
      <c r="C14" s="58">
        <v>0</v>
      </c>
      <c r="D14" s="58">
        <v>0</v>
      </c>
      <c r="E14" s="58">
        <v>0</v>
      </c>
      <c r="F14" s="58">
        <v>0</v>
      </c>
      <c r="G14" s="58">
        <v>0</v>
      </c>
      <c r="H14" s="58">
        <v>0</v>
      </c>
      <c r="I14" s="58">
        <v>0</v>
      </c>
      <c r="J14" s="58">
        <v>0</v>
      </c>
      <c r="K14" s="58">
        <v>0</v>
      </c>
      <c r="L14" s="58">
        <v>0</v>
      </c>
      <c r="M14" s="58">
        <v>0</v>
      </c>
      <c r="N14" s="58">
        <v>0</v>
      </c>
      <c r="O14" s="58">
        <v>0</v>
      </c>
      <c r="P14" s="58">
        <v>0</v>
      </c>
      <c r="Q14" s="58">
        <v>0</v>
      </c>
      <c r="R14" s="58">
        <v>0</v>
      </c>
      <c r="S14" s="58">
        <v>0</v>
      </c>
      <c r="T14" s="58">
        <v>0</v>
      </c>
      <c r="U14" s="58">
        <v>0</v>
      </c>
      <c r="V14" s="58">
        <v>0</v>
      </c>
      <c r="W14" s="58">
        <v>0</v>
      </c>
      <c r="X14" s="58">
        <v>0</v>
      </c>
      <c r="Y14" s="58">
        <v>0</v>
      </c>
      <c r="Z14" s="58">
        <v>0</v>
      </c>
      <c r="AA14" s="58">
        <f t="shared" si="0"/>
        <v>0</v>
      </c>
      <c r="AB14" s="53">
        <v>0</v>
      </c>
      <c r="AC14" s="58">
        <f t="shared" si="1"/>
        <v>0</v>
      </c>
      <c r="AD14" s="113"/>
    </row>
    <row r="15" spans="1:30" x14ac:dyDescent="0.35">
      <c r="A15" s="108">
        <v>47543</v>
      </c>
      <c r="B15" s="57" t="s">
        <v>39</v>
      </c>
      <c r="C15" s="58">
        <v>50000</v>
      </c>
      <c r="D15" s="58">
        <v>50000</v>
      </c>
      <c r="E15" s="58">
        <v>50000</v>
      </c>
      <c r="F15" s="58">
        <v>50000</v>
      </c>
      <c r="G15" s="58">
        <v>50000</v>
      </c>
      <c r="H15" s="58">
        <v>50000</v>
      </c>
      <c r="I15" s="58">
        <v>50000</v>
      </c>
      <c r="J15" s="58">
        <v>50000</v>
      </c>
      <c r="K15" s="58">
        <v>50000</v>
      </c>
      <c r="L15" s="58">
        <v>50000</v>
      </c>
      <c r="M15" s="58">
        <v>50000</v>
      </c>
      <c r="N15" s="58">
        <v>50000</v>
      </c>
      <c r="O15" s="58">
        <v>50000</v>
      </c>
      <c r="P15" s="58">
        <v>50000</v>
      </c>
      <c r="Q15" s="58">
        <v>50000</v>
      </c>
      <c r="R15" s="58">
        <v>50000</v>
      </c>
      <c r="S15" s="58">
        <v>50000</v>
      </c>
      <c r="T15" s="58">
        <v>50000</v>
      </c>
      <c r="U15" s="58">
        <v>50000</v>
      </c>
      <c r="V15" s="58">
        <v>50000</v>
      </c>
      <c r="W15" s="58">
        <v>50000</v>
      </c>
      <c r="X15" s="58">
        <v>50000</v>
      </c>
      <c r="Y15" s="58">
        <v>50000</v>
      </c>
      <c r="Z15" s="58">
        <v>50000</v>
      </c>
      <c r="AA15" s="58">
        <f t="shared" si="0"/>
        <v>1200000</v>
      </c>
      <c r="AB15" s="53">
        <v>20</v>
      </c>
      <c r="AC15" s="58">
        <f t="shared" si="1"/>
        <v>24000000</v>
      </c>
      <c r="AD15" s="111">
        <f>+SUM(AC15:AC18)</f>
        <v>37200000</v>
      </c>
    </row>
    <row r="16" spans="1:30" x14ac:dyDescent="0.35">
      <c r="A16" s="109"/>
      <c r="B16" s="59" t="s">
        <v>40</v>
      </c>
      <c r="C16" s="58">
        <v>50000</v>
      </c>
      <c r="D16" s="58">
        <v>50000</v>
      </c>
      <c r="E16" s="58">
        <v>50000</v>
      </c>
      <c r="F16" s="58">
        <v>50000</v>
      </c>
      <c r="G16" s="58">
        <v>50000</v>
      </c>
      <c r="H16" s="58">
        <v>50000</v>
      </c>
      <c r="I16" s="58">
        <v>50000</v>
      </c>
      <c r="J16" s="58">
        <v>50000</v>
      </c>
      <c r="K16" s="58">
        <v>50000</v>
      </c>
      <c r="L16" s="58">
        <v>50000</v>
      </c>
      <c r="M16" s="58">
        <v>50000</v>
      </c>
      <c r="N16" s="58">
        <v>50000</v>
      </c>
      <c r="O16" s="58">
        <v>50000</v>
      </c>
      <c r="P16" s="58">
        <v>50000</v>
      </c>
      <c r="Q16" s="58">
        <v>50000</v>
      </c>
      <c r="R16" s="58">
        <v>50000</v>
      </c>
      <c r="S16" s="58">
        <v>50000</v>
      </c>
      <c r="T16" s="58">
        <v>50000</v>
      </c>
      <c r="U16" s="58">
        <v>50000</v>
      </c>
      <c r="V16" s="58">
        <v>50000</v>
      </c>
      <c r="W16" s="58">
        <v>50000</v>
      </c>
      <c r="X16" s="58">
        <v>50000</v>
      </c>
      <c r="Y16" s="58">
        <v>50000</v>
      </c>
      <c r="Z16" s="58">
        <v>50000</v>
      </c>
      <c r="AA16" s="58">
        <f t="shared" si="0"/>
        <v>1200000</v>
      </c>
      <c r="AB16" s="53">
        <v>5</v>
      </c>
      <c r="AC16" s="58">
        <f t="shared" si="1"/>
        <v>6000000</v>
      </c>
      <c r="AD16" s="112"/>
    </row>
    <row r="17" spans="1:30" x14ac:dyDescent="0.35">
      <c r="A17" s="109"/>
      <c r="B17" s="59" t="s">
        <v>41</v>
      </c>
      <c r="C17" s="58">
        <v>50000</v>
      </c>
      <c r="D17" s="58">
        <v>50000</v>
      </c>
      <c r="E17" s="58">
        <v>50000</v>
      </c>
      <c r="F17" s="58">
        <v>50000</v>
      </c>
      <c r="G17" s="58">
        <v>50000</v>
      </c>
      <c r="H17" s="58">
        <v>50000</v>
      </c>
      <c r="I17" s="58">
        <v>50000</v>
      </c>
      <c r="J17" s="58">
        <v>50000</v>
      </c>
      <c r="K17" s="58">
        <v>50000</v>
      </c>
      <c r="L17" s="58">
        <v>50000</v>
      </c>
      <c r="M17" s="58">
        <v>50000</v>
      </c>
      <c r="N17" s="58">
        <v>50000</v>
      </c>
      <c r="O17" s="58">
        <v>50000</v>
      </c>
      <c r="P17" s="58">
        <v>50000</v>
      </c>
      <c r="Q17" s="58">
        <v>50000</v>
      </c>
      <c r="R17" s="58">
        <v>50000</v>
      </c>
      <c r="S17" s="58">
        <v>50000</v>
      </c>
      <c r="T17" s="58">
        <v>50000</v>
      </c>
      <c r="U17" s="58">
        <v>50000</v>
      </c>
      <c r="V17" s="58">
        <v>50000</v>
      </c>
      <c r="W17" s="58">
        <v>50000</v>
      </c>
      <c r="X17" s="58">
        <v>50000</v>
      </c>
      <c r="Y17" s="58">
        <v>50000</v>
      </c>
      <c r="Z17" s="58">
        <v>50000</v>
      </c>
      <c r="AA17" s="58">
        <f t="shared" si="0"/>
        <v>1200000</v>
      </c>
      <c r="AB17" s="53">
        <v>5</v>
      </c>
      <c r="AC17" s="58">
        <f t="shared" si="1"/>
        <v>6000000</v>
      </c>
      <c r="AD17" s="112"/>
    </row>
    <row r="18" spans="1:30" x14ac:dyDescent="0.35">
      <c r="A18" s="110"/>
      <c r="B18" s="60" t="s">
        <v>42</v>
      </c>
      <c r="C18" s="58">
        <v>50000</v>
      </c>
      <c r="D18" s="58">
        <v>50000</v>
      </c>
      <c r="E18" s="58">
        <v>50000</v>
      </c>
      <c r="F18" s="58">
        <v>50000</v>
      </c>
      <c r="G18" s="58">
        <v>50000</v>
      </c>
      <c r="H18" s="58">
        <v>50000</v>
      </c>
      <c r="I18" s="58">
        <v>50000</v>
      </c>
      <c r="J18" s="58">
        <v>50000</v>
      </c>
      <c r="K18" s="58">
        <v>50000</v>
      </c>
      <c r="L18" s="58">
        <v>50000</v>
      </c>
      <c r="M18" s="58">
        <v>50000</v>
      </c>
      <c r="N18" s="58">
        <v>50000</v>
      </c>
      <c r="O18" s="58">
        <v>50000</v>
      </c>
      <c r="P18" s="58">
        <v>50000</v>
      </c>
      <c r="Q18" s="58">
        <v>50000</v>
      </c>
      <c r="R18" s="58">
        <v>50000</v>
      </c>
      <c r="S18" s="58">
        <v>50000</v>
      </c>
      <c r="T18" s="58">
        <v>50000</v>
      </c>
      <c r="U18" s="58">
        <v>50000</v>
      </c>
      <c r="V18" s="58">
        <v>50000</v>
      </c>
      <c r="W18" s="58">
        <v>50000</v>
      </c>
      <c r="X18" s="58">
        <v>50000</v>
      </c>
      <c r="Y18" s="58">
        <v>50000</v>
      </c>
      <c r="Z18" s="58">
        <v>50000</v>
      </c>
      <c r="AA18" s="58">
        <f t="shared" si="0"/>
        <v>1200000</v>
      </c>
      <c r="AB18" s="53">
        <v>1</v>
      </c>
      <c r="AC18" s="58">
        <f t="shared" si="1"/>
        <v>1200000</v>
      </c>
      <c r="AD18" s="113"/>
    </row>
    <row r="19" spans="1:30" x14ac:dyDescent="0.35">
      <c r="A19" s="108">
        <v>47574</v>
      </c>
      <c r="B19" s="57" t="s">
        <v>39</v>
      </c>
      <c r="C19" s="58">
        <v>50000</v>
      </c>
      <c r="D19" s="58">
        <v>50000</v>
      </c>
      <c r="E19" s="58">
        <v>50000</v>
      </c>
      <c r="F19" s="58">
        <v>50000</v>
      </c>
      <c r="G19" s="58">
        <v>50000</v>
      </c>
      <c r="H19" s="58">
        <v>50000</v>
      </c>
      <c r="I19" s="58">
        <v>50000</v>
      </c>
      <c r="J19" s="58">
        <v>50000</v>
      </c>
      <c r="K19" s="58">
        <v>50000</v>
      </c>
      <c r="L19" s="58">
        <v>50000</v>
      </c>
      <c r="M19" s="58">
        <v>50000</v>
      </c>
      <c r="N19" s="58">
        <v>50000</v>
      </c>
      <c r="O19" s="58">
        <v>50000</v>
      </c>
      <c r="P19" s="58">
        <v>50000</v>
      </c>
      <c r="Q19" s="58">
        <v>50000</v>
      </c>
      <c r="R19" s="58">
        <v>50000</v>
      </c>
      <c r="S19" s="58">
        <v>50000</v>
      </c>
      <c r="T19" s="58">
        <v>50000</v>
      </c>
      <c r="U19" s="58">
        <v>50000</v>
      </c>
      <c r="V19" s="58">
        <v>50000</v>
      </c>
      <c r="W19" s="58">
        <v>50000</v>
      </c>
      <c r="X19" s="58">
        <v>50000</v>
      </c>
      <c r="Y19" s="58">
        <v>50000</v>
      </c>
      <c r="Z19" s="58">
        <v>50000</v>
      </c>
      <c r="AA19" s="58">
        <f t="shared" si="0"/>
        <v>1200000</v>
      </c>
      <c r="AB19" s="53">
        <v>20</v>
      </c>
      <c r="AC19" s="58">
        <f t="shared" si="1"/>
        <v>24000000</v>
      </c>
      <c r="AD19" s="111">
        <f>+SUM(AC19:AC22)</f>
        <v>36000000</v>
      </c>
    </row>
    <row r="20" spans="1:30" x14ac:dyDescent="0.35">
      <c r="A20" s="109"/>
      <c r="B20" s="59" t="s">
        <v>40</v>
      </c>
      <c r="C20" s="58">
        <v>50000</v>
      </c>
      <c r="D20" s="58">
        <v>50000</v>
      </c>
      <c r="E20" s="58">
        <v>50000</v>
      </c>
      <c r="F20" s="58">
        <v>50000</v>
      </c>
      <c r="G20" s="58">
        <v>50000</v>
      </c>
      <c r="H20" s="58">
        <v>50000</v>
      </c>
      <c r="I20" s="58">
        <v>50000</v>
      </c>
      <c r="J20" s="58">
        <v>50000</v>
      </c>
      <c r="K20" s="58">
        <v>50000</v>
      </c>
      <c r="L20" s="58">
        <v>50000</v>
      </c>
      <c r="M20" s="58">
        <v>50000</v>
      </c>
      <c r="N20" s="58">
        <v>50000</v>
      </c>
      <c r="O20" s="58">
        <v>50000</v>
      </c>
      <c r="P20" s="58">
        <v>50000</v>
      </c>
      <c r="Q20" s="58">
        <v>50000</v>
      </c>
      <c r="R20" s="58">
        <v>50000</v>
      </c>
      <c r="S20" s="58">
        <v>50000</v>
      </c>
      <c r="T20" s="58">
        <v>50000</v>
      </c>
      <c r="U20" s="58">
        <v>50000</v>
      </c>
      <c r="V20" s="58">
        <v>50000</v>
      </c>
      <c r="W20" s="58">
        <v>50000</v>
      </c>
      <c r="X20" s="58">
        <v>50000</v>
      </c>
      <c r="Y20" s="58">
        <v>50000</v>
      </c>
      <c r="Z20" s="58">
        <v>50000</v>
      </c>
      <c r="AA20" s="58">
        <f t="shared" si="0"/>
        <v>1200000</v>
      </c>
      <c r="AB20" s="53">
        <v>4</v>
      </c>
      <c r="AC20" s="58">
        <f t="shared" si="1"/>
        <v>4800000</v>
      </c>
      <c r="AD20" s="112"/>
    </row>
    <row r="21" spans="1:30" x14ac:dyDescent="0.35">
      <c r="A21" s="109"/>
      <c r="B21" s="59" t="s">
        <v>41</v>
      </c>
      <c r="C21" s="58">
        <v>50000</v>
      </c>
      <c r="D21" s="58">
        <v>50000</v>
      </c>
      <c r="E21" s="58">
        <v>50000</v>
      </c>
      <c r="F21" s="58">
        <v>50000</v>
      </c>
      <c r="G21" s="58">
        <v>50000</v>
      </c>
      <c r="H21" s="58">
        <v>50000</v>
      </c>
      <c r="I21" s="58">
        <v>50000</v>
      </c>
      <c r="J21" s="58">
        <v>50000</v>
      </c>
      <c r="K21" s="58">
        <v>50000</v>
      </c>
      <c r="L21" s="58">
        <v>50000</v>
      </c>
      <c r="M21" s="58">
        <v>50000</v>
      </c>
      <c r="N21" s="58">
        <v>50000</v>
      </c>
      <c r="O21" s="58">
        <v>50000</v>
      </c>
      <c r="P21" s="58">
        <v>50000</v>
      </c>
      <c r="Q21" s="58">
        <v>50000</v>
      </c>
      <c r="R21" s="58">
        <v>50000</v>
      </c>
      <c r="S21" s="58">
        <v>50000</v>
      </c>
      <c r="T21" s="58">
        <v>50000</v>
      </c>
      <c r="U21" s="58">
        <v>50000</v>
      </c>
      <c r="V21" s="58">
        <v>50000</v>
      </c>
      <c r="W21" s="58">
        <v>50000</v>
      </c>
      <c r="X21" s="58">
        <v>50000</v>
      </c>
      <c r="Y21" s="58">
        <v>50000</v>
      </c>
      <c r="Z21" s="58">
        <v>50000</v>
      </c>
      <c r="AA21" s="58">
        <f t="shared" si="0"/>
        <v>1200000</v>
      </c>
      <c r="AB21" s="53">
        <v>4</v>
      </c>
      <c r="AC21" s="58">
        <f t="shared" si="1"/>
        <v>4800000</v>
      </c>
      <c r="AD21" s="112"/>
    </row>
    <row r="22" spans="1:30" x14ac:dyDescent="0.35">
      <c r="A22" s="110"/>
      <c r="B22" s="60" t="s">
        <v>42</v>
      </c>
      <c r="C22" s="58">
        <v>50000</v>
      </c>
      <c r="D22" s="58">
        <v>50000</v>
      </c>
      <c r="E22" s="58">
        <v>50000</v>
      </c>
      <c r="F22" s="58">
        <v>50000</v>
      </c>
      <c r="G22" s="58">
        <v>50000</v>
      </c>
      <c r="H22" s="58">
        <v>50000</v>
      </c>
      <c r="I22" s="58">
        <v>50000</v>
      </c>
      <c r="J22" s="58">
        <v>50000</v>
      </c>
      <c r="K22" s="58">
        <v>50000</v>
      </c>
      <c r="L22" s="58">
        <v>50000</v>
      </c>
      <c r="M22" s="58">
        <v>50000</v>
      </c>
      <c r="N22" s="58">
        <v>50000</v>
      </c>
      <c r="O22" s="58">
        <v>50000</v>
      </c>
      <c r="P22" s="58">
        <v>50000</v>
      </c>
      <c r="Q22" s="58">
        <v>50000</v>
      </c>
      <c r="R22" s="58">
        <v>50000</v>
      </c>
      <c r="S22" s="58">
        <v>50000</v>
      </c>
      <c r="T22" s="58">
        <v>50000</v>
      </c>
      <c r="U22" s="58">
        <v>50000</v>
      </c>
      <c r="V22" s="58">
        <v>50000</v>
      </c>
      <c r="W22" s="58">
        <v>50000</v>
      </c>
      <c r="X22" s="58">
        <v>50000</v>
      </c>
      <c r="Y22" s="58">
        <v>50000</v>
      </c>
      <c r="Z22" s="58">
        <v>50000</v>
      </c>
      <c r="AA22" s="58">
        <f t="shared" si="0"/>
        <v>1200000</v>
      </c>
      <c r="AB22" s="53">
        <v>2</v>
      </c>
      <c r="AC22" s="58">
        <f t="shared" si="1"/>
        <v>2400000</v>
      </c>
      <c r="AD22" s="113"/>
    </row>
    <row r="23" spans="1:30" x14ac:dyDescent="0.35">
      <c r="A23" s="108">
        <v>47604</v>
      </c>
      <c r="B23" s="57" t="s">
        <v>39</v>
      </c>
      <c r="C23" s="58">
        <v>50000</v>
      </c>
      <c r="D23" s="58">
        <v>50000</v>
      </c>
      <c r="E23" s="58">
        <v>50000</v>
      </c>
      <c r="F23" s="58">
        <v>50000</v>
      </c>
      <c r="G23" s="58">
        <v>50000</v>
      </c>
      <c r="H23" s="58">
        <v>50000</v>
      </c>
      <c r="I23" s="58">
        <v>50000</v>
      </c>
      <c r="J23" s="58">
        <v>50000</v>
      </c>
      <c r="K23" s="58">
        <v>50000</v>
      </c>
      <c r="L23" s="58">
        <v>50000</v>
      </c>
      <c r="M23" s="58">
        <v>50000</v>
      </c>
      <c r="N23" s="58">
        <v>50000</v>
      </c>
      <c r="O23" s="58">
        <v>50000</v>
      </c>
      <c r="P23" s="58">
        <v>50000</v>
      </c>
      <c r="Q23" s="58">
        <v>50000</v>
      </c>
      <c r="R23" s="58">
        <v>50000</v>
      </c>
      <c r="S23" s="58">
        <v>50000</v>
      </c>
      <c r="T23" s="58">
        <v>50000</v>
      </c>
      <c r="U23" s="58">
        <v>50000</v>
      </c>
      <c r="V23" s="58">
        <v>50000</v>
      </c>
      <c r="W23" s="58">
        <v>50000</v>
      </c>
      <c r="X23" s="58">
        <v>50000</v>
      </c>
      <c r="Y23" s="58">
        <v>50000</v>
      </c>
      <c r="Z23" s="58">
        <v>50000</v>
      </c>
      <c r="AA23" s="58">
        <f t="shared" si="0"/>
        <v>1200000</v>
      </c>
      <c r="AB23" s="53">
        <v>22</v>
      </c>
      <c r="AC23" s="58">
        <f t="shared" si="1"/>
        <v>26400000</v>
      </c>
      <c r="AD23" s="111">
        <f>+SUM(AC23:AC26)</f>
        <v>37200000</v>
      </c>
    </row>
    <row r="24" spans="1:30" x14ac:dyDescent="0.35">
      <c r="A24" s="109"/>
      <c r="B24" s="59" t="s">
        <v>40</v>
      </c>
      <c r="C24" s="58">
        <v>50000</v>
      </c>
      <c r="D24" s="58">
        <v>50000</v>
      </c>
      <c r="E24" s="58">
        <v>50000</v>
      </c>
      <c r="F24" s="58">
        <v>50000</v>
      </c>
      <c r="G24" s="58">
        <v>50000</v>
      </c>
      <c r="H24" s="58">
        <v>50000</v>
      </c>
      <c r="I24" s="58">
        <v>50000</v>
      </c>
      <c r="J24" s="58">
        <v>50000</v>
      </c>
      <c r="K24" s="58">
        <v>50000</v>
      </c>
      <c r="L24" s="58">
        <v>50000</v>
      </c>
      <c r="M24" s="58">
        <v>50000</v>
      </c>
      <c r="N24" s="58">
        <v>50000</v>
      </c>
      <c r="O24" s="58">
        <v>50000</v>
      </c>
      <c r="P24" s="58">
        <v>50000</v>
      </c>
      <c r="Q24" s="58">
        <v>50000</v>
      </c>
      <c r="R24" s="58">
        <v>50000</v>
      </c>
      <c r="S24" s="58">
        <v>50000</v>
      </c>
      <c r="T24" s="58">
        <v>50000</v>
      </c>
      <c r="U24" s="58">
        <v>50000</v>
      </c>
      <c r="V24" s="58">
        <v>50000</v>
      </c>
      <c r="W24" s="58">
        <v>50000</v>
      </c>
      <c r="X24" s="58">
        <v>50000</v>
      </c>
      <c r="Y24" s="58">
        <v>50000</v>
      </c>
      <c r="Z24" s="58">
        <v>50000</v>
      </c>
      <c r="AA24" s="58">
        <f t="shared" si="0"/>
        <v>1200000</v>
      </c>
      <c r="AB24" s="53">
        <v>4</v>
      </c>
      <c r="AC24" s="58">
        <f t="shared" si="1"/>
        <v>4800000</v>
      </c>
      <c r="AD24" s="112"/>
    </row>
    <row r="25" spans="1:30" x14ac:dyDescent="0.35">
      <c r="A25" s="109"/>
      <c r="B25" s="59" t="s">
        <v>41</v>
      </c>
      <c r="C25" s="58">
        <v>50000</v>
      </c>
      <c r="D25" s="58">
        <v>50000</v>
      </c>
      <c r="E25" s="58">
        <v>50000</v>
      </c>
      <c r="F25" s="58">
        <v>50000</v>
      </c>
      <c r="G25" s="58">
        <v>50000</v>
      </c>
      <c r="H25" s="58">
        <v>50000</v>
      </c>
      <c r="I25" s="58">
        <v>50000</v>
      </c>
      <c r="J25" s="58">
        <v>50000</v>
      </c>
      <c r="K25" s="58">
        <v>50000</v>
      </c>
      <c r="L25" s="58">
        <v>50000</v>
      </c>
      <c r="M25" s="58">
        <v>50000</v>
      </c>
      <c r="N25" s="58">
        <v>50000</v>
      </c>
      <c r="O25" s="58">
        <v>50000</v>
      </c>
      <c r="P25" s="58">
        <v>50000</v>
      </c>
      <c r="Q25" s="58">
        <v>50000</v>
      </c>
      <c r="R25" s="58">
        <v>50000</v>
      </c>
      <c r="S25" s="58">
        <v>50000</v>
      </c>
      <c r="T25" s="58">
        <v>50000</v>
      </c>
      <c r="U25" s="58">
        <v>50000</v>
      </c>
      <c r="V25" s="58">
        <v>50000</v>
      </c>
      <c r="W25" s="58">
        <v>50000</v>
      </c>
      <c r="X25" s="58">
        <v>50000</v>
      </c>
      <c r="Y25" s="58">
        <v>50000</v>
      </c>
      <c r="Z25" s="58">
        <v>50000</v>
      </c>
      <c r="AA25" s="58">
        <f t="shared" si="0"/>
        <v>1200000</v>
      </c>
      <c r="AB25" s="53">
        <v>4</v>
      </c>
      <c r="AC25" s="58">
        <f t="shared" si="1"/>
        <v>4800000</v>
      </c>
      <c r="AD25" s="112"/>
    </row>
    <row r="26" spans="1:30" x14ac:dyDescent="0.35">
      <c r="A26" s="110"/>
      <c r="B26" s="60" t="s">
        <v>42</v>
      </c>
      <c r="C26" s="58">
        <v>50000</v>
      </c>
      <c r="D26" s="58">
        <v>50000</v>
      </c>
      <c r="E26" s="58">
        <v>50000</v>
      </c>
      <c r="F26" s="58">
        <v>50000</v>
      </c>
      <c r="G26" s="58">
        <v>50000</v>
      </c>
      <c r="H26" s="58">
        <v>50000</v>
      </c>
      <c r="I26" s="58">
        <v>50000</v>
      </c>
      <c r="J26" s="58">
        <v>50000</v>
      </c>
      <c r="K26" s="58">
        <v>50000</v>
      </c>
      <c r="L26" s="58">
        <v>50000</v>
      </c>
      <c r="M26" s="58">
        <v>50000</v>
      </c>
      <c r="N26" s="58">
        <v>50000</v>
      </c>
      <c r="O26" s="58">
        <v>50000</v>
      </c>
      <c r="P26" s="58">
        <v>50000</v>
      </c>
      <c r="Q26" s="58">
        <v>50000</v>
      </c>
      <c r="R26" s="58">
        <v>50000</v>
      </c>
      <c r="S26" s="58">
        <v>50000</v>
      </c>
      <c r="T26" s="58">
        <v>50000</v>
      </c>
      <c r="U26" s="58">
        <v>50000</v>
      </c>
      <c r="V26" s="58">
        <v>50000</v>
      </c>
      <c r="W26" s="58">
        <v>50000</v>
      </c>
      <c r="X26" s="58">
        <v>50000</v>
      </c>
      <c r="Y26" s="58">
        <v>50000</v>
      </c>
      <c r="Z26" s="58">
        <v>50000</v>
      </c>
      <c r="AA26" s="58">
        <f t="shared" si="0"/>
        <v>1200000</v>
      </c>
      <c r="AB26" s="53">
        <v>1</v>
      </c>
      <c r="AC26" s="58">
        <f t="shared" si="1"/>
        <v>1200000</v>
      </c>
      <c r="AD26" s="113"/>
    </row>
    <row r="27" spans="1:30" x14ac:dyDescent="0.35">
      <c r="A27" s="108">
        <v>47635</v>
      </c>
      <c r="B27" s="57" t="s">
        <v>39</v>
      </c>
      <c r="C27" s="58">
        <v>50000</v>
      </c>
      <c r="D27" s="58">
        <v>50000</v>
      </c>
      <c r="E27" s="58">
        <v>50000</v>
      </c>
      <c r="F27" s="58">
        <v>50000</v>
      </c>
      <c r="G27" s="58">
        <v>50000</v>
      </c>
      <c r="H27" s="58">
        <v>50000</v>
      </c>
      <c r="I27" s="58">
        <v>50000</v>
      </c>
      <c r="J27" s="58">
        <v>50000</v>
      </c>
      <c r="K27" s="58">
        <v>50000</v>
      </c>
      <c r="L27" s="58">
        <v>50000</v>
      </c>
      <c r="M27" s="58">
        <v>50000</v>
      </c>
      <c r="N27" s="58">
        <v>50000</v>
      </c>
      <c r="O27" s="58">
        <v>50000</v>
      </c>
      <c r="P27" s="58">
        <v>50000</v>
      </c>
      <c r="Q27" s="58">
        <v>50000</v>
      </c>
      <c r="R27" s="58">
        <v>50000</v>
      </c>
      <c r="S27" s="58">
        <v>50000</v>
      </c>
      <c r="T27" s="58">
        <v>50000</v>
      </c>
      <c r="U27" s="58">
        <v>50000</v>
      </c>
      <c r="V27" s="58">
        <v>50000</v>
      </c>
      <c r="W27" s="58">
        <v>50000</v>
      </c>
      <c r="X27" s="58">
        <v>50000</v>
      </c>
      <c r="Y27" s="58">
        <v>50000</v>
      </c>
      <c r="Z27" s="58">
        <v>50000</v>
      </c>
      <c r="AA27" s="58">
        <f t="shared" si="0"/>
        <v>1200000</v>
      </c>
      <c r="AB27" s="53">
        <v>18</v>
      </c>
      <c r="AC27" s="58">
        <f t="shared" si="1"/>
        <v>21600000</v>
      </c>
      <c r="AD27" s="111">
        <f>+SUM(AC27:AC30)</f>
        <v>36000000</v>
      </c>
    </row>
    <row r="28" spans="1:30" x14ac:dyDescent="0.35">
      <c r="A28" s="109"/>
      <c r="B28" s="59" t="s">
        <v>40</v>
      </c>
      <c r="C28" s="58">
        <v>50000</v>
      </c>
      <c r="D28" s="58">
        <v>50000</v>
      </c>
      <c r="E28" s="58">
        <v>50000</v>
      </c>
      <c r="F28" s="58">
        <v>50000</v>
      </c>
      <c r="G28" s="58">
        <v>50000</v>
      </c>
      <c r="H28" s="58">
        <v>50000</v>
      </c>
      <c r="I28" s="58">
        <v>50000</v>
      </c>
      <c r="J28" s="58">
        <v>50000</v>
      </c>
      <c r="K28" s="58">
        <v>50000</v>
      </c>
      <c r="L28" s="58">
        <v>50000</v>
      </c>
      <c r="M28" s="58">
        <v>50000</v>
      </c>
      <c r="N28" s="58">
        <v>50000</v>
      </c>
      <c r="O28" s="58">
        <v>50000</v>
      </c>
      <c r="P28" s="58">
        <v>50000</v>
      </c>
      <c r="Q28" s="58">
        <v>50000</v>
      </c>
      <c r="R28" s="58">
        <v>50000</v>
      </c>
      <c r="S28" s="58">
        <v>50000</v>
      </c>
      <c r="T28" s="58">
        <v>50000</v>
      </c>
      <c r="U28" s="58">
        <v>50000</v>
      </c>
      <c r="V28" s="58">
        <v>50000</v>
      </c>
      <c r="W28" s="58">
        <v>50000</v>
      </c>
      <c r="X28" s="58">
        <v>50000</v>
      </c>
      <c r="Y28" s="58">
        <v>50000</v>
      </c>
      <c r="Z28" s="58">
        <v>50000</v>
      </c>
      <c r="AA28" s="58">
        <f t="shared" si="0"/>
        <v>1200000</v>
      </c>
      <c r="AB28" s="53">
        <v>5</v>
      </c>
      <c r="AC28" s="58">
        <f t="shared" si="1"/>
        <v>6000000</v>
      </c>
      <c r="AD28" s="112"/>
    </row>
    <row r="29" spans="1:30" x14ac:dyDescent="0.35">
      <c r="A29" s="109"/>
      <c r="B29" s="59" t="s">
        <v>41</v>
      </c>
      <c r="C29" s="58">
        <v>50000</v>
      </c>
      <c r="D29" s="58">
        <v>50000</v>
      </c>
      <c r="E29" s="58">
        <v>50000</v>
      </c>
      <c r="F29" s="58">
        <v>50000</v>
      </c>
      <c r="G29" s="58">
        <v>50000</v>
      </c>
      <c r="H29" s="58">
        <v>50000</v>
      </c>
      <c r="I29" s="58">
        <v>50000</v>
      </c>
      <c r="J29" s="58">
        <v>50000</v>
      </c>
      <c r="K29" s="58">
        <v>50000</v>
      </c>
      <c r="L29" s="58">
        <v>50000</v>
      </c>
      <c r="M29" s="58">
        <v>50000</v>
      </c>
      <c r="N29" s="58">
        <v>50000</v>
      </c>
      <c r="O29" s="58">
        <v>50000</v>
      </c>
      <c r="P29" s="58">
        <v>50000</v>
      </c>
      <c r="Q29" s="58">
        <v>50000</v>
      </c>
      <c r="R29" s="58">
        <v>50000</v>
      </c>
      <c r="S29" s="58">
        <v>50000</v>
      </c>
      <c r="T29" s="58">
        <v>50000</v>
      </c>
      <c r="U29" s="58">
        <v>50000</v>
      </c>
      <c r="V29" s="58">
        <v>50000</v>
      </c>
      <c r="W29" s="58">
        <v>50000</v>
      </c>
      <c r="X29" s="58">
        <v>50000</v>
      </c>
      <c r="Y29" s="58">
        <v>50000</v>
      </c>
      <c r="Z29" s="58">
        <v>50000</v>
      </c>
      <c r="AA29" s="58">
        <f t="shared" si="0"/>
        <v>1200000</v>
      </c>
      <c r="AB29" s="53">
        <v>5</v>
      </c>
      <c r="AC29" s="58">
        <f t="shared" si="1"/>
        <v>6000000</v>
      </c>
      <c r="AD29" s="112"/>
    </row>
    <row r="30" spans="1:30" x14ac:dyDescent="0.35">
      <c r="A30" s="110"/>
      <c r="B30" s="60" t="s">
        <v>42</v>
      </c>
      <c r="C30" s="58">
        <v>50000</v>
      </c>
      <c r="D30" s="58">
        <v>50000</v>
      </c>
      <c r="E30" s="58">
        <v>50000</v>
      </c>
      <c r="F30" s="58">
        <v>50000</v>
      </c>
      <c r="G30" s="58">
        <v>50000</v>
      </c>
      <c r="H30" s="58">
        <v>50000</v>
      </c>
      <c r="I30" s="58">
        <v>50000</v>
      </c>
      <c r="J30" s="58">
        <v>50000</v>
      </c>
      <c r="K30" s="58">
        <v>50000</v>
      </c>
      <c r="L30" s="58">
        <v>50000</v>
      </c>
      <c r="M30" s="58">
        <v>50000</v>
      </c>
      <c r="N30" s="58">
        <v>50000</v>
      </c>
      <c r="O30" s="58">
        <v>50000</v>
      </c>
      <c r="P30" s="58">
        <v>50000</v>
      </c>
      <c r="Q30" s="58">
        <v>50000</v>
      </c>
      <c r="R30" s="58">
        <v>50000</v>
      </c>
      <c r="S30" s="58">
        <v>50000</v>
      </c>
      <c r="T30" s="58">
        <v>50000</v>
      </c>
      <c r="U30" s="58">
        <v>50000</v>
      </c>
      <c r="V30" s="58">
        <v>50000</v>
      </c>
      <c r="W30" s="58">
        <v>50000</v>
      </c>
      <c r="X30" s="58">
        <v>50000</v>
      </c>
      <c r="Y30" s="58">
        <v>50000</v>
      </c>
      <c r="Z30" s="58">
        <v>50000</v>
      </c>
      <c r="AA30" s="58">
        <f t="shared" si="0"/>
        <v>1200000</v>
      </c>
      <c r="AB30" s="53">
        <v>2</v>
      </c>
      <c r="AC30" s="58">
        <f t="shared" si="1"/>
        <v>2400000</v>
      </c>
      <c r="AD30" s="113"/>
    </row>
    <row r="31" spans="1:30" x14ac:dyDescent="0.35">
      <c r="A31" s="108">
        <v>47665</v>
      </c>
      <c r="B31" s="57" t="s">
        <v>39</v>
      </c>
      <c r="C31" s="58">
        <v>50000</v>
      </c>
      <c r="D31" s="58">
        <v>50000</v>
      </c>
      <c r="E31" s="58">
        <v>50000</v>
      </c>
      <c r="F31" s="58">
        <v>50000</v>
      </c>
      <c r="G31" s="58">
        <v>50000</v>
      </c>
      <c r="H31" s="58">
        <v>50000</v>
      </c>
      <c r="I31" s="58">
        <v>50000</v>
      </c>
      <c r="J31" s="58">
        <v>50000</v>
      </c>
      <c r="K31" s="58">
        <v>50000</v>
      </c>
      <c r="L31" s="58">
        <v>50000</v>
      </c>
      <c r="M31" s="58">
        <v>50000</v>
      </c>
      <c r="N31" s="58">
        <v>50000</v>
      </c>
      <c r="O31" s="58">
        <v>50000</v>
      </c>
      <c r="P31" s="58">
        <v>50000</v>
      </c>
      <c r="Q31" s="58">
        <v>50000</v>
      </c>
      <c r="R31" s="58">
        <v>50000</v>
      </c>
      <c r="S31" s="58">
        <v>50000</v>
      </c>
      <c r="T31" s="58">
        <v>50000</v>
      </c>
      <c r="U31" s="58">
        <v>50000</v>
      </c>
      <c r="V31" s="58">
        <v>50000</v>
      </c>
      <c r="W31" s="58">
        <v>50000</v>
      </c>
      <c r="X31" s="58">
        <v>50000</v>
      </c>
      <c r="Y31" s="58">
        <v>50000</v>
      </c>
      <c r="Z31" s="58">
        <v>50000</v>
      </c>
      <c r="AA31" s="58">
        <f t="shared" si="0"/>
        <v>1200000</v>
      </c>
      <c r="AB31" s="53">
        <v>22</v>
      </c>
      <c r="AC31" s="58">
        <f t="shared" si="1"/>
        <v>26400000</v>
      </c>
      <c r="AD31" s="111">
        <f>+SUM(AC31:AC34)</f>
        <v>37200000</v>
      </c>
    </row>
    <row r="32" spans="1:30" x14ac:dyDescent="0.35">
      <c r="A32" s="109"/>
      <c r="B32" s="59" t="s">
        <v>40</v>
      </c>
      <c r="C32" s="58">
        <v>50000</v>
      </c>
      <c r="D32" s="58">
        <v>50000</v>
      </c>
      <c r="E32" s="58">
        <v>50000</v>
      </c>
      <c r="F32" s="58">
        <v>50000</v>
      </c>
      <c r="G32" s="58">
        <v>50000</v>
      </c>
      <c r="H32" s="58">
        <v>50000</v>
      </c>
      <c r="I32" s="58">
        <v>50000</v>
      </c>
      <c r="J32" s="58">
        <v>50000</v>
      </c>
      <c r="K32" s="58">
        <v>50000</v>
      </c>
      <c r="L32" s="58">
        <v>50000</v>
      </c>
      <c r="M32" s="58">
        <v>50000</v>
      </c>
      <c r="N32" s="58">
        <v>50000</v>
      </c>
      <c r="O32" s="58">
        <v>50000</v>
      </c>
      <c r="P32" s="58">
        <v>50000</v>
      </c>
      <c r="Q32" s="58">
        <v>50000</v>
      </c>
      <c r="R32" s="58">
        <v>50000</v>
      </c>
      <c r="S32" s="58">
        <v>50000</v>
      </c>
      <c r="T32" s="58">
        <v>50000</v>
      </c>
      <c r="U32" s="58">
        <v>50000</v>
      </c>
      <c r="V32" s="58">
        <v>50000</v>
      </c>
      <c r="W32" s="58">
        <v>50000</v>
      </c>
      <c r="X32" s="58">
        <v>50000</v>
      </c>
      <c r="Y32" s="58">
        <v>50000</v>
      </c>
      <c r="Z32" s="58">
        <v>50000</v>
      </c>
      <c r="AA32" s="58">
        <f t="shared" si="0"/>
        <v>1200000</v>
      </c>
      <c r="AB32" s="53">
        <v>3</v>
      </c>
      <c r="AC32" s="58">
        <f t="shared" si="1"/>
        <v>3600000</v>
      </c>
      <c r="AD32" s="112"/>
    </row>
    <row r="33" spans="1:30" x14ac:dyDescent="0.35">
      <c r="A33" s="109"/>
      <c r="B33" s="59" t="s">
        <v>41</v>
      </c>
      <c r="C33" s="58">
        <v>50000</v>
      </c>
      <c r="D33" s="58">
        <v>50000</v>
      </c>
      <c r="E33" s="58">
        <v>50000</v>
      </c>
      <c r="F33" s="58">
        <v>50000</v>
      </c>
      <c r="G33" s="58">
        <v>50000</v>
      </c>
      <c r="H33" s="58">
        <v>50000</v>
      </c>
      <c r="I33" s="58">
        <v>50000</v>
      </c>
      <c r="J33" s="58">
        <v>50000</v>
      </c>
      <c r="K33" s="58">
        <v>50000</v>
      </c>
      <c r="L33" s="58">
        <v>50000</v>
      </c>
      <c r="M33" s="58">
        <v>50000</v>
      </c>
      <c r="N33" s="58">
        <v>50000</v>
      </c>
      <c r="O33" s="58">
        <v>50000</v>
      </c>
      <c r="P33" s="58">
        <v>50000</v>
      </c>
      <c r="Q33" s="58">
        <v>50000</v>
      </c>
      <c r="R33" s="58">
        <v>50000</v>
      </c>
      <c r="S33" s="58">
        <v>50000</v>
      </c>
      <c r="T33" s="58">
        <v>50000</v>
      </c>
      <c r="U33" s="58">
        <v>50000</v>
      </c>
      <c r="V33" s="58">
        <v>50000</v>
      </c>
      <c r="W33" s="58">
        <v>50000</v>
      </c>
      <c r="X33" s="58">
        <v>50000</v>
      </c>
      <c r="Y33" s="58">
        <v>50000</v>
      </c>
      <c r="Z33" s="58">
        <v>50000</v>
      </c>
      <c r="AA33" s="58">
        <f t="shared" si="0"/>
        <v>1200000</v>
      </c>
      <c r="AB33" s="53">
        <v>4</v>
      </c>
      <c r="AC33" s="58">
        <f t="shared" si="1"/>
        <v>4800000</v>
      </c>
      <c r="AD33" s="112"/>
    </row>
    <row r="34" spans="1:30" x14ac:dyDescent="0.35">
      <c r="A34" s="110"/>
      <c r="B34" s="60" t="s">
        <v>42</v>
      </c>
      <c r="C34" s="58">
        <v>50000</v>
      </c>
      <c r="D34" s="58">
        <v>50000</v>
      </c>
      <c r="E34" s="58">
        <v>50000</v>
      </c>
      <c r="F34" s="58">
        <v>50000</v>
      </c>
      <c r="G34" s="58">
        <v>50000</v>
      </c>
      <c r="H34" s="58">
        <v>50000</v>
      </c>
      <c r="I34" s="58">
        <v>50000</v>
      </c>
      <c r="J34" s="58">
        <v>50000</v>
      </c>
      <c r="K34" s="58">
        <v>50000</v>
      </c>
      <c r="L34" s="58">
        <v>50000</v>
      </c>
      <c r="M34" s="58">
        <v>50000</v>
      </c>
      <c r="N34" s="58">
        <v>50000</v>
      </c>
      <c r="O34" s="58">
        <v>50000</v>
      </c>
      <c r="P34" s="58">
        <v>50000</v>
      </c>
      <c r="Q34" s="58">
        <v>50000</v>
      </c>
      <c r="R34" s="58">
        <v>50000</v>
      </c>
      <c r="S34" s="58">
        <v>50000</v>
      </c>
      <c r="T34" s="58">
        <v>50000</v>
      </c>
      <c r="U34" s="58">
        <v>50000</v>
      </c>
      <c r="V34" s="58">
        <v>50000</v>
      </c>
      <c r="W34" s="58">
        <v>50000</v>
      </c>
      <c r="X34" s="58">
        <v>50000</v>
      </c>
      <c r="Y34" s="58">
        <v>50000</v>
      </c>
      <c r="Z34" s="58">
        <v>50000</v>
      </c>
      <c r="AA34" s="58">
        <f t="shared" si="0"/>
        <v>1200000</v>
      </c>
      <c r="AB34" s="53">
        <v>2</v>
      </c>
      <c r="AC34" s="58">
        <f>+AA34*AB34</f>
        <v>2400000</v>
      </c>
      <c r="AD34" s="113"/>
    </row>
    <row r="35" spans="1:30" x14ac:dyDescent="0.35">
      <c r="A35" s="108">
        <v>47696</v>
      </c>
      <c r="B35" s="57" t="s">
        <v>39</v>
      </c>
      <c r="C35" s="58">
        <v>50000</v>
      </c>
      <c r="D35" s="58">
        <v>50000</v>
      </c>
      <c r="E35" s="58">
        <v>50000</v>
      </c>
      <c r="F35" s="58">
        <v>50000</v>
      </c>
      <c r="G35" s="58">
        <v>50000</v>
      </c>
      <c r="H35" s="58">
        <v>50000</v>
      </c>
      <c r="I35" s="58">
        <v>50000</v>
      </c>
      <c r="J35" s="58">
        <v>50000</v>
      </c>
      <c r="K35" s="58">
        <v>50000</v>
      </c>
      <c r="L35" s="58">
        <v>50000</v>
      </c>
      <c r="M35" s="58">
        <v>50000</v>
      </c>
      <c r="N35" s="58">
        <v>50000</v>
      </c>
      <c r="O35" s="58">
        <v>50000</v>
      </c>
      <c r="P35" s="58">
        <v>50000</v>
      </c>
      <c r="Q35" s="58">
        <v>50000</v>
      </c>
      <c r="R35" s="58">
        <v>50000</v>
      </c>
      <c r="S35" s="58">
        <v>50000</v>
      </c>
      <c r="T35" s="58">
        <v>50000</v>
      </c>
      <c r="U35" s="58">
        <v>50000</v>
      </c>
      <c r="V35" s="58">
        <v>50000</v>
      </c>
      <c r="W35" s="58">
        <v>50000</v>
      </c>
      <c r="X35" s="58">
        <v>50000</v>
      </c>
      <c r="Y35" s="58">
        <v>50000</v>
      </c>
      <c r="Z35" s="58">
        <v>50000</v>
      </c>
      <c r="AA35" s="58">
        <f t="shared" si="0"/>
        <v>1200000</v>
      </c>
      <c r="AB35" s="53">
        <v>20</v>
      </c>
      <c r="AC35" s="58">
        <f t="shared" si="1"/>
        <v>24000000</v>
      </c>
      <c r="AD35" s="111">
        <f>+SUM(AC35:AC38)</f>
        <v>37200000</v>
      </c>
    </row>
    <row r="36" spans="1:30" x14ac:dyDescent="0.35">
      <c r="A36" s="109"/>
      <c r="B36" s="59" t="s">
        <v>40</v>
      </c>
      <c r="C36" s="58">
        <v>50000</v>
      </c>
      <c r="D36" s="58">
        <v>50000</v>
      </c>
      <c r="E36" s="58">
        <v>50000</v>
      </c>
      <c r="F36" s="58">
        <v>50000</v>
      </c>
      <c r="G36" s="58">
        <v>50000</v>
      </c>
      <c r="H36" s="58">
        <v>50000</v>
      </c>
      <c r="I36" s="58">
        <v>50000</v>
      </c>
      <c r="J36" s="58">
        <v>50000</v>
      </c>
      <c r="K36" s="58">
        <v>50000</v>
      </c>
      <c r="L36" s="58">
        <v>50000</v>
      </c>
      <c r="M36" s="58">
        <v>50000</v>
      </c>
      <c r="N36" s="58">
        <v>50000</v>
      </c>
      <c r="O36" s="58">
        <v>50000</v>
      </c>
      <c r="P36" s="58">
        <v>50000</v>
      </c>
      <c r="Q36" s="58">
        <v>50000</v>
      </c>
      <c r="R36" s="58">
        <v>50000</v>
      </c>
      <c r="S36" s="58">
        <v>50000</v>
      </c>
      <c r="T36" s="58">
        <v>50000</v>
      </c>
      <c r="U36" s="58">
        <v>50000</v>
      </c>
      <c r="V36" s="58">
        <v>50000</v>
      </c>
      <c r="W36" s="58">
        <v>50000</v>
      </c>
      <c r="X36" s="58">
        <v>50000</v>
      </c>
      <c r="Y36" s="58">
        <v>50000</v>
      </c>
      <c r="Z36" s="58">
        <v>50000</v>
      </c>
      <c r="AA36" s="58">
        <f t="shared" si="0"/>
        <v>1200000</v>
      </c>
      <c r="AB36" s="53">
        <v>5</v>
      </c>
      <c r="AC36" s="58">
        <f t="shared" si="1"/>
        <v>6000000</v>
      </c>
      <c r="AD36" s="112"/>
    </row>
    <row r="37" spans="1:30" x14ac:dyDescent="0.35">
      <c r="A37" s="109"/>
      <c r="B37" s="59" t="s">
        <v>41</v>
      </c>
      <c r="C37" s="58">
        <v>50000</v>
      </c>
      <c r="D37" s="58">
        <v>50000</v>
      </c>
      <c r="E37" s="58">
        <v>50000</v>
      </c>
      <c r="F37" s="58">
        <v>50000</v>
      </c>
      <c r="G37" s="58">
        <v>50000</v>
      </c>
      <c r="H37" s="58">
        <v>50000</v>
      </c>
      <c r="I37" s="58">
        <v>50000</v>
      </c>
      <c r="J37" s="58">
        <v>50000</v>
      </c>
      <c r="K37" s="58">
        <v>50000</v>
      </c>
      <c r="L37" s="58">
        <v>50000</v>
      </c>
      <c r="M37" s="58">
        <v>50000</v>
      </c>
      <c r="N37" s="58">
        <v>50000</v>
      </c>
      <c r="O37" s="58">
        <v>50000</v>
      </c>
      <c r="P37" s="58">
        <v>50000</v>
      </c>
      <c r="Q37" s="58">
        <v>50000</v>
      </c>
      <c r="R37" s="58">
        <v>50000</v>
      </c>
      <c r="S37" s="58">
        <v>50000</v>
      </c>
      <c r="T37" s="58">
        <v>50000</v>
      </c>
      <c r="U37" s="58">
        <v>50000</v>
      </c>
      <c r="V37" s="58">
        <v>50000</v>
      </c>
      <c r="W37" s="58">
        <v>50000</v>
      </c>
      <c r="X37" s="58">
        <v>50000</v>
      </c>
      <c r="Y37" s="58">
        <v>50000</v>
      </c>
      <c r="Z37" s="58">
        <v>50000</v>
      </c>
      <c r="AA37" s="58">
        <f t="shared" si="0"/>
        <v>1200000</v>
      </c>
      <c r="AB37" s="53">
        <v>4</v>
      </c>
      <c r="AC37" s="58">
        <f t="shared" si="1"/>
        <v>4800000</v>
      </c>
      <c r="AD37" s="112"/>
    </row>
    <row r="38" spans="1:30" x14ac:dyDescent="0.35">
      <c r="A38" s="110"/>
      <c r="B38" s="60" t="s">
        <v>42</v>
      </c>
      <c r="C38" s="58">
        <v>50000</v>
      </c>
      <c r="D38" s="58">
        <v>50000</v>
      </c>
      <c r="E38" s="58">
        <v>50000</v>
      </c>
      <c r="F38" s="58">
        <v>50000</v>
      </c>
      <c r="G38" s="58">
        <v>50000</v>
      </c>
      <c r="H38" s="58">
        <v>50000</v>
      </c>
      <c r="I38" s="58">
        <v>50000</v>
      </c>
      <c r="J38" s="58">
        <v>50000</v>
      </c>
      <c r="K38" s="58">
        <v>50000</v>
      </c>
      <c r="L38" s="58">
        <v>50000</v>
      </c>
      <c r="M38" s="58">
        <v>50000</v>
      </c>
      <c r="N38" s="58">
        <v>50000</v>
      </c>
      <c r="O38" s="58">
        <v>50000</v>
      </c>
      <c r="P38" s="58">
        <v>50000</v>
      </c>
      <c r="Q38" s="58">
        <v>50000</v>
      </c>
      <c r="R38" s="58">
        <v>50000</v>
      </c>
      <c r="S38" s="58">
        <v>50000</v>
      </c>
      <c r="T38" s="58">
        <v>50000</v>
      </c>
      <c r="U38" s="58">
        <v>50000</v>
      </c>
      <c r="V38" s="58">
        <v>50000</v>
      </c>
      <c r="W38" s="58">
        <v>50000</v>
      </c>
      <c r="X38" s="58">
        <v>50000</v>
      </c>
      <c r="Y38" s="58">
        <v>50000</v>
      </c>
      <c r="Z38" s="58">
        <v>50000</v>
      </c>
      <c r="AA38" s="58">
        <f t="shared" si="0"/>
        <v>1200000</v>
      </c>
      <c r="AB38" s="53">
        <v>2</v>
      </c>
      <c r="AC38" s="58">
        <f t="shared" si="1"/>
        <v>2400000</v>
      </c>
      <c r="AD38" s="113"/>
    </row>
    <row r="39" spans="1:30" x14ac:dyDescent="0.35">
      <c r="A39" s="108">
        <v>47727</v>
      </c>
      <c r="B39" s="57" t="s">
        <v>39</v>
      </c>
      <c r="C39" s="58">
        <v>50000</v>
      </c>
      <c r="D39" s="58">
        <v>50000</v>
      </c>
      <c r="E39" s="58">
        <v>50000</v>
      </c>
      <c r="F39" s="58">
        <v>50000</v>
      </c>
      <c r="G39" s="58">
        <v>50000</v>
      </c>
      <c r="H39" s="58">
        <v>50000</v>
      </c>
      <c r="I39" s="58">
        <v>50000</v>
      </c>
      <c r="J39" s="58">
        <v>50000</v>
      </c>
      <c r="K39" s="58">
        <v>50000</v>
      </c>
      <c r="L39" s="58">
        <v>50000</v>
      </c>
      <c r="M39" s="58">
        <v>50000</v>
      </c>
      <c r="N39" s="58">
        <v>50000</v>
      </c>
      <c r="O39" s="58">
        <v>50000</v>
      </c>
      <c r="P39" s="58">
        <v>50000</v>
      </c>
      <c r="Q39" s="58">
        <v>50000</v>
      </c>
      <c r="R39" s="58">
        <v>50000</v>
      </c>
      <c r="S39" s="58">
        <v>50000</v>
      </c>
      <c r="T39" s="58">
        <v>50000</v>
      </c>
      <c r="U39" s="58">
        <v>50000</v>
      </c>
      <c r="V39" s="58">
        <v>50000</v>
      </c>
      <c r="W39" s="58">
        <v>50000</v>
      </c>
      <c r="X39" s="58">
        <v>50000</v>
      </c>
      <c r="Y39" s="58">
        <v>50000</v>
      </c>
      <c r="Z39" s="58">
        <v>50000</v>
      </c>
      <c r="AA39" s="58">
        <f t="shared" si="0"/>
        <v>1200000</v>
      </c>
      <c r="AB39" s="53">
        <v>21</v>
      </c>
      <c r="AC39" s="58">
        <f t="shared" si="1"/>
        <v>25200000</v>
      </c>
      <c r="AD39" s="111">
        <f>+SUM(AC39:AC42)</f>
        <v>36000000</v>
      </c>
    </row>
    <row r="40" spans="1:30" x14ac:dyDescent="0.35">
      <c r="A40" s="109"/>
      <c r="B40" s="59" t="s">
        <v>40</v>
      </c>
      <c r="C40" s="58">
        <v>50000</v>
      </c>
      <c r="D40" s="58">
        <v>50000</v>
      </c>
      <c r="E40" s="58">
        <v>50000</v>
      </c>
      <c r="F40" s="58">
        <v>50000</v>
      </c>
      <c r="G40" s="58">
        <v>50000</v>
      </c>
      <c r="H40" s="58">
        <v>50000</v>
      </c>
      <c r="I40" s="58">
        <v>50000</v>
      </c>
      <c r="J40" s="58">
        <v>50000</v>
      </c>
      <c r="K40" s="58">
        <v>50000</v>
      </c>
      <c r="L40" s="58">
        <v>50000</v>
      </c>
      <c r="M40" s="58">
        <v>50000</v>
      </c>
      <c r="N40" s="58">
        <v>50000</v>
      </c>
      <c r="O40" s="58">
        <v>50000</v>
      </c>
      <c r="P40" s="58">
        <v>50000</v>
      </c>
      <c r="Q40" s="58">
        <v>50000</v>
      </c>
      <c r="R40" s="58">
        <v>50000</v>
      </c>
      <c r="S40" s="58">
        <v>50000</v>
      </c>
      <c r="T40" s="58">
        <v>50000</v>
      </c>
      <c r="U40" s="58">
        <v>50000</v>
      </c>
      <c r="V40" s="58">
        <v>50000</v>
      </c>
      <c r="W40" s="58">
        <v>50000</v>
      </c>
      <c r="X40" s="58">
        <v>50000</v>
      </c>
      <c r="Y40" s="58">
        <v>50000</v>
      </c>
      <c r="Z40" s="58">
        <v>50000</v>
      </c>
      <c r="AA40" s="58">
        <f t="shared" si="0"/>
        <v>1200000</v>
      </c>
      <c r="AB40" s="53">
        <v>4</v>
      </c>
      <c r="AC40" s="58">
        <f t="shared" si="1"/>
        <v>4800000</v>
      </c>
      <c r="AD40" s="112"/>
    </row>
    <row r="41" spans="1:30" x14ac:dyDescent="0.35">
      <c r="A41" s="109"/>
      <c r="B41" s="59" t="s">
        <v>41</v>
      </c>
      <c r="C41" s="58">
        <v>50000</v>
      </c>
      <c r="D41" s="58">
        <v>50000</v>
      </c>
      <c r="E41" s="58">
        <v>50000</v>
      </c>
      <c r="F41" s="58">
        <v>50000</v>
      </c>
      <c r="G41" s="58">
        <v>50000</v>
      </c>
      <c r="H41" s="58">
        <v>50000</v>
      </c>
      <c r="I41" s="58">
        <v>50000</v>
      </c>
      <c r="J41" s="58">
        <v>50000</v>
      </c>
      <c r="K41" s="58">
        <v>50000</v>
      </c>
      <c r="L41" s="58">
        <v>50000</v>
      </c>
      <c r="M41" s="58">
        <v>50000</v>
      </c>
      <c r="N41" s="58">
        <v>50000</v>
      </c>
      <c r="O41" s="58">
        <v>50000</v>
      </c>
      <c r="P41" s="58">
        <v>50000</v>
      </c>
      <c r="Q41" s="58">
        <v>50000</v>
      </c>
      <c r="R41" s="58">
        <v>50000</v>
      </c>
      <c r="S41" s="58">
        <v>50000</v>
      </c>
      <c r="T41" s="58">
        <v>50000</v>
      </c>
      <c r="U41" s="58">
        <v>50000</v>
      </c>
      <c r="V41" s="58">
        <v>50000</v>
      </c>
      <c r="W41" s="58">
        <v>50000</v>
      </c>
      <c r="X41" s="58">
        <v>50000</v>
      </c>
      <c r="Y41" s="58">
        <v>50000</v>
      </c>
      <c r="Z41" s="58">
        <v>50000</v>
      </c>
      <c r="AA41" s="58">
        <f t="shared" si="0"/>
        <v>1200000</v>
      </c>
      <c r="AB41" s="53">
        <v>5</v>
      </c>
      <c r="AC41" s="58">
        <f t="shared" si="1"/>
        <v>6000000</v>
      </c>
      <c r="AD41" s="112"/>
    </row>
    <row r="42" spans="1:30" x14ac:dyDescent="0.35">
      <c r="A42" s="110"/>
      <c r="B42" s="60" t="s">
        <v>42</v>
      </c>
      <c r="C42" s="58">
        <v>0</v>
      </c>
      <c r="D42" s="58">
        <v>0</v>
      </c>
      <c r="E42" s="58">
        <v>0</v>
      </c>
      <c r="F42" s="58">
        <v>0</v>
      </c>
      <c r="G42" s="58">
        <v>0</v>
      </c>
      <c r="H42" s="58">
        <v>0</v>
      </c>
      <c r="I42" s="58">
        <v>0</v>
      </c>
      <c r="J42" s="58">
        <v>0</v>
      </c>
      <c r="K42" s="58">
        <v>0</v>
      </c>
      <c r="L42" s="58">
        <v>0</v>
      </c>
      <c r="M42" s="58">
        <v>0</v>
      </c>
      <c r="N42" s="58">
        <v>0</v>
      </c>
      <c r="O42" s="58">
        <v>0</v>
      </c>
      <c r="P42" s="58">
        <v>0</v>
      </c>
      <c r="Q42" s="58">
        <v>0</v>
      </c>
      <c r="R42" s="58">
        <v>0</v>
      </c>
      <c r="S42" s="58">
        <v>0</v>
      </c>
      <c r="T42" s="58">
        <v>0</v>
      </c>
      <c r="U42" s="58">
        <v>0</v>
      </c>
      <c r="V42" s="58">
        <v>0</v>
      </c>
      <c r="W42" s="58">
        <v>0</v>
      </c>
      <c r="X42" s="58">
        <v>0</v>
      </c>
      <c r="Y42" s="58">
        <v>0</v>
      </c>
      <c r="Z42" s="58">
        <v>0</v>
      </c>
      <c r="AA42" s="58">
        <f t="shared" si="0"/>
        <v>0</v>
      </c>
      <c r="AB42" s="53">
        <v>0</v>
      </c>
      <c r="AC42" s="58">
        <f t="shared" si="1"/>
        <v>0</v>
      </c>
      <c r="AD42" s="113"/>
    </row>
    <row r="43" spans="1:30" x14ac:dyDescent="0.35">
      <c r="A43" s="108">
        <v>47757</v>
      </c>
      <c r="B43" s="57" t="s">
        <v>39</v>
      </c>
      <c r="C43" s="58">
        <v>50000</v>
      </c>
      <c r="D43" s="58">
        <v>50000</v>
      </c>
      <c r="E43" s="58">
        <v>50000</v>
      </c>
      <c r="F43" s="58">
        <v>50000</v>
      </c>
      <c r="G43" s="58">
        <v>50000</v>
      </c>
      <c r="H43" s="58">
        <v>50000</v>
      </c>
      <c r="I43" s="58">
        <v>50000</v>
      </c>
      <c r="J43" s="58">
        <v>50000</v>
      </c>
      <c r="K43" s="58">
        <v>50000</v>
      </c>
      <c r="L43" s="58">
        <v>50000</v>
      </c>
      <c r="M43" s="58">
        <v>50000</v>
      </c>
      <c r="N43" s="58">
        <v>50000</v>
      </c>
      <c r="O43" s="58">
        <v>50000</v>
      </c>
      <c r="P43" s="58">
        <v>50000</v>
      </c>
      <c r="Q43" s="58">
        <v>50000</v>
      </c>
      <c r="R43" s="58">
        <v>50000</v>
      </c>
      <c r="S43" s="58">
        <v>50000</v>
      </c>
      <c r="T43" s="58">
        <v>50000</v>
      </c>
      <c r="U43" s="58">
        <v>50000</v>
      </c>
      <c r="V43" s="58">
        <v>50000</v>
      </c>
      <c r="W43" s="58">
        <v>50000</v>
      </c>
      <c r="X43" s="58">
        <v>50000</v>
      </c>
      <c r="Y43" s="58">
        <v>50000</v>
      </c>
      <c r="Z43" s="58">
        <v>50000</v>
      </c>
      <c r="AA43" s="58">
        <f t="shared" si="0"/>
        <v>1200000</v>
      </c>
      <c r="AB43" s="53">
        <v>22</v>
      </c>
      <c r="AC43" s="58">
        <f t="shared" si="1"/>
        <v>26400000</v>
      </c>
      <c r="AD43" s="111">
        <f>+SUM(AC43:AC46)</f>
        <v>37200000</v>
      </c>
    </row>
    <row r="44" spans="1:30" x14ac:dyDescent="0.35">
      <c r="A44" s="109"/>
      <c r="B44" s="59" t="s">
        <v>40</v>
      </c>
      <c r="C44" s="58">
        <v>50000</v>
      </c>
      <c r="D44" s="58">
        <v>50000</v>
      </c>
      <c r="E44" s="58">
        <v>50000</v>
      </c>
      <c r="F44" s="58">
        <v>50000</v>
      </c>
      <c r="G44" s="58">
        <v>50000</v>
      </c>
      <c r="H44" s="58">
        <v>50000</v>
      </c>
      <c r="I44" s="58">
        <v>50000</v>
      </c>
      <c r="J44" s="58">
        <v>50000</v>
      </c>
      <c r="K44" s="58">
        <v>50000</v>
      </c>
      <c r="L44" s="58">
        <v>50000</v>
      </c>
      <c r="M44" s="58">
        <v>50000</v>
      </c>
      <c r="N44" s="58">
        <v>50000</v>
      </c>
      <c r="O44" s="58">
        <v>50000</v>
      </c>
      <c r="P44" s="58">
        <v>50000</v>
      </c>
      <c r="Q44" s="58">
        <v>50000</v>
      </c>
      <c r="R44" s="58">
        <v>50000</v>
      </c>
      <c r="S44" s="58">
        <v>50000</v>
      </c>
      <c r="T44" s="58">
        <v>50000</v>
      </c>
      <c r="U44" s="58">
        <v>50000</v>
      </c>
      <c r="V44" s="58">
        <v>50000</v>
      </c>
      <c r="W44" s="58">
        <v>50000</v>
      </c>
      <c r="X44" s="58">
        <v>50000</v>
      </c>
      <c r="Y44" s="58">
        <v>50000</v>
      </c>
      <c r="Z44" s="58">
        <v>50000</v>
      </c>
      <c r="AA44" s="58">
        <f t="shared" si="0"/>
        <v>1200000</v>
      </c>
      <c r="AB44" s="53">
        <v>4</v>
      </c>
      <c r="AC44" s="58">
        <f t="shared" si="1"/>
        <v>4800000</v>
      </c>
      <c r="AD44" s="112"/>
    </row>
    <row r="45" spans="1:30" x14ac:dyDescent="0.35">
      <c r="A45" s="109"/>
      <c r="B45" s="59" t="s">
        <v>41</v>
      </c>
      <c r="C45" s="58">
        <v>50000</v>
      </c>
      <c r="D45" s="58">
        <v>50000</v>
      </c>
      <c r="E45" s="58">
        <v>50000</v>
      </c>
      <c r="F45" s="58">
        <v>50000</v>
      </c>
      <c r="G45" s="58">
        <v>50000</v>
      </c>
      <c r="H45" s="58">
        <v>50000</v>
      </c>
      <c r="I45" s="58">
        <v>50000</v>
      </c>
      <c r="J45" s="58">
        <v>50000</v>
      </c>
      <c r="K45" s="58">
        <v>50000</v>
      </c>
      <c r="L45" s="58">
        <v>50000</v>
      </c>
      <c r="M45" s="58">
        <v>50000</v>
      </c>
      <c r="N45" s="58">
        <v>50000</v>
      </c>
      <c r="O45" s="58">
        <v>50000</v>
      </c>
      <c r="P45" s="58">
        <v>50000</v>
      </c>
      <c r="Q45" s="58">
        <v>50000</v>
      </c>
      <c r="R45" s="58">
        <v>50000</v>
      </c>
      <c r="S45" s="58">
        <v>50000</v>
      </c>
      <c r="T45" s="58">
        <v>50000</v>
      </c>
      <c r="U45" s="58">
        <v>50000</v>
      </c>
      <c r="V45" s="58">
        <v>50000</v>
      </c>
      <c r="W45" s="58">
        <v>50000</v>
      </c>
      <c r="X45" s="58">
        <v>50000</v>
      </c>
      <c r="Y45" s="58">
        <v>50000</v>
      </c>
      <c r="Z45" s="58">
        <v>50000</v>
      </c>
      <c r="AA45" s="58">
        <f t="shared" si="0"/>
        <v>1200000</v>
      </c>
      <c r="AB45" s="53">
        <v>4</v>
      </c>
      <c r="AC45" s="58">
        <f t="shared" si="1"/>
        <v>4800000</v>
      </c>
      <c r="AD45" s="112"/>
    </row>
    <row r="46" spans="1:30" x14ac:dyDescent="0.35">
      <c r="A46" s="110"/>
      <c r="B46" s="60" t="s">
        <v>42</v>
      </c>
      <c r="C46" s="58">
        <v>50000</v>
      </c>
      <c r="D46" s="58">
        <v>50000</v>
      </c>
      <c r="E46" s="58">
        <v>50000</v>
      </c>
      <c r="F46" s="58">
        <v>50000</v>
      </c>
      <c r="G46" s="58">
        <v>50000</v>
      </c>
      <c r="H46" s="58">
        <v>50000</v>
      </c>
      <c r="I46" s="58">
        <v>50000</v>
      </c>
      <c r="J46" s="58">
        <v>50000</v>
      </c>
      <c r="K46" s="58">
        <v>50000</v>
      </c>
      <c r="L46" s="58">
        <v>50000</v>
      </c>
      <c r="M46" s="58">
        <v>50000</v>
      </c>
      <c r="N46" s="58">
        <v>50000</v>
      </c>
      <c r="O46" s="58">
        <v>50000</v>
      </c>
      <c r="P46" s="58">
        <v>50000</v>
      </c>
      <c r="Q46" s="58">
        <v>50000</v>
      </c>
      <c r="R46" s="58">
        <v>50000</v>
      </c>
      <c r="S46" s="58">
        <v>50000</v>
      </c>
      <c r="T46" s="58">
        <v>50000</v>
      </c>
      <c r="U46" s="58">
        <v>50000</v>
      </c>
      <c r="V46" s="58">
        <v>50000</v>
      </c>
      <c r="W46" s="58">
        <v>50000</v>
      </c>
      <c r="X46" s="58">
        <v>50000</v>
      </c>
      <c r="Y46" s="58">
        <v>50000</v>
      </c>
      <c r="Z46" s="58">
        <v>50000</v>
      </c>
      <c r="AA46" s="58">
        <f t="shared" si="0"/>
        <v>1200000</v>
      </c>
      <c r="AB46" s="53">
        <v>1</v>
      </c>
      <c r="AC46" s="58">
        <f t="shared" si="1"/>
        <v>1200000</v>
      </c>
      <c r="AD46" s="113"/>
    </row>
    <row r="47" spans="1:30" x14ac:dyDescent="0.35">
      <c r="A47" s="90">
        <v>47788</v>
      </c>
      <c r="B47" s="13" t="s">
        <v>39</v>
      </c>
      <c r="C47" s="58">
        <v>50000</v>
      </c>
      <c r="D47" s="58">
        <v>50000</v>
      </c>
      <c r="E47" s="58">
        <v>50000</v>
      </c>
      <c r="F47" s="58">
        <v>50000</v>
      </c>
      <c r="G47" s="58">
        <v>50000</v>
      </c>
      <c r="H47" s="58">
        <v>50000</v>
      </c>
      <c r="I47" s="58">
        <v>50000</v>
      </c>
      <c r="J47" s="58">
        <v>50000</v>
      </c>
      <c r="K47" s="58">
        <v>50000</v>
      </c>
      <c r="L47" s="58">
        <v>50000</v>
      </c>
      <c r="M47" s="58">
        <v>50000</v>
      </c>
      <c r="N47" s="58">
        <v>50000</v>
      </c>
      <c r="O47" s="58">
        <v>50000</v>
      </c>
      <c r="P47" s="58">
        <v>50000</v>
      </c>
      <c r="Q47" s="58">
        <v>50000</v>
      </c>
      <c r="R47" s="58">
        <v>50000</v>
      </c>
      <c r="S47" s="58">
        <v>50000</v>
      </c>
      <c r="T47" s="58">
        <v>50000</v>
      </c>
      <c r="U47" s="58">
        <v>50000</v>
      </c>
      <c r="V47" s="58">
        <v>50000</v>
      </c>
      <c r="W47" s="58">
        <v>50000</v>
      </c>
      <c r="X47" s="58">
        <v>50000</v>
      </c>
      <c r="Y47" s="58">
        <v>50000</v>
      </c>
      <c r="Z47" s="58">
        <v>50000</v>
      </c>
      <c r="AA47" s="15">
        <f t="shared" si="0"/>
        <v>1200000</v>
      </c>
      <c r="AB47" s="16">
        <v>19</v>
      </c>
      <c r="AC47" s="15">
        <f t="shared" si="1"/>
        <v>22800000</v>
      </c>
      <c r="AD47" s="105">
        <f>+SUM(AC47:AC50)</f>
        <v>36000000</v>
      </c>
    </row>
    <row r="48" spans="1:30" x14ac:dyDescent="0.35">
      <c r="A48" s="91"/>
      <c r="B48" s="17" t="s">
        <v>40</v>
      </c>
      <c r="C48" s="58">
        <v>50000</v>
      </c>
      <c r="D48" s="58">
        <v>50000</v>
      </c>
      <c r="E48" s="58">
        <v>50000</v>
      </c>
      <c r="F48" s="58">
        <v>50000</v>
      </c>
      <c r="G48" s="58">
        <v>50000</v>
      </c>
      <c r="H48" s="58">
        <v>50000</v>
      </c>
      <c r="I48" s="58">
        <v>50000</v>
      </c>
      <c r="J48" s="58">
        <v>50000</v>
      </c>
      <c r="K48" s="58">
        <v>50000</v>
      </c>
      <c r="L48" s="58">
        <v>50000</v>
      </c>
      <c r="M48" s="58">
        <v>50000</v>
      </c>
      <c r="N48" s="58">
        <v>50000</v>
      </c>
      <c r="O48" s="58">
        <v>50000</v>
      </c>
      <c r="P48" s="58">
        <v>50000</v>
      </c>
      <c r="Q48" s="58">
        <v>50000</v>
      </c>
      <c r="R48" s="58">
        <v>50000</v>
      </c>
      <c r="S48" s="58">
        <v>50000</v>
      </c>
      <c r="T48" s="58">
        <v>50000</v>
      </c>
      <c r="U48" s="58">
        <v>50000</v>
      </c>
      <c r="V48" s="58">
        <v>50000</v>
      </c>
      <c r="W48" s="58">
        <v>50000</v>
      </c>
      <c r="X48" s="58">
        <v>50000</v>
      </c>
      <c r="Y48" s="58">
        <v>50000</v>
      </c>
      <c r="Z48" s="58">
        <v>50000</v>
      </c>
      <c r="AA48" s="15">
        <f t="shared" si="0"/>
        <v>1200000</v>
      </c>
      <c r="AB48" s="16">
        <v>5</v>
      </c>
      <c r="AC48" s="15">
        <f t="shared" si="1"/>
        <v>6000000</v>
      </c>
      <c r="AD48" s="106"/>
    </row>
    <row r="49" spans="1:30" x14ac:dyDescent="0.35">
      <c r="A49" s="91"/>
      <c r="B49" s="17" t="s">
        <v>41</v>
      </c>
      <c r="C49" s="58">
        <v>50000</v>
      </c>
      <c r="D49" s="58">
        <v>50000</v>
      </c>
      <c r="E49" s="58">
        <v>50000</v>
      </c>
      <c r="F49" s="58">
        <v>50000</v>
      </c>
      <c r="G49" s="58">
        <v>50000</v>
      </c>
      <c r="H49" s="58">
        <v>50000</v>
      </c>
      <c r="I49" s="58">
        <v>50000</v>
      </c>
      <c r="J49" s="58">
        <v>50000</v>
      </c>
      <c r="K49" s="58">
        <v>50000</v>
      </c>
      <c r="L49" s="58">
        <v>50000</v>
      </c>
      <c r="M49" s="58">
        <v>50000</v>
      </c>
      <c r="N49" s="58">
        <v>50000</v>
      </c>
      <c r="O49" s="58">
        <v>50000</v>
      </c>
      <c r="P49" s="58">
        <v>50000</v>
      </c>
      <c r="Q49" s="58">
        <v>50000</v>
      </c>
      <c r="R49" s="58">
        <v>50000</v>
      </c>
      <c r="S49" s="58">
        <v>50000</v>
      </c>
      <c r="T49" s="58">
        <v>50000</v>
      </c>
      <c r="U49" s="58">
        <v>50000</v>
      </c>
      <c r="V49" s="58">
        <v>50000</v>
      </c>
      <c r="W49" s="58">
        <v>50000</v>
      </c>
      <c r="X49" s="58">
        <v>50000</v>
      </c>
      <c r="Y49" s="58">
        <v>50000</v>
      </c>
      <c r="Z49" s="58">
        <v>50000</v>
      </c>
      <c r="AA49" s="15">
        <f t="shared" si="0"/>
        <v>1200000</v>
      </c>
      <c r="AB49" s="16">
        <v>4</v>
      </c>
      <c r="AC49" s="15">
        <f t="shared" si="1"/>
        <v>4800000</v>
      </c>
      <c r="AD49" s="106"/>
    </row>
    <row r="50" spans="1:30" x14ac:dyDescent="0.35">
      <c r="A50" s="92"/>
      <c r="B50" s="18" t="s">
        <v>42</v>
      </c>
      <c r="C50" s="58">
        <v>50000</v>
      </c>
      <c r="D50" s="58">
        <v>50000</v>
      </c>
      <c r="E50" s="58">
        <v>50000</v>
      </c>
      <c r="F50" s="58">
        <v>50000</v>
      </c>
      <c r="G50" s="58">
        <v>50000</v>
      </c>
      <c r="H50" s="58">
        <v>50000</v>
      </c>
      <c r="I50" s="58">
        <v>50000</v>
      </c>
      <c r="J50" s="58">
        <v>50000</v>
      </c>
      <c r="K50" s="58">
        <v>50000</v>
      </c>
      <c r="L50" s="58">
        <v>50000</v>
      </c>
      <c r="M50" s="58">
        <v>50000</v>
      </c>
      <c r="N50" s="58">
        <v>50000</v>
      </c>
      <c r="O50" s="58">
        <v>50000</v>
      </c>
      <c r="P50" s="58">
        <v>50000</v>
      </c>
      <c r="Q50" s="58">
        <v>50000</v>
      </c>
      <c r="R50" s="58">
        <v>50000</v>
      </c>
      <c r="S50" s="58">
        <v>50000</v>
      </c>
      <c r="T50" s="58">
        <v>50000</v>
      </c>
      <c r="U50" s="58">
        <v>50000</v>
      </c>
      <c r="V50" s="58">
        <v>50000</v>
      </c>
      <c r="W50" s="58">
        <v>50000</v>
      </c>
      <c r="X50" s="58">
        <v>50000</v>
      </c>
      <c r="Y50" s="58">
        <v>50000</v>
      </c>
      <c r="Z50" s="58">
        <v>50000</v>
      </c>
      <c r="AA50" s="15">
        <f t="shared" si="0"/>
        <v>1200000</v>
      </c>
      <c r="AB50" s="16">
        <v>2</v>
      </c>
      <c r="AC50" s="15">
        <f t="shared" si="1"/>
        <v>2400000</v>
      </c>
      <c r="AD50" s="107"/>
    </row>
    <row r="51" spans="1:30" x14ac:dyDescent="0.35">
      <c r="A51" s="90">
        <v>47818</v>
      </c>
      <c r="B51" s="13" t="s">
        <v>39</v>
      </c>
      <c r="C51" s="58">
        <v>50000</v>
      </c>
      <c r="D51" s="58">
        <v>50000</v>
      </c>
      <c r="E51" s="58">
        <v>50000</v>
      </c>
      <c r="F51" s="58">
        <v>50000</v>
      </c>
      <c r="G51" s="58">
        <v>50000</v>
      </c>
      <c r="H51" s="58">
        <v>50000</v>
      </c>
      <c r="I51" s="58">
        <v>50000</v>
      </c>
      <c r="J51" s="58">
        <v>50000</v>
      </c>
      <c r="K51" s="58">
        <v>50000</v>
      </c>
      <c r="L51" s="58">
        <v>50000</v>
      </c>
      <c r="M51" s="58">
        <v>50000</v>
      </c>
      <c r="N51" s="58">
        <v>50000</v>
      </c>
      <c r="O51" s="58">
        <v>50000</v>
      </c>
      <c r="P51" s="58">
        <v>50000</v>
      </c>
      <c r="Q51" s="58">
        <v>50000</v>
      </c>
      <c r="R51" s="58">
        <v>50000</v>
      </c>
      <c r="S51" s="58">
        <v>50000</v>
      </c>
      <c r="T51" s="58">
        <v>50000</v>
      </c>
      <c r="U51" s="58">
        <v>50000</v>
      </c>
      <c r="V51" s="58">
        <v>50000</v>
      </c>
      <c r="W51" s="58">
        <v>50000</v>
      </c>
      <c r="X51" s="58">
        <v>50000</v>
      </c>
      <c r="Y51" s="58">
        <v>50000</v>
      </c>
      <c r="Z51" s="58">
        <v>50000</v>
      </c>
      <c r="AA51" s="15">
        <f t="shared" si="0"/>
        <v>1200000</v>
      </c>
      <c r="AB51" s="16">
        <v>21</v>
      </c>
      <c r="AC51" s="15">
        <f t="shared" si="1"/>
        <v>25200000</v>
      </c>
      <c r="AD51" s="105">
        <f>+SUM(AC51:AC54)</f>
        <v>37200000</v>
      </c>
    </row>
    <row r="52" spans="1:30" x14ac:dyDescent="0.35">
      <c r="A52" s="91"/>
      <c r="B52" s="17" t="s">
        <v>40</v>
      </c>
      <c r="C52" s="58">
        <v>50000</v>
      </c>
      <c r="D52" s="58">
        <v>50000</v>
      </c>
      <c r="E52" s="58">
        <v>50000</v>
      </c>
      <c r="F52" s="58">
        <v>50000</v>
      </c>
      <c r="G52" s="58">
        <v>50000</v>
      </c>
      <c r="H52" s="58">
        <v>50000</v>
      </c>
      <c r="I52" s="58">
        <v>50000</v>
      </c>
      <c r="J52" s="58">
        <v>50000</v>
      </c>
      <c r="K52" s="58">
        <v>50000</v>
      </c>
      <c r="L52" s="58">
        <v>50000</v>
      </c>
      <c r="M52" s="58">
        <v>50000</v>
      </c>
      <c r="N52" s="58">
        <v>50000</v>
      </c>
      <c r="O52" s="58">
        <v>50000</v>
      </c>
      <c r="P52" s="58">
        <v>50000</v>
      </c>
      <c r="Q52" s="58">
        <v>50000</v>
      </c>
      <c r="R52" s="58">
        <v>50000</v>
      </c>
      <c r="S52" s="58">
        <v>50000</v>
      </c>
      <c r="T52" s="58">
        <v>50000</v>
      </c>
      <c r="U52" s="58">
        <v>50000</v>
      </c>
      <c r="V52" s="58">
        <v>50000</v>
      </c>
      <c r="W52" s="58">
        <v>50000</v>
      </c>
      <c r="X52" s="58">
        <v>50000</v>
      </c>
      <c r="Y52" s="58">
        <v>50000</v>
      </c>
      <c r="Z52" s="58">
        <v>50000</v>
      </c>
      <c r="AA52" s="15">
        <f t="shared" si="0"/>
        <v>1200000</v>
      </c>
      <c r="AB52" s="16">
        <v>4</v>
      </c>
      <c r="AC52" s="15">
        <f t="shared" si="1"/>
        <v>4800000</v>
      </c>
      <c r="AD52" s="106"/>
    </row>
    <row r="53" spans="1:30" x14ac:dyDescent="0.35">
      <c r="A53" s="91"/>
      <c r="B53" s="17" t="s">
        <v>41</v>
      </c>
      <c r="C53" s="58">
        <v>50000</v>
      </c>
      <c r="D53" s="58">
        <v>50000</v>
      </c>
      <c r="E53" s="58">
        <v>50000</v>
      </c>
      <c r="F53" s="58">
        <v>50000</v>
      </c>
      <c r="G53" s="58">
        <v>50000</v>
      </c>
      <c r="H53" s="58">
        <v>50000</v>
      </c>
      <c r="I53" s="58">
        <v>50000</v>
      </c>
      <c r="J53" s="58">
        <v>50000</v>
      </c>
      <c r="K53" s="58">
        <v>50000</v>
      </c>
      <c r="L53" s="58">
        <v>50000</v>
      </c>
      <c r="M53" s="58">
        <v>50000</v>
      </c>
      <c r="N53" s="58">
        <v>50000</v>
      </c>
      <c r="O53" s="58">
        <v>50000</v>
      </c>
      <c r="P53" s="58">
        <v>50000</v>
      </c>
      <c r="Q53" s="58">
        <v>50000</v>
      </c>
      <c r="R53" s="58">
        <v>50000</v>
      </c>
      <c r="S53" s="58">
        <v>50000</v>
      </c>
      <c r="T53" s="58">
        <v>50000</v>
      </c>
      <c r="U53" s="58">
        <v>50000</v>
      </c>
      <c r="V53" s="58">
        <v>50000</v>
      </c>
      <c r="W53" s="58">
        <v>50000</v>
      </c>
      <c r="X53" s="58">
        <v>50000</v>
      </c>
      <c r="Y53" s="58">
        <v>50000</v>
      </c>
      <c r="Z53" s="58">
        <v>50000</v>
      </c>
      <c r="AA53" s="15">
        <f t="shared" si="0"/>
        <v>1200000</v>
      </c>
      <c r="AB53" s="16">
        <v>5</v>
      </c>
      <c r="AC53" s="15">
        <f t="shared" si="1"/>
        <v>6000000</v>
      </c>
      <c r="AD53" s="106"/>
    </row>
    <row r="54" spans="1:30" x14ac:dyDescent="0.35">
      <c r="A54" s="92"/>
      <c r="B54" s="18" t="s">
        <v>42</v>
      </c>
      <c r="C54" s="58">
        <v>50000</v>
      </c>
      <c r="D54" s="58">
        <v>50000</v>
      </c>
      <c r="E54" s="58">
        <v>50000</v>
      </c>
      <c r="F54" s="58">
        <v>50000</v>
      </c>
      <c r="G54" s="58">
        <v>50000</v>
      </c>
      <c r="H54" s="58">
        <v>50000</v>
      </c>
      <c r="I54" s="58">
        <v>50000</v>
      </c>
      <c r="J54" s="58">
        <v>50000</v>
      </c>
      <c r="K54" s="58">
        <v>50000</v>
      </c>
      <c r="L54" s="58">
        <v>50000</v>
      </c>
      <c r="M54" s="58">
        <v>50000</v>
      </c>
      <c r="N54" s="58">
        <v>50000</v>
      </c>
      <c r="O54" s="58">
        <v>50000</v>
      </c>
      <c r="P54" s="58">
        <v>50000</v>
      </c>
      <c r="Q54" s="58">
        <v>50000</v>
      </c>
      <c r="R54" s="58">
        <v>50000</v>
      </c>
      <c r="S54" s="58">
        <v>50000</v>
      </c>
      <c r="T54" s="58">
        <v>50000</v>
      </c>
      <c r="U54" s="58">
        <v>50000</v>
      </c>
      <c r="V54" s="58">
        <v>50000</v>
      </c>
      <c r="W54" s="58">
        <v>50000</v>
      </c>
      <c r="X54" s="58">
        <v>50000</v>
      </c>
      <c r="Y54" s="58">
        <v>50000</v>
      </c>
      <c r="Z54" s="58">
        <v>50000</v>
      </c>
      <c r="AA54" s="15">
        <f t="shared" si="0"/>
        <v>1200000</v>
      </c>
      <c r="AB54" s="16">
        <v>1</v>
      </c>
      <c r="AC54" s="15">
        <f t="shared" si="1"/>
        <v>1200000</v>
      </c>
      <c r="AD54" s="107"/>
    </row>
    <row r="55" spans="1:30" x14ac:dyDescent="0.35">
      <c r="AD55" s="24">
        <f>+SUM(AD7:AD54)</f>
        <v>438000000</v>
      </c>
    </row>
    <row r="58" spans="1:30" x14ac:dyDescent="0.35">
      <c r="C58" s="25"/>
      <c r="D58" s="25"/>
      <c r="E58" s="25"/>
      <c r="F58" s="25"/>
      <c r="G58" s="25"/>
      <c r="H58" s="25"/>
      <c r="I58" s="25"/>
      <c r="J58" s="25"/>
      <c r="K58" s="25"/>
      <c r="L58" s="25"/>
      <c r="M58" s="25"/>
      <c r="N58" s="25"/>
      <c r="O58" s="25"/>
      <c r="P58" s="25"/>
      <c r="Q58" s="25"/>
      <c r="R58" s="25"/>
      <c r="S58" s="25"/>
      <c r="T58" s="25"/>
      <c r="U58" s="25"/>
      <c r="V58" s="25"/>
      <c r="W58" s="25"/>
      <c r="X58" s="25"/>
      <c r="Y58" s="25"/>
      <c r="Z58" s="25"/>
    </row>
  </sheetData>
  <mergeCells count="28">
    <mergeCell ref="A47:A50"/>
    <mergeCell ref="AD47:AD50"/>
    <mergeCell ref="A51:A54"/>
    <mergeCell ref="AD51:AD54"/>
    <mergeCell ref="A35:A38"/>
    <mergeCell ref="AD35:AD38"/>
    <mergeCell ref="A39:A42"/>
    <mergeCell ref="AD39:AD42"/>
    <mergeCell ref="A43:A46"/>
    <mergeCell ref="AD43:AD46"/>
    <mergeCell ref="A23:A26"/>
    <mergeCell ref="AD23:AD26"/>
    <mergeCell ref="A27:A30"/>
    <mergeCell ref="AD27:AD30"/>
    <mergeCell ref="A31:A34"/>
    <mergeCell ref="AD31:AD34"/>
    <mergeCell ref="A11:A14"/>
    <mergeCell ref="AD11:AD14"/>
    <mergeCell ref="A15:A18"/>
    <mergeCell ref="AD15:AD18"/>
    <mergeCell ref="A19:A22"/>
    <mergeCell ref="AD19:AD22"/>
    <mergeCell ref="AD7:AD10"/>
    <mergeCell ref="A1:D1"/>
    <mergeCell ref="A2:M2"/>
    <mergeCell ref="A4:B4"/>
    <mergeCell ref="C4:D4"/>
    <mergeCell ref="A7:A10"/>
  </mergeCells>
  <conditionalFormatting sqref="C7:Z13">
    <cfRule type="cellIs" dxfId="0" priority="1" operator="lessThan">
      <formula>0</formula>
    </cfRule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D837F2-9B90-47FC-8D1E-AFEE1AC9474F}">
  <sheetPr>
    <tabColor rgb="FF92D050"/>
  </sheetPr>
  <dimension ref="C1:I22"/>
  <sheetViews>
    <sheetView showGridLines="0" topLeftCell="A5" workbookViewId="0">
      <selection activeCell="C1" sqref="C1:G18"/>
    </sheetView>
  </sheetViews>
  <sheetFormatPr baseColWidth="10" defaultRowHeight="14.5" x14ac:dyDescent="0.35"/>
  <cols>
    <col min="2" max="2" width="2.54296875" customWidth="1"/>
    <col min="4" max="4" width="15.1796875" customWidth="1"/>
    <col min="5" max="5" width="15.1796875" bestFit="1" customWidth="1"/>
    <col min="6" max="6" width="12.54296875" customWidth="1"/>
    <col min="8" max="8" width="2" customWidth="1"/>
    <col min="9" max="9" width="14.1796875" bestFit="1" customWidth="1"/>
  </cols>
  <sheetData>
    <row r="1" spans="3:7" x14ac:dyDescent="0.35">
      <c r="C1" s="77" t="s">
        <v>43</v>
      </c>
      <c r="D1" s="77"/>
      <c r="E1" s="77"/>
      <c r="F1" s="77"/>
      <c r="G1" s="77"/>
    </row>
    <row r="2" spans="3:7" x14ac:dyDescent="0.35">
      <c r="C2" s="77"/>
      <c r="D2" s="77"/>
      <c r="E2" s="77"/>
      <c r="F2" s="77"/>
      <c r="G2" s="77"/>
    </row>
    <row r="3" spans="3:7" ht="15" thickBot="1" x14ac:dyDescent="0.4"/>
    <row r="4" spans="3:7" ht="15" thickBot="1" x14ac:dyDescent="0.4">
      <c r="C4" s="117" t="s">
        <v>50</v>
      </c>
      <c r="D4" s="118"/>
      <c r="E4" s="118"/>
      <c r="F4" s="118"/>
      <c r="G4" s="119"/>
    </row>
    <row r="5" spans="3:7" ht="32" thickBot="1" x14ac:dyDescent="0.4">
      <c r="C5" s="23" t="s">
        <v>0</v>
      </c>
      <c r="D5" s="23" t="s">
        <v>5</v>
      </c>
      <c r="E5" s="23" t="s">
        <v>1</v>
      </c>
      <c r="F5" s="55" t="s">
        <v>6</v>
      </c>
      <c r="G5" s="55" t="s">
        <v>2</v>
      </c>
    </row>
    <row r="6" spans="3:7" x14ac:dyDescent="0.35">
      <c r="C6" s="61">
        <v>47849</v>
      </c>
      <c r="D6" s="62">
        <f>+VLOOKUP(C6,'CURVA P8'!$A$4:$AD$55,30,FALSE)</f>
        <v>39072423</v>
      </c>
      <c r="E6" s="137" t="s">
        <v>1</v>
      </c>
      <c r="F6" s="63"/>
      <c r="G6" s="138" t="s">
        <v>3</v>
      </c>
    </row>
    <row r="7" spans="3:7" x14ac:dyDescent="0.35">
      <c r="C7" s="3">
        <v>47880</v>
      </c>
      <c r="D7" s="4">
        <f>+VLOOKUP(C7,'CURVA P8'!$A$4:$AD$55,30,FALSE)</f>
        <v>41473312</v>
      </c>
      <c r="E7" s="97"/>
      <c r="F7" s="1"/>
      <c r="G7" s="100"/>
    </row>
    <row r="8" spans="3:7" x14ac:dyDescent="0.35">
      <c r="C8" s="3">
        <v>47908</v>
      </c>
      <c r="D8" s="4">
        <f>+VLOOKUP(C8,'CURVA P8'!$A$4:$AD$55,30,FALSE)</f>
        <v>38941727</v>
      </c>
      <c r="E8" s="97"/>
      <c r="F8" s="1"/>
      <c r="G8" s="100"/>
    </row>
    <row r="9" spans="3:7" x14ac:dyDescent="0.35">
      <c r="C9" s="3">
        <v>47939</v>
      </c>
      <c r="D9" s="4">
        <f>+VLOOKUP(C9,'CURVA P8'!$A$4:$AD$55,30,FALSE)</f>
        <v>41085624</v>
      </c>
      <c r="E9" s="97"/>
      <c r="F9" s="1"/>
      <c r="G9" s="100"/>
    </row>
    <row r="10" spans="3:7" x14ac:dyDescent="0.35">
      <c r="C10" s="3">
        <v>47969</v>
      </c>
      <c r="D10" s="4">
        <f>+VLOOKUP(C10,'CURVA P8'!$A$4:$AD$55,30,FALSE)</f>
        <v>41407219</v>
      </c>
      <c r="E10" s="97"/>
      <c r="F10" s="1"/>
      <c r="G10" s="100"/>
    </row>
    <row r="11" spans="3:7" x14ac:dyDescent="0.35">
      <c r="C11" s="3">
        <v>48000</v>
      </c>
      <c r="D11" s="4">
        <f>+VLOOKUP(C11,'CURVA P8'!$A$4:$AD$55,30,FALSE)</f>
        <v>42678135</v>
      </c>
      <c r="E11" s="97"/>
      <c r="F11" s="1"/>
      <c r="G11" s="100"/>
    </row>
    <row r="12" spans="3:7" x14ac:dyDescent="0.35">
      <c r="C12" s="3">
        <v>48030</v>
      </c>
      <c r="D12" s="4">
        <f>+VLOOKUP(C12,'CURVA P8'!$A$4:$AD$55,30,FALSE)</f>
        <v>40899356</v>
      </c>
      <c r="E12" s="97"/>
      <c r="F12" s="1"/>
      <c r="G12" s="100"/>
    </row>
    <row r="13" spans="3:7" x14ac:dyDescent="0.35">
      <c r="C13" s="3">
        <v>48061</v>
      </c>
      <c r="D13" s="4">
        <f>+VLOOKUP(C13,'CURVA P8'!$A$4:$AD$55,30,FALSE)</f>
        <v>42547608</v>
      </c>
      <c r="E13" s="97"/>
      <c r="F13" s="1"/>
      <c r="G13" s="100"/>
    </row>
    <row r="14" spans="3:7" x14ac:dyDescent="0.35">
      <c r="C14" s="3">
        <v>48092</v>
      </c>
      <c r="D14" s="4">
        <f>+VLOOKUP(C14,'CURVA P8'!$A$4:$AD$55,30,FALSE)</f>
        <v>44164596</v>
      </c>
      <c r="E14" s="97"/>
      <c r="F14" s="1"/>
      <c r="G14" s="100"/>
    </row>
    <row r="15" spans="3:7" x14ac:dyDescent="0.35">
      <c r="C15" s="3">
        <v>48122</v>
      </c>
      <c r="D15" s="4">
        <f>+VLOOKUP(C15,'CURVA P8'!$A$4:$AD$55,30,FALSE)</f>
        <v>43421099</v>
      </c>
      <c r="E15" s="97"/>
      <c r="F15" s="1"/>
      <c r="G15" s="100"/>
    </row>
    <row r="16" spans="3:7" x14ac:dyDescent="0.35">
      <c r="C16" s="3">
        <v>48153</v>
      </c>
      <c r="D16" s="4">
        <f>+VLOOKUP(C16,'CURVA P8'!$A$4:$AD$55,30,FALSE)</f>
        <v>42950492</v>
      </c>
      <c r="E16" s="97"/>
      <c r="F16" s="1"/>
      <c r="G16" s="100"/>
    </row>
    <row r="17" spans="3:9" ht="15" thickBot="1" x14ac:dyDescent="0.4">
      <c r="C17" s="5">
        <v>48183</v>
      </c>
      <c r="D17" s="6">
        <f>+VLOOKUP(C17,'CURVA P8'!$A$4:$AD$55,30,FALSE)</f>
        <v>41505243</v>
      </c>
      <c r="E17" s="98"/>
      <c r="F17" s="7"/>
      <c r="G17" s="101"/>
    </row>
    <row r="18" spans="3:9" ht="15" thickBot="1" x14ac:dyDescent="0.4">
      <c r="D18" s="26">
        <f>SUM(D6:D17)</f>
        <v>500146834</v>
      </c>
    </row>
    <row r="19" spans="3:9" x14ac:dyDescent="0.35">
      <c r="D19" s="21"/>
      <c r="I19" s="22"/>
    </row>
    <row r="20" spans="3:9" x14ac:dyDescent="0.35">
      <c r="D20" s="19">
        <f>D18/1000000</f>
        <v>500.14683400000001</v>
      </c>
      <c r="I20" s="22"/>
    </row>
    <row r="21" spans="3:9" x14ac:dyDescent="0.35">
      <c r="D21" s="8">
        <f>D20*1000</f>
        <v>500146.83400000003</v>
      </c>
      <c r="I21" s="22"/>
    </row>
    <row r="22" spans="3:9" x14ac:dyDescent="0.35">
      <c r="I22" s="8"/>
    </row>
  </sheetData>
  <mergeCells count="4">
    <mergeCell ref="C1:G2"/>
    <mergeCell ref="C4:G4"/>
    <mergeCell ref="E6:E17"/>
    <mergeCell ref="G6:G17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1717B3-ADCA-4865-8160-0C42666ABC25}">
  <dimension ref="A1:AD58"/>
  <sheetViews>
    <sheetView showGridLines="0" zoomScaleNormal="100" workbookViewId="0">
      <selection activeCell="AD55" sqref="A1:AD55"/>
    </sheetView>
  </sheetViews>
  <sheetFormatPr baseColWidth="10" defaultRowHeight="14.5" x14ac:dyDescent="0.35"/>
  <cols>
    <col min="1" max="1" width="7.26953125" bestFit="1" customWidth="1"/>
    <col min="2" max="2" width="8" bestFit="1" customWidth="1"/>
    <col min="3" max="3" width="9.90625" bestFit="1" customWidth="1"/>
    <col min="4" max="19" width="9" bestFit="1" customWidth="1"/>
    <col min="20" max="26" width="9.90625" bestFit="1" customWidth="1"/>
    <col min="27" max="27" width="9" bestFit="1" customWidth="1"/>
    <col min="28" max="28" width="10.453125" bestFit="1" customWidth="1"/>
    <col min="29" max="29" width="11" bestFit="1" customWidth="1"/>
    <col min="30" max="30" width="12" bestFit="1" customWidth="1"/>
  </cols>
  <sheetData>
    <row r="1" spans="1:30" x14ac:dyDescent="0.35">
      <c r="A1" s="123" t="s">
        <v>8</v>
      </c>
      <c r="B1" s="123"/>
      <c r="C1" s="123"/>
      <c r="D1" s="123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</row>
    <row r="2" spans="1:30" x14ac:dyDescent="0.35">
      <c r="A2" s="124" t="s">
        <v>43</v>
      </c>
      <c r="B2" s="124"/>
      <c r="C2" s="124"/>
      <c r="D2" s="124"/>
      <c r="E2" s="124"/>
      <c r="F2" s="124"/>
      <c r="G2" s="124"/>
      <c r="H2" s="124"/>
      <c r="I2" s="124"/>
      <c r="J2" s="124"/>
      <c r="K2" s="124"/>
      <c r="L2" s="124"/>
      <c r="M2" s="124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  <c r="AA2" s="20"/>
      <c r="AB2" s="20"/>
      <c r="AC2" s="20"/>
      <c r="AD2" s="20"/>
    </row>
    <row r="3" spans="1:30" x14ac:dyDescent="0.35">
      <c r="A3" s="20"/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  <c r="AC3" s="20"/>
      <c r="AD3" s="20"/>
    </row>
    <row r="4" spans="1:30" x14ac:dyDescent="0.35">
      <c r="A4" s="87" t="s">
        <v>9</v>
      </c>
      <c r="B4" s="87"/>
      <c r="C4" s="88">
        <f>+AD55</f>
        <v>500146834</v>
      </c>
      <c r="D4" s="8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</row>
    <row r="5" spans="1:30" x14ac:dyDescent="0.35">
      <c r="A5" s="9" t="s">
        <v>0</v>
      </c>
      <c r="B5" s="10" t="s">
        <v>10</v>
      </c>
      <c r="C5" s="9" t="s">
        <v>11</v>
      </c>
      <c r="D5" s="9" t="s">
        <v>12</v>
      </c>
      <c r="E5" s="9" t="s">
        <v>13</v>
      </c>
      <c r="F5" s="9" t="s">
        <v>14</v>
      </c>
      <c r="G5" s="9" t="s">
        <v>15</v>
      </c>
      <c r="H5" s="9" t="s">
        <v>16</v>
      </c>
      <c r="I5" s="9" t="s">
        <v>17</v>
      </c>
      <c r="J5" s="9" t="s">
        <v>18</v>
      </c>
      <c r="K5" s="9" t="s">
        <v>19</v>
      </c>
      <c r="L5" s="9" t="s">
        <v>20</v>
      </c>
      <c r="M5" s="9" t="s">
        <v>21</v>
      </c>
      <c r="N5" s="9" t="s">
        <v>22</v>
      </c>
      <c r="O5" s="9" t="s">
        <v>23</v>
      </c>
      <c r="P5" s="9" t="s">
        <v>24</v>
      </c>
      <c r="Q5" s="9" t="s">
        <v>25</v>
      </c>
      <c r="R5" s="9" t="s">
        <v>26</v>
      </c>
      <c r="S5" s="9" t="s">
        <v>27</v>
      </c>
      <c r="T5" s="9" t="s">
        <v>28</v>
      </c>
      <c r="U5" s="9" t="s">
        <v>29</v>
      </c>
      <c r="V5" s="9" t="s">
        <v>30</v>
      </c>
      <c r="W5" s="9" t="s">
        <v>31</v>
      </c>
      <c r="X5" s="9" t="s">
        <v>32</v>
      </c>
      <c r="Y5" s="9" t="s">
        <v>33</v>
      </c>
      <c r="Z5" s="9" t="s">
        <v>34</v>
      </c>
      <c r="AA5" s="9" t="s">
        <v>35</v>
      </c>
      <c r="AB5" s="9" t="s">
        <v>36</v>
      </c>
      <c r="AC5" s="9" t="s">
        <v>37</v>
      </c>
      <c r="AD5" s="9" t="s">
        <v>38</v>
      </c>
    </row>
    <row r="6" spans="1:30" hidden="1" x14ac:dyDescent="0.35">
      <c r="A6" s="52"/>
      <c r="B6" s="56"/>
      <c r="C6" s="52"/>
      <c r="D6" s="52"/>
      <c r="E6" s="52"/>
      <c r="F6" s="52"/>
      <c r="G6" s="52"/>
      <c r="H6" s="52"/>
      <c r="I6" s="52"/>
      <c r="J6" s="52"/>
      <c r="K6" s="52"/>
      <c r="L6" s="52"/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X6" s="52"/>
      <c r="Y6" s="52"/>
      <c r="Z6" s="52"/>
      <c r="AA6" s="52"/>
      <c r="AB6" s="52"/>
      <c r="AC6" s="52"/>
      <c r="AD6" s="52"/>
    </row>
    <row r="7" spans="1:30" x14ac:dyDescent="0.35">
      <c r="A7" s="108">
        <v>47849</v>
      </c>
      <c r="B7" s="57" t="s">
        <v>39</v>
      </c>
      <c r="C7" s="58">
        <v>55369</v>
      </c>
      <c r="D7" s="58">
        <v>52072</v>
      </c>
      <c r="E7" s="58">
        <v>49437</v>
      </c>
      <c r="F7" s="58">
        <v>47513</v>
      </c>
      <c r="G7" s="58">
        <v>46927</v>
      </c>
      <c r="H7" s="58">
        <v>48157</v>
      </c>
      <c r="I7" s="58">
        <v>48844</v>
      </c>
      <c r="J7" s="58">
        <v>41471</v>
      </c>
      <c r="K7" s="58">
        <v>36741</v>
      </c>
      <c r="L7" s="58">
        <v>36013</v>
      </c>
      <c r="M7" s="58">
        <v>36937</v>
      </c>
      <c r="N7" s="58">
        <v>36255</v>
      </c>
      <c r="O7" s="58">
        <v>33432</v>
      </c>
      <c r="P7" s="58">
        <v>43474</v>
      </c>
      <c r="Q7" s="58">
        <v>58643</v>
      </c>
      <c r="R7" s="58">
        <v>68778</v>
      </c>
      <c r="S7" s="58">
        <v>72392</v>
      </c>
      <c r="T7" s="58">
        <v>75481</v>
      </c>
      <c r="U7" s="58">
        <v>78732</v>
      </c>
      <c r="V7" s="58">
        <v>77593</v>
      </c>
      <c r="W7" s="58">
        <v>76047</v>
      </c>
      <c r="X7" s="58">
        <v>73588</v>
      </c>
      <c r="Y7" s="58">
        <v>68708</v>
      </c>
      <c r="Z7" s="58">
        <v>62261</v>
      </c>
      <c r="AA7" s="58">
        <f>SUM(C7:Z7)</f>
        <v>1324865</v>
      </c>
      <c r="AB7" s="53">
        <v>21</v>
      </c>
      <c r="AC7" s="58">
        <f>+AA7*AB7</f>
        <v>27822165</v>
      </c>
      <c r="AD7" s="111">
        <f>+SUM(AC7:AC10)</f>
        <v>39072423</v>
      </c>
    </row>
    <row r="8" spans="1:30" x14ac:dyDescent="0.35">
      <c r="A8" s="109"/>
      <c r="B8" s="59" t="s">
        <v>40</v>
      </c>
      <c r="C8" s="58">
        <v>57195</v>
      </c>
      <c r="D8" s="58">
        <v>53558</v>
      </c>
      <c r="E8" s="58">
        <v>50624</v>
      </c>
      <c r="F8" s="58">
        <v>48453</v>
      </c>
      <c r="G8" s="58">
        <v>47600</v>
      </c>
      <c r="H8" s="58">
        <v>48028</v>
      </c>
      <c r="I8" s="58">
        <v>47944</v>
      </c>
      <c r="J8" s="58">
        <v>39641</v>
      </c>
      <c r="K8" s="58">
        <v>34908</v>
      </c>
      <c r="L8" s="58">
        <v>34067</v>
      </c>
      <c r="M8" s="58">
        <v>34339</v>
      </c>
      <c r="N8" s="58">
        <v>33126</v>
      </c>
      <c r="O8" s="58">
        <v>32118</v>
      </c>
      <c r="P8" s="58">
        <v>38055</v>
      </c>
      <c r="Q8" s="58">
        <v>48947</v>
      </c>
      <c r="R8" s="58">
        <v>58079</v>
      </c>
      <c r="S8" s="58">
        <v>61722</v>
      </c>
      <c r="T8" s="58">
        <v>68212</v>
      </c>
      <c r="U8" s="58">
        <v>74954</v>
      </c>
      <c r="V8" s="58">
        <v>74568</v>
      </c>
      <c r="W8" s="58">
        <v>72150</v>
      </c>
      <c r="X8" s="58">
        <v>69687</v>
      </c>
      <c r="Y8" s="58">
        <v>66283</v>
      </c>
      <c r="Z8" s="58">
        <v>61686</v>
      </c>
      <c r="AA8" s="58">
        <f t="shared" ref="AA8:AA54" si="0">SUM(C8:Z8)</f>
        <v>1255944</v>
      </c>
      <c r="AB8" s="53">
        <v>4</v>
      </c>
      <c r="AC8" s="58">
        <f t="shared" ref="AC8:AC54" si="1">+AA8*AB8</f>
        <v>5023776</v>
      </c>
      <c r="AD8" s="112"/>
    </row>
    <row r="9" spans="1:30" x14ac:dyDescent="0.35">
      <c r="A9" s="109"/>
      <c r="B9" s="59" t="s">
        <v>41</v>
      </c>
      <c r="C9" s="58">
        <v>56367</v>
      </c>
      <c r="D9" s="58">
        <v>52960</v>
      </c>
      <c r="E9" s="58">
        <v>50105</v>
      </c>
      <c r="F9" s="58">
        <v>47850</v>
      </c>
      <c r="G9" s="58">
        <v>46570</v>
      </c>
      <c r="H9" s="58">
        <v>45966</v>
      </c>
      <c r="I9" s="58">
        <v>44591</v>
      </c>
      <c r="J9" s="58">
        <v>32124</v>
      </c>
      <c r="K9" s="58">
        <v>23213</v>
      </c>
      <c r="L9" s="58">
        <v>20668</v>
      </c>
      <c r="M9" s="58">
        <v>19126</v>
      </c>
      <c r="N9" s="58">
        <v>17769</v>
      </c>
      <c r="O9" s="58">
        <v>20100</v>
      </c>
      <c r="P9" s="58">
        <v>25465</v>
      </c>
      <c r="Q9" s="58">
        <v>35080</v>
      </c>
      <c r="R9" s="58">
        <v>44932</v>
      </c>
      <c r="S9" s="58">
        <v>50127</v>
      </c>
      <c r="T9" s="58">
        <v>58761</v>
      </c>
      <c r="U9" s="58">
        <v>66840</v>
      </c>
      <c r="V9" s="58">
        <v>69075</v>
      </c>
      <c r="W9" s="58">
        <v>68732</v>
      </c>
      <c r="X9" s="58">
        <v>67497</v>
      </c>
      <c r="Y9" s="58">
        <v>63711</v>
      </c>
      <c r="Z9" s="58">
        <v>58421</v>
      </c>
      <c r="AA9" s="58">
        <f t="shared" si="0"/>
        <v>1086050</v>
      </c>
      <c r="AB9" s="53">
        <v>4</v>
      </c>
      <c r="AC9" s="58">
        <f t="shared" si="1"/>
        <v>4344200</v>
      </c>
      <c r="AD9" s="112"/>
    </row>
    <row r="10" spans="1:30" x14ac:dyDescent="0.35">
      <c r="A10" s="110"/>
      <c r="B10" s="60" t="s">
        <v>42</v>
      </c>
      <c r="C10" s="58">
        <v>46962</v>
      </c>
      <c r="D10" s="58">
        <v>45299</v>
      </c>
      <c r="E10" s="58">
        <v>43834</v>
      </c>
      <c r="F10" s="58">
        <v>42343</v>
      </c>
      <c r="G10" s="58">
        <v>41575</v>
      </c>
      <c r="H10" s="58">
        <v>40918</v>
      </c>
      <c r="I10" s="58">
        <v>38862</v>
      </c>
      <c r="J10" s="58">
        <v>25769</v>
      </c>
      <c r="K10" s="58">
        <v>16362</v>
      </c>
      <c r="L10" s="58">
        <v>13802</v>
      </c>
      <c r="M10" s="58">
        <v>12877</v>
      </c>
      <c r="N10" s="58">
        <v>11518</v>
      </c>
      <c r="O10" s="58">
        <v>13976</v>
      </c>
      <c r="P10" s="58">
        <v>19726</v>
      </c>
      <c r="Q10" s="58">
        <v>29113</v>
      </c>
      <c r="R10" s="58">
        <v>38642</v>
      </c>
      <c r="S10" s="58">
        <v>43312</v>
      </c>
      <c r="T10" s="58">
        <v>53806</v>
      </c>
      <c r="U10" s="58">
        <v>62491</v>
      </c>
      <c r="V10" s="58">
        <v>64082</v>
      </c>
      <c r="W10" s="58">
        <v>63175</v>
      </c>
      <c r="X10" s="58">
        <v>61289</v>
      </c>
      <c r="Y10" s="58">
        <v>57877</v>
      </c>
      <c r="Z10" s="58">
        <v>53531</v>
      </c>
      <c r="AA10" s="58">
        <f t="shared" si="0"/>
        <v>941141</v>
      </c>
      <c r="AB10" s="53">
        <v>2</v>
      </c>
      <c r="AC10" s="58">
        <f t="shared" si="1"/>
        <v>1882282</v>
      </c>
      <c r="AD10" s="113"/>
    </row>
    <row r="11" spans="1:30" x14ac:dyDescent="0.35">
      <c r="A11" s="108">
        <v>47880</v>
      </c>
      <c r="B11" s="57" t="s">
        <v>39</v>
      </c>
      <c r="C11" s="58">
        <v>62934</v>
      </c>
      <c r="D11" s="58">
        <v>58921</v>
      </c>
      <c r="E11" s="58">
        <v>56106</v>
      </c>
      <c r="F11" s="58">
        <v>54214</v>
      </c>
      <c r="G11" s="58">
        <v>54157</v>
      </c>
      <c r="H11" s="58">
        <v>57494</v>
      </c>
      <c r="I11" s="58">
        <v>59339</v>
      </c>
      <c r="J11" s="58">
        <v>52649</v>
      </c>
      <c r="K11" s="58">
        <v>47076</v>
      </c>
      <c r="L11" s="58">
        <v>46046</v>
      </c>
      <c r="M11" s="58">
        <v>47047</v>
      </c>
      <c r="N11" s="58">
        <v>44817</v>
      </c>
      <c r="O11" s="58">
        <v>39435</v>
      </c>
      <c r="P11" s="58">
        <v>52342</v>
      </c>
      <c r="Q11" s="58">
        <v>69593</v>
      </c>
      <c r="R11" s="58">
        <v>80647</v>
      </c>
      <c r="S11" s="58">
        <v>84280</v>
      </c>
      <c r="T11" s="58">
        <v>85108</v>
      </c>
      <c r="U11" s="58">
        <v>86831</v>
      </c>
      <c r="V11" s="58">
        <v>86697</v>
      </c>
      <c r="W11" s="58">
        <v>85308</v>
      </c>
      <c r="X11" s="58">
        <v>82410</v>
      </c>
      <c r="Y11" s="58">
        <v>76217</v>
      </c>
      <c r="Z11" s="58">
        <v>68598</v>
      </c>
      <c r="AA11" s="58">
        <f t="shared" si="0"/>
        <v>1538266</v>
      </c>
      <c r="AB11" s="53">
        <v>20</v>
      </c>
      <c r="AC11" s="58">
        <f t="shared" si="1"/>
        <v>30765320</v>
      </c>
      <c r="AD11" s="111">
        <f>+SUM(AC11:AC14)</f>
        <v>41473312</v>
      </c>
    </row>
    <row r="12" spans="1:30" x14ac:dyDescent="0.35">
      <c r="A12" s="109"/>
      <c r="B12" s="59" t="s">
        <v>40</v>
      </c>
      <c r="C12" s="58">
        <v>61288</v>
      </c>
      <c r="D12" s="58">
        <v>57396</v>
      </c>
      <c r="E12" s="58">
        <v>54654</v>
      </c>
      <c r="F12" s="58">
        <v>52745</v>
      </c>
      <c r="G12" s="58">
        <v>52107</v>
      </c>
      <c r="H12" s="58">
        <v>53183</v>
      </c>
      <c r="I12" s="58">
        <v>54628</v>
      </c>
      <c r="J12" s="58">
        <v>48095</v>
      </c>
      <c r="K12" s="58">
        <v>43674</v>
      </c>
      <c r="L12" s="58">
        <v>42853</v>
      </c>
      <c r="M12" s="58">
        <v>43096</v>
      </c>
      <c r="N12" s="58">
        <v>41275</v>
      </c>
      <c r="O12" s="58">
        <v>38722</v>
      </c>
      <c r="P12" s="58">
        <v>44439</v>
      </c>
      <c r="Q12" s="58">
        <v>56276</v>
      </c>
      <c r="R12" s="58">
        <v>66091</v>
      </c>
      <c r="S12" s="58">
        <v>69813</v>
      </c>
      <c r="T12" s="58">
        <v>74747</v>
      </c>
      <c r="U12" s="58">
        <v>80744</v>
      </c>
      <c r="V12" s="58">
        <v>81417</v>
      </c>
      <c r="W12" s="58">
        <v>78879</v>
      </c>
      <c r="X12" s="58">
        <v>76138</v>
      </c>
      <c r="Y12" s="58">
        <v>72599</v>
      </c>
      <c r="Z12" s="58">
        <v>67593</v>
      </c>
      <c r="AA12" s="58">
        <f t="shared" si="0"/>
        <v>1412452</v>
      </c>
      <c r="AB12" s="53">
        <v>4</v>
      </c>
      <c r="AC12" s="58">
        <f t="shared" si="1"/>
        <v>5649808</v>
      </c>
      <c r="AD12" s="112"/>
    </row>
    <row r="13" spans="1:30" x14ac:dyDescent="0.35">
      <c r="A13" s="109"/>
      <c r="B13" s="59" t="s">
        <v>41</v>
      </c>
      <c r="C13" s="58">
        <v>62719</v>
      </c>
      <c r="D13" s="58">
        <v>58607</v>
      </c>
      <c r="E13" s="58">
        <v>55760</v>
      </c>
      <c r="F13" s="58">
        <v>53488</v>
      </c>
      <c r="G13" s="58">
        <v>52211</v>
      </c>
      <c r="H13" s="58">
        <v>51856</v>
      </c>
      <c r="I13" s="58">
        <v>51092</v>
      </c>
      <c r="J13" s="58">
        <v>39365</v>
      </c>
      <c r="K13" s="58">
        <v>29755</v>
      </c>
      <c r="L13" s="58">
        <v>27353</v>
      </c>
      <c r="M13" s="58">
        <v>26058</v>
      </c>
      <c r="N13" s="58">
        <v>24818</v>
      </c>
      <c r="O13" s="58">
        <v>27253</v>
      </c>
      <c r="P13" s="58">
        <v>32667</v>
      </c>
      <c r="Q13" s="58">
        <v>43209</v>
      </c>
      <c r="R13" s="58">
        <v>54035</v>
      </c>
      <c r="S13" s="58">
        <v>59765</v>
      </c>
      <c r="T13" s="58">
        <v>66787</v>
      </c>
      <c r="U13" s="58">
        <v>74199</v>
      </c>
      <c r="V13" s="58">
        <v>78047</v>
      </c>
      <c r="W13" s="58">
        <v>78485</v>
      </c>
      <c r="X13" s="58">
        <v>77705</v>
      </c>
      <c r="Y13" s="58">
        <v>72939</v>
      </c>
      <c r="Z13" s="58">
        <v>66373</v>
      </c>
      <c r="AA13" s="58">
        <f t="shared" si="0"/>
        <v>1264546</v>
      </c>
      <c r="AB13" s="53">
        <v>4</v>
      </c>
      <c r="AC13" s="58">
        <f t="shared" si="1"/>
        <v>5058184</v>
      </c>
      <c r="AD13" s="112"/>
    </row>
    <row r="14" spans="1:30" x14ac:dyDescent="0.35">
      <c r="A14" s="110"/>
      <c r="B14" s="60" t="s">
        <v>42</v>
      </c>
      <c r="C14" s="58">
        <v>0</v>
      </c>
      <c r="D14" s="58">
        <v>0</v>
      </c>
      <c r="E14" s="58">
        <v>0</v>
      </c>
      <c r="F14" s="58">
        <v>0</v>
      </c>
      <c r="G14" s="58">
        <v>0</v>
      </c>
      <c r="H14" s="58">
        <v>0</v>
      </c>
      <c r="I14" s="58">
        <v>0</v>
      </c>
      <c r="J14" s="58">
        <v>0</v>
      </c>
      <c r="K14" s="58">
        <v>0</v>
      </c>
      <c r="L14" s="58">
        <v>0</v>
      </c>
      <c r="M14" s="58">
        <v>0</v>
      </c>
      <c r="N14" s="58">
        <v>0</v>
      </c>
      <c r="O14" s="58">
        <v>0</v>
      </c>
      <c r="P14" s="58">
        <v>0</v>
      </c>
      <c r="Q14" s="58">
        <v>0</v>
      </c>
      <c r="R14" s="58">
        <v>0</v>
      </c>
      <c r="S14" s="58">
        <v>0</v>
      </c>
      <c r="T14" s="58">
        <v>0</v>
      </c>
      <c r="U14" s="58">
        <v>0</v>
      </c>
      <c r="V14" s="58">
        <v>0</v>
      </c>
      <c r="W14" s="58">
        <v>0</v>
      </c>
      <c r="X14" s="58">
        <v>0</v>
      </c>
      <c r="Y14" s="58">
        <v>0</v>
      </c>
      <c r="Z14" s="58">
        <v>0</v>
      </c>
      <c r="AA14" s="58">
        <f t="shared" si="0"/>
        <v>0</v>
      </c>
      <c r="AB14" s="53">
        <v>0</v>
      </c>
      <c r="AC14" s="58">
        <f t="shared" si="1"/>
        <v>0</v>
      </c>
      <c r="AD14" s="113"/>
    </row>
    <row r="15" spans="1:30" x14ac:dyDescent="0.35">
      <c r="A15" s="108">
        <v>47908</v>
      </c>
      <c r="B15" s="57" t="s">
        <v>39</v>
      </c>
      <c r="C15" s="58">
        <v>55211</v>
      </c>
      <c r="D15" s="58">
        <v>51479</v>
      </c>
      <c r="E15" s="58">
        <v>48908</v>
      </c>
      <c r="F15" s="58">
        <v>47064</v>
      </c>
      <c r="G15" s="58">
        <v>46903</v>
      </c>
      <c r="H15" s="58">
        <v>49172</v>
      </c>
      <c r="I15" s="58">
        <v>49753</v>
      </c>
      <c r="J15" s="58">
        <v>42706</v>
      </c>
      <c r="K15" s="58">
        <v>37351</v>
      </c>
      <c r="L15" s="58">
        <v>35876</v>
      </c>
      <c r="M15" s="58">
        <v>36363</v>
      </c>
      <c r="N15" s="58">
        <v>34532</v>
      </c>
      <c r="O15" s="58">
        <v>30372</v>
      </c>
      <c r="P15" s="58">
        <v>42101</v>
      </c>
      <c r="Q15" s="58">
        <v>57923</v>
      </c>
      <c r="R15" s="58">
        <v>68042</v>
      </c>
      <c r="S15" s="58">
        <v>71905</v>
      </c>
      <c r="T15" s="58">
        <v>74188</v>
      </c>
      <c r="U15" s="58">
        <v>76411</v>
      </c>
      <c r="V15" s="58">
        <v>76270</v>
      </c>
      <c r="W15" s="58">
        <v>75135</v>
      </c>
      <c r="X15" s="58">
        <v>72770</v>
      </c>
      <c r="Y15" s="58">
        <v>67659</v>
      </c>
      <c r="Z15" s="58">
        <v>61027</v>
      </c>
      <c r="AA15" s="58">
        <f t="shared" si="0"/>
        <v>1309121</v>
      </c>
      <c r="AB15" s="53">
        <v>20</v>
      </c>
      <c r="AC15" s="58">
        <f t="shared" si="1"/>
        <v>26182420</v>
      </c>
      <c r="AD15" s="111">
        <f>+SUM(AC15:AC18)</f>
        <v>38941727</v>
      </c>
    </row>
    <row r="16" spans="1:30" x14ac:dyDescent="0.35">
      <c r="A16" s="109"/>
      <c r="B16" s="59" t="s">
        <v>40</v>
      </c>
      <c r="C16" s="58">
        <v>56962</v>
      </c>
      <c r="D16" s="58">
        <v>53048</v>
      </c>
      <c r="E16" s="58">
        <v>50296</v>
      </c>
      <c r="F16" s="58">
        <v>48094</v>
      </c>
      <c r="G16" s="58">
        <v>47152</v>
      </c>
      <c r="H16" s="58">
        <v>47409</v>
      </c>
      <c r="I16" s="58">
        <v>47946</v>
      </c>
      <c r="J16" s="58">
        <v>41236</v>
      </c>
      <c r="K16" s="58">
        <v>36346</v>
      </c>
      <c r="L16" s="58">
        <v>34999</v>
      </c>
      <c r="M16" s="58">
        <v>35125</v>
      </c>
      <c r="N16" s="58">
        <v>32994</v>
      </c>
      <c r="O16" s="58">
        <v>30776</v>
      </c>
      <c r="P16" s="58">
        <v>36429</v>
      </c>
      <c r="Q16" s="58">
        <v>47406</v>
      </c>
      <c r="R16" s="58">
        <v>56739</v>
      </c>
      <c r="S16" s="58">
        <v>60691</v>
      </c>
      <c r="T16" s="58">
        <v>66698</v>
      </c>
      <c r="U16" s="58">
        <v>72487</v>
      </c>
      <c r="V16" s="58">
        <v>72937</v>
      </c>
      <c r="W16" s="58">
        <v>70903</v>
      </c>
      <c r="X16" s="58">
        <v>68795</v>
      </c>
      <c r="Y16" s="58">
        <v>65968</v>
      </c>
      <c r="Z16" s="58">
        <v>61800</v>
      </c>
      <c r="AA16" s="58">
        <f t="shared" si="0"/>
        <v>1243236</v>
      </c>
      <c r="AB16" s="53">
        <v>5</v>
      </c>
      <c r="AC16" s="58">
        <f t="shared" si="1"/>
        <v>6216180</v>
      </c>
      <c r="AD16" s="112"/>
    </row>
    <row r="17" spans="1:30" x14ac:dyDescent="0.35">
      <c r="A17" s="109"/>
      <c r="B17" s="59" t="s">
        <v>41</v>
      </c>
      <c r="C17" s="58">
        <v>57247</v>
      </c>
      <c r="D17" s="58">
        <v>53458</v>
      </c>
      <c r="E17" s="58">
        <v>50784</v>
      </c>
      <c r="F17" s="58">
        <v>48611</v>
      </c>
      <c r="G17" s="58">
        <v>47326</v>
      </c>
      <c r="H17" s="58">
        <v>46554</v>
      </c>
      <c r="I17" s="58">
        <v>45023</v>
      </c>
      <c r="J17" s="58">
        <v>32968</v>
      </c>
      <c r="K17" s="58">
        <v>23819</v>
      </c>
      <c r="L17" s="58">
        <v>20718</v>
      </c>
      <c r="M17" s="58">
        <v>18665</v>
      </c>
      <c r="N17" s="58">
        <v>17585</v>
      </c>
      <c r="O17" s="58">
        <v>20012</v>
      </c>
      <c r="P17" s="58">
        <v>25461</v>
      </c>
      <c r="Q17" s="58">
        <v>35591</v>
      </c>
      <c r="R17" s="58">
        <v>45547</v>
      </c>
      <c r="S17" s="58">
        <v>50943</v>
      </c>
      <c r="T17" s="58">
        <v>58949</v>
      </c>
      <c r="U17" s="58">
        <v>65953</v>
      </c>
      <c r="V17" s="58">
        <v>69421</v>
      </c>
      <c r="W17" s="58">
        <v>70039</v>
      </c>
      <c r="X17" s="58">
        <v>69497</v>
      </c>
      <c r="Y17" s="58">
        <v>65360</v>
      </c>
      <c r="Z17" s="58">
        <v>59694</v>
      </c>
      <c r="AA17" s="58">
        <f t="shared" si="0"/>
        <v>1099225</v>
      </c>
      <c r="AB17" s="53">
        <v>5</v>
      </c>
      <c r="AC17" s="58">
        <f t="shared" si="1"/>
        <v>5496125</v>
      </c>
      <c r="AD17" s="112"/>
    </row>
    <row r="18" spans="1:30" x14ac:dyDescent="0.35">
      <c r="A18" s="110"/>
      <c r="B18" s="60" t="s">
        <v>42</v>
      </c>
      <c r="C18" s="58">
        <v>49875</v>
      </c>
      <c r="D18" s="58">
        <v>46028</v>
      </c>
      <c r="E18" s="58">
        <v>43551</v>
      </c>
      <c r="F18" s="58">
        <v>41868</v>
      </c>
      <c r="G18" s="58">
        <v>41028</v>
      </c>
      <c r="H18" s="58">
        <v>40841</v>
      </c>
      <c r="I18" s="58">
        <v>40600</v>
      </c>
      <c r="J18" s="58">
        <v>30969</v>
      </c>
      <c r="K18" s="58">
        <v>23409</v>
      </c>
      <c r="L18" s="58">
        <v>21873</v>
      </c>
      <c r="M18" s="58">
        <v>21840</v>
      </c>
      <c r="N18" s="58">
        <v>20783</v>
      </c>
      <c r="O18" s="58">
        <v>21045</v>
      </c>
      <c r="P18" s="58">
        <v>27355</v>
      </c>
      <c r="Q18" s="58">
        <v>36969</v>
      </c>
      <c r="R18" s="58">
        <v>45839</v>
      </c>
      <c r="S18" s="58">
        <v>50016</v>
      </c>
      <c r="T18" s="58">
        <v>57583</v>
      </c>
      <c r="U18" s="58">
        <v>65396</v>
      </c>
      <c r="V18" s="58">
        <v>68805</v>
      </c>
      <c r="W18" s="58">
        <v>68724</v>
      </c>
      <c r="X18" s="58">
        <v>66709</v>
      </c>
      <c r="Y18" s="58">
        <v>61005</v>
      </c>
      <c r="Z18" s="58">
        <v>54891</v>
      </c>
      <c r="AA18" s="58">
        <f t="shared" si="0"/>
        <v>1047002</v>
      </c>
      <c r="AB18" s="53">
        <v>1</v>
      </c>
      <c r="AC18" s="58">
        <f t="shared" si="1"/>
        <v>1047002</v>
      </c>
      <c r="AD18" s="113"/>
    </row>
    <row r="19" spans="1:30" x14ac:dyDescent="0.35">
      <c r="A19" s="108">
        <v>47939</v>
      </c>
      <c r="B19" s="57" t="s">
        <v>39</v>
      </c>
      <c r="C19" s="58">
        <v>59474</v>
      </c>
      <c r="D19" s="58">
        <v>55469</v>
      </c>
      <c r="E19" s="58">
        <v>52732</v>
      </c>
      <c r="F19" s="58">
        <v>50821</v>
      </c>
      <c r="G19" s="58">
        <v>50622</v>
      </c>
      <c r="H19" s="58">
        <v>51622</v>
      </c>
      <c r="I19" s="58">
        <v>52845</v>
      </c>
      <c r="J19" s="58">
        <v>47212</v>
      </c>
      <c r="K19" s="58">
        <v>43055</v>
      </c>
      <c r="L19" s="58">
        <v>42400</v>
      </c>
      <c r="M19" s="58">
        <v>43686</v>
      </c>
      <c r="N19" s="58">
        <v>42366</v>
      </c>
      <c r="O19" s="58">
        <v>37448</v>
      </c>
      <c r="P19" s="58">
        <v>49685</v>
      </c>
      <c r="Q19" s="58">
        <v>66518</v>
      </c>
      <c r="R19" s="58">
        <v>76531</v>
      </c>
      <c r="S19" s="58">
        <v>79694</v>
      </c>
      <c r="T19" s="58">
        <v>81197</v>
      </c>
      <c r="U19" s="58">
        <v>82938</v>
      </c>
      <c r="V19" s="58">
        <v>82448</v>
      </c>
      <c r="W19" s="58">
        <v>81568</v>
      </c>
      <c r="X19" s="58">
        <v>79034</v>
      </c>
      <c r="Y19" s="58">
        <v>73561</v>
      </c>
      <c r="Z19" s="58">
        <v>66348</v>
      </c>
      <c r="AA19" s="58">
        <f t="shared" si="0"/>
        <v>1449274</v>
      </c>
      <c r="AB19" s="53">
        <v>20</v>
      </c>
      <c r="AC19" s="58">
        <f t="shared" si="1"/>
        <v>28985480</v>
      </c>
      <c r="AD19" s="111">
        <f>+SUM(AC19:AC22)</f>
        <v>41085624</v>
      </c>
    </row>
    <row r="20" spans="1:30" x14ac:dyDescent="0.35">
      <c r="A20" s="109"/>
      <c r="B20" s="59" t="s">
        <v>40</v>
      </c>
      <c r="C20" s="58">
        <v>60569</v>
      </c>
      <c r="D20" s="58">
        <v>56544</v>
      </c>
      <c r="E20" s="58">
        <v>53594</v>
      </c>
      <c r="F20" s="58">
        <v>51385</v>
      </c>
      <c r="G20" s="58">
        <v>50495</v>
      </c>
      <c r="H20" s="58">
        <v>49407</v>
      </c>
      <c r="I20" s="58">
        <v>50599</v>
      </c>
      <c r="J20" s="58">
        <v>44028</v>
      </c>
      <c r="K20" s="58">
        <v>40177</v>
      </c>
      <c r="L20" s="58">
        <v>39679</v>
      </c>
      <c r="M20" s="58">
        <v>40035</v>
      </c>
      <c r="N20" s="58">
        <v>38591</v>
      </c>
      <c r="O20" s="58">
        <v>36756</v>
      </c>
      <c r="P20" s="58">
        <v>42803</v>
      </c>
      <c r="Q20" s="58">
        <v>54177</v>
      </c>
      <c r="R20" s="58">
        <v>63310</v>
      </c>
      <c r="S20" s="58">
        <v>66544</v>
      </c>
      <c r="T20" s="58">
        <v>72180</v>
      </c>
      <c r="U20" s="58">
        <v>77570</v>
      </c>
      <c r="V20" s="58">
        <v>76945</v>
      </c>
      <c r="W20" s="58">
        <v>74784</v>
      </c>
      <c r="X20" s="58">
        <v>72435</v>
      </c>
      <c r="Y20" s="58">
        <v>69298</v>
      </c>
      <c r="Z20" s="58">
        <v>65024</v>
      </c>
      <c r="AA20" s="58">
        <f t="shared" si="0"/>
        <v>1346929</v>
      </c>
      <c r="AB20" s="53">
        <v>4</v>
      </c>
      <c r="AC20" s="58">
        <f t="shared" si="1"/>
        <v>5387716</v>
      </c>
      <c r="AD20" s="112"/>
    </row>
    <row r="21" spans="1:30" x14ac:dyDescent="0.35">
      <c r="A21" s="109"/>
      <c r="B21" s="59" t="s">
        <v>41</v>
      </c>
      <c r="C21" s="58">
        <v>60853</v>
      </c>
      <c r="D21" s="58">
        <v>56655</v>
      </c>
      <c r="E21" s="58">
        <v>53598</v>
      </c>
      <c r="F21" s="58">
        <v>51172</v>
      </c>
      <c r="G21" s="58">
        <v>49790</v>
      </c>
      <c r="H21" s="58">
        <v>47890</v>
      </c>
      <c r="I21" s="58">
        <v>47242</v>
      </c>
      <c r="J21" s="58">
        <v>36016</v>
      </c>
      <c r="K21" s="58">
        <v>26940</v>
      </c>
      <c r="L21" s="58">
        <v>24355</v>
      </c>
      <c r="M21" s="58">
        <v>23229</v>
      </c>
      <c r="N21" s="58">
        <v>22674</v>
      </c>
      <c r="O21" s="58">
        <v>25036</v>
      </c>
      <c r="P21" s="58">
        <v>30705</v>
      </c>
      <c r="Q21" s="58">
        <v>41121</v>
      </c>
      <c r="R21" s="58">
        <v>51097</v>
      </c>
      <c r="S21" s="58">
        <v>56028</v>
      </c>
      <c r="T21" s="58">
        <v>63536</v>
      </c>
      <c r="U21" s="58">
        <v>70484</v>
      </c>
      <c r="V21" s="58">
        <v>73303</v>
      </c>
      <c r="W21" s="58">
        <v>73259</v>
      </c>
      <c r="X21" s="58">
        <v>72880</v>
      </c>
      <c r="Y21" s="58">
        <v>69116</v>
      </c>
      <c r="Z21" s="58">
        <v>63249</v>
      </c>
      <c r="AA21" s="58">
        <f t="shared" si="0"/>
        <v>1190228</v>
      </c>
      <c r="AB21" s="53">
        <v>4</v>
      </c>
      <c r="AC21" s="58">
        <f t="shared" si="1"/>
        <v>4760912</v>
      </c>
      <c r="AD21" s="112"/>
    </row>
    <row r="22" spans="1:30" x14ac:dyDescent="0.35">
      <c r="A22" s="110"/>
      <c r="B22" s="60" t="s">
        <v>42</v>
      </c>
      <c r="C22" s="58">
        <v>54404</v>
      </c>
      <c r="D22" s="58">
        <v>50539</v>
      </c>
      <c r="E22" s="58">
        <v>47790</v>
      </c>
      <c r="F22" s="58">
        <v>45821</v>
      </c>
      <c r="G22" s="58">
        <v>44533</v>
      </c>
      <c r="H22" s="58">
        <v>42593</v>
      </c>
      <c r="I22" s="58">
        <v>42051</v>
      </c>
      <c r="J22" s="58">
        <v>29155</v>
      </c>
      <c r="K22" s="58">
        <v>18371</v>
      </c>
      <c r="L22" s="58">
        <v>13892</v>
      </c>
      <c r="M22" s="58">
        <v>11796</v>
      </c>
      <c r="N22" s="58">
        <v>10602</v>
      </c>
      <c r="O22" s="58">
        <v>13437</v>
      </c>
      <c r="P22" s="58">
        <v>19156</v>
      </c>
      <c r="Q22" s="58">
        <v>29617</v>
      </c>
      <c r="R22" s="58">
        <v>38921</v>
      </c>
      <c r="S22" s="58">
        <v>44324</v>
      </c>
      <c r="T22" s="58">
        <v>53402</v>
      </c>
      <c r="U22" s="58">
        <v>61099</v>
      </c>
      <c r="V22" s="58">
        <v>63454</v>
      </c>
      <c r="W22" s="58">
        <v>63008</v>
      </c>
      <c r="X22" s="58">
        <v>62211</v>
      </c>
      <c r="Y22" s="58">
        <v>59800</v>
      </c>
      <c r="Z22" s="58">
        <v>55782</v>
      </c>
      <c r="AA22" s="58">
        <f t="shared" si="0"/>
        <v>975758</v>
      </c>
      <c r="AB22" s="53">
        <v>2</v>
      </c>
      <c r="AC22" s="58">
        <f t="shared" si="1"/>
        <v>1951516</v>
      </c>
      <c r="AD22" s="113"/>
    </row>
    <row r="23" spans="1:30" x14ac:dyDescent="0.35">
      <c r="A23" s="108">
        <v>47969</v>
      </c>
      <c r="B23" s="57" t="s">
        <v>39</v>
      </c>
      <c r="C23" s="58">
        <v>58633</v>
      </c>
      <c r="D23" s="58">
        <v>54862</v>
      </c>
      <c r="E23" s="58">
        <v>52096</v>
      </c>
      <c r="F23" s="58">
        <v>50156</v>
      </c>
      <c r="G23" s="58">
        <v>49667</v>
      </c>
      <c r="H23" s="58">
        <v>49245</v>
      </c>
      <c r="I23" s="58">
        <v>50811</v>
      </c>
      <c r="J23" s="58">
        <v>45329</v>
      </c>
      <c r="K23" s="58">
        <v>41786</v>
      </c>
      <c r="L23" s="58">
        <v>41351</v>
      </c>
      <c r="M23" s="58">
        <v>42375</v>
      </c>
      <c r="N23" s="58">
        <v>40760</v>
      </c>
      <c r="O23" s="58">
        <v>36065</v>
      </c>
      <c r="P23" s="58">
        <v>47948</v>
      </c>
      <c r="Q23" s="58">
        <v>64255</v>
      </c>
      <c r="R23" s="58">
        <v>73567</v>
      </c>
      <c r="S23" s="58">
        <v>76446</v>
      </c>
      <c r="T23" s="58">
        <v>77887</v>
      </c>
      <c r="U23" s="58">
        <v>79178</v>
      </c>
      <c r="V23" s="58">
        <v>79262</v>
      </c>
      <c r="W23" s="58">
        <v>78897</v>
      </c>
      <c r="X23" s="58">
        <v>76864</v>
      </c>
      <c r="Y23" s="58">
        <v>71754</v>
      </c>
      <c r="Z23" s="58">
        <v>65053</v>
      </c>
      <c r="AA23" s="58">
        <f t="shared" si="0"/>
        <v>1404247</v>
      </c>
      <c r="AB23" s="53">
        <v>20</v>
      </c>
      <c r="AC23" s="58">
        <f t="shared" si="1"/>
        <v>28084940</v>
      </c>
      <c r="AD23" s="111">
        <f>+SUM(AC23:AC26)</f>
        <v>41407219</v>
      </c>
    </row>
    <row r="24" spans="1:30" x14ac:dyDescent="0.35">
      <c r="A24" s="109"/>
      <c r="B24" s="59" t="s">
        <v>40</v>
      </c>
      <c r="C24" s="58">
        <v>61387</v>
      </c>
      <c r="D24" s="58">
        <v>57146</v>
      </c>
      <c r="E24" s="58">
        <v>54052</v>
      </c>
      <c r="F24" s="58">
        <v>51630</v>
      </c>
      <c r="G24" s="58">
        <v>50657</v>
      </c>
      <c r="H24" s="58">
        <v>48668</v>
      </c>
      <c r="I24" s="58">
        <v>49994</v>
      </c>
      <c r="J24" s="58">
        <v>43404</v>
      </c>
      <c r="K24" s="58">
        <v>40056</v>
      </c>
      <c r="L24" s="58">
        <v>39876</v>
      </c>
      <c r="M24" s="58">
        <v>40229</v>
      </c>
      <c r="N24" s="58">
        <v>38201</v>
      </c>
      <c r="O24" s="58">
        <v>35920</v>
      </c>
      <c r="P24" s="58">
        <v>41668</v>
      </c>
      <c r="Q24" s="58">
        <v>52345</v>
      </c>
      <c r="R24" s="58">
        <v>61384</v>
      </c>
      <c r="S24" s="58">
        <v>64389</v>
      </c>
      <c r="T24" s="58">
        <v>69167</v>
      </c>
      <c r="U24" s="58">
        <v>74065</v>
      </c>
      <c r="V24" s="58">
        <v>74777</v>
      </c>
      <c r="W24" s="58">
        <v>73064</v>
      </c>
      <c r="X24" s="58">
        <v>71284</v>
      </c>
      <c r="Y24" s="58">
        <v>68464</v>
      </c>
      <c r="Z24" s="58">
        <v>64312</v>
      </c>
      <c r="AA24" s="58">
        <f t="shared" si="0"/>
        <v>1326139</v>
      </c>
      <c r="AB24" s="53">
        <v>5</v>
      </c>
      <c r="AC24" s="58">
        <f t="shared" si="1"/>
        <v>6630695</v>
      </c>
      <c r="AD24" s="112"/>
    </row>
    <row r="25" spans="1:30" x14ac:dyDescent="0.35">
      <c r="A25" s="109"/>
      <c r="B25" s="59" t="s">
        <v>41</v>
      </c>
      <c r="C25" s="58">
        <v>59231</v>
      </c>
      <c r="D25" s="58">
        <v>55549</v>
      </c>
      <c r="E25" s="58">
        <v>52751</v>
      </c>
      <c r="F25" s="58">
        <v>50446</v>
      </c>
      <c r="G25" s="58">
        <v>48982</v>
      </c>
      <c r="H25" s="58">
        <v>45961</v>
      </c>
      <c r="I25" s="58">
        <v>46123</v>
      </c>
      <c r="J25" s="58">
        <v>34408</v>
      </c>
      <c r="K25" s="58">
        <v>25479</v>
      </c>
      <c r="L25" s="58">
        <v>22889</v>
      </c>
      <c r="M25" s="58">
        <v>21904</v>
      </c>
      <c r="N25" s="58">
        <v>20484</v>
      </c>
      <c r="O25" s="58">
        <v>21738</v>
      </c>
      <c r="P25" s="58">
        <v>26876</v>
      </c>
      <c r="Q25" s="58">
        <v>37370</v>
      </c>
      <c r="R25" s="58">
        <v>46856</v>
      </c>
      <c r="S25" s="58">
        <v>51815</v>
      </c>
      <c r="T25" s="58">
        <v>59645</v>
      </c>
      <c r="U25" s="58">
        <v>66262</v>
      </c>
      <c r="V25" s="58">
        <v>69423</v>
      </c>
      <c r="W25" s="58">
        <v>70025</v>
      </c>
      <c r="X25" s="58">
        <v>70096</v>
      </c>
      <c r="Y25" s="58">
        <v>67048</v>
      </c>
      <c r="Z25" s="58">
        <v>61830</v>
      </c>
      <c r="AA25" s="58">
        <f t="shared" si="0"/>
        <v>1133191</v>
      </c>
      <c r="AB25" s="53">
        <v>4</v>
      </c>
      <c r="AC25" s="58">
        <f t="shared" si="1"/>
        <v>4532764</v>
      </c>
      <c r="AD25" s="112"/>
    </row>
    <row r="26" spans="1:30" x14ac:dyDescent="0.35">
      <c r="A26" s="110"/>
      <c r="B26" s="60" t="s">
        <v>42</v>
      </c>
      <c r="C26" s="58">
        <v>51849</v>
      </c>
      <c r="D26" s="58">
        <v>48218</v>
      </c>
      <c r="E26" s="58">
        <v>45636</v>
      </c>
      <c r="F26" s="58">
        <v>43758</v>
      </c>
      <c r="G26" s="58">
        <v>42897</v>
      </c>
      <c r="H26" s="58">
        <v>40883</v>
      </c>
      <c r="I26" s="58">
        <v>41553</v>
      </c>
      <c r="J26" s="58">
        <v>31315</v>
      </c>
      <c r="K26" s="58">
        <v>23598</v>
      </c>
      <c r="L26" s="58">
        <v>22066</v>
      </c>
      <c r="M26" s="58">
        <v>22111</v>
      </c>
      <c r="N26" s="58">
        <v>21157</v>
      </c>
      <c r="O26" s="58">
        <v>21958</v>
      </c>
      <c r="P26" s="58">
        <v>28071</v>
      </c>
      <c r="Q26" s="58">
        <v>38457</v>
      </c>
      <c r="R26" s="58">
        <v>47766</v>
      </c>
      <c r="S26" s="58">
        <v>51835</v>
      </c>
      <c r="T26" s="58">
        <v>58665</v>
      </c>
      <c r="U26" s="58">
        <v>65624</v>
      </c>
      <c r="V26" s="58">
        <v>69504</v>
      </c>
      <c r="W26" s="58">
        <v>69949</v>
      </c>
      <c r="X26" s="58">
        <v>68942</v>
      </c>
      <c r="Y26" s="58">
        <v>64643</v>
      </c>
      <c r="Z26" s="58">
        <v>58955</v>
      </c>
      <c r="AA26" s="58">
        <f t="shared" si="0"/>
        <v>1079410</v>
      </c>
      <c r="AB26" s="53">
        <v>2</v>
      </c>
      <c r="AC26" s="58">
        <f t="shared" si="1"/>
        <v>2158820</v>
      </c>
      <c r="AD26" s="113"/>
    </row>
    <row r="27" spans="1:30" x14ac:dyDescent="0.35">
      <c r="A27" s="108">
        <v>48000</v>
      </c>
      <c r="B27" s="57" t="s">
        <v>39</v>
      </c>
      <c r="C27" s="58">
        <v>62848</v>
      </c>
      <c r="D27" s="58">
        <v>58787</v>
      </c>
      <c r="E27" s="58">
        <v>55808</v>
      </c>
      <c r="F27" s="58">
        <v>53758</v>
      </c>
      <c r="G27" s="58">
        <v>53250</v>
      </c>
      <c r="H27" s="58">
        <v>52571</v>
      </c>
      <c r="I27" s="58">
        <v>55021</v>
      </c>
      <c r="J27" s="58">
        <v>50548</v>
      </c>
      <c r="K27" s="58">
        <v>47089</v>
      </c>
      <c r="L27" s="58">
        <v>46508</v>
      </c>
      <c r="M27" s="58">
        <v>47511</v>
      </c>
      <c r="N27" s="58">
        <v>46210</v>
      </c>
      <c r="O27" s="58">
        <v>40786</v>
      </c>
      <c r="P27" s="58">
        <v>52597</v>
      </c>
      <c r="Q27" s="58">
        <v>69002</v>
      </c>
      <c r="R27" s="58">
        <v>78783</v>
      </c>
      <c r="S27" s="58">
        <v>82049</v>
      </c>
      <c r="T27" s="58">
        <v>82688</v>
      </c>
      <c r="U27" s="58">
        <v>83116</v>
      </c>
      <c r="V27" s="58">
        <v>83910</v>
      </c>
      <c r="W27" s="58">
        <v>82948</v>
      </c>
      <c r="X27" s="58">
        <v>80489</v>
      </c>
      <c r="Y27" s="58">
        <v>75429</v>
      </c>
      <c r="Z27" s="58">
        <v>68669</v>
      </c>
      <c r="AA27" s="58">
        <f t="shared" si="0"/>
        <v>1510375</v>
      </c>
      <c r="AB27" s="53">
        <v>18</v>
      </c>
      <c r="AC27" s="58">
        <f t="shared" si="1"/>
        <v>27186750</v>
      </c>
      <c r="AD27" s="111">
        <f>+SUM(AC27:AC30)</f>
        <v>42678135</v>
      </c>
    </row>
    <row r="28" spans="1:30" x14ac:dyDescent="0.35">
      <c r="A28" s="109"/>
      <c r="B28" s="59" t="s">
        <v>40</v>
      </c>
      <c r="C28" s="58">
        <v>64076</v>
      </c>
      <c r="D28" s="58">
        <v>60116</v>
      </c>
      <c r="E28" s="58">
        <v>57142</v>
      </c>
      <c r="F28" s="58">
        <v>54930</v>
      </c>
      <c r="G28" s="58">
        <v>54178</v>
      </c>
      <c r="H28" s="58">
        <v>52257</v>
      </c>
      <c r="I28" s="58">
        <v>54402</v>
      </c>
      <c r="J28" s="58">
        <v>48401</v>
      </c>
      <c r="K28" s="58">
        <v>44730</v>
      </c>
      <c r="L28" s="58">
        <v>44264</v>
      </c>
      <c r="M28" s="58">
        <v>44685</v>
      </c>
      <c r="N28" s="58">
        <v>42795</v>
      </c>
      <c r="O28" s="58">
        <v>40099</v>
      </c>
      <c r="P28" s="58">
        <v>45120</v>
      </c>
      <c r="Q28" s="58">
        <v>56685</v>
      </c>
      <c r="R28" s="58">
        <v>66239</v>
      </c>
      <c r="S28" s="58">
        <v>69591</v>
      </c>
      <c r="T28" s="58">
        <v>74297</v>
      </c>
      <c r="U28" s="58">
        <v>78371</v>
      </c>
      <c r="V28" s="58">
        <v>79595</v>
      </c>
      <c r="W28" s="58">
        <v>77499</v>
      </c>
      <c r="X28" s="58">
        <v>75276</v>
      </c>
      <c r="Y28" s="58">
        <v>72281</v>
      </c>
      <c r="Z28" s="58">
        <v>68089</v>
      </c>
      <c r="AA28" s="58">
        <f t="shared" si="0"/>
        <v>1425118</v>
      </c>
      <c r="AB28" s="53">
        <v>4</v>
      </c>
      <c r="AC28" s="58">
        <f t="shared" si="1"/>
        <v>5700472</v>
      </c>
      <c r="AD28" s="112"/>
    </row>
    <row r="29" spans="1:30" x14ac:dyDescent="0.35">
      <c r="A29" s="109"/>
      <c r="B29" s="59" t="s">
        <v>41</v>
      </c>
      <c r="C29" s="58">
        <v>63611</v>
      </c>
      <c r="D29" s="58">
        <v>59806</v>
      </c>
      <c r="E29" s="58">
        <v>56990</v>
      </c>
      <c r="F29" s="58">
        <v>54724</v>
      </c>
      <c r="G29" s="58">
        <v>53370</v>
      </c>
      <c r="H29" s="58">
        <v>50433</v>
      </c>
      <c r="I29" s="58">
        <v>50504</v>
      </c>
      <c r="J29" s="58">
        <v>39362</v>
      </c>
      <c r="K29" s="58">
        <v>29581</v>
      </c>
      <c r="L29" s="58">
        <v>27481</v>
      </c>
      <c r="M29" s="58">
        <v>25369</v>
      </c>
      <c r="N29" s="58">
        <v>23752</v>
      </c>
      <c r="O29" s="58">
        <v>25652</v>
      </c>
      <c r="P29" s="58">
        <v>30798</v>
      </c>
      <c r="Q29" s="58">
        <v>40903</v>
      </c>
      <c r="R29" s="58">
        <v>50682</v>
      </c>
      <c r="S29" s="58">
        <v>56315</v>
      </c>
      <c r="T29" s="58">
        <v>63072</v>
      </c>
      <c r="U29" s="58">
        <v>69414</v>
      </c>
      <c r="V29" s="58">
        <v>74221</v>
      </c>
      <c r="W29" s="58">
        <v>74568</v>
      </c>
      <c r="X29" s="58">
        <v>74243</v>
      </c>
      <c r="Y29" s="58">
        <v>71423</v>
      </c>
      <c r="Z29" s="58">
        <v>66598</v>
      </c>
      <c r="AA29" s="58">
        <f t="shared" si="0"/>
        <v>1232872</v>
      </c>
      <c r="AB29" s="53">
        <v>5</v>
      </c>
      <c r="AC29" s="58">
        <f t="shared" si="1"/>
        <v>6164360</v>
      </c>
      <c r="AD29" s="112"/>
    </row>
    <row r="30" spans="1:30" x14ac:dyDescent="0.35">
      <c r="A30" s="110"/>
      <c r="B30" s="60" t="s">
        <v>42</v>
      </c>
      <c r="C30" s="58">
        <v>57027</v>
      </c>
      <c r="D30" s="58">
        <v>53340</v>
      </c>
      <c r="E30" s="58">
        <v>50795</v>
      </c>
      <c r="F30" s="58">
        <v>48761</v>
      </c>
      <c r="G30" s="58">
        <v>48003</v>
      </c>
      <c r="H30" s="58">
        <v>45831</v>
      </c>
      <c r="I30" s="58">
        <v>46547</v>
      </c>
      <c r="J30" s="58">
        <v>37456</v>
      </c>
      <c r="K30" s="58">
        <v>30383</v>
      </c>
      <c r="L30" s="58">
        <v>29399</v>
      </c>
      <c r="M30" s="58">
        <v>29686</v>
      </c>
      <c r="N30" s="58">
        <v>28529</v>
      </c>
      <c r="O30" s="58">
        <v>28875</v>
      </c>
      <c r="P30" s="58">
        <v>34646</v>
      </c>
      <c r="Q30" s="58">
        <v>44607</v>
      </c>
      <c r="R30" s="58">
        <v>53373</v>
      </c>
      <c r="S30" s="58">
        <v>57165</v>
      </c>
      <c r="T30" s="58">
        <v>63142</v>
      </c>
      <c r="U30" s="58">
        <v>69250</v>
      </c>
      <c r="V30" s="58">
        <v>74539</v>
      </c>
      <c r="W30" s="58">
        <v>74210</v>
      </c>
      <c r="X30" s="58">
        <v>72665</v>
      </c>
      <c r="Y30" s="58">
        <v>68277</v>
      </c>
      <c r="Z30" s="58">
        <v>62345</v>
      </c>
      <c r="AA30" s="58">
        <f t="shared" si="0"/>
        <v>1208851</v>
      </c>
      <c r="AB30" s="53">
        <v>3</v>
      </c>
      <c r="AC30" s="58">
        <f t="shared" si="1"/>
        <v>3626553</v>
      </c>
      <c r="AD30" s="113"/>
    </row>
    <row r="31" spans="1:30" x14ac:dyDescent="0.35">
      <c r="A31" s="108">
        <v>48030</v>
      </c>
      <c r="B31" s="57" t="s">
        <v>39</v>
      </c>
      <c r="C31" s="58">
        <v>58072</v>
      </c>
      <c r="D31" s="58">
        <v>54205</v>
      </c>
      <c r="E31" s="58">
        <v>51440</v>
      </c>
      <c r="F31" s="58">
        <v>49325</v>
      </c>
      <c r="G31" s="58">
        <v>48693</v>
      </c>
      <c r="H31" s="58">
        <v>48669</v>
      </c>
      <c r="I31" s="58">
        <v>50420</v>
      </c>
      <c r="J31" s="58">
        <v>44787</v>
      </c>
      <c r="K31" s="58">
        <v>41068</v>
      </c>
      <c r="L31" s="58">
        <v>40412</v>
      </c>
      <c r="M31" s="58">
        <v>41249</v>
      </c>
      <c r="N31" s="58">
        <v>39175</v>
      </c>
      <c r="O31" s="58">
        <v>33717</v>
      </c>
      <c r="P31" s="58">
        <v>45237</v>
      </c>
      <c r="Q31" s="58">
        <v>61150</v>
      </c>
      <c r="R31" s="58">
        <v>70822</v>
      </c>
      <c r="S31" s="58">
        <v>73777</v>
      </c>
      <c r="T31" s="58">
        <v>74925</v>
      </c>
      <c r="U31" s="58">
        <v>74809</v>
      </c>
      <c r="V31" s="58">
        <v>76827</v>
      </c>
      <c r="W31" s="58">
        <v>76408</v>
      </c>
      <c r="X31" s="58">
        <v>74586</v>
      </c>
      <c r="Y31" s="58">
        <v>70010</v>
      </c>
      <c r="Z31" s="58">
        <v>63765</v>
      </c>
      <c r="AA31" s="58">
        <f t="shared" si="0"/>
        <v>1363548</v>
      </c>
      <c r="AB31" s="53">
        <v>23</v>
      </c>
      <c r="AC31" s="58">
        <f t="shared" si="1"/>
        <v>31361604</v>
      </c>
      <c r="AD31" s="111">
        <f>+SUM(AC31:AC34)</f>
        <v>40899356</v>
      </c>
    </row>
    <row r="32" spans="1:30" x14ac:dyDescent="0.35">
      <c r="A32" s="109"/>
      <c r="B32" s="59" t="s">
        <v>40</v>
      </c>
      <c r="C32" s="58">
        <v>57583</v>
      </c>
      <c r="D32" s="58">
        <v>53826</v>
      </c>
      <c r="E32" s="58">
        <v>51231</v>
      </c>
      <c r="F32" s="58">
        <v>49135</v>
      </c>
      <c r="G32" s="58">
        <v>48337</v>
      </c>
      <c r="H32" s="58">
        <v>46916</v>
      </c>
      <c r="I32" s="58">
        <v>48289</v>
      </c>
      <c r="J32" s="58">
        <v>41846</v>
      </c>
      <c r="K32" s="58">
        <v>37745</v>
      </c>
      <c r="L32" s="58">
        <v>37140</v>
      </c>
      <c r="M32" s="58">
        <v>36980</v>
      </c>
      <c r="N32" s="58">
        <v>35584</v>
      </c>
      <c r="O32" s="58">
        <v>33275</v>
      </c>
      <c r="P32" s="58">
        <v>38878</v>
      </c>
      <c r="Q32" s="58">
        <v>50133</v>
      </c>
      <c r="R32" s="58">
        <v>58886</v>
      </c>
      <c r="S32" s="58">
        <v>62038</v>
      </c>
      <c r="T32" s="58">
        <v>66694</v>
      </c>
      <c r="U32" s="58">
        <v>70753</v>
      </c>
      <c r="V32" s="58">
        <v>73340</v>
      </c>
      <c r="W32" s="58">
        <v>71333</v>
      </c>
      <c r="X32" s="58">
        <v>69499</v>
      </c>
      <c r="Y32" s="58">
        <v>67198</v>
      </c>
      <c r="Z32" s="58">
        <v>63596</v>
      </c>
      <c r="AA32" s="58">
        <f t="shared" si="0"/>
        <v>1270235</v>
      </c>
      <c r="AB32" s="53">
        <v>4</v>
      </c>
      <c r="AC32" s="58">
        <f t="shared" si="1"/>
        <v>5080940</v>
      </c>
      <c r="AD32" s="112"/>
    </row>
    <row r="33" spans="1:30" x14ac:dyDescent="0.35">
      <c r="A33" s="109"/>
      <c r="B33" s="59" t="s">
        <v>41</v>
      </c>
      <c r="C33" s="58">
        <v>59398</v>
      </c>
      <c r="D33" s="58">
        <v>55513</v>
      </c>
      <c r="E33" s="58">
        <v>52639</v>
      </c>
      <c r="F33" s="58">
        <v>50508</v>
      </c>
      <c r="G33" s="58">
        <v>49089</v>
      </c>
      <c r="H33" s="58">
        <v>46639</v>
      </c>
      <c r="I33" s="58">
        <v>46294</v>
      </c>
      <c r="J33" s="58">
        <v>33928</v>
      </c>
      <c r="K33" s="58">
        <v>24804</v>
      </c>
      <c r="L33" s="58">
        <v>21936</v>
      </c>
      <c r="M33" s="58">
        <v>20214</v>
      </c>
      <c r="N33" s="58">
        <v>18273</v>
      </c>
      <c r="O33" s="58">
        <v>20527</v>
      </c>
      <c r="P33" s="58">
        <v>25817</v>
      </c>
      <c r="Q33" s="58">
        <v>35451</v>
      </c>
      <c r="R33" s="58">
        <v>45619</v>
      </c>
      <c r="S33" s="58">
        <v>50603</v>
      </c>
      <c r="T33" s="58">
        <v>58497</v>
      </c>
      <c r="U33" s="58">
        <v>63593</v>
      </c>
      <c r="V33" s="58">
        <v>68552</v>
      </c>
      <c r="W33" s="58">
        <v>69343</v>
      </c>
      <c r="X33" s="58">
        <v>69245</v>
      </c>
      <c r="Y33" s="58">
        <v>66231</v>
      </c>
      <c r="Z33" s="58">
        <v>61490</v>
      </c>
      <c r="AA33" s="58">
        <f t="shared" si="0"/>
        <v>1114203</v>
      </c>
      <c r="AB33" s="53">
        <v>4</v>
      </c>
      <c r="AC33" s="58">
        <f t="shared" si="1"/>
        <v>4456812</v>
      </c>
      <c r="AD33" s="112"/>
    </row>
    <row r="34" spans="1:30" x14ac:dyDescent="0.35">
      <c r="A34" s="110"/>
      <c r="B34" s="60" t="s">
        <v>42</v>
      </c>
      <c r="C34" s="58">
        <v>59398</v>
      </c>
      <c r="D34" s="58">
        <v>55513</v>
      </c>
      <c r="E34" s="58">
        <v>52639</v>
      </c>
      <c r="F34" s="58">
        <v>50508</v>
      </c>
      <c r="G34" s="58">
        <v>49089</v>
      </c>
      <c r="H34" s="58">
        <v>46639</v>
      </c>
      <c r="I34" s="58">
        <v>46294</v>
      </c>
      <c r="J34" s="58">
        <v>33928</v>
      </c>
      <c r="K34" s="58">
        <v>24804</v>
      </c>
      <c r="L34" s="58">
        <v>21936</v>
      </c>
      <c r="M34" s="58">
        <v>20214</v>
      </c>
      <c r="N34" s="58">
        <v>18273</v>
      </c>
      <c r="O34" s="58">
        <v>20527</v>
      </c>
      <c r="P34" s="58">
        <v>25817</v>
      </c>
      <c r="Q34" s="58">
        <v>35451</v>
      </c>
      <c r="R34" s="58">
        <v>45619</v>
      </c>
      <c r="S34" s="58">
        <v>50603</v>
      </c>
      <c r="T34" s="58">
        <v>58497</v>
      </c>
      <c r="U34" s="58">
        <v>63593</v>
      </c>
      <c r="V34" s="58">
        <v>68552</v>
      </c>
      <c r="W34" s="58">
        <v>69343</v>
      </c>
      <c r="X34" s="58">
        <v>69245</v>
      </c>
      <c r="Y34" s="58">
        <v>66231</v>
      </c>
      <c r="Z34" s="58">
        <v>61490</v>
      </c>
      <c r="AA34" s="58">
        <f t="shared" si="0"/>
        <v>1114203</v>
      </c>
      <c r="AB34" s="53">
        <v>0</v>
      </c>
      <c r="AC34" s="58">
        <f>+AA34*AB34</f>
        <v>0</v>
      </c>
      <c r="AD34" s="113"/>
    </row>
    <row r="35" spans="1:30" x14ac:dyDescent="0.35">
      <c r="A35" s="108">
        <v>48061</v>
      </c>
      <c r="B35" s="57" t="s">
        <v>39</v>
      </c>
      <c r="C35" s="58">
        <v>60889</v>
      </c>
      <c r="D35" s="58">
        <v>56925</v>
      </c>
      <c r="E35" s="58">
        <v>53925</v>
      </c>
      <c r="F35" s="58">
        <v>51669</v>
      </c>
      <c r="G35" s="58">
        <v>50923</v>
      </c>
      <c r="H35" s="58">
        <v>50935</v>
      </c>
      <c r="I35" s="58">
        <v>52059</v>
      </c>
      <c r="J35" s="58">
        <v>46628</v>
      </c>
      <c r="K35" s="58">
        <v>42766</v>
      </c>
      <c r="L35" s="58">
        <v>42715</v>
      </c>
      <c r="M35" s="58">
        <v>43837</v>
      </c>
      <c r="N35" s="58">
        <v>42269</v>
      </c>
      <c r="O35" s="58">
        <v>36922</v>
      </c>
      <c r="P35" s="58">
        <v>49504</v>
      </c>
      <c r="Q35" s="58">
        <v>66335</v>
      </c>
      <c r="R35" s="58">
        <v>75919</v>
      </c>
      <c r="S35" s="58">
        <v>78852</v>
      </c>
      <c r="T35" s="58">
        <v>79381</v>
      </c>
      <c r="U35" s="58">
        <v>79932</v>
      </c>
      <c r="V35" s="58">
        <v>80750</v>
      </c>
      <c r="W35" s="58">
        <v>80597</v>
      </c>
      <c r="X35" s="58">
        <v>79030</v>
      </c>
      <c r="Y35" s="58">
        <v>74125</v>
      </c>
      <c r="Z35" s="58">
        <v>67740</v>
      </c>
      <c r="AA35" s="58">
        <f t="shared" si="0"/>
        <v>1444627</v>
      </c>
      <c r="AB35" s="53">
        <v>19</v>
      </c>
      <c r="AC35" s="58">
        <f t="shared" si="1"/>
        <v>27447913</v>
      </c>
      <c r="AD35" s="111">
        <f>+SUM(AC35:AC38)</f>
        <v>42547608</v>
      </c>
    </row>
    <row r="36" spans="1:30" x14ac:dyDescent="0.35">
      <c r="A36" s="109"/>
      <c r="B36" s="59" t="s">
        <v>40</v>
      </c>
      <c r="C36" s="58">
        <v>64887</v>
      </c>
      <c r="D36" s="58">
        <v>60601</v>
      </c>
      <c r="E36" s="58">
        <v>57326</v>
      </c>
      <c r="F36" s="58">
        <v>54789</v>
      </c>
      <c r="G36" s="58">
        <v>53454</v>
      </c>
      <c r="H36" s="58">
        <v>51870</v>
      </c>
      <c r="I36" s="58">
        <v>52683</v>
      </c>
      <c r="J36" s="58">
        <v>46549</v>
      </c>
      <c r="K36" s="58">
        <v>42525</v>
      </c>
      <c r="L36" s="58">
        <v>42396</v>
      </c>
      <c r="M36" s="58">
        <v>42253</v>
      </c>
      <c r="N36" s="58">
        <v>41498</v>
      </c>
      <c r="O36" s="58">
        <v>38534</v>
      </c>
      <c r="P36" s="58">
        <v>44647</v>
      </c>
      <c r="Q36" s="58">
        <v>55813</v>
      </c>
      <c r="R36" s="58">
        <v>64717</v>
      </c>
      <c r="S36" s="58">
        <v>67981</v>
      </c>
      <c r="T36" s="58">
        <v>71986</v>
      </c>
      <c r="U36" s="58">
        <v>76867</v>
      </c>
      <c r="V36" s="58">
        <v>77545</v>
      </c>
      <c r="W36" s="58">
        <v>75384</v>
      </c>
      <c r="X36" s="58">
        <v>74294</v>
      </c>
      <c r="Y36" s="58">
        <v>72182</v>
      </c>
      <c r="Z36" s="58">
        <v>68227</v>
      </c>
      <c r="AA36" s="58">
        <f t="shared" si="0"/>
        <v>1399008</v>
      </c>
      <c r="AB36" s="53">
        <v>5</v>
      </c>
      <c r="AC36" s="58">
        <f t="shared" si="1"/>
        <v>6995040</v>
      </c>
      <c r="AD36" s="112"/>
    </row>
    <row r="37" spans="1:30" x14ac:dyDescent="0.35">
      <c r="A37" s="109"/>
      <c r="B37" s="59" t="s">
        <v>41</v>
      </c>
      <c r="C37" s="58">
        <v>63149</v>
      </c>
      <c r="D37" s="58">
        <v>59083</v>
      </c>
      <c r="E37" s="58">
        <v>55850</v>
      </c>
      <c r="F37" s="58">
        <v>53378</v>
      </c>
      <c r="G37" s="58">
        <v>51568</v>
      </c>
      <c r="H37" s="58">
        <v>48383</v>
      </c>
      <c r="I37" s="58">
        <v>47312</v>
      </c>
      <c r="J37" s="58">
        <v>35918</v>
      </c>
      <c r="K37" s="58">
        <v>26551</v>
      </c>
      <c r="L37" s="58">
        <v>23270</v>
      </c>
      <c r="M37" s="58">
        <v>22048</v>
      </c>
      <c r="N37" s="58">
        <v>19682</v>
      </c>
      <c r="O37" s="58">
        <v>22085</v>
      </c>
      <c r="P37" s="58">
        <v>28726</v>
      </c>
      <c r="Q37" s="58">
        <v>38438</v>
      </c>
      <c r="R37" s="58">
        <v>48384</v>
      </c>
      <c r="S37" s="58">
        <v>52224</v>
      </c>
      <c r="T37" s="58">
        <v>59174</v>
      </c>
      <c r="U37" s="58">
        <v>65766</v>
      </c>
      <c r="V37" s="58">
        <v>69416</v>
      </c>
      <c r="W37" s="58">
        <v>70379</v>
      </c>
      <c r="X37" s="58">
        <v>70640</v>
      </c>
      <c r="Y37" s="58">
        <v>67894</v>
      </c>
      <c r="Z37" s="58">
        <v>62923</v>
      </c>
      <c r="AA37" s="58">
        <f t="shared" si="0"/>
        <v>1162241</v>
      </c>
      <c r="AB37" s="53">
        <v>5</v>
      </c>
      <c r="AC37" s="58">
        <f t="shared" si="1"/>
        <v>5811205</v>
      </c>
      <c r="AD37" s="112"/>
    </row>
    <row r="38" spans="1:30" x14ac:dyDescent="0.35">
      <c r="A38" s="110"/>
      <c r="B38" s="60" t="s">
        <v>42</v>
      </c>
      <c r="C38" s="58">
        <v>54215</v>
      </c>
      <c r="D38" s="58">
        <v>50868</v>
      </c>
      <c r="E38" s="58">
        <v>48201</v>
      </c>
      <c r="F38" s="58">
        <v>46390</v>
      </c>
      <c r="G38" s="58">
        <v>45522</v>
      </c>
      <c r="H38" s="58">
        <v>43850</v>
      </c>
      <c r="I38" s="58">
        <v>43585</v>
      </c>
      <c r="J38" s="58">
        <v>33610</v>
      </c>
      <c r="K38" s="58">
        <v>26318</v>
      </c>
      <c r="L38" s="58">
        <v>25568</v>
      </c>
      <c r="M38" s="58">
        <v>25618</v>
      </c>
      <c r="N38" s="58">
        <v>24983</v>
      </c>
      <c r="O38" s="58">
        <v>25660</v>
      </c>
      <c r="P38" s="58">
        <v>31685</v>
      </c>
      <c r="Q38" s="58">
        <v>42012</v>
      </c>
      <c r="R38" s="58">
        <v>51966</v>
      </c>
      <c r="S38" s="58">
        <v>55757</v>
      </c>
      <c r="T38" s="58">
        <v>60982</v>
      </c>
      <c r="U38" s="58">
        <v>67685</v>
      </c>
      <c r="V38" s="58">
        <v>71219</v>
      </c>
      <c r="W38" s="58">
        <v>71031</v>
      </c>
      <c r="X38" s="58">
        <v>71042</v>
      </c>
      <c r="Y38" s="58">
        <v>67315</v>
      </c>
      <c r="Z38" s="58">
        <v>61643</v>
      </c>
      <c r="AA38" s="58">
        <f t="shared" si="0"/>
        <v>1146725</v>
      </c>
      <c r="AB38" s="53">
        <v>2</v>
      </c>
      <c r="AC38" s="58">
        <f t="shared" si="1"/>
        <v>2293450</v>
      </c>
      <c r="AD38" s="113"/>
    </row>
    <row r="39" spans="1:30" x14ac:dyDescent="0.35">
      <c r="A39" s="108">
        <v>48092</v>
      </c>
      <c r="B39" s="57" t="s">
        <v>39</v>
      </c>
      <c r="C39" s="58">
        <v>63744</v>
      </c>
      <c r="D39" s="58">
        <v>59382</v>
      </c>
      <c r="E39" s="58">
        <v>56170</v>
      </c>
      <c r="F39" s="58">
        <v>53699</v>
      </c>
      <c r="G39" s="58">
        <v>52821</v>
      </c>
      <c r="H39" s="58">
        <v>52600</v>
      </c>
      <c r="I39" s="58">
        <v>54101</v>
      </c>
      <c r="J39" s="58">
        <v>49105</v>
      </c>
      <c r="K39" s="58">
        <v>45422</v>
      </c>
      <c r="L39" s="58">
        <v>45550</v>
      </c>
      <c r="M39" s="58">
        <v>46929</v>
      </c>
      <c r="N39" s="58">
        <v>45426</v>
      </c>
      <c r="O39" s="58">
        <v>40356</v>
      </c>
      <c r="P39" s="58">
        <v>53579</v>
      </c>
      <c r="Q39" s="58">
        <v>70308</v>
      </c>
      <c r="R39" s="58">
        <v>79824</v>
      </c>
      <c r="S39" s="58">
        <v>82119</v>
      </c>
      <c r="T39" s="58">
        <v>83836</v>
      </c>
      <c r="U39" s="58">
        <v>85266</v>
      </c>
      <c r="V39" s="58">
        <v>83625</v>
      </c>
      <c r="W39" s="58">
        <v>83172</v>
      </c>
      <c r="X39" s="58">
        <v>81744</v>
      </c>
      <c r="Y39" s="58">
        <v>76915</v>
      </c>
      <c r="Z39" s="58">
        <v>69915</v>
      </c>
      <c r="AA39" s="58">
        <f t="shared" si="0"/>
        <v>1515608</v>
      </c>
      <c r="AB39" s="53">
        <v>22</v>
      </c>
      <c r="AC39" s="58">
        <f t="shared" si="1"/>
        <v>33343376</v>
      </c>
      <c r="AD39" s="111">
        <f>+SUM(AC39:AC42)</f>
        <v>44164596</v>
      </c>
    </row>
    <row r="40" spans="1:30" x14ac:dyDescent="0.35">
      <c r="A40" s="109"/>
      <c r="B40" s="59" t="s">
        <v>40</v>
      </c>
      <c r="C40" s="58">
        <v>65549</v>
      </c>
      <c r="D40" s="58">
        <v>61508</v>
      </c>
      <c r="E40" s="58">
        <v>58315</v>
      </c>
      <c r="F40" s="58">
        <v>55613</v>
      </c>
      <c r="G40" s="58">
        <v>54314</v>
      </c>
      <c r="H40" s="58">
        <v>52478</v>
      </c>
      <c r="I40" s="58">
        <v>53706</v>
      </c>
      <c r="J40" s="58">
        <v>48162</v>
      </c>
      <c r="K40" s="58">
        <v>44663</v>
      </c>
      <c r="L40" s="58">
        <v>44334</v>
      </c>
      <c r="M40" s="58">
        <v>45320</v>
      </c>
      <c r="N40" s="58">
        <v>43943</v>
      </c>
      <c r="O40" s="58">
        <v>41442</v>
      </c>
      <c r="P40" s="58">
        <v>47815</v>
      </c>
      <c r="Q40" s="58">
        <v>59400</v>
      </c>
      <c r="R40" s="58">
        <v>68223</v>
      </c>
      <c r="S40" s="58">
        <v>70847</v>
      </c>
      <c r="T40" s="58">
        <v>76576</v>
      </c>
      <c r="U40" s="58">
        <v>82207</v>
      </c>
      <c r="V40" s="58">
        <v>80740</v>
      </c>
      <c r="W40" s="58">
        <v>78051</v>
      </c>
      <c r="X40" s="58">
        <v>76077</v>
      </c>
      <c r="Y40" s="58">
        <v>73781</v>
      </c>
      <c r="Z40" s="58">
        <v>69991</v>
      </c>
      <c r="AA40" s="58">
        <f t="shared" si="0"/>
        <v>1453055</v>
      </c>
      <c r="AB40" s="53">
        <v>4</v>
      </c>
      <c r="AC40" s="58">
        <f t="shared" si="1"/>
        <v>5812220</v>
      </c>
      <c r="AD40" s="112"/>
    </row>
    <row r="41" spans="1:30" x14ac:dyDescent="0.35">
      <c r="A41" s="109"/>
      <c r="B41" s="59" t="s">
        <v>41</v>
      </c>
      <c r="C41" s="58">
        <v>64553</v>
      </c>
      <c r="D41" s="58">
        <v>60638</v>
      </c>
      <c r="E41" s="58">
        <v>57638</v>
      </c>
      <c r="F41" s="58">
        <v>55247</v>
      </c>
      <c r="G41" s="58">
        <v>53608</v>
      </c>
      <c r="H41" s="58">
        <v>51143</v>
      </c>
      <c r="I41" s="58">
        <v>50704</v>
      </c>
      <c r="J41" s="58">
        <v>38962</v>
      </c>
      <c r="K41" s="58">
        <v>29171</v>
      </c>
      <c r="L41" s="58">
        <v>25870</v>
      </c>
      <c r="M41" s="58">
        <v>24899</v>
      </c>
      <c r="N41" s="58">
        <v>24066</v>
      </c>
      <c r="O41" s="58">
        <v>25596</v>
      </c>
      <c r="P41" s="58">
        <v>32073</v>
      </c>
      <c r="Q41" s="58">
        <v>43107</v>
      </c>
      <c r="R41" s="58">
        <v>52691</v>
      </c>
      <c r="S41" s="58">
        <v>57322</v>
      </c>
      <c r="T41" s="58">
        <v>65086</v>
      </c>
      <c r="U41" s="58">
        <v>72563</v>
      </c>
      <c r="V41" s="58">
        <v>74692</v>
      </c>
      <c r="W41" s="58">
        <v>75879</v>
      </c>
      <c r="X41" s="58">
        <v>76379</v>
      </c>
      <c r="Y41" s="58">
        <v>73082</v>
      </c>
      <c r="Z41" s="58">
        <v>67281</v>
      </c>
      <c r="AA41" s="58">
        <f t="shared" si="0"/>
        <v>1252250</v>
      </c>
      <c r="AB41" s="53">
        <v>4</v>
      </c>
      <c r="AC41" s="58">
        <f t="shared" si="1"/>
        <v>5009000</v>
      </c>
      <c r="AD41" s="112"/>
    </row>
    <row r="42" spans="1:30" x14ac:dyDescent="0.35">
      <c r="A42" s="110"/>
      <c r="B42" s="60" t="s">
        <v>42</v>
      </c>
      <c r="C42" s="58">
        <v>0</v>
      </c>
      <c r="D42" s="58">
        <v>0</v>
      </c>
      <c r="E42" s="58">
        <v>0</v>
      </c>
      <c r="F42" s="58">
        <v>0</v>
      </c>
      <c r="G42" s="58">
        <v>0</v>
      </c>
      <c r="H42" s="58">
        <v>0</v>
      </c>
      <c r="I42" s="58">
        <v>0</v>
      </c>
      <c r="J42" s="58">
        <v>0</v>
      </c>
      <c r="K42" s="58">
        <v>0</v>
      </c>
      <c r="L42" s="58">
        <v>0</v>
      </c>
      <c r="M42" s="58">
        <v>0</v>
      </c>
      <c r="N42" s="58">
        <v>0</v>
      </c>
      <c r="O42" s="58">
        <v>0</v>
      </c>
      <c r="P42" s="58">
        <v>0</v>
      </c>
      <c r="Q42" s="58">
        <v>0</v>
      </c>
      <c r="R42" s="58">
        <v>0</v>
      </c>
      <c r="S42" s="58">
        <v>0</v>
      </c>
      <c r="T42" s="58">
        <v>0</v>
      </c>
      <c r="U42" s="58">
        <v>0</v>
      </c>
      <c r="V42" s="58">
        <v>0</v>
      </c>
      <c r="W42" s="58">
        <v>0</v>
      </c>
      <c r="X42" s="58">
        <v>0</v>
      </c>
      <c r="Y42" s="58">
        <v>0</v>
      </c>
      <c r="Z42" s="58">
        <v>0</v>
      </c>
      <c r="AA42" s="58">
        <f t="shared" si="0"/>
        <v>0</v>
      </c>
      <c r="AB42" s="53">
        <v>0</v>
      </c>
      <c r="AC42" s="58">
        <f t="shared" si="1"/>
        <v>0</v>
      </c>
      <c r="AD42" s="113"/>
    </row>
    <row r="43" spans="1:30" x14ac:dyDescent="0.35">
      <c r="A43" s="108">
        <v>48122</v>
      </c>
      <c r="B43" s="57" t="s">
        <v>39</v>
      </c>
      <c r="C43" s="58">
        <v>59883</v>
      </c>
      <c r="D43" s="58">
        <v>55872</v>
      </c>
      <c r="E43" s="58">
        <v>53014</v>
      </c>
      <c r="F43" s="58">
        <v>51047</v>
      </c>
      <c r="G43" s="58">
        <v>50501</v>
      </c>
      <c r="H43" s="58">
        <v>50321</v>
      </c>
      <c r="I43" s="58">
        <v>52057</v>
      </c>
      <c r="J43" s="58">
        <v>46919</v>
      </c>
      <c r="K43" s="58">
        <v>44067</v>
      </c>
      <c r="L43" s="58">
        <v>44320</v>
      </c>
      <c r="M43" s="58">
        <v>45805</v>
      </c>
      <c r="N43" s="58">
        <v>44749</v>
      </c>
      <c r="O43" s="58">
        <v>39823</v>
      </c>
      <c r="P43" s="58">
        <v>52293</v>
      </c>
      <c r="Q43" s="58">
        <v>68684</v>
      </c>
      <c r="R43" s="58">
        <v>77610</v>
      </c>
      <c r="S43" s="58">
        <v>80092</v>
      </c>
      <c r="T43" s="58">
        <v>84991</v>
      </c>
      <c r="U43" s="58">
        <v>85090</v>
      </c>
      <c r="V43" s="58">
        <v>81878</v>
      </c>
      <c r="W43" s="58">
        <v>80020</v>
      </c>
      <c r="X43" s="58">
        <v>77546</v>
      </c>
      <c r="Y43" s="58">
        <v>72303</v>
      </c>
      <c r="Z43" s="58">
        <v>65738</v>
      </c>
      <c r="AA43" s="58">
        <f t="shared" si="0"/>
        <v>1464623</v>
      </c>
      <c r="AB43" s="53">
        <v>22</v>
      </c>
      <c r="AC43" s="58">
        <f t="shared" si="1"/>
        <v>32221706</v>
      </c>
      <c r="AD43" s="111">
        <f>+SUM(AC43:AC46)</f>
        <v>43421099</v>
      </c>
    </row>
    <row r="44" spans="1:30" x14ac:dyDescent="0.35">
      <c r="A44" s="109"/>
      <c r="B44" s="59" t="s">
        <v>40</v>
      </c>
      <c r="C44" s="58">
        <v>58491</v>
      </c>
      <c r="D44" s="58">
        <v>54483</v>
      </c>
      <c r="E44" s="58">
        <v>51706</v>
      </c>
      <c r="F44" s="58">
        <v>49475</v>
      </c>
      <c r="G44" s="58">
        <v>48580</v>
      </c>
      <c r="H44" s="58">
        <v>47269</v>
      </c>
      <c r="I44" s="58">
        <v>48563</v>
      </c>
      <c r="J44" s="58">
        <v>42186</v>
      </c>
      <c r="K44" s="58">
        <v>39398</v>
      </c>
      <c r="L44" s="58">
        <v>39590</v>
      </c>
      <c r="M44" s="58">
        <v>40470</v>
      </c>
      <c r="N44" s="58">
        <v>39374</v>
      </c>
      <c r="O44" s="58">
        <v>37445</v>
      </c>
      <c r="P44" s="58">
        <v>42689</v>
      </c>
      <c r="Q44" s="58">
        <v>53619</v>
      </c>
      <c r="R44" s="58">
        <v>61723</v>
      </c>
      <c r="S44" s="58">
        <v>65036</v>
      </c>
      <c r="T44" s="58">
        <v>73504</v>
      </c>
      <c r="U44" s="58">
        <v>77341</v>
      </c>
      <c r="V44" s="58">
        <v>74975</v>
      </c>
      <c r="W44" s="58">
        <v>72539</v>
      </c>
      <c r="X44" s="58">
        <v>69837</v>
      </c>
      <c r="Y44" s="58">
        <v>66514</v>
      </c>
      <c r="Z44" s="58">
        <v>62265</v>
      </c>
      <c r="AA44" s="58">
        <f t="shared" si="0"/>
        <v>1317072</v>
      </c>
      <c r="AB44" s="53">
        <v>4</v>
      </c>
      <c r="AC44" s="58">
        <f t="shared" si="1"/>
        <v>5268288</v>
      </c>
      <c r="AD44" s="112"/>
    </row>
    <row r="45" spans="1:30" x14ac:dyDescent="0.35">
      <c r="A45" s="109"/>
      <c r="B45" s="59" t="s">
        <v>41</v>
      </c>
      <c r="C45" s="58">
        <v>59612</v>
      </c>
      <c r="D45" s="58">
        <v>55919</v>
      </c>
      <c r="E45" s="58">
        <v>53107</v>
      </c>
      <c r="F45" s="58">
        <v>50686</v>
      </c>
      <c r="G45" s="58">
        <v>49165</v>
      </c>
      <c r="H45" s="58">
        <v>46893</v>
      </c>
      <c r="I45" s="58">
        <v>46659</v>
      </c>
      <c r="J45" s="58">
        <v>34399</v>
      </c>
      <c r="K45" s="58">
        <v>25446</v>
      </c>
      <c r="L45" s="58">
        <v>23468</v>
      </c>
      <c r="M45" s="58">
        <v>22414</v>
      </c>
      <c r="N45" s="58">
        <v>21859</v>
      </c>
      <c r="O45" s="58">
        <v>23827</v>
      </c>
      <c r="P45" s="58">
        <v>29305</v>
      </c>
      <c r="Q45" s="58">
        <v>39320</v>
      </c>
      <c r="R45" s="58">
        <v>49574</v>
      </c>
      <c r="S45" s="58">
        <v>54374</v>
      </c>
      <c r="T45" s="58">
        <v>65076</v>
      </c>
      <c r="U45" s="58">
        <v>70721</v>
      </c>
      <c r="V45" s="58">
        <v>71520</v>
      </c>
      <c r="W45" s="58">
        <v>71802</v>
      </c>
      <c r="X45" s="58">
        <v>71315</v>
      </c>
      <c r="Y45" s="58">
        <v>67780</v>
      </c>
      <c r="Z45" s="58">
        <v>62632</v>
      </c>
      <c r="AA45" s="58">
        <f t="shared" si="0"/>
        <v>1166873</v>
      </c>
      <c r="AB45" s="53">
        <v>4</v>
      </c>
      <c r="AC45" s="58">
        <f t="shared" si="1"/>
        <v>4667492</v>
      </c>
      <c r="AD45" s="112"/>
    </row>
    <row r="46" spans="1:30" x14ac:dyDescent="0.35">
      <c r="A46" s="110"/>
      <c r="B46" s="60" t="s">
        <v>42</v>
      </c>
      <c r="C46" s="58">
        <v>58782</v>
      </c>
      <c r="D46" s="58">
        <v>55027</v>
      </c>
      <c r="E46" s="58">
        <v>52309</v>
      </c>
      <c r="F46" s="58">
        <v>50271</v>
      </c>
      <c r="G46" s="58">
        <v>49346</v>
      </c>
      <c r="H46" s="58">
        <v>46657</v>
      </c>
      <c r="I46" s="58">
        <v>46665</v>
      </c>
      <c r="J46" s="58">
        <v>37659</v>
      </c>
      <c r="K46" s="58">
        <v>31017</v>
      </c>
      <c r="L46" s="58">
        <v>30604</v>
      </c>
      <c r="M46" s="58">
        <v>30713</v>
      </c>
      <c r="N46" s="58">
        <v>28837</v>
      </c>
      <c r="O46" s="58">
        <v>30896</v>
      </c>
      <c r="P46" s="58">
        <v>37342</v>
      </c>
      <c r="Q46" s="58">
        <v>48549</v>
      </c>
      <c r="R46" s="58">
        <v>57141</v>
      </c>
      <c r="S46" s="58">
        <v>61063</v>
      </c>
      <c r="T46" s="58">
        <v>70291</v>
      </c>
      <c r="U46" s="58">
        <v>75759</v>
      </c>
      <c r="V46" s="58">
        <v>77248</v>
      </c>
      <c r="W46" s="58">
        <v>77036</v>
      </c>
      <c r="X46" s="58">
        <v>75461</v>
      </c>
      <c r="Y46" s="58">
        <v>70699</v>
      </c>
      <c r="Z46" s="58">
        <v>64241</v>
      </c>
      <c r="AA46" s="58">
        <f t="shared" si="0"/>
        <v>1263613</v>
      </c>
      <c r="AB46" s="53">
        <v>1</v>
      </c>
      <c r="AC46" s="58">
        <f t="shared" si="1"/>
        <v>1263613</v>
      </c>
      <c r="AD46" s="113"/>
    </row>
    <row r="47" spans="1:30" x14ac:dyDescent="0.35">
      <c r="A47" s="90">
        <v>48153</v>
      </c>
      <c r="B47" s="13" t="s">
        <v>39</v>
      </c>
      <c r="C47" s="58">
        <v>60070</v>
      </c>
      <c r="D47" s="58">
        <v>56139</v>
      </c>
      <c r="E47" s="58">
        <v>53358</v>
      </c>
      <c r="F47" s="58">
        <v>51578</v>
      </c>
      <c r="G47" s="58">
        <v>51381</v>
      </c>
      <c r="H47" s="58">
        <v>51934</v>
      </c>
      <c r="I47" s="58">
        <v>54618</v>
      </c>
      <c r="J47" s="58">
        <v>49954</v>
      </c>
      <c r="K47" s="58">
        <v>46655</v>
      </c>
      <c r="L47" s="58">
        <v>46504</v>
      </c>
      <c r="M47" s="58">
        <v>47934</v>
      </c>
      <c r="N47" s="58">
        <v>46913</v>
      </c>
      <c r="O47" s="58">
        <v>41715</v>
      </c>
      <c r="P47" s="58">
        <v>53284</v>
      </c>
      <c r="Q47" s="58">
        <v>69523</v>
      </c>
      <c r="R47" s="58">
        <v>79442</v>
      </c>
      <c r="S47" s="58">
        <v>82345</v>
      </c>
      <c r="T47" s="58">
        <v>88787</v>
      </c>
      <c r="U47" s="58">
        <v>88604</v>
      </c>
      <c r="V47" s="58">
        <v>84785</v>
      </c>
      <c r="W47" s="58">
        <v>82356</v>
      </c>
      <c r="X47" s="58">
        <v>78799</v>
      </c>
      <c r="Y47" s="58">
        <v>73053</v>
      </c>
      <c r="Z47" s="58">
        <v>66110</v>
      </c>
      <c r="AA47" s="15">
        <f t="shared" si="0"/>
        <v>1505841</v>
      </c>
      <c r="AB47" s="16">
        <v>18</v>
      </c>
      <c r="AC47" s="15">
        <f t="shared" si="1"/>
        <v>27105138</v>
      </c>
      <c r="AD47" s="105">
        <f>+SUM(AC47:AC50)</f>
        <v>42950492</v>
      </c>
    </row>
    <row r="48" spans="1:30" x14ac:dyDescent="0.35">
      <c r="A48" s="91"/>
      <c r="B48" s="17" t="s">
        <v>40</v>
      </c>
      <c r="C48" s="58">
        <v>61572</v>
      </c>
      <c r="D48" s="58">
        <v>57599</v>
      </c>
      <c r="E48" s="58">
        <v>54759</v>
      </c>
      <c r="F48" s="58">
        <v>52481</v>
      </c>
      <c r="G48" s="58">
        <v>51637</v>
      </c>
      <c r="H48" s="58">
        <v>50621</v>
      </c>
      <c r="I48" s="58">
        <v>52323</v>
      </c>
      <c r="J48" s="58">
        <v>47033</v>
      </c>
      <c r="K48" s="58">
        <v>44454</v>
      </c>
      <c r="L48" s="58">
        <v>45261</v>
      </c>
      <c r="M48" s="58">
        <v>45641</v>
      </c>
      <c r="N48" s="58">
        <v>44341</v>
      </c>
      <c r="O48" s="58">
        <v>41634</v>
      </c>
      <c r="P48" s="58">
        <v>46884</v>
      </c>
      <c r="Q48" s="58">
        <v>57679</v>
      </c>
      <c r="R48" s="58">
        <v>66195</v>
      </c>
      <c r="S48" s="58">
        <v>69569</v>
      </c>
      <c r="T48" s="58">
        <v>79052</v>
      </c>
      <c r="U48" s="58">
        <v>82101</v>
      </c>
      <c r="V48" s="58">
        <v>79286</v>
      </c>
      <c r="W48" s="58">
        <v>76328</v>
      </c>
      <c r="X48" s="58">
        <v>72890</v>
      </c>
      <c r="Y48" s="58">
        <v>69292</v>
      </c>
      <c r="Z48" s="58">
        <v>65033</v>
      </c>
      <c r="AA48" s="15">
        <f t="shared" si="0"/>
        <v>1413665</v>
      </c>
      <c r="AB48" s="16">
        <v>5</v>
      </c>
      <c r="AC48" s="15">
        <f t="shared" si="1"/>
        <v>7068325</v>
      </c>
      <c r="AD48" s="106"/>
    </row>
    <row r="49" spans="1:30" x14ac:dyDescent="0.35">
      <c r="A49" s="91"/>
      <c r="B49" s="17" t="s">
        <v>41</v>
      </c>
      <c r="C49" s="58">
        <v>60673</v>
      </c>
      <c r="D49" s="58">
        <v>56948</v>
      </c>
      <c r="E49" s="58">
        <v>54100</v>
      </c>
      <c r="F49" s="58">
        <v>51867</v>
      </c>
      <c r="G49" s="58">
        <v>50469</v>
      </c>
      <c r="H49" s="58">
        <v>48642</v>
      </c>
      <c r="I49" s="58">
        <v>48777</v>
      </c>
      <c r="J49" s="58">
        <v>38082</v>
      </c>
      <c r="K49" s="58">
        <v>30018</v>
      </c>
      <c r="L49" s="58">
        <v>28044</v>
      </c>
      <c r="M49" s="58">
        <v>27822</v>
      </c>
      <c r="N49" s="58">
        <v>26636</v>
      </c>
      <c r="O49" s="58">
        <v>28900</v>
      </c>
      <c r="P49" s="58">
        <v>34112</v>
      </c>
      <c r="Q49" s="58">
        <v>43787</v>
      </c>
      <c r="R49" s="58">
        <v>52800</v>
      </c>
      <c r="S49" s="58">
        <v>57622</v>
      </c>
      <c r="T49" s="58">
        <v>69775</v>
      </c>
      <c r="U49" s="58">
        <v>74465</v>
      </c>
      <c r="V49" s="58">
        <v>74543</v>
      </c>
      <c r="W49" s="58">
        <v>73643</v>
      </c>
      <c r="X49" s="58">
        <v>72198</v>
      </c>
      <c r="Y49" s="58">
        <v>68789</v>
      </c>
      <c r="Z49" s="58">
        <v>63671</v>
      </c>
      <c r="AA49" s="15">
        <f t="shared" si="0"/>
        <v>1236383</v>
      </c>
      <c r="AB49" s="16">
        <v>5</v>
      </c>
      <c r="AC49" s="15">
        <f t="shared" si="1"/>
        <v>6181915</v>
      </c>
      <c r="AD49" s="106"/>
    </row>
    <row r="50" spans="1:30" x14ac:dyDescent="0.35">
      <c r="A50" s="92"/>
      <c r="B50" s="18" t="s">
        <v>42</v>
      </c>
      <c r="C50" s="58">
        <v>58373</v>
      </c>
      <c r="D50" s="58">
        <v>54463</v>
      </c>
      <c r="E50" s="58">
        <v>51916</v>
      </c>
      <c r="F50" s="58">
        <v>50084</v>
      </c>
      <c r="G50" s="58">
        <v>49374</v>
      </c>
      <c r="H50" s="58">
        <v>47877</v>
      </c>
      <c r="I50" s="58">
        <v>48204</v>
      </c>
      <c r="J50" s="58">
        <v>39507</v>
      </c>
      <c r="K50" s="58">
        <v>32845</v>
      </c>
      <c r="L50" s="58">
        <v>32686</v>
      </c>
      <c r="M50" s="58">
        <v>33582</v>
      </c>
      <c r="N50" s="58">
        <v>33055</v>
      </c>
      <c r="O50" s="58">
        <v>33688</v>
      </c>
      <c r="P50" s="58">
        <v>40577</v>
      </c>
      <c r="Q50" s="58">
        <v>50555</v>
      </c>
      <c r="R50" s="58">
        <v>59395</v>
      </c>
      <c r="S50" s="58">
        <v>63690</v>
      </c>
      <c r="T50" s="58">
        <v>74738</v>
      </c>
      <c r="U50" s="58">
        <v>79160</v>
      </c>
      <c r="V50" s="58">
        <v>78905</v>
      </c>
      <c r="W50" s="58">
        <v>77373</v>
      </c>
      <c r="X50" s="58">
        <v>74686</v>
      </c>
      <c r="Y50" s="58">
        <v>69421</v>
      </c>
      <c r="Z50" s="58">
        <v>63403</v>
      </c>
      <c r="AA50" s="15">
        <f t="shared" si="0"/>
        <v>1297557</v>
      </c>
      <c r="AB50" s="16">
        <v>2</v>
      </c>
      <c r="AC50" s="15">
        <f t="shared" si="1"/>
        <v>2595114</v>
      </c>
      <c r="AD50" s="107"/>
    </row>
    <row r="51" spans="1:30" x14ac:dyDescent="0.35">
      <c r="A51" s="90">
        <v>48183</v>
      </c>
      <c r="B51" s="13" t="s">
        <v>39</v>
      </c>
      <c r="C51" s="58">
        <v>58702</v>
      </c>
      <c r="D51" s="58">
        <v>54825</v>
      </c>
      <c r="E51" s="58">
        <v>52149</v>
      </c>
      <c r="F51" s="58">
        <v>50190</v>
      </c>
      <c r="G51" s="58">
        <v>49590</v>
      </c>
      <c r="H51" s="58">
        <v>49723</v>
      </c>
      <c r="I51" s="58">
        <v>50699</v>
      </c>
      <c r="J51" s="58">
        <v>44855</v>
      </c>
      <c r="K51" s="58">
        <v>41080</v>
      </c>
      <c r="L51" s="58">
        <v>40888</v>
      </c>
      <c r="M51" s="58">
        <v>41728</v>
      </c>
      <c r="N51" s="58">
        <v>40664</v>
      </c>
      <c r="O51" s="58">
        <v>37058</v>
      </c>
      <c r="P51" s="58">
        <v>46115</v>
      </c>
      <c r="Q51" s="58">
        <v>61226</v>
      </c>
      <c r="R51" s="58">
        <v>71121</v>
      </c>
      <c r="S51" s="58">
        <v>74971</v>
      </c>
      <c r="T51" s="58">
        <v>80616</v>
      </c>
      <c r="U51" s="58">
        <v>83545</v>
      </c>
      <c r="V51" s="58">
        <v>80185</v>
      </c>
      <c r="W51" s="58">
        <v>76999</v>
      </c>
      <c r="X51" s="58">
        <v>74086</v>
      </c>
      <c r="Y51" s="58">
        <v>69804</v>
      </c>
      <c r="Z51" s="58">
        <v>64300</v>
      </c>
      <c r="AA51" s="15">
        <f t="shared" si="0"/>
        <v>1395119</v>
      </c>
      <c r="AB51" s="16">
        <v>21</v>
      </c>
      <c r="AC51" s="15">
        <f t="shared" si="1"/>
        <v>29297499</v>
      </c>
      <c r="AD51" s="105">
        <f>+SUM(AC51:AC54)</f>
        <v>41505243</v>
      </c>
    </row>
    <row r="52" spans="1:30" x14ac:dyDescent="0.35">
      <c r="A52" s="91"/>
      <c r="B52" s="17" t="s">
        <v>40</v>
      </c>
      <c r="C52" s="58">
        <v>60090</v>
      </c>
      <c r="D52" s="58">
        <v>55971</v>
      </c>
      <c r="E52" s="58">
        <v>52972</v>
      </c>
      <c r="F52" s="58">
        <v>50782</v>
      </c>
      <c r="G52" s="58">
        <v>49789</v>
      </c>
      <c r="H52" s="58">
        <v>49465</v>
      </c>
      <c r="I52" s="58">
        <v>49926</v>
      </c>
      <c r="J52" s="58">
        <v>42588</v>
      </c>
      <c r="K52" s="58">
        <v>38383</v>
      </c>
      <c r="L52" s="58">
        <v>37859</v>
      </c>
      <c r="M52" s="58">
        <v>38405</v>
      </c>
      <c r="N52" s="58">
        <v>37168</v>
      </c>
      <c r="O52" s="58">
        <v>36328</v>
      </c>
      <c r="P52" s="58">
        <v>42046</v>
      </c>
      <c r="Q52" s="58">
        <v>52929</v>
      </c>
      <c r="R52" s="58">
        <v>61827</v>
      </c>
      <c r="S52" s="58">
        <v>65563</v>
      </c>
      <c r="T52" s="58">
        <v>74680</v>
      </c>
      <c r="U52" s="58">
        <v>80539</v>
      </c>
      <c r="V52" s="58">
        <v>78587</v>
      </c>
      <c r="W52" s="58">
        <v>74683</v>
      </c>
      <c r="X52" s="58">
        <v>71081</v>
      </c>
      <c r="Y52" s="58">
        <v>67510</v>
      </c>
      <c r="Z52" s="58">
        <v>63525</v>
      </c>
      <c r="AA52" s="15">
        <f t="shared" si="0"/>
        <v>1332696</v>
      </c>
      <c r="AB52" s="16">
        <v>4</v>
      </c>
      <c r="AC52" s="15">
        <f t="shared" si="1"/>
        <v>5330784</v>
      </c>
      <c r="AD52" s="106"/>
    </row>
    <row r="53" spans="1:30" x14ac:dyDescent="0.35">
      <c r="A53" s="91"/>
      <c r="B53" s="17" t="s">
        <v>41</v>
      </c>
      <c r="C53" s="58">
        <v>60628</v>
      </c>
      <c r="D53" s="58">
        <v>56799</v>
      </c>
      <c r="E53" s="58">
        <v>53851</v>
      </c>
      <c r="F53" s="58">
        <v>51627</v>
      </c>
      <c r="G53" s="58">
        <v>50232</v>
      </c>
      <c r="H53" s="58">
        <v>47816</v>
      </c>
      <c r="I53" s="58">
        <v>46990</v>
      </c>
      <c r="J53" s="58">
        <v>35814</v>
      </c>
      <c r="K53" s="58">
        <v>27615</v>
      </c>
      <c r="L53" s="58">
        <v>25926</v>
      </c>
      <c r="M53" s="58">
        <v>25281</v>
      </c>
      <c r="N53" s="58">
        <v>24244</v>
      </c>
      <c r="O53" s="58">
        <v>26239</v>
      </c>
      <c r="P53" s="58">
        <v>31712</v>
      </c>
      <c r="Q53" s="58">
        <v>41835</v>
      </c>
      <c r="R53" s="58">
        <v>52235</v>
      </c>
      <c r="S53" s="58">
        <v>57149</v>
      </c>
      <c r="T53" s="58">
        <v>67835</v>
      </c>
      <c r="U53" s="58">
        <v>74925</v>
      </c>
      <c r="V53" s="58">
        <v>74265</v>
      </c>
      <c r="W53" s="58">
        <v>72173</v>
      </c>
      <c r="X53" s="58">
        <v>69663</v>
      </c>
      <c r="Y53" s="58">
        <v>65798</v>
      </c>
      <c r="Z53" s="58">
        <v>61240</v>
      </c>
      <c r="AA53" s="15">
        <f t="shared" si="0"/>
        <v>1201892</v>
      </c>
      <c r="AB53" s="16">
        <v>4</v>
      </c>
      <c r="AC53" s="15">
        <f t="shared" si="1"/>
        <v>4807568</v>
      </c>
      <c r="AD53" s="106"/>
    </row>
    <row r="54" spans="1:30" x14ac:dyDescent="0.35">
      <c r="A54" s="92"/>
      <c r="B54" s="18" t="s">
        <v>42</v>
      </c>
      <c r="C54" s="58">
        <v>51399</v>
      </c>
      <c r="D54" s="58">
        <v>49357</v>
      </c>
      <c r="E54" s="58">
        <v>47710</v>
      </c>
      <c r="F54" s="58">
        <v>46095</v>
      </c>
      <c r="G54" s="58">
        <v>45009</v>
      </c>
      <c r="H54" s="58">
        <v>43829</v>
      </c>
      <c r="I54" s="58">
        <v>42348</v>
      </c>
      <c r="J54" s="58">
        <v>30875</v>
      </c>
      <c r="K54" s="58">
        <v>21730</v>
      </c>
      <c r="L54" s="58">
        <v>19373</v>
      </c>
      <c r="M54" s="58">
        <v>18317</v>
      </c>
      <c r="N54" s="58">
        <v>16656</v>
      </c>
      <c r="O54" s="58">
        <v>18509</v>
      </c>
      <c r="P54" s="58">
        <v>24340</v>
      </c>
      <c r="Q54" s="58">
        <v>33780</v>
      </c>
      <c r="R54" s="58">
        <v>43085</v>
      </c>
      <c r="S54" s="58">
        <v>48261</v>
      </c>
      <c r="T54" s="58">
        <v>58305</v>
      </c>
      <c r="U54" s="58">
        <v>65521</v>
      </c>
      <c r="V54" s="58">
        <v>66228</v>
      </c>
      <c r="W54" s="58">
        <v>64800</v>
      </c>
      <c r="X54" s="58">
        <v>63205</v>
      </c>
      <c r="Y54" s="58">
        <v>60202</v>
      </c>
      <c r="Z54" s="58">
        <v>55762</v>
      </c>
      <c r="AA54" s="15">
        <f t="shared" si="0"/>
        <v>1034696</v>
      </c>
      <c r="AB54" s="16">
        <v>2</v>
      </c>
      <c r="AC54" s="15">
        <f t="shared" si="1"/>
        <v>2069392</v>
      </c>
      <c r="AD54" s="107"/>
    </row>
    <row r="55" spans="1:30" x14ac:dyDescent="0.35">
      <c r="AD55" s="24">
        <f>+SUM(AD7:AD54)</f>
        <v>500146834</v>
      </c>
    </row>
    <row r="58" spans="1:30" x14ac:dyDescent="0.35">
      <c r="C58" s="25"/>
      <c r="D58" s="25"/>
      <c r="E58" s="25"/>
      <c r="F58" s="25"/>
      <c r="G58" s="25"/>
      <c r="H58" s="25"/>
      <c r="I58" s="25"/>
      <c r="J58" s="25"/>
      <c r="K58" s="25"/>
      <c r="L58" s="25"/>
      <c r="M58" s="25"/>
      <c r="N58" s="25"/>
      <c r="O58" s="25"/>
      <c r="P58" s="25"/>
      <c r="Q58" s="25"/>
      <c r="R58" s="25"/>
      <c r="S58" s="25"/>
      <c r="T58" s="25"/>
      <c r="U58" s="25"/>
      <c r="V58" s="25"/>
      <c r="W58" s="25"/>
      <c r="X58" s="25"/>
      <c r="Y58" s="25"/>
      <c r="Z58" s="25"/>
    </row>
  </sheetData>
  <mergeCells count="28">
    <mergeCell ref="A47:A50"/>
    <mergeCell ref="AD47:AD50"/>
    <mergeCell ref="A51:A54"/>
    <mergeCell ref="AD51:AD54"/>
    <mergeCell ref="A35:A38"/>
    <mergeCell ref="AD35:AD38"/>
    <mergeCell ref="A39:A42"/>
    <mergeCell ref="AD39:AD42"/>
    <mergeCell ref="A43:A46"/>
    <mergeCell ref="AD43:AD46"/>
    <mergeCell ref="A23:A26"/>
    <mergeCell ref="AD23:AD26"/>
    <mergeCell ref="A27:A30"/>
    <mergeCell ref="AD27:AD30"/>
    <mergeCell ref="A31:A34"/>
    <mergeCell ref="AD31:AD34"/>
    <mergeCell ref="A11:A14"/>
    <mergeCell ref="AD11:AD14"/>
    <mergeCell ref="A15:A18"/>
    <mergeCell ref="AD15:AD18"/>
    <mergeCell ref="A19:A22"/>
    <mergeCell ref="AD19:AD22"/>
    <mergeCell ref="AD7:AD10"/>
    <mergeCell ref="A1:D1"/>
    <mergeCell ref="A2:M2"/>
    <mergeCell ref="A4:B4"/>
    <mergeCell ref="C4:D4"/>
    <mergeCell ref="A7:A10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9E325E-C0C8-4F08-B710-DD714736A8A4}">
  <sheetPr>
    <tabColor rgb="FF92D050"/>
  </sheetPr>
  <dimension ref="C1:I22"/>
  <sheetViews>
    <sheetView showGridLines="0" topLeftCell="A5" workbookViewId="0">
      <selection activeCell="C1" sqref="C1:G18"/>
    </sheetView>
  </sheetViews>
  <sheetFormatPr baseColWidth="10" defaultRowHeight="14.5" x14ac:dyDescent="0.35"/>
  <cols>
    <col min="2" max="2" width="2.54296875" customWidth="1"/>
    <col min="4" max="4" width="15.1796875" customWidth="1"/>
    <col min="5" max="5" width="15.1796875" bestFit="1" customWidth="1"/>
    <col min="6" max="6" width="12.54296875" customWidth="1"/>
    <col min="8" max="8" width="2" customWidth="1"/>
    <col min="9" max="9" width="14.1796875" bestFit="1" customWidth="1"/>
  </cols>
  <sheetData>
    <row r="1" spans="3:7" ht="14.5" customHeight="1" x14ac:dyDescent="0.35">
      <c r="C1" s="77" t="s">
        <v>44</v>
      </c>
      <c r="D1" s="77"/>
      <c r="E1" s="77"/>
      <c r="F1" s="77"/>
      <c r="G1" s="77"/>
    </row>
    <row r="2" spans="3:7" x14ac:dyDescent="0.35">
      <c r="C2" s="77"/>
      <c r="D2" s="77"/>
      <c r="E2" s="77"/>
      <c r="F2" s="77"/>
      <c r="G2" s="77"/>
    </row>
    <row r="3" spans="3:7" ht="15" thickBot="1" x14ac:dyDescent="0.4"/>
    <row r="4" spans="3:7" ht="15" thickBot="1" x14ac:dyDescent="0.4">
      <c r="C4" s="117" t="s">
        <v>51</v>
      </c>
      <c r="D4" s="118"/>
      <c r="E4" s="118"/>
      <c r="F4" s="118"/>
      <c r="G4" s="119"/>
    </row>
    <row r="5" spans="3:7" ht="32" thickBot="1" x14ac:dyDescent="0.4">
      <c r="C5" s="23" t="s">
        <v>0</v>
      </c>
      <c r="D5" s="23" t="s">
        <v>5</v>
      </c>
      <c r="E5" s="23" t="s">
        <v>1</v>
      </c>
      <c r="F5" s="55" t="s">
        <v>6</v>
      </c>
      <c r="G5" s="55" t="s">
        <v>2</v>
      </c>
    </row>
    <row r="6" spans="3:7" x14ac:dyDescent="0.35">
      <c r="C6" s="61">
        <v>47849</v>
      </c>
      <c r="D6" s="62">
        <f>+VLOOKUP(C6,'PLANA P9'!$A$4:$AD$55,30,FALSE)</f>
        <v>37200000</v>
      </c>
      <c r="E6" s="137" t="s">
        <v>1</v>
      </c>
      <c r="F6" s="63"/>
      <c r="G6" s="138" t="s">
        <v>3</v>
      </c>
    </row>
    <row r="7" spans="3:7" x14ac:dyDescent="0.35">
      <c r="C7" s="3">
        <v>47880</v>
      </c>
      <c r="D7" s="4">
        <f>+VLOOKUP(C7,'PLANA P9'!$A$4:$AD$55,30,FALSE)</f>
        <v>33600000</v>
      </c>
      <c r="E7" s="97"/>
      <c r="F7" s="1"/>
      <c r="G7" s="100"/>
    </row>
    <row r="8" spans="3:7" x14ac:dyDescent="0.35">
      <c r="C8" s="3">
        <v>47908</v>
      </c>
      <c r="D8" s="4">
        <f>+VLOOKUP(C8,'PLANA P9'!$A$4:$AD$55,30,FALSE)</f>
        <v>37200000</v>
      </c>
      <c r="E8" s="97"/>
      <c r="F8" s="1"/>
      <c r="G8" s="100"/>
    </row>
    <row r="9" spans="3:7" x14ac:dyDescent="0.35">
      <c r="C9" s="3">
        <v>47939</v>
      </c>
      <c r="D9" s="4">
        <f>+VLOOKUP(C9,'PLANA P9'!$A$4:$AD$55,30,FALSE)</f>
        <v>36000000</v>
      </c>
      <c r="E9" s="97"/>
      <c r="F9" s="1"/>
      <c r="G9" s="100"/>
    </row>
    <row r="10" spans="3:7" x14ac:dyDescent="0.35">
      <c r="C10" s="3">
        <v>47969</v>
      </c>
      <c r="D10" s="4">
        <f>+VLOOKUP(C10,'PLANA P9'!$A$4:$AD$55,30,FALSE)</f>
        <v>37200000</v>
      </c>
      <c r="E10" s="97"/>
      <c r="F10" s="1"/>
      <c r="G10" s="100"/>
    </row>
    <row r="11" spans="3:7" x14ac:dyDescent="0.35">
      <c r="C11" s="3">
        <v>48000</v>
      </c>
      <c r="D11" s="4">
        <f>+VLOOKUP(C11,'PLANA P9'!$A$4:$AD$55,30,FALSE)</f>
        <v>36000000</v>
      </c>
      <c r="E11" s="97"/>
      <c r="F11" s="1"/>
      <c r="G11" s="100"/>
    </row>
    <row r="12" spans="3:7" x14ac:dyDescent="0.35">
      <c r="C12" s="3">
        <v>48030</v>
      </c>
      <c r="D12" s="4">
        <f>+VLOOKUP(C12,'PLANA P9'!$A$4:$AD$55,30,FALSE)</f>
        <v>37200000</v>
      </c>
      <c r="E12" s="97"/>
      <c r="F12" s="1"/>
      <c r="G12" s="100"/>
    </row>
    <row r="13" spans="3:7" x14ac:dyDescent="0.35">
      <c r="C13" s="3">
        <v>48061</v>
      </c>
      <c r="D13" s="4">
        <f>+VLOOKUP(C13,'PLANA P9'!$A$4:$AD$55,30,FALSE)</f>
        <v>37200000</v>
      </c>
      <c r="E13" s="97"/>
      <c r="F13" s="1"/>
      <c r="G13" s="100"/>
    </row>
    <row r="14" spans="3:7" x14ac:dyDescent="0.35">
      <c r="C14" s="3">
        <v>48092</v>
      </c>
      <c r="D14" s="4">
        <f>+VLOOKUP(C14,'PLANA P9'!$A$4:$AD$55,30,FALSE)</f>
        <v>36000000</v>
      </c>
      <c r="E14" s="97"/>
      <c r="F14" s="1"/>
      <c r="G14" s="100"/>
    </row>
    <row r="15" spans="3:7" x14ac:dyDescent="0.35">
      <c r="C15" s="3">
        <v>48122</v>
      </c>
      <c r="D15" s="4">
        <f>+VLOOKUP(C15,'PLANA P9'!$A$4:$AD$55,30,FALSE)</f>
        <v>37200000</v>
      </c>
      <c r="E15" s="97"/>
      <c r="F15" s="1"/>
      <c r="G15" s="100"/>
    </row>
    <row r="16" spans="3:7" x14ac:dyDescent="0.35">
      <c r="C16" s="3">
        <v>48153</v>
      </c>
      <c r="D16" s="4">
        <f>+VLOOKUP(C16,'PLANA P9'!$A$4:$AD$55,30,FALSE)</f>
        <v>36000000</v>
      </c>
      <c r="E16" s="97"/>
      <c r="F16" s="1"/>
      <c r="G16" s="100"/>
    </row>
    <row r="17" spans="3:9" ht="15" thickBot="1" x14ac:dyDescent="0.4">
      <c r="C17" s="5">
        <v>48183</v>
      </c>
      <c r="D17" s="6">
        <f>+VLOOKUP(C17,'PLANA P9'!$A$4:$AD$55,30,FALSE)</f>
        <v>37200000</v>
      </c>
      <c r="E17" s="98"/>
      <c r="F17" s="7"/>
      <c r="G17" s="101"/>
    </row>
    <row r="18" spans="3:9" ht="15" thickBot="1" x14ac:dyDescent="0.4">
      <c r="D18" s="26">
        <f>SUM(D6:D17)</f>
        <v>438000000</v>
      </c>
    </row>
    <row r="19" spans="3:9" x14ac:dyDescent="0.35">
      <c r="D19" s="21"/>
      <c r="I19" s="22"/>
    </row>
    <row r="20" spans="3:9" x14ac:dyDescent="0.35">
      <c r="D20" s="19">
        <f>D18/1000000</f>
        <v>438</v>
      </c>
      <c r="I20" s="22"/>
    </row>
    <row r="21" spans="3:9" x14ac:dyDescent="0.35">
      <c r="D21" s="8">
        <f>D20*1000</f>
        <v>438000</v>
      </c>
      <c r="I21" s="22"/>
    </row>
    <row r="22" spans="3:9" x14ac:dyDescent="0.35">
      <c r="I22" s="8"/>
    </row>
  </sheetData>
  <mergeCells count="4">
    <mergeCell ref="C1:G2"/>
    <mergeCell ref="C4:G4"/>
    <mergeCell ref="E6:E17"/>
    <mergeCell ref="G6:G17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1D9DE6-029A-4E8C-B79C-B62D288F13A9}">
  <dimension ref="A1:AD58"/>
  <sheetViews>
    <sheetView showGridLines="0" topLeftCell="N41" zoomScaleNormal="100" workbookViewId="0">
      <selection activeCell="Y51" sqref="Y51"/>
    </sheetView>
  </sheetViews>
  <sheetFormatPr baseColWidth="10" defaultRowHeight="14.5" x14ac:dyDescent="0.35"/>
  <cols>
    <col min="1" max="1" width="7.26953125" bestFit="1" customWidth="1"/>
    <col min="2" max="2" width="8" bestFit="1" customWidth="1"/>
    <col min="3" max="3" width="9.90625" bestFit="1" customWidth="1"/>
    <col min="4" max="19" width="9" bestFit="1" customWidth="1"/>
    <col min="20" max="26" width="9.90625" bestFit="1" customWidth="1"/>
    <col min="27" max="27" width="9" bestFit="1" customWidth="1"/>
    <col min="28" max="28" width="10.453125" bestFit="1" customWidth="1"/>
    <col min="29" max="29" width="11" bestFit="1" customWidth="1"/>
    <col min="30" max="30" width="12" bestFit="1" customWidth="1"/>
  </cols>
  <sheetData>
    <row r="1" spans="1:30" x14ac:dyDescent="0.35">
      <c r="A1" s="123" t="s">
        <v>8</v>
      </c>
      <c r="B1" s="123"/>
      <c r="C1" s="123"/>
      <c r="D1" s="123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</row>
    <row r="2" spans="1:30" x14ac:dyDescent="0.35">
      <c r="A2" s="124" t="s">
        <v>43</v>
      </c>
      <c r="B2" s="124"/>
      <c r="C2" s="124"/>
      <c r="D2" s="124"/>
      <c r="E2" s="124"/>
      <c r="F2" s="124"/>
      <c r="G2" s="124"/>
      <c r="H2" s="124"/>
      <c r="I2" s="124"/>
      <c r="J2" s="124"/>
      <c r="K2" s="124"/>
      <c r="L2" s="124"/>
      <c r="M2" s="124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  <c r="AA2" s="20"/>
      <c r="AB2" s="20"/>
      <c r="AC2" s="20"/>
      <c r="AD2" s="20"/>
    </row>
    <row r="3" spans="1:30" x14ac:dyDescent="0.35">
      <c r="A3" s="20"/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  <c r="AC3" s="20"/>
      <c r="AD3" s="20"/>
    </row>
    <row r="4" spans="1:30" x14ac:dyDescent="0.35">
      <c r="A4" s="87" t="s">
        <v>9</v>
      </c>
      <c r="B4" s="87"/>
      <c r="C4" s="88">
        <f>+AD55</f>
        <v>438000000</v>
      </c>
      <c r="D4" s="8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</row>
    <row r="5" spans="1:30" x14ac:dyDescent="0.35">
      <c r="A5" s="9" t="s">
        <v>0</v>
      </c>
      <c r="B5" s="10" t="s">
        <v>10</v>
      </c>
      <c r="C5" s="9" t="s">
        <v>11</v>
      </c>
      <c r="D5" s="9" t="s">
        <v>12</v>
      </c>
      <c r="E5" s="9" t="s">
        <v>13</v>
      </c>
      <c r="F5" s="9" t="s">
        <v>14</v>
      </c>
      <c r="G5" s="9" t="s">
        <v>15</v>
      </c>
      <c r="H5" s="9" t="s">
        <v>16</v>
      </c>
      <c r="I5" s="9" t="s">
        <v>17</v>
      </c>
      <c r="J5" s="9" t="s">
        <v>18</v>
      </c>
      <c r="K5" s="9" t="s">
        <v>19</v>
      </c>
      <c r="L5" s="9" t="s">
        <v>20</v>
      </c>
      <c r="M5" s="9" t="s">
        <v>21</v>
      </c>
      <c r="N5" s="9" t="s">
        <v>22</v>
      </c>
      <c r="O5" s="9" t="s">
        <v>23</v>
      </c>
      <c r="P5" s="9" t="s">
        <v>24</v>
      </c>
      <c r="Q5" s="9" t="s">
        <v>25</v>
      </c>
      <c r="R5" s="9" t="s">
        <v>26</v>
      </c>
      <c r="S5" s="9" t="s">
        <v>27</v>
      </c>
      <c r="T5" s="9" t="s">
        <v>28</v>
      </c>
      <c r="U5" s="9" t="s">
        <v>29</v>
      </c>
      <c r="V5" s="9" t="s">
        <v>30</v>
      </c>
      <c r="W5" s="9" t="s">
        <v>31</v>
      </c>
      <c r="X5" s="9" t="s">
        <v>32</v>
      </c>
      <c r="Y5" s="9" t="s">
        <v>33</v>
      </c>
      <c r="Z5" s="9" t="s">
        <v>34</v>
      </c>
      <c r="AA5" s="9" t="s">
        <v>35</v>
      </c>
      <c r="AB5" s="9" t="s">
        <v>36</v>
      </c>
      <c r="AC5" s="9" t="s">
        <v>37</v>
      </c>
      <c r="AD5" s="9" t="s">
        <v>38</v>
      </c>
    </row>
    <row r="6" spans="1:30" hidden="1" x14ac:dyDescent="0.35">
      <c r="A6" s="52"/>
      <c r="B6" s="56"/>
      <c r="C6" s="52"/>
      <c r="D6" s="52"/>
      <c r="E6" s="52"/>
      <c r="F6" s="52"/>
      <c r="G6" s="52"/>
      <c r="H6" s="52"/>
      <c r="I6" s="52"/>
      <c r="J6" s="52"/>
      <c r="K6" s="52"/>
      <c r="L6" s="52"/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X6" s="52"/>
      <c r="Y6" s="52"/>
      <c r="Z6" s="52"/>
      <c r="AA6" s="52"/>
      <c r="AB6" s="52"/>
      <c r="AC6" s="52"/>
      <c r="AD6" s="52"/>
    </row>
    <row r="7" spans="1:30" x14ac:dyDescent="0.35">
      <c r="A7" s="108">
        <v>47849</v>
      </c>
      <c r="B7" s="57" t="s">
        <v>39</v>
      </c>
      <c r="C7" s="58">
        <v>50000</v>
      </c>
      <c r="D7" s="58">
        <v>50000</v>
      </c>
      <c r="E7" s="58">
        <v>50000</v>
      </c>
      <c r="F7" s="58">
        <v>50000</v>
      </c>
      <c r="G7" s="58">
        <v>50000</v>
      </c>
      <c r="H7" s="58">
        <v>50000</v>
      </c>
      <c r="I7" s="58">
        <v>50000</v>
      </c>
      <c r="J7" s="58">
        <v>50000</v>
      </c>
      <c r="K7" s="58">
        <v>50000</v>
      </c>
      <c r="L7" s="58">
        <v>50000</v>
      </c>
      <c r="M7" s="58">
        <v>50000</v>
      </c>
      <c r="N7" s="58">
        <v>50000</v>
      </c>
      <c r="O7" s="58">
        <v>50000</v>
      </c>
      <c r="P7" s="58">
        <v>50000</v>
      </c>
      <c r="Q7" s="58">
        <v>50000</v>
      </c>
      <c r="R7" s="58">
        <v>50000</v>
      </c>
      <c r="S7" s="58">
        <v>50000</v>
      </c>
      <c r="T7" s="58">
        <v>50000</v>
      </c>
      <c r="U7" s="58">
        <v>50000</v>
      </c>
      <c r="V7" s="58">
        <v>50000</v>
      </c>
      <c r="W7" s="58">
        <v>50000</v>
      </c>
      <c r="X7" s="58">
        <v>50000</v>
      </c>
      <c r="Y7" s="58">
        <v>50000</v>
      </c>
      <c r="Z7" s="58">
        <v>50000</v>
      </c>
      <c r="AA7" s="58">
        <f>SUM(C7:Z7)</f>
        <v>1200000</v>
      </c>
      <c r="AB7" s="53">
        <v>21</v>
      </c>
      <c r="AC7" s="58">
        <f>+AA7*AB7</f>
        <v>25200000</v>
      </c>
      <c r="AD7" s="111">
        <f>+SUM(AC7:AC10)</f>
        <v>37200000</v>
      </c>
    </row>
    <row r="8" spans="1:30" x14ac:dyDescent="0.35">
      <c r="A8" s="109"/>
      <c r="B8" s="59" t="s">
        <v>40</v>
      </c>
      <c r="C8" s="58">
        <v>50000</v>
      </c>
      <c r="D8" s="58">
        <v>50000</v>
      </c>
      <c r="E8" s="58">
        <v>50000</v>
      </c>
      <c r="F8" s="58">
        <v>50000</v>
      </c>
      <c r="G8" s="58">
        <v>50000</v>
      </c>
      <c r="H8" s="58">
        <v>50000</v>
      </c>
      <c r="I8" s="58">
        <v>50000</v>
      </c>
      <c r="J8" s="58">
        <v>50000</v>
      </c>
      <c r="K8" s="58">
        <v>50000</v>
      </c>
      <c r="L8" s="58">
        <v>50000</v>
      </c>
      <c r="M8" s="58">
        <v>50000</v>
      </c>
      <c r="N8" s="58">
        <v>50000</v>
      </c>
      <c r="O8" s="58">
        <v>50000</v>
      </c>
      <c r="P8" s="58">
        <v>50000</v>
      </c>
      <c r="Q8" s="58">
        <v>50000</v>
      </c>
      <c r="R8" s="58">
        <v>50000</v>
      </c>
      <c r="S8" s="58">
        <v>50000</v>
      </c>
      <c r="T8" s="58">
        <v>50000</v>
      </c>
      <c r="U8" s="58">
        <v>50000</v>
      </c>
      <c r="V8" s="58">
        <v>50000</v>
      </c>
      <c r="W8" s="58">
        <v>50000</v>
      </c>
      <c r="X8" s="58">
        <v>50000</v>
      </c>
      <c r="Y8" s="58">
        <v>50000</v>
      </c>
      <c r="Z8" s="58">
        <v>50000</v>
      </c>
      <c r="AA8" s="58">
        <f t="shared" ref="AA8:AA54" si="0">SUM(C8:Z8)</f>
        <v>1200000</v>
      </c>
      <c r="AB8" s="53">
        <v>4</v>
      </c>
      <c r="AC8" s="58">
        <f t="shared" ref="AC8:AC54" si="1">+AA8*AB8</f>
        <v>4800000</v>
      </c>
      <c r="AD8" s="112"/>
    </row>
    <row r="9" spans="1:30" x14ac:dyDescent="0.35">
      <c r="A9" s="109"/>
      <c r="B9" s="59" t="s">
        <v>41</v>
      </c>
      <c r="C9" s="58">
        <v>50000</v>
      </c>
      <c r="D9" s="58">
        <v>50000</v>
      </c>
      <c r="E9" s="58">
        <v>50000</v>
      </c>
      <c r="F9" s="58">
        <v>50000</v>
      </c>
      <c r="G9" s="58">
        <v>50000</v>
      </c>
      <c r="H9" s="58">
        <v>50000</v>
      </c>
      <c r="I9" s="58">
        <v>50000</v>
      </c>
      <c r="J9" s="58">
        <v>50000</v>
      </c>
      <c r="K9" s="58">
        <v>50000</v>
      </c>
      <c r="L9" s="58">
        <v>50000</v>
      </c>
      <c r="M9" s="58">
        <v>50000</v>
      </c>
      <c r="N9" s="58">
        <v>50000</v>
      </c>
      <c r="O9" s="58">
        <v>50000</v>
      </c>
      <c r="P9" s="58">
        <v>50000</v>
      </c>
      <c r="Q9" s="58">
        <v>50000</v>
      </c>
      <c r="R9" s="58">
        <v>50000</v>
      </c>
      <c r="S9" s="58">
        <v>50000</v>
      </c>
      <c r="T9" s="58">
        <v>50000</v>
      </c>
      <c r="U9" s="58">
        <v>50000</v>
      </c>
      <c r="V9" s="58">
        <v>50000</v>
      </c>
      <c r="W9" s="58">
        <v>50000</v>
      </c>
      <c r="X9" s="58">
        <v>50000</v>
      </c>
      <c r="Y9" s="58">
        <v>50000</v>
      </c>
      <c r="Z9" s="58">
        <v>50000</v>
      </c>
      <c r="AA9" s="58">
        <f t="shared" si="0"/>
        <v>1200000</v>
      </c>
      <c r="AB9" s="53">
        <v>4</v>
      </c>
      <c r="AC9" s="58">
        <f t="shared" si="1"/>
        <v>4800000</v>
      </c>
      <c r="AD9" s="112"/>
    </row>
    <row r="10" spans="1:30" x14ac:dyDescent="0.35">
      <c r="A10" s="110"/>
      <c r="B10" s="60" t="s">
        <v>42</v>
      </c>
      <c r="C10" s="58">
        <v>50000</v>
      </c>
      <c r="D10" s="58">
        <v>50000</v>
      </c>
      <c r="E10" s="58">
        <v>50000</v>
      </c>
      <c r="F10" s="58">
        <v>50000</v>
      </c>
      <c r="G10" s="58">
        <v>50000</v>
      </c>
      <c r="H10" s="58">
        <v>50000</v>
      </c>
      <c r="I10" s="58">
        <v>50000</v>
      </c>
      <c r="J10" s="58">
        <v>50000</v>
      </c>
      <c r="K10" s="58">
        <v>50000</v>
      </c>
      <c r="L10" s="58">
        <v>50000</v>
      </c>
      <c r="M10" s="58">
        <v>50000</v>
      </c>
      <c r="N10" s="58">
        <v>50000</v>
      </c>
      <c r="O10" s="58">
        <v>50000</v>
      </c>
      <c r="P10" s="58">
        <v>50000</v>
      </c>
      <c r="Q10" s="58">
        <v>50000</v>
      </c>
      <c r="R10" s="58">
        <v>50000</v>
      </c>
      <c r="S10" s="58">
        <v>50000</v>
      </c>
      <c r="T10" s="58">
        <v>50000</v>
      </c>
      <c r="U10" s="58">
        <v>50000</v>
      </c>
      <c r="V10" s="58">
        <v>50000</v>
      </c>
      <c r="W10" s="58">
        <v>50000</v>
      </c>
      <c r="X10" s="58">
        <v>50000</v>
      </c>
      <c r="Y10" s="58">
        <v>50000</v>
      </c>
      <c r="Z10" s="58">
        <v>50000</v>
      </c>
      <c r="AA10" s="58">
        <f t="shared" si="0"/>
        <v>1200000</v>
      </c>
      <c r="AB10" s="53">
        <v>2</v>
      </c>
      <c r="AC10" s="58">
        <f t="shared" si="1"/>
        <v>2400000</v>
      </c>
      <c r="AD10" s="113"/>
    </row>
    <row r="11" spans="1:30" x14ac:dyDescent="0.35">
      <c r="A11" s="108">
        <v>47880</v>
      </c>
      <c r="B11" s="57" t="s">
        <v>39</v>
      </c>
      <c r="C11" s="58">
        <v>50000</v>
      </c>
      <c r="D11" s="58">
        <v>50000</v>
      </c>
      <c r="E11" s="58">
        <v>50000</v>
      </c>
      <c r="F11" s="58">
        <v>50000</v>
      </c>
      <c r="G11" s="58">
        <v>50000</v>
      </c>
      <c r="H11" s="58">
        <v>50000</v>
      </c>
      <c r="I11" s="58">
        <v>50000</v>
      </c>
      <c r="J11" s="58">
        <v>50000</v>
      </c>
      <c r="K11" s="58">
        <v>50000</v>
      </c>
      <c r="L11" s="58">
        <v>50000</v>
      </c>
      <c r="M11" s="58">
        <v>50000</v>
      </c>
      <c r="N11" s="58">
        <v>50000</v>
      </c>
      <c r="O11" s="58">
        <v>50000</v>
      </c>
      <c r="P11" s="58">
        <v>50000</v>
      </c>
      <c r="Q11" s="58">
        <v>50000</v>
      </c>
      <c r="R11" s="58">
        <v>50000</v>
      </c>
      <c r="S11" s="58">
        <v>50000</v>
      </c>
      <c r="T11" s="58">
        <v>50000</v>
      </c>
      <c r="U11" s="58">
        <v>50000</v>
      </c>
      <c r="V11" s="58">
        <v>50000</v>
      </c>
      <c r="W11" s="58">
        <v>50000</v>
      </c>
      <c r="X11" s="58">
        <v>50000</v>
      </c>
      <c r="Y11" s="58">
        <v>50000</v>
      </c>
      <c r="Z11" s="58">
        <v>50000</v>
      </c>
      <c r="AA11" s="58">
        <f t="shared" si="0"/>
        <v>1200000</v>
      </c>
      <c r="AB11" s="53">
        <v>20</v>
      </c>
      <c r="AC11" s="58">
        <f t="shared" si="1"/>
        <v>24000000</v>
      </c>
      <c r="AD11" s="111">
        <f>+SUM(AC11:AC14)</f>
        <v>33600000</v>
      </c>
    </row>
    <row r="12" spans="1:30" x14ac:dyDescent="0.35">
      <c r="A12" s="109"/>
      <c r="B12" s="59" t="s">
        <v>40</v>
      </c>
      <c r="C12" s="58">
        <v>50000</v>
      </c>
      <c r="D12" s="58">
        <v>50000</v>
      </c>
      <c r="E12" s="58">
        <v>50000</v>
      </c>
      <c r="F12" s="58">
        <v>50000</v>
      </c>
      <c r="G12" s="58">
        <v>50000</v>
      </c>
      <c r="H12" s="58">
        <v>50000</v>
      </c>
      <c r="I12" s="58">
        <v>50000</v>
      </c>
      <c r="J12" s="58">
        <v>50000</v>
      </c>
      <c r="K12" s="58">
        <v>50000</v>
      </c>
      <c r="L12" s="58">
        <v>50000</v>
      </c>
      <c r="M12" s="58">
        <v>50000</v>
      </c>
      <c r="N12" s="58">
        <v>50000</v>
      </c>
      <c r="O12" s="58">
        <v>50000</v>
      </c>
      <c r="P12" s="58">
        <v>50000</v>
      </c>
      <c r="Q12" s="58">
        <v>50000</v>
      </c>
      <c r="R12" s="58">
        <v>50000</v>
      </c>
      <c r="S12" s="58">
        <v>50000</v>
      </c>
      <c r="T12" s="58">
        <v>50000</v>
      </c>
      <c r="U12" s="58">
        <v>50000</v>
      </c>
      <c r="V12" s="58">
        <v>50000</v>
      </c>
      <c r="W12" s="58">
        <v>50000</v>
      </c>
      <c r="X12" s="58">
        <v>50000</v>
      </c>
      <c r="Y12" s="58">
        <v>50000</v>
      </c>
      <c r="Z12" s="58">
        <v>50000</v>
      </c>
      <c r="AA12" s="58">
        <f t="shared" si="0"/>
        <v>1200000</v>
      </c>
      <c r="AB12" s="53">
        <v>4</v>
      </c>
      <c r="AC12" s="58">
        <f t="shared" si="1"/>
        <v>4800000</v>
      </c>
      <c r="AD12" s="112"/>
    </row>
    <row r="13" spans="1:30" x14ac:dyDescent="0.35">
      <c r="A13" s="109"/>
      <c r="B13" s="59" t="s">
        <v>41</v>
      </c>
      <c r="C13" s="58">
        <v>50000</v>
      </c>
      <c r="D13" s="58">
        <v>50000</v>
      </c>
      <c r="E13" s="58">
        <v>50000</v>
      </c>
      <c r="F13" s="58">
        <v>50000</v>
      </c>
      <c r="G13" s="58">
        <v>50000</v>
      </c>
      <c r="H13" s="58">
        <v>50000</v>
      </c>
      <c r="I13" s="58">
        <v>50000</v>
      </c>
      <c r="J13" s="58">
        <v>50000</v>
      </c>
      <c r="K13" s="58">
        <v>50000</v>
      </c>
      <c r="L13" s="58">
        <v>50000</v>
      </c>
      <c r="M13" s="58">
        <v>50000</v>
      </c>
      <c r="N13" s="58">
        <v>50000</v>
      </c>
      <c r="O13" s="58">
        <v>50000</v>
      </c>
      <c r="P13" s="58">
        <v>50000</v>
      </c>
      <c r="Q13" s="58">
        <v>50000</v>
      </c>
      <c r="R13" s="58">
        <v>50000</v>
      </c>
      <c r="S13" s="58">
        <v>50000</v>
      </c>
      <c r="T13" s="58">
        <v>50000</v>
      </c>
      <c r="U13" s="58">
        <v>50000</v>
      </c>
      <c r="V13" s="58">
        <v>50000</v>
      </c>
      <c r="W13" s="58">
        <v>50000</v>
      </c>
      <c r="X13" s="58">
        <v>50000</v>
      </c>
      <c r="Y13" s="58">
        <v>50000</v>
      </c>
      <c r="Z13" s="58">
        <v>50000</v>
      </c>
      <c r="AA13" s="58">
        <f t="shared" si="0"/>
        <v>1200000</v>
      </c>
      <c r="AB13" s="53">
        <v>4</v>
      </c>
      <c r="AC13" s="58">
        <f t="shared" si="1"/>
        <v>4800000</v>
      </c>
      <c r="AD13" s="112"/>
    </row>
    <row r="14" spans="1:30" x14ac:dyDescent="0.35">
      <c r="A14" s="110"/>
      <c r="B14" s="60" t="s">
        <v>42</v>
      </c>
      <c r="C14" s="58"/>
      <c r="D14" s="58"/>
      <c r="E14" s="58"/>
      <c r="F14" s="58"/>
      <c r="G14" s="58"/>
      <c r="H14" s="58"/>
      <c r="I14" s="58"/>
      <c r="J14" s="58"/>
      <c r="K14" s="58"/>
      <c r="L14" s="58"/>
      <c r="M14" s="58"/>
      <c r="N14" s="58"/>
      <c r="O14" s="58"/>
      <c r="P14" s="58"/>
      <c r="Q14" s="58"/>
      <c r="R14" s="58"/>
      <c r="S14" s="58"/>
      <c r="T14" s="58"/>
      <c r="U14" s="58"/>
      <c r="V14" s="58"/>
      <c r="W14" s="58"/>
      <c r="X14" s="58"/>
      <c r="Y14" s="58"/>
      <c r="Z14" s="58"/>
      <c r="AA14" s="58">
        <f t="shared" si="0"/>
        <v>0</v>
      </c>
      <c r="AB14" s="53">
        <v>0</v>
      </c>
      <c r="AC14" s="58">
        <f t="shared" si="1"/>
        <v>0</v>
      </c>
      <c r="AD14" s="113"/>
    </row>
    <row r="15" spans="1:30" x14ac:dyDescent="0.35">
      <c r="A15" s="108">
        <v>47908</v>
      </c>
      <c r="B15" s="57" t="s">
        <v>39</v>
      </c>
      <c r="C15" s="58">
        <v>50000</v>
      </c>
      <c r="D15" s="58">
        <v>50000</v>
      </c>
      <c r="E15" s="58">
        <v>50000</v>
      </c>
      <c r="F15" s="58">
        <v>50000</v>
      </c>
      <c r="G15" s="58">
        <v>50000</v>
      </c>
      <c r="H15" s="58">
        <v>50000</v>
      </c>
      <c r="I15" s="58">
        <v>50000</v>
      </c>
      <c r="J15" s="58">
        <v>50000</v>
      </c>
      <c r="K15" s="58">
        <v>50000</v>
      </c>
      <c r="L15" s="58">
        <v>50000</v>
      </c>
      <c r="M15" s="58">
        <v>50000</v>
      </c>
      <c r="N15" s="58">
        <v>50000</v>
      </c>
      <c r="O15" s="58">
        <v>50000</v>
      </c>
      <c r="P15" s="58">
        <v>50000</v>
      </c>
      <c r="Q15" s="58">
        <v>50000</v>
      </c>
      <c r="R15" s="58">
        <v>50000</v>
      </c>
      <c r="S15" s="58">
        <v>50000</v>
      </c>
      <c r="T15" s="58">
        <v>50000</v>
      </c>
      <c r="U15" s="58">
        <v>50000</v>
      </c>
      <c r="V15" s="58">
        <v>50000</v>
      </c>
      <c r="W15" s="58">
        <v>50000</v>
      </c>
      <c r="X15" s="58">
        <v>50000</v>
      </c>
      <c r="Y15" s="58">
        <v>50000</v>
      </c>
      <c r="Z15" s="58">
        <v>50000</v>
      </c>
      <c r="AA15" s="58">
        <f t="shared" si="0"/>
        <v>1200000</v>
      </c>
      <c r="AB15" s="53">
        <v>20</v>
      </c>
      <c r="AC15" s="58">
        <f t="shared" si="1"/>
        <v>24000000</v>
      </c>
      <c r="AD15" s="111">
        <f>+SUM(AC15:AC18)</f>
        <v>37200000</v>
      </c>
    </row>
    <row r="16" spans="1:30" x14ac:dyDescent="0.35">
      <c r="A16" s="109"/>
      <c r="B16" s="59" t="s">
        <v>40</v>
      </c>
      <c r="C16" s="58">
        <v>50000</v>
      </c>
      <c r="D16" s="58">
        <v>50000</v>
      </c>
      <c r="E16" s="58">
        <v>50000</v>
      </c>
      <c r="F16" s="58">
        <v>50000</v>
      </c>
      <c r="G16" s="58">
        <v>50000</v>
      </c>
      <c r="H16" s="58">
        <v>50000</v>
      </c>
      <c r="I16" s="58">
        <v>50000</v>
      </c>
      <c r="J16" s="58">
        <v>50000</v>
      </c>
      <c r="K16" s="58">
        <v>50000</v>
      </c>
      <c r="L16" s="58">
        <v>50000</v>
      </c>
      <c r="M16" s="58">
        <v>50000</v>
      </c>
      <c r="N16" s="58">
        <v>50000</v>
      </c>
      <c r="O16" s="58">
        <v>50000</v>
      </c>
      <c r="P16" s="58">
        <v>50000</v>
      </c>
      <c r="Q16" s="58">
        <v>50000</v>
      </c>
      <c r="R16" s="58">
        <v>50000</v>
      </c>
      <c r="S16" s="58">
        <v>50000</v>
      </c>
      <c r="T16" s="58">
        <v>50000</v>
      </c>
      <c r="U16" s="58">
        <v>50000</v>
      </c>
      <c r="V16" s="58">
        <v>50000</v>
      </c>
      <c r="W16" s="58">
        <v>50000</v>
      </c>
      <c r="X16" s="58">
        <v>50000</v>
      </c>
      <c r="Y16" s="58">
        <v>50000</v>
      </c>
      <c r="Z16" s="58">
        <v>50000</v>
      </c>
      <c r="AA16" s="58">
        <f t="shared" si="0"/>
        <v>1200000</v>
      </c>
      <c r="AB16" s="53">
        <v>5</v>
      </c>
      <c r="AC16" s="58">
        <f t="shared" si="1"/>
        <v>6000000</v>
      </c>
      <c r="AD16" s="112"/>
    </row>
    <row r="17" spans="1:30" x14ac:dyDescent="0.35">
      <c r="A17" s="109"/>
      <c r="B17" s="59" t="s">
        <v>41</v>
      </c>
      <c r="C17" s="58">
        <v>50000</v>
      </c>
      <c r="D17" s="58">
        <v>50000</v>
      </c>
      <c r="E17" s="58">
        <v>50000</v>
      </c>
      <c r="F17" s="58">
        <v>50000</v>
      </c>
      <c r="G17" s="58">
        <v>50000</v>
      </c>
      <c r="H17" s="58">
        <v>50000</v>
      </c>
      <c r="I17" s="58">
        <v>50000</v>
      </c>
      <c r="J17" s="58">
        <v>50000</v>
      </c>
      <c r="K17" s="58">
        <v>50000</v>
      </c>
      <c r="L17" s="58">
        <v>50000</v>
      </c>
      <c r="M17" s="58">
        <v>50000</v>
      </c>
      <c r="N17" s="58">
        <v>50000</v>
      </c>
      <c r="O17" s="58">
        <v>50000</v>
      </c>
      <c r="P17" s="58">
        <v>50000</v>
      </c>
      <c r="Q17" s="58">
        <v>50000</v>
      </c>
      <c r="R17" s="58">
        <v>50000</v>
      </c>
      <c r="S17" s="58">
        <v>50000</v>
      </c>
      <c r="T17" s="58">
        <v>50000</v>
      </c>
      <c r="U17" s="58">
        <v>50000</v>
      </c>
      <c r="V17" s="58">
        <v>50000</v>
      </c>
      <c r="W17" s="58">
        <v>50000</v>
      </c>
      <c r="X17" s="58">
        <v>50000</v>
      </c>
      <c r="Y17" s="58">
        <v>50000</v>
      </c>
      <c r="Z17" s="58">
        <v>50000</v>
      </c>
      <c r="AA17" s="58">
        <f t="shared" si="0"/>
        <v>1200000</v>
      </c>
      <c r="AB17" s="53">
        <v>5</v>
      </c>
      <c r="AC17" s="58">
        <f t="shared" si="1"/>
        <v>6000000</v>
      </c>
      <c r="AD17" s="112"/>
    </row>
    <row r="18" spans="1:30" x14ac:dyDescent="0.35">
      <c r="A18" s="110"/>
      <c r="B18" s="60" t="s">
        <v>42</v>
      </c>
      <c r="C18" s="58">
        <v>50000</v>
      </c>
      <c r="D18" s="58">
        <v>50000</v>
      </c>
      <c r="E18" s="58">
        <v>50000</v>
      </c>
      <c r="F18" s="58">
        <v>50000</v>
      </c>
      <c r="G18" s="58">
        <v>50000</v>
      </c>
      <c r="H18" s="58">
        <v>50000</v>
      </c>
      <c r="I18" s="58">
        <v>50000</v>
      </c>
      <c r="J18" s="58">
        <v>50000</v>
      </c>
      <c r="K18" s="58">
        <v>50000</v>
      </c>
      <c r="L18" s="58">
        <v>50000</v>
      </c>
      <c r="M18" s="58">
        <v>50000</v>
      </c>
      <c r="N18" s="58">
        <v>50000</v>
      </c>
      <c r="O18" s="58">
        <v>50000</v>
      </c>
      <c r="P18" s="58">
        <v>50000</v>
      </c>
      <c r="Q18" s="58">
        <v>50000</v>
      </c>
      <c r="R18" s="58">
        <v>50000</v>
      </c>
      <c r="S18" s="58">
        <v>50000</v>
      </c>
      <c r="T18" s="58">
        <v>50000</v>
      </c>
      <c r="U18" s="58">
        <v>50000</v>
      </c>
      <c r="V18" s="58">
        <v>50000</v>
      </c>
      <c r="W18" s="58">
        <v>50000</v>
      </c>
      <c r="X18" s="58">
        <v>50000</v>
      </c>
      <c r="Y18" s="58">
        <v>50000</v>
      </c>
      <c r="Z18" s="58">
        <v>50000</v>
      </c>
      <c r="AA18" s="58">
        <f t="shared" si="0"/>
        <v>1200000</v>
      </c>
      <c r="AB18" s="53">
        <v>1</v>
      </c>
      <c r="AC18" s="58">
        <f t="shared" si="1"/>
        <v>1200000</v>
      </c>
      <c r="AD18" s="113"/>
    </row>
    <row r="19" spans="1:30" x14ac:dyDescent="0.35">
      <c r="A19" s="108">
        <v>47939</v>
      </c>
      <c r="B19" s="57" t="s">
        <v>39</v>
      </c>
      <c r="C19" s="58">
        <v>50000</v>
      </c>
      <c r="D19" s="58">
        <v>50000</v>
      </c>
      <c r="E19" s="58">
        <v>50000</v>
      </c>
      <c r="F19" s="58">
        <v>50000</v>
      </c>
      <c r="G19" s="58">
        <v>50000</v>
      </c>
      <c r="H19" s="58">
        <v>50000</v>
      </c>
      <c r="I19" s="58">
        <v>50000</v>
      </c>
      <c r="J19" s="58">
        <v>50000</v>
      </c>
      <c r="K19" s="58">
        <v>50000</v>
      </c>
      <c r="L19" s="58">
        <v>50000</v>
      </c>
      <c r="M19" s="58">
        <v>50000</v>
      </c>
      <c r="N19" s="58">
        <v>50000</v>
      </c>
      <c r="O19" s="58">
        <v>50000</v>
      </c>
      <c r="P19" s="58">
        <v>50000</v>
      </c>
      <c r="Q19" s="58">
        <v>50000</v>
      </c>
      <c r="R19" s="58">
        <v>50000</v>
      </c>
      <c r="S19" s="58">
        <v>50000</v>
      </c>
      <c r="T19" s="58">
        <v>50000</v>
      </c>
      <c r="U19" s="58">
        <v>50000</v>
      </c>
      <c r="V19" s="58">
        <v>50000</v>
      </c>
      <c r="W19" s="58">
        <v>50000</v>
      </c>
      <c r="X19" s="58">
        <v>50000</v>
      </c>
      <c r="Y19" s="58">
        <v>50000</v>
      </c>
      <c r="Z19" s="58">
        <v>50000</v>
      </c>
      <c r="AA19" s="58">
        <f t="shared" si="0"/>
        <v>1200000</v>
      </c>
      <c r="AB19" s="53">
        <v>20</v>
      </c>
      <c r="AC19" s="58">
        <f t="shared" si="1"/>
        <v>24000000</v>
      </c>
      <c r="AD19" s="111">
        <f>+SUM(AC19:AC22)</f>
        <v>36000000</v>
      </c>
    </row>
    <row r="20" spans="1:30" x14ac:dyDescent="0.35">
      <c r="A20" s="109"/>
      <c r="B20" s="59" t="s">
        <v>40</v>
      </c>
      <c r="C20" s="58">
        <v>50000</v>
      </c>
      <c r="D20" s="58">
        <v>50000</v>
      </c>
      <c r="E20" s="58">
        <v>50000</v>
      </c>
      <c r="F20" s="58">
        <v>50000</v>
      </c>
      <c r="G20" s="58">
        <v>50000</v>
      </c>
      <c r="H20" s="58">
        <v>50000</v>
      </c>
      <c r="I20" s="58">
        <v>50000</v>
      </c>
      <c r="J20" s="58">
        <v>50000</v>
      </c>
      <c r="K20" s="58">
        <v>50000</v>
      </c>
      <c r="L20" s="58">
        <v>50000</v>
      </c>
      <c r="M20" s="58">
        <v>50000</v>
      </c>
      <c r="N20" s="58">
        <v>50000</v>
      </c>
      <c r="O20" s="58">
        <v>50000</v>
      </c>
      <c r="P20" s="58">
        <v>50000</v>
      </c>
      <c r="Q20" s="58">
        <v>50000</v>
      </c>
      <c r="R20" s="58">
        <v>50000</v>
      </c>
      <c r="S20" s="58">
        <v>50000</v>
      </c>
      <c r="T20" s="58">
        <v>50000</v>
      </c>
      <c r="U20" s="58">
        <v>50000</v>
      </c>
      <c r="V20" s="58">
        <v>50000</v>
      </c>
      <c r="W20" s="58">
        <v>50000</v>
      </c>
      <c r="X20" s="58">
        <v>50000</v>
      </c>
      <c r="Y20" s="58">
        <v>50000</v>
      </c>
      <c r="Z20" s="58">
        <v>50000</v>
      </c>
      <c r="AA20" s="58">
        <f t="shared" si="0"/>
        <v>1200000</v>
      </c>
      <c r="AB20" s="53">
        <v>4</v>
      </c>
      <c r="AC20" s="58">
        <f t="shared" si="1"/>
        <v>4800000</v>
      </c>
      <c r="AD20" s="112"/>
    </row>
    <row r="21" spans="1:30" x14ac:dyDescent="0.35">
      <c r="A21" s="109"/>
      <c r="B21" s="59" t="s">
        <v>41</v>
      </c>
      <c r="C21" s="58">
        <v>50000</v>
      </c>
      <c r="D21" s="58">
        <v>50000</v>
      </c>
      <c r="E21" s="58">
        <v>50000</v>
      </c>
      <c r="F21" s="58">
        <v>50000</v>
      </c>
      <c r="G21" s="58">
        <v>50000</v>
      </c>
      <c r="H21" s="58">
        <v>50000</v>
      </c>
      <c r="I21" s="58">
        <v>50000</v>
      </c>
      <c r="J21" s="58">
        <v>50000</v>
      </c>
      <c r="K21" s="58">
        <v>50000</v>
      </c>
      <c r="L21" s="58">
        <v>50000</v>
      </c>
      <c r="M21" s="58">
        <v>50000</v>
      </c>
      <c r="N21" s="58">
        <v>50000</v>
      </c>
      <c r="O21" s="58">
        <v>50000</v>
      </c>
      <c r="P21" s="58">
        <v>50000</v>
      </c>
      <c r="Q21" s="58">
        <v>50000</v>
      </c>
      <c r="R21" s="58">
        <v>50000</v>
      </c>
      <c r="S21" s="58">
        <v>50000</v>
      </c>
      <c r="T21" s="58">
        <v>50000</v>
      </c>
      <c r="U21" s="58">
        <v>50000</v>
      </c>
      <c r="V21" s="58">
        <v>50000</v>
      </c>
      <c r="W21" s="58">
        <v>50000</v>
      </c>
      <c r="X21" s="58">
        <v>50000</v>
      </c>
      <c r="Y21" s="58">
        <v>50000</v>
      </c>
      <c r="Z21" s="58">
        <v>50000</v>
      </c>
      <c r="AA21" s="58">
        <f t="shared" si="0"/>
        <v>1200000</v>
      </c>
      <c r="AB21" s="53">
        <v>4</v>
      </c>
      <c r="AC21" s="58">
        <f t="shared" si="1"/>
        <v>4800000</v>
      </c>
      <c r="AD21" s="112"/>
    </row>
    <row r="22" spans="1:30" x14ac:dyDescent="0.35">
      <c r="A22" s="110"/>
      <c r="B22" s="60" t="s">
        <v>42</v>
      </c>
      <c r="C22" s="58">
        <v>50000</v>
      </c>
      <c r="D22" s="58">
        <v>50000</v>
      </c>
      <c r="E22" s="58">
        <v>50000</v>
      </c>
      <c r="F22" s="58">
        <v>50000</v>
      </c>
      <c r="G22" s="58">
        <v>50000</v>
      </c>
      <c r="H22" s="58">
        <v>50000</v>
      </c>
      <c r="I22" s="58">
        <v>50000</v>
      </c>
      <c r="J22" s="58">
        <v>50000</v>
      </c>
      <c r="K22" s="58">
        <v>50000</v>
      </c>
      <c r="L22" s="58">
        <v>50000</v>
      </c>
      <c r="M22" s="58">
        <v>50000</v>
      </c>
      <c r="N22" s="58">
        <v>50000</v>
      </c>
      <c r="O22" s="58">
        <v>50000</v>
      </c>
      <c r="P22" s="58">
        <v>50000</v>
      </c>
      <c r="Q22" s="58">
        <v>50000</v>
      </c>
      <c r="R22" s="58">
        <v>50000</v>
      </c>
      <c r="S22" s="58">
        <v>50000</v>
      </c>
      <c r="T22" s="58">
        <v>50000</v>
      </c>
      <c r="U22" s="58">
        <v>50000</v>
      </c>
      <c r="V22" s="58">
        <v>50000</v>
      </c>
      <c r="W22" s="58">
        <v>50000</v>
      </c>
      <c r="X22" s="58">
        <v>50000</v>
      </c>
      <c r="Y22" s="58">
        <v>50000</v>
      </c>
      <c r="Z22" s="58">
        <v>50000</v>
      </c>
      <c r="AA22" s="58">
        <f t="shared" si="0"/>
        <v>1200000</v>
      </c>
      <c r="AB22" s="53">
        <v>2</v>
      </c>
      <c r="AC22" s="58">
        <f t="shared" si="1"/>
        <v>2400000</v>
      </c>
      <c r="AD22" s="113"/>
    </row>
    <row r="23" spans="1:30" x14ac:dyDescent="0.35">
      <c r="A23" s="108">
        <v>47969</v>
      </c>
      <c r="B23" s="57" t="s">
        <v>39</v>
      </c>
      <c r="C23" s="58">
        <v>50000</v>
      </c>
      <c r="D23" s="58">
        <v>50000</v>
      </c>
      <c r="E23" s="58">
        <v>50000</v>
      </c>
      <c r="F23" s="58">
        <v>50000</v>
      </c>
      <c r="G23" s="58">
        <v>50000</v>
      </c>
      <c r="H23" s="58">
        <v>50000</v>
      </c>
      <c r="I23" s="58">
        <v>50000</v>
      </c>
      <c r="J23" s="58">
        <v>50000</v>
      </c>
      <c r="K23" s="58">
        <v>50000</v>
      </c>
      <c r="L23" s="58">
        <v>50000</v>
      </c>
      <c r="M23" s="58">
        <v>50000</v>
      </c>
      <c r="N23" s="58">
        <v>50000</v>
      </c>
      <c r="O23" s="58">
        <v>50000</v>
      </c>
      <c r="P23" s="58">
        <v>50000</v>
      </c>
      <c r="Q23" s="58">
        <v>50000</v>
      </c>
      <c r="R23" s="58">
        <v>50000</v>
      </c>
      <c r="S23" s="58">
        <v>50000</v>
      </c>
      <c r="T23" s="58">
        <v>50000</v>
      </c>
      <c r="U23" s="58">
        <v>50000</v>
      </c>
      <c r="V23" s="58">
        <v>50000</v>
      </c>
      <c r="W23" s="58">
        <v>50000</v>
      </c>
      <c r="X23" s="58">
        <v>50000</v>
      </c>
      <c r="Y23" s="58">
        <v>50000</v>
      </c>
      <c r="Z23" s="58">
        <v>50000</v>
      </c>
      <c r="AA23" s="58">
        <f t="shared" si="0"/>
        <v>1200000</v>
      </c>
      <c r="AB23" s="53">
        <v>20</v>
      </c>
      <c r="AC23" s="58">
        <f t="shared" si="1"/>
        <v>24000000</v>
      </c>
      <c r="AD23" s="111">
        <f>+SUM(AC23:AC26)</f>
        <v>37200000</v>
      </c>
    </row>
    <row r="24" spans="1:30" x14ac:dyDescent="0.35">
      <c r="A24" s="109"/>
      <c r="B24" s="59" t="s">
        <v>40</v>
      </c>
      <c r="C24" s="58">
        <v>50000</v>
      </c>
      <c r="D24" s="58">
        <v>50000</v>
      </c>
      <c r="E24" s="58">
        <v>50000</v>
      </c>
      <c r="F24" s="58">
        <v>50000</v>
      </c>
      <c r="G24" s="58">
        <v>50000</v>
      </c>
      <c r="H24" s="58">
        <v>50000</v>
      </c>
      <c r="I24" s="58">
        <v>50000</v>
      </c>
      <c r="J24" s="58">
        <v>50000</v>
      </c>
      <c r="K24" s="58">
        <v>50000</v>
      </c>
      <c r="L24" s="58">
        <v>50000</v>
      </c>
      <c r="M24" s="58">
        <v>50000</v>
      </c>
      <c r="N24" s="58">
        <v>50000</v>
      </c>
      <c r="O24" s="58">
        <v>50000</v>
      </c>
      <c r="P24" s="58">
        <v>50000</v>
      </c>
      <c r="Q24" s="58">
        <v>50000</v>
      </c>
      <c r="R24" s="58">
        <v>50000</v>
      </c>
      <c r="S24" s="58">
        <v>50000</v>
      </c>
      <c r="T24" s="58">
        <v>50000</v>
      </c>
      <c r="U24" s="58">
        <v>50000</v>
      </c>
      <c r="V24" s="58">
        <v>50000</v>
      </c>
      <c r="W24" s="58">
        <v>50000</v>
      </c>
      <c r="X24" s="58">
        <v>50000</v>
      </c>
      <c r="Y24" s="58">
        <v>50000</v>
      </c>
      <c r="Z24" s="58">
        <v>50000</v>
      </c>
      <c r="AA24" s="58">
        <f t="shared" si="0"/>
        <v>1200000</v>
      </c>
      <c r="AB24" s="53">
        <v>5</v>
      </c>
      <c r="AC24" s="58">
        <f t="shared" si="1"/>
        <v>6000000</v>
      </c>
      <c r="AD24" s="112"/>
    </row>
    <row r="25" spans="1:30" x14ac:dyDescent="0.35">
      <c r="A25" s="109"/>
      <c r="B25" s="59" t="s">
        <v>41</v>
      </c>
      <c r="C25" s="58">
        <v>50000</v>
      </c>
      <c r="D25" s="58">
        <v>50000</v>
      </c>
      <c r="E25" s="58">
        <v>50000</v>
      </c>
      <c r="F25" s="58">
        <v>50000</v>
      </c>
      <c r="G25" s="58">
        <v>50000</v>
      </c>
      <c r="H25" s="58">
        <v>50000</v>
      </c>
      <c r="I25" s="58">
        <v>50000</v>
      </c>
      <c r="J25" s="58">
        <v>50000</v>
      </c>
      <c r="K25" s="58">
        <v>50000</v>
      </c>
      <c r="L25" s="58">
        <v>50000</v>
      </c>
      <c r="M25" s="58">
        <v>50000</v>
      </c>
      <c r="N25" s="58">
        <v>50000</v>
      </c>
      <c r="O25" s="58">
        <v>50000</v>
      </c>
      <c r="P25" s="58">
        <v>50000</v>
      </c>
      <c r="Q25" s="58">
        <v>50000</v>
      </c>
      <c r="R25" s="58">
        <v>50000</v>
      </c>
      <c r="S25" s="58">
        <v>50000</v>
      </c>
      <c r="T25" s="58">
        <v>50000</v>
      </c>
      <c r="U25" s="58">
        <v>50000</v>
      </c>
      <c r="V25" s="58">
        <v>50000</v>
      </c>
      <c r="W25" s="58">
        <v>50000</v>
      </c>
      <c r="X25" s="58">
        <v>50000</v>
      </c>
      <c r="Y25" s="58">
        <v>50000</v>
      </c>
      <c r="Z25" s="58">
        <v>50000</v>
      </c>
      <c r="AA25" s="58">
        <f t="shared" si="0"/>
        <v>1200000</v>
      </c>
      <c r="AB25" s="53">
        <v>4</v>
      </c>
      <c r="AC25" s="58">
        <f t="shared" si="1"/>
        <v>4800000</v>
      </c>
      <c r="AD25" s="112"/>
    </row>
    <row r="26" spans="1:30" x14ac:dyDescent="0.35">
      <c r="A26" s="110"/>
      <c r="B26" s="60" t="s">
        <v>42</v>
      </c>
      <c r="C26" s="58">
        <v>50000</v>
      </c>
      <c r="D26" s="58">
        <v>50000</v>
      </c>
      <c r="E26" s="58">
        <v>50000</v>
      </c>
      <c r="F26" s="58">
        <v>50000</v>
      </c>
      <c r="G26" s="58">
        <v>50000</v>
      </c>
      <c r="H26" s="58">
        <v>50000</v>
      </c>
      <c r="I26" s="58">
        <v>50000</v>
      </c>
      <c r="J26" s="58">
        <v>50000</v>
      </c>
      <c r="K26" s="58">
        <v>50000</v>
      </c>
      <c r="L26" s="58">
        <v>50000</v>
      </c>
      <c r="M26" s="58">
        <v>50000</v>
      </c>
      <c r="N26" s="58">
        <v>50000</v>
      </c>
      <c r="O26" s="58">
        <v>50000</v>
      </c>
      <c r="P26" s="58">
        <v>50000</v>
      </c>
      <c r="Q26" s="58">
        <v>50000</v>
      </c>
      <c r="R26" s="58">
        <v>50000</v>
      </c>
      <c r="S26" s="58">
        <v>50000</v>
      </c>
      <c r="T26" s="58">
        <v>50000</v>
      </c>
      <c r="U26" s="58">
        <v>50000</v>
      </c>
      <c r="V26" s="58">
        <v>50000</v>
      </c>
      <c r="W26" s="58">
        <v>50000</v>
      </c>
      <c r="X26" s="58">
        <v>50000</v>
      </c>
      <c r="Y26" s="58">
        <v>50000</v>
      </c>
      <c r="Z26" s="58">
        <v>50000</v>
      </c>
      <c r="AA26" s="58">
        <f t="shared" si="0"/>
        <v>1200000</v>
      </c>
      <c r="AB26" s="53">
        <v>2</v>
      </c>
      <c r="AC26" s="58">
        <f t="shared" si="1"/>
        <v>2400000</v>
      </c>
      <c r="AD26" s="113"/>
    </row>
    <row r="27" spans="1:30" x14ac:dyDescent="0.35">
      <c r="A27" s="108">
        <v>48000</v>
      </c>
      <c r="B27" s="57" t="s">
        <v>39</v>
      </c>
      <c r="C27" s="58">
        <v>50000</v>
      </c>
      <c r="D27" s="58">
        <v>50000</v>
      </c>
      <c r="E27" s="58">
        <v>50000</v>
      </c>
      <c r="F27" s="58">
        <v>50000</v>
      </c>
      <c r="G27" s="58">
        <v>50000</v>
      </c>
      <c r="H27" s="58">
        <v>50000</v>
      </c>
      <c r="I27" s="58">
        <v>50000</v>
      </c>
      <c r="J27" s="58">
        <v>50000</v>
      </c>
      <c r="K27" s="58">
        <v>50000</v>
      </c>
      <c r="L27" s="58">
        <v>50000</v>
      </c>
      <c r="M27" s="58">
        <v>50000</v>
      </c>
      <c r="N27" s="58">
        <v>50000</v>
      </c>
      <c r="O27" s="58">
        <v>50000</v>
      </c>
      <c r="P27" s="58">
        <v>50000</v>
      </c>
      <c r="Q27" s="58">
        <v>50000</v>
      </c>
      <c r="R27" s="58">
        <v>50000</v>
      </c>
      <c r="S27" s="58">
        <v>50000</v>
      </c>
      <c r="T27" s="58">
        <v>50000</v>
      </c>
      <c r="U27" s="58">
        <v>50000</v>
      </c>
      <c r="V27" s="58">
        <v>50000</v>
      </c>
      <c r="W27" s="58">
        <v>50000</v>
      </c>
      <c r="X27" s="58">
        <v>50000</v>
      </c>
      <c r="Y27" s="58">
        <v>50000</v>
      </c>
      <c r="Z27" s="58">
        <v>50000</v>
      </c>
      <c r="AA27" s="58">
        <f t="shared" si="0"/>
        <v>1200000</v>
      </c>
      <c r="AB27" s="53">
        <v>18</v>
      </c>
      <c r="AC27" s="58">
        <f t="shared" si="1"/>
        <v>21600000</v>
      </c>
      <c r="AD27" s="111">
        <f>+SUM(AC27:AC30)</f>
        <v>36000000</v>
      </c>
    </row>
    <row r="28" spans="1:30" x14ac:dyDescent="0.35">
      <c r="A28" s="109"/>
      <c r="B28" s="59" t="s">
        <v>40</v>
      </c>
      <c r="C28" s="58">
        <v>50000</v>
      </c>
      <c r="D28" s="58">
        <v>50000</v>
      </c>
      <c r="E28" s="58">
        <v>50000</v>
      </c>
      <c r="F28" s="58">
        <v>50000</v>
      </c>
      <c r="G28" s="58">
        <v>50000</v>
      </c>
      <c r="H28" s="58">
        <v>50000</v>
      </c>
      <c r="I28" s="58">
        <v>50000</v>
      </c>
      <c r="J28" s="58">
        <v>50000</v>
      </c>
      <c r="K28" s="58">
        <v>50000</v>
      </c>
      <c r="L28" s="58">
        <v>50000</v>
      </c>
      <c r="M28" s="58">
        <v>50000</v>
      </c>
      <c r="N28" s="58">
        <v>50000</v>
      </c>
      <c r="O28" s="58">
        <v>50000</v>
      </c>
      <c r="P28" s="58">
        <v>50000</v>
      </c>
      <c r="Q28" s="58">
        <v>50000</v>
      </c>
      <c r="R28" s="58">
        <v>50000</v>
      </c>
      <c r="S28" s="58">
        <v>50000</v>
      </c>
      <c r="T28" s="58">
        <v>50000</v>
      </c>
      <c r="U28" s="58">
        <v>50000</v>
      </c>
      <c r="V28" s="58">
        <v>50000</v>
      </c>
      <c r="W28" s="58">
        <v>50000</v>
      </c>
      <c r="X28" s="58">
        <v>50000</v>
      </c>
      <c r="Y28" s="58">
        <v>50000</v>
      </c>
      <c r="Z28" s="58">
        <v>50000</v>
      </c>
      <c r="AA28" s="58">
        <f t="shared" si="0"/>
        <v>1200000</v>
      </c>
      <c r="AB28" s="53">
        <v>4</v>
      </c>
      <c r="AC28" s="58">
        <f t="shared" si="1"/>
        <v>4800000</v>
      </c>
      <c r="AD28" s="112"/>
    </row>
    <row r="29" spans="1:30" x14ac:dyDescent="0.35">
      <c r="A29" s="109"/>
      <c r="B29" s="59" t="s">
        <v>41</v>
      </c>
      <c r="C29" s="58">
        <v>50000</v>
      </c>
      <c r="D29" s="58">
        <v>50000</v>
      </c>
      <c r="E29" s="58">
        <v>50000</v>
      </c>
      <c r="F29" s="58">
        <v>50000</v>
      </c>
      <c r="G29" s="58">
        <v>50000</v>
      </c>
      <c r="H29" s="58">
        <v>50000</v>
      </c>
      <c r="I29" s="58">
        <v>50000</v>
      </c>
      <c r="J29" s="58">
        <v>50000</v>
      </c>
      <c r="K29" s="58">
        <v>50000</v>
      </c>
      <c r="L29" s="58">
        <v>50000</v>
      </c>
      <c r="M29" s="58">
        <v>50000</v>
      </c>
      <c r="N29" s="58">
        <v>50000</v>
      </c>
      <c r="O29" s="58">
        <v>50000</v>
      </c>
      <c r="P29" s="58">
        <v>50000</v>
      </c>
      <c r="Q29" s="58">
        <v>50000</v>
      </c>
      <c r="R29" s="58">
        <v>50000</v>
      </c>
      <c r="S29" s="58">
        <v>50000</v>
      </c>
      <c r="T29" s="58">
        <v>50000</v>
      </c>
      <c r="U29" s="58">
        <v>50000</v>
      </c>
      <c r="V29" s="58">
        <v>50000</v>
      </c>
      <c r="W29" s="58">
        <v>50000</v>
      </c>
      <c r="X29" s="58">
        <v>50000</v>
      </c>
      <c r="Y29" s="58">
        <v>50000</v>
      </c>
      <c r="Z29" s="58">
        <v>50000</v>
      </c>
      <c r="AA29" s="58">
        <f t="shared" si="0"/>
        <v>1200000</v>
      </c>
      <c r="AB29" s="53">
        <v>5</v>
      </c>
      <c r="AC29" s="58">
        <f t="shared" si="1"/>
        <v>6000000</v>
      </c>
      <c r="AD29" s="112"/>
    </row>
    <row r="30" spans="1:30" x14ac:dyDescent="0.35">
      <c r="A30" s="110"/>
      <c r="B30" s="60" t="s">
        <v>42</v>
      </c>
      <c r="C30" s="58">
        <v>50000</v>
      </c>
      <c r="D30" s="58">
        <v>50000</v>
      </c>
      <c r="E30" s="58">
        <v>50000</v>
      </c>
      <c r="F30" s="58">
        <v>50000</v>
      </c>
      <c r="G30" s="58">
        <v>50000</v>
      </c>
      <c r="H30" s="58">
        <v>50000</v>
      </c>
      <c r="I30" s="58">
        <v>50000</v>
      </c>
      <c r="J30" s="58">
        <v>50000</v>
      </c>
      <c r="K30" s="58">
        <v>50000</v>
      </c>
      <c r="L30" s="58">
        <v>50000</v>
      </c>
      <c r="M30" s="58">
        <v>50000</v>
      </c>
      <c r="N30" s="58">
        <v>50000</v>
      </c>
      <c r="O30" s="58">
        <v>50000</v>
      </c>
      <c r="P30" s="58">
        <v>50000</v>
      </c>
      <c r="Q30" s="58">
        <v>50000</v>
      </c>
      <c r="R30" s="58">
        <v>50000</v>
      </c>
      <c r="S30" s="58">
        <v>50000</v>
      </c>
      <c r="T30" s="58">
        <v>50000</v>
      </c>
      <c r="U30" s="58">
        <v>50000</v>
      </c>
      <c r="V30" s="58">
        <v>50000</v>
      </c>
      <c r="W30" s="58">
        <v>50000</v>
      </c>
      <c r="X30" s="58">
        <v>50000</v>
      </c>
      <c r="Y30" s="58">
        <v>50000</v>
      </c>
      <c r="Z30" s="58">
        <v>50000</v>
      </c>
      <c r="AA30" s="58">
        <f t="shared" si="0"/>
        <v>1200000</v>
      </c>
      <c r="AB30" s="53">
        <v>3</v>
      </c>
      <c r="AC30" s="58">
        <f t="shared" si="1"/>
        <v>3600000</v>
      </c>
      <c r="AD30" s="113"/>
    </row>
    <row r="31" spans="1:30" x14ac:dyDescent="0.35">
      <c r="A31" s="108">
        <v>48030</v>
      </c>
      <c r="B31" s="57" t="s">
        <v>39</v>
      </c>
      <c r="C31" s="58">
        <v>50000</v>
      </c>
      <c r="D31" s="58">
        <v>50000</v>
      </c>
      <c r="E31" s="58">
        <v>50000</v>
      </c>
      <c r="F31" s="58">
        <v>50000</v>
      </c>
      <c r="G31" s="58">
        <v>50000</v>
      </c>
      <c r="H31" s="58">
        <v>50000</v>
      </c>
      <c r="I31" s="58">
        <v>50000</v>
      </c>
      <c r="J31" s="58">
        <v>50000</v>
      </c>
      <c r="K31" s="58">
        <v>50000</v>
      </c>
      <c r="L31" s="58">
        <v>50000</v>
      </c>
      <c r="M31" s="58">
        <v>50000</v>
      </c>
      <c r="N31" s="58">
        <v>50000</v>
      </c>
      <c r="O31" s="58">
        <v>50000</v>
      </c>
      <c r="P31" s="58">
        <v>50000</v>
      </c>
      <c r="Q31" s="58">
        <v>50000</v>
      </c>
      <c r="R31" s="58">
        <v>50000</v>
      </c>
      <c r="S31" s="58">
        <v>50000</v>
      </c>
      <c r="T31" s="58">
        <v>50000</v>
      </c>
      <c r="U31" s="58">
        <v>50000</v>
      </c>
      <c r="V31" s="58">
        <v>50000</v>
      </c>
      <c r="W31" s="58">
        <v>50000</v>
      </c>
      <c r="X31" s="58">
        <v>50000</v>
      </c>
      <c r="Y31" s="58">
        <v>50000</v>
      </c>
      <c r="Z31" s="58">
        <v>50000</v>
      </c>
      <c r="AA31" s="58">
        <f t="shared" si="0"/>
        <v>1200000</v>
      </c>
      <c r="AB31" s="53">
        <v>23</v>
      </c>
      <c r="AC31" s="58">
        <f t="shared" si="1"/>
        <v>27600000</v>
      </c>
      <c r="AD31" s="111">
        <f>+SUM(AC31:AC34)</f>
        <v>37200000</v>
      </c>
    </row>
    <row r="32" spans="1:30" x14ac:dyDescent="0.35">
      <c r="A32" s="109"/>
      <c r="B32" s="59" t="s">
        <v>40</v>
      </c>
      <c r="C32" s="58">
        <v>50000</v>
      </c>
      <c r="D32" s="58">
        <v>50000</v>
      </c>
      <c r="E32" s="58">
        <v>50000</v>
      </c>
      <c r="F32" s="58">
        <v>50000</v>
      </c>
      <c r="G32" s="58">
        <v>50000</v>
      </c>
      <c r="H32" s="58">
        <v>50000</v>
      </c>
      <c r="I32" s="58">
        <v>50000</v>
      </c>
      <c r="J32" s="58">
        <v>50000</v>
      </c>
      <c r="K32" s="58">
        <v>50000</v>
      </c>
      <c r="L32" s="58">
        <v>50000</v>
      </c>
      <c r="M32" s="58">
        <v>50000</v>
      </c>
      <c r="N32" s="58">
        <v>50000</v>
      </c>
      <c r="O32" s="58">
        <v>50000</v>
      </c>
      <c r="P32" s="58">
        <v>50000</v>
      </c>
      <c r="Q32" s="58">
        <v>50000</v>
      </c>
      <c r="R32" s="58">
        <v>50000</v>
      </c>
      <c r="S32" s="58">
        <v>50000</v>
      </c>
      <c r="T32" s="58">
        <v>50000</v>
      </c>
      <c r="U32" s="58">
        <v>50000</v>
      </c>
      <c r="V32" s="58">
        <v>50000</v>
      </c>
      <c r="W32" s="58">
        <v>50000</v>
      </c>
      <c r="X32" s="58">
        <v>50000</v>
      </c>
      <c r="Y32" s="58">
        <v>50000</v>
      </c>
      <c r="Z32" s="58">
        <v>50000</v>
      </c>
      <c r="AA32" s="58">
        <f t="shared" si="0"/>
        <v>1200000</v>
      </c>
      <c r="AB32" s="53">
        <v>4</v>
      </c>
      <c r="AC32" s="58">
        <f t="shared" si="1"/>
        <v>4800000</v>
      </c>
      <c r="AD32" s="112"/>
    </row>
    <row r="33" spans="1:30" x14ac:dyDescent="0.35">
      <c r="A33" s="109"/>
      <c r="B33" s="59" t="s">
        <v>41</v>
      </c>
      <c r="C33" s="58">
        <v>50000</v>
      </c>
      <c r="D33" s="58">
        <v>50000</v>
      </c>
      <c r="E33" s="58">
        <v>50000</v>
      </c>
      <c r="F33" s="58">
        <v>50000</v>
      </c>
      <c r="G33" s="58">
        <v>50000</v>
      </c>
      <c r="H33" s="58">
        <v>50000</v>
      </c>
      <c r="I33" s="58">
        <v>50000</v>
      </c>
      <c r="J33" s="58">
        <v>50000</v>
      </c>
      <c r="K33" s="58">
        <v>50000</v>
      </c>
      <c r="L33" s="58">
        <v>50000</v>
      </c>
      <c r="M33" s="58">
        <v>50000</v>
      </c>
      <c r="N33" s="58">
        <v>50000</v>
      </c>
      <c r="O33" s="58">
        <v>50000</v>
      </c>
      <c r="P33" s="58">
        <v>50000</v>
      </c>
      <c r="Q33" s="58">
        <v>50000</v>
      </c>
      <c r="R33" s="58">
        <v>50000</v>
      </c>
      <c r="S33" s="58">
        <v>50000</v>
      </c>
      <c r="T33" s="58">
        <v>50000</v>
      </c>
      <c r="U33" s="58">
        <v>50000</v>
      </c>
      <c r="V33" s="58">
        <v>50000</v>
      </c>
      <c r="W33" s="58">
        <v>50000</v>
      </c>
      <c r="X33" s="58">
        <v>50000</v>
      </c>
      <c r="Y33" s="58">
        <v>50000</v>
      </c>
      <c r="Z33" s="58">
        <v>50000</v>
      </c>
      <c r="AA33" s="58">
        <f t="shared" si="0"/>
        <v>1200000</v>
      </c>
      <c r="AB33" s="53">
        <v>4</v>
      </c>
      <c r="AC33" s="58">
        <f t="shared" si="1"/>
        <v>4800000</v>
      </c>
      <c r="AD33" s="112"/>
    </row>
    <row r="34" spans="1:30" x14ac:dyDescent="0.35">
      <c r="A34" s="110"/>
      <c r="B34" s="60" t="s">
        <v>42</v>
      </c>
      <c r="C34" s="58">
        <v>50000</v>
      </c>
      <c r="D34" s="58">
        <v>50000</v>
      </c>
      <c r="E34" s="58">
        <v>50000</v>
      </c>
      <c r="F34" s="58">
        <v>50000</v>
      </c>
      <c r="G34" s="58">
        <v>50000</v>
      </c>
      <c r="H34" s="58">
        <v>50000</v>
      </c>
      <c r="I34" s="58">
        <v>50000</v>
      </c>
      <c r="J34" s="58">
        <v>50000</v>
      </c>
      <c r="K34" s="58">
        <v>50000</v>
      </c>
      <c r="L34" s="58">
        <v>50000</v>
      </c>
      <c r="M34" s="58">
        <v>50000</v>
      </c>
      <c r="N34" s="58">
        <v>50000</v>
      </c>
      <c r="O34" s="58">
        <v>50000</v>
      </c>
      <c r="P34" s="58">
        <v>50000</v>
      </c>
      <c r="Q34" s="58">
        <v>50000</v>
      </c>
      <c r="R34" s="58">
        <v>50000</v>
      </c>
      <c r="S34" s="58">
        <v>50000</v>
      </c>
      <c r="T34" s="58">
        <v>50000</v>
      </c>
      <c r="U34" s="58">
        <v>50000</v>
      </c>
      <c r="V34" s="58">
        <v>50000</v>
      </c>
      <c r="W34" s="58">
        <v>50000</v>
      </c>
      <c r="X34" s="58">
        <v>50000</v>
      </c>
      <c r="Y34" s="58">
        <v>50000</v>
      </c>
      <c r="Z34" s="58">
        <v>50000</v>
      </c>
      <c r="AA34" s="58">
        <f t="shared" si="0"/>
        <v>1200000</v>
      </c>
      <c r="AB34" s="53">
        <v>0</v>
      </c>
      <c r="AC34" s="58">
        <f>+AA34*AB34</f>
        <v>0</v>
      </c>
      <c r="AD34" s="113"/>
    </row>
    <row r="35" spans="1:30" x14ac:dyDescent="0.35">
      <c r="A35" s="108">
        <v>48061</v>
      </c>
      <c r="B35" s="57" t="s">
        <v>39</v>
      </c>
      <c r="C35" s="58">
        <v>50000</v>
      </c>
      <c r="D35" s="58">
        <v>50000</v>
      </c>
      <c r="E35" s="58">
        <v>50000</v>
      </c>
      <c r="F35" s="58">
        <v>50000</v>
      </c>
      <c r="G35" s="58">
        <v>50000</v>
      </c>
      <c r="H35" s="58">
        <v>50000</v>
      </c>
      <c r="I35" s="58">
        <v>50000</v>
      </c>
      <c r="J35" s="58">
        <v>50000</v>
      </c>
      <c r="K35" s="58">
        <v>50000</v>
      </c>
      <c r="L35" s="58">
        <v>50000</v>
      </c>
      <c r="M35" s="58">
        <v>50000</v>
      </c>
      <c r="N35" s="58">
        <v>50000</v>
      </c>
      <c r="O35" s="58">
        <v>50000</v>
      </c>
      <c r="P35" s="58">
        <v>50000</v>
      </c>
      <c r="Q35" s="58">
        <v>50000</v>
      </c>
      <c r="R35" s="58">
        <v>50000</v>
      </c>
      <c r="S35" s="58">
        <v>50000</v>
      </c>
      <c r="T35" s="58">
        <v>50000</v>
      </c>
      <c r="U35" s="58">
        <v>50000</v>
      </c>
      <c r="V35" s="58">
        <v>50000</v>
      </c>
      <c r="W35" s="58">
        <v>50000</v>
      </c>
      <c r="X35" s="58">
        <v>50000</v>
      </c>
      <c r="Y35" s="58">
        <v>50000</v>
      </c>
      <c r="Z35" s="58">
        <v>50000</v>
      </c>
      <c r="AA35" s="58">
        <f t="shared" si="0"/>
        <v>1200000</v>
      </c>
      <c r="AB35" s="53">
        <v>19</v>
      </c>
      <c r="AC35" s="58">
        <f t="shared" si="1"/>
        <v>22800000</v>
      </c>
      <c r="AD35" s="111">
        <f>+SUM(AC35:AC38)</f>
        <v>37200000</v>
      </c>
    </row>
    <row r="36" spans="1:30" x14ac:dyDescent="0.35">
      <c r="A36" s="109"/>
      <c r="B36" s="59" t="s">
        <v>40</v>
      </c>
      <c r="C36" s="58">
        <v>50000</v>
      </c>
      <c r="D36" s="58">
        <v>50000</v>
      </c>
      <c r="E36" s="58">
        <v>50000</v>
      </c>
      <c r="F36" s="58">
        <v>50000</v>
      </c>
      <c r="G36" s="58">
        <v>50000</v>
      </c>
      <c r="H36" s="58">
        <v>50000</v>
      </c>
      <c r="I36" s="58">
        <v>50000</v>
      </c>
      <c r="J36" s="58">
        <v>50000</v>
      </c>
      <c r="K36" s="58">
        <v>50000</v>
      </c>
      <c r="L36" s="58">
        <v>50000</v>
      </c>
      <c r="M36" s="58">
        <v>50000</v>
      </c>
      <c r="N36" s="58">
        <v>50000</v>
      </c>
      <c r="O36" s="58">
        <v>50000</v>
      </c>
      <c r="P36" s="58">
        <v>50000</v>
      </c>
      <c r="Q36" s="58">
        <v>50000</v>
      </c>
      <c r="R36" s="58">
        <v>50000</v>
      </c>
      <c r="S36" s="58">
        <v>50000</v>
      </c>
      <c r="T36" s="58">
        <v>50000</v>
      </c>
      <c r="U36" s="58">
        <v>50000</v>
      </c>
      <c r="V36" s="58">
        <v>50000</v>
      </c>
      <c r="W36" s="58">
        <v>50000</v>
      </c>
      <c r="X36" s="58">
        <v>50000</v>
      </c>
      <c r="Y36" s="58">
        <v>50000</v>
      </c>
      <c r="Z36" s="58">
        <v>50000</v>
      </c>
      <c r="AA36" s="58">
        <f t="shared" si="0"/>
        <v>1200000</v>
      </c>
      <c r="AB36" s="53">
        <v>5</v>
      </c>
      <c r="AC36" s="58">
        <f t="shared" si="1"/>
        <v>6000000</v>
      </c>
      <c r="AD36" s="112"/>
    </row>
    <row r="37" spans="1:30" x14ac:dyDescent="0.35">
      <c r="A37" s="109"/>
      <c r="B37" s="59" t="s">
        <v>41</v>
      </c>
      <c r="C37" s="58">
        <v>50000</v>
      </c>
      <c r="D37" s="58">
        <v>50000</v>
      </c>
      <c r="E37" s="58">
        <v>50000</v>
      </c>
      <c r="F37" s="58">
        <v>50000</v>
      </c>
      <c r="G37" s="58">
        <v>50000</v>
      </c>
      <c r="H37" s="58">
        <v>50000</v>
      </c>
      <c r="I37" s="58">
        <v>50000</v>
      </c>
      <c r="J37" s="58">
        <v>50000</v>
      </c>
      <c r="K37" s="58">
        <v>50000</v>
      </c>
      <c r="L37" s="58">
        <v>50000</v>
      </c>
      <c r="M37" s="58">
        <v>50000</v>
      </c>
      <c r="N37" s="58">
        <v>50000</v>
      </c>
      <c r="O37" s="58">
        <v>50000</v>
      </c>
      <c r="P37" s="58">
        <v>50000</v>
      </c>
      <c r="Q37" s="58">
        <v>50000</v>
      </c>
      <c r="R37" s="58">
        <v>50000</v>
      </c>
      <c r="S37" s="58">
        <v>50000</v>
      </c>
      <c r="T37" s="58">
        <v>50000</v>
      </c>
      <c r="U37" s="58">
        <v>50000</v>
      </c>
      <c r="V37" s="58">
        <v>50000</v>
      </c>
      <c r="W37" s="58">
        <v>50000</v>
      </c>
      <c r="X37" s="58">
        <v>50000</v>
      </c>
      <c r="Y37" s="58">
        <v>50000</v>
      </c>
      <c r="Z37" s="58">
        <v>50000</v>
      </c>
      <c r="AA37" s="58">
        <f t="shared" si="0"/>
        <v>1200000</v>
      </c>
      <c r="AB37" s="53">
        <v>5</v>
      </c>
      <c r="AC37" s="58">
        <f t="shared" si="1"/>
        <v>6000000</v>
      </c>
      <c r="AD37" s="112"/>
    </row>
    <row r="38" spans="1:30" x14ac:dyDescent="0.35">
      <c r="A38" s="110"/>
      <c r="B38" s="60" t="s">
        <v>42</v>
      </c>
      <c r="C38" s="58">
        <v>50000</v>
      </c>
      <c r="D38" s="58">
        <v>50000</v>
      </c>
      <c r="E38" s="58">
        <v>50000</v>
      </c>
      <c r="F38" s="58">
        <v>50000</v>
      </c>
      <c r="G38" s="58">
        <v>50000</v>
      </c>
      <c r="H38" s="58">
        <v>50000</v>
      </c>
      <c r="I38" s="58">
        <v>50000</v>
      </c>
      <c r="J38" s="58">
        <v>50000</v>
      </c>
      <c r="K38" s="58">
        <v>50000</v>
      </c>
      <c r="L38" s="58">
        <v>50000</v>
      </c>
      <c r="M38" s="58">
        <v>50000</v>
      </c>
      <c r="N38" s="58">
        <v>50000</v>
      </c>
      <c r="O38" s="58">
        <v>50000</v>
      </c>
      <c r="P38" s="58">
        <v>50000</v>
      </c>
      <c r="Q38" s="58">
        <v>50000</v>
      </c>
      <c r="R38" s="58">
        <v>50000</v>
      </c>
      <c r="S38" s="58">
        <v>50000</v>
      </c>
      <c r="T38" s="58">
        <v>50000</v>
      </c>
      <c r="U38" s="58">
        <v>50000</v>
      </c>
      <c r="V38" s="58">
        <v>50000</v>
      </c>
      <c r="W38" s="58">
        <v>50000</v>
      </c>
      <c r="X38" s="58">
        <v>50000</v>
      </c>
      <c r="Y38" s="58">
        <v>50000</v>
      </c>
      <c r="Z38" s="58">
        <v>50000</v>
      </c>
      <c r="AA38" s="58">
        <f t="shared" si="0"/>
        <v>1200000</v>
      </c>
      <c r="AB38" s="53">
        <v>2</v>
      </c>
      <c r="AC38" s="58">
        <f t="shared" si="1"/>
        <v>2400000</v>
      </c>
      <c r="AD38" s="113"/>
    </row>
    <row r="39" spans="1:30" x14ac:dyDescent="0.35">
      <c r="A39" s="108">
        <v>48092</v>
      </c>
      <c r="B39" s="57" t="s">
        <v>39</v>
      </c>
      <c r="C39" s="58">
        <v>50000</v>
      </c>
      <c r="D39" s="58">
        <v>50000</v>
      </c>
      <c r="E39" s="58">
        <v>50000</v>
      </c>
      <c r="F39" s="58">
        <v>50000</v>
      </c>
      <c r="G39" s="58">
        <v>50000</v>
      </c>
      <c r="H39" s="58">
        <v>50000</v>
      </c>
      <c r="I39" s="58">
        <v>50000</v>
      </c>
      <c r="J39" s="58">
        <v>50000</v>
      </c>
      <c r="K39" s="58">
        <v>50000</v>
      </c>
      <c r="L39" s="58">
        <v>50000</v>
      </c>
      <c r="M39" s="58">
        <v>50000</v>
      </c>
      <c r="N39" s="58">
        <v>50000</v>
      </c>
      <c r="O39" s="58">
        <v>50000</v>
      </c>
      <c r="P39" s="58">
        <v>50000</v>
      </c>
      <c r="Q39" s="58">
        <v>50000</v>
      </c>
      <c r="R39" s="58">
        <v>50000</v>
      </c>
      <c r="S39" s="58">
        <v>50000</v>
      </c>
      <c r="T39" s="58">
        <v>50000</v>
      </c>
      <c r="U39" s="58">
        <v>50000</v>
      </c>
      <c r="V39" s="58">
        <v>50000</v>
      </c>
      <c r="W39" s="58">
        <v>50000</v>
      </c>
      <c r="X39" s="58">
        <v>50000</v>
      </c>
      <c r="Y39" s="58">
        <v>50000</v>
      </c>
      <c r="Z39" s="58">
        <v>50000</v>
      </c>
      <c r="AA39" s="58">
        <f t="shared" si="0"/>
        <v>1200000</v>
      </c>
      <c r="AB39" s="53">
        <v>22</v>
      </c>
      <c r="AC39" s="58">
        <f t="shared" si="1"/>
        <v>26400000</v>
      </c>
      <c r="AD39" s="111">
        <f>+SUM(AC39:AC42)</f>
        <v>36000000</v>
      </c>
    </row>
    <row r="40" spans="1:30" x14ac:dyDescent="0.35">
      <c r="A40" s="109"/>
      <c r="B40" s="59" t="s">
        <v>40</v>
      </c>
      <c r="C40" s="58">
        <v>50000</v>
      </c>
      <c r="D40" s="58">
        <v>50000</v>
      </c>
      <c r="E40" s="58">
        <v>50000</v>
      </c>
      <c r="F40" s="58">
        <v>50000</v>
      </c>
      <c r="G40" s="58">
        <v>50000</v>
      </c>
      <c r="H40" s="58">
        <v>50000</v>
      </c>
      <c r="I40" s="58">
        <v>50000</v>
      </c>
      <c r="J40" s="58">
        <v>50000</v>
      </c>
      <c r="K40" s="58">
        <v>50000</v>
      </c>
      <c r="L40" s="58">
        <v>50000</v>
      </c>
      <c r="M40" s="58">
        <v>50000</v>
      </c>
      <c r="N40" s="58">
        <v>50000</v>
      </c>
      <c r="O40" s="58">
        <v>50000</v>
      </c>
      <c r="P40" s="58">
        <v>50000</v>
      </c>
      <c r="Q40" s="58">
        <v>50000</v>
      </c>
      <c r="R40" s="58">
        <v>50000</v>
      </c>
      <c r="S40" s="58">
        <v>50000</v>
      </c>
      <c r="T40" s="58">
        <v>50000</v>
      </c>
      <c r="U40" s="58">
        <v>50000</v>
      </c>
      <c r="V40" s="58">
        <v>50000</v>
      </c>
      <c r="W40" s="58">
        <v>50000</v>
      </c>
      <c r="X40" s="58">
        <v>50000</v>
      </c>
      <c r="Y40" s="58">
        <v>50000</v>
      </c>
      <c r="Z40" s="58">
        <v>50000</v>
      </c>
      <c r="AA40" s="58">
        <f t="shared" si="0"/>
        <v>1200000</v>
      </c>
      <c r="AB40" s="53">
        <v>4</v>
      </c>
      <c r="AC40" s="58">
        <f t="shared" si="1"/>
        <v>4800000</v>
      </c>
      <c r="AD40" s="112"/>
    </row>
    <row r="41" spans="1:30" x14ac:dyDescent="0.35">
      <c r="A41" s="109"/>
      <c r="B41" s="59" t="s">
        <v>41</v>
      </c>
      <c r="C41" s="58">
        <v>50000</v>
      </c>
      <c r="D41" s="58">
        <v>50000</v>
      </c>
      <c r="E41" s="58">
        <v>50000</v>
      </c>
      <c r="F41" s="58">
        <v>50000</v>
      </c>
      <c r="G41" s="58">
        <v>50000</v>
      </c>
      <c r="H41" s="58">
        <v>50000</v>
      </c>
      <c r="I41" s="58">
        <v>50000</v>
      </c>
      <c r="J41" s="58">
        <v>50000</v>
      </c>
      <c r="K41" s="58">
        <v>50000</v>
      </c>
      <c r="L41" s="58">
        <v>50000</v>
      </c>
      <c r="M41" s="58">
        <v>50000</v>
      </c>
      <c r="N41" s="58">
        <v>50000</v>
      </c>
      <c r="O41" s="58">
        <v>50000</v>
      </c>
      <c r="P41" s="58">
        <v>50000</v>
      </c>
      <c r="Q41" s="58">
        <v>50000</v>
      </c>
      <c r="R41" s="58">
        <v>50000</v>
      </c>
      <c r="S41" s="58">
        <v>50000</v>
      </c>
      <c r="T41" s="58">
        <v>50000</v>
      </c>
      <c r="U41" s="58">
        <v>50000</v>
      </c>
      <c r="V41" s="58">
        <v>50000</v>
      </c>
      <c r="W41" s="58">
        <v>50000</v>
      </c>
      <c r="X41" s="58">
        <v>50000</v>
      </c>
      <c r="Y41" s="58">
        <v>50000</v>
      </c>
      <c r="Z41" s="58">
        <v>50000</v>
      </c>
      <c r="AA41" s="58">
        <f t="shared" si="0"/>
        <v>1200000</v>
      </c>
      <c r="AB41" s="53">
        <v>4</v>
      </c>
      <c r="AC41" s="58">
        <f t="shared" si="1"/>
        <v>4800000</v>
      </c>
      <c r="AD41" s="112"/>
    </row>
    <row r="42" spans="1:30" x14ac:dyDescent="0.35">
      <c r="A42" s="110"/>
      <c r="B42" s="60" t="s">
        <v>42</v>
      </c>
      <c r="C42" s="58"/>
      <c r="D42" s="58"/>
      <c r="E42" s="58"/>
      <c r="F42" s="58"/>
      <c r="G42" s="58"/>
      <c r="H42" s="58"/>
      <c r="I42" s="58"/>
      <c r="J42" s="58"/>
      <c r="K42" s="58"/>
      <c r="L42" s="58"/>
      <c r="M42" s="58"/>
      <c r="N42" s="58"/>
      <c r="O42" s="58"/>
      <c r="P42" s="58"/>
      <c r="Q42" s="58"/>
      <c r="R42" s="58"/>
      <c r="S42" s="58"/>
      <c r="T42" s="58"/>
      <c r="U42" s="58"/>
      <c r="V42" s="58"/>
      <c r="W42" s="58"/>
      <c r="X42" s="58"/>
      <c r="Y42" s="58"/>
      <c r="Z42" s="58"/>
      <c r="AA42" s="58">
        <f t="shared" si="0"/>
        <v>0</v>
      </c>
      <c r="AB42" s="53">
        <v>0</v>
      </c>
      <c r="AC42" s="58">
        <f t="shared" si="1"/>
        <v>0</v>
      </c>
      <c r="AD42" s="113"/>
    </row>
    <row r="43" spans="1:30" x14ac:dyDescent="0.35">
      <c r="A43" s="108">
        <v>48122</v>
      </c>
      <c r="B43" s="57" t="s">
        <v>39</v>
      </c>
      <c r="C43" s="58">
        <v>50000</v>
      </c>
      <c r="D43" s="58">
        <v>50000</v>
      </c>
      <c r="E43" s="58">
        <v>50000</v>
      </c>
      <c r="F43" s="58">
        <v>50000</v>
      </c>
      <c r="G43" s="58">
        <v>50000</v>
      </c>
      <c r="H43" s="58">
        <v>50000</v>
      </c>
      <c r="I43" s="58">
        <v>50000</v>
      </c>
      <c r="J43" s="58">
        <v>50000</v>
      </c>
      <c r="K43" s="58">
        <v>50000</v>
      </c>
      <c r="L43" s="58">
        <v>50000</v>
      </c>
      <c r="M43" s="58">
        <v>50000</v>
      </c>
      <c r="N43" s="58">
        <v>50000</v>
      </c>
      <c r="O43" s="58">
        <v>50000</v>
      </c>
      <c r="P43" s="58">
        <v>50000</v>
      </c>
      <c r="Q43" s="58">
        <v>50000</v>
      </c>
      <c r="R43" s="58">
        <v>50000</v>
      </c>
      <c r="S43" s="58">
        <v>50000</v>
      </c>
      <c r="T43" s="58">
        <v>50000</v>
      </c>
      <c r="U43" s="58">
        <v>50000</v>
      </c>
      <c r="V43" s="58">
        <v>50000</v>
      </c>
      <c r="W43" s="58">
        <v>50000</v>
      </c>
      <c r="X43" s="58">
        <v>50000</v>
      </c>
      <c r="Y43" s="58">
        <v>50000</v>
      </c>
      <c r="Z43" s="58">
        <v>50000</v>
      </c>
      <c r="AA43" s="58">
        <f t="shared" si="0"/>
        <v>1200000</v>
      </c>
      <c r="AB43" s="53">
        <v>22</v>
      </c>
      <c r="AC43" s="58">
        <f t="shared" si="1"/>
        <v>26400000</v>
      </c>
      <c r="AD43" s="111">
        <f>+SUM(AC43:AC46)</f>
        <v>37200000</v>
      </c>
    </row>
    <row r="44" spans="1:30" x14ac:dyDescent="0.35">
      <c r="A44" s="109"/>
      <c r="B44" s="59" t="s">
        <v>40</v>
      </c>
      <c r="C44" s="58">
        <v>50000</v>
      </c>
      <c r="D44" s="58">
        <v>50000</v>
      </c>
      <c r="E44" s="58">
        <v>50000</v>
      </c>
      <c r="F44" s="58">
        <v>50000</v>
      </c>
      <c r="G44" s="58">
        <v>50000</v>
      </c>
      <c r="H44" s="58">
        <v>50000</v>
      </c>
      <c r="I44" s="58">
        <v>50000</v>
      </c>
      <c r="J44" s="58">
        <v>50000</v>
      </c>
      <c r="K44" s="58">
        <v>50000</v>
      </c>
      <c r="L44" s="58">
        <v>50000</v>
      </c>
      <c r="M44" s="58">
        <v>50000</v>
      </c>
      <c r="N44" s="58">
        <v>50000</v>
      </c>
      <c r="O44" s="58">
        <v>50000</v>
      </c>
      <c r="P44" s="58">
        <v>50000</v>
      </c>
      <c r="Q44" s="58">
        <v>50000</v>
      </c>
      <c r="R44" s="58">
        <v>50000</v>
      </c>
      <c r="S44" s="58">
        <v>50000</v>
      </c>
      <c r="T44" s="58">
        <v>50000</v>
      </c>
      <c r="U44" s="58">
        <v>50000</v>
      </c>
      <c r="V44" s="58">
        <v>50000</v>
      </c>
      <c r="W44" s="58">
        <v>50000</v>
      </c>
      <c r="X44" s="58">
        <v>50000</v>
      </c>
      <c r="Y44" s="58">
        <v>50000</v>
      </c>
      <c r="Z44" s="58">
        <v>50000</v>
      </c>
      <c r="AA44" s="58">
        <f t="shared" si="0"/>
        <v>1200000</v>
      </c>
      <c r="AB44" s="53">
        <v>4</v>
      </c>
      <c r="AC44" s="58">
        <f t="shared" si="1"/>
        <v>4800000</v>
      </c>
      <c r="AD44" s="112"/>
    </row>
    <row r="45" spans="1:30" x14ac:dyDescent="0.35">
      <c r="A45" s="109"/>
      <c r="B45" s="59" t="s">
        <v>41</v>
      </c>
      <c r="C45" s="58">
        <v>50000</v>
      </c>
      <c r="D45" s="58">
        <v>50000</v>
      </c>
      <c r="E45" s="58">
        <v>50000</v>
      </c>
      <c r="F45" s="58">
        <v>50000</v>
      </c>
      <c r="G45" s="58">
        <v>50000</v>
      </c>
      <c r="H45" s="58">
        <v>50000</v>
      </c>
      <c r="I45" s="58">
        <v>50000</v>
      </c>
      <c r="J45" s="58">
        <v>50000</v>
      </c>
      <c r="K45" s="58">
        <v>50000</v>
      </c>
      <c r="L45" s="58">
        <v>50000</v>
      </c>
      <c r="M45" s="58">
        <v>50000</v>
      </c>
      <c r="N45" s="58">
        <v>50000</v>
      </c>
      <c r="O45" s="58">
        <v>50000</v>
      </c>
      <c r="P45" s="58">
        <v>50000</v>
      </c>
      <c r="Q45" s="58">
        <v>50000</v>
      </c>
      <c r="R45" s="58">
        <v>50000</v>
      </c>
      <c r="S45" s="58">
        <v>50000</v>
      </c>
      <c r="T45" s="58">
        <v>50000</v>
      </c>
      <c r="U45" s="58">
        <v>50000</v>
      </c>
      <c r="V45" s="58">
        <v>50000</v>
      </c>
      <c r="W45" s="58">
        <v>50000</v>
      </c>
      <c r="X45" s="58">
        <v>50000</v>
      </c>
      <c r="Y45" s="58">
        <v>50000</v>
      </c>
      <c r="Z45" s="58">
        <v>50000</v>
      </c>
      <c r="AA45" s="58">
        <f t="shared" si="0"/>
        <v>1200000</v>
      </c>
      <c r="AB45" s="53">
        <v>4</v>
      </c>
      <c r="AC45" s="58">
        <f t="shared" si="1"/>
        <v>4800000</v>
      </c>
      <c r="AD45" s="112"/>
    </row>
    <row r="46" spans="1:30" x14ac:dyDescent="0.35">
      <c r="A46" s="110"/>
      <c r="B46" s="60" t="s">
        <v>42</v>
      </c>
      <c r="C46" s="58">
        <v>50000</v>
      </c>
      <c r="D46" s="58">
        <v>50000</v>
      </c>
      <c r="E46" s="58">
        <v>50000</v>
      </c>
      <c r="F46" s="58">
        <v>50000</v>
      </c>
      <c r="G46" s="58">
        <v>50000</v>
      </c>
      <c r="H46" s="58">
        <v>50000</v>
      </c>
      <c r="I46" s="58">
        <v>50000</v>
      </c>
      <c r="J46" s="58">
        <v>50000</v>
      </c>
      <c r="K46" s="58">
        <v>50000</v>
      </c>
      <c r="L46" s="58">
        <v>50000</v>
      </c>
      <c r="M46" s="58">
        <v>50000</v>
      </c>
      <c r="N46" s="58">
        <v>50000</v>
      </c>
      <c r="O46" s="58">
        <v>50000</v>
      </c>
      <c r="P46" s="58">
        <v>50000</v>
      </c>
      <c r="Q46" s="58">
        <v>50000</v>
      </c>
      <c r="R46" s="58">
        <v>50000</v>
      </c>
      <c r="S46" s="58">
        <v>50000</v>
      </c>
      <c r="T46" s="58">
        <v>50000</v>
      </c>
      <c r="U46" s="58">
        <v>50000</v>
      </c>
      <c r="V46" s="58">
        <v>50000</v>
      </c>
      <c r="W46" s="58">
        <v>50000</v>
      </c>
      <c r="X46" s="58">
        <v>50000</v>
      </c>
      <c r="Y46" s="58">
        <v>50000</v>
      </c>
      <c r="Z46" s="58">
        <v>50000</v>
      </c>
      <c r="AA46" s="58">
        <f t="shared" si="0"/>
        <v>1200000</v>
      </c>
      <c r="AB46" s="53">
        <v>1</v>
      </c>
      <c r="AC46" s="58">
        <f t="shared" si="1"/>
        <v>1200000</v>
      </c>
      <c r="AD46" s="113"/>
    </row>
    <row r="47" spans="1:30" x14ac:dyDescent="0.35">
      <c r="A47" s="90">
        <v>48153</v>
      </c>
      <c r="B47" s="13" t="s">
        <v>39</v>
      </c>
      <c r="C47" s="58">
        <v>50000</v>
      </c>
      <c r="D47" s="58">
        <v>50000</v>
      </c>
      <c r="E47" s="58">
        <v>50000</v>
      </c>
      <c r="F47" s="58">
        <v>50000</v>
      </c>
      <c r="G47" s="58">
        <v>50000</v>
      </c>
      <c r="H47" s="58">
        <v>50000</v>
      </c>
      <c r="I47" s="58">
        <v>50000</v>
      </c>
      <c r="J47" s="58">
        <v>50000</v>
      </c>
      <c r="K47" s="58">
        <v>50000</v>
      </c>
      <c r="L47" s="58">
        <v>50000</v>
      </c>
      <c r="M47" s="58">
        <v>50000</v>
      </c>
      <c r="N47" s="58">
        <v>50000</v>
      </c>
      <c r="O47" s="58">
        <v>50000</v>
      </c>
      <c r="P47" s="58">
        <v>50000</v>
      </c>
      <c r="Q47" s="58">
        <v>50000</v>
      </c>
      <c r="R47" s="58">
        <v>50000</v>
      </c>
      <c r="S47" s="58">
        <v>50000</v>
      </c>
      <c r="T47" s="58">
        <v>50000</v>
      </c>
      <c r="U47" s="58">
        <v>50000</v>
      </c>
      <c r="V47" s="58">
        <v>50000</v>
      </c>
      <c r="W47" s="58">
        <v>50000</v>
      </c>
      <c r="X47" s="58">
        <v>50000</v>
      </c>
      <c r="Y47" s="58">
        <v>50000</v>
      </c>
      <c r="Z47" s="58">
        <v>50000</v>
      </c>
      <c r="AA47" s="15">
        <f t="shared" si="0"/>
        <v>1200000</v>
      </c>
      <c r="AB47" s="16">
        <v>18</v>
      </c>
      <c r="AC47" s="15">
        <f t="shared" si="1"/>
        <v>21600000</v>
      </c>
      <c r="AD47" s="105">
        <f>+SUM(AC47:AC50)</f>
        <v>36000000</v>
      </c>
    </row>
    <row r="48" spans="1:30" x14ac:dyDescent="0.35">
      <c r="A48" s="91"/>
      <c r="B48" s="17" t="s">
        <v>40</v>
      </c>
      <c r="C48" s="58">
        <v>50000</v>
      </c>
      <c r="D48" s="58">
        <v>50000</v>
      </c>
      <c r="E48" s="58">
        <v>50000</v>
      </c>
      <c r="F48" s="58">
        <v>50000</v>
      </c>
      <c r="G48" s="58">
        <v>50000</v>
      </c>
      <c r="H48" s="58">
        <v>50000</v>
      </c>
      <c r="I48" s="58">
        <v>50000</v>
      </c>
      <c r="J48" s="58">
        <v>50000</v>
      </c>
      <c r="K48" s="58">
        <v>50000</v>
      </c>
      <c r="L48" s="58">
        <v>50000</v>
      </c>
      <c r="M48" s="58">
        <v>50000</v>
      </c>
      <c r="N48" s="58">
        <v>50000</v>
      </c>
      <c r="O48" s="58">
        <v>50000</v>
      </c>
      <c r="P48" s="58">
        <v>50000</v>
      </c>
      <c r="Q48" s="58">
        <v>50000</v>
      </c>
      <c r="R48" s="58">
        <v>50000</v>
      </c>
      <c r="S48" s="58">
        <v>50000</v>
      </c>
      <c r="T48" s="58">
        <v>50000</v>
      </c>
      <c r="U48" s="58">
        <v>50000</v>
      </c>
      <c r="V48" s="58">
        <v>50000</v>
      </c>
      <c r="W48" s="58">
        <v>50000</v>
      </c>
      <c r="X48" s="58">
        <v>50000</v>
      </c>
      <c r="Y48" s="58">
        <v>50000</v>
      </c>
      <c r="Z48" s="58">
        <v>50000</v>
      </c>
      <c r="AA48" s="15">
        <f t="shared" si="0"/>
        <v>1200000</v>
      </c>
      <c r="AB48" s="16">
        <v>5</v>
      </c>
      <c r="AC48" s="15">
        <f t="shared" si="1"/>
        <v>6000000</v>
      </c>
      <c r="AD48" s="106"/>
    </row>
    <row r="49" spans="1:30" x14ac:dyDescent="0.35">
      <c r="A49" s="91"/>
      <c r="B49" s="17" t="s">
        <v>41</v>
      </c>
      <c r="C49" s="58">
        <v>50000</v>
      </c>
      <c r="D49" s="58">
        <v>50000</v>
      </c>
      <c r="E49" s="58">
        <v>50000</v>
      </c>
      <c r="F49" s="58">
        <v>50000</v>
      </c>
      <c r="G49" s="58">
        <v>50000</v>
      </c>
      <c r="H49" s="58">
        <v>50000</v>
      </c>
      <c r="I49" s="58">
        <v>50000</v>
      </c>
      <c r="J49" s="58">
        <v>50000</v>
      </c>
      <c r="K49" s="58">
        <v>50000</v>
      </c>
      <c r="L49" s="58">
        <v>50000</v>
      </c>
      <c r="M49" s="58">
        <v>50000</v>
      </c>
      <c r="N49" s="58">
        <v>50000</v>
      </c>
      <c r="O49" s="58">
        <v>50000</v>
      </c>
      <c r="P49" s="58">
        <v>50000</v>
      </c>
      <c r="Q49" s="58">
        <v>50000</v>
      </c>
      <c r="R49" s="58">
        <v>50000</v>
      </c>
      <c r="S49" s="58">
        <v>50000</v>
      </c>
      <c r="T49" s="58">
        <v>50000</v>
      </c>
      <c r="U49" s="58">
        <v>50000</v>
      </c>
      <c r="V49" s="58">
        <v>50000</v>
      </c>
      <c r="W49" s="58">
        <v>50000</v>
      </c>
      <c r="X49" s="58">
        <v>50000</v>
      </c>
      <c r="Y49" s="58">
        <v>50000</v>
      </c>
      <c r="Z49" s="58">
        <v>50000</v>
      </c>
      <c r="AA49" s="15">
        <f t="shared" si="0"/>
        <v>1200000</v>
      </c>
      <c r="AB49" s="16">
        <v>5</v>
      </c>
      <c r="AC49" s="15">
        <f t="shared" si="1"/>
        <v>6000000</v>
      </c>
      <c r="AD49" s="106"/>
    </row>
    <row r="50" spans="1:30" x14ac:dyDescent="0.35">
      <c r="A50" s="92"/>
      <c r="B50" s="18" t="s">
        <v>42</v>
      </c>
      <c r="C50" s="58">
        <v>50000</v>
      </c>
      <c r="D50" s="58">
        <v>50000</v>
      </c>
      <c r="E50" s="58">
        <v>50000</v>
      </c>
      <c r="F50" s="58">
        <v>50000</v>
      </c>
      <c r="G50" s="58">
        <v>50000</v>
      </c>
      <c r="H50" s="58">
        <v>50000</v>
      </c>
      <c r="I50" s="58">
        <v>50000</v>
      </c>
      <c r="J50" s="58">
        <v>50000</v>
      </c>
      <c r="K50" s="58">
        <v>50000</v>
      </c>
      <c r="L50" s="58">
        <v>50000</v>
      </c>
      <c r="M50" s="58">
        <v>50000</v>
      </c>
      <c r="N50" s="58">
        <v>50000</v>
      </c>
      <c r="O50" s="58">
        <v>50000</v>
      </c>
      <c r="P50" s="58">
        <v>50000</v>
      </c>
      <c r="Q50" s="58">
        <v>50000</v>
      </c>
      <c r="R50" s="58">
        <v>50000</v>
      </c>
      <c r="S50" s="58">
        <v>50000</v>
      </c>
      <c r="T50" s="58">
        <v>50000</v>
      </c>
      <c r="U50" s="58">
        <v>50000</v>
      </c>
      <c r="V50" s="58">
        <v>50000</v>
      </c>
      <c r="W50" s="58">
        <v>50000</v>
      </c>
      <c r="X50" s="58">
        <v>50000</v>
      </c>
      <c r="Y50" s="58">
        <v>50000</v>
      </c>
      <c r="Z50" s="58">
        <v>50000</v>
      </c>
      <c r="AA50" s="15">
        <f t="shared" si="0"/>
        <v>1200000</v>
      </c>
      <c r="AB50" s="16">
        <v>2</v>
      </c>
      <c r="AC50" s="15">
        <f t="shared" si="1"/>
        <v>2400000</v>
      </c>
      <c r="AD50" s="107"/>
    </row>
    <row r="51" spans="1:30" x14ac:dyDescent="0.35">
      <c r="A51" s="90">
        <v>48183</v>
      </c>
      <c r="B51" s="13" t="s">
        <v>39</v>
      </c>
      <c r="C51" s="58">
        <v>50000</v>
      </c>
      <c r="D51" s="58">
        <v>50000</v>
      </c>
      <c r="E51" s="58">
        <v>50000</v>
      </c>
      <c r="F51" s="58">
        <v>50000</v>
      </c>
      <c r="G51" s="58">
        <v>50000</v>
      </c>
      <c r="H51" s="58">
        <v>50000</v>
      </c>
      <c r="I51" s="58">
        <v>50000</v>
      </c>
      <c r="J51" s="58">
        <v>50000</v>
      </c>
      <c r="K51" s="58">
        <v>50000</v>
      </c>
      <c r="L51" s="58">
        <v>50000</v>
      </c>
      <c r="M51" s="58">
        <v>50000</v>
      </c>
      <c r="N51" s="58">
        <v>50000</v>
      </c>
      <c r="O51" s="58">
        <v>50000</v>
      </c>
      <c r="P51" s="58">
        <v>50000</v>
      </c>
      <c r="Q51" s="58">
        <v>50000</v>
      </c>
      <c r="R51" s="58">
        <v>50000</v>
      </c>
      <c r="S51" s="58">
        <v>50000</v>
      </c>
      <c r="T51" s="58">
        <v>50000</v>
      </c>
      <c r="U51" s="58">
        <v>50000</v>
      </c>
      <c r="V51" s="58">
        <v>50000</v>
      </c>
      <c r="W51" s="58">
        <v>50000</v>
      </c>
      <c r="X51" s="58">
        <v>50000</v>
      </c>
      <c r="Y51" s="58">
        <v>50000</v>
      </c>
      <c r="Z51" s="58">
        <v>50000</v>
      </c>
      <c r="AA51" s="15">
        <f t="shared" si="0"/>
        <v>1200000</v>
      </c>
      <c r="AB51" s="16">
        <v>21</v>
      </c>
      <c r="AC51" s="15">
        <f t="shared" si="1"/>
        <v>25200000</v>
      </c>
      <c r="AD51" s="105">
        <f>+SUM(AC51:AC54)</f>
        <v>37200000</v>
      </c>
    </row>
    <row r="52" spans="1:30" x14ac:dyDescent="0.35">
      <c r="A52" s="91"/>
      <c r="B52" s="17" t="s">
        <v>40</v>
      </c>
      <c r="C52" s="58">
        <v>50000</v>
      </c>
      <c r="D52" s="58">
        <v>50000</v>
      </c>
      <c r="E52" s="58">
        <v>50000</v>
      </c>
      <c r="F52" s="58">
        <v>50000</v>
      </c>
      <c r="G52" s="58">
        <v>50000</v>
      </c>
      <c r="H52" s="58">
        <v>50000</v>
      </c>
      <c r="I52" s="58">
        <v>50000</v>
      </c>
      <c r="J52" s="58">
        <v>50000</v>
      </c>
      <c r="K52" s="58">
        <v>50000</v>
      </c>
      <c r="L52" s="58">
        <v>50000</v>
      </c>
      <c r="M52" s="58">
        <v>50000</v>
      </c>
      <c r="N52" s="58">
        <v>50000</v>
      </c>
      <c r="O52" s="58">
        <v>50000</v>
      </c>
      <c r="P52" s="58">
        <v>50000</v>
      </c>
      <c r="Q52" s="58">
        <v>50000</v>
      </c>
      <c r="R52" s="58">
        <v>50000</v>
      </c>
      <c r="S52" s="58">
        <v>50000</v>
      </c>
      <c r="T52" s="58">
        <v>50000</v>
      </c>
      <c r="U52" s="58">
        <v>50000</v>
      </c>
      <c r="V52" s="58">
        <v>50000</v>
      </c>
      <c r="W52" s="58">
        <v>50000</v>
      </c>
      <c r="X52" s="58">
        <v>50000</v>
      </c>
      <c r="Y52" s="58">
        <v>50000</v>
      </c>
      <c r="Z52" s="58">
        <v>50000</v>
      </c>
      <c r="AA52" s="15">
        <f t="shared" si="0"/>
        <v>1200000</v>
      </c>
      <c r="AB52" s="16">
        <v>4</v>
      </c>
      <c r="AC52" s="15">
        <f t="shared" si="1"/>
        <v>4800000</v>
      </c>
      <c r="AD52" s="106"/>
    </row>
    <row r="53" spans="1:30" x14ac:dyDescent="0.35">
      <c r="A53" s="91"/>
      <c r="B53" s="17" t="s">
        <v>41</v>
      </c>
      <c r="C53" s="58">
        <v>50000</v>
      </c>
      <c r="D53" s="58">
        <v>50000</v>
      </c>
      <c r="E53" s="58">
        <v>50000</v>
      </c>
      <c r="F53" s="58">
        <v>50000</v>
      </c>
      <c r="G53" s="58">
        <v>50000</v>
      </c>
      <c r="H53" s="58">
        <v>50000</v>
      </c>
      <c r="I53" s="58">
        <v>50000</v>
      </c>
      <c r="J53" s="58">
        <v>50000</v>
      </c>
      <c r="K53" s="58">
        <v>50000</v>
      </c>
      <c r="L53" s="58">
        <v>50000</v>
      </c>
      <c r="M53" s="58">
        <v>50000</v>
      </c>
      <c r="N53" s="58">
        <v>50000</v>
      </c>
      <c r="O53" s="58">
        <v>50000</v>
      </c>
      <c r="P53" s="58">
        <v>50000</v>
      </c>
      <c r="Q53" s="58">
        <v>50000</v>
      </c>
      <c r="R53" s="58">
        <v>50000</v>
      </c>
      <c r="S53" s="58">
        <v>50000</v>
      </c>
      <c r="T53" s="58">
        <v>50000</v>
      </c>
      <c r="U53" s="58">
        <v>50000</v>
      </c>
      <c r="V53" s="58">
        <v>50000</v>
      </c>
      <c r="W53" s="58">
        <v>50000</v>
      </c>
      <c r="X53" s="58">
        <v>50000</v>
      </c>
      <c r="Y53" s="58">
        <v>50000</v>
      </c>
      <c r="Z53" s="58">
        <v>50000</v>
      </c>
      <c r="AA53" s="15">
        <f t="shared" si="0"/>
        <v>1200000</v>
      </c>
      <c r="AB53" s="16">
        <v>4</v>
      </c>
      <c r="AC53" s="15">
        <f t="shared" si="1"/>
        <v>4800000</v>
      </c>
      <c r="AD53" s="106"/>
    </row>
    <row r="54" spans="1:30" x14ac:dyDescent="0.35">
      <c r="A54" s="92"/>
      <c r="B54" s="18" t="s">
        <v>42</v>
      </c>
      <c r="C54" s="58">
        <v>50000</v>
      </c>
      <c r="D54" s="58">
        <v>50000</v>
      </c>
      <c r="E54" s="58">
        <v>50000</v>
      </c>
      <c r="F54" s="58">
        <v>50000</v>
      </c>
      <c r="G54" s="58">
        <v>50000</v>
      </c>
      <c r="H54" s="58">
        <v>50000</v>
      </c>
      <c r="I54" s="58">
        <v>50000</v>
      </c>
      <c r="J54" s="58">
        <v>50000</v>
      </c>
      <c r="K54" s="58">
        <v>50000</v>
      </c>
      <c r="L54" s="58">
        <v>50000</v>
      </c>
      <c r="M54" s="58">
        <v>50000</v>
      </c>
      <c r="N54" s="58">
        <v>50000</v>
      </c>
      <c r="O54" s="58">
        <v>50000</v>
      </c>
      <c r="P54" s="58">
        <v>50000</v>
      </c>
      <c r="Q54" s="58">
        <v>50000</v>
      </c>
      <c r="R54" s="58">
        <v>50000</v>
      </c>
      <c r="S54" s="58">
        <v>50000</v>
      </c>
      <c r="T54" s="58">
        <v>50000</v>
      </c>
      <c r="U54" s="58">
        <v>50000</v>
      </c>
      <c r="V54" s="58">
        <v>50000</v>
      </c>
      <c r="W54" s="58">
        <v>50000</v>
      </c>
      <c r="X54" s="58">
        <v>50000</v>
      </c>
      <c r="Y54" s="58">
        <v>50000</v>
      </c>
      <c r="Z54" s="58">
        <v>50000</v>
      </c>
      <c r="AA54" s="15">
        <f t="shared" si="0"/>
        <v>1200000</v>
      </c>
      <c r="AB54" s="16">
        <v>2</v>
      </c>
      <c r="AC54" s="15">
        <f t="shared" si="1"/>
        <v>2400000</v>
      </c>
      <c r="AD54" s="107"/>
    </row>
    <row r="55" spans="1:30" x14ac:dyDescent="0.35">
      <c r="AD55" s="24">
        <f>+SUM(AD7:AD54)</f>
        <v>438000000</v>
      </c>
    </row>
    <row r="58" spans="1:30" x14ac:dyDescent="0.35">
      <c r="C58" s="25"/>
      <c r="D58" s="25"/>
      <c r="E58" s="25"/>
      <c r="F58" s="25"/>
      <c r="G58" s="25"/>
      <c r="H58" s="25"/>
      <c r="I58" s="25"/>
      <c r="J58" s="25"/>
      <c r="K58" s="25"/>
      <c r="L58" s="25"/>
      <c r="M58" s="25"/>
      <c r="N58" s="25"/>
      <c r="O58" s="25"/>
      <c r="P58" s="25"/>
      <c r="Q58" s="25"/>
      <c r="R58" s="25"/>
      <c r="S58" s="25"/>
      <c r="T58" s="25"/>
      <c r="U58" s="25"/>
      <c r="V58" s="25"/>
      <c r="W58" s="25"/>
      <c r="X58" s="25"/>
      <c r="Y58" s="25"/>
      <c r="Z58" s="25"/>
    </row>
  </sheetData>
  <mergeCells count="28">
    <mergeCell ref="A47:A50"/>
    <mergeCell ref="AD47:AD50"/>
    <mergeCell ref="A51:A54"/>
    <mergeCell ref="AD51:AD54"/>
    <mergeCell ref="A35:A38"/>
    <mergeCell ref="AD35:AD38"/>
    <mergeCell ref="A39:A42"/>
    <mergeCell ref="AD39:AD42"/>
    <mergeCell ref="A43:A46"/>
    <mergeCell ref="AD43:AD46"/>
    <mergeCell ref="A23:A26"/>
    <mergeCell ref="AD23:AD26"/>
    <mergeCell ref="A27:A30"/>
    <mergeCell ref="AD27:AD30"/>
    <mergeCell ref="A31:A34"/>
    <mergeCell ref="AD31:AD34"/>
    <mergeCell ref="A11:A14"/>
    <mergeCell ref="AD11:AD14"/>
    <mergeCell ref="A15:A18"/>
    <mergeCell ref="AD15:AD18"/>
    <mergeCell ref="A19:A22"/>
    <mergeCell ref="AD19:AD22"/>
    <mergeCell ref="AD7:AD10"/>
    <mergeCell ref="A1:D1"/>
    <mergeCell ref="A2:M2"/>
    <mergeCell ref="A4:B4"/>
    <mergeCell ref="C4:D4"/>
    <mergeCell ref="A7:A10"/>
  </mergeCell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6ebbfa72-b3b6-4c1f-8b23-058d4f67f013}" enabled="1" method="Privileged" siteId="{bf1ce8b5-5d39-4bc5-ad6e-07b3e4d7d67a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18</vt:i4>
      </vt:variant>
    </vt:vector>
  </HeadingPairs>
  <TitlesOfParts>
    <vt:vector size="18" baseType="lpstr">
      <vt:lpstr>OF P1</vt:lpstr>
      <vt:lpstr>CURVA P1</vt:lpstr>
      <vt:lpstr>OF P2 </vt:lpstr>
      <vt:lpstr>PLANA P2 </vt:lpstr>
      <vt:lpstr>OF P3</vt:lpstr>
      <vt:lpstr>CURVA P3</vt:lpstr>
      <vt:lpstr>OF P4</vt:lpstr>
      <vt:lpstr>CURVA P4</vt:lpstr>
      <vt:lpstr>OF P5</vt:lpstr>
      <vt:lpstr>PLANA P5</vt:lpstr>
      <vt:lpstr>OF P6</vt:lpstr>
      <vt:lpstr>CURVA P6</vt:lpstr>
      <vt:lpstr>OF P7</vt:lpstr>
      <vt:lpstr>PLANA P7</vt:lpstr>
      <vt:lpstr>OF P8</vt:lpstr>
      <vt:lpstr>CURVA P8</vt:lpstr>
      <vt:lpstr>OF P9</vt:lpstr>
      <vt:lpstr>PLANA P9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IVAN ANTONIO CLAVIJO CACERES</dc:creator>
  <cp:lastModifiedBy>MARCELA VANESSA COLMENARES VILLAMIZAR</cp:lastModifiedBy>
  <dcterms:created xsi:type="dcterms:W3CDTF">2024-08-30T16:40:26Z</dcterms:created>
  <dcterms:modified xsi:type="dcterms:W3CDTF">2026-04-24T20:40:00Z</dcterms:modified>
</cp:coreProperties>
</file>