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pmco.sharepoint.com/sites/file-7501-ute/7501_TCE/CompraEnergia/ComprasBilateralesSICEP/CompraCRW335753-2025/SICEP/"/>
    </mc:Choice>
  </mc:AlternateContent>
  <xr:revisionPtr revIDLastSave="381" documentId="14_{44A8E853-3705-4256-9B74-AADE9313159D}" xr6:coauthVersionLast="47" xr6:coauthVersionMax="47" xr10:uidLastSave="{395EB8F9-0ADA-4041-8B8D-C8DB6B83EC61}"/>
  <bookViews>
    <workbookView xWindow="-110" yWindow="-110" windowWidth="19420" windowHeight="10300" firstSheet="3" activeTab="5" xr2:uid="{973B4848-E2D4-4964-BCF6-5DB1BE618D36}"/>
  </bookViews>
  <sheets>
    <sheet name="Cantidades Producto 1" sheetId="29" r:id="rId1"/>
    <sheet name="Cantidades Producto 2" sheetId="30" r:id="rId2"/>
    <sheet name="Cantidades Producto 3" sheetId="31" r:id="rId3"/>
    <sheet name="Cantidades Producto 4" sheetId="16" r:id="rId4"/>
    <sheet name="Cantidades Producto 5" sheetId="40" r:id="rId5"/>
    <sheet name="Oferta Producto 1" sheetId="32" r:id="rId6"/>
    <sheet name="Oferta Producto 2" sheetId="33" r:id="rId7"/>
    <sheet name="Oferta Producto 3" sheetId="34" r:id="rId8"/>
    <sheet name="Oferta Producto 4" sheetId="39" r:id="rId9"/>
    <sheet name="Oferta Producto 5" sheetId="41" r:id="rId10"/>
    <sheet name="Oferta Horaria Productos 1-5" sheetId="14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xlnm.Print_Area" localSheetId="5">'Oferta Producto 1'!$B$2:$I$17</definedName>
    <definedName name="_xlnm.Print_Area" localSheetId="6">'Oferta Producto 2'!$B$2:$I$17</definedName>
    <definedName name="_xlnm.Print_Area" localSheetId="7">'Oferta Producto 3'!$B$2:$I$17</definedName>
    <definedName name="_xlnm.Print_Area" localSheetId="8">'Oferta Producto 4'!$B$2:$I$17</definedName>
    <definedName name="_xlnm.Print_Area" localSheetId="9">'Oferta Producto 5'!$B$2:$I$17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3" i="41" l="1"/>
  <c r="C23" i="34"/>
  <c r="C23" i="33"/>
  <c r="C23" i="32"/>
  <c r="C20" i="41"/>
  <c r="C19" i="41"/>
  <c r="C18" i="41"/>
  <c r="C17" i="41"/>
  <c r="C16" i="41"/>
  <c r="C15" i="41"/>
  <c r="C14" i="41"/>
  <c r="C13" i="41"/>
  <c r="C12" i="41"/>
  <c r="C11" i="41"/>
  <c r="C10" i="41"/>
  <c r="C9" i="41"/>
  <c r="F8" i="40" l="1"/>
  <c r="G8" i="40"/>
  <c r="H8" i="40"/>
  <c r="I8" i="40"/>
  <c r="J8" i="40"/>
  <c r="K8" i="40"/>
  <c r="L8" i="40"/>
  <c r="M8" i="40"/>
  <c r="N8" i="40"/>
  <c r="O8" i="40"/>
  <c r="P8" i="40"/>
  <c r="Q8" i="40"/>
  <c r="R8" i="40"/>
  <c r="S8" i="40"/>
  <c r="T8" i="40"/>
  <c r="U8" i="40"/>
  <c r="V8" i="40"/>
  <c r="W8" i="40"/>
  <c r="X8" i="40"/>
  <c r="Y8" i="40"/>
  <c r="Z8" i="40"/>
  <c r="AA8" i="40"/>
  <c r="AB8" i="40"/>
  <c r="AC8" i="40"/>
  <c r="F9" i="40"/>
  <c r="G9" i="40"/>
  <c r="H9" i="40"/>
  <c r="I9" i="40"/>
  <c r="J9" i="40"/>
  <c r="K9" i="40"/>
  <c r="L9" i="40"/>
  <c r="M9" i="40"/>
  <c r="N9" i="40"/>
  <c r="O9" i="40"/>
  <c r="P9" i="40"/>
  <c r="Q9" i="40"/>
  <c r="R9" i="40"/>
  <c r="S9" i="40"/>
  <c r="T9" i="40"/>
  <c r="U9" i="40"/>
  <c r="V9" i="40"/>
  <c r="W9" i="40"/>
  <c r="X9" i="40"/>
  <c r="Y9" i="40"/>
  <c r="Z9" i="40"/>
  <c r="AA9" i="40"/>
  <c r="AB9" i="40"/>
  <c r="AC9" i="40"/>
  <c r="F10" i="40"/>
  <c r="G10" i="40"/>
  <c r="H10" i="40"/>
  <c r="I10" i="40"/>
  <c r="J10" i="40"/>
  <c r="K10" i="40"/>
  <c r="L10" i="40"/>
  <c r="M10" i="40"/>
  <c r="N10" i="40"/>
  <c r="O10" i="40"/>
  <c r="P10" i="40"/>
  <c r="Q10" i="40"/>
  <c r="R10" i="40"/>
  <c r="S10" i="40"/>
  <c r="T10" i="40"/>
  <c r="U10" i="40"/>
  <c r="V10" i="40"/>
  <c r="W10" i="40"/>
  <c r="X10" i="40"/>
  <c r="Y10" i="40"/>
  <c r="Z10" i="40"/>
  <c r="AA10" i="40"/>
  <c r="AB10" i="40"/>
  <c r="AC10" i="40"/>
  <c r="F11" i="40"/>
  <c r="G11" i="40"/>
  <c r="H11" i="40"/>
  <c r="I11" i="40"/>
  <c r="J11" i="40"/>
  <c r="K11" i="40"/>
  <c r="L11" i="40"/>
  <c r="M11" i="40"/>
  <c r="N11" i="40"/>
  <c r="O11" i="40"/>
  <c r="P11" i="40"/>
  <c r="Q11" i="40"/>
  <c r="R11" i="40"/>
  <c r="S11" i="40"/>
  <c r="T11" i="40"/>
  <c r="U11" i="40"/>
  <c r="V11" i="40"/>
  <c r="W11" i="40"/>
  <c r="X11" i="40"/>
  <c r="Y11" i="40"/>
  <c r="Z11" i="40"/>
  <c r="AA11" i="40"/>
  <c r="AB11" i="40"/>
  <c r="AC11" i="40"/>
  <c r="F12" i="40"/>
  <c r="G12" i="40"/>
  <c r="H12" i="40"/>
  <c r="I12" i="40"/>
  <c r="J12" i="40"/>
  <c r="K12" i="40"/>
  <c r="L12" i="40"/>
  <c r="M12" i="40"/>
  <c r="N12" i="40"/>
  <c r="O12" i="40"/>
  <c r="P12" i="40"/>
  <c r="Q12" i="40"/>
  <c r="R12" i="40"/>
  <c r="S12" i="40"/>
  <c r="T12" i="40"/>
  <c r="U12" i="40"/>
  <c r="V12" i="40"/>
  <c r="W12" i="40"/>
  <c r="X12" i="40"/>
  <c r="Y12" i="40"/>
  <c r="Z12" i="40"/>
  <c r="AA12" i="40"/>
  <c r="AB12" i="40"/>
  <c r="AC12" i="40"/>
  <c r="F13" i="40"/>
  <c r="G13" i="40"/>
  <c r="H13" i="40"/>
  <c r="I13" i="40"/>
  <c r="J13" i="40"/>
  <c r="K13" i="40"/>
  <c r="L13" i="40"/>
  <c r="M13" i="40"/>
  <c r="N13" i="40"/>
  <c r="O13" i="40"/>
  <c r="P13" i="40"/>
  <c r="Q13" i="40"/>
  <c r="R13" i="40"/>
  <c r="S13" i="40"/>
  <c r="T13" i="40"/>
  <c r="U13" i="40"/>
  <c r="V13" i="40"/>
  <c r="W13" i="40"/>
  <c r="X13" i="40"/>
  <c r="Y13" i="40"/>
  <c r="Z13" i="40"/>
  <c r="AA13" i="40"/>
  <c r="AB13" i="40"/>
  <c r="AC13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Z14" i="40"/>
  <c r="AA14" i="40"/>
  <c r="AB14" i="40"/>
  <c r="AC14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Z15" i="40"/>
  <c r="AA15" i="40"/>
  <c r="AB15" i="40"/>
  <c r="AC15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Z16" i="40"/>
  <c r="AA16" i="40"/>
  <c r="AB16" i="40"/>
  <c r="AC16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Z17" i="40"/>
  <c r="AA17" i="40"/>
  <c r="AB17" i="40"/>
  <c r="AC17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Z18" i="40"/>
  <c r="AA18" i="40"/>
  <c r="AB18" i="40"/>
  <c r="AC18" i="40"/>
  <c r="F19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Z19" i="40"/>
  <c r="AA19" i="40"/>
  <c r="AB19" i="40"/>
  <c r="AC19" i="40"/>
  <c r="F20" i="40"/>
  <c r="G20" i="40"/>
  <c r="H20" i="40"/>
  <c r="I20" i="40"/>
  <c r="J20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W20" i="40"/>
  <c r="X20" i="40"/>
  <c r="Y20" i="40"/>
  <c r="Z20" i="40"/>
  <c r="AA20" i="40"/>
  <c r="AB20" i="40"/>
  <c r="AC20" i="40"/>
  <c r="F21" i="40"/>
  <c r="G21" i="40"/>
  <c r="H21" i="40"/>
  <c r="I21" i="40"/>
  <c r="J21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W21" i="40"/>
  <c r="X21" i="40"/>
  <c r="Y21" i="40"/>
  <c r="Z21" i="40"/>
  <c r="AA21" i="40"/>
  <c r="AB21" i="40"/>
  <c r="AC21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W22" i="40"/>
  <c r="X22" i="40"/>
  <c r="Y22" i="40"/>
  <c r="Z22" i="40"/>
  <c r="AA22" i="40"/>
  <c r="AB22" i="40"/>
  <c r="AC22" i="40"/>
  <c r="F23" i="40"/>
  <c r="G23" i="40"/>
  <c r="H23" i="40"/>
  <c r="I23" i="40"/>
  <c r="J23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W23" i="40"/>
  <c r="X23" i="40"/>
  <c r="Y23" i="40"/>
  <c r="Z23" i="40"/>
  <c r="AA23" i="40"/>
  <c r="AB23" i="40"/>
  <c r="AC23" i="40"/>
  <c r="F24" i="40"/>
  <c r="G24" i="40"/>
  <c r="H24" i="40"/>
  <c r="I24" i="40"/>
  <c r="J24" i="40"/>
  <c r="K24" i="40"/>
  <c r="L24" i="40"/>
  <c r="M24" i="40"/>
  <c r="N24" i="40"/>
  <c r="O24" i="40"/>
  <c r="P24" i="40"/>
  <c r="Q24" i="40"/>
  <c r="R24" i="40"/>
  <c r="S24" i="40"/>
  <c r="T24" i="40"/>
  <c r="U24" i="40"/>
  <c r="V24" i="40"/>
  <c r="W24" i="40"/>
  <c r="X24" i="40"/>
  <c r="Y24" i="40"/>
  <c r="Z24" i="40"/>
  <c r="AA24" i="40"/>
  <c r="AB24" i="40"/>
  <c r="AC24" i="40"/>
  <c r="F25" i="40"/>
  <c r="G25" i="40"/>
  <c r="H25" i="40"/>
  <c r="I25" i="40"/>
  <c r="J25" i="40"/>
  <c r="K25" i="40"/>
  <c r="L25" i="40"/>
  <c r="M25" i="40"/>
  <c r="N25" i="40"/>
  <c r="O25" i="40"/>
  <c r="P25" i="40"/>
  <c r="Q25" i="40"/>
  <c r="R25" i="40"/>
  <c r="S25" i="40"/>
  <c r="T25" i="40"/>
  <c r="U25" i="40"/>
  <c r="V25" i="40"/>
  <c r="W25" i="40"/>
  <c r="X25" i="40"/>
  <c r="Y25" i="40"/>
  <c r="Z25" i="40"/>
  <c r="AA25" i="40"/>
  <c r="AB25" i="40"/>
  <c r="AC25" i="40"/>
  <c r="F26" i="40"/>
  <c r="G26" i="40"/>
  <c r="H26" i="40"/>
  <c r="I26" i="40"/>
  <c r="J26" i="40"/>
  <c r="K26" i="40"/>
  <c r="L26" i="40"/>
  <c r="M26" i="40"/>
  <c r="N26" i="40"/>
  <c r="O26" i="40"/>
  <c r="P26" i="40"/>
  <c r="Q26" i="40"/>
  <c r="R26" i="40"/>
  <c r="S26" i="40"/>
  <c r="T26" i="40"/>
  <c r="U26" i="40"/>
  <c r="V26" i="40"/>
  <c r="W26" i="40"/>
  <c r="X26" i="40"/>
  <c r="Y26" i="40"/>
  <c r="Z26" i="40"/>
  <c r="AA26" i="40"/>
  <c r="AB26" i="40"/>
  <c r="AC26" i="40"/>
  <c r="F27" i="40"/>
  <c r="AD27" i="40" s="1"/>
  <c r="G27" i="40"/>
  <c r="H27" i="40"/>
  <c r="I27" i="40"/>
  <c r="J27" i="40"/>
  <c r="K27" i="40"/>
  <c r="L27" i="40"/>
  <c r="M27" i="40"/>
  <c r="N27" i="40"/>
  <c r="O27" i="40"/>
  <c r="P27" i="40"/>
  <c r="Q27" i="40"/>
  <c r="R27" i="40"/>
  <c r="S27" i="40"/>
  <c r="T27" i="40"/>
  <c r="U27" i="40"/>
  <c r="V27" i="40"/>
  <c r="W27" i="40"/>
  <c r="X27" i="40"/>
  <c r="Y27" i="40"/>
  <c r="Z27" i="40"/>
  <c r="AA27" i="40"/>
  <c r="AB27" i="40"/>
  <c r="AC27" i="40"/>
  <c r="F28" i="40"/>
  <c r="G28" i="40"/>
  <c r="H28" i="40"/>
  <c r="I28" i="40"/>
  <c r="J28" i="40"/>
  <c r="K28" i="40"/>
  <c r="L28" i="40"/>
  <c r="M28" i="40"/>
  <c r="N28" i="40"/>
  <c r="O28" i="40"/>
  <c r="P28" i="40"/>
  <c r="Q28" i="40"/>
  <c r="R28" i="40"/>
  <c r="S28" i="40"/>
  <c r="T28" i="40"/>
  <c r="U28" i="40"/>
  <c r="V28" i="40"/>
  <c r="W28" i="40"/>
  <c r="X28" i="40"/>
  <c r="Y28" i="40"/>
  <c r="Z28" i="40"/>
  <c r="AA28" i="40"/>
  <c r="AB28" i="40"/>
  <c r="AC28" i="40"/>
  <c r="F29" i="40"/>
  <c r="G29" i="40"/>
  <c r="H29" i="40"/>
  <c r="I29" i="40"/>
  <c r="J29" i="40"/>
  <c r="K29" i="40"/>
  <c r="L29" i="40"/>
  <c r="M29" i="40"/>
  <c r="N29" i="40"/>
  <c r="O29" i="40"/>
  <c r="P29" i="40"/>
  <c r="Q29" i="40"/>
  <c r="R29" i="40"/>
  <c r="S29" i="40"/>
  <c r="T29" i="40"/>
  <c r="U29" i="40"/>
  <c r="V29" i="40"/>
  <c r="W29" i="40"/>
  <c r="X29" i="40"/>
  <c r="Y29" i="40"/>
  <c r="Z29" i="40"/>
  <c r="AA29" i="40"/>
  <c r="AB29" i="40"/>
  <c r="AC29" i="40"/>
  <c r="F30" i="40"/>
  <c r="G30" i="40"/>
  <c r="H30" i="40"/>
  <c r="I30" i="40"/>
  <c r="J30" i="40"/>
  <c r="K30" i="40"/>
  <c r="L30" i="40"/>
  <c r="M30" i="40"/>
  <c r="N30" i="40"/>
  <c r="O30" i="40"/>
  <c r="P30" i="40"/>
  <c r="Q30" i="40"/>
  <c r="R30" i="40"/>
  <c r="S30" i="40"/>
  <c r="T30" i="40"/>
  <c r="U30" i="40"/>
  <c r="V30" i="40"/>
  <c r="W30" i="40"/>
  <c r="X30" i="40"/>
  <c r="Y30" i="40"/>
  <c r="Z30" i="40"/>
  <c r="AA30" i="40"/>
  <c r="AB30" i="40"/>
  <c r="AC30" i="40"/>
  <c r="F31" i="40"/>
  <c r="AD31" i="40" s="1"/>
  <c r="G31" i="40"/>
  <c r="H31" i="40"/>
  <c r="I31" i="40"/>
  <c r="J31" i="40"/>
  <c r="K31" i="40"/>
  <c r="L31" i="40"/>
  <c r="M31" i="40"/>
  <c r="N31" i="40"/>
  <c r="O31" i="40"/>
  <c r="P31" i="40"/>
  <c r="Q31" i="40"/>
  <c r="R31" i="40"/>
  <c r="S31" i="40"/>
  <c r="T31" i="40"/>
  <c r="U31" i="40"/>
  <c r="V31" i="40"/>
  <c r="W31" i="40"/>
  <c r="X31" i="40"/>
  <c r="Y31" i="40"/>
  <c r="Z31" i="40"/>
  <c r="AA31" i="40"/>
  <c r="AB31" i="40"/>
  <c r="AC31" i="40"/>
  <c r="F32" i="40"/>
  <c r="G32" i="40"/>
  <c r="H32" i="40"/>
  <c r="I32" i="40"/>
  <c r="J32" i="40"/>
  <c r="K32" i="40"/>
  <c r="L32" i="40"/>
  <c r="M32" i="40"/>
  <c r="N32" i="40"/>
  <c r="O32" i="40"/>
  <c r="P32" i="40"/>
  <c r="Q32" i="40"/>
  <c r="R32" i="40"/>
  <c r="S32" i="40"/>
  <c r="T32" i="40"/>
  <c r="U32" i="40"/>
  <c r="V32" i="40"/>
  <c r="W32" i="40"/>
  <c r="X32" i="40"/>
  <c r="Y32" i="40"/>
  <c r="Z32" i="40"/>
  <c r="AA32" i="40"/>
  <c r="AB32" i="40"/>
  <c r="AC32" i="40"/>
  <c r="F33" i="40"/>
  <c r="G33" i="40"/>
  <c r="H33" i="40"/>
  <c r="I33" i="40"/>
  <c r="J33" i="40"/>
  <c r="K33" i="40"/>
  <c r="L33" i="40"/>
  <c r="M33" i="40"/>
  <c r="N33" i="40"/>
  <c r="O33" i="40"/>
  <c r="P33" i="40"/>
  <c r="Q33" i="40"/>
  <c r="R33" i="40"/>
  <c r="S33" i="40"/>
  <c r="T33" i="40"/>
  <c r="U33" i="40"/>
  <c r="V33" i="40"/>
  <c r="W33" i="40"/>
  <c r="X33" i="40"/>
  <c r="Y33" i="40"/>
  <c r="Z33" i="40"/>
  <c r="AA33" i="40"/>
  <c r="AB33" i="40"/>
  <c r="AC33" i="40"/>
  <c r="F34" i="40"/>
  <c r="G34" i="40"/>
  <c r="H34" i="40"/>
  <c r="I34" i="40"/>
  <c r="J34" i="40"/>
  <c r="K34" i="40"/>
  <c r="L34" i="40"/>
  <c r="M34" i="40"/>
  <c r="N34" i="40"/>
  <c r="O34" i="40"/>
  <c r="P34" i="40"/>
  <c r="Q34" i="40"/>
  <c r="R34" i="40"/>
  <c r="S34" i="40"/>
  <c r="T34" i="40"/>
  <c r="U34" i="40"/>
  <c r="V34" i="40"/>
  <c r="W34" i="40"/>
  <c r="X34" i="40"/>
  <c r="Y34" i="40"/>
  <c r="Z34" i="40"/>
  <c r="AA34" i="40"/>
  <c r="AB34" i="40"/>
  <c r="AC34" i="40"/>
  <c r="F35" i="40"/>
  <c r="AD35" i="40" s="1"/>
  <c r="G35" i="40"/>
  <c r="H35" i="40"/>
  <c r="I35" i="40"/>
  <c r="J35" i="40"/>
  <c r="K35" i="40"/>
  <c r="L35" i="40"/>
  <c r="M35" i="40"/>
  <c r="N35" i="40"/>
  <c r="O35" i="40"/>
  <c r="P35" i="40"/>
  <c r="Q35" i="40"/>
  <c r="R35" i="40"/>
  <c r="S35" i="40"/>
  <c r="T35" i="40"/>
  <c r="U35" i="40"/>
  <c r="V35" i="40"/>
  <c r="W35" i="40"/>
  <c r="X35" i="40"/>
  <c r="Y35" i="40"/>
  <c r="Z35" i="40"/>
  <c r="AA35" i="40"/>
  <c r="AB35" i="40"/>
  <c r="AC35" i="40"/>
  <c r="F36" i="40"/>
  <c r="G36" i="40"/>
  <c r="H36" i="40"/>
  <c r="I36" i="40"/>
  <c r="J36" i="40"/>
  <c r="K36" i="40"/>
  <c r="L36" i="40"/>
  <c r="M36" i="40"/>
  <c r="N36" i="40"/>
  <c r="O36" i="40"/>
  <c r="P36" i="40"/>
  <c r="Q36" i="40"/>
  <c r="R36" i="40"/>
  <c r="S36" i="40"/>
  <c r="T36" i="40"/>
  <c r="U36" i="40"/>
  <c r="V36" i="40"/>
  <c r="W36" i="40"/>
  <c r="X36" i="40"/>
  <c r="Y36" i="40"/>
  <c r="Z36" i="40"/>
  <c r="AA36" i="40"/>
  <c r="AB36" i="40"/>
  <c r="AC36" i="40"/>
  <c r="F37" i="40"/>
  <c r="G37" i="40"/>
  <c r="H37" i="40"/>
  <c r="I37" i="40"/>
  <c r="J37" i="40"/>
  <c r="K37" i="40"/>
  <c r="L37" i="40"/>
  <c r="M37" i="40"/>
  <c r="N37" i="40"/>
  <c r="O37" i="40"/>
  <c r="P37" i="40"/>
  <c r="Q37" i="40"/>
  <c r="R37" i="40"/>
  <c r="S37" i="40"/>
  <c r="T37" i="40"/>
  <c r="U37" i="40"/>
  <c r="V37" i="40"/>
  <c r="W37" i="40"/>
  <c r="X37" i="40"/>
  <c r="Y37" i="40"/>
  <c r="Z37" i="40"/>
  <c r="AA37" i="40"/>
  <c r="AB37" i="40"/>
  <c r="AC37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Z38" i="40"/>
  <c r="AA38" i="40"/>
  <c r="AB38" i="40"/>
  <c r="AC38" i="40"/>
  <c r="F39" i="40"/>
  <c r="G39" i="40"/>
  <c r="H39" i="40"/>
  <c r="I39" i="40"/>
  <c r="J39" i="40"/>
  <c r="K39" i="40"/>
  <c r="L39" i="40"/>
  <c r="M39" i="40"/>
  <c r="N39" i="40"/>
  <c r="O39" i="40"/>
  <c r="P39" i="40"/>
  <c r="Q39" i="40"/>
  <c r="R39" i="40"/>
  <c r="S39" i="40"/>
  <c r="T39" i="40"/>
  <c r="U39" i="40"/>
  <c r="V39" i="40"/>
  <c r="W39" i="40"/>
  <c r="X39" i="40"/>
  <c r="Y39" i="40"/>
  <c r="Z39" i="40"/>
  <c r="AA39" i="40"/>
  <c r="AB39" i="40"/>
  <c r="AC39" i="40"/>
  <c r="F40" i="40"/>
  <c r="G40" i="40"/>
  <c r="H40" i="40"/>
  <c r="I40" i="40"/>
  <c r="J40" i="40"/>
  <c r="K40" i="40"/>
  <c r="L40" i="40"/>
  <c r="M40" i="40"/>
  <c r="N40" i="40"/>
  <c r="O40" i="40"/>
  <c r="P40" i="40"/>
  <c r="Q40" i="40"/>
  <c r="R40" i="40"/>
  <c r="S40" i="40"/>
  <c r="T40" i="40"/>
  <c r="U40" i="40"/>
  <c r="V40" i="40"/>
  <c r="W40" i="40"/>
  <c r="X40" i="40"/>
  <c r="Y40" i="40"/>
  <c r="Z40" i="40"/>
  <c r="AA40" i="40"/>
  <c r="AB40" i="40"/>
  <c r="AC40" i="40"/>
  <c r="F41" i="40"/>
  <c r="G41" i="40"/>
  <c r="H41" i="40"/>
  <c r="I41" i="40"/>
  <c r="J41" i="40"/>
  <c r="K41" i="40"/>
  <c r="L41" i="40"/>
  <c r="M41" i="40"/>
  <c r="N41" i="40"/>
  <c r="O41" i="40"/>
  <c r="P41" i="40"/>
  <c r="Q41" i="40"/>
  <c r="R41" i="40"/>
  <c r="S41" i="40"/>
  <c r="T41" i="40"/>
  <c r="U41" i="40"/>
  <c r="V41" i="40"/>
  <c r="W41" i="40"/>
  <c r="X41" i="40"/>
  <c r="Y41" i="40"/>
  <c r="Z41" i="40"/>
  <c r="AA41" i="40"/>
  <c r="AB41" i="40"/>
  <c r="AC41" i="40"/>
  <c r="F42" i="40"/>
  <c r="G42" i="40"/>
  <c r="H42" i="40"/>
  <c r="I42" i="40"/>
  <c r="J42" i="40"/>
  <c r="K42" i="40"/>
  <c r="L42" i="40"/>
  <c r="M42" i="40"/>
  <c r="N42" i="40"/>
  <c r="O42" i="40"/>
  <c r="P42" i="40"/>
  <c r="Q42" i="40"/>
  <c r="R42" i="40"/>
  <c r="S42" i="40"/>
  <c r="T42" i="40"/>
  <c r="U42" i="40"/>
  <c r="V42" i="40"/>
  <c r="W42" i="40"/>
  <c r="X42" i="40"/>
  <c r="Y42" i="40"/>
  <c r="Z42" i="40"/>
  <c r="AA42" i="40"/>
  <c r="AB42" i="40"/>
  <c r="AC42" i="40"/>
  <c r="F43" i="40"/>
  <c r="G43" i="40"/>
  <c r="H43" i="40"/>
  <c r="I43" i="40"/>
  <c r="J43" i="40"/>
  <c r="K43" i="40"/>
  <c r="L43" i="40"/>
  <c r="M43" i="40"/>
  <c r="N43" i="40"/>
  <c r="O43" i="40"/>
  <c r="P43" i="40"/>
  <c r="Q43" i="40"/>
  <c r="R43" i="40"/>
  <c r="S43" i="40"/>
  <c r="T43" i="40"/>
  <c r="U43" i="40"/>
  <c r="V43" i="40"/>
  <c r="W43" i="40"/>
  <c r="X43" i="40"/>
  <c r="Y43" i="40"/>
  <c r="Z43" i="40"/>
  <c r="AA43" i="40"/>
  <c r="AB43" i="40"/>
  <c r="AC43" i="40"/>
  <c r="F44" i="40"/>
  <c r="G44" i="40"/>
  <c r="H44" i="40"/>
  <c r="I44" i="40"/>
  <c r="J44" i="40"/>
  <c r="K44" i="40"/>
  <c r="L44" i="40"/>
  <c r="M44" i="40"/>
  <c r="N44" i="40"/>
  <c r="O44" i="40"/>
  <c r="P44" i="40"/>
  <c r="Q44" i="40"/>
  <c r="R44" i="40"/>
  <c r="S44" i="40"/>
  <c r="T44" i="40"/>
  <c r="U44" i="40"/>
  <c r="V44" i="40"/>
  <c r="W44" i="40"/>
  <c r="X44" i="40"/>
  <c r="Y44" i="40"/>
  <c r="Z44" i="40"/>
  <c r="AA44" i="40"/>
  <c r="AB44" i="40"/>
  <c r="AC44" i="40"/>
  <c r="F45" i="40"/>
  <c r="G45" i="40"/>
  <c r="H45" i="40"/>
  <c r="I45" i="40"/>
  <c r="J45" i="40"/>
  <c r="K45" i="40"/>
  <c r="L45" i="40"/>
  <c r="M45" i="40"/>
  <c r="N45" i="40"/>
  <c r="O45" i="40"/>
  <c r="P45" i="40"/>
  <c r="Q45" i="40"/>
  <c r="R45" i="40"/>
  <c r="S45" i="40"/>
  <c r="T45" i="40"/>
  <c r="U45" i="40"/>
  <c r="V45" i="40"/>
  <c r="W45" i="40"/>
  <c r="X45" i="40"/>
  <c r="Y45" i="40"/>
  <c r="Z45" i="40"/>
  <c r="AA45" i="40"/>
  <c r="AB45" i="40"/>
  <c r="AC45" i="40"/>
  <c r="F46" i="40"/>
  <c r="G46" i="40"/>
  <c r="H46" i="40"/>
  <c r="I46" i="40"/>
  <c r="J46" i="40"/>
  <c r="K46" i="40"/>
  <c r="L46" i="40"/>
  <c r="M46" i="40"/>
  <c r="N46" i="40"/>
  <c r="O46" i="40"/>
  <c r="P46" i="40"/>
  <c r="Q46" i="40"/>
  <c r="R46" i="40"/>
  <c r="S46" i="40"/>
  <c r="T46" i="40"/>
  <c r="U46" i="40"/>
  <c r="V46" i="40"/>
  <c r="W46" i="40"/>
  <c r="X46" i="40"/>
  <c r="Y46" i="40"/>
  <c r="Z46" i="40"/>
  <c r="AA46" i="40"/>
  <c r="AB46" i="40"/>
  <c r="AC46" i="40"/>
  <c r="F47" i="40"/>
  <c r="G47" i="40"/>
  <c r="H47" i="40"/>
  <c r="I47" i="40"/>
  <c r="J47" i="40"/>
  <c r="K47" i="40"/>
  <c r="L47" i="40"/>
  <c r="M47" i="40"/>
  <c r="N47" i="40"/>
  <c r="O47" i="40"/>
  <c r="P47" i="40"/>
  <c r="Q47" i="40"/>
  <c r="R47" i="40"/>
  <c r="S47" i="40"/>
  <c r="T47" i="40"/>
  <c r="U47" i="40"/>
  <c r="V47" i="40"/>
  <c r="W47" i="40"/>
  <c r="X47" i="40"/>
  <c r="Y47" i="40"/>
  <c r="Z47" i="40"/>
  <c r="AA47" i="40"/>
  <c r="AB47" i="40"/>
  <c r="AC47" i="40"/>
  <c r="F48" i="40"/>
  <c r="G48" i="40"/>
  <c r="H48" i="40"/>
  <c r="I48" i="40"/>
  <c r="J48" i="40"/>
  <c r="K48" i="40"/>
  <c r="L48" i="40"/>
  <c r="M48" i="40"/>
  <c r="N48" i="40"/>
  <c r="O48" i="40"/>
  <c r="P48" i="40"/>
  <c r="Q48" i="40"/>
  <c r="R48" i="40"/>
  <c r="S48" i="40"/>
  <c r="T48" i="40"/>
  <c r="U48" i="40"/>
  <c r="V48" i="40"/>
  <c r="W48" i="40"/>
  <c r="X48" i="40"/>
  <c r="Y48" i="40"/>
  <c r="Z48" i="40"/>
  <c r="AA48" i="40"/>
  <c r="AB48" i="40"/>
  <c r="AC48" i="40"/>
  <c r="F49" i="40"/>
  <c r="G49" i="40"/>
  <c r="H49" i="40"/>
  <c r="I49" i="40"/>
  <c r="J49" i="40"/>
  <c r="K49" i="40"/>
  <c r="L49" i="40"/>
  <c r="M49" i="40"/>
  <c r="N49" i="40"/>
  <c r="O49" i="40"/>
  <c r="P49" i="40"/>
  <c r="Q49" i="40"/>
  <c r="R49" i="40"/>
  <c r="S49" i="40"/>
  <c r="T49" i="40"/>
  <c r="U49" i="40"/>
  <c r="V49" i="40"/>
  <c r="W49" i="40"/>
  <c r="X49" i="40"/>
  <c r="Y49" i="40"/>
  <c r="Z49" i="40"/>
  <c r="AA49" i="40"/>
  <c r="AB49" i="40"/>
  <c r="AC49" i="40"/>
  <c r="F50" i="40"/>
  <c r="G50" i="40"/>
  <c r="H50" i="40"/>
  <c r="I50" i="40"/>
  <c r="J50" i="40"/>
  <c r="K50" i="40"/>
  <c r="L50" i="40"/>
  <c r="M50" i="40"/>
  <c r="N50" i="40"/>
  <c r="O50" i="40"/>
  <c r="P50" i="40"/>
  <c r="Q50" i="40"/>
  <c r="R50" i="40"/>
  <c r="S50" i="40"/>
  <c r="T50" i="40"/>
  <c r="U50" i="40"/>
  <c r="V50" i="40"/>
  <c r="W50" i="40"/>
  <c r="X50" i="40"/>
  <c r="Y50" i="40"/>
  <c r="Z50" i="40"/>
  <c r="AA50" i="40"/>
  <c r="AB50" i="40"/>
  <c r="AC50" i="40"/>
  <c r="F51" i="40"/>
  <c r="G51" i="40"/>
  <c r="H51" i="40"/>
  <c r="I51" i="40"/>
  <c r="J51" i="40"/>
  <c r="K51" i="40"/>
  <c r="L51" i="40"/>
  <c r="M51" i="40"/>
  <c r="N51" i="40"/>
  <c r="O51" i="40"/>
  <c r="P51" i="40"/>
  <c r="Q51" i="40"/>
  <c r="R51" i="40"/>
  <c r="S51" i="40"/>
  <c r="T51" i="40"/>
  <c r="U51" i="40"/>
  <c r="V51" i="40"/>
  <c r="W51" i="40"/>
  <c r="X51" i="40"/>
  <c r="Y51" i="40"/>
  <c r="Z51" i="40"/>
  <c r="AA51" i="40"/>
  <c r="AB51" i="40"/>
  <c r="AC51" i="40"/>
  <c r="F52" i="40"/>
  <c r="G52" i="40"/>
  <c r="H52" i="40"/>
  <c r="I52" i="40"/>
  <c r="J52" i="40"/>
  <c r="K52" i="40"/>
  <c r="L52" i="40"/>
  <c r="M52" i="40"/>
  <c r="N52" i="40"/>
  <c r="O52" i="40"/>
  <c r="P52" i="40"/>
  <c r="Q52" i="40"/>
  <c r="R52" i="40"/>
  <c r="S52" i="40"/>
  <c r="T52" i="40"/>
  <c r="U52" i="40"/>
  <c r="V52" i="40"/>
  <c r="W52" i="40"/>
  <c r="X52" i="40"/>
  <c r="Y52" i="40"/>
  <c r="Z52" i="40"/>
  <c r="AA52" i="40"/>
  <c r="AB52" i="40"/>
  <c r="AC52" i="40"/>
  <c r="F53" i="40"/>
  <c r="G53" i="40"/>
  <c r="H53" i="40"/>
  <c r="I53" i="40"/>
  <c r="J53" i="40"/>
  <c r="K53" i="40"/>
  <c r="L53" i="40"/>
  <c r="M53" i="40"/>
  <c r="N53" i="40"/>
  <c r="O53" i="40"/>
  <c r="P53" i="40"/>
  <c r="Q53" i="40"/>
  <c r="R53" i="40"/>
  <c r="S53" i="40"/>
  <c r="T53" i="40"/>
  <c r="U53" i="40"/>
  <c r="V53" i="40"/>
  <c r="W53" i="40"/>
  <c r="X53" i="40"/>
  <c r="Y53" i="40"/>
  <c r="Z53" i="40"/>
  <c r="AA53" i="40"/>
  <c r="AB53" i="40"/>
  <c r="AC53" i="40"/>
  <c r="F54" i="40"/>
  <c r="G54" i="40"/>
  <c r="H54" i="40"/>
  <c r="I54" i="40"/>
  <c r="J54" i="40"/>
  <c r="K54" i="40"/>
  <c r="L54" i="40"/>
  <c r="M54" i="40"/>
  <c r="N54" i="40"/>
  <c r="O54" i="40"/>
  <c r="P54" i="40"/>
  <c r="Q54" i="40"/>
  <c r="R54" i="40"/>
  <c r="S54" i="40"/>
  <c r="T54" i="40"/>
  <c r="U54" i="40"/>
  <c r="V54" i="40"/>
  <c r="W54" i="40"/>
  <c r="X54" i="40"/>
  <c r="Y54" i="40"/>
  <c r="Z54" i="40"/>
  <c r="AA54" i="40"/>
  <c r="AB54" i="40"/>
  <c r="AC54" i="40"/>
  <c r="G7" i="40"/>
  <c r="H7" i="40"/>
  <c r="I7" i="40"/>
  <c r="J7" i="40"/>
  <c r="K7" i="40"/>
  <c r="L7" i="40"/>
  <c r="M7" i="40"/>
  <c r="N7" i="40"/>
  <c r="O7" i="40"/>
  <c r="P7" i="40"/>
  <c r="Q7" i="40"/>
  <c r="R7" i="40"/>
  <c r="S7" i="40"/>
  <c r="T7" i="40"/>
  <c r="U7" i="40"/>
  <c r="V7" i="40"/>
  <c r="W7" i="40"/>
  <c r="X7" i="40"/>
  <c r="Y7" i="40"/>
  <c r="Z7" i="40"/>
  <c r="AA7" i="40"/>
  <c r="AB7" i="40"/>
  <c r="AC7" i="40"/>
  <c r="F7" i="40"/>
  <c r="AD11" i="16"/>
  <c r="AD15" i="16"/>
  <c r="AD19" i="16"/>
  <c r="AD23" i="16"/>
  <c r="AD27" i="16"/>
  <c r="AD31" i="16"/>
  <c r="AD35" i="16"/>
  <c r="AD39" i="16"/>
  <c r="AD43" i="16"/>
  <c r="AD47" i="16"/>
  <c r="AD51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F7" i="16"/>
  <c r="G31" i="30"/>
  <c r="H31" i="30"/>
  <c r="I31" i="30"/>
  <c r="J31" i="30"/>
  <c r="K31" i="30"/>
  <c r="L31" i="30"/>
  <c r="M31" i="30"/>
  <c r="N31" i="30"/>
  <c r="O31" i="30"/>
  <c r="P31" i="30"/>
  <c r="Q31" i="30"/>
  <c r="R31" i="30"/>
  <c r="S31" i="30"/>
  <c r="T31" i="30"/>
  <c r="U31" i="30"/>
  <c r="V31" i="30"/>
  <c r="W31" i="30"/>
  <c r="X31" i="30"/>
  <c r="Y31" i="30"/>
  <c r="Z31" i="30"/>
  <c r="AA31" i="30"/>
  <c r="AB31" i="30"/>
  <c r="AC31" i="30"/>
  <c r="G32" i="30"/>
  <c r="H32" i="30"/>
  <c r="I32" i="30"/>
  <c r="J32" i="30"/>
  <c r="K32" i="30"/>
  <c r="L32" i="30"/>
  <c r="M32" i="30"/>
  <c r="N32" i="30"/>
  <c r="O32" i="30"/>
  <c r="P32" i="30"/>
  <c r="Q32" i="30"/>
  <c r="R32" i="30"/>
  <c r="S32" i="30"/>
  <c r="T32" i="30"/>
  <c r="U32" i="30"/>
  <c r="V32" i="30"/>
  <c r="W32" i="30"/>
  <c r="X32" i="30"/>
  <c r="Y32" i="30"/>
  <c r="Z32" i="30"/>
  <c r="AA32" i="30"/>
  <c r="AB32" i="30"/>
  <c r="AC32" i="30"/>
  <c r="G33" i="30"/>
  <c r="H33" i="30"/>
  <c r="I33" i="30"/>
  <c r="J33" i="30"/>
  <c r="K33" i="30"/>
  <c r="L33" i="30"/>
  <c r="M33" i="30"/>
  <c r="N33" i="30"/>
  <c r="O33" i="30"/>
  <c r="P33" i="30"/>
  <c r="Q33" i="30"/>
  <c r="R33" i="30"/>
  <c r="S33" i="30"/>
  <c r="T33" i="30"/>
  <c r="U33" i="30"/>
  <c r="V33" i="30"/>
  <c r="W33" i="30"/>
  <c r="X33" i="30"/>
  <c r="Y33" i="30"/>
  <c r="Z33" i="30"/>
  <c r="AA33" i="30"/>
  <c r="AB33" i="30"/>
  <c r="AC33" i="30"/>
  <c r="G34" i="30"/>
  <c r="H34" i="30"/>
  <c r="I34" i="30"/>
  <c r="J34" i="30"/>
  <c r="K34" i="30"/>
  <c r="L34" i="30"/>
  <c r="M34" i="30"/>
  <c r="N34" i="30"/>
  <c r="O34" i="30"/>
  <c r="P34" i="30"/>
  <c r="Q34" i="30"/>
  <c r="R34" i="30"/>
  <c r="S34" i="30"/>
  <c r="T34" i="30"/>
  <c r="U34" i="30"/>
  <c r="V34" i="30"/>
  <c r="W34" i="30"/>
  <c r="X34" i="30"/>
  <c r="Y34" i="30"/>
  <c r="Z34" i="30"/>
  <c r="AA34" i="30"/>
  <c r="AB34" i="30"/>
  <c r="AC34" i="30"/>
  <c r="G35" i="30"/>
  <c r="H35" i="30"/>
  <c r="I35" i="30"/>
  <c r="J35" i="30"/>
  <c r="K35" i="30"/>
  <c r="L35" i="30"/>
  <c r="M35" i="30"/>
  <c r="N35" i="30"/>
  <c r="O35" i="30"/>
  <c r="P35" i="30"/>
  <c r="Q35" i="30"/>
  <c r="R35" i="30"/>
  <c r="S35" i="30"/>
  <c r="T35" i="30"/>
  <c r="U35" i="30"/>
  <c r="V35" i="30"/>
  <c r="W35" i="30"/>
  <c r="X35" i="30"/>
  <c r="Y35" i="30"/>
  <c r="Z35" i="30"/>
  <c r="AA35" i="30"/>
  <c r="AB35" i="30"/>
  <c r="AC35" i="30"/>
  <c r="G36" i="30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U36" i="30"/>
  <c r="V36" i="30"/>
  <c r="W36" i="30"/>
  <c r="X36" i="30"/>
  <c r="Y36" i="30"/>
  <c r="Z36" i="30"/>
  <c r="AA36" i="30"/>
  <c r="AB36" i="30"/>
  <c r="AC36" i="30"/>
  <c r="G37" i="30"/>
  <c r="H37" i="30"/>
  <c r="I37" i="30"/>
  <c r="J37" i="30"/>
  <c r="K37" i="30"/>
  <c r="L37" i="30"/>
  <c r="M37" i="30"/>
  <c r="N37" i="30"/>
  <c r="O37" i="30"/>
  <c r="P37" i="30"/>
  <c r="Q37" i="30"/>
  <c r="R37" i="30"/>
  <c r="S37" i="30"/>
  <c r="T37" i="30"/>
  <c r="U37" i="30"/>
  <c r="V37" i="30"/>
  <c r="W37" i="30"/>
  <c r="X37" i="30"/>
  <c r="Y37" i="30"/>
  <c r="Z37" i="30"/>
  <c r="AA37" i="30"/>
  <c r="AB37" i="30"/>
  <c r="AC37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U38" i="30"/>
  <c r="V38" i="30"/>
  <c r="W38" i="30"/>
  <c r="X38" i="30"/>
  <c r="Y38" i="30"/>
  <c r="Z38" i="30"/>
  <c r="AA38" i="30"/>
  <c r="AB38" i="30"/>
  <c r="AC38" i="30"/>
  <c r="F31" i="30"/>
  <c r="AD31" i="30" s="1"/>
  <c r="F32" i="30"/>
  <c r="F33" i="30"/>
  <c r="F34" i="30"/>
  <c r="F35" i="30"/>
  <c r="AD35" i="30" s="1"/>
  <c r="F36" i="30"/>
  <c r="F37" i="30"/>
  <c r="F38" i="30"/>
  <c r="AD51" i="40" l="1"/>
  <c r="AD47" i="40"/>
  <c r="AD43" i="40"/>
  <c r="AD39" i="40"/>
  <c r="AD23" i="40"/>
  <c r="AD19" i="40"/>
  <c r="AD15" i="40"/>
  <c r="AD11" i="40"/>
  <c r="AD7" i="40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W31" i="29"/>
  <c r="X31" i="29"/>
  <c r="Y31" i="29"/>
  <c r="Z31" i="29"/>
  <c r="AA31" i="29"/>
  <c r="AB31" i="29"/>
  <c r="AC31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W32" i="29"/>
  <c r="X32" i="29"/>
  <c r="Y32" i="29"/>
  <c r="Z32" i="29"/>
  <c r="AA32" i="29"/>
  <c r="AB32" i="29"/>
  <c r="AC32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W33" i="29"/>
  <c r="X33" i="29"/>
  <c r="Y33" i="29"/>
  <c r="Z33" i="29"/>
  <c r="AA33" i="29"/>
  <c r="AB33" i="29"/>
  <c r="AC33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W34" i="29"/>
  <c r="X34" i="29"/>
  <c r="Y34" i="29"/>
  <c r="Z34" i="29"/>
  <c r="AA34" i="29"/>
  <c r="AB34" i="29"/>
  <c r="AC34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W35" i="29"/>
  <c r="X35" i="29"/>
  <c r="Y35" i="29"/>
  <c r="Z35" i="29"/>
  <c r="AA35" i="29"/>
  <c r="AB35" i="29"/>
  <c r="AC35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W36" i="29"/>
  <c r="X36" i="29"/>
  <c r="Y36" i="29"/>
  <c r="Z36" i="29"/>
  <c r="AA36" i="29"/>
  <c r="AB36" i="29"/>
  <c r="AC36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W37" i="29"/>
  <c r="X37" i="29"/>
  <c r="Y37" i="29"/>
  <c r="Z37" i="29"/>
  <c r="AA37" i="29"/>
  <c r="AB37" i="29"/>
  <c r="AC37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AD55" i="40" l="1"/>
  <c r="AD31" i="29"/>
  <c r="AD35" i="29"/>
  <c r="AD39" i="31"/>
  <c r="AD23" i="31"/>
  <c r="AD11" i="30"/>
  <c r="C10" i="33" s="1"/>
  <c r="AD15" i="30"/>
  <c r="C11" i="33" s="1"/>
  <c r="AD19" i="30"/>
  <c r="C12" i="33" s="1"/>
  <c r="AD27" i="30"/>
  <c r="C14" i="33" s="1"/>
  <c r="C15" i="33"/>
  <c r="C16" i="33"/>
  <c r="AD43" i="30"/>
  <c r="C18" i="33" s="1"/>
  <c r="AD47" i="30"/>
  <c r="C19" i="33" s="1"/>
  <c r="AD51" i="30"/>
  <c r="C20" i="33" s="1"/>
  <c r="AD39" i="30"/>
  <c r="C17" i="33" s="1"/>
  <c r="AD23" i="30"/>
  <c r="C13" i="33" s="1"/>
  <c r="AD7" i="30"/>
  <c r="C9" i="33" s="1"/>
  <c r="AD43" i="29"/>
  <c r="C18" i="32" s="1"/>
  <c r="AD23" i="29"/>
  <c r="C13" i="32" s="1"/>
  <c r="C17" i="34" l="1"/>
  <c r="C13" i="34"/>
  <c r="AD51" i="31"/>
  <c r="AD43" i="31"/>
  <c r="AD35" i="31"/>
  <c r="AD31" i="31"/>
  <c r="AD27" i="31"/>
  <c r="AD19" i="31"/>
  <c r="AD15" i="31"/>
  <c r="AD11" i="31"/>
  <c r="AD47" i="31"/>
  <c r="C21" i="33"/>
  <c r="AD7" i="31"/>
  <c r="AD55" i="30"/>
  <c r="AD11" i="29"/>
  <c r="C10" i="32" s="1"/>
  <c r="AD15" i="29"/>
  <c r="C11" i="32" s="1"/>
  <c r="AD19" i="29"/>
  <c r="C12" i="32" s="1"/>
  <c r="AD27" i="29"/>
  <c r="C14" i="32" s="1"/>
  <c r="C15" i="32"/>
  <c r="C16" i="32"/>
  <c r="AD39" i="29"/>
  <c r="C17" i="32" s="1"/>
  <c r="AD47" i="29"/>
  <c r="C19" i="32" s="1"/>
  <c r="AD51" i="29"/>
  <c r="C20" i="32" s="1"/>
  <c r="AD7" i="29"/>
  <c r="C10" i="34" l="1"/>
  <c r="C15" i="34"/>
  <c r="C12" i="34"/>
  <c r="C16" i="34"/>
  <c r="C14" i="34"/>
  <c r="C18" i="34"/>
  <c r="C11" i="34"/>
  <c r="C19" i="34"/>
  <c r="C20" i="34"/>
  <c r="C9" i="32"/>
  <c r="AD55" i="29"/>
  <c r="AD55" i="31"/>
  <c r="C9" i="34"/>
  <c r="C21" i="32" l="1"/>
  <c r="C21" i="34"/>
  <c r="C16" i="39" l="1"/>
  <c r="C15" i="39"/>
  <c r="C14" i="39"/>
  <c r="AD7" i="16"/>
  <c r="C11" i="39" l="1"/>
  <c r="C12" i="39"/>
  <c r="C17" i="39"/>
  <c r="C10" i="39"/>
  <c r="C18" i="39"/>
  <c r="C9" i="39"/>
  <c r="C19" i="39"/>
  <c r="C13" i="39"/>
  <c r="C20" i="39"/>
  <c r="AD55" i="16"/>
  <c r="AD7" i="14"/>
  <c r="AD11" i="14"/>
  <c r="AD15" i="14"/>
  <c r="AD19" i="14"/>
  <c r="AD23" i="14"/>
  <c r="AD27" i="14"/>
  <c r="AD31" i="14"/>
  <c r="AD35" i="14"/>
  <c r="AD39" i="14"/>
  <c r="AD43" i="14"/>
  <c r="AD47" i="14"/>
  <c r="AD51" i="14"/>
  <c r="C21" i="41" l="1"/>
  <c r="C21" i="39"/>
  <c r="C23" i="39" s="1"/>
  <c r="AD55" i="14"/>
</calcChain>
</file>

<file path=xl/sharedStrings.xml><?xml version="1.0" encoding="utf-8"?>
<sst xmlns="http://schemas.openxmlformats.org/spreadsheetml/2006/main" count="652" uniqueCount="85">
  <si>
    <t>CANTIDADES DE ENERGÍA SOLICITADAS (kWh)</t>
  </si>
  <si>
    <t>EMPRESAS PÚBLICAS DE MEDELLÍN E.S.P.</t>
  </si>
  <si>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</si>
  <si>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</si>
  <si>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</si>
  <si>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</si>
  <si>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</si>
  <si>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</si>
  <si>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</si>
  <si>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</si>
  <si>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</si>
  <si>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</si>
  <si>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</si>
  <si>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</si>
  <si>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</si>
  <si>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</si>
  <si>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</si>
  <si>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</si>
  <si>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</si>
  <si>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</si>
  <si>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</si>
  <si>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</si>
  <si>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</si>
  <si>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</si>
  <si>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</si>
  <si>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</si>
  <si>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</si>
  <si>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</si>
  <si>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</si>
  <si>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</si>
  <si>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Ene</t>
  </si>
  <si>
    <t xml:space="preserve"> Ordinario</t>
  </si>
  <si>
    <t xml:space="preserve"> Sábado</t>
  </si>
  <si>
    <t xml:space="preserve"> Domingo</t>
  </si>
  <si>
    <t xml:space="preserve"> Festivo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</si>
  <si>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</si>
  <si>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</si>
  <si>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</si>
  <si>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</si>
  <si>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</si>
  <si>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</si>
  <si>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</si>
  <si>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</si>
  <si>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</si>
  <si>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</si>
  <si>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</si>
  <si>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 kWh</t>
  </si>
  <si>
    <t>NOMBRE DEL OFERENTE</t>
  </si>
  <si>
    <t xml:space="preserve"> PRECIOS Y CANTIDADES DE ENERGIA OFERTADA</t>
  </si>
  <si>
    <t>MES</t>
  </si>
  <si>
    <t>Energia Solicitada kWh</t>
  </si>
  <si>
    <t>%</t>
  </si>
  <si>
    <t>Energia Ofertada kWh</t>
  </si>
  <si>
    <t>Precio $/KWh</t>
  </si>
  <si>
    <t>$/kWh</t>
  </si>
  <si>
    <t>Total año</t>
  </si>
  <si>
    <t xml:space="preserve">Notas: </t>
  </si>
  <si>
    <t>AÑO 2026</t>
  </si>
  <si>
    <t>AÑO 2027</t>
  </si>
  <si>
    <t>AÑO 2028</t>
  </si>
  <si>
    <t>DISTRIBUCIÓN HORARIA PRODUCTOS 1 AL 5</t>
  </si>
  <si>
    <r>
      <t>1.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La Energía Ofertada se distribuye en forma horaria de acuerdo con la  curva de carga presentada en la hoja Cantidades Producto 2</t>
    </r>
  </si>
  <si>
    <t>OFERTA PRODUCTO  2 - CURVA O PLANA</t>
  </si>
  <si>
    <t>OFERTA PRODUCTO  3 - CURVA O PLANA</t>
  </si>
  <si>
    <t>5.       Tope horario ofertas planas 50.000 KWh</t>
  </si>
  <si>
    <t>OFERTA PRODUCTO  4 - CURVA</t>
  </si>
  <si>
    <t>OFERTA PRODUCTO  1 - CURVA O PLANA</t>
  </si>
  <si>
    <t>AÑO 2029</t>
  </si>
  <si>
    <t>AÑO 2030</t>
  </si>
  <si>
    <t>4.       El % puede ser diferente y el precio debe ser el mismo para todos los meses del año</t>
  </si>
  <si>
    <t>OFERTA PRODUCTO  5 - CURVA</t>
  </si>
  <si>
    <t>4.      El %  y el precio debe ser el mismo para todos los meses del año</t>
  </si>
  <si>
    <t>5.      Tope horario ofertas planas 30.000 KWh</t>
  </si>
  <si>
    <t>5.      Tope horario ofertas planas 40.000 KWh</t>
  </si>
  <si>
    <r>
      <t>3.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Precio ofertado en $kWh, en pesos de marzo 2025</t>
    </r>
  </si>
  <si>
    <r>
      <t>2.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Modalidad: pague lo contratado.</t>
    </r>
  </si>
  <si>
    <r>
      <t>2.</t>
    </r>
    <r>
      <rPr>
        <sz val="7"/>
        <rFont val="Times New Roman"/>
        <family val="1"/>
      </rPr>
      <t xml:space="preserve">           </t>
    </r>
    <r>
      <rPr>
        <sz val="11"/>
        <rFont val="Trebuchet MS"/>
        <family val="2"/>
      </rPr>
      <t>Modalidad: pague lo contratado.</t>
    </r>
  </si>
  <si>
    <r>
      <t>3.</t>
    </r>
    <r>
      <rPr>
        <sz val="7"/>
        <rFont val="Times New Roman"/>
        <family val="1"/>
      </rPr>
      <t xml:space="preserve">          </t>
    </r>
    <r>
      <rPr>
        <sz val="11"/>
        <rFont val="Trebuchet MS"/>
        <family val="2"/>
      </rPr>
      <t>Precio ofertado en $kWh, en pesos de marzo 2025</t>
    </r>
  </si>
  <si>
    <r>
      <t>1.</t>
    </r>
    <r>
      <rPr>
        <sz val="7"/>
        <rFont val="Times New Roman"/>
        <family val="1"/>
      </rPr>
      <t xml:space="preserve">          </t>
    </r>
    <r>
      <rPr>
        <sz val="11"/>
        <rFont val="Trebuchet MS"/>
        <family val="2"/>
      </rPr>
      <t>La Energía Ofertada se distribuye en forma horaria de acuerdo con la  curva de carga presentada en la hoja Cantidades Producto 3</t>
    </r>
  </si>
  <si>
    <r>
      <t>2.</t>
    </r>
    <r>
      <rPr>
        <sz val="7"/>
        <rFont val="Times New Roman"/>
        <family val="1"/>
      </rPr>
      <t xml:space="preserve">          </t>
    </r>
    <r>
      <rPr>
        <sz val="11"/>
        <rFont val="Trebuchet MS"/>
        <family val="2"/>
      </rPr>
      <t>Modalidad: pague lo contratado.</t>
    </r>
  </si>
  <si>
    <r>
      <t>1.</t>
    </r>
    <r>
      <rPr>
        <sz val="7"/>
        <rFont val="Times New Roman"/>
        <family val="1"/>
      </rPr>
      <t xml:space="preserve">           </t>
    </r>
    <r>
      <rPr>
        <sz val="11"/>
        <rFont val="Trebuchet MS"/>
        <family val="2"/>
      </rPr>
      <t>La Energía Ofertada se distribuye en forma horaria de acuerdo con la  curva de carga presentada en la hoja Cantidades Producto 4</t>
    </r>
  </si>
  <si>
    <r>
      <t>1.</t>
    </r>
    <r>
      <rPr>
        <sz val="7"/>
        <rFont val="Times New Roman"/>
        <family val="1"/>
      </rPr>
      <t>          </t>
    </r>
    <r>
      <rPr>
        <sz val="11"/>
        <rFont val="Trebuchet MS"/>
        <family val="2"/>
      </rPr>
      <t>La Energía Ofertada se distribuye en forma horaria de acuerdo con la  curva de carga presentada en la hoja Cantidades Producto 4</t>
    </r>
  </si>
  <si>
    <t>4.       El %  y el precio debe ser el mismo para todos los meses del año</t>
  </si>
  <si>
    <r>
      <t>1.</t>
    </r>
    <r>
      <rPr>
        <sz val="7"/>
        <rFont val="Times New Roman"/>
        <family val="1"/>
      </rPr>
      <t xml:space="preserve">           </t>
    </r>
    <r>
      <rPr>
        <sz val="11"/>
        <rFont val="Trebuchet MS"/>
        <family val="2"/>
      </rPr>
      <t>La Energía Ofertada se distribuye en forma horaria de acuerdo con la  curva de carga presentada en la hoja Cantidades Producto 5</t>
    </r>
  </si>
  <si>
    <t>EN PESOS DE 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</si>
</sst>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_-;\-* #,##0_-;_-* &quot;-&quot;??_-;_-@_-"/>
    <numFmt numFmtId="168" formatCode="_-* #,##0.00_-;\-* #,##0.00_-;_-* &quot;-&quot;_-;_-@_-"/>
    <numFmt numFmtId="169" formatCode="_-* #,##0.00\ _€_-;\-* #,##0.00\ _€_-;_-* &quot;-&quot;\ _€_-;_-@_-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DIN-Regular"/>
      <family val="2"/>
    </font>
    <font>
      <b/>
      <sz val="11"/>
      <color theme="1"/>
      <name val="Trebuchet MS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Trebuchet MS"/>
      <family val="2"/>
    </font>
    <font>
      <sz val="7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CC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0" fontId="6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" fillId="0" borderId="0"/>
    <xf numFmtId="9" fontId="10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 applyProtection="1">
      <protection locked="0"/>
    </xf>
    <xf numFmtId="41" fontId="1" fillId="0" borderId="0" xfId="9" applyFont="1" applyProtection="1">
      <protection locked="0"/>
    </xf>
    <xf numFmtId="0" fontId="3" fillId="3" borderId="2" xfId="1" applyFont="1" applyFill="1" applyBorder="1" applyAlignment="1" applyProtection="1">
      <alignment horizontal="center"/>
      <protection locked="0"/>
    </xf>
    <xf numFmtId="3" fontId="4" fillId="3" borderId="7" xfId="1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67" fontId="1" fillId="0" borderId="1" xfId="10" applyNumberFormat="1" applyFont="1" applyBorder="1" applyAlignment="1" applyProtection="1">
      <alignment horizontal="center" vertical="center" wrapText="1"/>
      <protection locked="0"/>
    </xf>
    <xf numFmtId="168" fontId="1" fillId="0" borderId="0" xfId="2" applyNumberFormat="1" applyFont="1" applyProtection="1">
      <protection locked="0"/>
    </xf>
    <xf numFmtId="3" fontId="2" fillId="0" borderId="1" xfId="0" applyNumberFormat="1" applyFont="1" applyBorder="1" applyProtection="1">
      <protection locked="0"/>
    </xf>
    <xf numFmtId="4" fontId="1" fillId="0" borderId="0" xfId="0" applyNumberFormat="1" applyFont="1" applyProtection="1">
      <protection locked="0"/>
    </xf>
    <xf numFmtId="3" fontId="4" fillId="3" borderId="4" xfId="1" applyNumberFormat="1" applyFont="1" applyFill="1" applyBorder="1" applyAlignment="1" applyProtection="1">
      <alignment horizontal="center"/>
      <protection locked="0"/>
    </xf>
    <xf numFmtId="3" fontId="4" fillId="3" borderId="5" xfId="1" applyNumberFormat="1" applyFont="1" applyFill="1" applyBorder="1" applyAlignment="1" applyProtection="1">
      <alignment horizontal="center"/>
      <protection locked="0"/>
    </xf>
    <xf numFmtId="3" fontId="4" fillId="3" borderId="6" xfId="1" applyNumberFormat="1" applyFont="1" applyFill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4" fontId="2" fillId="0" borderId="1" xfId="0" applyNumberFormat="1" applyFont="1" applyBorder="1" applyAlignment="1" applyProtection="1">
      <alignment horizontal="center" vertical="center"/>
      <protection locked="0"/>
    </xf>
    <xf numFmtId="43" fontId="1" fillId="0" borderId="0" xfId="10" applyFont="1" applyProtection="1">
      <protection locked="0"/>
    </xf>
    <xf numFmtId="0" fontId="6" fillId="0" borderId="0" xfId="2" applyProtection="1">
      <protection locked="0"/>
    </xf>
    <xf numFmtId="0" fontId="7" fillId="0" borderId="0" xfId="2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7" fillId="0" borderId="0" xfId="2" applyFont="1" applyAlignment="1" applyProtection="1">
      <alignment horizontal="center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1" fillId="0" borderId="0" xfId="2" applyFont="1" applyProtection="1">
      <protection locked="0"/>
    </xf>
    <xf numFmtId="17" fontId="2" fillId="0" borderId="18" xfId="0" applyNumberFormat="1" applyFont="1" applyBorder="1" applyAlignment="1" applyProtection="1">
      <alignment horizontal="center" vertical="center"/>
      <protection locked="0"/>
    </xf>
    <xf numFmtId="169" fontId="1" fillId="0" borderId="26" xfId="5" applyNumberFormat="1" applyFont="1" applyFill="1" applyBorder="1" applyAlignment="1" applyProtection="1">
      <alignment horizontal="center" vertical="center"/>
      <protection locked="0"/>
    </xf>
    <xf numFmtId="2" fontId="1" fillId="0" borderId="1" xfId="0" applyNumberFormat="1" applyFont="1" applyBorder="1" applyAlignment="1" applyProtection="1">
      <alignment horizontal="center" vertical="center"/>
      <protection locked="0"/>
    </xf>
    <xf numFmtId="17" fontId="2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10" fontId="1" fillId="0" borderId="0" xfId="2" applyNumberFormat="1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167" fontId="1" fillId="0" borderId="0" xfId="2" applyNumberFormat="1" applyFont="1" applyProtection="1">
      <protection locked="0"/>
    </xf>
    <xf numFmtId="0" fontId="12" fillId="0" borderId="0" xfId="0" applyFont="1" applyAlignment="1" applyProtection="1">
      <alignment horizontal="left" vertical="center" indent="13"/>
      <protection locked="0"/>
    </xf>
    <xf numFmtId="164" fontId="0" fillId="0" borderId="0" xfId="5" applyFont="1" applyProtection="1">
      <protection locked="0"/>
    </xf>
    <xf numFmtId="164" fontId="6" fillId="0" borderId="0" xfId="2" applyNumberFormat="1" applyProtection="1">
      <protection locked="0"/>
    </xf>
    <xf numFmtId="17" fontId="2" fillId="0" borderId="16" xfId="0" applyNumberFormat="1" applyFont="1" applyBorder="1" applyAlignment="1" applyProtection="1">
      <alignment horizontal="center" vertical="center"/>
      <protection locked="0"/>
    </xf>
    <xf numFmtId="2" fontId="1" fillId="0" borderId="17" xfId="0" applyNumberFormat="1" applyFont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 applyProtection="1">
      <alignment horizontal="center" vertical="center" wrapText="1"/>
      <protection locked="0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23" xfId="0" applyNumberFormat="1" applyFont="1" applyBorder="1" applyAlignment="1" applyProtection="1">
      <alignment horizontal="center" vertical="center"/>
      <protection locked="0"/>
    </xf>
    <xf numFmtId="2" fontId="1" fillId="0" borderId="32" xfId="0" applyNumberFormat="1" applyFont="1" applyBorder="1" applyAlignment="1" applyProtection="1">
      <alignment horizontal="center" vertical="center"/>
      <protection locked="0"/>
    </xf>
    <xf numFmtId="169" fontId="1" fillId="0" borderId="34" xfId="5" applyNumberFormat="1" applyFont="1" applyFill="1" applyBorder="1" applyAlignment="1" applyProtection="1">
      <alignment horizontal="center" vertical="center"/>
      <protection locked="0"/>
    </xf>
    <xf numFmtId="169" fontId="1" fillId="0" borderId="18" xfId="5" applyNumberFormat="1" applyFont="1" applyFill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167" fontId="1" fillId="0" borderId="0" xfId="10" applyNumberFormat="1" applyFont="1" applyProtection="1">
      <protection locked="0"/>
    </xf>
    <xf numFmtId="169" fontId="2" fillId="0" borderId="19" xfId="5" applyNumberFormat="1" applyFont="1" applyFill="1" applyBorder="1" applyAlignment="1" applyProtection="1">
      <alignment horizontal="center" vertical="center"/>
      <protection locked="0"/>
    </xf>
    <xf numFmtId="169" fontId="2" fillId="0" borderId="20" xfId="5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9" fontId="1" fillId="5" borderId="35" xfId="3" applyFont="1" applyFill="1" applyBorder="1" applyAlignment="1" applyProtection="1">
      <alignment horizontal="center" vertical="center"/>
      <protection locked="0"/>
    </xf>
    <xf numFmtId="9" fontId="1" fillId="5" borderId="36" xfId="3" applyFont="1" applyFill="1" applyBorder="1" applyAlignment="1" applyProtection="1">
      <alignment horizontal="center" vertical="center"/>
      <protection locked="0"/>
    </xf>
    <xf numFmtId="9" fontId="1" fillId="5" borderId="37" xfId="3" applyFont="1" applyFill="1" applyBorder="1" applyAlignment="1" applyProtection="1">
      <alignment horizontal="center" vertical="center"/>
      <protection locked="0"/>
    </xf>
    <xf numFmtId="41" fontId="1" fillId="0" borderId="0" xfId="9" applyNumberFormat="1" applyFont="1" applyProtection="1">
      <protection locked="0"/>
    </xf>
    <xf numFmtId="169" fontId="6" fillId="0" borderId="0" xfId="2" applyNumberFormat="1" applyProtection="1">
      <protection locked="0"/>
    </xf>
    <xf numFmtId="4" fontId="1" fillId="0" borderId="24" xfId="0" applyNumberFormat="1" applyFont="1" applyBorder="1" applyAlignment="1" applyProtection="1">
      <alignment horizontal="center" vertical="center" wrapText="1"/>
      <protection locked="0"/>
    </xf>
    <xf numFmtId="4" fontId="1" fillId="0" borderId="25" xfId="0" applyNumberFormat="1" applyFont="1" applyBorder="1" applyAlignment="1" applyProtection="1">
      <alignment horizontal="center" vertical="center" wrapText="1"/>
      <protection locked="0"/>
    </xf>
    <xf numFmtId="4" fontId="1" fillId="0" borderId="26" xfId="0" applyNumberFormat="1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/>
      <protection locked="0"/>
    </xf>
    <xf numFmtId="0" fontId="2" fillId="0" borderId="28" xfId="0" applyFont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6" fontId="1" fillId="5" borderId="7" xfId="4" applyNumberFormat="1" applyFont="1" applyFill="1" applyBorder="1" applyAlignment="1" applyProtection="1">
      <alignment horizontal="center" vertical="center"/>
      <protection locked="0"/>
    </xf>
    <xf numFmtId="166" fontId="1" fillId="5" borderId="21" xfId="4" applyNumberFormat="1" applyFont="1" applyFill="1" applyBorder="1" applyAlignment="1" applyProtection="1">
      <alignment horizontal="center" vertical="center"/>
      <protection locked="0"/>
    </xf>
    <xf numFmtId="166" fontId="1" fillId="5" borderId="22" xfId="4" applyNumberFormat="1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9" fillId="4" borderId="9" xfId="0" applyFont="1" applyFill="1" applyBorder="1" applyAlignment="1" applyProtection="1">
      <alignment horizontal="center" vertical="center"/>
      <protection locked="0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9" fontId="1" fillId="5" borderId="5" xfId="3" applyFont="1" applyFill="1" applyBorder="1" applyAlignment="1" applyProtection="1">
      <alignment horizontal="center" vertical="center"/>
      <protection locked="0"/>
    </xf>
    <xf numFmtId="9" fontId="1" fillId="5" borderId="25" xfId="3" applyFont="1" applyFill="1" applyBorder="1" applyAlignment="1" applyProtection="1">
      <alignment horizontal="center" vertical="center"/>
      <protection locked="0"/>
    </xf>
    <xf numFmtId="9" fontId="1" fillId="5" borderId="30" xfId="3" applyFont="1" applyFill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 wrapText="1"/>
      <protection locked="0"/>
    </xf>
    <xf numFmtId="3" fontId="1" fillId="0" borderId="24" xfId="0" applyNumberFormat="1" applyFont="1" applyBorder="1" applyAlignment="1" applyProtection="1">
      <alignment horizontal="center" vertical="center" wrapText="1"/>
      <protection locked="0"/>
    </xf>
    <xf numFmtId="3" fontId="1" fillId="0" borderId="25" xfId="0" applyNumberFormat="1" applyFont="1" applyBorder="1" applyAlignment="1" applyProtection="1">
      <alignment horizontal="center" vertical="center" wrapText="1"/>
      <protection locked="0"/>
    </xf>
    <xf numFmtId="3" fontId="1" fillId="0" borderId="26" xfId="0" applyNumberFormat="1" applyFont="1" applyBorder="1" applyAlignment="1" applyProtection="1">
      <alignment horizontal="center" vertical="center" wrapText="1"/>
      <protection locked="0"/>
    </xf>
  </cellXfs>
  <cellStyles count="11">
    <cellStyle name="Millares" xfId="10" builtinId="3"/>
    <cellStyle name="Millares [0]" xfId="9" builtinId="6"/>
    <cellStyle name="Millares [0] 2" xfId="5" xr:uid="{6569F618-52BD-49C5-89D1-929E16557673}"/>
    <cellStyle name="Millares [0] 3" xfId="6" xr:uid="{00000000-0005-0000-0000-000034000000}"/>
    <cellStyle name="Millares 2" xfId="4" xr:uid="{1F92F91B-2AD6-48EE-8DE0-A5E6DFE3DBBC}"/>
    <cellStyle name="Normal" xfId="0" builtinId="0"/>
    <cellStyle name="Normal 2" xfId="1" xr:uid="{0C3ADCF0-D3C5-4B22-BBD6-E5AC07BE49AB}"/>
    <cellStyle name="Normal 3" xfId="2" xr:uid="{04A66F1E-99A6-4DDE-ACF0-1A9630326BF7}"/>
    <cellStyle name="Normal 3 2" xfId="7" xr:uid="{00000000-0005-0000-0000-000035000000}"/>
    <cellStyle name="Porcentaje 2" xfId="3" xr:uid="{68E02398-A5A2-4B9C-967C-E98F22BB8F7B}"/>
    <cellStyle name="Porcentaje 3" xfId="8" xr:uid="{00000000-0005-0000-0000-000036000000}"/>
  </cellStyles>
  <dxfs count="0"/>
  <tableStyles count="0" defaultTableStyle="TableStyleMedium2" defaultPivotStyle="PivotStyleLight16"/>
  <colors>
    <mruColors>
      <color rgb="FFCC33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35753-2025/Demanda/CalculoFaltanteEnergia_2026.xls" TargetMode="External"/><Relationship Id="rId1" Type="http://schemas.openxmlformats.org/officeDocument/2006/relationships/externalLinkPath" Target="CalculoFaltanteEnergia_2026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35753-2025/Demanda/CalculoFaltanteEnergia_2027.xls" TargetMode="External"/><Relationship Id="rId1" Type="http://schemas.openxmlformats.org/officeDocument/2006/relationships/externalLinkPath" Target="CalculoFaltanteEnergia_2027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35753-2025/Demanda/CalculoFaltanteEnergia_2028.xls" TargetMode="External"/><Relationship Id="rId1" Type="http://schemas.openxmlformats.org/officeDocument/2006/relationships/externalLinkPath" Target="CalculoFaltanteEnergia_202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35753-2025/Demanda/CalculoFaltanteEnergia_2029.xls" TargetMode="External"/><Relationship Id="rId1" Type="http://schemas.openxmlformats.org/officeDocument/2006/relationships/externalLinkPath" Target="CalculoFaltanteEnergia_2029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35753-2025/Demanda/CalculoFaltanteEnergia_2030.xls" TargetMode="External"/><Relationship Id="rId1" Type="http://schemas.openxmlformats.org/officeDocument/2006/relationships/externalLinkPath" Target="CalculoFaltanteEnergia_20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  <sheetName val="kWh"/>
    </sheetNames>
    <sheetDataSet>
      <sheetData sheetId="0">
        <row r="7">
          <cell r="F7">
            <v>118.80304853200002</v>
          </cell>
          <cell r="G7">
            <v>102.96543556900001</v>
          </cell>
          <cell r="H7">
            <v>93.626991543000017</v>
          </cell>
          <cell r="I7">
            <v>91.797815126000003</v>
          </cell>
          <cell r="J7">
            <v>99.208357024999998</v>
          </cell>
          <cell r="K7">
            <v>129.73222226200002</v>
          </cell>
          <cell r="L7">
            <v>161.52027345600001</v>
          </cell>
          <cell r="M7">
            <v>143.19533427900004</v>
          </cell>
          <cell r="N7">
            <v>165.82130833900004</v>
          </cell>
          <cell r="O7">
            <v>177.83040163699999</v>
          </cell>
          <cell r="P7">
            <v>198.24951403100002</v>
          </cell>
          <cell r="Q7">
            <v>216.48221559900003</v>
          </cell>
          <cell r="R7">
            <v>224.82355875800002</v>
          </cell>
          <cell r="S7">
            <v>224.67628390600004</v>
          </cell>
          <cell r="T7">
            <v>231.00048294500002</v>
          </cell>
          <cell r="U7">
            <v>232.32993156500004</v>
          </cell>
          <cell r="V7">
            <v>223.81553397400003</v>
          </cell>
          <cell r="W7">
            <v>221.41310755000001</v>
          </cell>
          <cell r="X7">
            <v>229.91281510100004</v>
          </cell>
          <cell r="Y7">
            <v>236.11114786100001</v>
          </cell>
          <cell r="Z7">
            <v>219.56306263500002</v>
          </cell>
          <cell r="AA7">
            <v>195.04970647500002</v>
          </cell>
          <cell r="AB7">
            <v>154.63254576</v>
          </cell>
          <cell r="AC7">
            <v>131.05017808599999</v>
          </cell>
        </row>
        <row r="8">
          <cell r="F8">
            <v>113.731693875</v>
          </cell>
          <cell r="G8">
            <v>97.498695604999995</v>
          </cell>
          <cell r="H8">
            <v>87.446258027000013</v>
          </cell>
          <cell r="I8">
            <v>82.954403845000002</v>
          </cell>
          <cell r="J8">
            <v>90.481270698000003</v>
          </cell>
          <cell r="K8">
            <v>105.903933237</v>
          </cell>
          <cell r="L8">
            <v>128.64702436100001</v>
          </cell>
          <cell r="M8">
            <v>111.17642622600002</v>
          </cell>
          <cell r="N8">
            <v>137.05445829800001</v>
          </cell>
          <cell r="O8">
            <v>156.80892559300003</v>
          </cell>
          <cell r="P8">
            <v>172.43659340100001</v>
          </cell>
          <cell r="Q8">
            <v>187.23489323500002</v>
          </cell>
          <cell r="R8">
            <v>189.34629844500003</v>
          </cell>
          <cell r="S8">
            <v>186.80762910100003</v>
          </cell>
          <cell r="T8">
            <v>181.938464122</v>
          </cell>
          <cell r="U8">
            <v>180.17977829400002</v>
          </cell>
          <cell r="V8">
            <v>179.24827133600002</v>
          </cell>
          <cell r="W8">
            <v>187.38265055400001</v>
          </cell>
          <cell r="X8">
            <v>205.33147430000002</v>
          </cell>
          <cell r="Y8">
            <v>209.40302051400002</v>
          </cell>
          <cell r="Z8">
            <v>191.800975325</v>
          </cell>
          <cell r="AA8">
            <v>168.42593164200005</v>
          </cell>
          <cell r="AB8">
            <v>143.00563113500004</v>
          </cell>
          <cell r="AC8">
            <v>115.425426683</v>
          </cell>
        </row>
        <row r="9">
          <cell r="F9">
            <v>113.72343432800002</v>
          </cell>
          <cell r="G9">
            <v>95.929086434000013</v>
          </cell>
          <cell r="H9">
            <v>83.793975635999999</v>
          </cell>
          <cell r="I9">
            <v>76.877948010000011</v>
          </cell>
          <cell r="J9">
            <v>78.613165778999999</v>
          </cell>
          <cell r="K9">
            <v>85.486196234000005</v>
          </cell>
          <cell r="L9">
            <v>95.888127146000002</v>
          </cell>
          <cell r="M9">
            <v>71.128071927000008</v>
          </cell>
          <cell r="N9">
            <v>90.490495179000007</v>
          </cell>
          <cell r="O9">
            <v>108.97906988</v>
          </cell>
          <cell r="P9">
            <v>123.42393743300001</v>
          </cell>
          <cell r="Q9">
            <v>142.815539137</v>
          </cell>
          <cell r="R9">
            <v>155.54873619100005</v>
          </cell>
          <cell r="S9">
            <v>161.84017788100002</v>
          </cell>
          <cell r="T9">
            <v>159.62031120899999</v>
          </cell>
          <cell r="U9">
            <v>156.660224943</v>
          </cell>
          <cell r="V9">
            <v>153.78674510400003</v>
          </cell>
          <cell r="W9">
            <v>163.86239870599999</v>
          </cell>
          <cell r="X9">
            <v>181.69863481700006</v>
          </cell>
          <cell r="Y9">
            <v>192.41682644799999</v>
          </cell>
          <cell r="Z9">
            <v>179.96217127500003</v>
          </cell>
          <cell r="AA9">
            <v>158.78818525200001</v>
          </cell>
          <cell r="AB9">
            <v>130.70034630500001</v>
          </cell>
          <cell r="AC9">
            <v>98.213121217000023</v>
          </cell>
        </row>
        <row r="10">
          <cell r="F10">
            <v>96.105208492000017</v>
          </cell>
          <cell r="G10">
            <v>84.910785927000006</v>
          </cell>
          <cell r="H10">
            <v>73.00478934600001</v>
          </cell>
          <cell r="I10">
            <v>66.612360832000007</v>
          </cell>
          <cell r="J10">
            <v>66.799961284000005</v>
          </cell>
          <cell r="K10">
            <v>72.733851721000008</v>
          </cell>
          <cell r="L10">
            <v>73.943475700999997</v>
          </cell>
          <cell r="M10">
            <v>40.842905438000003</v>
          </cell>
          <cell r="N10">
            <v>53.50940683000001</v>
          </cell>
          <cell r="O10">
            <v>67.856571215000002</v>
          </cell>
          <cell r="P10">
            <v>85.057117448</v>
          </cell>
          <cell r="Q10">
            <v>104.657303318</v>
          </cell>
          <cell r="R10">
            <v>120.65054429300001</v>
          </cell>
          <cell r="S10">
            <v>126.12691919500003</v>
          </cell>
          <cell r="T10">
            <v>124.95960109000001</v>
          </cell>
          <cell r="U10">
            <v>120.39240284500002</v>
          </cell>
          <cell r="V10">
            <v>118.25091905799999</v>
          </cell>
          <cell r="W10">
            <v>131.47603802500001</v>
          </cell>
          <cell r="X10">
            <v>157.32466121300001</v>
          </cell>
          <cell r="Y10">
            <v>165.74484812100002</v>
          </cell>
          <cell r="Z10">
            <v>153.31191836500003</v>
          </cell>
          <cell r="AA10">
            <v>133.949099058</v>
          </cell>
          <cell r="AB10">
            <v>109.11624893</v>
          </cell>
          <cell r="AC10">
            <v>83.130957963000014</v>
          </cell>
        </row>
        <row r="11">
          <cell r="F11">
            <v>148.90424387300004</v>
          </cell>
          <cell r="G11">
            <v>131.850259593</v>
          </cell>
          <cell r="H11">
            <v>122.882962308</v>
          </cell>
          <cell r="I11">
            <v>122.28661869400001</v>
          </cell>
          <cell r="J11">
            <v>138.68915730800001</v>
          </cell>
          <cell r="K11">
            <v>193.109742673</v>
          </cell>
          <cell r="L11">
            <v>229.55864831800002</v>
          </cell>
          <cell r="M11">
            <v>202.59571358599999</v>
          </cell>
          <cell r="N11">
            <v>227.31406781400003</v>
          </cell>
          <cell r="O11">
            <v>243.52881875000003</v>
          </cell>
          <cell r="P11">
            <v>269.24397860400001</v>
          </cell>
          <cell r="Q11">
            <v>286.43921049900001</v>
          </cell>
          <cell r="R11">
            <v>286.59367915000001</v>
          </cell>
          <cell r="S11">
            <v>284.20309837100001</v>
          </cell>
          <cell r="T11">
            <v>290.27661619800006</v>
          </cell>
          <cell r="U11">
            <v>291.51688763400006</v>
          </cell>
          <cell r="V11">
            <v>281.27905311000006</v>
          </cell>
          <cell r="W11">
            <v>272.19216881800003</v>
          </cell>
          <cell r="X11">
            <v>274.50059338800003</v>
          </cell>
          <cell r="Y11">
            <v>288.21774948400002</v>
          </cell>
          <cell r="Z11">
            <v>268.298710535</v>
          </cell>
          <cell r="AA11">
            <v>234.72394002000004</v>
          </cell>
          <cell r="AB11">
            <v>185.19863766100002</v>
          </cell>
          <cell r="AC11">
            <v>156.97529749700001</v>
          </cell>
        </row>
        <row r="12">
          <cell r="F12">
            <v>152.30259740100004</v>
          </cell>
          <cell r="G12">
            <v>133.24041264300001</v>
          </cell>
          <cell r="H12">
            <v>120.94852167300003</v>
          </cell>
          <cell r="I12">
            <v>117.010388386</v>
          </cell>
          <cell r="J12">
            <v>125.49870395500001</v>
          </cell>
          <cell r="K12">
            <v>145.61651930800002</v>
          </cell>
          <cell r="L12">
            <v>178.66517756200003</v>
          </cell>
          <cell r="M12">
            <v>172.55514346400003</v>
          </cell>
          <cell r="N12">
            <v>208.61647688700003</v>
          </cell>
          <cell r="O12">
            <v>232.454580875</v>
          </cell>
          <cell r="P12">
            <v>254.53828363000002</v>
          </cell>
          <cell r="Q12">
            <v>267.91328421100002</v>
          </cell>
          <cell r="R12">
            <v>267.77403847400001</v>
          </cell>
          <cell r="S12">
            <v>258.37100147800004</v>
          </cell>
          <cell r="T12">
            <v>249.68702033700004</v>
          </cell>
          <cell r="U12">
            <v>245.97043301599999</v>
          </cell>
          <cell r="V12">
            <v>240.15780021800001</v>
          </cell>
          <cell r="W12">
            <v>246.07607888700002</v>
          </cell>
          <cell r="X12">
            <v>258.34974412600002</v>
          </cell>
          <cell r="Y12">
            <v>267.29273083499999</v>
          </cell>
          <cell r="Z12">
            <v>246.27799492700004</v>
          </cell>
          <cell r="AA12">
            <v>217.56870968000001</v>
          </cell>
          <cell r="AB12">
            <v>185.81417194000002</v>
          </cell>
          <cell r="AC12">
            <v>155.58797444000001</v>
          </cell>
        </row>
        <row r="13">
          <cell r="F13">
            <v>149.95513621000003</v>
          </cell>
          <cell r="G13">
            <v>129.66837099500003</v>
          </cell>
          <cell r="H13">
            <v>117.16052203500001</v>
          </cell>
          <cell r="I13">
            <v>111.19276529500002</v>
          </cell>
          <cell r="J13">
            <v>112.63013530200001</v>
          </cell>
          <cell r="K13">
            <v>120.38951524400001</v>
          </cell>
          <cell r="L13">
            <v>135.99377980200001</v>
          </cell>
          <cell r="M13">
            <v>115.80401205700001</v>
          </cell>
          <cell r="N13">
            <v>143.78336073800003</v>
          </cell>
          <cell r="O13">
            <v>166.29447164700002</v>
          </cell>
          <cell r="P13">
            <v>186.17123352500002</v>
          </cell>
          <cell r="Q13">
            <v>205.96422617000005</v>
          </cell>
          <cell r="R13">
            <v>218.654886917</v>
          </cell>
          <cell r="S13">
            <v>216.654665147</v>
          </cell>
          <cell r="T13">
            <v>207.809007154</v>
          </cell>
          <cell r="U13">
            <v>204.78242685400002</v>
          </cell>
          <cell r="V13">
            <v>201.45164030900003</v>
          </cell>
          <cell r="W13">
            <v>209.73030596400002</v>
          </cell>
          <cell r="X13">
            <v>224.73975352000002</v>
          </cell>
          <cell r="Y13">
            <v>247.19136976700003</v>
          </cell>
          <cell r="Z13">
            <v>235.64992381100001</v>
          </cell>
          <cell r="AA13">
            <v>214.26129758100001</v>
          </cell>
          <cell r="AB13">
            <v>178.77647621800003</v>
          </cell>
          <cell r="AC13">
            <v>142.49435293400003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118.35604645700002</v>
          </cell>
          <cell r="G15">
            <v>102.47447138900003</v>
          </cell>
          <cell r="H15">
            <v>93.761434213000015</v>
          </cell>
          <cell r="I15">
            <v>92.183291857000015</v>
          </cell>
          <cell r="J15">
            <v>100.41254425000001</v>
          </cell>
          <cell r="K15">
            <v>139.64244729100002</v>
          </cell>
          <cell r="L15">
            <v>167.40652927799999</v>
          </cell>
          <cell r="M15">
            <v>143.39993629200004</v>
          </cell>
          <cell r="N15">
            <v>163.37535187</v>
          </cell>
          <cell r="O15">
            <v>176.91047388700002</v>
          </cell>
          <cell r="P15">
            <v>196.560274647</v>
          </cell>
          <cell r="Q15">
            <v>210.66238180100004</v>
          </cell>
          <cell r="R15">
            <v>210.98155172400001</v>
          </cell>
          <cell r="S15">
            <v>210.56863918300002</v>
          </cell>
          <cell r="T15">
            <v>216.66388242700003</v>
          </cell>
          <cell r="U15">
            <v>218.85053808700002</v>
          </cell>
          <cell r="V15">
            <v>210.35372533800003</v>
          </cell>
          <cell r="W15">
            <v>202.48856990700003</v>
          </cell>
          <cell r="X15">
            <v>202.85742673000001</v>
          </cell>
          <cell r="Y15">
            <v>215.41990967700005</v>
          </cell>
          <cell r="Z15">
            <v>201.23659684600003</v>
          </cell>
          <cell r="AA15">
            <v>179.36513636500001</v>
          </cell>
          <cell r="AB15">
            <v>146.34109112900001</v>
          </cell>
          <cell r="AC15">
            <v>126.93338798900002</v>
          </cell>
        </row>
        <row r="16">
          <cell r="F16">
            <v>114.75211878100001</v>
          </cell>
          <cell r="G16">
            <v>97.488311763000013</v>
          </cell>
          <cell r="H16">
            <v>87.294345731000007</v>
          </cell>
          <cell r="I16">
            <v>82.473197020000001</v>
          </cell>
          <cell r="J16">
            <v>86.708962038999999</v>
          </cell>
          <cell r="K16">
            <v>97.832973226000021</v>
          </cell>
          <cell r="L16">
            <v>118.04046983299999</v>
          </cell>
          <cell r="M16">
            <v>105.77064272699999</v>
          </cell>
          <cell r="N16">
            <v>132.38098769500002</v>
          </cell>
          <cell r="O16">
            <v>150.33015708900001</v>
          </cell>
          <cell r="P16">
            <v>169.42106663600001</v>
          </cell>
          <cell r="Q16">
            <v>179.92013183700001</v>
          </cell>
          <cell r="R16">
            <v>180.95843682600002</v>
          </cell>
          <cell r="S16">
            <v>175.98225778599999</v>
          </cell>
          <cell r="T16">
            <v>173.44718894200003</v>
          </cell>
          <cell r="U16">
            <v>171.04941436400003</v>
          </cell>
          <cell r="V16">
            <v>167.15919653100002</v>
          </cell>
          <cell r="W16">
            <v>178.882510943</v>
          </cell>
          <cell r="X16">
            <v>187.99269047000004</v>
          </cell>
          <cell r="Y16">
            <v>189.35825210500002</v>
          </cell>
          <cell r="Z16">
            <v>174.60355432600002</v>
          </cell>
          <cell r="AA16">
            <v>155.34732422100001</v>
          </cell>
          <cell r="AB16">
            <v>133.52069716600002</v>
          </cell>
          <cell r="AC16">
            <v>110.33113684100002</v>
          </cell>
        </row>
        <row r="17">
          <cell r="F17">
            <v>111.50464780600001</v>
          </cell>
          <cell r="G17">
            <v>95.488392435000023</v>
          </cell>
          <cell r="H17">
            <v>84.39347328800001</v>
          </cell>
          <cell r="I17">
            <v>78.59061224700001</v>
          </cell>
          <cell r="J17">
            <v>79.875861129</v>
          </cell>
          <cell r="K17">
            <v>84.514226857000011</v>
          </cell>
          <cell r="L17">
            <v>93.409074881000009</v>
          </cell>
          <cell r="M17">
            <v>70.847621781000015</v>
          </cell>
          <cell r="N17">
            <v>90.348815504000001</v>
          </cell>
          <cell r="O17">
            <v>106.33741903500001</v>
          </cell>
          <cell r="P17">
            <v>116.81945387100001</v>
          </cell>
          <cell r="Q17">
            <v>128.60046989600002</v>
          </cell>
          <cell r="R17">
            <v>138.43809444300001</v>
          </cell>
          <cell r="S17">
            <v>140.60730207999998</v>
          </cell>
          <cell r="T17">
            <v>137.87532909200002</v>
          </cell>
          <cell r="U17">
            <v>134.48365809200001</v>
          </cell>
          <cell r="V17">
            <v>132.46037871999999</v>
          </cell>
          <cell r="W17">
            <v>142.40235295799999</v>
          </cell>
          <cell r="X17">
            <v>155.88792489400004</v>
          </cell>
          <cell r="Y17">
            <v>169.23423669100004</v>
          </cell>
          <cell r="Z17">
            <v>161.13333492200002</v>
          </cell>
          <cell r="AA17">
            <v>146.16253513300001</v>
          </cell>
          <cell r="AB17">
            <v>120.77942059000002</v>
          </cell>
          <cell r="AC17">
            <v>92.56664429300001</v>
          </cell>
        </row>
        <row r="18">
          <cell r="F18">
            <v>103.53862076700001</v>
          </cell>
          <cell r="G18">
            <v>88.60636073000002</v>
          </cell>
          <cell r="H18">
            <v>79.634296383000006</v>
          </cell>
          <cell r="I18">
            <v>72.706091866000023</v>
          </cell>
          <cell r="J18">
            <v>75.605300878000008</v>
          </cell>
          <cell r="K18">
            <v>82.41892308300001</v>
          </cell>
          <cell r="L18">
            <v>92.792093201000014</v>
          </cell>
          <cell r="M18">
            <v>74.431941134000013</v>
          </cell>
          <cell r="N18">
            <v>92.366787739000003</v>
          </cell>
          <cell r="O18">
            <v>98.275870730999998</v>
          </cell>
          <cell r="P18">
            <v>98.69702121600001</v>
          </cell>
          <cell r="Q18">
            <v>110.91320087200002</v>
          </cell>
          <cell r="R18">
            <v>122.63609042500002</v>
          </cell>
          <cell r="S18">
            <v>125.72198536200001</v>
          </cell>
          <cell r="T18">
            <v>123.62756011000002</v>
          </cell>
          <cell r="U18">
            <v>122.53964023100001</v>
          </cell>
          <cell r="V18">
            <v>120.92887014400002</v>
          </cell>
          <cell r="W18">
            <v>129.44436948800001</v>
          </cell>
          <cell r="X18">
            <v>139.75696479400003</v>
          </cell>
          <cell r="Y18">
            <v>146.09163408700002</v>
          </cell>
          <cell r="Z18">
            <v>133.64374785400003</v>
          </cell>
          <cell r="AA18">
            <v>127.10860992200001</v>
          </cell>
          <cell r="AB18">
            <v>119.23111197700001</v>
          </cell>
          <cell r="AC18">
            <v>105.295333521</v>
          </cell>
        </row>
        <row r="19">
          <cell r="F19">
            <v>122.49738476300001</v>
          </cell>
          <cell r="G19">
            <v>107.40898544300001</v>
          </cell>
          <cell r="H19">
            <v>99.33443933400001</v>
          </cell>
          <cell r="I19">
            <v>99.022772853000006</v>
          </cell>
          <cell r="J19">
            <v>113.84363342000002</v>
          </cell>
          <cell r="K19">
            <v>163.87929225200003</v>
          </cell>
          <cell r="L19">
            <v>196.44600917900001</v>
          </cell>
          <cell r="M19">
            <v>169.68181484600001</v>
          </cell>
          <cell r="N19">
            <v>188.25141519900001</v>
          </cell>
          <cell r="O19">
            <v>201.81301529300001</v>
          </cell>
          <cell r="P19">
            <v>224.016974748</v>
          </cell>
          <cell r="Q19">
            <v>239.23526570600004</v>
          </cell>
          <cell r="R19">
            <v>237.82858636100002</v>
          </cell>
          <cell r="S19">
            <v>236.69837500900005</v>
          </cell>
          <cell r="T19">
            <v>244.37508027000004</v>
          </cell>
          <cell r="U19">
            <v>245.99802004700001</v>
          </cell>
          <cell r="V19">
            <v>236.86372437100005</v>
          </cell>
          <cell r="W19">
            <v>235.08218256900003</v>
          </cell>
          <cell r="X19">
            <v>242.93241752800006</v>
          </cell>
          <cell r="Y19">
            <v>249.44870324200002</v>
          </cell>
          <cell r="Z19">
            <v>230.69810575400001</v>
          </cell>
          <cell r="AA19">
            <v>203.05468372299998</v>
          </cell>
          <cell r="AB19">
            <v>158.38828491800001</v>
          </cell>
          <cell r="AC19">
            <v>132.47553682500001</v>
          </cell>
        </row>
        <row r="20">
          <cell r="F20">
            <v>131.02319593900003</v>
          </cell>
          <cell r="G20">
            <v>115.78566390900001</v>
          </cell>
          <cell r="H20">
            <v>102.13922163300001</v>
          </cell>
          <cell r="I20">
            <v>98.574777040000001</v>
          </cell>
          <cell r="J20">
            <v>107.76563657100002</v>
          </cell>
          <cell r="K20">
            <v>127.025164734</v>
          </cell>
          <cell r="L20">
            <v>163.30005101300003</v>
          </cell>
          <cell r="M20">
            <v>161.07308415500003</v>
          </cell>
          <cell r="N20">
            <v>191.39377317700001</v>
          </cell>
          <cell r="O20">
            <v>212.25710806000001</v>
          </cell>
          <cell r="P20">
            <v>230.07106427700003</v>
          </cell>
          <cell r="Q20">
            <v>241.707801066</v>
          </cell>
          <cell r="R20">
            <v>240.33560731000003</v>
          </cell>
          <cell r="S20">
            <v>229.09568882700003</v>
          </cell>
          <cell r="T20">
            <v>222.92472706800001</v>
          </cell>
          <cell r="U20">
            <v>216.77594438900005</v>
          </cell>
          <cell r="V20">
            <v>212.41448591500003</v>
          </cell>
          <cell r="W20">
            <v>224.052252447</v>
          </cell>
          <cell r="X20">
            <v>237.06572682300001</v>
          </cell>
          <cell r="Y20">
            <v>234.64799107300001</v>
          </cell>
          <cell r="Z20">
            <v>213.94873817600003</v>
          </cell>
          <cell r="AA20">
            <v>188.59843138900004</v>
          </cell>
          <cell r="AB20">
            <v>157.071963721</v>
          </cell>
          <cell r="AC20">
            <v>127.88210533700001</v>
          </cell>
        </row>
        <row r="21">
          <cell r="F21">
            <v>127.15385380500001</v>
          </cell>
          <cell r="G21">
            <v>108.88156113900003</v>
          </cell>
          <cell r="H21">
            <v>96.649856127000007</v>
          </cell>
          <cell r="I21">
            <v>90.087210375000012</v>
          </cell>
          <cell r="J21">
            <v>90.932233323000005</v>
          </cell>
          <cell r="K21">
            <v>96.818330723000017</v>
          </cell>
          <cell r="L21">
            <v>110.91075253200002</v>
          </cell>
          <cell r="M21">
            <v>91.092448372000007</v>
          </cell>
          <cell r="N21">
            <v>113.30957125500001</v>
          </cell>
          <cell r="O21">
            <v>129.75118969600001</v>
          </cell>
          <cell r="P21">
            <v>145.09371950700003</v>
          </cell>
          <cell r="Q21">
            <v>162.59927849700003</v>
          </cell>
          <cell r="R21">
            <v>169.24531903000002</v>
          </cell>
          <cell r="S21">
            <v>170.44198841100001</v>
          </cell>
          <cell r="T21">
            <v>163.69460100400002</v>
          </cell>
          <cell r="U21">
            <v>161.46489776600001</v>
          </cell>
          <cell r="V21">
            <v>158.902076268</v>
          </cell>
          <cell r="W21">
            <v>171.24785232100001</v>
          </cell>
          <cell r="X21">
            <v>189.97959759099999</v>
          </cell>
          <cell r="Y21">
            <v>195.90216805600002</v>
          </cell>
          <cell r="Z21">
            <v>187.14129463700002</v>
          </cell>
          <cell r="AA21">
            <v>168.19580928500002</v>
          </cell>
          <cell r="AB21">
            <v>140.28690078600002</v>
          </cell>
          <cell r="AC21">
            <v>106.13971558</v>
          </cell>
        </row>
        <row r="22">
          <cell r="F22">
            <v>128.88135930300001</v>
          </cell>
          <cell r="G22">
            <v>111.265408983</v>
          </cell>
          <cell r="H22">
            <v>98.371298382999996</v>
          </cell>
          <cell r="I22">
            <v>90.771636621000013</v>
          </cell>
          <cell r="J22">
            <v>90.692425621000012</v>
          </cell>
          <cell r="K22">
            <v>95.777051721000007</v>
          </cell>
          <cell r="L22">
            <v>108.192115796</v>
          </cell>
          <cell r="M22">
            <v>88.450358266000009</v>
          </cell>
          <cell r="N22">
            <v>111.58751691400002</v>
          </cell>
          <cell r="O22">
            <v>132.32797393300001</v>
          </cell>
          <cell r="P22">
            <v>153.073486054</v>
          </cell>
          <cell r="Q22">
            <v>171.86924101300002</v>
          </cell>
          <cell r="R22">
            <v>179.75999599900001</v>
          </cell>
          <cell r="S22">
            <v>183.94160949800005</v>
          </cell>
          <cell r="T22">
            <v>181.56633084400002</v>
          </cell>
          <cell r="U22">
            <v>180.86564474000002</v>
          </cell>
          <cell r="V22">
            <v>176.74683116200001</v>
          </cell>
          <cell r="W22">
            <v>185.80007958300001</v>
          </cell>
          <cell r="X22">
            <v>205.92022806</v>
          </cell>
          <cell r="Y22">
            <v>217.93012787000004</v>
          </cell>
          <cell r="Z22">
            <v>209.88880717500001</v>
          </cell>
          <cell r="AA22">
            <v>186.43416363800003</v>
          </cell>
          <cell r="AB22">
            <v>149.70441179200003</v>
          </cell>
          <cell r="AC22">
            <v>108.89674804800002</v>
          </cell>
        </row>
        <row r="23">
          <cell r="F23">
            <v>99.54637196500002</v>
          </cell>
          <cell r="G23">
            <v>81.129396807000006</v>
          </cell>
          <cell r="H23">
            <v>71.39697166900001</v>
          </cell>
          <cell r="I23">
            <v>67.725534618000012</v>
          </cell>
          <cell r="J23">
            <v>66.158121752</v>
          </cell>
          <cell r="K23">
            <v>74.017588392999997</v>
          </cell>
          <cell r="L23">
            <v>98.901450404999991</v>
          </cell>
          <cell r="M23">
            <v>96.021540073000011</v>
          </cell>
          <cell r="N23">
            <v>129.90013518000001</v>
          </cell>
          <cell r="O23">
            <v>151.04016848800003</v>
          </cell>
          <cell r="P23">
            <v>169.53261012600001</v>
          </cell>
          <cell r="Q23">
            <v>190.11047576599998</v>
          </cell>
          <cell r="R23">
            <v>205.23490889000004</v>
          </cell>
          <cell r="S23">
            <v>195.83348491800001</v>
          </cell>
          <cell r="T23">
            <v>181.912648537</v>
          </cell>
          <cell r="U23">
            <v>172.50807772800002</v>
          </cell>
          <cell r="V23">
            <v>163.27867124400004</v>
          </cell>
          <cell r="W23">
            <v>170.92593881700003</v>
          </cell>
          <cell r="X23">
            <v>189.62242079000004</v>
          </cell>
          <cell r="Y23">
            <v>199.91868422800002</v>
          </cell>
          <cell r="Z23">
            <v>180.59085458000001</v>
          </cell>
          <cell r="AA23">
            <v>156.87764473600001</v>
          </cell>
          <cell r="AB23">
            <v>122.51306854100001</v>
          </cell>
          <cell r="AC23">
            <v>97.627197450000011</v>
          </cell>
        </row>
        <row r="24">
          <cell r="F24">
            <v>65.508152291000002</v>
          </cell>
          <cell r="G24">
            <v>55.577850874000013</v>
          </cell>
          <cell r="H24">
            <v>48.308671806000007</v>
          </cell>
          <cell r="I24">
            <v>49.455265433000008</v>
          </cell>
          <cell r="J24">
            <v>66.429311412000004</v>
          </cell>
          <cell r="K24">
            <v>96.187897575000008</v>
          </cell>
          <cell r="L24">
            <v>149.38856153</v>
          </cell>
          <cell r="M24">
            <v>152.11672518900002</v>
          </cell>
          <cell r="N24">
            <v>181.42607696700003</v>
          </cell>
          <cell r="O24">
            <v>196.41328783500001</v>
          </cell>
          <cell r="P24">
            <v>217.07306485000004</v>
          </cell>
          <cell r="Q24">
            <v>244.28451329300003</v>
          </cell>
          <cell r="R24">
            <v>259.13012369699999</v>
          </cell>
          <cell r="S24">
            <v>247.67189969800003</v>
          </cell>
          <cell r="T24">
            <v>252.03578490900003</v>
          </cell>
          <cell r="U24">
            <v>248.81724755200005</v>
          </cell>
          <cell r="V24">
            <v>235.96413944600005</v>
          </cell>
          <cell r="W24">
            <v>225.76434060399998</v>
          </cell>
          <cell r="X24">
            <v>241.83270241100001</v>
          </cell>
          <cell r="Y24">
            <v>262.01182707800007</v>
          </cell>
          <cell r="Z24">
            <v>233.29611853900005</v>
          </cell>
          <cell r="AA24">
            <v>197.312527112</v>
          </cell>
          <cell r="AB24">
            <v>139.28446397800002</v>
          </cell>
          <cell r="AC24">
            <v>88.592433996000011</v>
          </cell>
        </row>
        <row r="25">
          <cell r="F25">
            <v>82.610959350999991</v>
          </cell>
          <cell r="G25">
            <v>70.678131844000006</v>
          </cell>
          <cell r="H25">
            <v>62.419693797999997</v>
          </cell>
          <cell r="I25">
            <v>62.896363993000001</v>
          </cell>
          <cell r="J25">
            <v>87.749837785000011</v>
          </cell>
          <cell r="K25">
            <v>124.02495449600001</v>
          </cell>
          <cell r="L25">
            <v>187.84337053400003</v>
          </cell>
          <cell r="M25">
            <v>199.62828950100001</v>
          </cell>
          <cell r="N25">
            <v>231.98609821700003</v>
          </cell>
          <cell r="O25">
            <v>243.88637720400001</v>
          </cell>
          <cell r="P25">
            <v>266.34793803200006</v>
          </cell>
          <cell r="Q25">
            <v>291.01285363900001</v>
          </cell>
          <cell r="R25">
            <v>302.790420385</v>
          </cell>
          <cell r="S25">
            <v>286.77830558900007</v>
          </cell>
          <cell r="T25">
            <v>279.17687958200003</v>
          </cell>
          <cell r="U25">
            <v>276.95298035000002</v>
          </cell>
          <cell r="V25">
            <v>261.32113596200003</v>
          </cell>
          <cell r="W25">
            <v>249.615672829</v>
          </cell>
          <cell r="X25">
            <v>268.31366701200005</v>
          </cell>
          <cell r="Y25">
            <v>289.33888037500003</v>
          </cell>
          <cell r="Z25">
            <v>252.94579688200002</v>
          </cell>
          <cell r="AA25">
            <v>212.72803905800004</v>
          </cell>
          <cell r="AB25">
            <v>159.89634714200002</v>
          </cell>
          <cell r="AC25">
            <v>107.94463902900002</v>
          </cell>
        </row>
        <row r="26">
          <cell r="F26">
            <v>93.558970897000009</v>
          </cell>
          <cell r="G26">
            <v>75.511723883000016</v>
          </cell>
          <cell r="H26">
            <v>66.698888048000015</v>
          </cell>
          <cell r="I26">
            <v>66.132392579000012</v>
          </cell>
          <cell r="J26">
            <v>82.52059400200001</v>
          </cell>
          <cell r="K26">
            <v>105.726356577</v>
          </cell>
          <cell r="L26">
            <v>151.48861796400004</v>
          </cell>
          <cell r="M26">
            <v>155.277676149</v>
          </cell>
          <cell r="N26">
            <v>183.990770725</v>
          </cell>
          <cell r="O26">
            <v>202.581887666</v>
          </cell>
          <cell r="P26">
            <v>225.25299759400002</v>
          </cell>
          <cell r="Q26">
            <v>247.15041047900002</v>
          </cell>
          <cell r="R26">
            <v>252.52877977100002</v>
          </cell>
          <cell r="S26">
            <v>241.17350846900001</v>
          </cell>
          <cell r="T26">
            <v>237.78030365600003</v>
          </cell>
          <cell r="U26">
            <v>236.79905219000005</v>
          </cell>
          <cell r="V26">
            <v>220.47262814600003</v>
          </cell>
          <cell r="W26">
            <v>209.19862012900001</v>
          </cell>
          <cell r="X26">
            <v>227.80216599600001</v>
          </cell>
          <cell r="Y26">
            <v>244.31170426900005</v>
          </cell>
          <cell r="Z26">
            <v>219.395682591</v>
          </cell>
          <cell r="AA26">
            <v>188.54030491700004</v>
          </cell>
          <cell r="AB26">
            <v>151.225198183</v>
          </cell>
          <cell r="AC26">
            <v>98.781078489000024</v>
          </cell>
        </row>
        <row r="27">
          <cell r="F27">
            <v>126.29832459800002</v>
          </cell>
          <cell r="G27">
            <v>109.99581507500001</v>
          </cell>
          <cell r="H27">
            <v>100.74667065000001</v>
          </cell>
          <cell r="I27">
            <v>100.97189632700001</v>
          </cell>
          <cell r="J27">
            <v>111.51858174100002</v>
          </cell>
          <cell r="K27">
            <v>142.95656352099999</v>
          </cell>
          <cell r="L27">
            <v>178.64011088100003</v>
          </cell>
          <cell r="M27">
            <v>166.69626584400001</v>
          </cell>
          <cell r="N27">
            <v>191.90192614400002</v>
          </cell>
          <cell r="O27">
            <v>204.79180975700004</v>
          </cell>
          <cell r="P27">
            <v>225.15246443300003</v>
          </cell>
          <cell r="Q27">
            <v>243.32228686900004</v>
          </cell>
          <cell r="R27">
            <v>249.29757585499999</v>
          </cell>
          <cell r="S27">
            <v>246.271809268</v>
          </cell>
          <cell r="T27">
            <v>250.64633035600002</v>
          </cell>
          <cell r="U27">
            <v>250.66153886800004</v>
          </cell>
          <cell r="V27">
            <v>240.44015862900002</v>
          </cell>
          <cell r="W27">
            <v>237.68580493300004</v>
          </cell>
          <cell r="X27">
            <v>241.97954520300004</v>
          </cell>
          <cell r="Y27">
            <v>250.04359945500002</v>
          </cell>
          <cell r="Z27">
            <v>229.80155245000003</v>
          </cell>
          <cell r="AA27">
            <v>201.45609772800006</v>
          </cell>
          <cell r="AB27">
            <v>162.02237758300001</v>
          </cell>
          <cell r="AC27">
            <v>136.72692801400004</v>
          </cell>
        </row>
        <row r="28">
          <cell r="F28">
            <v>130.89696240900003</v>
          </cell>
          <cell r="G28">
            <v>112.11480293800001</v>
          </cell>
          <cell r="H28">
            <v>103.30664055199999</v>
          </cell>
          <cell r="I28">
            <v>98.278052634000005</v>
          </cell>
          <cell r="J28">
            <v>106.55169199100001</v>
          </cell>
          <cell r="K28">
            <v>121.76339403400002</v>
          </cell>
          <cell r="L28">
            <v>154.03087340600004</v>
          </cell>
          <cell r="M28">
            <v>141.55440640400002</v>
          </cell>
          <cell r="N28">
            <v>168.22585185700004</v>
          </cell>
          <cell r="O28">
            <v>187.36765807200001</v>
          </cell>
          <cell r="P28">
            <v>204.86338769700001</v>
          </cell>
          <cell r="Q28">
            <v>216.973453417</v>
          </cell>
          <cell r="R28">
            <v>214.72268725400002</v>
          </cell>
          <cell r="S28">
            <v>205.69017771300003</v>
          </cell>
          <cell r="T28">
            <v>202.38175747400001</v>
          </cell>
          <cell r="U28">
            <v>205.22312085300004</v>
          </cell>
          <cell r="V28">
            <v>201.58552850200002</v>
          </cell>
          <cell r="W28">
            <v>214.25923809500003</v>
          </cell>
          <cell r="X28">
            <v>223.661871835</v>
          </cell>
          <cell r="Y28">
            <v>231.15338177800004</v>
          </cell>
          <cell r="Z28">
            <v>211.36339915100001</v>
          </cell>
          <cell r="AA28">
            <v>184.36826874800002</v>
          </cell>
          <cell r="AB28">
            <v>155.27568147200003</v>
          </cell>
          <cell r="AC28">
            <v>128.31954448400001</v>
          </cell>
        </row>
        <row r="29">
          <cell r="F29">
            <v>130.27027378100001</v>
          </cell>
          <cell r="G29">
            <v>113.02356193700001</v>
          </cell>
          <cell r="H29">
            <v>99.950708114999998</v>
          </cell>
          <cell r="I29">
            <v>92.73822972100001</v>
          </cell>
          <cell r="J29">
            <v>92.94866454400001</v>
          </cell>
          <cell r="K29">
            <v>98.233392032000012</v>
          </cell>
          <cell r="L29">
            <v>109.063638424</v>
          </cell>
          <cell r="M29">
            <v>87.684647132000009</v>
          </cell>
          <cell r="N29">
            <v>108.23016588</v>
          </cell>
          <cell r="O29">
            <v>126.85949852800002</v>
          </cell>
          <cell r="P29">
            <v>140.55566370900002</v>
          </cell>
          <cell r="Q29">
            <v>158.234853211</v>
          </cell>
          <cell r="R29">
            <v>170.64714490100002</v>
          </cell>
          <cell r="S29">
            <v>175.87384673100001</v>
          </cell>
          <cell r="T29">
            <v>173.48568548800003</v>
          </cell>
          <cell r="U29">
            <v>169.42539443700002</v>
          </cell>
          <cell r="V29">
            <v>163.72008534300002</v>
          </cell>
          <cell r="W29">
            <v>172.97223978600002</v>
          </cell>
          <cell r="X29">
            <v>182.75243635800001</v>
          </cell>
          <cell r="Y29">
            <v>196.57303481900001</v>
          </cell>
          <cell r="Z29">
            <v>182.34534942600004</v>
          </cell>
          <cell r="AA29">
            <v>163.30581181300002</v>
          </cell>
          <cell r="AB29">
            <v>139.62125474800004</v>
          </cell>
          <cell r="AC29">
            <v>111.66403474000001</v>
          </cell>
        </row>
        <row r="30">
          <cell r="F30">
            <v>119.36089560000002</v>
          </cell>
          <cell r="G30">
            <v>104.30016252200001</v>
          </cell>
          <cell r="H30">
            <v>93.714152447000018</v>
          </cell>
          <cell r="I30">
            <v>89.127259467000016</v>
          </cell>
          <cell r="J30">
            <v>92.447021281000005</v>
          </cell>
          <cell r="K30">
            <v>98.042983190000001</v>
          </cell>
          <cell r="L30">
            <v>113.00846144000002</v>
          </cell>
          <cell r="M30">
            <v>96.638507351000015</v>
          </cell>
          <cell r="N30">
            <v>128.67550431600003</v>
          </cell>
          <cell r="O30">
            <v>141.67660737400001</v>
          </cell>
          <cell r="P30">
            <v>163.75964043600001</v>
          </cell>
          <cell r="Q30">
            <v>185.47242688200004</v>
          </cell>
          <cell r="R30">
            <v>202.90214494000003</v>
          </cell>
          <cell r="S30">
            <v>198.04682748400003</v>
          </cell>
          <cell r="T30">
            <v>188.39560082200001</v>
          </cell>
          <cell r="U30">
            <v>184.09564608900001</v>
          </cell>
          <cell r="V30">
            <v>175.95448352900002</v>
          </cell>
          <cell r="W30">
            <v>192.27735027900002</v>
          </cell>
          <cell r="X30">
            <v>212.35988073200002</v>
          </cell>
          <cell r="Y30">
            <v>223.834969473</v>
          </cell>
          <cell r="Z30">
            <v>206.79879326599999</v>
          </cell>
          <cell r="AA30">
            <v>173.856457777</v>
          </cell>
          <cell r="AB30">
            <v>147.36549098699999</v>
          </cell>
          <cell r="AC30">
            <v>115.06637762200002</v>
          </cell>
        </row>
        <row r="31">
          <cell r="F31">
            <v>111.395055787</v>
          </cell>
          <cell r="G31">
            <v>95.549341698999996</v>
          </cell>
          <cell r="H31">
            <v>86.511813061000012</v>
          </cell>
          <cell r="I31">
            <v>84.800992280000003</v>
          </cell>
          <cell r="J31">
            <v>93.713583568000004</v>
          </cell>
          <cell r="K31">
            <v>130.766242656</v>
          </cell>
          <cell r="L31">
            <v>161.60646942600002</v>
          </cell>
          <cell r="M31">
            <v>138.96921139900002</v>
          </cell>
          <cell r="N31">
            <v>158.77669245600001</v>
          </cell>
          <cell r="O31">
            <v>171.52200879300003</v>
          </cell>
          <cell r="P31">
            <v>192.49691597000003</v>
          </cell>
          <cell r="Q31">
            <v>208.65873235500001</v>
          </cell>
          <cell r="R31">
            <v>210.65608092600002</v>
          </cell>
          <cell r="S31">
            <v>208.18523780100003</v>
          </cell>
          <cell r="T31">
            <v>214.86640481200001</v>
          </cell>
          <cell r="U31">
            <v>215.53331822600003</v>
          </cell>
          <cell r="V31">
            <v>205.51603593000002</v>
          </cell>
          <cell r="W31">
            <v>200.82323784300002</v>
          </cell>
          <cell r="X31">
            <v>203.80535916900004</v>
          </cell>
          <cell r="Y31">
            <v>217.89304992100003</v>
          </cell>
          <cell r="Z31">
            <v>200.42459048300003</v>
          </cell>
          <cell r="AA31">
            <v>177.31910903400004</v>
          </cell>
          <cell r="AB31">
            <v>138.75209404800003</v>
          </cell>
          <cell r="AC31">
            <v>113.949502522</v>
          </cell>
        </row>
        <row r="32">
          <cell r="F32">
            <v>94.480720500000004</v>
          </cell>
          <cell r="G32">
            <v>78.200282042000012</v>
          </cell>
          <cell r="H32">
            <v>70.254734647000006</v>
          </cell>
          <cell r="I32">
            <v>66.910172589000013</v>
          </cell>
          <cell r="J32">
            <v>73.361994951</v>
          </cell>
          <cell r="K32">
            <v>87.097960059000002</v>
          </cell>
          <cell r="L32">
            <v>114.92582130300001</v>
          </cell>
          <cell r="M32">
            <v>105.411874505</v>
          </cell>
          <cell r="N32">
            <v>133.33558826000001</v>
          </cell>
          <cell r="O32">
            <v>151.12177022000003</v>
          </cell>
          <cell r="P32">
            <v>171.40487732700004</v>
          </cell>
          <cell r="Q32">
            <v>185.44404774100002</v>
          </cell>
          <cell r="R32">
            <v>185.19412983500004</v>
          </cell>
          <cell r="S32">
            <v>179.14696766800003</v>
          </cell>
          <cell r="T32">
            <v>175.84736145300002</v>
          </cell>
          <cell r="U32">
            <v>175.51973035500001</v>
          </cell>
          <cell r="V32">
            <v>173.389516133</v>
          </cell>
          <cell r="W32">
            <v>181.39649525900001</v>
          </cell>
          <cell r="X32">
            <v>185.13944544100002</v>
          </cell>
          <cell r="Y32">
            <v>197.06664896700002</v>
          </cell>
          <cell r="Z32">
            <v>179.21924410500003</v>
          </cell>
          <cell r="AA32">
            <v>156.61108531900001</v>
          </cell>
          <cell r="AB32">
            <v>129.07755774899999</v>
          </cell>
          <cell r="AC32">
            <v>104.71185809400001</v>
          </cell>
        </row>
        <row r="33">
          <cell r="F33">
            <v>104.99513103200002</v>
          </cell>
          <cell r="G33">
            <v>89.480850170000011</v>
          </cell>
          <cell r="H33">
            <v>77.508265942000008</v>
          </cell>
          <cell r="I33">
            <v>70.866596416000021</v>
          </cell>
          <cell r="J33">
            <v>72.472088170000006</v>
          </cell>
          <cell r="K33">
            <v>76.677508175000014</v>
          </cell>
          <cell r="L33">
            <v>86.786574417000011</v>
          </cell>
          <cell r="M33">
            <v>65.23088498700001</v>
          </cell>
          <cell r="N33">
            <v>87.473837857000021</v>
          </cell>
          <cell r="O33">
            <v>105.70896616200001</v>
          </cell>
          <cell r="P33">
            <v>122.809850555</v>
          </cell>
          <cell r="Q33">
            <v>142.09981014400003</v>
          </cell>
          <cell r="R33">
            <v>153.11258028300003</v>
          </cell>
          <cell r="S33">
            <v>157.12360929300002</v>
          </cell>
          <cell r="T33">
            <v>154.99150840900001</v>
          </cell>
          <cell r="U33">
            <v>152.92384927400002</v>
          </cell>
          <cell r="V33">
            <v>151.63896044200001</v>
          </cell>
          <cell r="W33">
            <v>162.29656285900003</v>
          </cell>
          <cell r="X33">
            <v>166.26069895700002</v>
          </cell>
          <cell r="Y33">
            <v>177.59119161800001</v>
          </cell>
          <cell r="Z33">
            <v>162.16038474800001</v>
          </cell>
          <cell r="AA33">
            <v>147.49462652000003</v>
          </cell>
          <cell r="AB33">
            <v>123.31547597100001</v>
          </cell>
          <cell r="AC33">
            <v>103.02765220900001</v>
          </cell>
        </row>
        <row r="34">
          <cell r="F34">
            <v>93.016274733000017</v>
          </cell>
          <cell r="G34">
            <v>77.028304890000001</v>
          </cell>
          <cell r="H34">
            <v>62.098385178000001</v>
          </cell>
          <cell r="I34">
            <v>57.687715070000003</v>
          </cell>
          <cell r="J34">
            <v>60.148628016000011</v>
          </cell>
          <cell r="K34">
            <v>68.814671466000021</v>
          </cell>
          <cell r="L34">
            <v>85.410852171000016</v>
          </cell>
          <cell r="M34">
            <v>67.324316501000013</v>
          </cell>
          <cell r="N34">
            <v>90.237005577000019</v>
          </cell>
          <cell r="O34">
            <v>110.20163405700002</v>
          </cell>
          <cell r="P34">
            <v>127.26184000100002</v>
          </cell>
          <cell r="Q34">
            <v>145.47512047200001</v>
          </cell>
          <cell r="R34">
            <v>153.40825334300001</v>
          </cell>
          <cell r="S34">
            <v>155.02049963500002</v>
          </cell>
          <cell r="T34">
            <v>155.06849430000003</v>
          </cell>
          <cell r="U34">
            <v>157.31046804200002</v>
          </cell>
          <cell r="V34">
            <v>148.64307080400002</v>
          </cell>
          <cell r="W34">
            <v>157.12814592300003</v>
          </cell>
          <cell r="X34">
            <v>160.22045695100002</v>
          </cell>
          <cell r="Y34">
            <v>172.90422634100003</v>
          </cell>
          <cell r="Z34">
            <v>162.67431291700004</v>
          </cell>
          <cell r="AA34">
            <v>145.24392516600003</v>
          </cell>
          <cell r="AB34">
            <v>121.12691204600002</v>
          </cell>
          <cell r="AC34">
            <v>94.87099309700001</v>
          </cell>
        </row>
        <row r="35">
          <cell r="F35">
            <v>116.01830661600002</v>
          </cell>
          <cell r="G35">
            <v>101.43497823500002</v>
          </cell>
          <cell r="H35">
            <v>93.375266186000005</v>
          </cell>
          <cell r="I35">
            <v>92.247186330000005</v>
          </cell>
          <cell r="J35">
            <v>103.39842449800003</v>
          </cell>
          <cell r="K35">
            <v>145.00206517900003</v>
          </cell>
          <cell r="L35">
            <v>179.527259679</v>
          </cell>
          <cell r="M35">
            <v>156.646528641</v>
          </cell>
          <cell r="N35">
            <v>175.01378089400004</v>
          </cell>
          <cell r="O35">
            <v>188.52982746200001</v>
          </cell>
          <cell r="P35">
            <v>210.60519145900005</v>
          </cell>
          <cell r="Q35">
            <v>226.52986451200002</v>
          </cell>
          <cell r="R35">
            <v>226.90865151400001</v>
          </cell>
          <cell r="S35">
            <v>226.22634236200003</v>
          </cell>
          <cell r="T35">
            <v>232.68658989400004</v>
          </cell>
          <cell r="U35">
            <v>232.73519664400004</v>
          </cell>
          <cell r="V35">
            <v>221.65646534500004</v>
          </cell>
          <cell r="W35">
            <v>216.20189507100002</v>
          </cell>
          <cell r="X35">
            <v>222.583572492</v>
          </cell>
          <cell r="Y35">
            <v>235.26762272100004</v>
          </cell>
          <cell r="Z35">
            <v>218.29037949799999</v>
          </cell>
          <cell r="AA35">
            <v>192.12730304200002</v>
          </cell>
          <cell r="AB35">
            <v>151.22313149600001</v>
          </cell>
          <cell r="AC35">
            <v>127.38310484100002</v>
          </cell>
        </row>
        <row r="36">
          <cell r="F36">
            <v>127.55456065100002</v>
          </cell>
          <cell r="G36">
            <v>108.89813784100002</v>
          </cell>
          <cell r="H36">
            <v>97.110007228000001</v>
          </cell>
          <cell r="I36">
            <v>91.193694432000015</v>
          </cell>
          <cell r="J36">
            <v>96.745607824000004</v>
          </cell>
          <cell r="K36">
            <v>111.54647841500001</v>
          </cell>
          <cell r="L36">
            <v>138.64711066900003</v>
          </cell>
          <cell r="M36">
            <v>127.47082742300003</v>
          </cell>
          <cell r="N36">
            <v>154.51263470800001</v>
          </cell>
          <cell r="O36">
            <v>173.92828055100003</v>
          </cell>
          <cell r="P36">
            <v>191.30103869900003</v>
          </cell>
          <cell r="Q36">
            <v>203.33882798200003</v>
          </cell>
          <cell r="R36">
            <v>202.69911274500001</v>
          </cell>
          <cell r="S36">
            <v>199.69880169300001</v>
          </cell>
          <cell r="T36">
            <v>195.36390770800006</v>
          </cell>
          <cell r="U36">
            <v>191.85117349600003</v>
          </cell>
          <cell r="V36">
            <v>190.24694911800003</v>
          </cell>
          <cell r="W36">
            <v>202.04918649000004</v>
          </cell>
          <cell r="X36">
            <v>208.62133036099999</v>
          </cell>
          <cell r="Y36">
            <v>214.26550296500005</v>
          </cell>
          <cell r="Z36">
            <v>196.71932313400004</v>
          </cell>
          <cell r="AA36">
            <v>170.24727337100001</v>
          </cell>
          <cell r="AB36">
            <v>140.27860523400003</v>
          </cell>
          <cell r="AC36">
            <v>113.31801802800001</v>
          </cell>
        </row>
        <row r="37">
          <cell r="F37">
            <v>105.97464705700001</v>
          </cell>
          <cell r="G37">
            <v>90.75037206799999</v>
          </cell>
          <cell r="H37">
            <v>81.208744625999998</v>
          </cell>
          <cell r="I37">
            <v>76.092945397000008</v>
          </cell>
          <cell r="J37">
            <v>76.903777997000006</v>
          </cell>
          <cell r="K37">
            <v>84.595338921000021</v>
          </cell>
          <cell r="L37">
            <v>94.833483088000008</v>
          </cell>
          <cell r="M37">
            <v>73.997663226</v>
          </cell>
          <cell r="N37">
            <v>95.375970423000027</v>
          </cell>
          <cell r="O37">
            <v>113.02509575000001</v>
          </cell>
          <cell r="P37">
            <v>127.28697869200002</v>
          </cell>
          <cell r="Q37">
            <v>143.855968421</v>
          </cell>
          <cell r="R37">
            <v>155.79223800600002</v>
          </cell>
          <cell r="S37">
            <v>158.834876536</v>
          </cell>
          <cell r="T37">
            <v>152.86409537600002</v>
          </cell>
          <cell r="U37">
            <v>151.77156685700004</v>
          </cell>
          <cell r="V37">
            <v>147.17305146300001</v>
          </cell>
          <cell r="W37">
            <v>157.12503509100003</v>
          </cell>
          <cell r="X37">
            <v>170.41228428600002</v>
          </cell>
          <cell r="Y37">
            <v>188.81767303500001</v>
          </cell>
          <cell r="Z37">
            <v>175.877807281</v>
          </cell>
          <cell r="AA37">
            <v>156.20871504200002</v>
          </cell>
          <cell r="AB37">
            <v>125.171332093</v>
          </cell>
          <cell r="AC37">
            <v>96.357005859000012</v>
          </cell>
        </row>
        <row r="38">
          <cell r="F38">
            <v>111.04839964700001</v>
          </cell>
          <cell r="G38">
            <v>96.990189789000027</v>
          </cell>
          <cell r="H38">
            <v>87.054610039000011</v>
          </cell>
          <cell r="I38">
            <v>82.412211751000015</v>
          </cell>
          <cell r="J38">
            <v>86.221735178000003</v>
          </cell>
          <cell r="K38">
            <v>92.719579131000003</v>
          </cell>
          <cell r="L38">
            <v>104.76869558700001</v>
          </cell>
          <cell r="M38">
            <v>85.093806542999999</v>
          </cell>
          <cell r="N38">
            <v>104.84023752200001</v>
          </cell>
          <cell r="O38">
            <v>120.99905109000001</v>
          </cell>
          <cell r="P38">
            <v>141.975744115</v>
          </cell>
          <cell r="Q38">
            <v>164.52267999900002</v>
          </cell>
          <cell r="R38">
            <v>179.28551490800001</v>
          </cell>
          <cell r="S38">
            <v>178.46562345000001</v>
          </cell>
          <cell r="T38">
            <v>167.71569701200002</v>
          </cell>
          <cell r="U38">
            <v>162.39338750500002</v>
          </cell>
          <cell r="V38">
            <v>156.33274506600003</v>
          </cell>
          <cell r="W38">
            <v>164.94118051600003</v>
          </cell>
          <cell r="X38">
            <v>183.91792540900002</v>
          </cell>
          <cell r="Y38">
            <v>208.35611753100002</v>
          </cell>
          <cell r="Z38">
            <v>192.23668623200004</v>
          </cell>
          <cell r="AA38">
            <v>164.329649993</v>
          </cell>
          <cell r="AB38">
            <v>129.80894171600002</v>
          </cell>
          <cell r="AC38">
            <v>96.732797245000029</v>
          </cell>
        </row>
        <row r="39">
          <cell r="F39">
            <v>122.80959131900002</v>
          </cell>
          <cell r="G39">
            <v>107.83744494300001</v>
          </cell>
          <cell r="H39">
            <v>99.418993476000011</v>
          </cell>
          <cell r="I39">
            <v>98.469152772000015</v>
          </cell>
          <cell r="J39">
            <v>108.821951261</v>
          </cell>
          <cell r="K39">
            <v>148.94787473200003</v>
          </cell>
          <cell r="L39">
            <v>182.72333711700003</v>
          </cell>
          <cell r="M39">
            <v>162.830135356</v>
          </cell>
          <cell r="N39">
            <v>182.69149429500004</v>
          </cell>
          <cell r="O39">
            <v>195.97806659600005</v>
          </cell>
          <cell r="P39">
            <v>218.92722873700004</v>
          </cell>
          <cell r="Q39">
            <v>237.07676595600003</v>
          </cell>
          <cell r="R39">
            <v>241.379759511</v>
          </cell>
          <cell r="S39">
            <v>240.49554152000002</v>
          </cell>
          <cell r="T39">
            <v>244.46569045300004</v>
          </cell>
          <cell r="U39">
            <v>246.02330995900004</v>
          </cell>
          <cell r="V39">
            <v>236.10080002400002</v>
          </cell>
          <cell r="W39">
            <v>231.77649150900004</v>
          </cell>
          <cell r="X39">
            <v>244.33371052500004</v>
          </cell>
          <cell r="Y39">
            <v>247.64225318100003</v>
          </cell>
          <cell r="Z39">
            <v>229.65973595600002</v>
          </cell>
          <cell r="AA39">
            <v>203.56300951400004</v>
          </cell>
          <cell r="AB39">
            <v>160.095980465</v>
          </cell>
          <cell r="AC39">
            <v>133.75225252200002</v>
          </cell>
        </row>
        <row r="40">
          <cell r="F40">
            <v>122.01401043700001</v>
          </cell>
          <cell r="G40">
            <v>105.53149031600002</v>
          </cell>
          <cell r="H40">
            <v>95.634803167000015</v>
          </cell>
          <cell r="I40">
            <v>91.279904804000012</v>
          </cell>
          <cell r="J40">
            <v>98.019587141000017</v>
          </cell>
          <cell r="K40">
            <v>115.16969036900002</v>
          </cell>
          <cell r="L40">
            <v>141.73345206800002</v>
          </cell>
          <cell r="M40">
            <v>132.093293343</v>
          </cell>
          <cell r="N40">
            <v>159.47325958800002</v>
          </cell>
          <cell r="O40">
            <v>181.10103822900004</v>
          </cell>
          <cell r="P40">
            <v>201.11605930700003</v>
          </cell>
          <cell r="Q40">
            <v>214.72503478000002</v>
          </cell>
          <cell r="R40">
            <v>215.32450362800003</v>
          </cell>
          <cell r="S40">
            <v>207.57848874200002</v>
          </cell>
          <cell r="T40">
            <v>197.02017371300002</v>
          </cell>
          <cell r="U40">
            <v>192.37393729200002</v>
          </cell>
          <cell r="V40">
            <v>187.69503713500001</v>
          </cell>
          <cell r="W40">
            <v>202.91396178100001</v>
          </cell>
          <cell r="X40">
            <v>219.13554646599999</v>
          </cell>
          <cell r="Y40">
            <v>214.90270505300003</v>
          </cell>
          <cell r="Z40">
            <v>196.14017550800006</v>
          </cell>
          <cell r="AA40">
            <v>170.38790170000001</v>
          </cell>
          <cell r="AB40">
            <v>144.08568752200003</v>
          </cell>
          <cell r="AC40">
            <v>116.27434537200001</v>
          </cell>
        </row>
        <row r="41">
          <cell r="F41">
            <v>116.12144653900003</v>
          </cell>
          <cell r="G41">
            <v>99.250792517999997</v>
          </cell>
          <cell r="H41">
            <v>87.315790309000008</v>
          </cell>
          <cell r="I41">
            <v>80.667157416000023</v>
          </cell>
          <cell r="J41">
            <v>82.086114466000012</v>
          </cell>
          <cell r="K41">
            <v>85.145790562000016</v>
          </cell>
          <cell r="L41">
            <v>97.500078197000008</v>
          </cell>
          <cell r="M41">
            <v>77.010165571000016</v>
          </cell>
          <cell r="N41">
            <v>99.688289273000024</v>
          </cell>
          <cell r="O41">
            <v>117.12458184400002</v>
          </cell>
          <cell r="P41">
            <v>134.44047369500001</v>
          </cell>
          <cell r="Q41">
            <v>152.27460711400002</v>
          </cell>
          <cell r="R41">
            <v>163.50384651400003</v>
          </cell>
          <cell r="S41">
            <v>164.61771159600002</v>
          </cell>
          <cell r="T41">
            <v>159.76075951300004</v>
          </cell>
          <cell r="U41">
            <v>159.13247946400003</v>
          </cell>
          <cell r="V41">
            <v>157.79181888700001</v>
          </cell>
          <cell r="W41">
            <v>173.46066201300002</v>
          </cell>
          <cell r="X41">
            <v>191.45176283000004</v>
          </cell>
          <cell r="Y41">
            <v>194.74734368599999</v>
          </cell>
          <cell r="Z41">
            <v>180.61608688400003</v>
          </cell>
          <cell r="AA41">
            <v>154.904786766</v>
          </cell>
          <cell r="AB41">
            <v>124.64974206000002</v>
          </cell>
          <cell r="AC41">
            <v>95.820480951999997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100.89586096800001</v>
          </cell>
          <cell r="G43">
            <v>86.071407102000009</v>
          </cell>
          <cell r="H43">
            <v>78.442185235000011</v>
          </cell>
          <cell r="I43">
            <v>78.466589424000006</v>
          </cell>
          <cell r="J43">
            <v>89.239767891000014</v>
          </cell>
          <cell r="K43">
            <v>126.550165171</v>
          </cell>
          <cell r="L43">
            <v>162.98448159</v>
          </cell>
          <cell r="M43">
            <v>144.07071664300003</v>
          </cell>
          <cell r="N43">
            <v>164.43351001600001</v>
          </cell>
          <cell r="O43">
            <v>175.89215887400002</v>
          </cell>
          <cell r="P43">
            <v>195.48489891</v>
          </cell>
          <cell r="Q43">
            <v>213.10854709900002</v>
          </cell>
          <cell r="R43">
            <v>217.98865039699999</v>
          </cell>
          <cell r="S43">
            <v>216.25358384900002</v>
          </cell>
          <cell r="T43">
            <v>220.76706263400004</v>
          </cell>
          <cell r="U43">
            <v>221.33353650000001</v>
          </cell>
          <cell r="V43">
            <v>210.97160714300003</v>
          </cell>
          <cell r="W43">
            <v>212.336369467</v>
          </cell>
          <cell r="X43">
            <v>223.26967657100005</v>
          </cell>
          <cell r="Y43">
            <v>218.48860862600003</v>
          </cell>
          <cell r="Z43">
            <v>198.67869363100004</v>
          </cell>
          <cell r="AA43">
            <v>172.99442606700003</v>
          </cell>
          <cell r="AB43">
            <v>133.92654552600004</v>
          </cell>
          <cell r="AC43">
            <v>111.42285164700002</v>
          </cell>
        </row>
        <row r="44">
          <cell r="F44">
            <v>115.12380559700001</v>
          </cell>
          <cell r="G44">
            <v>95.750948096000002</v>
          </cell>
          <cell r="H44">
            <v>85.84536051100001</v>
          </cell>
          <cell r="I44">
            <v>81.148781899000014</v>
          </cell>
          <cell r="J44">
            <v>88.294492621000018</v>
          </cell>
          <cell r="K44">
            <v>103.988690468</v>
          </cell>
          <cell r="L44">
            <v>130.71570603800001</v>
          </cell>
          <cell r="M44">
            <v>118.90826954400001</v>
          </cell>
          <cell r="N44">
            <v>145.74771432699998</v>
          </cell>
          <cell r="O44">
            <v>167.04018560400002</v>
          </cell>
          <cell r="P44">
            <v>187.93865416600002</v>
          </cell>
          <cell r="Q44">
            <v>199.86455431100001</v>
          </cell>
          <cell r="R44">
            <v>200.57739570300004</v>
          </cell>
          <cell r="S44">
            <v>196.42846754300001</v>
          </cell>
          <cell r="T44">
            <v>190.87496993100004</v>
          </cell>
          <cell r="U44">
            <v>190.59388609700002</v>
          </cell>
          <cell r="V44">
            <v>189.55525706300003</v>
          </cell>
          <cell r="W44">
            <v>205.29795364500004</v>
          </cell>
          <cell r="X44">
            <v>220.08074972600005</v>
          </cell>
          <cell r="Y44">
            <v>211.68516143400004</v>
          </cell>
          <cell r="Z44">
            <v>192.43077478500001</v>
          </cell>
          <cell r="AA44">
            <v>167.72864441000002</v>
          </cell>
          <cell r="AB44">
            <v>141.23154956900004</v>
          </cell>
          <cell r="AC44">
            <v>114.49546073900002</v>
          </cell>
        </row>
        <row r="45">
          <cell r="F45">
            <v>114.44309506700002</v>
          </cell>
          <cell r="G45">
            <v>96.969767753000013</v>
          </cell>
          <cell r="H45">
            <v>86.779323010000013</v>
          </cell>
          <cell r="I45">
            <v>80.336372280000006</v>
          </cell>
          <cell r="J45">
            <v>80.523461461000011</v>
          </cell>
          <cell r="K45">
            <v>85.098573605000013</v>
          </cell>
          <cell r="L45">
            <v>97.537998663000025</v>
          </cell>
          <cell r="M45">
            <v>77.843825340999999</v>
          </cell>
          <cell r="N45">
            <v>98.932083458999998</v>
          </cell>
          <cell r="O45">
            <v>116.19385979500002</v>
          </cell>
          <cell r="P45">
            <v>132.47945416900001</v>
          </cell>
          <cell r="Q45">
            <v>152.59246645500002</v>
          </cell>
          <cell r="R45">
            <v>163.63070653100002</v>
          </cell>
          <cell r="S45">
            <v>162.917469084</v>
          </cell>
          <cell r="T45">
            <v>158.61933620400004</v>
          </cell>
          <cell r="U45">
            <v>156.71554302500002</v>
          </cell>
          <cell r="V45">
            <v>151.665186484</v>
          </cell>
          <cell r="W45">
            <v>166.54241647900002</v>
          </cell>
          <cell r="X45">
            <v>188.995098474</v>
          </cell>
          <cell r="Y45">
            <v>187.55773566800002</v>
          </cell>
          <cell r="Z45">
            <v>171.71773917400003</v>
          </cell>
          <cell r="AA45">
            <v>149.58758276800003</v>
          </cell>
          <cell r="AB45">
            <v>119.363934422</v>
          </cell>
          <cell r="AC45">
            <v>91.258078573000006</v>
          </cell>
        </row>
        <row r="46">
          <cell r="F46">
            <v>102.74434326600002</v>
          </cell>
          <cell r="G46">
            <v>88.734912982000012</v>
          </cell>
          <cell r="H46">
            <v>79.264899485000015</v>
          </cell>
          <cell r="I46">
            <v>75.30665380500001</v>
          </cell>
          <cell r="J46">
            <v>78.825436857000014</v>
          </cell>
          <cell r="K46">
            <v>85.376532205000004</v>
          </cell>
          <cell r="L46">
            <v>96.239607956</v>
          </cell>
          <cell r="M46">
            <v>75.772493696000026</v>
          </cell>
          <cell r="N46">
            <v>97.951847334000007</v>
          </cell>
          <cell r="O46">
            <v>110.534147433</v>
          </cell>
          <cell r="P46">
            <v>126.81583886500002</v>
          </cell>
          <cell r="Q46">
            <v>151.42260639700004</v>
          </cell>
          <cell r="R46">
            <v>169.45594107900001</v>
          </cell>
          <cell r="S46">
            <v>174.12851875800001</v>
          </cell>
          <cell r="T46">
            <v>166.70272514100003</v>
          </cell>
          <cell r="U46">
            <v>167.63063880000001</v>
          </cell>
          <cell r="V46">
            <v>169.27743549000002</v>
          </cell>
          <cell r="W46">
            <v>183.89341320500003</v>
          </cell>
          <cell r="X46">
            <v>197.61326967600002</v>
          </cell>
          <cell r="Y46">
            <v>194.44791890499999</v>
          </cell>
          <cell r="Z46">
            <v>173.22847296900002</v>
          </cell>
          <cell r="AA46">
            <v>147.76064586200002</v>
          </cell>
          <cell r="AB46">
            <v>114.67253332900002</v>
          </cell>
          <cell r="AC46">
            <v>85.985945634000004</v>
          </cell>
        </row>
        <row r="47">
          <cell r="F47">
            <v>127.76176942600001</v>
          </cell>
          <cell r="G47">
            <v>111.22624274400002</v>
          </cell>
          <cell r="H47">
            <v>103.707901875</v>
          </cell>
          <cell r="I47">
            <v>104.03458964200001</v>
          </cell>
          <cell r="J47">
            <v>114.84464443</v>
          </cell>
          <cell r="K47">
            <v>152.40756637800001</v>
          </cell>
          <cell r="L47">
            <v>192.66618267600003</v>
          </cell>
          <cell r="M47">
            <v>178.06484459400002</v>
          </cell>
          <cell r="N47">
            <v>198.56522027300002</v>
          </cell>
          <cell r="O47">
            <v>211.19045273400005</v>
          </cell>
          <cell r="P47">
            <v>230.19465504000004</v>
          </cell>
          <cell r="Q47">
            <v>249.56397685000005</v>
          </cell>
          <cell r="R47">
            <v>255.103072462</v>
          </cell>
          <cell r="S47">
            <v>251.52133826800002</v>
          </cell>
          <cell r="T47">
            <v>253.82644317700004</v>
          </cell>
          <cell r="U47">
            <v>254.19799317400003</v>
          </cell>
          <cell r="V47">
            <v>246.24813958100003</v>
          </cell>
          <cell r="W47">
            <v>253.54288219900002</v>
          </cell>
          <cell r="X47">
            <v>268.85285628900004</v>
          </cell>
          <cell r="Y47">
            <v>261.25465633000005</v>
          </cell>
          <cell r="Z47">
            <v>237.27106333800003</v>
          </cell>
          <cell r="AA47">
            <v>206.05821362200001</v>
          </cell>
          <cell r="AB47">
            <v>164.00088833800001</v>
          </cell>
          <cell r="AC47">
            <v>137.564821972</v>
          </cell>
        </row>
        <row r="48">
          <cell r="F48">
            <v>126.27401402200002</v>
          </cell>
          <cell r="G48">
            <v>107.87707924700001</v>
          </cell>
          <cell r="H48">
            <v>97.724022095999999</v>
          </cell>
          <cell r="I48">
            <v>94.745580481000019</v>
          </cell>
          <cell r="J48">
            <v>104.23626084800001</v>
          </cell>
          <cell r="K48">
            <v>123.93733272800002</v>
          </cell>
          <cell r="L48">
            <v>155.283271326</v>
          </cell>
          <cell r="M48">
            <v>150.019822793</v>
          </cell>
          <cell r="N48">
            <v>180.384704352</v>
          </cell>
          <cell r="O48">
            <v>200.252191342</v>
          </cell>
          <cell r="P48">
            <v>215.75255987200001</v>
          </cell>
          <cell r="Q48">
            <v>223.75804119000006</v>
          </cell>
          <cell r="R48">
            <v>225.50775457200001</v>
          </cell>
          <cell r="S48">
            <v>221.03928923800004</v>
          </cell>
          <cell r="T48">
            <v>215.44187272700003</v>
          </cell>
          <cell r="U48">
            <v>211.23779210800004</v>
          </cell>
          <cell r="V48">
            <v>205.288880385</v>
          </cell>
          <cell r="W48">
            <v>223.61698800200003</v>
          </cell>
          <cell r="X48">
            <v>245.13136529500002</v>
          </cell>
          <cell r="Y48">
            <v>236.40054885000001</v>
          </cell>
          <cell r="Z48">
            <v>215.16848676200001</v>
          </cell>
          <cell r="AA48">
            <v>185.56508214900003</v>
          </cell>
          <cell r="AB48">
            <v>156.19655975400002</v>
          </cell>
          <cell r="AC48">
            <v>125.51595755100001</v>
          </cell>
        </row>
        <row r="49">
          <cell r="F49">
            <v>112.526757746</v>
          </cell>
          <cell r="G49">
            <v>94.912089204000011</v>
          </cell>
          <cell r="H49">
            <v>84.60619082800001</v>
          </cell>
          <cell r="I49">
            <v>79.857412167000007</v>
          </cell>
          <cell r="J49">
            <v>81.596208833000006</v>
          </cell>
          <cell r="K49">
            <v>88.954154627999998</v>
          </cell>
          <cell r="L49">
            <v>103.43508478900002</v>
          </cell>
          <cell r="M49">
            <v>87.732634596000011</v>
          </cell>
          <cell r="N49">
            <v>112.615063609</v>
          </cell>
          <cell r="O49">
            <v>132.10616873100003</v>
          </cell>
          <cell r="P49">
            <v>146.278788077</v>
          </cell>
          <cell r="Q49">
            <v>163.46847520200001</v>
          </cell>
          <cell r="R49">
            <v>176.81737215800001</v>
          </cell>
          <cell r="S49">
            <v>182.08438518599999</v>
          </cell>
          <cell r="T49">
            <v>178.55917884200002</v>
          </cell>
          <cell r="U49">
            <v>171.99002338600002</v>
          </cell>
          <cell r="V49">
            <v>166.69364468000001</v>
          </cell>
          <cell r="W49">
            <v>184.90490887100003</v>
          </cell>
          <cell r="X49">
            <v>207.13175310400001</v>
          </cell>
          <cell r="Y49">
            <v>201.42692647700002</v>
          </cell>
          <cell r="Z49">
            <v>185.11002215500002</v>
          </cell>
          <cell r="AA49">
            <v>161.38880479900001</v>
          </cell>
          <cell r="AB49">
            <v>135.53385193200003</v>
          </cell>
          <cell r="AC49">
            <v>105.77773571200001</v>
          </cell>
        </row>
        <row r="50">
          <cell r="F50">
            <v>109.374318368</v>
          </cell>
          <cell r="G50">
            <v>92.670677139999995</v>
          </cell>
          <cell r="H50">
            <v>82.775307774000012</v>
          </cell>
          <cell r="I50">
            <v>77.652314746000016</v>
          </cell>
          <cell r="J50">
            <v>82.772592997000018</v>
          </cell>
          <cell r="K50">
            <v>93.150040509000007</v>
          </cell>
          <cell r="L50">
            <v>104.10384886000001</v>
          </cell>
          <cell r="M50">
            <v>81.240753071000015</v>
          </cell>
          <cell r="N50">
            <v>105.06397259200001</v>
          </cell>
          <cell r="O50">
            <v>123.22287831200002</v>
          </cell>
          <cell r="P50">
            <v>144.51321089200002</v>
          </cell>
          <cell r="Q50">
            <v>166.07106062200003</v>
          </cell>
          <cell r="R50">
            <v>182.78799489600001</v>
          </cell>
          <cell r="S50">
            <v>188.98054525300006</v>
          </cell>
          <cell r="T50">
            <v>180.85697473600001</v>
          </cell>
          <cell r="U50">
            <v>174.49355185000002</v>
          </cell>
          <cell r="V50">
            <v>173.35215014400001</v>
          </cell>
          <cell r="W50">
            <v>193.35425982900003</v>
          </cell>
          <cell r="X50">
            <v>215.99108579600002</v>
          </cell>
          <cell r="Y50">
            <v>212.00352484500004</v>
          </cell>
          <cell r="Z50">
            <v>190.96500403400003</v>
          </cell>
          <cell r="AA50">
            <v>158.62192136300004</v>
          </cell>
          <cell r="AB50">
            <v>124.57598221700003</v>
          </cell>
          <cell r="AC50">
            <v>93.376108703</v>
          </cell>
        </row>
        <row r="51">
          <cell r="F51">
            <v>119.38679039600001</v>
          </cell>
          <cell r="G51">
            <v>102.54324814000002</v>
          </cell>
          <cell r="H51">
            <v>93.08747102000001</v>
          </cell>
          <cell r="I51">
            <v>91.44043669700001</v>
          </cell>
          <cell r="J51">
            <v>96.79742622000002</v>
          </cell>
          <cell r="K51">
            <v>121.205230122</v>
          </cell>
          <cell r="L51">
            <v>151.92767013500003</v>
          </cell>
          <cell r="M51">
            <v>141.21434637999999</v>
          </cell>
          <cell r="N51">
            <v>166.67137198700001</v>
          </cell>
          <cell r="O51">
            <v>179.71221736400005</v>
          </cell>
          <cell r="P51">
            <v>197.684905224</v>
          </cell>
          <cell r="Q51">
            <v>215.89688951500005</v>
          </cell>
          <cell r="R51">
            <v>224.47232278200002</v>
          </cell>
          <cell r="S51">
            <v>222.55877224800003</v>
          </cell>
          <cell r="T51">
            <v>225.29346001300004</v>
          </cell>
          <cell r="U51">
            <v>225.46246028200002</v>
          </cell>
          <cell r="V51">
            <v>217.72311352200001</v>
          </cell>
          <cell r="W51">
            <v>222.32218339300002</v>
          </cell>
          <cell r="X51">
            <v>239.60797506400002</v>
          </cell>
          <cell r="Y51">
            <v>234.09309641500005</v>
          </cell>
          <cell r="Z51">
            <v>213.61613838800002</v>
          </cell>
          <cell r="AA51">
            <v>188.79375851400002</v>
          </cell>
          <cell r="AB51">
            <v>153.88961859</v>
          </cell>
          <cell r="AC51">
            <v>131.206022128</v>
          </cell>
        </row>
        <row r="52">
          <cell r="F52">
            <v>121.31183372600003</v>
          </cell>
          <cell r="G52">
            <v>101.543655727</v>
          </cell>
          <cell r="H52">
            <v>91.669752541999998</v>
          </cell>
          <cell r="I52">
            <v>87.183284708000002</v>
          </cell>
          <cell r="J52">
            <v>92.429602062000001</v>
          </cell>
          <cell r="K52">
            <v>106.502091503</v>
          </cell>
          <cell r="L52">
            <v>129.69507230300002</v>
          </cell>
          <cell r="M52">
            <v>117.762964896</v>
          </cell>
          <cell r="N52">
            <v>146.764848376</v>
          </cell>
          <cell r="O52">
            <v>167.54944752500003</v>
          </cell>
          <cell r="P52">
            <v>181.80420147700002</v>
          </cell>
          <cell r="Q52">
            <v>191.98087790800002</v>
          </cell>
          <cell r="R52">
            <v>194.64313801500003</v>
          </cell>
          <cell r="S52">
            <v>192.95935698900001</v>
          </cell>
          <cell r="T52">
            <v>189.98848362500001</v>
          </cell>
          <cell r="U52">
            <v>184.397756843</v>
          </cell>
          <cell r="V52">
            <v>178.71010460100004</v>
          </cell>
          <cell r="W52">
            <v>190.89197149200001</v>
          </cell>
          <cell r="X52">
            <v>217.95555460100005</v>
          </cell>
          <cell r="Y52">
            <v>209.93481436400003</v>
          </cell>
          <cell r="Z52">
            <v>185.98491485100004</v>
          </cell>
          <cell r="AA52">
            <v>162.41352870200001</v>
          </cell>
          <cell r="AB52">
            <v>138.88841617900002</v>
          </cell>
          <cell r="AC52">
            <v>116.71166210200001</v>
          </cell>
        </row>
        <row r="53">
          <cell r="F53">
            <v>123.86869999700002</v>
          </cell>
          <cell r="G53">
            <v>102.408675852</v>
          </cell>
          <cell r="H53">
            <v>92.096260571000016</v>
          </cell>
          <cell r="I53">
            <v>85.117216994000017</v>
          </cell>
          <cell r="J53">
            <v>83.993385728000007</v>
          </cell>
          <cell r="K53">
            <v>91.278090152000019</v>
          </cell>
          <cell r="L53">
            <v>102.62539714800002</v>
          </cell>
          <cell r="M53">
            <v>79.195546654000012</v>
          </cell>
          <cell r="N53">
            <v>103.98267043200002</v>
          </cell>
          <cell r="O53">
            <v>122.703751021</v>
          </cell>
          <cell r="P53">
            <v>138.98422548400004</v>
          </cell>
          <cell r="Q53">
            <v>153.77360327900004</v>
          </cell>
          <cell r="R53">
            <v>162.69754334300001</v>
          </cell>
          <cell r="S53">
            <v>166.71053102499999</v>
          </cell>
          <cell r="T53">
            <v>163.71734896300003</v>
          </cell>
          <cell r="U53">
            <v>163.67139218100002</v>
          </cell>
          <cell r="V53">
            <v>161.8007092</v>
          </cell>
          <cell r="W53">
            <v>173.67220579000002</v>
          </cell>
          <cell r="X53">
            <v>193.89064071600001</v>
          </cell>
          <cell r="Y53">
            <v>192.80584607100005</v>
          </cell>
          <cell r="Z53">
            <v>182.395626808</v>
          </cell>
          <cell r="AA53">
            <v>163.24865747600003</v>
          </cell>
          <cell r="AB53">
            <v>136.642028224</v>
          </cell>
          <cell r="AC53">
            <v>107.74865661300001</v>
          </cell>
        </row>
        <row r="54">
          <cell r="F54">
            <v>105.17390305799999</v>
          </cell>
          <cell r="G54">
            <v>91.529966730000012</v>
          </cell>
          <cell r="H54">
            <v>80.001777815000011</v>
          </cell>
          <cell r="I54">
            <v>71.589252771000019</v>
          </cell>
          <cell r="J54">
            <v>68.470132420000013</v>
          </cell>
          <cell r="K54">
            <v>70.383812572000011</v>
          </cell>
          <cell r="L54">
            <v>73.563644553999993</v>
          </cell>
          <cell r="M54">
            <v>42.375703097000006</v>
          </cell>
          <cell r="N54">
            <v>57.732080431</v>
          </cell>
          <cell r="O54">
            <v>75.81421628999999</v>
          </cell>
          <cell r="P54">
            <v>92.592171838000013</v>
          </cell>
          <cell r="Q54">
            <v>108.464947284</v>
          </cell>
          <cell r="R54">
            <v>123.93733992900002</v>
          </cell>
          <cell r="S54">
            <v>128.49855414300001</v>
          </cell>
          <cell r="T54">
            <v>126.04360362500002</v>
          </cell>
          <cell r="U54">
            <v>128.61485029300002</v>
          </cell>
          <cell r="V54">
            <v>129.42334256800001</v>
          </cell>
          <cell r="W54">
            <v>142.62725459000001</v>
          </cell>
          <cell r="X54">
            <v>173.10496861800002</v>
          </cell>
          <cell r="Y54">
            <v>174.01947401500001</v>
          </cell>
          <cell r="Z54">
            <v>161.533069633</v>
          </cell>
          <cell r="AA54">
            <v>142.599429926</v>
          </cell>
          <cell r="AB54">
            <v>116.583124252</v>
          </cell>
          <cell r="AC54">
            <v>88.703423009000005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  <sheetName val="kWh"/>
    </sheetNames>
    <sheetDataSet>
      <sheetData sheetId="0">
        <row r="7">
          <cell r="F7">
            <v>115.710319254</v>
          </cell>
          <cell r="G7">
            <v>101.957940009</v>
          </cell>
          <cell r="H7">
            <v>93.538938462000004</v>
          </cell>
          <cell r="I7">
            <v>91.675172817000004</v>
          </cell>
          <cell r="J7">
            <v>97.686288324000003</v>
          </cell>
          <cell r="K7">
            <v>124.54334283599999</v>
          </cell>
          <cell r="L7">
            <v>151.353301437</v>
          </cell>
          <cell r="M7">
            <v>149.96264289600001</v>
          </cell>
          <cell r="N7">
            <v>168.39885254700002</v>
          </cell>
          <cell r="O7">
            <v>177.74079075</v>
          </cell>
          <cell r="P7">
            <v>195.14603945100001</v>
          </cell>
          <cell r="Q7">
            <v>210.51553064700002</v>
          </cell>
          <cell r="R7">
            <v>217.78531731900003</v>
          </cell>
          <cell r="S7">
            <v>219.226720314</v>
          </cell>
          <cell r="T7">
            <v>226.67618439899999</v>
          </cell>
          <cell r="U7">
            <v>228.65165334900001</v>
          </cell>
          <cell r="V7">
            <v>221.62088813700001</v>
          </cell>
          <cell r="W7">
            <v>196.54755221700003</v>
          </cell>
          <cell r="X7">
            <v>202.43500572900001</v>
          </cell>
          <cell r="Y7">
            <v>207.63792706799998</v>
          </cell>
          <cell r="Z7">
            <v>194.38963326600003</v>
          </cell>
          <cell r="AA7">
            <v>174.01731170399998</v>
          </cell>
          <cell r="AB7">
            <v>138.98913567600002</v>
          </cell>
          <cell r="AC7">
            <v>120.52820124300001</v>
          </cell>
        </row>
        <row r="8">
          <cell r="F8">
            <v>110.34605462100001</v>
          </cell>
          <cell r="G8">
            <v>96.453499725</v>
          </cell>
          <cell r="H8">
            <v>87.470246052000007</v>
          </cell>
          <cell r="I8">
            <v>83.063781083999999</v>
          </cell>
          <cell r="J8">
            <v>89.294707977000002</v>
          </cell>
          <cell r="K8">
            <v>102.52834667100001</v>
          </cell>
          <cell r="L8">
            <v>121.15167554400001</v>
          </cell>
          <cell r="M8">
            <v>120.42882224400002</v>
          </cell>
          <cell r="N8">
            <v>141.43698811500002</v>
          </cell>
          <cell r="O8">
            <v>157.88108567099999</v>
          </cell>
          <cell r="P8">
            <v>170.24752891500003</v>
          </cell>
          <cell r="Q8">
            <v>182.83835374500003</v>
          </cell>
          <cell r="R8">
            <v>183.59593294800001</v>
          </cell>
          <cell r="S8">
            <v>183.21488490599998</v>
          </cell>
          <cell r="T8">
            <v>180.33979493699999</v>
          </cell>
          <cell r="U8">
            <v>179.85067689900001</v>
          </cell>
          <cell r="V8">
            <v>180.792130482</v>
          </cell>
          <cell r="W8">
            <v>164.65140280200001</v>
          </cell>
          <cell r="X8">
            <v>179.488343826</v>
          </cell>
          <cell r="Y8">
            <v>182.66449572000002</v>
          </cell>
          <cell r="Z8">
            <v>168.18972019500001</v>
          </cell>
          <cell r="AA8">
            <v>149.26139140800001</v>
          </cell>
          <cell r="AB8">
            <v>128.65813002300001</v>
          </cell>
          <cell r="AC8">
            <v>105.36424717500002</v>
          </cell>
        </row>
        <row r="9">
          <cell r="F9">
            <v>111.20018691600002</v>
          </cell>
          <cell r="G9">
            <v>95.703301395000011</v>
          </cell>
          <cell r="H9">
            <v>84.804676902000011</v>
          </cell>
          <cell r="I9">
            <v>78.26648022900001</v>
          </cell>
          <cell r="J9">
            <v>79.855599705000003</v>
          </cell>
          <cell r="K9">
            <v>85.888576002000008</v>
          </cell>
          <cell r="L9">
            <v>94.614885414</v>
          </cell>
          <cell r="M9">
            <v>88.121042532000004</v>
          </cell>
          <cell r="N9">
            <v>103.21125642300001</v>
          </cell>
          <cell r="O9">
            <v>117.95517864300001</v>
          </cell>
          <cell r="P9">
            <v>129.514783545</v>
          </cell>
          <cell r="Q9">
            <v>146.43243760800001</v>
          </cell>
          <cell r="R9">
            <v>157.28037858300002</v>
          </cell>
          <cell r="S9">
            <v>164.15813349900003</v>
          </cell>
          <cell r="T9">
            <v>163.82607800100001</v>
          </cell>
          <cell r="U9">
            <v>162.03110910000001</v>
          </cell>
          <cell r="V9">
            <v>160.409952522</v>
          </cell>
          <cell r="W9">
            <v>146.53801684500002</v>
          </cell>
          <cell r="X9">
            <v>160.76596348500001</v>
          </cell>
          <cell r="Y9">
            <v>169.21726872900001</v>
          </cell>
          <cell r="Z9">
            <v>158.88559278</v>
          </cell>
          <cell r="AA9">
            <v>141.021153234</v>
          </cell>
          <cell r="AB9">
            <v>117.27835487400002</v>
          </cell>
          <cell r="AC9">
            <v>89.092621350000002</v>
          </cell>
        </row>
        <row r="10">
          <cell r="F10">
            <v>90.234561990000003</v>
          </cell>
          <cell r="G10">
            <v>81.366751569000016</v>
          </cell>
          <cell r="H10">
            <v>71.366057121000011</v>
          </cell>
          <cell r="I10">
            <v>65.984806578000004</v>
          </cell>
          <cell r="J10">
            <v>66.237569105999995</v>
          </cell>
          <cell r="K10">
            <v>71.995244172</v>
          </cell>
          <cell r="L10">
            <v>72.167403605999993</v>
          </cell>
          <cell r="M10">
            <v>58.277004321000007</v>
          </cell>
          <cell r="N10">
            <v>67.545347070000005</v>
          </cell>
          <cell r="O10">
            <v>78.802663710000004</v>
          </cell>
          <cell r="P10">
            <v>93.047078303999996</v>
          </cell>
          <cell r="Q10">
            <v>109.92847544700001</v>
          </cell>
          <cell r="R10">
            <v>124.17592160699999</v>
          </cell>
          <cell r="S10">
            <v>130.141198008</v>
          </cell>
          <cell r="T10">
            <v>130.47678779400002</v>
          </cell>
          <cell r="U10">
            <v>126.69767418000001</v>
          </cell>
          <cell r="V10">
            <v>125.36385369300001</v>
          </cell>
          <cell r="W10">
            <v>113.936159997</v>
          </cell>
          <cell r="X10">
            <v>136.172361459</v>
          </cell>
          <cell r="Y10">
            <v>143.70563539500003</v>
          </cell>
          <cell r="Z10">
            <v>133.97590048800001</v>
          </cell>
          <cell r="AA10">
            <v>118.28418734100001</v>
          </cell>
          <cell r="AB10">
            <v>96.870317199000013</v>
          </cell>
          <cell r="AC10">
            <v>74.514475518000012</v>
          </cell>
        </row>
        <row r="11">
          <cell r="F11">
            <v>142.727665914</v>
          </cell>
          <cell r="G11">
            <v>127.51934282100001</v>
          </cell>
          <cell r="H11">
            <v>119.498969352</v>
          </cell>
          <cell r="I11">
            <v>118.62055406100001</v>
          </cell>
          <cell r="J11">
            <v>132.857016507</v>
          </cell>
          <cell r="K11">
            <v>181.22262808800002</v>
          </cell>
          <cell r="L11">
            <v>212.287640931</v>
          </cell>
          <cell r="M11">
            <v>203.982924852</v>
          </cell>
          <cell r="N11">
            <v>225.74480810700001</v>
          </cell>
          <cell r="O11">
            <v>240.00749588400004</v>
          </cell>
          <cell r="P11">
            <v>262.92721645800003</v>
          </cell>
          <cell r="Q11">
            <v>277.66537260900003</v>
          </cell>
          <cell r="R11">
            <v>277.75619010000003</v>
          </cell>
          <cell r="S11">
            <v>277.01138460600004</v>
          </cell>
          <cell r="T11">
            <v>283.40840780100007</v>
          </cell>
          <cell r="U11">
            <v>284.72787786000004</v>
          </cell>
          <cell r="V11">
            <v>275.36477963100003</v>
          </cell>
          <cell r="W11">
            <v>243.22774259099998</v>
          </cell>
          <cell r="X11">
            <v>243.07146460200002</v>
          </cell>
          <cell r="Y11">
            <v>255.31807720200001</v>
          </cell>
          <cell r="Z11">
            <v>238.64809751100003</v>
          </cell>
          <cell r="AA11">
            <v>208.98985316400001</v>
          </cell>
          <cell r="AB11">
            <v>165.37964132100001</v>
          </cell>
          <cell r="AC11">
            <v>142.61370797700002</v>
          </cell>
        </row>
        <row r="12">
          <cell r="F12">
            <v>145.40079112800001</v>
          </cell>
          <cell r="G12">
            <v>128.44263747600002</v>
          </cell>
          <cell r="H12">
            <v>117.24755172600001</v>
          </cell>
          <cell r="I12">
            <v>113.28346688399999</v>
          </cell>
          <cell r="J12">
            <v>119.87157014100002</v>
          </cell>
          <cell r="K12">
            <v>137.43792600899999</v>
          </cell>
          <cell r="L12">
            <v>166.36421474100001</v>
          </cell>
          <cell r="M12">
            <v>176.78724898800002</v>
          </cell>
          <cell r="N12">
            <v>208.20521076000003</v>
          </cell>
          <cell r="O12">
            <v>229.04184179100002</v>
          </cell>
          <cell r="P12">
            <v>248.55165235800001</v>
          </cell>
          <cell r="Q12">
            <v>259.73659226400002</v>
          </cell>
          <cell r="R12">
            <v>258.74880446999998</v>
          </cell>
          <cell r="S12">
            <v>251.28697799400001</v>
          </cell>
          <cell r="T12">
            <v>245.146381104</v>
          </cell>
          <cell r="U12">
            <v>242.498033991</v>
          </cell>
          <cell r="V12">
            <v>237.79695108000004</v>
          </cell>
          <cell r="W12">
            <v>219.93027975300004</v>
          </cell>
          <cell r="X12">
            <v>230.04537392399999</v>
          </cell>
          <cell r="Y12">
            <v>237.746130456</v>
          </cell>
          <cell r="Z12">
            <v>219.32663250300004</v>
          </cell>
          <cell r="AA12">
            <v>194.86842265200002</v>
          </cell>
          <cell r="AB12">
            <v>167.98504378800001</v>
          </cell>
          <cell r="AC12">
            <v>142.38090960599999</v>
          </cell>
        </row>
        <row r="13">
          <cell r="F13">
            <v>143.51879800199998</v>
          </cell>
          <cell r="G13">
            <v>125.38762635000001</v>
          </cell>
          <cell r="H13">
            <v>114.26826881400001</v>
          </cell>
          <cell r="I13">
            <v>108.83766011099999</v>
          </cell>
          <cell r="J13">
            <v>109.750359519</v>
          </cell>
          <cell r="K13">
            <v>116.59388363699999</v>
          </cell>
          <cell r="L13">
            <v>130.25706019500001</v>
          </cell>
          <cell r="M13">
            <v>128.46855051</v>
          </cell>
          <cell r="N13">
            <v>152.135902485</v>
          </cell>
          <cell r="O13">
            <v>170.91683470500001</v>
          </cell>
          <cell r="P13">
            <v>188.017586214</v>
          </cell>
          <cell r="Q13">
            <v>205.57277556</v>
          </cell>
          <cell r="R13">
            <v>216.569765991</v>
          </cell>
          <cell r="S13">
            <v>214.78984066500001</v>
          </cell>
          <cell r="T13">
            <v>207.58145463000002</v>
          </cell>
          <cell r="U13">
            <v>205.676222037</v>
          </cell>
          <cell r="V13">
            <v>203.76177287399997</v>
          </cell>
          <cell r="W13">
            <v>187.57746072</v>
          </cell>
          <cell r="X13">
            <v>199.92403882800002</v>
          </cell>
          <cell r="Y13">
            <v>220.61363129099999</v>
          </cell>
          <cell r="Z13">
            <v>211.81841849700001</v>
          </cell>
          <cell r="AA13">
            <v>194.46771513299998</v>
          </cell>
          <cell r="AB13">
            <v>163.726241982</v>
          </cell>
          <cell r="AC13">
            <v>132.07838391600001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113.34138655200002</v>
          </cell>
          <cell r="G15">
            <v>99.310301277000008</v>
          </cell>
          <cell r="H15">
            <v>91.432502814000003</v>
          </cell>
          <cell r="I15">
            <v>89.602137713999994</v>
          </cell>
          <cell r="J15">
            <v>94.827590139000009</v>
          </cell>
          <cell r="K15">
            <v>126.96507658199999</v>
          </cell>
          <cell r="L15">
            <v>148.99376049599999</v>
          </cell>
          <cell r="M15">
            <v>143.26928793300002</v>
          </cell>
          <cell r="N15">
            <v>160.20422496899999</v>
          </cell>
          <cell r="O15">
            <v>171.79101494400001</v>
          </cell>
          <cell r="P15">
            <v>187.94812679100002</v>
          </cell>
          <cell r="Q15">
            <v>199.13015700299999</v>
          </cell>
          <cell r="R15">
            <v>199.37743529100004</v>
          </cell>
          <cell r="S15">
            <v>200.75921241</v>
          </cell>
          <cell r="T15">
            <v>207.54672872700002</v>
          </cell>
          <cell r="U15">
            <v>210.24446446799999</v>
          </cell>
          <cell r="V15">
            <v>202.92281364300001</v>
          </cell>
          <cell r="W15">
            <v>171.73418450700001</v>
          </cell>
          <cell r="X15">
            <v>169.44498656100001</v>
          </cell>
          <cell r="Y15">
            <v>180.45920664600001</v>
          </cell>
          <cell r="Z15">
            <v>170.01835623599999</v>
          </cell>
          <cell r="AA15">
            <v>152.98978341900002</v>
          </cell>
          <cell r="AB15">
            <v>126.966120111</v>
          </cell>
          <cell r="AC15">
            <v>113.64250941300003</v>
          </cell>
        </row>
        <row r="16">
          <cell r="F16">
            <v>107.96446246500003</v>
          </cell>
          <cell r="G16">
            <v>92.967495888000002</v>
          </cell>
          <cell r="H16">
            <v>83.944946112000011</v>
          </cell>
          <cell r="I16">
            <v>79.151773671000001</v>
          </cell>
          <cell r="J16">
            <v>81.136253531999998</v>
          </cell>
          <cell r="K16">
            <v>88.965318429000007</v>
          </cell>
          <cell r="L16">
            <v>103.58475601800002</v>
          </cell>
          <cell r="M16">
            <v>107.60508478800003</v>
          </cell>
          <cell r="N16">
            <v>128.82265722299999</v>
          </cell>
          <cell r="O16">
            <v>143.864251803</v>
          </cell>
          <cell r="P16">
            <v>159.96285747300001</v>
          </cell>
          <cell r="Q16">
            <v>168.28150504500002</v>
          </cell>
          <cell r="R16">
            <v>168.76798760099999</v>
          </cell>
          <cell r="S16">
            <v>165.95295006000001</v>
          </cell>
          <cell r="T16">
            <v>166.14767104800001</v>
          </cell>
          <cell r="U16">
            <v>165.68208192300003</v>
          </cell>
          <cell r="V16">
            <v>162.99686853</v>
          </cell>
          <cell r="W16">
            <v>151.47700913399999</v>
          </cell>
          <cell r="X16">
            <v>157.88527502100001</v>
          </cell>
          <cell r="Y16">
            <v>157.47123775200001</v>
          </cell>
          <cell r="Z16">
            <v>145.968143373</v>
          </cell>
          <cell r="AA16">
            <v>131.69732825700001</v>
          </cell>
          <cell r="AB16">
            <v>115.232855226</v>
          </cell>
          <cell r="AC16">
            <v>97.195144163999998</v>
          </cell>
        </row>
        <row r="17">
          <cell r="F17">
            <v>105.49467306600002</v>
          </cell>
          <cell r="G17">
            <v>92.184734883000019</v>
          </cell>
          <cell r="H17">
            <v>82.264727316000005</v>
          </cell>
          <cell r="I17">
            <v>77.269529184000007</v>
          </cell>
          <cell r="J17">
            <v>77.995086518999997</v>
          </cell>
          <cell r="K17">
            <v>81.161016399000005</v>
          </cell>
          <cell r="L17">
            <v>87.758313375</v>
          </cell>
          <cell r="M17">
            <v>82.461489660000012</v>
          </cell>
          <cell r="N17">
            <v>97.524381372000008</v>
          </cell>
          <cell r="O17">
            <v>109.89483877500001</v>
          </cell>
          <cell r="P17">
            <v>117.42987223800002</v>
          </cell>
          <cell r="Q17">
            <v>126.403155258</v>
          </cell>
          <cell r="R17">
            <v>134.92431600899999</v>
          </cell>
          <cell r="S17">
            <v>138.25936614000003</v>
          </cell>
          <cell r="T17">
            <v>137.81739733199998</v>
          </cell>
          <cell r="U17">
            <v>135.86273802600002</v>
          </cell>
          <cell r="V17">
            <v>134.73169731300001</v>
          </cell>
          <cell r="W17">
            <v>120.55311645</v>
          </cell>
          <cell r="X17">
            <v>130.382428398</v>
          </cell>
          <cell r="Y17">
            <v>140.93003868</v>
          </cell>
          <cell r="Z17">
            <v>135.79305009300003</v>
          </cell>
          <cell r="AA17">
            <v>125.23921672200001</v>
          </cell>
          <cell r="AB17">
            <v>105.013354836</v>
          </cell>
          <cell r="AC17">
            <v>81.956078859000002</v>
          </cell>
        </row>
        <row r="18">
          <cell r="F18">
            <v>96.957166233000009</v>
          </cell>
          <cell r="G18">
            <v>84.721666835999997</v>
          </cell>
          <cell r="H18">
            <v>77.103478584000015</v>
          </cell>
          <cell r="I18">
            <v>70.388224746000006</v>
          </cell>
          <cell r="J18">
            <v>72.782217377999999</v>
          </cell>
          <cell r="K18">
            <v>77.741249994000015</v>
          </cell>
          <cell r="L18">
            <v>86.180908845000019</v>
          </cell>
          <cell r="M18">
            <v>86.701172796000009</v>
          </cell>
          <cell r="N18">
            <v>99.637101045000009</v>
          </cell>
          <cell r="O18">
            <v>99.924330498000003</v>
          </cell>
          <cell r="P18">
            <v>95.250996318000006</v>
          </cell>
          <cell r="Q18">
            <v>103.47173497200001</v>
          </cell>
          <cell r="R18">
            <v>113.00632233900002</v>
          </cell>
          <cell r="S18">
            <v>117.78237938100001</v>
          </cell>
          <cell r="T18">
            <v>117.86663101800002</v>
          </cell>
          <cell r="U18">
            <v>118.27685217000001</v>
          </cell>
          <cell r="V18">
            <v>117.97655194500001</v>
          </cell>
          <cell r="W18">
            <v>102.41440396800002</v>
          </cell>
          <cell r="X18">
            <v>108.66163124100001</v>
          </cell>
          <cell r="Y18">
            <v>111.37890458699999</v>
          </cell>
          <cell r="Z18">
            <v>101.90647194000002</v>
          </cell>
          <cell r="AA18">
            <v>100.95344813399998</v>
          </cell>
          <cell r="AB18">
            <v>100.848440172</v>
          </cell>
          <cell r="AC18">
            <v>93.552032085000008</v>
          </cell>
        </row>
        <row r="19">
          <cell r="F19">
            <v>111.76755439500002</v>
          </cell>
          <cell r="G19">
            <v>98.873671986000005</v>
          </cell>
          <cell r="H19">
            <v>91.876992849000004</v>
          </cell>
          <cell r="I19">
            <v>91.48955414400001</v>
          </cell>
          <cell r="J19">
            <v>103.887379428</v>
          </cell>
          <cell r="K19">
            <v>147.957917049</v>
          </cell>
          <cell r="L19">
            <v>174.70673399100002</v>
          </cell>
          <cell r="M19">
            <v>164.77158382799999</v>
          </cell>
          <cell r="N19">
            <v>179.20240926300002</v>
          </cell>
          <cell r="O19">
            <v>190.41713925599998</v>
          </cell>
          <cell r="P19">
            <v>209.12769039600002</v>
          </cell>
          <cell r="Q19">
            <v>221.12707802700001</v>
          </cell>
          <cell r="R19">
            <v>219.06170562600005</v>
          </cell>
          <cell r="S19">
            <v>219.73877313899999</v>
          </cell>
          <cell r="T19">
            <v>228.19163986800001</v>
          </cell>
          <cell r="U19">
            <v>230.33581775100004</v>
          </cell>
          <cell r="V19">
            <v>222.55778675400001</v>
          </cell>
          <cell r="W19">
            <v>198.12699048599998</v>
          </cell>
          <cell r="X19">
            <v>203.29210103700001</v>
          </cell>
          <cell r="Y19">
            <v>208.65050058000003</v>
          </cell>
          <cell r="Z19">
            <v>193.760522385</v>
          </cell>
          <cell r="AA19">
            <v>171.13150461600003</v>
          </cell>
          <cell r="AB19">
            <v>133.36727172000002</v>
          </cell>
          <cell r="AC19">
            <v>113.022660804</v>
          </cell>
        </row>
        <row r="20">
          <cell r="F20">
            <v>119.95845725999999</v>
          </cell>
          <cell r="G20">
            <v>107.50512689700001</v>
          </cell>
          <cell r="H20">
            <v>95.121248340000008</v>
          </cell>
          <cell r="I20">
            <v>91.683566751000001</v>
          </cell>
          <cell r="J20">
            <v>98.874669812999997</v>
          </cell>
          <cell r="K20">
            <v>115.72975783800003</v>
          </cell>
          <cell r="L20">
            <v>147.32636111100001</v>
          </cell>
          <cell r="M20">
            <v>160.96053213299999</v>
          </cell>
          <cell r="N20">
            <v>186.05594211900001</v>
          </cell>
          <cell r="O20">
            <v>203.28085834499998</v>
          </cell>
          <cell r="P20">
            <v>217.161934422</v>
          </cell>
          <cell r="Q20">
            <v>226.64388070200002</v>
          </cell>
          <cell r="R20">
            <v>224.51194333800001</v>
          </cell>
          <cell r="S20">
            <v>214.99955952600001</v>
          </cell>
          <cell r="T20">
            <v>211.39366410900004</v>
          </cell>
          <cell r="U20">
            <v>206.26328707800002</v>
          </cell>
          <cell r="V20">
            <v>203.52208111799999</v>
          </cell>
          <cell r="W20">
            <v>191.51755201200001</v>
          </cell>
          <cell r="X20">
            <v>201.58176462300003</v>
          </cell>
          <cell r="Y20">
            <v>197.79405141600003</v>
          </cell>
          <cell r="Z20">
            <v>179.8244211</v>
          </cell>
          <cell r="AA20">
            <v>159.43698741</v>
          </cell>
          <cell r="AB20">
            <v>133.30153701</v>
          </cell>
          <cell r="AC20">
            <v>108.85229998499999</v>
          </cell>
        </row>
        <row r="21">
          <cell r="F21">
            <v>115.356243009</v>
          </cell>
          <cell r="G21">
            <v>99.824128862999999</v>
          </cell>
          <cell r="H21">
            <v>89.159986098000005</v>
          </cell>
          <cell r="I21">
            <v>83.36082123300001</v>
          </cell>
          <cell r="J21">
            <v>83.602104942000011</v>
          </cell>
          <cell r="K21">
            <v>88.470274365000009</v>
          </cell>
          <cell r="L21">
            <v>100.30975831500001</v>
          </cell>
          <cell r="M21">
            <v>97.102270083000008</v>
          </cell>
          <cell r="N21">
            <v>114.49913246700002</v>
          </cell>
          <cell r="O21">
            <v>126.28805477100001</v>
          </cell>
          <cell r="P21">
            <v>138.62138691600001</v>
          </cell>
          <cell r="Q21">
            <v>153.52865570100002</v>
          </cell>
          <cell r="R21">
            <v>158.65427972400002</v>
          </cell>
          <cell r="S21">
            <v>160.53938820300002</v>
          </cell>
          <cell r="T21">
            <v>155.516966913</v>
          </cell>
          <cell r="U21">
            <v>155.243242401</v>
          </cell>
          <cell r="V21">
            <v>154.15501684500001</v>
          </cell>
          <cell r="W21">
            <v>142.83894266700003</v>
          </cell>
          <cell r="X21">
            <v>157.665593124</v>
          </cell>
          <cell r="Y21">
            <v>160.852279329</v>
          </cell>
          <cell r="Z21">
            <v>154.86837174600001</v>
          </cell>
          <cell r="AA21">
            <v>140.195333328</v>
          </cell>
          <cell r="AB21">
            <v>118.01768374500001</v>
          </cell>
          <cell r="AC21">
            <v>89.357837673000006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F23">
            <v>90.690454674000009</v>
          </cell>
          <cell r="G23">
            <v>73.819683245999997</v>
          </cell>
          <cell r="H23">
            <v>64.953015375000007</v>
          </cell>
          <cell r="I23">
            <v>61.046134203000001</v>
          </cell>
          <cell r="J23">
            <v>55.625488536000006</v>
          </cell>
          <cell r="K23">
            <v>53.551447989000003</v>
          </cell>
          <cell r="L23">
            <v>71.946579158999995</v>
          </cell>
          <cell r="M23">
            <v>87.920806835999997</v>
          </cell>
          <cell r="N23">
            <v>119.53423606199999</v>
          </cell>
          <cell r="O23">
            <v>139.35428703900001</v>
          </cell>
          <cell r="P23">
            <v>154.03523952</v>
          </cell>
          <cell r="Q23">
            <v>171.97607757600002</v>
          </cell>
          <cell r="R23">
            <v>188.155217787</v>
          </cell>
          <cell r="S23">
            <v>180.04398112500002</v>
          </cell>
          <cell r="T23">
            <v>164.86413799500002</v>
          </cell>
          <cell r="U23">
            <v>154.84102671600002</v>
          </cell>
          <cell r="V23">
            <v>146.741192703</v>
          </cell>
          <cell r="W23">
            <v>133.463581068</v>
          </cell>
          <cell r="X23">
            <v>151.03516219799999</v>
          </cell>
          <cell r="Y23">
            <v>159.99269326199999</v>
          </cell>
          <cell r="Z23">
            <v>144.24331942499998</v>
          </cell>
          <cell r="AA23">
            <v>125.59991214000001</v>
          </cell>
          <cell r="AB23">
            <v>99.117964410000013</v>
          </cell>
          <cell r="AC23">
            <v>79.637974398000011</v>
          </cell>
        </row>
        <row r="24">
          <cell r="F24">
            <v>53.036378832000011</v>
          </cell>
          <cell r="G24">
            <v>45.739064322000004</v>
          </cell>
          <cell r="H24">
            <v>40.252752498</v>
          </cell>
          <cell r="I24">
            <v>42.449716191000007</v>
          </cell>
          <cell r="J24">
            <v>59.196452391000001</v>
          </cell>
          <cell r="K24">
            <v>88.540046085000014</v>
          </cell>
          <cell r="L24">
            <v>139.15193381700001</v>
          </cell>
          <cell r="M24">
            <v>157.72278156000002</v>
          </cell>
          <cell r="N24">
            <v>180.477403659</v>
          </cell>
          <cell r="O24">
            <v>192.24298747500001</v>
          </cell>
          <cell r="P24">
            <v>209.981312352</v>
          </cell>
          <cell r="Q24">
            <v>235.65801369299999</v>
          </cell>
          <cell r="R24">
            <v>250.982092335</v>
          </cell>
          <cell r="S24">
            <v>242.14239626100002</v>
          </cell>
          <cell r="T24">
            <v>250.45527014699999</v>
          </cell>
          <cell r="U24">
            <v>249.206333508</v>
          </cell>
          <cell r="V24">
            <v>236.68402359299998</v>
          </cell>
          <cell r="W24">
            <v>200.84187971100002</v>
          </cell>
          <cell r="X24">
            <v>215.53783768200003</v>
          </cell>
          <cell r="Y24">
            <v>236.08960814699998</v>
          </cell>
          <cell r="Z24">
            <v>209.40271741500001</v>
          </cell>
          <cell r="AA24">
            <v>175.94620269900003</v>
          </cell>
          <cell r="AB24">
            <v>120.009384522</v>
          </cell>
          <cell r="AC24">
            <v>71.876396121000013</v>
          </cell>
        </row>
        <row r="25">
          <cell r="F25">
            <v>72.477720185999999</v>
          </cell>
          <cell r="G25">
            <v>63.715108151999999</v>
          </cell>
          <cell r="H25">
            <v>57.695682498000004</v>
          </cell>
          <cell r="I25">
            <v>60.232600517999998</v>
          </cell>
          <cell r="J25">
            <v>87.434857469999997</v>
          </cell>
          <cell r="K25">
            <v>127.70294298900002</v>
          </cell>
          <cell r="L25">
            <v>193.54551732600001</v>
          </cell>
          <cell r="M25">
            <v>224.75410300200002</v>
          </cell>
          <cell r="N25">
            <v>252.74581630200001</v>
          </cell>
          <cell r="O25">
            <v>259.98030579600004</v>
          </cell>
          <cell r="P25">
            <v>279.80597050200004</v>
          </cell>
          <cell r="Q25">
            <v>302.65541663400001</v>
          </cell>
          <cell r="R25">
            <v>314.07699387900004</v>
          </cell>
          <cell r="S25">
            <v>298.38824374500001</v>
          </cell>
          <cell r="T25">
            <v>292.40250046500006</v>
          </cell>
          <cell r="U25">
            <v>291.31742834699998</v>
          </cell>
          <cell r="V25">
            <v>276.22807517699999</v>
          </cell>
          <cell r="W25">
            <v>238.61622798300002</v>
          </cell>
          <cell r="X25">
            <v>253.77796550400001</v>
          </cell>
          <cell r="Y25">
            <v>272.12930654100001</v>
          </cell>
          <cell r="Z25">
            <v>235.47907512899999</v>
          </cell>
          <cell r="AA25">
            <v>196.11288049500001</v>
          </cell>
          <cell r="AB25">
            <v>145.73503270499998</v>
          </cell>
          <cell r="AC25">
            <v>96.473783796000006</v>
          </cell>
        </row>
        <row r="26">
          <cell r="F26">
            <v>85.54863690900001</v>
          </cell>
          <cell r="G26">
            <v>70.010459631000003</v>
          </cell>
          <cell r="H26">
            <v>62.449132284000008</v>
          </cell>
          <cell r="I26">
            <v>62.920357989000003</v>
          </cell>
          <cell r="J26">
            <v>79.781410125000008</v>
          </cell>
          <cell r="K26">
            <v>103.47587100300001</v>
          </cell>
          <cell r="L26">
            <v>149.617280499</v>
          </cell>
          <cell r="M26">
            <v>172.44720426000001</v>
          </cell>
          <cell r="N26">
            <v>196.39944726900004</v>
          </cell>
          <cell r="O26">
            <v>210.89123917200001</v>
          </cell>
          <cell r="P26">
            <v>230.72631849000004</v>
          </cell>
          <cell r="Q26">
            <v>248.94869610000001</v>
          </cell>
          <cell r="R26">
            <v>251.74418080200002</v>
          </cell>
          <cell r="S26">
            <v>240.29749030800002</v>
          </cell>
          <cell r="T26">
            <v>239.57332688400004</v>
          </cell>
          <cell r="U26">
            <v>240.29537278200002</v>
          </cell>
          <cell r="V26">
            <v>224.90520143099999</v>
          </cell>
          <cell r="W26">
            <v>188.326249905</v>
          </cell>
          <cell r="X26">
            <v>202.94119346400001</v>
          </cell>
          <cell r="Y26">
            <v>216.458565408</v>
          </cell>
          <cell r="Z26">
            <v>192.99381801600001</v>
          </cell>
          <cell r="AA26">
            <v>165.296433213</v>
          </cell>
          <cell r="AB26">
            <v>132.75932086500001</v>
          </cell>
          <cell r="AC26">
            <v>86.488079603999992</v>
          </cell>
        </row>
        <row r="27">
          <cell r="F27">
            <v>117.07945977000001</v>
          </cell>
          <cell r="G27">
            <v>103.12257930899999</v>
          </cell>
          <cell r="H27">
            <v>94.96036968300001</v>
          </cell>
          <cell r="I27">
            <v>95.173935129</v>
          </cell>
          <cell r="J27">
            <v>103.16912679600001</v>
          </cell>
          <cell r="K27">
            <v>129.13826000099999</v>
          </cell>
          <cell r="L27">
            <v>158.55473315100002</v>
          </cell>
          <cell r="M27">
            <v>162.976934841</v>
          </cell>
          <cell r="N27">
            <v>184.30125191400003</v>
          </cell>
          <cell r="O27">
            <v>194.61627710100001</v>
          </cell>
          <cell r="P27">
            <v>211.33601865300002</v>
          </cell>
          <cell r="Q27">
            <v>226.09143492600003</v>
          </cell>
          <cell r="R27">
            <v>231.38972110500004</v>
          </cell>
          <cell r="S27">
            <v>229.97932691700004</v>
          </cell>
          <cell r="T27">
            <v>235.41484858499999</v>
          </cell>
          <cell r="U27">
            <v>236.08579203000005</v>
          </cell>
          <cell r="V27">
            <v>227.38011707100003</v>
          </cell>
          <cell r="W27">
            <v>201.81609401100005</v>
          </cell>
          <cell r="X27">
            <v>204.26195079600001</v>
          </cell>
          <cell r="Y27">
            <v>210.35247352800002</v>
          </cell>
          <cell r="Z27">
            <v>193.79228527500001</v>
          </cell>
          <cell r="AA27">
            <v>170.69528664300003</v>
          </cell>
          <cell r="AB27">
            <v>138.65161878900003</v>
          </cell>
          <cell r="AC27">
            <v>118.97261941800002</v>
          </cell>
        </row>
        <row r="28">
          <cell r="F28">
            <v>120.889582191</v>
          </cell>
          <cell r="G28">
            <v>104.52432820200001</v>
          </cell>
          <cell r="H28">
            <v>97.221201921000016</v>
          </cell>
          <cell r="I28">
            <v>92.580422799000004</v>
          </cell>
          <cell r="J28">
            <v>98.526946146</v>
          </cell>
          <cell r="K28">
            <v>110.87855147400001</v>
          </cell>
          <cell r="L28">
            <v>138.10223504700002</v>
          </cell>
          <cell r="M28">
            <v>141.19271092500003</v>
          </cell>
          <cell r="N28">
            <v>161.96443749900001</v>
          </cell>
          <cell r="O28">
            <v>177.499826955</v>
          </cell>
          <cell r="P28">
            <v>192.00593881800003</v>
          </cell>
          <cell r="Q28">
            <v>201.05184231600001</v>
          </cell>
          <cell r="R28">
            <v>197.90207570999999</v>
          </cell>
          <cell r="S28">
            <v>191.12430153600002</v>
          </cell>
          <cell r="T28">
            <v>190.989480636</v>
          </cell>
          <cell r="U28">
            <v>195.40059197400001</v>
          </cell>
          <cell r="V28">
            <v>193.15200025500002</v>
          </cell>
          <cell r="W28">
            <v>182.507044713</v>
          </cell>
          <cell r="X28">
            <v>189.60185366100001</v>
          </cell>
          <cell r="Y28">
            <v>195.60202353900002</v>
          </cell>
          <cell r="Z28">
            <v>178.71351211800001</v>
          </cell>
          <cell r="AA28">
            <v>157.17870686700002</v>
          </cell>
          <cell r="AB28">
            <v>133.77983890800002</v>
          </cell>
          <cell r="AC28">
            <v>112.517417577</v>
          </cell>
        </row>
        <row r="29">
          <cell r="F29">
            <v>122.395615431</v>
          </cell>
          <cell r="G29">
            <v>107.87487131099999</v>
          </cell>
          <cell r="H29">
            <v>96.223138794000008</v>
          </cell>
          <cell r="I29">
            <v>89.756313411000008</v>
          </cell>
          <cell r="J29">
            <v>89.391497196000017</v>
          </cell>
          <cell r="K29">
            <v>93.325532973000008</v>
          </cell>
          <cell r="L29">
            <v>101.21429229900001</v>
          </cell>
          <cell r="M29">
            <v>96.848494494000008</v>
          </cell>
          <cell r="N29">
            <v>112.100318274</v>
          </cell>
          <cell r="O29">
            <v>126.12633824400001</v>
          </cell>
          <cell r="P29">
            <v>136.991371767</v>
          </cell>
          <cell r="Q29">
            <v>152.364534357</v>
          </cell>
          <cell r="R29">
            <v>162.76145752799999</v>
          </cell>
          <cell r="S29">
            <v>169.12249801500002</v>
          </cell>
          <cell r="T29">
            <v>169.89869316600002</v>
          </cell>
          <cell r="U29">
            <v>167.58671277300002</v>
          </cell>
          <cell r="V29">
            <v>162.08156410799998</v>
          </cell>
          <cell r="W29">
            <v>146.46464228400001</v>
          </cell>
          <cell r="X29">
            <v>153.30980405700001</v>
          </cell>
          <cell r="Y29">
            <v>165.04809616200001</v>
          </cell>
          <cell r="Z29">
            <v>153.74327991000001</v>
          </cell>
          <cell r="AA29">
            <v>138.76732101900004</v>
          </cell>
          <cell r="AB29">
            <v>120.52711962900001</v>
          </cell>
          <cell r="AC29">
            <v>97.673171850000003</v>
          </cell>
        </row>
        <row r="30">
          <cell r="F30">
            <v>112.21731539400001</v>
          </cell>
          <cell r="G30">
            <v>99.805718574000011</v>
          </cell>
          <cell r="H30">
            <v>90.636709122000013</v>
          </cell>
          <cell r="I30">
            <v>86.556708774000001</v>
          </cell>
          <cell r="J30">
            <v>89.095645299000012</v>
          </cell>
          <cell r="K30">
            <v>93.783550800000015</v>
          </cell>
          <cell r="L30">
            <v>106.367360373</v>
          </cell>
          <cell r="M30">
            <v>107.38231038900003</v>
          </cell>
          <cell r="N30">
            <v>135.45851907000002</v>
          </cell>
          <cell r="O30">
            <v>143.47216672800002</v>
          </cell>
          <cell r="P30">
            <v>162.198058506</v>
          </cell>
          <cell r="Q30">
            <v>179.74087022700002</v>
          </cell>
          <cell r="R30">
            <v>194.197349718</v>
          </cell>
          <cell r="S30">
            <v>189.245301891</v>
          </cell>
          <cell r="T30">
            <v>181.617333411</v>
          </cell>
          <cell r="U30">
            <v>179.24399046600001</v>
          </cell>
          <cell r="V30">
            <v>171.927435414</v>
          </cell>
          <cell r="W30">
            <v>165.14244794100003</v>
          </cell>
          <cell r="X30">
            <v>182.51781515100001</v>
          </cell>
          <cell r="Y30">
            <v>189.87243996900003</v>
          </cell>
          <cell r="Z30">
            <v>176.06978852399999</v>
          </cell>
          <cell r="AA30">
            <v>147.43937454000002</v>
          </cell>
          <cell r="AB30">
            <v>127.62519627000002</v>
          </cell>
          <cell r="AC30">
            <v>100.898278203</v>
          </cell>
        </row>
        <row r="31">
          <cell r="F31">
            <v>77.323213799999991</v>
          </cell>
          <cell r="G31">
            <v>63.664226591999999</v>
          </cell>
          <cell r="H31">
            <v>55.72472281200001</v>
          </cell>
          <cell r="I31">
            <v>53.90048178</v>
          </cell>
          <cell r="J31">
            <v>60.609276402000006</v>
          </cell>
          <cell r="K31">
            <v>91.984925739000005</v>
          </cell>
          <cell r="L31">
            <v>116.99660966099999</v>
          </cell>
          <cell r="M31">
            <v>105.35953225200001</v>
          </cell>
          <cell r="N31">
            <v>121.40938912200001</v>
          </cell>
          <cell r="O31">
            <v>131.687540412</v>
          </cell>
          <cell r="P31">
            <v>149.16358151099999</v>
          </cell>
          <cell r="Q31">
            <v>162.60831012599999</v>
          </cell>
          <cell r="R31">
            <v>163.92607397700002</v>
          </cell>
          <cell r="S31">
            <v>163.256059806</v>
          </cell>
          <cell r="T31">
            <v>170.79686695500001</v>
          </cell>
          <cell r="U31">
            <v>171.598434333</v>
          </cell>
          <cell r="V31">
            <v>163.09118222400002</v>
          </cell>
          <cell r="W31">
            <v>163.21412060399999</v>
          </cell>
          <cell r="X31">
            <v>164.89960274700002</v>
          </cell>
          <cell r="Y31">
            <v>175.809066231</v>
          </cell>
          <cell r="Z31">
            <v>161.78888850000001</v>
          </cell>
          <cell r="AA31">
            <v>143.82189366600002</v>
          </cell>
          <cell r="AB31">
            <v>112.29025578599999</v>
          </cell>
          <cell r="AC31">
            <v>92.136526890000013</v>
          </cell>
        </row>
        <row r="32">
          <cell r="F32">
            <v>57.499240067999999</v>
          </cell>
          <cell r="G32">
            <v>43.590049643999997</v>
          </cell>
          <cell r="H32">
            <v>37.310564376000002</v>
          </cell>
          <cell r="I32">
            <v>34.425915072000002</v>
          </cell>
          <cell r="J32">
            <v>39.197379063</v>
          </cell>
          <cell r="K32">
            <v>50.154418329000002</v>
          </cell>
          <cell r="L32">
            <v>73.618525892999997</v>
          </cell>
          <cell r="M32">
            <v>74.265628128000003</v>
          </cell>
          <cell r="N32">
            <v>96.900533838000001</v>
          </cell>
          <cell r="O32">
            <v>111.21852103499999</v>
          </cell>
          <cell r="P32">
            <v>129.08888660700001</v>
          </cell>
          <cell r="Q32">
            <v>141.02336978100001</v>
          </cell>
          <cell r="R32">
            <v>139.60650876</v>
          </cell>
          <cell r="S32">
            <v>135.69654270300001</v>
          </cell>
          <cell r="T32">
            <v>135.47235915900001</v>
          </cell>
          <cell r="U32">
            <v>136.576230033</v>
          </cell>
          <cell r="V32">
            <v>135.984404367</v>
          </cell>
          <cell r="W32">
            <v>147.28646326500004</v>
          </cell>
          <cell r="X32">
            <v>148.640141271</v>
          </cell>
          <cell r="Y32">
            <v>157.956059802</v>
          </cell>
          <cell r="Z32">
            <v>142.98949267200001</v>
          </cell>
          <cell r="AA32">
            <v>125.09022820199999</v>
          </cell>
          <cell r="AB32">
            <v>102.56910523800002</v>
          </cell>
          <cell r="AC32">
            <v>82.856530130999985</v>
          </cell>
        </row>
        <row r="33">
          <cell r="F33">
            <v>69.017385638999997</v>
          </cell>
          <cell r="G33">
            <v>55.920403542000003</v>
          </cell>
          <cell r="H33">
            <v>45.856952630999999</v>
          </cell>
          <cell r="I33">
            <v>40.151050314000003</v>
          </cell>
          <cell r="J33">
            <v>41.388112050000004</v>
          </cell>
          <cell r="K33">
            <v>45.139804464000001</v>
          </cell>
          <cell r="L33">
            <v>53.270022689999998</v>
          </cell>
          <cell r="M33">
            <v>43.548483675</v>
          </cell>
          <cell r="N33">
            <v>61.370153766000001</v>
          </cell>
          <cell r="O33">
            <v>76.031119239000006</v>
          </cell>
          <cell r="P33">
            <v>90.050641908000003</v>
          </cell>
          <cell r="Q33">
            <v>106.537935471</v>
          </cell>
          <cell r="R33">
            <v>115.51152317100001</v>
          </cell>
          <cell r="S33">
            <v>120.07439561700002</v>
          </cell>
          <cell r="T33">
            <v>120.588885882</v>
          </cell>
          <cell r="U33">
            <v>119.90126882400001</v>
          </cell>
          <cell r="V33">
            <v>120.23947124100002</v>
          </cell>
          <cell r="W33">
            <v>134.706538362</v>
          </cell>
          <cell r="X33">
            <v>134.94751739099999</v>
          </cell>
          <cell r="Y33">
            <v>141.08840372699999</v>
          </cell>
          <cell r="Z33">
            <v>127.57070425200001</v>
          </cell>
          <cell r="AA33">
            <v>117.248244873</v>
          </cell>
          <cell r="AB33">
            <v>98.462597729999999</v>
          </cell>
          <cell r="AC33">
            <v>84.052879001999997</v>
          </cell>
        </row>
        <row r="34">
          <cell r="F34">
            <v>56.189915852999995</v>
          </cell>
          <cell r="G34">
            <v>42.277937606999998</v>
          </cell>
          <cell r="H34">
            <v>28.799572319999999</v>
          </cell>
          <cell r="I34">
            <v>25.286307239999999</v>
          </cell>
          <cell r="J34">
            <v>26.603972070000001</v>
          </cell>
          <cell r="K34">
            <v>34.043739714000004</v>
          </cell>
          <cell r="L34">
            <v>49.255962711000009</v>
          </cell>
          <cell r="M34">
            <v>42.386936876999997</v>
          </cell>
          <cell r="N34">
            <v>61.171845171000008</v>
          </cell>
          <cell r="O34">
            <v>76.205571390000003</v>
          </cell>
          <cell r="P34">
            <v>90.102589848000008</v>
          </cell>
          <cell r="Q34">
            <v>104.96773662300001</v>
          </cell>
          <cell r="R34">
            <v>110.04139747200001</v>
          </cell>
          <cell r="S34">
            <v>113.28029059500001</v>
          </cell>
          <cell r="T34">
            <v>116.60508824400002</v>
          </cell>
          <cell r="U34">
            <v>121.39813881300002</v>
          </cell>
          <cell r="V34">
            <v>113.48603338199999</v>
          </cell>
          <cell r="W34">
            <v>124.96976534700001</v>
          </cell>
          <cell r="X34">
            <v>123.996312747</v>
          </cell>
          <cell r="Y34">
            <v>132.43800533700002</v>
          </cell>
          <cell r="Z34">
            <v>125.77028919600001</v>
          </cell>
          <cell r="AA34">
            <v>114.16304757600001</v>
          </cell>
          <cell r="AB34">
            <v>96.518053800000004</v>
          </cell>
          <cell r="AC34">
            <v>76.689989738999998</v>
          </cell>
        </row>
        <row r="35">
          <cell r="F35">
            <v>69.034996143000001</v>
          </cell>
          <cell r="G35">
            <v>56.813222580000001</v>
          </cell>
          <cell r="H35">
            <v>49.883032236000005</v>
          </cell>
          <cell r="I35">
            <v>48.707416839000004</v>
          </cell>
          <cell r="J35">
            <v>58.254899786999999</v>
          </cell>
          <cell r="K35">
            <v>95.885492417999998</v>
          </cell>
          <cell r="L35">
            <v>124.080145449</v>
          </cell>
          <cell r="M35">
            <v>110.72650092000001</v>
          </cell>
          <cell r="N35">
            <v>124.48113479700001</v>
          </cell>
          <cell r="O35">
            <v>135.50768680499999</v>
          </cell>
          <cell r="P35">
            <v>154.50383736000001</v>
          </cell>
          <cell r="Q35">
            <v>167.00159006700002</v>
          </cell>
          <cell r="R35">
            <v>165.608806383</v>
          </cell>
          <cell r="S35">
            <v>167.19104009100002</v>
          </cell>
          <cell r="T35">
            <v>174.95745516300005</v>
          </cell>
          <cell r="U35">
            <v>175.531929303</v>
          </cell>
          <cell r="V35">
            <v>165.88210434300001</v>
          </cell>
          <cell r="W35">
            <v>165.97627331400003</v>
          </cell>
          <cell r="X35">
            <v>170.00103517800002</v>
          </cell>
          <cell r="Y35">
            <v>180.76365051900001</v>
          </cell>
          <cell r="Z35">
            <v>167.47442295899998</v>
          </cell>
          <cell r="AA35">
            <v>146.21242818000002</v>
          </cell>
          <cell r="AB35">
            <v>112.186260885</v>
          </cell>
          <cell r="AC35">
            <v>94.118249397000014</v>
          </cell>
        </row>
        <row r="36">
          <cell r="F36">
            <v>81.217313646000008</v>
          </cell>
          <cell r="G36">
            <v>64.899307908000011</v>
          </cell>
          <cell r="H36">
            <v>54.304898778000002</v>
          </cell>
          <cell r="I36">
            <v>48.476461782000001</v>
          </cell>
          <cell r="J36">
            <v>52.125141888000009</v>
          </cell>
          <cell r="K36">
            <v>64.282498482000008</v>
          </cell>
          <cell r="L36">
            <v>86.806340715000005</v>
          </cell>
          <cell r="M36">
            <v>85.078294776000007</v>
          </cell>
          <cell r="N36">
            <v>107.09275775100001</v>
          </cell>
          <cell r="O36">
            <v>122.96514613800001</v>
          </cell>
          <cell r="P36">
            <v>136.96296797400001</v>
          </cell>
          <cell r="Q36">
            <v>146.18046724800001</v>
          </cell>
          <cell r="R36">
            <v>144.25569705000001</v>
          </cell>
          <cell r="S36">
            <v>144.02321859300002</v>
          </cell>
          <cell r="T36">
            <v>142.818102555</v>
          </cell>
          <cell r="U36">
            <v>140.71567344900001</v>
          </cell>
          <cell r="V36">
            <v>140.83897744500001</v>
          </cell>
          <cell r="W36">
            <v>157.491902673</v>
          </cell>
          <cell r="X36">
            <v>159.65778138900001</v>
          </cell>
          <cell r="Y36">
            <v>162.94345812600002</v>
          </cell>
          <cell r="Z36">
            <v>148.76173905900001</v>
          </cell>
          <cell r="AA36">
            <v>126.62298949500001</v>
          </cell>
          <cell r="AB36">
            <v>102.008737782</v>
          </cell>
          <cell r="AC36">
            <v>80.363006159999998</v>
          </cell>
        </row>
        <row r="37">
          <cell r="F37">
            <v>57.526943097</v>
          </cell>
          <cell r="G37">
            <v>45.407382057</v>
          </cell>
          <cell r="H37">
            <v>37.876659816000007</v>
          </cell>
          <cell r="I37">
            <v>33.485009912999999</v>
          </cell>
          <cell r="J37">
            <v>34.018679784</v>
          </cell>
          <cell r="K37">
            <v>41.072082719999997</v>
          </cell>
          <cell r="L37">
            <v>49.182504363</v>
          </cell>
          <cell r="M37">
            <v>39.963390285000003</v>
          </cell>
          <cell r="N37">
            <v>56.186739564</v>
          </cell>
          <cell r="O37">
            <v>69.639275603999991</v>
          </cell>
          <cell r="P37">
            <v>80.276141891999998</v>
          </cell>
          <cell r="Q37">
            <v>93.851045037000006</v>
          </cell>
          <cell r="R37">
            <v>103.66858110300001</v>
          </cell>
          <cell r="S37">
            <v>107.37677283000001</v>
          </cell>
          <cell r="T37">
            <v>103.629871509</v>
          </cell>
          <cell r="U37">
            <v>104.46116803800001</v>
          </cell>
          <cell r="V37">
            <v>101.673879228</v>
          </cell>
          <cell r="W37">
            <v>115.49930550300002</v>
          </cell>
          <cell r="X37">
            <v>124.755209691</v>
          </cell>
          <cell r="Y37">
            <v>140.65163733</v>
          </cell>
          <cell r="Z37">
            <v>129.959159325</v>
          </cell>
          <cell r="AA37">
            <v>114.42690807300001</v>
          </cell>
          <cell r="AB37">
            <v>88.117553946000015</v>
          </cell>
          <cell r="AC37">
            <v>65.056979808000008</v>
          </cell>
        </row>
        <row r="38">
          <cell r="F38">
            <v>63.864165225000008</v>
          </cell>
          <cell r="G38">
            <v>52.752500859000008</v>
          </cell>
          <cell r="H38">
            <v>44.346989018999999</v>
          </cell>
          <cell r="I38">
            <v>40.126279830000009</v>
          </cell>
          <cell r="J38">
            <v>43.035303534000001</v>
          </cell>
          <cell r="K38">
            <v>47.883226971000006</v>
          </cell>
          <cell r="L38">
            <v>57.518145462</v>
          </cell>
          <cell r="M38">
            <v>48.851050607999994</v>
          </cell>
          <cell r="N38">
            <v>63.457135596000008</v>
          </cell>
          <cell r="O38">
            <v>75.344545710000006</v>
          </cell>
          <cell r="P38">
            <v>92.901486965999993</v>
          </cell>
          <cell r="Q38">
            <v>112.75359027899999</v>
          </cell>
          <cell r="R38">
            <v>125.55874987200002</v>
          </cell>
          <cell r="S38">
            <v>126.684390132</v>
          </cell>
          <cell r="T38">
            <v>117.53628934500001</v>
          </cell>
          <cell r="U38">
            <v>112.890620109</v>
          </cell>
          <cell r="V38">
            <v>107.72962273800002</v>
          </cell>
          <cell r="W38">
            <v>119.551351461</v>
          </cell>
          <cell r="X38">
            <v>135.88328869200001</v>
          </cell>
          <cell r="Y38">
            <v>159.53416509600001</v>
          </cell>
          <cell r="Z38">
            <v>146.44588923000001</v>
          </cell>
          <cell r="AA38">
            <v>122.84825565600001</v>
          </cell>
          <cell r="AB38">
            <v>92.980132490999992</v>
          </cell>
          <cell r="AC38">
            <v>64.557799712999994</v>
          </cell>
        </row>
        <row r="39">
          <cell r="F39">
            <v>87.460244930999991</v>
          </cell>
          <cell r="G39">
            <v>74.801765907000004</v>
          </cell>
          <cell r="H39">
            <v>67.460569860000007</v>
          </cell>
          <cell r="I39">
            <v>66.395309558999998</v>
          </cell>
          <cell r="J39">
            <v>74.922952377000016</v>
          </cell>
          <cell r="K39">
            <v>111.04200467700001</v>
          </cell>
          <cell r="L39">
            <v>138.098129484</v>
          </cell>
          <cell r="M39">
            <v>127.692233487</v>
          </cell>
          <cell r="N39">
            <v>143.13813081000001</v>
          </cell>
          <cell r="O39">
            <v>153.96319031700003</v>
          </cell>
          <cell r="P39">
            <v>173.82285731100001</v>
          </cell>
          <cell r="Q39">
            <v>188.78433628499999</v>
          </cell>
          <cell r="R39">
            <v>192.09997068299998</v>
          </cell>
          <cell r="S39">
            <v>193.49796439500003</v>
          </cell>
          <cell r="T39">
            <v>198.40498051800003</v>
          </cell>
          <cell r="U39">
            <v>200.64606949200001</v>
          </cell>
          <cell r="V39">
            <v>192.24707018699999</v>
          </cell>
          <cell r="W39">
            <v>193.11610133400001</v>
          </cell>
          <cell r="X39">
            <v>201.99221428499999</v>
          </cell>
          <cell r="Y39">
            <v>205.31849724899999</v>
          </cell>
          <cell r="Z39">
            <v>191.15277388200002</v>
          </cell>
          <cell r="AA39">
            <v>170.05990697100003</v>
          </cell>
          <cell r="AB39">
            <v>133.15180964100003</v>
          </cell>
          <cell r="AC39">
            <v>111.967896729</v>
          </cell>
        </row>
        <row r="40">
          <cell r="F40">
            <v>84.904406283</v>
          </cell>
          <cell r="G40">
            <v>71.015088612000014</v>
          </cell>
          <cell r="H40">
            <v>62.955685635000009</v>
          </cell>
          <cell r="I40">
            <v>58.460703510000009</v>
          </cell>
          <cell r="J40">
            <v>63.548714787000002</v>
          </cell>
          <cell r="K40">
            <v>78.297359546999999</v>
          </cell>
          <cell r="L40">
            <v>99.861954885000003</v>
          </cell>
          <cell r="M40">
            <v>99.412506183000005</v>
          </cell>
          <cell r="N40">
            <v>121.15859939700002</v>
          </cell>
          <cell r="O40">
            <v>139.21280126400001</v>
          </cell>
          <cell r="P40">
            <v>155.50241082600002</v>
          </cell>
          <cell r="Q40">
            <v>167.00646494700001</v>
          </cell>
          <cell r="R40">
            <v>166.84701066900001</v>
          </cell>
          <cell r="S40">
            <v>162.044027532</v>
          </cell>
          <cell r="T40">
            <v>153.99592818300002</v>
          </cell>
          <cell r="U40">
            <v>150.51562186199999</v>
          </cell>
          <cell r="V40">
            <v>147.45015259500002</v>
          </cell>
          <cell r="W40">
            <v>166.98261612000002</v>
          </cell>
          <cell r="X40">
            <v>178.67129108699999</v>
          </cell>
          <cell r="Y40">
            <v>174.25415470199999</v>
          </cell>
          <cell r="Z40">
            <v>158.78162834700001</v>
          </cell>
          <cell r="AA40">
            <v>137.98132278900002</v>
          </cell>
          <cell r="AB40">
            <v>117.44027706</v>
          </cell>
          <cell r="AC40">
            <v>95.193609840000008</v>
          </cell>
        </row>
        <row r="41">
          <cell r="F41">
            <v>80.821481007000003</v>
          </cell>
          <cell r="G41">
            <v>66.776083389000007</v>
          </cell>
          <cell r="H41">
            <v>56.299829163000005</v>
          </cell>
          <cell r="I41">
            <v>49.853851509000002</v>
          </cell>
          <cell r="J41">
            <v>51.009533216999998</v>
          </cell>
          <cell r="K41">
            <v>52.552318482000011</v>
          </cell>
          <cell r="L41">
            <v>63.128736258000004</v>
          </cell>
          <cell r="M41">
            <v>54.316720361999998</v>
          </cell>
          <cell r="N41">
            <v>73.038834108000003</v>
          </cell>
          <cell r="O41">
            <v>84.791469024000008</v>
          </cell>
          <cell r="P41">
            <v>98.840088633000008</v>
          </cell>
          <cell r="Q41">
            <v>113.84008677600001</v>
          </cell>
          <cell r="R41">
            <v>122.96161185</v>
          </cell>
          <cell r="S41">
            <v>124.88804255399999</v>
          </cell>
          <cell r="T41">
            <v>122.248020822</v>
          </cell>
          <cell r="U41">
            <v>123.234551811</v>
          </cell>
          <cell r="V41">
            <v>123.253289631</v>
          </cell>
          <cell r="W41">
            <v>143.25972859800001</v>
          </cell>
          <cell r="X41">
            <v>156.24994320599998</v>
          </cell>
          <cell r="Y41">
            <v>158.26779314400002</v>
          </cell>
          <cell r="Z41">
            <v>146.75035595399999</v>
          </cell>
          <cell r="AA41">
            <v>124.71718562699999</v>
          </cell>
          <cell r="AB41">
            <v>99.133228878000011</v>
          </cell>
          <cell r="AC41">
            <v>76.599560714999996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70.526762742000003</v>
          </cell>
          <cell r="G43">
            <v>57.778090821000006</v>
          </cell>
          <cell r="H43">
            <v>51.191442411000004</v>
          </cell>
          <cell r="I43">
            <v>51.180192101999999</v>
          </cell>
          <cell r="J43">
            <v>60.167254275000005</v>
          </cell>
          <cell r="K43">
            <v>93.825451916999995</v>
          </cell>
          <cell r="L43">
            <v>124.29726041700002</v>
          </cell>
          <cell r="M43">
            <v>114.885801855</v>
          </cell>
          <cell r="N43">
            <v>130.92918427500001</v>
          </cell>
          <cell r="O43">
            <v>139.911668631</v>
          </cell>
          <cell r="P43">
            <v>156.171602361</v>
          </cell>
          <cell r="Q43">
            <v>170.81717387699999</v>
          </cell>
          <cell r="R43">
            <v>174.60247249500003</v>
          </cell>
          <cell r="S43">
            <v>174.95584797600003</v>
          </cell>
          <cell r="T43">
            <v>180.42592035600001</v>
          </cell>
          <cell r="U43">
            <v>181.62479045399999</v>
          </cell>
          <cell r="V43">
            <v>172.35198414300001</v>
          </cell>
          <cell r="W43">
            <v>177.57176952</v>
          </cell>
          <cell r="X43">
            <v>185.40946447800002</v>
          </cell>
          <cell r="Y43">
            <v>182.14168007399999</v>
          </cell>
          <cell r="Z43">
            <v>166.23191506800001</v>
          </cell>
          <cell r="AA43">
            <v>145.379699655</v>
          </cell>
          <cell r="AB43">
            <v>112.67862376500001</v>
          </cell>
          <cell r="AC43">
            <v>95.107362549000015</v>
          </cell>
        </row>
        <row r="44">
          <cell r="F44">
            <v>85.791146955000002</v>
          </cell>
          <cell r="G44">
            <v>68.197141377000008</v>
          </cell>
          <cell r="H44">
            <v>59.451987507000005</v>
          </cell>
          <cell r="I44">
            <v>54.797330211000009</v>
          </cell>
          <cell r="J44">
            <v>60.062116824000007</v>
          </cell>
          <cell r="K44">
            <v>73.376708994000012</v>
          </cell>
          <cell r="L44">
            <v>94.932552399000002</v>
          </cell>
          <cell r="M44">
            <v>92.696246901000009</v>
          </cell>
          <cell r="N44">
            <v>114.257612631</v>
          </cell>
          <cell r="O44">
            <v>132.64246085100001</v>
          </cell>
          <cell r="P44">
            <v>150.94657648800003</v>
          </cell>
          <cell r="Q44">
            <v>160.31569976400002</v>
          </cell>
          <cell r="R44">
            <v>160.36573583699999</v>
          </cell>
          <cell r="S44">
            <v>159.08550094500001</v>
          </cell>
          <cell r="T44">
            <v>156.08329086300003</v>
          </cell>
          <cell r="U44">
            <v>157.79487646500002</v>
          </cell>
          <cell r="V44">
            <v>158.551381671</v>
          </cell>
          <cell r="W44">
            <v>177.684607758</v>
          </cell>
          <cell r="X44">
            <v>187.51966292400002</v>
          </cell>
          <cell r="Y44">
            <v>180.128735484</v>
          </cell>
          <cell r="Z44">
            <v>164.25368114700004</v>
          </cell>
          <cell r="AA44">
            <v>144.12930055199999</v>
          </cell>
          <cell r="AB44">
            <v>122.71273399200001</v>
          </cell>
          <cell r="AC44">
            <v>101.00799347100001</v>
          </cell>
        </row>
        <row r="45">
          <cell r="F45">
            <v>85.279170300000004</v>
          </cell>
          <cell r="G45">
            <v>70.567467990000011</v>
          </cell>
          <cell r="H45">
            <v>61.886875812000007</v>
          </cell>
          <cell r="I45">
            <v>55.936437327</v>
          </cell>
          <cell r="J45">
            <v>55.625899854000004</v>
          </cell>
          <cell r="K45">
            <v>59.774262777000004</v>
          </cell>
          <cell r="L45">
            <v>69.743666589</v>
          </cell>
          <cell r="M45">
            <v>61.087433577000006</v>
          </cell>
          <cell r="N45">
            <v>77.708618766000001</v>
          </cell>
          <cell r="O45">
            <v>90.627340212000007</v>
          </cell>
          <cell r="P45">
            <v>103.68001422000002</v>
          </cell>
          <cell r="Q45">
            <v>121.284470322</v>
          </cell>
          <cell r="R45">
            <v>130.64513111099998</v>
          </cell>
          <cell r="S45">
            <v>130.52758556700002</v>
          </cell>
          <cell r="T45">
            <v>128.50720678499999</v>
          </cell>
          <cell r="U45">
            <v>128.128992267</v>
          </cell>
          <cell r="V45">
            <v>124.32899283900001</v>
          </cell>
          <cell r="W45">
            <v>141.742780197</v>
          </cell>
          <cell r="X45">
            <v>160.843093227</v>
          </cell>
          <cell r="Y45">
            <v>159.94133183100001</v>
          </cell>
          <cell r="Z45">
            <v>146.68440796800002</v>
          </cell>
          <cell r="AA45">
            <v>128.198703051</v>
          </cell>
          <cell r="AB45">
            <v>101.856359697</v>
          </cell>
          <cell r="AC45">
            <v>78.469252386000008</v>
          </cell>
        </row>
        <row r="46">
          <cell r="F46">
            <v>74.981169108000003</v>
          </cell>
          <cell r="G46">
            <v>63.180120540000004</v>
          </cell>
          <cell r="H46">
            <v>55.074170076000001</v>
          </cell>
          <cell r="I46">
            <v>52.101361613999998</v>
          </cell>
          <cell r="J46">
            <v>54.337895622000005</v>
          </cell>
          <cell r="K46">
            <v>60.451017993000001</v>
          </cell>
          <cell r="L46">
            <v>68.195496105000004</v>
          </cell>
          <cell r="M46">
            <v>58.613355807000005</v>
          </cell>
          <cell r="N46">
            <v>76.327755687000007</v>
          </cell>
          <cell r="O46">
            <v>84.705290286000007</v>
          </cell>
          <cell r="P46">
            <v>97.06640924700001</v>
          </cell>
          <cell r="Q46">
            <v>118.57468448699998</v>
          </cell>
          <cell r="R46">
            <v>135.02803669800002</v>
          </cell>
          <cell r="S46">
            <v>141.39032637300002</v>
          </cell>
          <cell r="T46">
            <v>135.960448902</v>
          </cell>
          <cell r="U46">
            <v>138.86407215300002</v>
          </cell>
          <cell r="V46">
            <v>142.253408643</v>
          </cell>
          <cell r="W46">
            <v>159.466975539</v>
          </cell>
          <cell r="X46">
            <v>167.37095363100002</v>
          </cell>
          <cell r="Y46">
            <v>163.67763790500001</v>
          </cell>
          <cell r="Z46">
            <v>144.84144435000002</v>
          </cell>
          <cell r="AA46">
            <v>123.82029149400002</v>
          </cell>
          <cell r="AB46">
            <v>95.629804962000009</v>
          </cell>
          <cell r="AC46">
            <v>72.466332770999998</v>
          </cell>
        </row>
        <row r="47">
          <cell r="F47">
            <v>94.424871732000014</v>
          </cell>
          <cell r="G47">
            <v>80.010765612</v>
          </cell>
          <cell r="H47">
            <v>73.652132097000006</v>
          </cell>
          <cell r="I47">
            <v>73.982824152000006</v>
          </cell>
          <cell r="J47">
            <v>82.916559708000008</v>
          </cell>
          <cell r="K47">
            <v>116.130853824</v>
          </cell>
          <cell r="L47">
            <v>149.983650582</v>
          </cell>
          <cell r="M47">
            <v>145.05812514900001</v>
          </cell>
          <cell r="N47">
            <v>161.21192360100002</v>
          </cell>
          <cell r="O47">
            <v>171.591754224</v>
          </cell>
          <cell r="P47">
            <v>187.39027294499999</v>
          </cell>
          <cell r="Q47">
            <v>203.82508537800001</v>
          </cell>
          <cell r="R47">
            <v>208.36691205300005</v>
          </cell>
          <cell r="S47">
            <v>206.59096280100005</v>
          </cell>
          <cell r="T47">
            <v>209.79266211300003</v>
          </cell>
          <cell r="U47">
            <v>210.57635239200002</v>
          </cell>
          <cell r="V47">
            <v>203.80755104400004</v>
          </cell>
          <cell r="W47">
            <v>214.66441152600004</v>
          </cell>
          <cell r="X47">
            <v>227.23096859400002</v>
          </cell>
          <cell r="Y47">
            <v>221.05502120700004</v>
          </cell>
          <cell r="Z47">
            <v>200.47273704</v>
          </cell>
          <cell r="AA47">
            <v>174.067553436</v>
          </cell>
          <cell r="AB47">
            <v>138.79583906700003</v>
          </cell>
          <cell r="AC47">
            <v>117.535398156</v>
          </cell>
        </row>
        <row r="48">
          <cell r="F48">
            <v>91.933884222000003</v>
          </cell>
          <cell r="G48">
            <v>75.914030714999996</v>
          </cell>
          <cell r="H48">
            <v>67.021922063999995</v>
          </cell>
          <cell r="I48">
            <v>64.368387773999999</v>
          </cell>
          <cell r="J48">
            <v>71.721679617000007</v>
          </cell>
          <cell r="K48">
            <v>89.223115794000009</v>
          </cell>
          <cell r="L48">
            <v>115.35603735000001</v>
          </cell>
          <cell r="M48">
            <v>119.37055434900002</v>
          </cell>
          <cell r="N48">
            <v>144.449024127</v>
          </cell>
          <cell r="O48">
            <v>161.21376691500001</v>
          </cell>
          <cell r="P48">
            <v>173.23421555100001</v>
          </cell>
          <cell r="Q48">
            <v>178.27238879700002</v>
          </cell>
          <cell r="R48">
            <v>179.44172016900001</v>
          </cell>
          <cell r="S48">
            <v>177.49033617300003</v>
          </cell>
          <cell r="T48">
            <v>174.61280876400002</v>
          </cell>
          <cell r="U48">
            <v>171.91273460400001</v>
          </cell>
          <cell r="V48">
            <v>167.18324790000003</v>
          </cell>
          <cell r="W48">
            <v>188.063531958</v>
          </cell>
          <cell r="X48">
            <v>206.79721592700002</v>
          </cell>
          <cell r="Y48">
            <v>199.339441695</v>
          </cell>
          <cell r="Z48">
            <v>181.532030628</v>
          </cell>
          <cell r="AA48">
            <v>156.00214696200001</v>
          </cell>
          <cell r="AB48">
            <v>132.10495962899998</v>
          </cell>
          <cell r="AC48">
            <v>106.55330657700001</v>
          </cell>
        </row>
        <row r="49">
          <cell r="F49">
            <v>77.646555449999994</v>
          </cell>
          <cell r="G49">
            <v>62.811389187000003</v>
          </cell>
          <cell r="H49">
            <v>54.165370572000008</v>
          </cell>
          <cell r="I49">
            <v>50.285575452000003</v>
          </cell>
          <cell r="J49">
            <v>51.561521973000005</v>
          </cell>
          <cell r="K49">
            <v>57.974015295000008</v>
          </cell>
          <cell r="L49">
            <v>70.027262733000015</v>
          </cell>
          <cell r="M49">
            <v>65.685686988</v>
          </cell>
          <cell r="N49">
            <v>85.923408542999994</v>
          </cell>
          <cell r="O49">
            <v>101.19832706700001</v>
          </cell>
          <cell r="P49">
            <v>111.65579777100001</v>
          </cell>
          <cell r="Q49">
            <v>126.12574411800001</v>
          </cell>
          <cell r="R49">
            <v>138.16339955699999</v>
          </cell>
          <cell r="S49">
            <v>144.36608261400002</v>
          </cell>
          <cell r="T49">
            <v>142.84856293800001</v>
          </cell>
          <cell r="U49">
            <v>137.32452411300002</v>
          </cell>
          <cell r="V49">
            <v>133.27662180300001</v>
          </cell>
          <cell r="W49">
            <v>154.98465286800001</v>
          </cell>
          <cell r="X49">
            <v>172.40713884000002</v>
          </cell>
          <cell r="Y49">
            <v>166.60314479700003</v>
          </cell>
          <cell r="Z49">
            <v>152.93442306300003</v>
          </cell>
          <cell r="AA49">
            <v>132.78905001600003</v>
          </cell>
          <cell r="AB49">
            <v>112.38688504800001</v>
          </cell>
          <cell r="AC49">
            <v>87.57120938700001</v>
          </cell>
        </row>
        <row r="50">
          <cell r="F50">
            <v>77.644239882000008</v>
          </cell>
          <cell r="G50">
            <v>62.709633684000011</v>
          </cell>
          <cell r="H50">
            <v>54.096924210000005</v>
          </cell>
          <cell r="I50">
            <v>49.584872388000001</v>
          </cell>
          <cell r="J50">
            <v>53.689391859000004</v>
          </cell>
          <cell r="K50">
            <v>63.364063473000002</v>
          </cell>
          <cell r="L50">
            <v>71.86397279400002</v>
          </cell>
          <cell r="M50">
            <v>59.502274941000003</v>
          </cell>
          <cell r="N50">
            <v>78.720186834000003</v>
          </cell>
          <cell r="O50">
            <v>92.619345669000012</v>
          </cell>
          <cell r="P50">
            <v>110.026818534</v>
          </cell>
          <cell r="Q50">
            <v>128.11416196800002</v>
          </cell>
          <cell r="R50">
            <v>143.113809729</v>
          </cell>
          <cell r="S50">
            <v>151.362411369</v>
          </cell>
          <cell r="T50">
            <v>145.19253473099999</v>
          </cell>
          <cell r="U50">
            <v>140.164164564</v>
          </cell>
          <cell r="V50">
            <v>139.76069969100001</v>
          </cell>
          <cell r="W50">
            <v>162.14324657400002</v>
          </cell>
          <cell r="X50">
            <v>180.28965222600002</v>
          </cell>
          <cell r="Y50">
            <v>176.704018029</v>
          </cell>
          <cell r="Z50">
            <v>159.00075420300001</v>
          </cell>
          <cell r="AA50">
            <v>130.29896131199999</v>
          </cell>
          <cell r="AB50">
            <v>102.16121488800002</v>
          </cell>
          <cell r="AC50">
            <v>76.723999644000017</v>
          </cell>
        </row>
        <row r="51">
          <cell r="F51">
            <v>83.800543026</v>
          </cell>
          <cell r="G51">
            <v>69.563395050000011</v>
          </cell>
          <cell r="H51">
            <v>61.371479124000004</v>
          </cell>
          <cell r="I51">
            <v>59.809826550000004</v>
          </cell>
          <cell r="J51">
            <v>63.627185121000011</v>
          </cell>
          <cell r="K51">
            <v>84.312146447999993</v>
          </cell>
          <cell r="L51">
            <v>109.63514477700001</v>
          </cell>
          <cell r="M51">
            <v>108.739812129</v>
          </cell>
          <cell r="N51">
            <v>129.52519598399999</v>
          </cell>
          <cell r="O51">
            <v>140.04892697100001</v>
          </cell>
          <cell r="P51">
            <v>154.98494231400002</v>
          </cell>
          <cell r="Q51">
            <v>170.46391265100002</v>
          </cell>
          <cell r="R51">
            <v>178.01561210999998</v>
          </cell>
          <cell r="S51">
            <v>177.60907758600001</v>
          </cell>
          <cell r="T51">
            <v>181.18891524600002</v>
          </cell>
          <cell r="U51">
            <v>182.24313089700001</v>
          </cell>
          <cell r="V51">
            <v>175.95468803699998</v>
          </cell>
          <cell r="W51">
            <v>185.15238311100001</v>
          </cell>
          <cell r="X51">
            <v>198.64963855799999</v>
          </cell>
          <cell r="Y51">
            <v>193.82699594400003</v>
          </cell>
          <cell r="Z51">
            <v>176.45157541500004</v>
          </cell>
          <cell r="AA51">
            <v>155.50278405899999</v>
          </cell>
          <cell r="AB51">
            <v>126.79039592100001</v>
          </cell>
          <cell r="AC51">
            <v>109.04374566300002</v>
          </cell>
        </row>
        <row r="52">
          <cell r="F52">
            <v>85.995998552999993</v>
          </cell>
          <cell r="G52">
            <v>68.677195185000002</v>
          </cell>
          <cell r="H52">
            <v>60.009247227000003</v>
          </cell>
          <cell r="I52">
            <v>56.167567575</v>
          </cell>
          <cell r="J52">
            <v>58.796864571000008</v>
          </cell>
          <cell r="K52">
            <v>70.020369348000003</v>
          </cell>
          <cell r="L52">
            <v>88.167224403000006</v>
          </cell>
          <cell r="M52">
            <v>86.097754055999999</v>
          </cell>
          <cell r="N52">
            <v>110.262640854</v>
          </cell>
          <cell r="O52">
            <v>128.14598579400001</v>
          </cell>
          <cell r="P52">
            <v>139.289428284</v>
          </cell>
          <cell r="Q52">
            <v>146.892664365</v>
          </cell>
          <cell r="R52">
            <v>149.01647439000001</v>
          </cell>
          <cell r="S52">
            <v>150.21753818400001</v>
          </cell>
          <cell r="T52">
            <v>150.05060401200001</v>
          </cell>
          <cell r="U52">
            <v>145.43925697800003</v>
          </cell>
          <cell r="V52">
            <v>140.77113282600001</v>
          </cell>
          <cell r="W52">
            <v>154.88378093700001</v>
          </cell>
          <cell r="X52">
            <v>178.22232225600001</v>
          </cell>
          <cell r="Y52">
            <v>171.09261983100001</v>
          </cell>
          <cell r="Z52">
            <v>149.884134477</v>
          </cell>
          <cell r="AA52">
            <v>131.021677506</v>
          </cell>
          <cell r="AB52">
            <v>112.60674975300002</v>
          </cell>
          <cell r="AC52">
            <v>95.850941706</v>
          </cell>
        </row>
        <row r="53">
          <cell r="F53">
            <v>90.057680015999992</v>
          </cell>
          <cell r="G53">
            <v>70.722717684000003</v>
          </cell>
          <cell r="H53">
            <v>62.072410698000006</v>
          </cell>
          <cell r="I53">
            <v>55.724174388000002</v>
          </cell>
          <cell r="J53">
            <v>53.631083724000007</v>
          </cell>
          <cell r="K53">
            <v>59.981627985000003</v>
          </cell>
          <cell r="L53">
            <v>69.185409042000003</v>
          </cell>
          <cell r="M53">
            <v>57.122701290000002</v>
          </cell>
          <cell r="N53">
            <v>77.683376027999998</v>
          </cell>
          <cell r="O53">
            <v>92.109852155999988</v>
          </cell>
          <cell r="P53">
            <v>105.64609140900001</v>
          </cell>
          <cell r="Q53">
            <v>117.75284065500001</v>
          </cell>
          <cell r="R53">
            <v>124.90675752300001</v>
          </cell>
          <cell r="S53">
            <v>129.73728373200001</v>
          </cell>
          <cell r="T53">
            <v>128.86100120099999</v>
          </cell>
          <cell r="U53">
            <v>130.29864901500002</v>
          </cell>
          <cell r="V53">
            <v>130.18590218099999</v>
          </cell>
          <cell r="W53">
            <v>144.50060645100001</v>
          </cell>
          <cell r="X53">
            <v>159.16612689000002</v>
          </cell>
          <cell r="Y53">
            <v>157.65704685</v>
          </cell>
          <cell r="Z53">
            <v>149.98679640300003</v>
          </cell>
          <cell r="AA53">
            <v>134.61405274800001</v>
          </cell>
          <cell r="AB53">
            <v>112.78870464900001</v>
          </cell>
          <cell r="AC53">
            <v>88.913202914999999</v>
          </cell>
        </row>
        <row r="54">
          <cell r="F54">
            <v>66.363455264999999</v>
          </cell>
          <cell r="G54">
            <v>55.576914926999997</v>
          </cell>
          <cell r="H54">
            <v>45.954998655000004</v>
          </cell>
          <cell r="I54">
            <v>38.525026473000004</v>
          </cell>
          <cell r="J54">
            <v>34.848270105000005</v>
          </cell>
          <cell r="K54">
            <v>36.030428505000003</v>
          </cell>
          <cell r="L54">
            <v>37.943498991000006</v>
          </cell>
          <cell r="M54">
            <v>18.830092338000004</v>
          </cell>
          <cell r="N54">
            <v>30.043253229000005</v>
          </cell>
          <cell r="O54">
            <v>44.834583657000003</v>
          </cell>
          <cell r="P54">
            <v>58.089527100000005</v>
          </cell>
          <cell r="Q54">
            <v>70.777026894000016</v>
          </cell>
          <cell r="R54">
            <v>84.785124063000012</v>
          </cell>
          <cell r="S54">
            <v>89.752908611999999</v>
          </cell>
          <cell r="T54">
            <v>89.051131550999997</v>
          </cell>
          <cell r="U54">
            <v>92.889794871000007</v>
          </cell>
          <cell r="V54">
            <v>95.186922113999998</v>
          </cell>
          <cell r="W54">
            <v>111.46017036000001</v>
          </cell>
          <cell r="X54">
            <v>137.62241736600001</v>
          </cell>
          <cell r="Y54">
            <v>139.27313552100003</v>
          </cell>
          <cell r="Z54">
            <v>129.72710742000001</v>
          </cell>
          <cell r="AA54">
            <v>114.33597632700001</v>
          </cell>
          <cell r="AB54">
            <v>92.164717406999998</v>
          </cell>
          <cell r="AC54">
            <v>68.241358062000003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89.371422224</v>
          </cell>
          <cell r="G7">
            <v>69.462156568000012</v>
          </cell>
          <cell r="H7">
            <v>58.252106696000013</v>
          </cell>
          <cell r="I7">
            <v>56.630726096000004</v>
          </cell>
          <cell r="J7">
            <v>75.807177544000012</v>
          </cell>
          <cell r="K7">
            <v>117.98484345200001</v>
          </cell>
          <cell r="L7">
            <v>162.03744144000004</v>
          </cell>
          <cell r="M7">
            <v>171.83787754000002</v>
          </cell>
          <cell r="N7">
            <v>204.17467764400001</v>
          </cell>
          <cell r="O7">
            <v>224.84580686400002</v>
          </cell>
          <cell r="P7">
            <v>252.91339063200002</v>
          </cell>
          <cell r="Q7">
            <v>277.31737728800005</v>
          </cell>
          <cell r="R7">
            <v>286.10756294399999</v>
          </cell>
          <cell r="S7">
            <v>282.32076885600003</v>
          </cell>
          <cell r="T7">
            <v>287.03272508400005</v>
          </cell>
          <cell r="U7">
            <v>286.92521026399999</v>
          </cell>
          <cell r="V7">
            <v>275.26735919200001</v>
          </cell>
          <cell r="W7">
            <v>267.86284179199998</v>
          </cell>
          <cell r="X7">
            <v>287.38269053200003</v>
          </cell>
          <cell r="Y7">
            <v>298.37678113599998</v>
          </cell>
          <cell r="Z7">
            <v>273.48975248000005</v>
          </cell>
          <cell r="AA7">
            <v>232.44667628000002</v>
          </cell>
          <cell r="AB7">
            <v>176.761248188</v>
          </cell>
          <cell r="AC7">
            <v>129.59620704800002</v>
          </cell>
        </row>
        <row r="8">
          <cell r="F8">
            <v>93.020066300000011</v>
          </cell>
          <cell r="G8">
            <v>71.412904976000007</v>
          </cell>
          <cell r="H8">
            <v>58.864111796000003</v>
          </cell>
          <cell r="I8">
            <v>54.215552552000005</v>
          </cell>
          <cell r="J8">
            <v>65.127410572000002</v>
          </cell>
          <cell r="K8">
            <v>86.170172256000001</v>
          </cell>
          <cell r="L8">
            <v>119.17974961199999</v>
          </cell>
          <cell r="M8">
            <v>132.53839460399999</v>
          </cell>
          <cell r="N8">
            <v>169.71191552000002</v>
          </cell>
          <cell r="O8">
            <v>197.62771473200002</v>
          </cell>
          <cell r="P8">
            <v>220.887657424</v>
          </cell>
          <cell r="Q8">
            <v>241.07402513600002</v>
          </cell>
          <cell r="R8">
            <v>244.94363510399998</v>
          </cell>
          <cell r="S8">
            <v>237.285620908</v>
          </cell>
          <cell r="T8">
            <v>227.04986978800002</v>
          </cell>
          <cell r="U8">
            <v>221.93167220000001</v>
          </cell>
          <cell r="V8">
            <v>217.367417456</v>
          </cell>
          <cell r="W8">
            <v>223.76513557999999</v>
          </cell>
          <cell r="X8">
            <v>252.02139737600001</v>
          </cell>
          <cell r="Y8">
            <v>260.43903309199999</v>
          </cell>
          <cell r="Z8">
            <v>236.48463398000001</v>
          </cell>
          <cell r="AA8">
            <v>201.33384384400003</v>
          </cell>
          <cell r="AB8">
            <v>162.96701475600003</v>
          </cell>
          <cell r="AC8">
            <v>124.48355684800001</v>
          </cell>
        </row>
        <row r="9">
          <cell r="F9">
            <v>93.663259507999996</v>
          </cell>
          <cell r="G9">
            <v>70.19492824400001</v>
          </cell>
          <cell r="H9">
            <v>55.166859719999998</v>
          </cell>
          <cell r="I9">
            <v>47.116670103999994</v>
          </cell>
          <cell r="J9">
            <v>49.329512848</v>
          </cell>
          <cell r="K9">
            <v>58.374197840000001</v>
          </cell>
          <cell r="L9">
            <v>73.579928604000003</v>
          </cell>
          <cell r="M9">
            <v>74.252402056000008</v>
          </cell>
          <cell r="N9">
            <v>102.76113988</v>
          </cell>
          <cell r="O9">
            <v>129.22426470799999</v>
          </cell>
          <cell r="P9">
            <v>150.121378596</v>
          </cell>
          <cell r="Q9">
            <v>175.05156507999999</v>
          </cell>
          <cell r="R9">
            <v>191.54925395200002</v>
          </cell>
          <cell r="S9">
            <v>196.39417736400003</v>
          </cell>
          <cell r="T9">
            <v>190.22855028800001</v>
          </cell>
          <cell r="U9">
            <v>183.97490627600001</v>
          </cell>
          <cell r="V9">
            <v>178.347254316</v>
          </cell>
          <cell r="W9">
            <v>188.20642710800004</v>
          </cell>
          <cell r="X9">
            <v>217.78576828400003</v>
          </cell>
          <cell r="Y9">
            <v>234.28605160800001</v>
          </cell>
          <cell r="Z9">
            <v>216.56433430800001</v>
          </cell>
          <cell r="AA9">
            <v>186.19646807999999</v>
          </cell>
          <cell r="AB9">
            <v>145.90182140799999</v>
          </cell>
          <cell r="AC9">
            <v>102.967444384</v>
          </cell>
        </row>
        <row r="10">
          <cell r="F10">
            <v>83.542885551999987</v>
          </cell>
          <cell r="G10">
            <v>66.812820060000007</v>
          </cell>
          <cell r="H10">
            <v>50.624867440000003</v>
          </cell>
          <cell r="I10">
            <v>41.300880880000001</v>
          </cell>
          <cell r="J10">
            <v>41.034029036</v>
          </cell>
          <cell r="K10">
            <v>47.288432547999996</v>
          </cell>
          <cell r="L10">
            <v>50.717477832000007</v>
          </cell>
          <cell r="M10">
            <v>41.565988912000002</v>
          </cell>
          <cell r="N10">
            <v>61.967841964000002</v>
          </cell>
          <cell r="O10">
            <v>83.525161860000011</v>
          </cell>
          <cell r="P10">
            <v>107.36453014</v>
          </cell>
          <cell r="Q10">
            <v>133.424907308</v>
          </cell>
          <cell r="R10">
            <v>152.66764791600002</v>
          </cell>
          <cell r="S10">
            <v>156.98504085600001</v>
          </cell>
          <cell r="T10">
            <v>152.06195577999998</v>
          </cell>
          <cell r="U10">
            <v>145.55133950000001</v>
          </cell>
          <cell r="V10">
            <v>141.51479143200001</v>
          </cell>
          <cell r="W10">
            <v>154.42863069200001</v>
          </cell>
          <cell r="X10">
            <v>192.37104510399999</v>
          </cell>
          <cell r="Y10">
            <v>205.854643036</v>
          </cell>
          <cell r="Z10">
            <v>187.85307732800001</v>
          </cell>
          <cell r="AA10">
            <v>158.86678413199999</v>
          </cell>
          <cell r="AB10">
            <v>123.50719225600001</v>
          </cell>
          <cell r="AC10">
            <v>87.245751851999998</v>
          </cell>
        </row>
        <row r="11">
          <cell r="F11">
            <v>100.135967624</v>
          </cell>
          <cell r="G11">
            <v>79.768687012000001</v>
          </cell>
          <cell r="H11">
            <v>69.378976128000005</v>
          </cell>
          <cell r="I11">
            <v>68.911008683999995</v>
          </cell>
          <cell r="J11">
            <v>95.395138243999995</v>
          </cell>
          <cell r="K11">
            <v>155.54171136000002</v>
          </cell>
          <cell r="L11">
            <v>205.70196530800001</v>
          </cell>
          <cell r="M11">
            <v>210.68477138800003</v>
          </cell>
          <cell r="N11">
            <v>242.74168055200005</v>
          </cell>
          <cell r="O11">
            <v>264.63840580800002</v>
          </cell>
          <cell r="P11">
            <v>295.09261199600007</v>
          </cell>
          <cell r="Q11">
            <v>318.28021383200002</v>
          </cell>
          <cell r="R11">
            <v>320.13629816000002</v>
          </cell>
          <cell r="S11">
            <v>313.92900187600003</v>
          </cell>
          <cell r="T11">
            <v>318.87772767199999</v>
          </cell>
          <cell r="U11">
            <v>319.01182499200007</v>
          </cell>
          <cell r="V11">
            <v>306.01958710399998</v>
          </cell>
          <cell r="W11">
            <v>291.95688561200001</v>
          </cell>
          <cell r="X11">
            <v>301.81539004400003</v>
          </cell>
          <cell r="Y11">
            <v>321.23703847199999</v>
          </cell>
          <cell r="Z11">
            <v>294.69553324399999</v>
          </cell>
          <cell r="AA11">
            <v>247.88172136</v>
          </cell>
          <cell r="AB11">
            <v>186.61200572000001</v>
          </cell>
          <cell r="AC11">
            <v>136.68282812799998</v>
          </cell>
        </row>
        <row r="12">
          <cell r="F12">
            <v>113.13167490800001</v>
          </cell>
          <cell r="G12">
            <v>89.458618900000005</v>
          </cell>
          <cell r="H12">
            <v>74.966805984000004</v>
          </cell>
          <cell r="I12">
            <v>70.481666836000002</v>
          </cell>
          <cell r="J12">
            <v>80.449296228000009</v>
          </cell>
          <cell r="K12">
            <v>102.02056662000001</v>
          </cell>
          <cell r="L12">
            <v>142.327918208</v>
          </cell>
          <cell r="M12">
            <v>165.89248723599999</v>
          </cell>
          <cell r="N12">
            <v>211.79392695999999</v>
          </cell>
          <cell r="O12">
            <v>241.76119643200002</v>
          </cell>
          <cell r="P12">
            <v>269.56786460800004</v>
          </cell>
          <cell r="Q12">
            <v>287.37441502000001</v>
          </cell>
          <cell r="R12">
            <v>289.42220322399999</v>
          </cell>
          <cell r="S12">
            <v>274.03826338000005</v>
          </cell>
          <cell r="T12">
            <v>258.33788545600004</v>
          </cell>
          <cell r="U12">
            <v>250.97595474000002</v>
          </cell>
          <cell r="V12">
            <v>243.10089367200001</v>
          </cell>
          <cell r="W12">
            <v>248.465710024</v>
          </cell>
          <cell r="X12">
            <v>268.74418382000005</v>
          </cell>
          <cell r="Y12">
            <v>283.85252237999998</v>
          </cell>
          <cell r="Z12">
            <v>257.49780554400002</v>
          </cell>
          <cell r="AA12">
            <v>221.22559239199998</v>
          </cell>
          <cell r="AB12">
            <v>180.98748897600001</v>
          </cell>
          <cell r="AC12">
            <v>141.82141677199999</v>
          </cell>
        </row>
        <row r="13">
          <cell r="F13">
            <v>111.29488188000001</v>
          </cell>
          <cell r="G13">
            <v>86.426123755999996</v>
          </cell>
          <cell r="H13">
            <v>70.594352332000014</v>
          </cell>
          <cell r="I13">
            <v>62.057080176000007</v>
          </cell>
          <cell r="J13">
            <v>62.974228072000002</v>
          </cell>
          <cell r="K13">
            <v>71.336590416000007</v>
          </cell>
          <cell r="L13">
            <v>88.153731064000013</v>
          </cell>
          <cell r="M13">
            <v>91.319478964000012</v>
          </cell>
          <cell r="N13">
            <v>125.49444527200001</v>
          </cell>
          <cell r="O13">
            <v>154.50383334400001</v>
          </cell>
          <cell r="P13">
            <v>178.952666956</v>
          </cell>
          <cell r="Q13">
            <v>203.81523363599999</v>
          </cell>
          <cell r="R13">
            <v>220.60153858400002</v>
          </cell>
          <cell r="S13">
            <v>218.92304358400003</v>
          </cell>
          <cell r="T13">
            <v>207.66245962000002</v>
          </cell>
          <cell r="U13">
            <v>201.96015792399999</v>
          </cell>
          <cell r="V13">
            <v>196.13731446400001</v>
          </cell>
          <cell r="W13">
            <v>202.46710898400002</v>
          </cell>
          <cell r="X13">
            <v>228.28073979200002</v>
          </cell>
          <cell r="Y13">
            <v>258.62723672800001</v>
          </cell>
          <cell r="Z13">
            <v>244.04946664000002</v>
          </cell>
          <cell r="AA13">
            <v>214.87944735600001</v>
          </cell>
          <cell r="AB13">
            <v>168.18191188400004</v>
          </cell>
          <cell r="AC13">
            <v>120.87762705199999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84.714945951999994</v>
          </cell>
          <cell r="G15">
            <v>64.651556480000011</v>
          </cell>
          <cell r="H15">
            <v>53.969571768000002</v>
          </cell>
          <cell r="I15">
            <v>52.875296320000004</v>
          </cell>
          <cell r="J15">
            <v>72.903724488000009</v>
          </cell>
          <cell r="K15">
            <v>121.59019602800001</v>
          </cell>
          <cell r="L15">
            <v>164.64499329600002</v>
          </cell>
          <cell r="M15">
            <v>174.200092668</v>
          </cell>
          <cell r="N15">
            <v>204.22517528</v>
          </cell>
          <cell r="O15">
            <v>224.41267312800002</v>
          </cell>
          <cell r="P15">
            <v>250.53348219200001</v>
          </cell>
          <cell r="Q15">
            <v>271.35168099199996</v>
          </cell>
          <cell r="R15">
            <v>274.26534172800001</v>
          </cell>
          <cell r="S15">
            <v>268.96995582800002</v>
          </cell>
          <cell r="T15">
            <v>272.88516617600004</v>
          </cell>
          <cell r="U15">
            <v>273.48785676799997</v>
          </cell>
          <cell r="V15">
            <v>262.44146395600001</v>
          </cell>
          <cell r="W15">
            <v>250.649114548</v>
          </cell>
          <cell r="X15">
            <v>259.81169824400001</v>
          </cell>
          <cell r="Y15">
            <v>276.50708192800005</v>
          </cell>
          <cell r="Z15">
            <v>253.96072290399999</v>
          </cell>
          <cell r="AA15">
            <v>215.176746036</v>
          </cell>
          <cell r="AB15">
            <v>165.12394614799999</v>
          </cell>
          <cell r="AC15">
            <v>121.499590716</v>
          </cell>
        </row>
        <row r="16">
          <cell r="F16">
            <v>89.972733564000009</v>
          </cell>
          <cell r="G16">
            <v>67.580443672000015</v>
          </cell>
          <cell r="H16">
            <v>54.836404308000006</v>
          </cell>
          <cell r="I16">
            <v>50.232546196000001</v>
          </cell>
          <cell r="J16">
            <v>58.749840464000002</v>
          </cell>
          <cell r="K16">
            <v>77.416782856000012</v>
          </cell>
          <cell r="L16">
            <v>109.79378177600002</v>
          </cell>
          <cell r="M16">
            <v>128.444732136</v>
          </cell>
          <cell r="N16">
            <v>166.55833784800001</v>
          </cell>
          <cell r="O16">
            <v>192.070447156</v>
          </cell>
          <cell r="P16">
            <v>216.974604056</v>
          </cell>
          <cell r="Q16">
            <v>233.57094286400002</v>
          </cell>
          <cell r="R16">
            <v>235.79354366400003</v>
          </cell>
          <cell r="S16">
            <v>224.84651775600003</v>
          </cell>
          <cell r="T16">
            <v>216.14900932800001</v>
          </cell>
          <cell r="U16">
            <v>210.90592563600001</v>
          </cell>
          <cell r="V16">
            <v>204.24031667199998</v>
          </cell>
          <cell r="W16">
            <v>212.988371344</v>
          </cell>
          <cell r="X16">
            <v>232.10254986800001</v>
          </cell>
          <cell r="Y16">
            <v>241.34262686800002</v>
          </cell>
          <cell r="Z16">
            <v>218.08742345600001</v>
          </cell>
          <cell r="AA16">
            <v>187.13137004800001</v>
          </cell>
          <cell r="AB16">
            <v>152.17595976800001</v>
          </cell>
          <cell r="AC16">
            <v>116.73338796</v>
          </cell>
        </row>
        <row r="17">
          <cell r="F17">
            <v>88.586141756000004</v>
          </cell>
          <cell r="G17">
            <v>66.817510732000017</v>
          </cell>
          <cell r="H17">
            <v>52.267058339999998</v>
          </cell>
          <cell r="I17">
            <v>45.071245464</v>
          </cell>
          <cell r="J17">
            <v>47.205215652000007</v>
          </cell>
          <cell r="K17">
            <v>55.039014603999995</v>
          </cell>
          <cell r="L17">
            <v>68.991479228000003</v>
          </cell>
          <cell r="M17">
            <v>74.435587380000015</v>
          </cell>
          <cell r="N17">
            <v>104.84558459200001</v>
          </cell>
          <cell r="O17">
            <v>130.26391083999999</v>
          </cell>
          <cell r="P17">
            <v>148.25777825600002</v>
          </cell>
          <cell r="Q17">
            <v>167.49023219600002</v>
          </cell>
          <cell r="R17">
            <v>180.838049756</v>
          </cell>
          <cell r="S17">
            <v>180.81557463199999</v>
          </cell>
          <cell r="T17">
            <v>173.56200937599999</v>
          </cell>
          <cell r="U17">
            <v>166.963321476</v>
          </cell>
          <cell r="V17">
            <v>162.13045892400001</v>
          </cell>
          <cell r="W17">
            <v>171.031786772</v>
          </cell>
          <cell r="X17">
            <v>194.10683070800002</v>
          </cell>
          <cell r="Y17">
            <v>214.53546676800002</v>
          </cell>
          <cell r="Z17">
            <v>200.03882343200002</v>
          </cell>
          <cell r="AA17">
            <v>174.36842824800001</v>
          </cell>
          <cell r="AB17">
            <v>136.168677008</v>
          </cell>
          <cell r="AC17">
            <v>95.282082111999998</v>
          </cell>
        </row>
        <row r="18">
          <cell r="F18">
            <v>76.302948764000007</v>
          </cell>
          <cell r="G18">
            <v>54.746771156000001</v>
          </cell>
          <cell r="H18">
            <v>42.597359532000013</v>
          </cell>
          <cell r="I18">
            <v>35.744409259999998</v>
          </cell>
          <cell r="J18">
            <v>40.070831136000002</v>
          </cell>
          <cell r="K18">
            <v>49.771468936000005</v>
          </cell>
          <cell r="L18">
            <v>65.437037455999999</v>
          </cell>
          <cell r="M18">
            <v>74.272471084000003</v>
          </cell>
          <cell r="N18">
            <v>103.68652075599999</v>
          </cell>
          <cell r="O18">
            <v>118.92325734800001</v>
          </cell>
          <cell r="P18">
            <v>130.04581889599999</v>
          </cell>
          <cell r="Q18">
            <v>150.779628132</v>
          </cell>
          <cell r="R18">
            <v>166.71199988800001</v>
          </cell>
          <cell r="S18">
            <v>166.30513270000003</v>
          </cell>
          <cell r="T18">
            <v>158.57170926800001</v>
          </cell>
          <cell r="U18">
            <v>155.31927507600003</v>
          </cell>
          <cell r="V18">
            <v>151.14716537200002</v>
          </cell>
          <cell r="W18">
            <v>162.113628404</v>
          </cell>
          <cell r="X18">
            <v>181.768437256</v>
          </cell>
          <cell r="Y18">
            <v>192.63417236000001</v>
          </cell>
          <cell r="Z18">
            <v>171.58995851200001</v>
          </cell>
          <cell r="AA18">
            <v>150.377032372</v>
          </cell>
          <cell r="AB18">
            <v>125.197037224</v>
          </cell>
          <cell r="AC18">
            <v>96.229081395999998</v>
          </cell>
        </row>
        <row r="19">
          <cell r="F19">
            <v>89.06654069599999</v>
          </cell>
          <cell r="G19">
            <v>69.951936852000003</v>
          </cell>
          <cell r="H19">
            <v>60.067718788000008</v>
          </cell>
          <cell r="I19">
            <v>60.197295564000001</v>
          </cell>
          <cell r="J19">
            <v>85.111034316000001</v>
          </cell>
          <cell r="K19">
            <v>140.59582073600001</v>
          </cell>
          <cell r="L19">
            <v>187.127912804</v>
          </cell>
          <cell r="M19">
            <v>196.090304452</v>
          </cell>
          <cell r="N19">
            <v>224.56807898</v>
          </cell>
          <cell r="O19">
            <v>245.24721636799998</v>
          </cell>
          <cell r="P19">
            <v>272.76827608800005</v>
          </cell>
          <cell r="Q19">
            <v>294.716325316</v>
          </cell>
          <cell r="R19">
            <v>296.607547152</v>
          </cell>
          <cell r="S19">
            <v>290.58578760400002</v>
          </cell>
          <cell r="T19">
            <v>294.91600090400004</v>
          </cell>
          <cell r="U19">
            <v>294.09565584000001</v>
          </cell>
          <cell r="V19">
            <v>280.78859001199999</v>
          </cell>
          <cell r="W19">
            <v>273.52725962800002</v>
          </cell>
          <cell r="X19">
            <v>291.24974250400004</v>
          </cell>
          <cell r="Y19">
            <v>301.76102807199999</v>
          </cell>
          <cell r="Z19">
            <v>275.094995224</v>
          </cell>
          <cell r="AA19">
            <v>232.29527451199999</v>
          </cell>
          <cell r="AB19">
            <v>173.54828369199998</v>
          </cell>
          <cell r="AC19">
            <v>125.84871252800001</v>
          </cell>
        </row>
        <row r="20">
          <cell r="F20">
            <v>100.709074172</v>
          </cell>
          <cell r="G20">
            <v>80.954831580000004</v>
          </cell>
          <cell r="H20">
            <v>65.629999064000003</v>
          </cell>
          <cell r="I20">
            <v>61.449231060000002</v>
          </cell>
          <cell r="J20">
            <v>73.391232348000003</v>
          </cell>
          <cell r="K20">
            <v>95.633870360000017</v>
          </cell>
          <cell r="L20">
            <v>136.80947019600001</v>
          </cell>
          <cell r="M20">
            <v>164.011023456</v>
          </cell>
          <cell r="N20">
            <v>205.23584496800001</v>
          </cell>
          <cell r="O20">
            <v>233.31205665600001</v>
          </cell>
          <cell r="P20">
            <v>257.88008316000003</v>
          </cell>
          <cell r="Q20">
            <v>276.90626297600005</v>
          </cell>
          <cell r="R20">
            <v>280.203130956</v>
          </cell>
          <cell r="S20">
            <v>264.83207223200003</v>
          </cell>
          <cell r="T20">
            <v>252.051266992</v>
          </cell>
          <cell r="U20">
            <v>242.96928751200002</v>
          </cell>
          <cell r="V20">
            <v>235.091662372</v>
          </cell>
          <cell r="W20">
            <v>244.47041799600004</v>
          </cell>
          <cell r="X20">
            <v>268.368516892</v>
          </cell>
          <cell r="Y20">
            <v>273.02420935999999</v>
          </cell>
          <cell r="Z20">
            <v>245.451728452</v>
          </cell>
          <cell r="AA20">
            <v>210.26426965600001</v>
          </cell>
          <cell r="AB20">
            <v>168.74318238400002</v>
          </cell>
          <cell r="AC20">
            <v>127.62097236000001</v>
          </cell>
        </row>
        <row r="21">
          <cell r="F21">
            <v>98.807602123999999</v>
          </cell>
          <cell r="G21">
            <v>75.353780348000001</v>
          </cell>
          <cell r="H21">
            <v>60.24979828</v>
          </cell>
          <cell r="I21">
            <v>52.542137088000004</v>
          </cell>
          <cell r="J21">
            <v>54.128131064000002</v>
          </cell>
          <cell r="K21">
            <v>61.29107278</v>
          </cell>
          <cell r="L21">
            <v>78.654786084000008</v>
          </cell>
          <cell r="M21">
            <v>85.984337795999991</v>
          </cell>
          <cell r="N21">
            <v>118.62806704</v>
          </cell>
          <cell r="O21">
            <v>144.65949814400003</v>
          </cell>
          <cell r="P21">
            <v>167.17562906800001</v>
          </cell>
          <cell r="Q21">
            <v>190.82068686800002</v>
          </cell>
          <cell r="R21">
            <v>204.4947674</v>
          </cell>
          <cell r="S21">
            <v>204.36453441599997</v>
          </cell>
          <cell r="T21">
            <v>193.67061644</v>
          </cell>
          <cell r="U21">
            <v>187.57713578800002</v>
          </cell>
          <cell r="V21">
            <v>181.60906377600003</v>
          </cell>
          <cell r="W21">
            <v>192.33379922400002</v>
          </cell>
          <cell r="X21">
            <v>224.05071973200003</v>
          </cell>
          <cell r="Y21">
            <v>238.95577356000001</v>
          </cell>
          <cell r="Z21">
            <v>222.38646687600001</v>
          </cell>
          <cell r="AA21">
            <v>191.68589104000003</v>
          </cell>
          <cell r="AB21">
            <v>149.74801447200002</v>
          </cell>
          <cell r="AC21">
            <v>103.79888422399999</v>
          </cell>
        </row>
        <row r="22">
          <cell r="F22">
            <v>99.420664448000011</v>
          </cell>
          <cell r="G22">
            <v>76.108553220000005</v>
          </cell>
          <cell r="H22">
            <v>60.592873544</v>
          </cell>
          <cell r="I22">
            <v>52.499289136000002</v>
          </cell>
          <cell r="J22">
            <v>53.726489235999999</v>
          </cell>
          <cell r="K22">
            <v>60.684056075999997</v>
          </cell>
          <cell r="L22">
            <v>79.176520052000001</v>
          </cell>
          <cell r="M22">
            <v>86.307416944000011</v>
          </cell>
          <cell r="N22">
            <v>119.52110536800001</v>
          </cell>
          <cell r="O22">
            <v>147.99776191200002</v>
          </cell>
          <cell r="P22">
            <v>173.14972239600002</v>
          </cell>
          <cell r="Q22">
            <v>196.578334848</v>
          </cell>
          <cell r="R22">
            <v>208.48719763200003</v>
          </cell>
          <cell r="S22">
            <v>208.13111365200004</v>
          </cell>
          <cell r="T22">
            <v>197.82832602400001</v>
          </cell>
          <cell r="U22">
            <v>191.76248509600001</v>
          </cell>
          <cell r="V22">
            <v>185.551275868</v>
          </cell>
          <cell r="W22">
            <v>195.92453294399999</v>
          </cell>
          <cell r="X22">
            <v>228.41558445999999</v>
          </cell>
          <cell r="Y22">
            <v>245.40278019600004</v>
          </cell>
          <cell r="Z22">
            <v>229.75740830000001</v>
          </cell>
          <cell r="AA22">
            <v>196.84188742400002</v>
          </cell>
          <cell r="AB22">
            <v>150.06786726400003</v>
          </cell>
          <cell r="AC22">
            <v>101.04966435199999</v>
          </cell>
        </row>
        <row r="23">
          <cell r="F23">
            <v>68.09362263200002</v>
          </cell>
          <cell r="G23">
            <v>46.022188072000006</v>
          </cell>
          <cell r="H23">
            <v>34.544946100000004</v>
          </cell>
          <cell r="I23">
            <v>32.195405508</v>
          </cell>
          <cell r="J23">
            <v>44.232763540000001</v>
          </cell>
          <cell r="K23">
            <v>61.877503996000009</v>
          </cell>
          <cell r="L23">
            <v>103.71778177600001</v>
          </cell>
          <cell r="M23">
            <v>132.05123915199999</v>
          </cell>
          <cell r="N23">
            <v>175.09327074399999</v>
          </cell>
          <cell r="O23">
            <v>204.26502776400002</v>
          </cell>
          <cell r="P23">
            <v>228.97687318800001</v>
          </cell>
          <cell r="Q23">
            <v>254.47978343200003</v>
          </cell>
          <cell r="R23">
            <v>269.49990454800002</v>
          </cell>
          <cell r="S23">
            <v>256.25524531600001</v>
          </cell>
          <cell r="T23">
            <v>241.39343438</v>
          </cell>
          <cell r="U23">
            <v>230.27389868</v>
          </cell>
          <cell r="V23">
            <v>218.24583085200001</v>
          </cell>
          <cell r="W23">
            <v>223.23414786400002</v>
          </cell>
          <cell r="X23">
            <v>250.50440853200004</v>
          </cell>
          <cell r="Y23">
            <v>264.19435350000003</v>
          </cell>
          <cell r="Z23">
            <v>236.2929058</v>
          </cell>
          <cell r="AA23">
            <v>194.88783367199997</v>
          </cell>
          <cell r="AB23">
            <v>143.979180576</v>
          </cell>
          <cell r="AC23">
            <v>96.329584511999997</v>
          </cell>
        </row>
        <row r="24">
          <cell r="F24">
            <v>48.022146004</v>
          </cell>
          <cell r="G24">
            <v>31.359402592000002</v>
          </cell>
          <cell r="H24">
            <v>21.944458312000002</v>
          </cell>
          <cell r="I24">
            <v>23.384324487999997</v>
          </cell>
          <cell r="J24">
            <v>46.338826660000009</v>
          </cell>
          <cell r="K24">
            <v>81.277965412</v>
          </cell>
          <cell r="L24">
            <v>141.75472052000001</v>
          </cell>
          <cell r="M24">
            <v>173.22659594800001</v>
          </cell>
          <cell r="N24">
            <v>211.084335224</v>
          </cell>
          <cell r="O24">
            <v>235.91244490800003</v>
          </cell>
          <cell r="P24">
            <v>262.76061193200002</v>
          </cell>
          <cell r="Q24">
            <v>292.33037125600003</v>
          </cell>
          <cell r="R24">
            <v>307.05525953199998</v>
          </cell>
          <cell r="S24">
            <v>292.604052524</v>
          </cell>
          <cell r="T24">
            <v>288.40012280799999</v>
          </cell>
          <cell r="U24">
            <v>283.21867406000001</v>
          </cell>
          <cell r="V24">
            <v>269.15384596799998</v>
          </cell>
          <cell r="W24">
            <v>261.305312716</v>
          </cell>
          <cell r="X24">
            <v>286.81635264800002</v>
          </cell>
          <cell r="Y24">
            <v>307.86288145200001</v>
          </cell>
          <cell r="Z24">
            <v>272.76785076800002</v>
          </cell>
          <cell r="AA24">
            <v>222.01003437200001</v>
          </cell>
          <cell r="AB24">
            <v>153.58983281600001</v>
          </cell>
          <cell r="AC24">
            <v>93.587990020000007</v>
          </cell>
        </row>
        <row r="25">
          <cell r="F25">
            <v>58.712236099999998</v>
          </cell>
          <cell r="G25">
            <v>39.757194091999999</v>
          </cell>
          <cell r="H25">
            <v>30.364348224</v>
          </cell>
          <cell r="I25">
            <v>32.431628236000002</v>
          </cell>
          <cell r="J25">
            <v>58.065330456000005</v>
          </cell>
          <cell r="K25">
            <v>96.563972288000002</v>
          </cell>
          <cell r="L25">
            <v>161.95395719999999</v>
          </cell>
          <cell r="M25">
            <v>196.62076355600001</v>
          </cell>
          <cell r="N25">
            <v>235.50198072800004</v>
          </cell>
          <cell r="O25">
            <v>258.21857712000002</v>
          </cell>
          <cell r="P25">
            <v>285.54478559600005</v>
          </cell>
          <cell r="Q25">
            <v>314.440692216</v>
          </cell>
          <cell r="R25">
            <v>328.44810210799994</v>
          </cell>
          <cell r="S25">
            <v>314.94619111200001</v>
          </cell>
          <cell r="T25">
            <v>306.47570027199998</v>
          </cell>
          <cell r="U25">
            <v>299.57431820400001</v>
          </cell>
          <cell r="V25">
            <v>283.40860982000004</v>
          </cell>
          <cell r="W25">
            <v>275.36651343599999</v>
          </cell>
          <cell r="X25">
            <v>302.27616350400001</v>
          </cell>
          <cell r="Y25">
            <v>323.28784037200001</v>
          </cell>
          <cell r="Z25">
            <v>284.29362782800007</v>
          </cell>
          <cell r="AA25">
            <v>233.66687075200002</v>
          </cell>
          <cell r="AB25">
            <v>168.48949723200002</v>
          </cell>
          <cell r="AC25">
            <v>105.53468197999999</v>
          </cell>
        </row>
        <row r="26">
          <cell r="F26">
            <v>67.230751644000009</v>
          </cell>
          <cell r="G26">
            <v>44.163017136000001</v>
          </cell>
          <cell r="H26">
            <v>32.118191700000004</v>
          </cell>
          <cell r="I26">
            <v>31.223871335999998</v>
          </cell>
          <cell r="J26">
            <v>48.338268132000003</v>
          </cell>
          <cell r="K26">
            <v>70.234677435999998</v>
          </cell>
          <cell r="L26">
            <v>119.649491248</v>
          </cell>
          <cell r="M26">
            <v>151.10425666</v>
          </cell>
          <cell r="N26">
            <v>187.74592706800001</v>
          </cell>
          <cell r="O26">
            <v>215.11087004400002</v>
          </cell>
          <cell r="P26">
            <v>244.64616022000001</v>
          </cell>
          <cell r="Q26">
            <v>271.07244625999999</v>
          </cell>
          <cell r="R26">
            <v>282.59906180800004</v>
          </cell>
          <cell r="S26">
            <v>268.07194733200004</v>
          </cell>
          <cell r="T26">
            <v>259.34379156</v>
          </cell>
          <cell r="U26">
            <v>255.047008412</v>
          </cell>
          <cell r="V26">
            <v>239.37754517600001</v>
          </cell>
          <cell r="W26">
            <v>233.60162666400001</v>
          </cell>
          <cell r="X26">
            <v>262.10371126800004</v>
          </cell>
          <cell r="Y26">
            <v>279.46083211200005</v>
          </cell>
          <cell r="Z26">
            <v>249.16465660800003</v>
          </cell>
          <cell r="AA26">
            <v>205.61013872000001</v>
          </cell>
          <cell r="AB26">
            <v>153.97926795999999</v>
          </cell>
          <cell r="AC26">
            <v>102.17015773999999</v>
          </cell>
        </row>
        <row r="27">
          <cell r="F27">
            <v>88.614516676000008</v>
          </cell>
          <cell r="G27">
            <v>68.387439764000007</v>
          </cell>
          <cell r="H27">
            <v>57.240452696000006</v>
          </cell>
          <cell r="I27">
            <v>57.459279836</v>
          </cell>
          <cell r="J27">
            <v>78.368053568000008</v>
          </cell>
          <cell r="K27">
            <v>117.34169885200001</v>
          </cell>
          <cell r="L27">
            <v>166.37241224800002</v>
          </cell>
          <cell r="M27">
            <v>188.15111727999999</v>
          </cell>
          <cell r="N27">
            <v>223.68321287200001</v>
          </cell>
          <cell r="O27">
            <v>244.678873404</v>
          </cell>
          <cell r="P27">
            <v>272.31233304800003</v>
          </cell>
          <cell r="Q27">
            <v>297.31407050800004</v>
          </cell>
          <cell r="R27">
            <v>305.70584676800001</v>
          </cell>
          <cell r="S27">
            <v>297.92916221600001</v>
          </cell>
          <cell r="T27">
            <v>300.63088599600002</v>
          </cell>
          <cell r="U27">
            <v>299.15821549600003</v>
          </cell>
          <cell r="V27">
            <v>286.19546443599995</v>
          </cell>
          <cell r="W27">
            <v>276.39122476</v>
          </cell>
          <cell r="X27">
            <v>286.42672307200002</v>
          </cell>
          <cell r="Y27">
            <v>302.92278965200001</v>
          </cell>
          <cell r="Z27">
            <v>275.51108578000003</v>
          </cell>
          <cell r="AA27">
            <v>232.11794645200004</v>
          </cell>
          <cell r="AB27">
            <v>176.36786972000002</v>
          </cell>
          <cell r="AC27">
            <v>128.33165170000001</v>
          </cell>
        </row>
        <row r="28">
          <cell r="F28">
            <v>102.00061303599999</v>
          </cell>
          <cell r="G28">
            <v>78.21577078</v>
          </cell>
          <cell r="H28">
            <v>66.603714520000011</v>
          </cell>
          <cell r="I28">
            <v>61.827850924000003</v>
          </cell>
          <cell r="J28">
            <v>73.621543127999999</v>
          </cell>
          <cell r="K28">
            <v>93.714340440000001</v>
          </cell>
          <cell r="L28">
            <v>135.44014030400001</v>
          </cell>
          <cell r="M28">
            <v>155.36833877600003</v>
          </cell>
          <cell r="N28">
            <v>193.92060738400002</v>
          </cell>
          <cell r="O28">
            <v>220.999498356</v>
          </cell>
          <cell r="P28">
            <v>246.08459853600002</v>
          </cell>
          <cell r="Q28">
            <v>262.64458463599999</v>
          </cell>
          <cell r="R28">
            <v>262.67124004800002</v>
          </cell>
          <cell r="S28">
            <v>248.08887042800004</v>
          </cell>
          <cell r="T28">
            <v>238.88968490800002</v>
          </cell>
          <cell r="U28">
            <v>237.22826346800002</v>
          </cell>
          <cell r="V28">
            <v>230.346743844</v>
          </cell>
          <cell r="W28">
            <v>239.070500592</v>
          </cell>
          <cell r="X28">
            <v>256.40627037199999</v>
          </cell>
          <cell r="Y28">
            <v>271.79534443599999</v>
          </cell>
          <cell r="Z28">
            <v>244.768658456</v>
          </cell>
          <cell r="AA28">
            <v>209.40016524000004</v>
          </cell>
          <cell r="AB28">
            <v>168.741481104</v>
          </cell>
          <cell r="AC28">
            <v>130.165030016</v>
          </cell>
        </row>
        <row r="29">
          <cell r="F29">
            <v>103.45006106400001</v>
          </cell>
          <cell r="G29">
            <v>80.086996500000012</v>
          </cell>
          <cell r="H29">
            <v>63.944176408000004</v>
          </cell>
          <cell r="I29">
            <v>55.572062083999995</v>
          </cell>
          <cell r="J29">
            <v>56.776525792000001</v>
          </cell>
          <cell r="K29">
            <v>62.463351916000008</v>
          </cell>
          <cell r="L29">
            <v>79.541784868000008</v>
          </cell>
          <cell r="M29">
            <v>87.073825356</v>
          </cell>
          <cell r="N29">
            <v>117.08687141200001</v>
          </cell>
          <cell r="O29">
            <v>143.30744839599998</v>
          </cell>
          <cell r="P29">
            <v>164.00894546400002</v>
          </cell>
          <cell r="Q29">
            <v>187.49151887199997</v>
          </cell>
          <cell r="R29">
            <v>202.568754388</v>
          </cell>
          <cell r="S29">
            <v>204.662987536</v>
          </cell>
          <cell r="T29">
            <v>197.32513600800004</v>
          </cell>
          <cell r="U29">
            <v>190.88577298000001</v>
          </cell>
          <cell r="V29">
            <v>182.36812630400001</v>
          </cell>
          <cell r="W29">
            <v>191.32064445200001</v>
          </cell>
          <cell r="X29">
            <v>210.185020388</v>
          </cell>
          <cell r="Y29">
            <v>228.64842285600002</v>
          </cell>
          <cell r="Z29">
            <v>210.18988118799999</v>
          </cell>
          <cell r="AA29">
            <v>182.69351433200001</v>
          </cell>
          <cell r="AB29">
            <v>147.00472477600002</v>
          </cell>
          <cell r="AC29">
            <v>107.25138894400001</v>
          </cell>
        </row>
        <row r="30">
          <cell r="F30">
            <v>87.869349960000008</v>
          </cell>
          <cell r="G30">
            <v>67.751701807999993</v>
          </cell>
          <cell r="H30">
            <v>54.220705000000002</v>
          </cell>
          <cell r="I30">
            <v>48.738384883999998</v>
          </cell>
          <cell r="J30">
            <v>54.136236448000005</v>
          </cell>
          <cell r="K30">
            <v>62.132580552000007</v>
          </cell>
          <cell r="L30">
            <v>81.538060744000006</v>
          </cell>
          <cell r="M30">
            <v>93.565229324000001</v>
          </cell>
          <cell r="N30">
            <v>133.64280482000001</v>
          </cell>
          <cell r="O30">
            <v>155.91454079600001</v>
          </cell>
          <cell r="P30">
            <v>185.22558404000003</v>
          </cell>
          <cell r="Q30">
            <v>214.33379825200001</v>
          </cell>
          <cell r="R30">
            <v>233.97246317199998</v>
          </cell>
          <cell r="S30">
            <v>225.90609316799998</v>
          </cell>
          <cell r="T30">
            <v>211.40573739600001</v>
          </cell>
          <cell r="U30">
            <v>203.318630004</v>
          </cell>
          <cell r="V30">
            <v>194.29425100399999</v>
          </cell>
          <cell r="W30">
            <v>209.66865152800003</v>
          </cell>
          <cell r="X30">
            <v>240.313735256</v>
          </cell>
          <cell r="Y30">
            <v>257.34968481599998</v>
          </cell>
          <cell r="Z30">
            <v>234.175924108</v>
          </cell>
          <cell r="AA30">
            <v>190.523983636</v>
          </cell>
          <cell r="AB30">
            <v>148.920293144</v>
          </cell>
          <cell r="AC30">
            <v>104.94246033600001</v>
          </cell>
        </row>
        <row r="31">
          <cell r="F31">
            <v>78.365592788000015</v>
          </cell>
          <cell r="G31">
            <v>58.245568919999997</v>
          </cell>
          <cell r="H31">
            <v>47.184168388000003</v>
          </cell>
          <cell r="I31">
            <v>45.568395936000002</v>
          </cell>
          <cell r="J31">
            <v>66.579647484000006</v>
          </cell>
          <cell r="K31">
            <v>113.55407235200001</v>
          </cell>
          <cell r="L31">
            <v>158.680111184</v>
          </cell>
          <cell r="M31">
            <v>169.28258535999998</v>
          </cell>
          <cell r="N31">
            <v>199.62744177600001</v>
          </cell>
          <cell r="O31">
            <v>220.82163560800001</v>
          </cell>
          <cell r="P31">
            <v>249.265736944</v>
          </cell>
          <cell r="Q31">
            <v>272.45455398000001</v>
          </cell>
          <cell r="R31">
            <v>275.67031951199999</v>
          </cell>
          <cell r="S31">
            <v>269.07264630399999</v>
          </cell>
          <cell r="T31">
            <v>274.26548755200002</v>
          </cell>
          <cell r="U31">
            <v>273.39546511200001</v>
          </cell>
          <cell r="V31">
            <v>260.52799180800002</v>
          </cell>
          <cell r="W31">
            <v>248.49837460000001</v>
          </cell>
          <cell r="X31">
            <v>256.59313167600004</v>
          </cell>
          <cell r="Y31">
            <v>279.59008078400007</v>
          </cell>
          <cell r="Z31">
            <v>254.95675550800004</v>
          </cell>
          <cell r="AA31">
            <v>215.665785048</v>
          </cell>
          <cell r="AB31">
            <v>160.833731156</v>
          </cell>
          <cell r="AC31">
            <v>111.44673934800002</v>
          </cell>
        </row>
        <row r="32">
          <cell r="F32">
            <v>72.655726472000012</v>
          </cell>
          <cell r="G32">
            <v>50.493844575999994</v>
          </cell>
          <cell r="H32">
            <v>39.120143720000002</v>
          </cell>
          <cell r="I32">
            <v>35.370285635999998</v>
          </cell>
          <cell r="J32">
            <v>45.754285080000002</v>
          </cell>
          <cell r="K32">
            <v>65.236900091999999</v>
          </cell>
          <cell r="L32">
            <v>103.69913453200002</v>
          </cell>
          <cell r="M32">
            <v>127.63428487600001</v>
          </cell>
          <cell r="N32">
            <v>167.45448708800004</v>
          </cell>
          <cell r="O32">
            <v>193.69479892000004</v>
          </cell>
          <cell r="P32">
            <v>220.40959166800002</v>
          </cell>
          <cell r="Q32">
            <v>239.69968862000002</v>
          </cell>
          <cell r="R32">
            <v>239.52034332800002</v>
          </cell>
          <cell r="S32">
            <v>227.85854893200002</v>
          </cell>
          <cell r="T32">
            <v>218.45268219600001</v>
          </cell>
          <cell r="U32">
            <v>214.50318497999999</v>
          </cell>
          <cell r="V32">
            <v>209.41036684400001</v>
          </cell>
          <cell r="W32">
            <v>213.48587422399999</v>
          </cell>
          <cell r="X32">
            <v>223.22745818800001</v>
          </cell>
          <cell r="Y32">
            <v>245.243850264</v>
          </cell>
          <cell r="Z32">
            <v>220.69987864400002</v>
          </cell>
          <cell r="AA32">
            <v>188.03975635200001</v>
          </cell>
          <cell r="AB32">
            <v>148.10730004000001</v>
          </cell>
          <cell r="AC32">
            <v>109.76928334400002</v>
          </cell>
        </row>
        <row r="33">
          <cell r="F33">
            <v>81.188927708000008</v>
          </cell>
          <cell r="G33">
            <v>58.386386296000005</v>
          </cell>
          <cell r="H33">
            <v>43.59399366000001</v>
          </cell>
          <cell r="I33">
            <v>35.87896228000001</v>
          </cell>
          <cell r="J33">
            <v>37.803365151999998</v>
          </cell>
          <cell r="K33">
            <v>44.786536255999998</v>
          </cell>
          <cell r="L33">
            <v>60.512050592000001</v>
          </cell>
          <cell r="M33">
            <v>67.907940072000002</v>
          </cell>
          <cell r="N33">
            <v>99.632631783999997</v>
          </cell>
          <cell r="O33">
            <v>127.20010606800001</v>
          </cell>
          <cell r="P33">
            <v>150.92838684</v>
          </cell>
          <cell r="Q33">
            <v>175.67662750400001</v>
          </cell>
          <cell r="R33">
            <v>189.45538536400002</v>
          </cell>
          <cell r="S33">
            <v>190.84181919600002</v>
          </cell>
          <cell r="T33">
            <v>184.81273806800002</v>
          </cell>
          <cell r="U33">
            <v>179.49903302800004</v>
          </cell>
          <cell r="V33">
            <v>175.06289074400001</v>
          </cell>
          <cell r="W33">
            <v>182.86649197600002</v>
          </cell>
          <cell r="X33">
            <v>194.92857325200004</v>
          </cell>
          <cell r="Y33">
            <v>217.17285785999999</v>
          </cell>
          <cell r="Z33">
            <v>197.81243120800002</v>
          </cell>
          <cell r="AA33">
            <v>173.04086477999999</v>
          </cell>
          <cell r="AB33">
            <v>135.062996908</v>
          </cell>
          <cell r="AC33">
            <v>100.19880561600002</v>
          </cell>
        </row>
        <row r="34">
          <cell r="F34">
            <v>69.472576908000008</v>
          </cell>
          <cell r="G34">
            <v>46.842022752000005</v>
          </cell>
          <cell r="H34">
            <v>29.842419824</v>
          </cell>
          <cell r="I34">
            <v>24.733129651999999</v>
          </cell>
          <cell r="J34">
            <v>28.760016880000002</v>
          </cell>
          <cell r="K34">
            <v>39.366361468000001</v>
          </cell>
          <cell r="L34">
            <v>61.684238588000007</v>
          </cell>
          <cell r="M34">
            <v>71.600240208000002</v>
          </cell>
          <cell r="N34">
            <v>105.852329184</v>
          </cell>
          <cell r="O34">
            <v>133.54394222400001</v>
          </cell>
          <cell r="P34">
            <v>159.80179546799999</v>
          </cell>
          <cell r="Q34">
            <v>185.08062283200002</v>
          </cell>
          <cell r="R34">
            <v>196.72830267999998</v>
          </cell>
          <cell r="S34">
            <v>194.751895324</v>
          </cell>
          <cell r="T34">
            <v>188.67466189600003</v>
          </cell>
          <cell r="U34">
            <v>187.41146757199999</v>
          </cell>
          <cell r="V34">
            <v>176.65807770800004</v>
          </cell>
          <cell r="W34">
            <v>181.32064820800002</v>
          </cell>
          <cell r="X34">
            <v>194.01383752800004</v>
          </cell>
          <cell r="Y34">
            <v>219.20294667600001</v>
          </cell>
          <cell r="Z34">
            <v>203.54732456800002</v>
          </cell>
          <cell r="AA34">
            <v>174.85546217999999</v>
          </cell>
          <cell r="AB34">
            <v>137.06822880799999</v>
          </cell>
          <cell r="AC34">
            <v>98.223601307999999</v>
          </cell>
        </row>
        <row r="35">
          <cell r="F35">
            <v>73.541151572000004</v>
          </cell>
          <cell r="G35">
            <v>54.723269188000003</v>
          </cell>
          <cell r="H35">
            <v>44.825550252000006</v>
          </cell>
          <cell r="I35">
            <v>43.828338903999999</v>
          </cell>
          <cell r="J35">
            <v>67.225927300000009</v>
          </cell>
          <cell r="K35">
            <v>119.209364036</v>
          </cell>
          <cell r="L35">
            <v>166.73265828800001</v>
          </cell>
          <cell r="M35">
            <v>174.80569366400002</v>
          </cell>
          <cell r="N35">
            <v>202.73838415600002</v>
          </cell>
          <cell r="O35">
            <v>223.69797755200003</v>
          </cell>
          <cell r="P35">
            <v>252.12997549600001</v>
          </cell>
          <cell r="Q35">
            <v>274.40804266399999</v>
          </cell>
          <cell r="R35">
            <v>276.29461635999996</v>
          </cell>
          <cell r="S35">
            <v>271.17195898799997</v>
          </cell>
          <cell r="T35">
            <v>276.19808087200005</v>
          </cell>
          <cell r="U35">
            <v>275.63798911600003</v>
          </cell>
          <cell r="V35">
            <v>262.50271611199997</v>
          </cell>
          <cell r="W35">
            <v>251.45053287199997</v>
          </cell>
          <cell r="X35">
            <v>265.109253276</v>
          </cell>
          <cell r="Y35">
            <v>283.01741263600002</v>
          </cell>
          <cell r="Z35">
            <v>258.84941174400001</v>
          </cell>
          <cell r="AA35">
            <v>217.53392416</v>
          </cell>
          <cell r="AB35">
            <v>161.06489257600001</v>
          </cell>
          <cell r="AC35">
            <v>113.42964194800003</v>
          </cell>
        </row>
        <row r="36">
          <cell r="F36">
            <v>90.928287856000011</v>
          </cell>
          <cell r="G36">
            <v>68.02902259999999</v>
          </cell>
          <cell r="H36">
            <v>53.522469308000005</v>
          </cell>
          <cell r="I36">
            <v>48.454301503999993</v>
          </cell>
          <cell r="J36">
            <v>58.10521939600001</v>
          </cell>
          <cell r="K36">
            <v>79.274708211999993</v>
          </cell>
          <cell r="L36">
            <v>116.76433910400002</v>
          </cell>
          <cell r="M36">
            <v>137.883251296</v>
          </cell>
          <cell r="N36">
            <v>176.18911380000003</v>
          </cell>
          <cell r="O36">
            <v>202.89755712800002</v>
          </cell>
          <cell r="P36">
            <v>226.90994558400004</v>
          </cell>
          <cell r="Q36">
            <v>244.02145020399999</v>
          </cell>
          <cell r="R36">
            <v>243.54356065200002</v>
          </cell>
          <cell r="S36">
            <v>233.36993663200002</v>
          </cell>
          <cell r="T36">
            <v>222.86279489600003</v>
          </cell>
          <cell r="U36">
            <v>216.794790912</v>
          </cell>
          <cell r="V36">
            <v>211.86929974000003</v>
          </cell>
          <cell r="W36">
            <v>220.40609796800001</v>
          </cell>
          <cell r="X36">
            <v>236.69955425200004</v>
          </cell>
          <cell r="Y36">
            <v>248.365723368</v>
          </cell>
          <cell r="Z36">
            <v>224.22771968800001</v>
          </cell>
          <cell r="AA36">
            <v>188.521807964</v>
          </cell>
          <cell r="AB36">
            <v>146.60415840000002</v>
          </cell>
          <cell r="AC36">
            <v>108.67463726</v>
          </cell>
        </row>
        <row r="37">
          <cell r="F37">
            <v>75.077844884000001</v>
          </cell>
          <cell r="G37">
            <v>53.307032575999997</v>
          </cell>
          <cell r="H37">
            <v>40.103459256000001</v>
          </cell>
          <cell r="I37">
            <v>33.007238096000002</v>
          </cell>
          <cell r="J37">
            <v>35.483341767999995</v>
          </cell>
          <cell r="K37">
            <v>44.616013316000007</v>
          </cell>
          <cell r="L37">
            <v>59.670135727999998</v>
          </cell>
          <cell r="M37">
            <v>67.180740088000007</v>
          </cell>
          <cell r="N37">
            <v>98.339227588000014</v>
          </cell>
          <cell r="O37">
            <v>124.83181494</v>
          </cell>
          <cell r="P37">
            <v>145.53353074400002</v>
          </cell>
          <cell r="Q37">
            <v>167.98184135600002</v>
          </cell>
          <cell r="R37">
            <v>181.45211462</v>
          </cell>
          <cell r="S37">
            <v>183.391585972</v>
          </cell>
          <cell r="T37">
            <v>173.55246398</v>
          </cell>
          <cell r="U37">
            <v>169.01721606000001</v>
          </cell>
          <cell r="V37">
            <v>161.777261044</v>
          </cell>
          <cell r="W37">
            <v>170.11760396400001</v>
          </cell>
          <cell r="X37">
            <v>191.54524379200001</v>
          </cell>
          <cell r="Y37">
            <v>218.85086070399998</v>
          </cell>
          <cell r="Z37">
            <v>202.75288149199997</v>
          </cell>
          <cell r="AA37">
            <v>174.21327151200001</v>
          </cell>
          <cell r="AB37">
            <v>131.78800252800002</v>
          </cell>
          <cell r="AC37">
            <v>90.398497112000001</v>
          </cell>
        </row>
        <row r="38">
          <cell r="F38">
            <v>78.825564216000004</v>
          </cell>
          <cell r="G38">
            <v>58.711470524000006</v>
          </cell>
          <cell r="H38">
            <v>46.148933432000007</v>
          </cell>
          <cell r="I38">
            <v>40.570138587999999</v>
          </cell>
          <cell r="J38">
            <v>47.150288611999997</v>
          </cell>
          <cell r="K38">
            <v>56.408757664000007</v>
          </cell>
          <cell r="L38">
            <v>75.296945444000016</v>
          </cell>
          <cell r="M38">
            <v>84.945919016000005</v>
          </cell>
          <cell r="N38">
            <v>115.89248778800001</v>
          </cell>
          <cell r="O38">
            <v>139.90165596400001</v>
          </cell>
          <cell r="P38">
            <v>167.66511770400001</v>
          </cell>
          <cell r="Q38">
            <v>195.08324998400002</v>
          </cell>
          <cell r="R38">
            <v>213.42346155200002</v>
          </cell>
          <cell r="S38">
            <v>205.13326386</v>
          </cell>
          <cell r="T38">
            <v>191.51008198</v>
          </cell>
          <cell r="U38">
            <v>184.56499524400002</v>
          </cell>
          <cell r="V38">
            <v>176.88136463200001</v>
          </cell>
          <cell r="W38">
            <v>185.94354242800003</v>
          </cell>
          <cell r="X38">
            <v>211.36298665999999</v>
          </cell>
          <cell r="Y38">
            <v>238.22449657999999</v>
          </cell>
          <cell r="Z38">
            <v>216.67979045999999</v>
          </cell>
          <cell r="AA38">
            <v>179.07565734800002</v>
          </cell>
          <cell r="AB38">
            <v>132.892759076</v>
          </cell>
          <cell r="AC38">
            <v>89.411311164000011</v>
          </cell>
        </row>
        <row r="39">
          <cell r="F39">
            <v>85.320674544000013</v>
          </cell>
          <cell r="G39">
            <v>65.957811416000013</v>
          </cell>
          <cell r="H39">
            <v>55.828268775999994</v>
          </cell>
          <cell r="I39">
            <v>55.246400636000004</v>
          </cell>
          <cell r="J39">
            <v>78.251497660000013</v>
          </cell>
          <cell r="K39">
            <v>130.11417389600001</v>
          </cell>
          <cell r="L39">
            <v>177.82216639600003</v>
          </cell>
          <cell r="M39">
            <v>188.493858364</v>
          </cell>
          <cell r="N39">
            <v>217.37317142800003</v>
          </cell>
          <cell r="O39">
            <v>238.28065097199999</v>
          </cell>
          <cell r="P39">
            <v>267.75812800800003</v>
          </cell>
          <cell r="Q39">
            <v>292.42450064799999</v>
          </cell>
          <cell r="R39">
            <v>296.72992386799996</v>
          </cell>
          <cell r="S39">
            <v>291.31995068400005</v>
          </cell>
          <cell r="T39">
            <v>294.89587111599997</v>
          </cell>
          <cell r="U39">
            <v>295.47739900000005</v>
          </cell>
          <cell r="V39">
            <v>283.32672964400001</v>
          </cell>
          <cell r="W39">
            <v>275.19024867600007</v>
          </cell>
          <cell r="X39">
            <v>298.77997234399999</v>
          </cell>
          <cell r="Y39">
            <v>302.813148232</v>
          </cell>
          <cell r="Z39">
            <v>276.60428577599998</v>
          </cell>
          <cell r="AA39">
            <v>234.36267604400001</v>
          </cell>
          <cell r="AB39">
            <v>175.09779736400003</v>
          </cell>
          <cell r="AC39">
            <v>125.611438652</v>
          </cell>
        </row>
        <row r="40">
          <cell r="F40">
            <v>97.71334490400001</v>
          </cell>
          <cell r="G40">
            <v>75.290280072000002</v>
          </cell>
          <cell r="H40">
            <v>61.995803716000005</v>
          </cell>
          <cell r="I40">
            <v>57.489611228000001</v>
          </cell>
          <cell r="J40">
            <v>68.70890269600001</v>
          </cell>
          <cell r="K40">
            <v>90.968668951999987</v>
          </cell>
          <cell r="L40">
            <v>128.20765269200001</v>
          </cell>
          <cell r="M40">
            <v>151.413895696</v>
          </cell>
          <cell r="N40">
            <v>192.18465165200004</v>
          </cell>
          <cell r="O40">
            <v>220.49485617600004</v>
          </cell>
          <cell r="P40">
            <v>246.69502387600002</v>
          </cell>
          <cell r="Q40">
            <v>265.10125726000001</v>
          </cell>
          <cell r="R40">
            <v>265.94376757199996</v>
          </cell>
          <cell r="S40">
            <v>251.35667082399999</v>
          </cell>
          <cell r="T40">
            <v>235.59273186400003</v>
          </cell>
          <cell r="U40">
            <v>228.27648051599999</v>
          </cell>
          <cell r="V40">
            <v>220.37329364400003</v>
          </cell>
          <cell r="W40">
            <v>234.59714888400003</v>
          </cell>
          <cell r="X40">
            <v>262.26508375200001</v>
          </cell>
          <cell r="Y40">
            <v>258.89489667999999</v>
          </cell>
          <cell r="Z40">
            <v>232.38061800800003</v>
          </cell>
          <cell r="AA40">
            <v>197.12181482000003</v>
          </cell>
          <cell r="AB40">
            <v>158.21097107200001</v>
          </cell>
          <cell r="AC40">
            <v>118.44710553200001</v>
          </cell>
        </row>
        <row r="41">
          <cell r="F41">
            <v>89.484010504000011</v>
          </cell>
          <cell r="G41">
            <v>66.591981763999996</v>
          </cell>
          <cell r="H41">
            <v>51.447594296000005</v>
          </cell>
          <cell r="I41">
            <v>43.644072052000006</v>
          </cell>
          <cell r="J41">
            <v>45.547597788000004</v>
          </cell>
          <cell r="K41">
            <v>50.427640480000001</v>
          </cell>
          <cell r="L41">
            <v>67.447713452000016</v>
          </cell>
          <cell r="M41">
            <v>75.34271595200002</v>
          </cell>
          <cell r="N41">
            <v>107.11956404800002</v>
          </cell>
          <cell r="O41">
            <v>133.60118422000002</v>
          </cell>
          <cell r="P41">
            <v>157.97859445199998</v>
          </cell>
          <cell r="Q41">
            <v>181.271882232</v>
          </cell>
          <cell r="R41">
            <v>195.04841020000001</v>
          </cell>
          <cell r="S41">
            <v>193.75508499199998</v>
          </cell>
          <cell r="T41">
            <v>185.31693062400001</v>
          </cell>
          <cell r="U41">
            <v>182.51667235200003</v>
          </cell>
          <cell r="V41">
            <v>178.11572833599999</v>
          </cell>
          <cell r="W41">
            <v>193.32189657199999</v>
          </cell>
          <cell r="X41">
            <v>223.12659658800001</v>
          </cell>
          <cell r="Y41">
            <v>230.56780695200001</v>
          </cell>
          <cell r="Z41">
            <v>211.18788241600001</v>
          </cell>
          <cell r="AA41">
            <v>177.51495168400004</v>
          </cell>
          <cell r="AB41">
            <v>134.911273112</v>
          </cell>
          <cell r="AC41">
            <v>92.743547539999994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69.348590052000006</v>
          </cell>
          <cell r="G43">
            <v>50.434202560000003</v>
          </cell>
          <cell r="H43">
            <v>40.932693508000007</v>
          </cell>
          <cell r="I43">
            <v>41.172063603999995</v>
          </cell>
          <cell r="J43">
            <v>65.069232872000001</v>
          </cell>
          <cell r="K43">
            <v>114.05529982000002</v>
          </cell>
          <cell r="L43">
            <v>163.70932575200004</v>
          </cell>
          <cell r="M43">
            <v>175.62786760399999</v>
          </cell>
          <cell r="N43">
            <v>204.92009955200004</v>
          </cell>
          <cell r="O43">
            <v>224.574604604</v>
          </cell>
          <cell r="P43">
            <v>251.34468287600001</v>
          </cell>
          <cell r="Q43">
            <v>275.56609180800001</v>
          </cell>
          <cell r="R43">
            <v>280.72646291200004</v>
          </cell>
          <cell r="S43">
            <v>274.95200264000005</v>
          </cell>
          <cell r="T43">
            <v>278.84987208400003</v>
          </cell>
          <cell r="U43">
            <v>278.67584329200002</v>
          </cell>
          <cell r="V43">
            <v>266.59290310799997</v>
          </cell>
          <cell r="W43">
            <v>267.44531122400002</v>
          </cell>
          <cell r="X43">
            <v>289.67703066400003</v>
          </cell>
          <cell r="Y43">
            <v>280.93053752399999</v>
          </cell>
          <cell r="Z43">
            <v>252.415365216</v>
          </cell>
          <cell r="AA43">
            <v>209.67046217600003</v>
          </cell>
          <cell r="AB43">
            <v>154.745366496</v>
          </cell>
          <cell r="AC43">
            <v>109.24288908400001</v>
          </cell>
        </row>
        <row r="44">
          <cell r="F44">
            <v>90.966590960000005</v>
          </cell>
          <cell r="G44">
            <v>66.977813839999996</v>
          </cell>
          <cell r="H44">
            <v>54.628568651999998</v>
          </cell>
          <cell r="I44">
            <v>49.991371528000002</v>
          </cell>
          <cell r="J44">
            <v>61.837347712000003</v>
          </cell>
          <cell r="K44">
            <v>82.591888260000005</v>
          </cell>
          <cell r="L44">
            <v>121.13133650799999</v>
          </cell>
          <cell r="M44">
            <v>142.26754099600001</v>
          </cell>
          <cell r="N44">
            <v>181.382690244</v>
          </cell>
          <cell r="O44">
            <v>208.71592865200003</v>
          </cell>
          <cell r="P44">
            <v>235.17686612000003</v>
          </cell>
          <cell r="Q44">
            <v>253.224080816</v>
          </cell>
          <cell r="R44">
            <v>254.728935888</v>
          </cell>
          <cell r="S44">
            <v>244.14383907199999</v>
          </cell>
          <cell r="T44">
            <v>233.41459523200001</v>
          </cell>
          <cell r="U44">
            <v>229.74889582400002</v>
          </cell>
          <cell r="V44">
            <v>225.49514290800002</v>
          </cell>
          <cell r="W44">
            <v>242.65427729200002</v>
          </cell>
          <cell r="X44">
            <v>269.19580682400004</v>
          </cell>
          <cell r="Y44">
            <v>257.76945135200003</v>
          </cell>
          <cell r="Z44">
            <v>231.08274795200003</v>
          </cell>
          <cell r="AA44">
            <v>196.03052268800002</v>
          </cell>
          <cell r="AB44">
            <v>156.67732791200001</v>
          </cell>
          <cell r="AC44">
            <v>118.44290701600001</v>
          </cell>
        </row>
        <row r="45">
          <cell r="F45">
            <v>89.915376124000005</v>
          </cell>
          <cell r="G45">
            <v>66.772572635999992</v>
          </cell>
          <cell r="H45">
            <v>53.295062856000001</v>
          </cell>
          <cell r="I45">
            <v>45.780843275999999</v>
          </cell>
          <cell r="J45">
            <v>47.945211692000001</v>
          </cell>
          <cell r="K45">
            <v>53.914031052000006</v>
          </cell>
          <cell r="L45">
            <v>72.116700208000012</v>
          </cell>
          <cell r="M45">
            <v>80.616094579999995</v>
          </cell>
          <cell r="N45">
            <v>112.07140683200001</v>
          </cell>
          <cell r="O45">
            <v>137.514377336</v>
          </cell>
          <cell r="P45">
            <v>160.98449494400001</v>
          </cell>
          <cell r="Q45">
            <v>186.32263014400002</v>
          </cell>
          <cell r="R45">
            <v>199.77519186800001</v>
          </cell>
          <cell r="S45">
            <v>197.10763343600001</v>
          </cell>
          <cell r="T45">
            <v>188.30479147199998</v>
          </cell>
          <cell r="U45">
            <v>183.1160576</v>
          </cell>
          <cell r="V45">
            <v>175.38589090400001</v>
          </cell>
          <cell r="W45">
            <v>193.10595553200002</v>
          </cell>
          <cell r="X45">
            <v>226.72372226000002</v>
          </cell>
          <cell r="Y45">
            <v>223.97503707600001</v>
          </cell>
          <cell r="Z45">
            <v>203.25257173200001</v>
          </cell>
          <cell r="AA45">
            <v>172.52404629600002</v>
          </cell>
          <cell r="AB45">
            <v>131.19181933200002</v>
          </cell>
          <cell r="AC45">
            <v>91.602985124</v>
          </cell>
        </row>
        <row r="46">
          <cell r="F46">
            <v>74.556177751999996</v>
          </cell>
          <cell r="G46">
            <v>54.59662104400001</v>
          </cell>
          <cell r="H46">
            <v>42.816083380000002</v>
          </cell>
          <cell r="I46">
            <v>36.749531560000001</v>
          </cell>
          <cell r="J46">
            <v>42.972449240000003</v>
          </cell>
          <cell r="K46">
            <v>50.733135684000004</v>
          </cell>
          <cell r="L46">
            <v>67.573802603999994</v>
          </cell>
          <cell r="M46">
            <v>76.209505960000016</v>
          </cell>
          <cell r="N46">
            <v>107.731775732</v>
          </cell>
          <cell r="O46">
            <v>130.43881457600003</v>
          </cell>
          <cell r="P46">
            <v>154.36449851199998</v>
          </cell>
          <cell r="Q46">
            <v>186.177796532</v>
          </cell>
          <cell r="R46">
            <v>207.24820401600002</v>
          </cell>
          <cell r="S46">
            <v>208.41866035200005</v>
          </cell>
          <cell r="T46">
            <v>195.546283716</v>
          </cell>
          <cell r="U46">
            <v>192.83942571599999</v>
          </cell>
          <cell r="V46">
            <v>191.242361268</v>
          </cell>
          <cell r="W46">
            <v>207.10660283600001</v>
          </cell>
          <cell r="X46">
            <v>238.71198013599999</v>
          </cell>
          <cell r="Y46">
            <v>237.67805759600003</v>
          </cell>
          <cell r="Z46">
            <v>210.89537770000001</v>
          </cell>
          <cell r="AA46">
            <v>173.61406854400002</v>
          </cell>
          <cell r="AB46">
            <v>127.80589542000001</v>
          </cell>
          <cell r="AC46">
            <v>86.468880567999989</v>
          </cell>
        </row>
        <row r="47">
          <cell r="F47">
            <v>90.754654004000017</v>
          </cell>
          <cell r="G47">
            <v>70.476909328000005</v>
          </cell>
          <cell r="H47">
            <v>60.932169536000004</v>
          </cell>
          <cell r="I47">
            <v>61.497085636000001</v>
          </cell>
          <cell r="J47">
            <v>85.390068540000001</v>
          </cell>
          <cell r="K47">
            <v>133.751145976</v>
          </cell>
          <cell r="L47">
            <v>187.29907980000002</v>
          </cell>
          <cell r="M47">
            <v>203.77186314799999</v>
          </cell>
          <cell r="N47">
            <v>232.997684416</v>
          </cell>
          <cell r="O47">
            <v>252.56662116000001</v>
          </cell>
          <cell r="P47">
            <v>278.61600076800005</v>
          </cell>
          <cell r="Q47">
            <v>303.62213117599998</v>
          </cell>
          <cell r="R47">
            <v>310.10084237999996</v>
          </cell>
          <cell r="S47">
            <v>302.79289692399999</v>
          </cell>
          <cell r="T47">
            <v>303.55854583600001</v>
          </cell>
          <cell r="U47">
            <v>303.33105432000002</v>
          </cell>
          <cell r="V47">
            <v>293.67396928800002</v>
          </cell>
          <cell r="W47">
            <v>302.10698336000002</v>
          </cell>
          <cell r="X47">
            <v>327.14498846400005</v>
          </cell>
          <cell r="Y47">
            <v>316.28393795600005</v>
          </cell>
          <cell r="Z47">
            <v>284.45331118400003</v>
          </cell>
          <cell r="AA47">
            <v>236.95217002800001</v>
          </cell>
          <cell r="AB47">
            <v>179.19174540399999</v>
          </cell>
          <cell r="AC47">
            <v>130.196521924</v>
          </cell>
        </row>
        <row r="48">
          <cell r="F48">
            <v>99.806344624000005</v>
          </cell>
          <cell r="G48">
            <v>76.492185784</v>
          </cell>
          <cell r="H48">
            <v>63.195959539999997</v>
          </cell>
          <cell r="I48">
            <v>60.388756400000005</v>
          </cell>
          <cell r="J48">
            <v>74.217969363999998</v>
          </cell>
          <cell r="K48">
            <v>98.773108672000006</v>
          </cell>
          <cell r="L48">
            <v>141.56175891199999</v>
          </cell>
          <cell r="M48">
            <v>168.588754768</v>
          </cell>
          <cell r="N48">
            <v>210.23657524800001</v>
          </cell>
          <cell r="O48">
            <v>236.29026274000003</v>
          </cell>
          <cell r="P48">
            <v>258.73613687599999</v>
          </cell>
          <cell r="Q48">
            <v>271.98193839600003</v>
          </cell>
          <cell r="R48">
            <v>274.088651648</v>
          </cell>
          <cell r="S48">
            <v>263.89156211599999</v>
          </cell>
          <cell r="T48">
            <v>252.64999603200002</v>
          </cell>
          <cell r="U48">
            <v>245.62896537200001</v>
          </cell>
          <cell r="V48">
            <v>237.69471798800001</v>
          </cell>
          <cell r="W48">
            <v>259.24907279600001</v>
          </cell>
          <cell r="X48">
            <v>288.86934190800002</v>
          </cell>
          <cell r="Y48">
            <v>278.49999777599999</v>
          </cell>
          <cell r="Z48">
            <v>249.99215920000003</v>
          </cell>
          <cell r="AA48">
            <v>211.56400504400003</v>
          </cell>
          <cell r="AB48">
            <v>169.40600714800001</v>
          </cell>
          <cell r="AC48">
            <v>127.882647452</v>
          </cell>
        </row>
        <row r="49">
          <cell r="F49">
            <v>88.303206739999993</v>
          </cell>
          <cell r="G49">
            <v>64.767523016000013</v>
          </cell>
          <cell r="H49">
            <v>50.826906592</v>
          </cell>
          <cell r="I49">
            <v>44.236749396000008</v>
          </cell>
          <cell r="J49">
            <v>47.408038608000005</v>
          </cell>
          <cell r="K49">
            <v>56.453385884000006</v>
          </cell>
          <cell r="L49">
            <v>76.269269496000007</v>
          </cell>
          <cell r="M49">
            <v>89.117937580000003</v>
          </cell>
          <cell r="N49">
            <v>122.73749065199999</v>
          </cell>
          <cell r="O49">
            <v>150.921988812</v>
          </cell>
          <cell r="P49">
            <v>172.78849204400001</v>
          </cell>
          <cell r="Q49">
            <v>195.20686620399999</v>
          </cell>
          <cell r="R49">
            <v>210.86530757600002</v>
          </cell>
          <cell r="S49">
            <v>213.85323525999999</v>
          </cell>
          <cell r="T49">
            <v>206.27892404000002</v>
          </cell>
          <cell r="U49">
            <v>198.410333912</v>
          </cell>
          <cell r="V49">
            <v>191.37345704400002</v>
          </cell>
          <cell r="W49">
            <v>210.52383637600002</v>
          </cell>
          <cell r="X49">
            <v>244.43792962400002</v>
          </cell>
          <cell r="Y49">
            <v>238.90620555200002</v>
          </cell>
          <cell r="Z49">
            <v>217.66052977199999</v>
          </cell>
          <cell r="AA49">
            <v>185.993632972</v>
          </cell>
          <cell r="AB49">
            <v>147.4209247</v>
          </cell>
          <cell r="AC49">
            <v>105.423527636</v>
          </cell>
        </row>
        <row r="50">
          <cell r="F50">
            <v>79.098868772000003</v>
          </cell>
          <cell r="G50">
            <v>58.158694271999998</v>
          </cell>
          <cell r="H50">
            <v>45.716862996000003</v>
          </cell>
          <cell r="I50">
            <v>39.919526583999996</v>
          </cell>
          <cell r="J50">
            <v>46.587262148000001</v>
          </cell>
          <cell r="K50">
            <v>59.667516972000001</v>
          </cell>
          <cell r="L50">
            <v>74.979419759999999</v>
          </cell>
          <cell r="M50">
            <v>80.924573100000003</v>
          </cell>
          <cell r="N50">
            <v>114.821525952</v>
          </cell>
          <cell r="O50">
            <v>140.88923685200001</v>
          </cell>
          <cell r="P50">
            <v>170.07486538000001</v>
          </cell>
          <cell r="Q50">
            <v>198.29948336800001</v>
          </cell>
          <cell r="R50">
            <v>217.66250447199999</v>
          </cell>
          <cell r="S50">
            <v>219.207448992</v>
          </cell>
          <cell r="T50">
            <v>207.13680663200003</v>
          </cell>
          <cell r="U50">
            <v>198.06206974400001</v>
          </cell>
          <cell r="V50">
            <v>194.80728414000004</v>
          </cell>
          <cell r="W50">
            <v>219.49604684000002</v>
          </cell>
          <cell r="X50">
            <v>252.58307496800001</v>
          </cell>
          <cell r="Y50">
            <v>248.91321957600002</v>
          </cell>
          <cell r="Z50">
            <v>221.104673916</v>
          </cell>
          <cell r="AA50">
            <v>180.28697478400002</v>
          </cell>
          <cell r="AB50">
            <v>132.45946736400001</v>
          </cell>
          <cell r="AC50">
            <v>88.474355507999988</v>
          </cell>
        </row>
        <row r="51">
          <cell r="F51">
            <v>93.16321686000002</v>
          </cell>
          <cell r="G51">
            <v>71.282428952000004</v>
          </cell>
          <cell r="H51">
            <v>59.480692124000008</v>
          </cell>
          <cell r="I51">
            <v>57.874817475999997</v>
          </cell>
          <cell r="J51">
            <v>75.608376899999996</v>
          </cell>
          <cell r="K51">
            <v>109.89116182800001</v>
          </cell>
          <cell r="L51">
            <v>153.38950709600002</v>
          </cell>
          <cell r="M51">
            <v>174.74884660800001</v>
          </cell>
          <cell r="N51">
            <v>210.93589246799999</v>
          </cell>
          <cell r="O51">
            <v>232.305099404</v>
          </cell>
          <cell r="P51">
            <v>257.40997696400001</v>
          </cell>
          <cell r="Q51">
            <v>281.39306694800001</v>
          </cell>
          <cell r="R51">
            <v>291.15911288800004</v>
          </cell>
          <cell r="S51">
            <v>285.189570484</v>
          </cell>
          <cell r="T51">
            <v>286.29966175999999</v>
          </cell>
          <cell r="U51">
            <v>285.40749230000006</v>
          </cell>
          <cell r="V51">
            <v>275.09948538800001</v>
          </cell>
          <cell r="W51">
            <v>277.04655174000004</v>
          </cell>
          <cell r="X51">
            <v>305.80392555999998</v>
          </cell>
          <cell r="Y51">
            <v>298.40128564399998</v>
          </cell>
          <cell r="Z51">
            <v>269.71791750400001</v>
          </cell>
          <cell r="AA51">
            <v>230.16646892400001</v>
          </cell>
          <cell r="AB51">
            <v>180.68649608800001</v>
          </cell>
          <cell r="AC51">
            <v>135.37027238000002</v>
          </cell>
        </row>
        <row r="52">
          <cell r="F52">
            <v>106.36740993200002</v>
          </cell>
          <cell r="G52">
            <v>81.014862460000003</v>
          </cell>
          <cell r="H52">
            <v>67.036252808</v>
          </cell>
          <cell r="I52">
            <v>61.62200819600001</v>
          </cell>
          <cell r="J52">
            <v>71.349550524000009</v>
          </cell>
          <cell r="K52">
            <v>91.633699304000004</v>
          </cell>
          <cell r="L52">
            <v>125.90777124800002</v>
          </cell>
          <cell r="M52">
            <v>145.56085451600003</v>
          </cell>
          <cell r="N52">
            <v>186.30106642000001</v>
          </cell>
          <cell r="O52">
            <v>213.91084789199999</v>
          </cell>
          <cell r="P52">
            <v>234.972505936</v>
          </cell>
          <cell r="Q52">
            <v>249.83937818000001</v>
          </cell>
          <cell r="R52">
            <v>252.48299109600001</v>
          </cell>
          <cell r="S52">
            <v>243.92272735600002</v>
          </cell>
          <cell r="T52">
            <v>233.36688648000001</v>
          </cell>
          <cell r="U52">
            <v>225.16587839200002</v>
          </cell>
          <cell r="V52">
            <v>217.33700100000001</v>
          </cell>
          <cell r="W52">
            <v>232.24728018799999</v>
          </cell>
          <cell r="X52">
            <v>270.172687876</v>
          </cell>
          <cell r="Y52">
            <v>261.41305842400004</v>
          </cell>
          <cell r="Z52">
            <v>230.628986196</v>
          </cell>
          <cell r="AA52">
            <v>197.66079247600001</v>
          </cell>
          <cell r="AB52">
            <v>161.98177920399999</v>
          </cell>
          <cell r="AC52">
            <v>128.17867017200001</v>
          </cell>
        </row>
        <row r="53">
          <cell r="F53">
            <v>105.45031672000002</v>
          </cell>
          <cell r="G53">
            <v>78.174539043999999</v>
          </cell>
          <cell r="H53">
            <v>63.280197203999997</v>
          </cell>
          <cell r="I53">
            <v>54.538820056000006</v>
          </cell>
          <cell r="J53">
            <v>52.676440992000003</v>
          </cell>
          <cell r="K53">
            <v>59.864628488000001</v>
          </cell>
          <cell r="L53">
            <v>72.367219764000012</v>
          </cell>
          <cell r="M53">
            <v>75.593587916000004</v>
          </cell>
          <cell r="N53">
            <v>108.18877599599999</v>
          </cell>
          <cell r="O53">
            <v>136.023241872</v>
          </cell>
          <cell r="P53">
            <v>158.39501311200002</v>
          </cell>
          <cell r="Q53">
            <v>179.82000987999999</v>
          </cell>
          <cell r="R53">
            <v>194.38564012000003</v>
          </cell>
          <cell r="S53">
            <v>198.84075167600002</v>
          </cell>
          <cell r="T53">
            <v>192.591014532</v>
          </cell>
          <cell r="U53">
            <v>188.85849127600002</v>
          </cell>
          <cell r="V53">
            <v>183.609088544</v>
          </cell>
          <cell r="W53">
            <v>196.225993684</v>
          </cell>
          <cell r="X53">
            <v>230.89069166800002</v>
          </cell>
          <cell r="Y53">
            <v>232.51006718800002</v>
          </cell>
          <cell r="Z53">
            <v>218.62791403599999</v>
          </cell>
          <cell r="AA53">
            <v>192.12604255599999</v>
          </cell>
          <cell r="AB53">
            <v>153.76760442399998</v>
          </cell>
          <cell r="AC53">
            <v>111.89791880400001</v>
          </cell>
        </row>
        <row r="54">
          <cell r="F54">
            <v>95.318860139999998</v>
          </cell>
          <cell r="G54">
            <v>75.49654812</v>
          </cell>
          <cell r="H54">
            <v>59.572858967999998</v>
          </cell>
          <cell r="I54">
            <v>48.461908655999999</v>
          </cell>
          <cell r="J54">
            <v>45.192771540000003</v>
          </cell>
          <cell r="K54">
            <v>48.136119612000002</v>
          </cell>
          <cell r="L54">
            <v>53.940212536000004</v>
          </cell>
          <cell r="M54">
            <v>49.489074684000002</v>
          </cell>
          <cell r="N54">
            <v>73.301009824000005</v>
          </cell>
          <cell r="O54">
            <v>98.269857896000005</v>
          </cell>
          <cell r="P54">
            <v>121.940538188</v>
          </cell>
          <cell r="Q54">
            <v>144.56194796400001</v>
          </cell>
          <cell r="R54">
            <v>163.00665458</v>
          </cell>
          <cell r="S54">
            <v>166.45539217999999</v>
          </cell>
          <cell r="T54">
            <v>160.84714088800001</v>
          </cell>
          <cell r="U54">
            <v>160.54965385200001</v>
          </cell>
          <cell r="V54">
            <v>159.073027876</v>
          </cell>
          <cell r="W54">
            <v>172.31068148</v>
          </cell>
          <cell r="X54">
            <v>214.32769794799998</v>
          </cell>
          <cell r="Y54">
            <v>215.55644742800001</v>
          </cell>
          <cell r="Z54">
            <v>197.78846138800003</v>
          </cell>
          <cell r="AA54">
            <v>170.51420271199999</v>
          </cell>
          <cell r="AB54">
            <v>134.631929012</v>
          </cell>
          <cell r="AC54">
            <v>95.963335384000004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  <sheetName val="KWh"/>
    </sheetNames>
    <sheetDataSet>
      <sheetData sheetId="0">
        <row r="7">
          <cell r="F7">
            <v>118.757344446</v>
          </cell>
          <cell r="G7">
            <v>102.891788883</v>
          </cell>
          <cell r="H7">
            <v>94.097321486999988</v>
          </cell>
          <cell r="I7">
            <v>92.952768518999989</v>
          </cell>
          <cell r="J7">
            <v>107.398684809</v>
          </cell>
          <cell r="K7">
            <v>141.025884948</v>
          </cell>
          <cell r="L7">
            <v>176.289797736</v>
          </cell>
          <cell r="M7">
            <v>180.69387558300002</v>
          </cell>
          <cell r="N7">
            <v>206.47842122700001</v>
          </cell>
          <cell r="O7">
            <v>222.73578159299998</v>
          </cell>
          <cell r="P7">
            <v>245.10576788100002</v>
          </cell>
          <cell r="Q7">
            <v>264.47210349300002</v>
          </cell>
          <cell r="R7">
            <v>271.29510965700001</v>
          </cell>
          <cell r="S7">
            <v>267.81138586800006</v>
          </cell>
          <cell r="T7">
            <v>270.95316627599999</v>
          </cell>
          <cell r="U7">
            <v>270.59939173799995</v>
          </cell>
          <cell r="V7">
            <v>261.38946155400004</v>
          </cell>
          <cell r="W7">
            <v>260.29625485499997</v>
          </cell>
          <cell r="X7">
            <v>275.89287562200002</v>
          </cell>
          <cell r="Y7">
            <v>284.509719819</v>
          </cell>
          <cell r="Z7">
            <v>264.36359277899999</v>
          </cell>
          <cell r="AA7">
            <v>232.17338687400002</v>
          </cell>
          <cell r="AB7">
            <v>187.90717572900002</v>
          </cell>
          <cell r="AC7">
            <v>151.56767960100001</v>
          </cell>
        </row>
        <row r="8">
          <cell r="F8">
            <v>121.16373165</v>
          </cell>
          <cell r="G8">
            <v>103.95836790300001</v>
          </cell>
          <cell r="H8">
            <v>94.056200316000002</v>
          </cell>
          <cell r="I8">
            <v>90.471329441999998</v>
          </cell>
          <cell r="J8">
            <v>99.400801032000004</v>
          </cell>
          <cell r="K8">
            <v>116.16818686200001</v>
          </cell>
          <cell r="L8">
            <v>142.80172299899999</v>
          </cell>
          <cell r="M8">
            <v>150.464672046</v>
          </cell>
          <cell r="N8">
            <v>180.40320054899999</v>
          </cell>
          <cell r="O8">
            <v>202.65895318500003</v>
          </cell>
          <cell r="P8">
            <v>221.41396906200001</v>
          </cell>
          <cell r="Q8">
            <v>237.39990112799998</v>
          </cell>
          <cell r="R8">
            <v>240.76863369</v>
          </cell>
          <cell r="S8">
            <v>234.02981358900001</v>
          </cell>
          <cell r="T8">
            <v>225.46593037800002</v>
          </cell>
          <cell r="U8">
            <v>221.03608632300001</v>
          </cell>
          <cell r="V8">
            <v>216.74481355800003</v>
          </cell>
          <cell r="W8">
            <v>226.89285102900001</v>
          </cell>
          <cell r="X8">
            <v>249.37515755099997</v>
          </cell>
          <cell r="Y8">
            <v>255.98643665400002</v>
          </cell>
          <cell r="Z8">
            <v>236.70991480499998</v>
          </cell>
          <cell r="AA8">
            <v>208.46150149499999</v>
          </cell>
          <cell r="AB8">
            <v>177.55998694199999</v>
          </cell>
          <cell r="AC8">
            <v>146.761710381</v>
          </cell>
        </row>
        <row r="9">
          <cell r="F9">
            <v>121.36845006000001</v>
          </cell>
          <cell r="G9">
            <v>102.682386495</v>
          </cell>
          <cell r="H9">
            <v>90.765588887999996</v>
          </cell>
          <cell r="I9">
            <v>84.468253193999985</v>
          </cell>
          <cell r="J9">
            <v>86.270961348</v>
          </cell>
          <cell r="K9">
            <v>93.413192301000009</v>
          </cell>
          <cell r="L9">
            <v>105.731292537</v>
          </cell>
          <cell r="M9">
            <v>103.23571927499999</v>
          </cell>
          <cell r="N9">
            <v>126.484700355</v>
          </cell>
          <cell r="O9">
            <v>147.98763123300003</v>
          </cell>
          <cell r="P9">
            <v>164.980410777</v>
          </cell>
          <cell r="Q9">
            <v>184.78225244700002</v>
          </cell>
          <cell r="R9">
            <v>197.77245157800002</v>
          </cell>
          <cell r="S9">
            <v>201.105608418</v>
          </cell>
          <cell r="T9">
            <v>195.65270910900003</v>
          </cell>
          <cell r="U9">
            <v>190.48377055500001</v>
          </cell>
          <cell r="V9">
            <v>185.76721250099999</v>
          </cell>
          <cell r="W9">
            <v>197.90963325900003</v>
          </cell>
          <cell r="X9">
            <v>221.575704831</v>
          </cell>
          <cell r="Y9">
            <v>234.67500774900003</v>
          </cell>
          <cell r="Z9">
            <v>220.43914752600003</v>
          </cell>
          <cell r="AA9">
            <v>196.128669672</v>
          </cell>
          <cell r="AB9">
            <v>163.892727882</v>
          </cell>
          <cell r="AC9">
            <v>129.850203483</v>
          </cell>
        </row>
        <row r="10">
          <cell r="F10">
            <v>114.742551924</v>
          </cell>
          <cell r="G10">
            <v>101.40628820400001</v>
          </cell>
          <cell r="H10">
            <v>88.610569397999996</v>
          </cell>
          <cell r="I10">
            <v>81.121087709999998</v>
          </cell>
          <cell r="J10">
            <v>80.953620345000004</v>
          </cell>
          <cell r="K10">
            <v>85.683481416000006</v>
          </cell>
          <cell r="L10">
            <v>88.765616862000002</v>
          </cell>
          <cell r="M10">
            <v>78.441969177000004</v>
          </cell>
          <cell r="N10">
            <v>95.090324823000003</v>
          </cell>
          <cell r="O10">
            <v>112.64576181300001</v>
          </cell>
          <cell r="P10">
            <v>131.79369937499999</v>
          </cell>
          <cell r="Q10">
            <v>152.47552284900001</v>
          </cell>
          <cell r="R10">
            <v>167.65869381299999</v>
          </cell>
          <cell r="S10">
            <v>170.47389013200001</v>
          </cell>
          <cell r="T10">
            <v>166.09653520200001</v>
          </cell>
          <cell r="U10">
            <v>160.84690841700001</v>
          </cell>
          <cell r="V10">
            <v>157.48091178300001</v>
          </cell>
          <cell r="W10">
            <v>172.19340356399996</v>
          </cell>
          <cell r="X10">
            <v>202.35904439399999</v>
          </cell>
          <cell r="Y10">
            <v>212.86325466899999</v>
          </cell>
          <cell r="Z10">
            <v>198.177823467</v>
          </cell>
          <cell r="AA10">
            <v>174.837084903</v>
          </cell>
          <cell r="AB10">
            <v>146.66985333000002</v>
          </cell>
          <cell r="AC10">
            <v>117.92427168600001</v>
          </cell>
        </row>
        <row r="11">
          <cell r="F11">
            <v>138.817216161</v>
          </cell>
          <cell r="G11">
            <v>122.10786923400001</v>
          </cell>
          <cell r="H11">
            <v>113.548007664</v>
          </cell>
          <cell r="I11">
            <v>113.229263394</v>
          </cell>
          <cell r="J11">
            <v>133.76965410900002</v>
          </cell>
          <cell r="K11">
            <v>182.81956176899999</v>
          </cell>
          <cell r="L11">
            <v>223.68968540099999</v>
          </cell>
          <cell r="M11">
            <v>224.63225155800001</v>
          </cell>
          <cell r="N11">
            <v>250.96235509799999</v>
          </cell>
          <cell r="O11">
            <v>268.772532093</v>
          </cell>
          <cell r="P11">
            <v>293.63753320200004</v>
          </cell>
          <cell r="Q11">
            <v>312.72311151900004</v>
          </cell>
          <cell r="R11">
            <v>314.24174203500002</v>
          </cell>
          <cell r="S11">
            <v>308.769552702</v>
          </cell>
          <cell r="T11">
            <v>312.18301682100002</v>
          </cell>
          <cell r="U11">
            <v>312.20195186700005</v>
          </cell>
          <cell r="V11">
            <v>301.88453361300003</v>
          </cell>
          <cell r="W11">
            <v>295.386055263</v>
          </cell>
          <cell r="X11">
            <v>304.455747492</v>
          </cell>
          <cell r="Y11">
            <v>320.375272698</v>
          </cell>
          <cell r="Z11">
            <v>298.39352411699997</v>
          </cell>
          <cell r="AA11">
            <v>260.79962664599998</v>
          </cell>
          <cell r="AB11">
            <v>210.380421654</v>
          </cell>
          <cell r="AC11">
            <v>169.81606827900001</v>
          </cell>
        </row>
        <row r="12">
          <cell r="F12">
            <v>148.018193973</v>
          </cell>
          <cell r="G12">
            <v>128.97290133000001</v>
          </cell>
          <cell r="H12">
            <v>117.397800351</v>
          </cell>
          <cell r="I12">
            <v>114.25569093899999</v>
          </cell>
          <cell r="J12">
            <v>124.02182403</v>
          </cell>
          <cell r="K12">
            <v>144.93906285300002</v>
          </cell>
          <cell r="L12">
            <v>179.00645302800001</v>
          </cell>
          <cell r="M12">
            <v>194.12672795100002</v>
          </cell>
          <cell r="N12">
            <v>230.75699435099997</v>
          </cell>
          <cell r="O12">
            <v>254.80203957000003</v>
          </cell>
          <cell r="P12">
            <v>277.69836732299996</v>
          </cell>
          <cell r="Q12">
            <v>292.82013142200003</v>
          </cell>
          <cell r="R12">
            <v>294.48159729300005</v>
          </cell>
          <cell r="S12">
            <v>282.04675691400001</v>
          </cell>
          <cell r="T12">
            <v>270.32808032100002</v>
          </cell>
          <cell r="U12">
            <v>264.58534147500001</v>
          </cell>
          <cell r="V12">
            <v>257.704521516</v>
          </cell>
          <cell r="W12">
            <v>265.09222841400003</v>
          </cell>
          <cell r="X12">
            <v>281.50985701800005</v>
          </cell>
          <cell r="Y12">
            <v>293.97983156099997</v>
          </cell>
          <cell r="Z12">
            <v>272.07388377000001</v>
          </cell>
          <cell r="AA12">
            <v>241.53862859100002</v>
          </cell>
          <cell r="AB12">
            <v>207.19789236900002</v>
          </cell>
          <cell r="AC12">
            <v>173.53988706600001</v>
          </cell>
        </row>
        <row r="13">
          <cell r="F13">
            <v>147.050554248</v>
          </cell>
          <cell r="G13">
            <v>126.85967833500001</v>
          </cell>
          <cell r="H13">
            <v>114.12790318799999</v>
          </cell>
          <cell r="I13">
            <v>107.686026513</v>
          </cell>
          <cell r="J13">
            <v>109.69082537400001</v>
          </cell>
          <cell r="K13">
            <v>117.99402919199999</v>
          </cell>
          <cell r="L13">
            <v>133.91741153700002</v>
          </cell>
          <cell r="M13">
            <v>135.243964323</v>
          </cell>
          <cell r="N13">
            <v>164.41492649399999</v>
          </cell>
          <cell r="O13">
            <v>188.42970767400001</v>
          </cell>
          <cell r="P13">
            <v>208.76275660499999</v>
          </cell>
          <cell r="Q13">
            <v>228.76216517700001</v>
          </cell>
          <cell r="R13">
            <v>241.574875308</v>
          </cell>
          <cell r="S13">
            <v>238.93485197400003</v>
          </cell>
          <cell r="T13">
            <v>228.87702220499997</v>
          </cell>
          <cell r="U13">
            <v>223.86470687100001</v>
          </cell>
          <cell r="V13">
            <v>218.64014499599998</v>
          </cell>
          <cell r="W13">
            <v>228.01500575099999</v>
          </cell>
          <cell r="X13">
            <v>248.95945666800003</v>
          </cell>
          <cell r="Y13">
            <v>272.54023828200002</v>
          </cell>
          <cell r="Z13">
            <v>259.45931629799998</v>
          </cell>
          <cell r="AA13">
            <v>234.42273094500001</v>
          </cell>
          <cell r="AB13">
            <v>195.98467847400002</v>
          </cell>
          <cell r="AC13">
            <v>157.25992499100002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120.918433194</v>
          </cell>
          <cell r="G15">
            <v>104.899206789</v>
          </cell>
          <cell r="H15">
            <v>96.426535607999995</v>
          </cell>
          <cell r="I15">
            <v>95.725735443000019</v>
          </cell>
          <cell r="J15">
            <v>111.69873245699999</v>
          </cell>
          <cell r="K15">
            <v>152.36280867600001</v>
          </cell>
          <cell r="L15">
            <v>187.62449635800002</v>
          </cell>
          <cell r="M15">
            <v>191.81875190400001</v>
          </cell>
          <cell r="N15">
            <v>215.92413472500002</v>
          </cell>
          <cell r="O15">
            <v>231.89977675800003</v>
          </cell>
          <cell r="P15">
            <v>253.372041</v>
          </cell>
          <cell r="Q15">
            <v>270.50462559900001</v>
          </cell>
          <cell r="R15">
            <v>272.53230322499996</v>
          </cell>
          <cell r="S15">
            <v>267.65234706600006</v>
          </cell>
          <cell r="T15">
            <v>270.31067774100001</v>
          </cell>
          <cell r="U15">
            <v>270.50816239199997</v>
          </cell>
          <cell r="V15">
            <v>261.65409332400003</v>
          </cell>
          <cell r="W15">
            <v>257.18305450499997</v>
          </cell>
          <cell r="X15">
            <v>265.31234940600001</v>
          </cell>
          <cell r="Y15">
            <v>278.82718004700001</v>
          </cell>
          <cell r="Z15">
            <v>259.98612096600004</v>
          </cell>
          <cell r="AA15">
            <v>228.76345521900001</v>
          </cell>
          <cell r="AB15">
            <v>187.345405728</v>
          </cell>
          <cell r="AC15">
            <v>152.04241072800002</v>
          </cell>
        </row>
        <row r="16">
          <cell r="F16">
            <v>125.12425149900001</v>
          </cell>
          <cell r="G16">
            <v>107.150390685</v>
          </cell>
          <cell r="H16">
            <v>96.965006931000005</v>
          </cell>
          <cell r="I16">
            <v>93.524248467000007</v>
          </cell>
          <cell r="J16">
            <v>101.13689453399999</v>
          </cell>
          <cell r="K16">
            <v>116.882181819</v>
          </cell>
          <cell r="L16">
            <v>144.026942553</v>
          </cell>
          <cell r="M16">
            <v>156.39493884299998</v>
          </cell>
          <cell r="N16">
            <v>187.98618430800002</v>
          </cell>
          <cell r="O16">
            <v>208.690799967</v>
          </cell>
          <cell r="P16">
            <v>229.10483150099998</v>
          </cell>
          <cell r="Q16">
            <v>242.62425088199998</v>
          </cell>
          <cell r="R16">
            <v>244.31735308500001</v>
          </cell>
          <cell r="S16">
            <v>234.94399449300005</v>
          </cell>
          <cell r="T16">
            <v>226.993963482</v>
          </cell>
          <cell r="U16">
            <v>221.95818496799998</v>
          </cell>
          <cell r="V16">
            <v>216.39716455499999</v>
          </cell>
          <cell r="W16">
            <v>227.194270641</v>
          </cell>
          <cell r="X16">
            <v>243.11184346800005</v>
          </cell>
          <cell r="Y16">
            <v>251.21958860699999</v>
          </cell>
          <cell r="Z16">
            <v>232.140620673</v>
          </cell>
          <cell r="AA16">
            <v>206.37319189499999</v>
          </cell>
          <cell r="AB16">
            <v>177.13091810700001</v>
          </cell>
          <cell r="AC16">
            <v>147.67333284599999</v>
          </cell>
        </row>
        <row r="17">
          <cell r="F17">
            <v>123.782763663</v>
          </cell>
          <cell r="G17">
            <v>106.06824025200001</v>
          </cell>
          <cell r="H17">
            <v>94.460312466000005</v>
          </cell>
          <cell r="I17">
            <v>88.632599679000009</v>
          </cell>
          <cell r="J17">
            <v>90.551537154000002</v>
          </cell>
          <cell r="K17">
            <v>97.231179824999998</v>
          </cell>
          <cell r="L17">
            <v>108.84718552500001</v>
          </cell>
          <cell r="M17">
            <v>110.70886331700001</v>
          </cell>
          <cell r="N17">
            <v>135.87853511699998</v>
          </cell>
          <cell r="O17">
            <v>156.85047085500003</v>
          </cell>
          <cell r="P17">
            <v>171.808655031</v>
          </cell>
          <cell r="Q17">
            <v>187.72989884999998</v>
          </cell>
          <cell r="R17">
            <v>198.37208301300001</v>
          </cell>
          <cell r="S17">
            <v>197.616274245</v>
          </cell>
          <cell r="T17">
            <v>190.900172736</v>
          </cell>
          <cell r="U17">
            <v>185.213338596</v>
          </cell>
          <cell r="V17">
            <v>181.24540749899998</v>
          </cell>
          <cell r="W17">
            <v>192.73337436599999</v>
          </cell>
          <cell r="X17">
            <v>212.23884403799997</v>
          </cell>
          <cell r="Y17">
            <v>229.24476209700003</v>
          </cell>
          <cell r="Z17">
            <v>216.76094341200002</v>
          </cell>
          <cell r="AA17">
            <v>195.13015984800001</v>
          </cell>
          <cell r="AB17">
            <v>163.57048578000001</v>
          </cell>
          <cell r="AC17">
            <v>130.01828123700002</v>
          </cell>
        </row>
        <row r="18">
          <cell r="F18">
            <v>114.78349127700001</v>
          </cell>
          <cell r="G18">
            <v>97.240716612</v>
          </cell>
          <cell r="H18">
            <v>87.406618221000002</v>
          </cell>
          <cell r="I18">
            <v>82.145129975999993</v>
          </cell>
          <cell r="J18">
            <v>85.645269333000002</v>
          </cell>
          <cell r="K18">
            <v>93.977797796999994</v>
          </cell>
          <cell r="L18">
            <v>106.68679374599999</v>
          </cell>
          <cell r="M18">
            <v>110.216461212</v>
          </cell>
          <cell r="N18">
            <v>135.01270048500001</v>
          </cell>
          <cell r="O18">
            <v>149.48585051399999</v>
          </cell>
          <cell r="P18">
            <v>160.427354724</v>
          </cell>
          <cell r="Q18">
            <v>177.93030258900001</v>
          </cell>
          <cell r="R18">
            <v>190.950038487</v>
          </cell>
          <cell r="S18">
            <v>189.68901810300002</v>
          </cell>
          <cell r="T18">
            <v>182.773605105</v>
          </cell>
          <cell r="U18">
            <v>179.59667321700002</v>
          </cell>
          <cell r="V18">
            <v>175.89295830600003</v>
          </cell>
          <cell r="W18">
            <v>189.213213384</v>
          </cell>
          <cell r="X18">
            <v>206.102702988</v>
          </cell>
          <cell r="Y18">
            <v>216.01552857299998</v>
          </cell>
          <cell r="Z18">
            <v>198.58655033100001</v>
          </cell>
          <cell r="AA18">
            <v>179.78311458900001</v>
          </cell>
          <cell r="AB18">
            <v>156.70417230000001</v>
          </cell>
          <cell r="AC18">
            <v>131.560916058</v>
          </cell>
        </row>
        <row r="19">
          <cell r="F19">
            <v>118.75110635700001</v>
          </cell>
          <cell r="G19">
            <v>103.63135091400001</v>
          </cell>
          <cell r="H19">
            <v>95.827588155000001</v>
          </cell>
          <cell r="I19">
            <v>95.956042572000001</v>
          </cell>
          <cell r="J19">
            <v>114.70378140000001</v>
          </cell>
          <cell r="K19">
            <v>158.36939141399998</v>
          </cell>
          <cell r="L19">
            <v>195.225376203</v>
          </cell>
          <cell r="M19">
            <v>199.31110804799999</v>
          </cell>
          <cell r="N19">
            <v>222.31990322099998</v>
          </cell>
          <cell r="O19">
            <v>238.44241090800003</v>
          </cell>
          <cell r="P19">
            <v>260.39149285499997</v>
          </cell>
          <cell r="Q19">
            <v>278.04776524199997</v>
          </cell>
          <cell r="R19">
            <v>279.67012292699997</v>
          </cell>
          <cell r="S19">
            <v>274.28478632100001</v>
          </cell>
          <cell r="T19">
            <v>276.92742437099997</v>
          </cell>
          <cell r="U19">
            <v>276.05222611200003</v>
          </cell>
          <cell r="V19">
            <v>265.74360438599996</v>
          </cell>
          <cell r="W19">
            <v>265.02219818100002</v>
          </cell>
          <cell r="X19">
            <v>279.32797608300001</v>
          </cell>
          <cell r="Y19">
            <v>287.70738761699999</v>
          </cell>
          <cell r="Z19">
            <v>266.21508876299998</v>
          </cell>
          <cell r="AA19">
            <v>232.83468491400001</v>
          </cell>
          <cell r="AB19">
            <v>186.23799558000002</v>
          </cell>
          <cell r="AC19">
            <v>149.22562133700001</v>
          </cell>
        </row>
        <row r="20">
          <cell r="F20">
            <v>126.78028014600001</v>
          </cell>
          <cell r="G20">
            <v>111.022217982</v>
          </cell>
          <cell r="H20">
            <v>99.123571871999999</v>
          </cell>
          <cell r="I20">
            <v>96.061042467000007</v>
          </cell>
          <cell r="J20">
            <v>106.02177276600001</v>
          </cell>
          <cell r="K20">
            <v>123.83985018600001</v>
          </cell>
          <cell r="L20">
            <v>156.3929172</v>
          </cell>
          <cell r="M20">
            <v>174.23208117900001</v>
          </cell>
          <cell r="N20">
            <v>207.03962845800001</v>
          </cell>
          <cell r="O20">
            <v>229.39307363700001</v>
          </cell>
          <cell r="P20">
            <v>249.38568567900001</v>
          </cell>
          <cell r="Q20">
            <v>264.36792177900003</v>
          </cell>
          <cell r="R20">
            <v>267.05475891899999</v>
          </cell>
          <cell r="S20">
            <v>254.80415212200003</v>
          </cell>
          <cell r="T20">
            <v>244.44593304300003</v>
          </cell>
          <cell r="U20">
            <v>237.33419123700003</v>
          </cell>
          <cell r="V20">
            <v>230.68531909800001</v>
          </cell>
          <cell r="W20">
            <v>242.43754111200002</v>
          </cell>
          <cell r="X20">
            <v>261.37053516600002</v>
          </cell>
          <cell r="Y20">
            <v>265.49745311700002</v>
          </cell>
          <cell r="Z20">
            <v>243.95055691499999</v>
          </cell>
          <cell r="AA20">
            <v>215.51188838400003</v>
          </cell>
          <cell r="AB20">
            <v>182.190371922</v>
          </cell>
          <cell r="AC20">
            <v>149.54832231299997</v>
          </cell>
        </row>
        <row r="21">
          <cell r="F21">
            <v>125.80092614700001</v>
          </cell>
          <cell r="G21">
            <v>107.23448150999999</v>
          </cell>
          <cell r="H21">
            <v>95.483488931999986</v>
          </cell>
          <cell r="I21">
            <v>89.575113888000004</v>
          </cell>
          <cell r="J21">
            <v>91.310644619999991</v>
          </cell>
          <cell r="K21">
            <v>97.464534569999998</v>
          </cell>
          <cell r="L21">
            <v>111.66928227</v>
          </cell>
          <cell r="M21">
            <v>114.791802957</v>
          </cell>
          <cell r="N21">
            <v>141.18769863899999</v>
          </cell>
          <cell r="O21">
            <v>162.65726158499999</v>
          </cell>
          <cell r="P21">
            <v>180.68201412299999</v>
          </cell>
          <cell r="Q21">
            <v>199.224225018</v>
          </cell>
          <cell r="R21">
            <v>209.78866467</v>
          </cell>
          <cell r="S21">
            <v>209.18161332900002</v>
          </cell>
          <cell r="T21">
            <v>200.580808077</v>
          </cell>
          <cell r="U21">
            <v>195.00630282899999</v>
          </cell>
          <cell r="V21">
            <v>189.87001359299998</v>
          </cell>
          <cell r="W21">
            <v>202.48110487800002</v>
          </cell>
          <cell r="X21">
            <v>227.75170298399996</v>
          </cell>
          <cell r="Y21">
            <v>240.13178151299999</v>
          </cell>
          <cell r="Z21">
            <v>226.56041846100001</v>
          </cell>
          <cell r="AA21">
            <v>201.73343895900001</v>
          </cell>
          <cell r="AB21">
            <v>167.88065463000001</v>
          </cell>
          <cell r="AC21">
            <v>131.356253925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F23">
            <v>105.71830986600001</v>
          </cell>
          <cell r="G23">
            <v>88.23469531500001</v>
          </cell>
          <cell r="H23">
            <v>79.09573042800001</v>
          </cell>
          <cell r="I23">
            <v>77.343888023999995</v>
          </cell>
          <cell r="J23">
            <v>86.237147529000012</v>
          </cell>
          <cell r="K23">
            <v>100.86812424</v>
          </cell>
          <cell r="L23">
            <v>134.875198458</v>
          </cell>
          <cell r="M23">
            <v>154.41373303200001</v>
          </cell>
          <cell r="N23">
            <v>188.62474211100002</v>
          </cell>
          <cell r="O23">
            <v>211.37401806299999</v>
          </cell>
          <cell r="P23">
            <v>231.17127099300001</v>
          </cell>
          <cell r="Q23">
            <v>251.62606439100003</v>
          </cell>
          <cell r="R23">
            <v>263.61097015499996</v>
          </cell>
          <cell r="S23">
            <v>252.98355654</v>
          </cell>
          <cell r="T23">
            <v>241.37564607000002</v>
          </cell>
          <cell r="U23">
            <v>232.69500539999999</v>
          </cell>
          <cell r="V23">
            <v>223.03513627200002</v>
          </cell>
          <cell r="W23">
            <v>230.977582875</v>
          </cell>
          <cell r="X23">
            <v>252.456570054</v>
          </cell>
          <cell r="Y23">
            <v>263.615355432</v>
          </cell>
          <cell r="Z23">
            <v>241.035438618</v>
          </cell>
          <cell r="AA23">
            <v>208.34767476900001</v>
          </cell>
          <cell r="AB23">
            <v>167.005447713</v>
          </cell>
          <cell r="AC23">
            <v>129.85476191999999</v>
          </cell>
        </row>
        <row r="24">
          <cell r="F24">
            <v>90.604177793999995</v>
          </cell>
          <cell r="G24">
            <v>77.004230355000004</v>
          </cell>
          <cell r="H24">
            <v>69.460766036999999</v>
          </cell>
          <cell r="I24">
            <v>70.436847311999998</v>
          </cell>
          <cell r="J24">
            <v>88.57098069300001</v>
          </cell>
          <cell r="K24">
            <v>115.65817871399999</v>
          </cell>
          <cell r="L24">
            <v>163.728831942</v>
          </cell>
          <cell r="M24">
            <v>186.42979192499999</v>
          </cell>
          <cell r="N24">
            <v>217.26191260800002</v>
          </cell>
          <cell r="O24">
            <v>237.12979317300002</v>
          </cell>
          <cell r="P24">
            <v>258.57916566299997</v>
          </cell>
          <cell r="Q24">
            <v>282.1421421</v>
          </cell>
          <cell r="R24">
            <v>293.65115656500001</v>
          </cell>
          <cell r="S24">
            <v>281.71932001200003</v>
          </cell>
          <cell r="T24">
            <v>277.66724614200001</v>
          </cell>
          <cell r="U24">
            <v>273.16568354399999</v>
          </cell>
          <cell r="V24">
            <v>261.79110617399999</v>
          </cell>
          <cell r="W24">
            <v>260.14506885899999</v>
          </cell>
          <cell r="X24">
            <v>280.00978492499996</v>
          </cell>
          <cell r="Y24">
            <v>296.33321448900006</v>
          </cell>
          <cell r="Z24">
            <v>268.66315125</v>
          </cell>
          <cell r="AA24">
            <v>228.627308169</v>
          </cell>
          <cell r="AB24">
            <v>175.07449159200002</v>
          </cell>
          <cell r="AC24">
            <v>127.713015144</v>
          </cell>
        </row>
        <row r="25">
          <cell r="F25">
            <v>98.854360019999987</v>
          </cell>
          <cell r="G25">
            <v>83.372120090999999</v>
          </cell>
          <cell r="H25">
            <v>75.768824663999993</v>
          </cell>
          <cell r="I25">
            <v>77.124351446999995</v>
          </cell>
          <cell r="J25">
            <v>96.702652215000015</v>
          </cell>
          <cell r="K25">
            <v>125.80482657600001</v>
          </cell>
          <cell r="L25">
            <v>176.07289319099999</v>
          </cell>
          <cell r="M25">
            <v>199.82139758099999</v>
          </cell>
          <cell r="N25">
            <v>231.45417547200003</v>
          </cell>
          <cell r="O25">
            <v>250.267005144</v>
          </cell>
          <cell r="P25">
            <v>271.89031252500001</v>
          </cell>
          <cell r="Q25">
            <v>294.459999912</v>
          </cell>
          <cell r="R25">
            <v>305.14334853600002</v>
          </cell>
          <cell r="S25">
            <v>293.96249824500001</v>
          </cell>
          <cell r="T25">
            <v>286.38482183999997</v>
          </cell>
          <cell r="U25">
            <v>280.79569755900002</v>
          </cell>
          <cell r="V25">
            <v>268.18878808799997</v>
          </cell>
          <cell r="W25">
            <v>267.35325645600005</v>
          </cell>
          <cell r="X25">
            <v>289.132546365</v>
          </cell>
          <cell r="Y25">
            <v>305.37995003100002</v>
          </cell>
          <cell r="Z25">
            <v>274.98154320000003</v>
          </cell>
          <cell r="AA25">
            <v>235.26755261099999</v>
          </cell>
          <cell r="AB25">
            <v>184.572650925</v>
          </cell>
          <cell r="AC25">
            <v>135.71992921499998</v>
          </cell>
        </row>
        <row r="26">
          <cell r="F26">
            <v>103.57062370199999</v>
          </cell>
          <cell r="G26">
            <v>85.478377725000001</v>
          </cell>
          <cell r="H26">
            <v>75.697742484000003</v>
          </cell>
          <cell r="I26">
            <v>74.779042104000013</v>
          </cell>
          <cell r="J26">
            <v>87.694557326999998</v>
          </cell>
          <cell r="K26">
            <v>104.16773133000001</v>
          </cell>
          <cell r="L26">
            <v>141.751408032</v>
          </cell>
          <cell r="M26">
            <v>162.54047382300001</v>
          </cell>
          <cell r="N26">
            <v>191.95171713899998</v>
          </cell>
          <cell r="O26">
            <v>214.404105942</v>
          </cell>
          <cell r="P26">
            <v>237.81515612400003</v>
          </cell>
          <cell r="Q26">
            <v>258.37845590699999</v>
          </cell>
          <cell r="R26">
            <v>267.78362399100001</v>
          </cell>
          <cell r="S26">
            <v>256.49111580300001</v>
          </cell>
          <cell r="T26">
            <v>248.59521893700003</v>
          </cell>
          <cell r="U26">
            <v>244.519781454</v>
          </cell>
          <cell r="V26">
            <v>232.454152827</v>
          </cell>
          <cell r="W26">
            <v>233.32058486099999</v>
          </cell>
          <cell r="X26">
            <v>256.56392525400003</v>
          </cell>
          <cell r="Y26">
            <v>270.61166878199998</v>
          </cell>
          <cell r="Z26">
            <v>247.11809054400001</v>
          </cell>
          <cell r="AA26">
            <v>212.77389977999999</v>
          </cell>
          <cell r="AB26">
            <v>172.15768065600003</v>
          </cell>
          <cell r="AC26">
            <v>131.47582956299999</v>
          </cell>
        </row>
        <row r="27">
          <cell r="F27">
            <v>123.47061246000001</v>
          </cell>
          <cell r="G27">
            <v>107.275918698</v>
          </cell>
          <cell r="H27">
            <v>98.488589822999998</v>
          </cell>
          <cell r="I27">
            <v>98.709823368000016</v>
          </cell>
          <cell r="J27">
            <v>114.85975094099999</v>
          </cell>
          <cell r="K27">
            <v>146.73353724900002</v>
          </cell>
          <cell r="L27">
            <v>186.307090749</v>
          </cell>
          <cell r="M27">
            <v>200.44817184600001</v>
          </cell>
          <cell r="N27">
            <v>228.67652457000003</v>
          </cell>
          <cell r="O27">
            <v>245.22169850099996</v>
          </cell>
          <cell r="P27">
            <v>267.508684872</v>
          </cell>
          <cell r="Q27">
            <v>287.66807596800004</v>
          </cell>
          <cell r="R27">
            <v>294.12730760400001</v>
          </cell>
          <cell r="S27">
            <v>287.56853061300001</v>
          </cell>
          <cell r="T27">
            <v>289.17196190999999</v>
          </cell>
          <cell r="U27">
            <v>287.77257802799994</v>
          </cell>
          <cell r="V27">
            <v>277.46844114599998</v>
          </cell>
          <cell r="W27">
            <v>274.36263905699997</v>
          </cell>
          <cell r="X27">
            <v>282.48842313900002</v>
          </cell>
          <cell r="Y27">
            <v>295.795076499</v>
          </cell>
          <cell r="Z27">
            <v>273.64225449600002</v>
          </cell>
          <cell r="AA27">
            <v>239.25263087700003</v>
          </cell>
          <cell r="AB27">
            <v>194.0123601</v>
          </cell>
          <cell r="AC27">
            <v>156.41425051200002</v>
          </cell>
        </row>
        <row r="28">
          <cell r="F28">
            <v>132.926555385</v>
          </cell>
          <cell r="G28">
            <v>114.10533611100001</v>
          </cell>
          <cell r="H28">
            <v>104.73007275900001</v>
          </cell>
          <cell r="I28">
            <v>101.014453098</v>
          </cell>
          <cell r="J28">
            <v>110.94003624600001</v>
          </cell>
          <cell r="K28">
            <v>127.30083806699999</v>
          </cell>
          <cell r="L28">
            <v>160.731163944</v>
          </cell>
          <cell r="M28">
            <v>173.932081479</v>
          </cell>
          <cell r="N28">
            <v>205.49023173899997</v>
          </cell>
          <cell r="O28">
            <v>227.32930080899999</v>
          </cell>
          <cell r="P28">
            <v>247.40168766299999</v>
          </cell>
          <cell r="Q28">
            <v>261.12220640999999</v>
          </cell>
          <cell r="R28">
            <v>261.57073409999998</v>
          </cell>
          <cell r="S28">
            <v>249.67859014799998</v>
          </cell>
          <cell r="T28">
            <v>241.26954660899997</v>
          </cell>
          <cell r="U28">
            <v>239.23441011600002</v>
          </cell>
          <cell r="V28">
            <v>233.35884456299999</v>
          </cell>
          <cell r="W28">
            <v>244.27279035899997</v>
          </cell>
          <cell r="X28">
            <v>258.24981101399999</v>
          </cell>
          <cell r="Y28">
            <v>270.64249992000003</v>
          </cell>
          <cell r="Z28">
            <v>249.25766416200003</v>
          </cell>
          <cell r="AA28">
            <v>220.27676240700001</v>
          </cell>
          <cell r="AB28">
            <v>187.227509742</v>
          </cell>
          <cell r="AC28">
            <v>155.77502171399999</v>
          </cell>
        </row>
        <row r="29">
          <cell r="F29">
            <v>133.00522630199998</v>
          </cell>
          <cell r="G29">
            <v>114.34376877300001</v>
          </cell>
          <cell r="H29">
            <v>101.64233125799998</v>
          </cell>
          <cell r="I29">
            <v>95.083168986000004</v>
          </cell>
          <cell r="J29">
            <v>96.25737993300001</v>
          </cell>
          <cell r="K29">
            <v>101.117102346</v>
          </cell>
          <cell r="L29">
            <v>115.31696693400001</v>
          </cell>
          <cell r="M29">
            <v>118.500526521</v>
          </cell>
          <cell r="N29">
            <v>143.42073103799999</v>
          </cell>
          <cell r="O29">
            <v>165.06292151699998</v>
          </cell>
          <cell r="P29">
            <v>181.81082251800001</v>
          </cell>
          <cell r="Q29">
            <v>200.095102935</v>
          </cell>
          <cell r="R29">
            <v>212.105783565</v>
          </cell>
          <cell r="S29">
            <v>213.39965673</v>
          </cell>
          <cell r="T29">
            <v>206.38101439799999</v>
          </cell>
          <cell r="U29">
            <v>200.78127973799999</v>
          </cell>
          <cell r="V29">
            <v>194.406026373</v>
          </cell>
          <cell r="W29">
            <v>206.26636949099998</v>
          </cell>
          <cell r="X29">
            <v>221.66509435200001</v>
          </cell>
          <cell r="Y29">
            <v>236.64590188199998</v>
          </cell>
          <cell r="Z29">
            <v>221.51276982900001</v>
          </cell>
          <cell r="AA29">
            <v>199.16788308300002</v>
          </cell>
          <cell r="AB29">
            <v>169.96611574800002</v>
          </cell>
          <cell r="AC29">
            <v>137.96848107900001</v>
          </cell>
        </row>
        <row r="30">
          <cell r="F30">
            <v>121.13013428100001</v>
          </cell>
          <cell r="G30">
            <v>104.89313753100001</v>
          </cell>
          <cell r="H30">
            <v>94.166555184000003</v>
          </cell>
          <cell r="I30">
            <v>89.841745656000015</v>
          </cell>
          <cell r="J30">
            <v>94.232546459999995</v>
          </cell>
          <cell r="K30">
            <v>100.59468295500001</v>
          </cell>
          <cell r="L30">
            <v>116.14351589099999</v>
          </cell>
          <cell r="M30">
            <v>122.52983418000001</v>
          </cell>
          <cell r="N30">
            <v>154.24701458400003</v>
          </cell>
          <cell r="O30">
            <v>173.32319897100001</v>
          </cell>
          <cell r="P30">
            <v>196.73384222700003</v>
          </cell>
          <cell r="Q30">
            <v>220.31497449</v>
          </cell>
          <cell r="R30">
            <v>236.25124859700003</v>
          </cell>
          <cell r="S30">
            <v>230.26817665800002</v>
          </cell>
          <cell r="T30">
            <v>218.507179761</v>
          </cell>
          <cell r="U30">
            <v>211.57336851299999</v>
          </cell>
          <cell r="V30">
            <v>204.49776087000001</v>
          </cell>
          <cell r="W30">
            <v>220.34705670900001</v>
          </cell>
          <cell r="X30">
            <v>244.51286371200001</v>
          </cell>
          <cell r="Y30">
            <v>259.24866715800005</v>
          </cell>
          <cell r="Z30">
            <v>240.42553446600002</v>
          </cell>
          <cell r="AA30">
            <v>205.86164262299999</v>
          </cell>
          <cell r="AB30">
            <v>171.610785099</v>
          </cell>
          <cell r="AC30">
            <v>136.18664303400001</v>
          </cell>
        </row>
        <row r="31">
          <cell r="F31">
            <v>118.59743984399999</v>
          </cell>
          <cell r="G31">
            <v>102.50036936100001</v>
          </cell>
          <cell r="H31">
            <v>93.708646551000001</v>
          </cell>
          <cell r="I31">
            <v>92.544682346999991</v>
          </cell>
          <cell r="J31">
            <v>108.49084821899999</v>
          </cell>
          <cell r="K31">
            <v>146.51406560699999</v>
          </cell>
          <cell r="L31">
            <v>182.95016769900002</v>
          </cell>
          <cell r="M31">
            <v>188.27394592500002</v>
          </cell>
          <cell r="N31">
            <v>212.58449304300001</v>
          </cell>
          <cell r="O31">
            <v>229.21823831400002</v>
          </cell>
          <cell r="P31">
            <v>252.00134107200003</v>
          </cell>
          <cell r="Q31">
            <v>270.40085946900001</v>
          </cell>
          <cell r="R31">
            <v>272.89896086699997</v>
          </cell>
          <cell r="S31">
            <v>267.22283667300002</v>
          </cell>
          <cell r="T31">
            <v>271.01844326700001</v>
          </cell>
          <cell r="U31">
            <v>270.43540056000006</v>
          </cell>
          <cell r="V31">
            <v>260.20764888299999</v>
          </cell>
          <cell r="W31">
            <v>255.12129899100003</v>
          </cell>
          <cell r="X31">
            <v>261.60703276499999</v>
          </cell>
          <cell r="Y31">
            <v>280.32903568799998</v>
          </cell>
          <cell r="Z31">
            <v>260.44463998800001</v>
          </cell>
          <cell r="AA31">
            <v>229.263294546</v>
          </cell>
          <cell r="AB31">
            <v>184.91165924400002</v>
          </cell>
          <cell r="AC31">
            <v>146.91175784999999</v>
          </cell>
        </row>
        <row r="32">
          <cell r="F32">
            <v>114.27760866599999</v>
          </cell>
          <cell r="G32">
            <v>96.575998662000003</v>
          </cell>
          <cell r="H32">
            <v>87.400622556000002</v>
          </cell>
          <cell r="I32">
            <v>84.427673147999997</v>
          </cell>
          <cell r="J32">
            <v>92.974807458000001</v>
          </cell>
          <cell r="K32">
            <v>108.91265299200001</v>
          </cell>
          <cell r="L32">
            <v>139.854648024</v>
          </cell>
          <cell r="M32">
            <v>156.04460586000002</v>
          </cell>
          <cell r="N32">
            <v>188.33172508799998</v>
          </cell>
          <cell r="O32">
            <v>209.587599936</v>
          </cell>
          <cell r="P32">
            <v>230.548483737</v>
          </cell>
          <cell r="Q32">
            <v>245.72247289199998</v>
          </cell>
          <cell r="R32">
            <v>245.83645979100004</v>
          </cell>
          <cell r="S32">
            <v>236.20057765200002</v>
          </cell>
          <cell r="T32">
            <v>227.85426998100002</v>
          </cell>
          <cell r="U32">
            <v>224.36320853700002</v>
          </cell>
          <cell r="V32">
            <v>220.01719123800001</v>
          </cell>
          <cell r="W32">
            <v>227.55650404500003</v>
          </cell>
          <cell r="X32">
            <v>235.61276005800002</v>
          </cell>
          <cell r="Y32">
            <v>253.682304759</v>
          </cell>
          <cell r="Z32">
            <v>234.033172893</v>
          </cell>
          <cell r="AA32">
            <v>207.59262357600002</v>
          </cell>
          <cell r="AB32">
            <v>175.37921856</v>
          </cell>
          <cell r="AC32">
            <v>144.585543726</v>
          </cell>
        </row>
        <row r="33">
          <cell r="F33">
            <v>120.70582734599999</v>
          </cell>
          <cell r="G33">
            <v>102.528542493</v>
          </cell>
          <cell r="H33">
            <v>90.654554367000003</v>
          </cell>
          <cell r="I33">
            <v>84.418201295999992</v>
          </cell>
          <cell r="J33">
            <v>86.002476768000008</v>
          </cell>
          <cell r="K33">
            <v>91.481947479000013</v>
          </cell>
          <cell r="L33">
            <v>104.13713395799999</v>
          </cell>
          <cell r="M33">
            <v>106.98729561</v>
          </cell>
          <cell r="N33">
            <v>132.79567672799999</v>
          </cell>
          <cell r="O33">
            <v>154.957005216</v>
          </cell>
          <cell r="P33">
            <v>174.029072724</v>
          </cell>
          <cell r="Q33">
            <v>193.702429674</v>
          </cell>
          <cell r="R33">
            <v>204.80560904700002</v>
          </cell>
          <cell r="S33">
            <v>205.643486997</v>
          </cell>
          <cell r="T33">
            <v>200.158349625</v>
          </cell>
          <cell r="U33">
            <v>195.614986203</v>
          </cell>
          <cell r="V33">
            <v>191.71705936499998</v>
          </cell>
          <cell r="W33">
            <v>202.13349483600004</v>
          </cell>
          <cell r="X33">
            <v>212.68961847899999</v>
          </cell>
          <cell r="Y33">
            <v>231.40473396300001</v>
          </cell>
          <cell r="Z33">
            <v>216.025286139</v>
          </cell>
          <cell r="AA33">
            <v>195.736799934</v>
          </cell>
          <cell r="AB33">
            <v>164.905605657</v>
          </cell>
          <cell r="AC33">
            <v>136.25555205600003</v>
          </cell>
        </row>
        <row r="34">
          <cell r="F34">
            <v>112.24992238199999</v>
          </cell>
          <cell r="G34">
            <v>94.387593924000001</v>
          </cell>
          <cell r="H34">
            <v>80.877572802000003</v>
          </cell>
          <cell r="I34">
            <v>76.755499001999993</v>
          </cell>
          <cell r="J34">
            <v>80.207274771000002</v>
          </cell>
          <cell r="K34">
            <v>88.767214263</v>
          </cell>
          <cell r="L34">
            <v>106.236036621</v>
          </cell>
          <cell r="M34">
            <v>111.26703159</v>
          </cell>
          <cell r="N34">
            <v>138.80206899000001</v>
          </cell>
          <cell r="O34">
            <v>161.68773008700001</v>
          </cell>
          <cell r="P34">
            <v>182.667704778</v>
          </cell>
          <cell r="Q34">
            <v>203.02988787900003</v>
          </cell>
          <cell r="R34">
            <v>212.843414862</v>
          </cell>
          <cell r="S34">
            <v>210.66016163400002</v>
          </cell>
          <cell r="T34">
            <v>204.94893790800003</v>
          </cell>
          <cell r="U34">
            <v>202.95757626299999</v>
          </cell>
          <cell r="V34">
            <v>194.450216805</v>
          </cell>
          <cell r="W34">
            <v>202.76143793100002</v>
          </cell>
          <cell r="X34">
            <v>213.79259573100001</v>
          </cell>
          <cell r="Y34">
            <v>234.177198723</v>
          </cell>
          <cell r="Z34">
            <v>221.07806896499997</v>
          </cell>
          <cell r="AA34">
            <v>197.25144344099999</v>
          </cell>
          <cell r="AB34">
            <v>166.17359573100001</v>
          </cell>
          <cell r="AC34">
            <v>134.20636362900001</v>
          </cell>
        </row>
        <row r="35">
          <cell r="F35">
            <v>114.818019381</v>
          </cell>
          <cell r="G35">
            <v>99.731393775000001</v>
          </cell>
          <cell r="H35">
            <v>91.826293455000013</v>
          </cell>
          <cell r="I35">
            <v>91.184471586000001</v>
          </cell>
          <cell r="J35">
            <v>108.81993446999999</v>
          </cell>
          <cell r="K35">
            <v>150.32280205800001</v>
          </cell>
          <cell r="L35">
            <v>188.49385912500003</v>
          </cell>
          <cell r="M35">
            <v>191.96838811800001</v>
          </cell>
          <cell r="N35">
            <v>214.55163393300001</v>
          </cell>
          <cell r="O35">
            <v>230.97021058799999</v>
          </cell>
          <cell r="P35">
            <v>253.55372912999999</v>
          </cell>
          <cell r="Q35">
            <v>271.49739083999998</v>
          </cell>
          <cell r="R35">
            <v>273.09041954999998</v>
          </cell>
          <cell r="S35">
            <v>268.463419848</v>
          </cell>
          <cell r="T35">
            <v>271.97261547299996</v>
          </cell>
          <cell r="U35">
            <v>271.43684544600001</v>
          </cell>
          <cell r="V35">
            <v>261.18021068100001</v>
          </cell>
          <cell r="W35">
            <v>257.13898961400002</v>
          </cell>
          <cell r="X35">
            <v>268.271870256</v>
          </cell>
          <cell r="Y35">
            <v>282.50796424500004</v>
          </cell>
          <cell r="Z35">
            <v>262.87258994100006</v>
          </cell>
          <cell r="AA35">
            <v>230.22906414300002</v>
          </cell>
          <cell r="AB35">
            <v>184.75433905500003</v>
          </cell>
          <cell r="AC35">
            <v>147.73377434400001</v>
          </cell>
        </row>
        <row r="36">
          <cell r="F36">
            <v>127.04075607600001</v>
          </cell>
          <cell r="G36">
            <v>108.87031537199999</v>
          </cell>
          <cell r="H36">
            <v>97.442681777999994</v>
          </cell>
          <cell r="I36">
            <v>93.554616401999994</v>
          </cell>
          <cell r="J36">
            <v>101.60233995600001</v>
          </cell>
          <cell r="K36">
            <v>118.56201130800001</v>
          </cell>
          <cell r="L36">
            <v>148.41051392699998</v>
          </cell>
          <cell r="M36">
            <v>162.61728326999997</v>
          </cell>
          <cell r="N36">
            <v>193.62653797500002</v>
          </cell>
          <cell r="O36">
            <v>214.98132614399998</v>
          </cell>
          <cell r="P36">
            <v>234.30405573900003</v>
          </cell>
          <cell r="Q36">
            <v>248.03184720600001</v>
          </cell>
          <cell r="R36">
            <v>247.93912435499999</v>
          </cell>
          <cell r="S36">
            <v>239.31465246000002</v>
          </cell>
          <cell r="T36">
            <v>230.17883475599999</v>
          </cell>
          <cell r="U36">
            <v>224.99967543300002</v>
          </cell>
          <cell r="V36">
            <v>220.74051519</v>
          </cell>
          <cell r="W36">
            <v>231.79778984700005</v>
          </cell>
          <cell r="X36">
            <v>245.814091848</v>
          </cell>
          <cell r="Y36">
            <v>255.15480112200004</v>
          </cell>
          <cell r="Z36">
            <v>235.68044397300002</v>
          </cell>
          <cell r="AA36">
            <v>206.860806126</v>
          </cell>
          <cell r="AB36">
            <v>173.07310831200002</v>
          </cell>
          <cell r="AC36">
            <v>142.40036842199999</v>
          </cell>
        </row>
        <row r="37">
          <cell r="F37">
            <v>115.054698798</v>
          </cell>
          <cell r="G37">
            <v>97.66186770600001</v>
          </cell>
          <cell r="H37">
            <v>87.010874028000003</v>
          </cell>
          <cell r="I37">
            <v>81.450641493000006</v>
          </cell>
          <cell r="J37">
            <v>83.435280200999998</v>
          </cell>
          <cell r="K37">
            <v>90.552545811000002</v>
          </cell>
          <cell r="L37">
            <v>102.813827922</v>
          </cell>
          <cell r="M37">
            <v>105.869184174</v>
          </cell>
          <cell r="N37">
            <v>131.344050474</v>
          </cell>
          <cell r="O37">
            <v>153.07889021100002</v>
          </cell>
          <cell r="P37">
            <v>169.910202384</v>
          </cell>
          <cell r="Q37">
            <v>187.750712682</v>
          </cell>
          <cell r="R37">
            <v>198.57389233500001</v>
          </cell>
          <cell r="S37">
            <v>199.759380327</v>
          </cell>
          <cell r="T37">
            <v>191.352167955</v>
          </cell>
          <cell r="U37">
            <v>187.38751823999999</v>
          </cell>
          <cell r="V37">
            <v>181.23397461000002</v>
          </cell>
          <cell r="W37">
            <v>192.72973800599999</v>
          </cell>
          <cell r="X37">
            <v>210.41849088000001</v>
          </cell>
          <cell r="Y37">
            <v>231.82857336600003</v>
          </cell>
          <cell r="Z37">
            <v>218.643495642</v>
          </cell>
          <cell r="AA37">
            <v>195.31027222200001</v>
          </cell>
          <cell r="AB37">
            <v>161.28356598899998</v>
          </cell>
          <cell r="AC37">
            <v>127.89959504399999</v>
          </cell>
        </row>
        <row r="38">
          <cell r="F38">
            <v>117.732042441</v>
          </cell>
          <cell r="G38">
            <v>101.275548075</v>
          </cell>
          <cell r="H38">
            <v>91.221229124999994</v>
          </cell>
          <cell r="I38">
            <v>86.735194650000011</v>
          </cell>
          <cell r="J38">
            <v>92.069626544999991</v>
          </cell>
          <cell r="K38">
            <v>99.566865801000006</v>
          </cell>
          <cell r="L38">
            <v>114.61897196100001</v>
          </cell>
          <cell r="M38">
            <v>119.404798344</v>
          </cell>
          <cell r="N38">
            <v>145.0556991</v>
          </cell>
          <cell r="O38">
            <v>165.01352329800002</v>
          </cell>
          <cell r="P38">
            <v>187.200561717</v>
          </cell>
          <cell r="Q38">
            <v>209.159145819</v>
          </cell>
          <cell r="R38">
            <v>223.24783735800003</v>
          </cell>
          <cell r="S38">
            <v>216.40840263899997</v>
          </cell>
          <cell r="T38">
            <v>205.568101791</v>
          </cell>
          <cell r="U38">
            <v>199.95162688799999</v>
          </cell>
          <cell r="V38">
            <v>193.75796208600002</v>
          </cell>
          <cell r="W38">
            <v>205.46609756399999</v>
          </cell>
          <cell r="X38">
            <v>225.45019879199998</v>
          </cell>
          <cell r="Y38">
            <v>246.835956627</v>
          </cell>
          <cell r="Z38">
            <v>229.657185927</v>
          </cell>
          <cell r="AA38">
            <v>199.611493029</v>
          </cell>
          <cell r="AB38">
            <v>162.72491086799999</v>
          </cell>
          <cell r="AC38">
            <v>127.814162229</v>
          </cell>
        </row>
        <row r="39">
          <cell r="F39">
            <v>126.09884792700001</v>
          </cell>
          <cell r="G39">
            <v>110.57068163700001</v>
          </cell>
          <cell r="H39">
            <v>102.535018677</v>
          </cell>
          <cell r="I39">
            <v>102.18584586600001</v>
          </cell>
          <cell r="J39">
            <v>119.74821791399999</v>
          </cell>
          <cell r="K39">
            <v>161.41391217899999</v>
          </cell>
          <cell r="L39">
            <v>200.09627609399999</v>
          </cell>
          <cell r="M39">
            <v>205.568439453</v>
          </cell>
          <cell r="N39">
            <v>228.84646812299999</v>
          </cell>
          <cell r="O39">
            <v>245.20818336299999</v>
          </cell>
          <cell r="P39">
            <v>268.74340658100004</v>
          </cell>
          <cell r="Q39">
            <v>288.53864652599998</v>
          </cell>
          <cell r="R39">
            <v>291.89638775700001</v>
          </cell>
          <cell r="S39">
            <v>286.99759611899998</v>
          </cell>
          <cell r="T39">
            <v>289.41995300400004</v>
          </cell>
          <cell r="U39">
            <v>289.60608701699999</v>
          </cell>
          <cell r="V39">
            <v>280.013845527</v>
          </cell>
          <cell r="W39">
            <v>278.38843589700002</v>
          </cell>
          <cell r="X39">
            <v>297.49014839700004</v>
          </cell>
          <cell r="Y39">
            <v>300.53724058799997</v>
          </cell>
          <cell r="Z39">
            <v>279.09447848100001</v>
          </cell>
          <cell r="AA39">
            <v>245.54084536800002</v>
          </cell>
          <cell r="AB39">
            <v>197.88358133700001</v>
          </cell>
          <cell r="AC39">
            <v>159.41847261599997</v>
          </cell>
        </row>
        <row r="40">
          <cell r="F40">
            <v>135.01783900800001</v>
          </cell>
          <cell r="G40">
            <v>117.09728117099999</v>
          </cell>
          <cell r="H40">
            <v>106.50709695600001</v>
          </cell>
          <cell r="I40">
            <v>103.061199969</v>
          </cell>
          <cell r="J40">
            <v>112.437857259</v>
          </cell>
          <cell r="K40">
            <v>130.37789992500001</v>
          </cell>
          <cell r="L40">
            <v>160.64546273100001</v>
          </cell>
          <cell r="M40">
            <v>176.492581083</v>
          </cell>
          <cell r="N40">
            <v>209.55214542600001</v>
          </cell>
          <cell r="O40">
            <v>232.28436944700005</v>
          </cell>
          <cell r="P40">
            <v>253.41428771099999</v>
          </cell>
          <cell r="Q40">
            <v>268.31445895799999</v>
          </cell>
          <cell r="R40">
            <v>269.21462256000001</v>
          </cell>
          <cell r="S40">
            <v>257.34088118700004</v>
          </cell>
          <cell r="T40">
            <v>244.28701978199999</v>
          </cell>
          <cell r="U40">
            <v>238.09969696499999</v>
          </cell>
          <cell r="V40">
            <v>231.58122296400001</v>
          </cell>
          <cell r="W40">
            <v>246.98996946000003</v>
          </cell>
          <cell r="X40">
            <v>269.68129741799999</v>
          </cell>
          <cell r="Y40">
            <v>267.32980626300002</v>
          </cell>
          <cell r="Z40">
            <v>245.93560687799999</v>
          </cell>
          <cell r="AA40">
            <v>217.06483055400003</v>
          </cell>
          <cell r="AB40">
            <v>185.22623468700002</v>
          </cell>
          <cell r="AC40">
            <v>153.19160871299999</v>
          </cell>
        </row>
        <row r="41">
          <cell r="F41">
            <v>128.82991878899998</v>
          </cell>
          <cell r="G41">
            <v>110.41127919899999</v>
          </cell>
          <cell r="H41">
            <v>98.305983944999994</v>
          </cell>
          <cell r="I41">
            <v>92.084717439000002</v>
          </cell>
          <cell r="J41">
            <v>93.653512407000008</v>
          </cell>
          <cell r="K41">
            <v>97.79424852599999</v>
          </cell>
          <cell r="L41">
            <v>111.55270230000001</v>
          </cell>
          <cell r="M41">
            <v>114.98947375500002</v>
          </cell>
          <cell r="N41">
            <v>140.98289797799998</v>
          </cell>
          <cell r="O41">
            <v>162.83093240700001</v>
          </cell>
          <cell r="P41">
            <v>182.477865141</v>
          </cell>
          <cell r="Q41">
            <v>201.13846985700002</v>
          </cell>
          <cell r="R41">
            <v>212.37228546299997</v>
          </cell>
          <cell r="S41">
            <v>211.105195821</v>
          </cell>
          <cell r="T41">
            <v>203.69434608899999</v>
          </cell>
          <cell r="U41">
            <v>200.87266925700001</v>
          </cell>
          <cell r="V41">
            <v>197.08340031900002</v>
          </cell>
          <cell r="W41">
            <v>213.495656634</v>
          </cell>
          <cell r="X41">
            <v>237.92313870000001</v>
          </cell>
          <cell r="Y41">
            <v>244.26431850600002</v>
          </cell>
          <cell r="Z41">
            <v>228.52819138500001</v>
          </cell>
          <cell r="AA41">
            <v>201.41027045100003</v>
          </cell>
          <cell r="AB41">
            <v>167.029339464</v>
          </cell>
          <cell r="AC41">
            <v>132.889633344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110.06542673100002</v>
          </cell>
          <cell r="G43">
            <v>94.964961312</v>
          </cell>
          <cell r="H43">
            <v>87.39609442199999</v>
          </cell>
          <cell r="I43">
            <v>87.618375584999995</v>
          </cell>
          <cell r="J43">
            <v>105.684755787</v>
          </cell>
          <cell r="K43">
            <v>144.48104166600001</v>
          </cell>
          <cell r="L43">
            <v>184.15309723199999</v>
          </cell>
          <cell r="M43">
            <v>190.601999874</v>
          </cell>
          <cell r="N43">
            <v>214.09231404599998</v>
          </cell>
          <cell r="O43">
            <v>229.45933763999997</v>
          </cell>
          <cell r="P43">
            <v>250.77655874700002</v>
          </cell>
          <cell r="Q43">
            <v>270.08783380800003</v>
          </cell>
          <cell r="R43">
            <v>274.171418469</v>
          </cell>
          <cell r="S43">
            <v>269.14706418599997</v>
          </cell>
          <cell r="T43">
            <v>271.86131688300003</v>
          </cell>
          <cell r="U43">
            <v>271.48823500499998</v>
          </cell>
          <cell r="V43">
            <v>262.07552147400003</v>
          </cell>
          <cell r="W43">
            <v>267.64298776800007</v>
          </cell>
          <cell r="X43">
            <v>285.394320666</v>
          </cell>
          <cell r="Y43">
            <v>278.25911135099994</v>
          </cell>
          <cell r="Z43">
            <v>255.36015156600001</v>
          </cell>
          <cell r="AA43">
            <v>221.90238415799999</v>
          </cell>
          <cell r="AB43">
            <v>178.00421593500002</v>
          </cell>
          <cell r="AC43">
            <v>142.88240257199999</v>
          </cell>
        </row>
        <row r="44">
          <cell r="F44">
            <v>125.31970152</v>
          </cell>
          <cell r="G44">
            <v>106.582412898</v>
          </cell>
          <cell r="H44">
            <v>96.830444294999992</v>
          </cell>
          <cell r="I44">
            <v>93.265413228</v>
          </cell>
          <cell r="J44">
            <v>102.95454639599998</v>
          </cell>
          <cell r="K44">
            <v>119.62472020199999</v>
          </cell>
          <cell r="L44">
            <v>150.55872390000002</v>
          </cell>
          <cell r="M44">
            <v>164.452047669</v>
          </cell>
          <cell r="N44">
            <v>195.728401674</v>
          </cell>
          <cell r="O44">
            <v>217.35482593500001</v>
          </cell>
          <cell r="P44">
            <v>238.27896085499998</v>
          </cell>
          <cell r="Q44">
            <v>252.72922779000001</v>
          </cell>
          <cell r="R44">
            <v>254.16845145899998</v>
          </cell>
          <cell r="S44">
            <v>245.11764232799999</v>
          </cell>
          <cell r="T44">
            <v>235.97110169100003</v>
          </cell>
          <cell r="U44">
            <v>232.65946863900004</v>
          </cell>
          <cell r="V44">
            <v>228.66854189399999</v>
          </cell>
          <cell r="W44">
            <v>246.76486578900003</v>
          </cell>
          <cell r="X44">
            <v>268.72827672599993</v>
          </cell>
          <cell r="Y44">
            <v>259.87170982499998</v>
          </cell>
          <cell r="Z44">
            <v>238.55812507799999</v>
          </cell>
          <cell r="AA44">
            <v>210.38958614699999</v>
          </cell>
          <cell r="AB44">
            <v>178.76534071500001</v>
          </cell>
          <cell r="AC44">
            <v>148.122843219</v>
          </cell>
        </row>
        <row r="45">
          <cell r="F45">
            <v>124.169386653</v>
          </cell>
          <cell r="G45">
            <v>105.768413712</v>
          </cell>
          <cell r="H45">
            <v>95.002143093000001</v>
          </cell>
          <cell r="I45">
            <v>89.086339485000011</v>
          </cell>
          <cell r="J45">
            <v>90.928138508999993</v>
          </cell>
          <cell r="K45">
            <v>95.592164147999995</v>
          </cell>
          <cell r="L45">
            <v>110.267859429</v>
          </cell>
          <cell r="M45">
            <v>114.18392910600001</v>
          </cell>
          <cell r="N45">
            <v>139.77519355800001</v>
          </cell>
          <cell r="O45">
            <v>160.76318988600002</v>
          </cell>
          <cell r="P45">
            <v>179.49354345</v>
          </cell>
          <cell r="Q45">
            <v>199.455380631</v>
          </cell>
          <cell r="R45">
            <v>210.09009294000001</v>
          </cell>
          <cell r="S45">
            <v>207.717026049</v>
          </cell>
          <cell r="T45">
            <v>200.09555748000002</v>
          </cell>
          <cell r="U45">
            <v>195.588964584</v>
          </cell>
          <cell r="V45">
            <v>189.44104432500001</v>
          </cell>
          <cell r="W45">
            <v>208.25160993</v>
          </cell>
          <cell r="X45">
            <v>235.12392504900004</v>
          </cell>
          <cell r="Y45">
            <v>232.93476706499999</v>
          </cell>
          <cell r="Z45">
            <v>216.341744697</v>
          </cell>
          <cell r="AA45">
            <v>191.70445764600001</v>
          </cell>
          <cell r="AB45">
            <v>158.92752072600001</v>
          </cell>
          <cell r="AC45">
            <v>127.281119472</v>
          </cell>
        </row>
        <row r="46">
          <cell r="F46">
            <v>112.30246778399999</v>
          </cell>
          <cell r="G46">
            <v>96.295566042000004</v>
          </cell>
          <cell r="H46">
            <v>86.885700993</v>
          </cell>
          <cell r="I46">
            <v>82.146086685</v>
          </cell>
          <cell r="J46">
            <v>87.105016790999997</v>
          </cell>
          <cell r="K46">
            <v>93.182318073000005</v>
          </cell>
          <cell r="L46">
            <v>106.855672365</v>
          </cell>
          <cell r="M46">
            <v>110.72670745500001</v>
          </cell>
          <cell r="N46">
            <v>136.174855167</v>
          </cell>
          <cell r="O46">
            <v>155.00581901999999</v>
          </cell>
          <cell r="P46">
            <v>174.855695274</v>
          </cell>
          <cell r="Q46">
            <v>200.308236921</v>
          </cell>
          <cell r="R46">
            <v>216.72885253500002</v>
          </cell>
          <cell r="S46">
            <v>216.97709038200003</v>
          </cell>
          <cell r="T46">
            <v>206.181360918</v>
          </cell>
          <cell r="U46">
            <v>203.46906060000001</v>
          </cell>
          <cell r="V46">
            <v>201.42101502899999</v>
          </cell>
          <cell r="W46">
            <v>218.54474249400002</v>
          </cell>
          <cell r="X46">
            <v>244.79714481299999</v>
          </cell>
          <cell r="Y46">
            <v>244.27008040499999</v>
          </cell>
          <cell r="Z46">
            <v>222.73622315100002</v>
          </cell>
          <cell r="AA46">
            <v>193.08193678799998</v>
          </cell>
          <cell r="AB46">
            <v>156.53792138400001</v>
          </cell>
          <cell r="AC46">
            <v>123.15667338</v>
          </cell>
        </row>
        <row r="47">
          <cell r="F47">
            <v>124.84513922399999</v>
          </cell>
          <cell r="G47">
            <v>108.74813367599999</v>
          </cell>
          <cell r="H47">
            <v>101.122180263</v>
          </cell>
          <cell r="I47">
            <v>101.62437889500001</v>
          </cell>
          <cell r="J47">
            <v>119.73138676200001</v>
          </cell>
          <cell r="K47">
            <v>158.442014718</v>
          </cell>
          <cell r="L47">
            <v>201.25175545799999</v>
          </cell>
          <cell r="M47">
            <v>211.08281056200002</v>
          </cell>
          <cell r="N47">
            <v>234.46705124700003</v>
          </cell>
          <cell r="O47">
            <v>249.71943859199999</v>
          </cell>
          <cell r="P47">
            <v>270.551729448</v>
          </cell>
          <cell r="Q47">
            <v>290.47296493800002</v>
          </cell>
          <cell r="R47">
            <v>295.48467854099999</v>
          </cell>
          <cell r="S47">
            <v>289.26436008600001</v>
          </cell>
          <cell r="T47">
            <v>289.60061516100001</v>
          </cell>
          <cell r="U47">
            <v>289.260035415</v>
          </cell>
          <cell r="V47">
            <v>281.65278761100001</v>
          </cell>
          <cell r="W47">
            <v>293.29204004100001</v>
          </cell>
          <cell r="X47">
            <v>312.91925418</v>
          </cell>
          <cell r="Y47">
            <v>304.15206814200002</v>
          </cell>
          <cell r="Z47">
            <v>278.80632292499996</v>
          </cell>
          <cell r="AA47">
            <v>241.60613068800001</v>
          </cell>
          <cell r="AB47">
            <v>195.41843661599998</v>
          </cell>
          <cell r="AC47">
            <v>157.495024323</v>
          </cell>
        </row>
        <row r="48">
          <cell r="F48">
            <v>131.37181668000002</v>
          </cell>
          <cell r="G48">
            <v>112.914627345</v>
          </cell>
          <cell r="H48">
            <v>102.39149934000001</v>
          </cell>
          <cell r="I48">
            <v>100.189254789</v>
          </cell>
          <cell r="J48">
            <v>111.51652051800001</v>
          </cell>
          <cell r="K48">
            <v>131.02929754199999</v>
          </cell>
          <cell r="L48">
            <v>165.40778264399998</v>
          </cell>
          <cell r="M48">
            <v>183.70717992900001</v>
          </cell>
          <cell r="N48">
            <v>217.29070911599999</v>
          </cell>
          <cell r="O48">
            <v>238.09141125899998</v>
          </cell>
          <cell r="P48">
            <v>256.32949691699997</v>
          </cell>
          <cell r="Q48">
            <v>267.36613956000002</v>
          </cell>
          <cell r="R48">
            <v>268.94913797700002</v>
          </cell>
          <cell r="S48">
            <v>260.24895187200002</v>
          </cell>
          <cell r="T48">
            <v>250.64961947999998</v>
          </cell>
          <cell r="U48">
            <v>244.852880688</v>
          </cell>
          <cell r="V48">
            <v>238.36779626399999</v>
          </cell>
          <cell r="W48">
            <v>260.16900390000001</v>
          </cell>
          <cell r="X48">
            <v>283.52338747200002</v>
          </cell>
          <cell r="Y48">
            <v>275.08320976499999</v>
          </cell>
          <cell r="Z48">
            <v>252.35635370400001</v>
          </cell>
          <cell r="AA48">
            <v>221.68136706299998</v>
          </cell>
          <cell r="AB48">
            <v>187.64298118799999</v>
          </cell>
          <cell r="AC48">
            <v>154.40028715800003</v>
          </cell>
        </row>
        <row r="49">
          <cell r="F49">
            <v>122.45125417200001</v>
          </cell>
          <cell r="G49">
            <v>103.676454765</v>
          </cell>
          <cell r="H49">
            <v>92.580725600999997</v>
          </cell>
          <cell r="I49">
            <v>87.365155059000003</v>
          </cell>
          <cell r="J49">
            <v>90.016879680000017</v>
          </cell>
          <cell r="K49">
            <v>97.146136619999993</v>
          </cell>
          <cell r="L49">
            <v>113.03679605400001</v>
          </cell>
          <cell r="M49">
            <v>120.37527789299999</v>
          </cell>
          <cell r="N49">
            <v>147.683787381</v>
          </cell>
          <cell r="O49">
            <v>170.50506758999998</v>
          </cell>
          <cell r="P49">
            <v>188.32762985400001</v>
          </cell>
          <cell r="Q49">
            <v>206.22094096499998</v>
          </cell>
          <cell r="R49">
            <v>218.56080741299999</v>
          </cell>
          <cell r="S49">
            <v>220.529515401</v>
          </cell>
          <cell r="T49">
            <v>213.69543998400002</v>
          </cell>
          <cell r="U49">
            <v>207.11386647900002</v>
          </cell>
          <cell r="V49">
            <v>201.14349149700001</v>
          </cell>
          <cell r="W49">
            <v>221.10733733400002</v>
          </cell>
          <cell r="X49">
            <v>248.29063915499998</v>
          </cell>
          <cell r="Y49">
            <v>244.04094210599999</v>
          </cell>
          <cell r="Z49">
            <v>226.94295054600002</v>
          </cell>
          <cell r="AA49">
            <v>201.59248671900002</v>
          </cell>
          <cell r="AB49">
            <v>170.470556802</v>
          </cell>
          <cell r="AC49">
            <v>136.932408522</v>
          </cell>
        </row>
        <row r="50">
          <cell r="F50">
            <v>114.633686232</v>
          </cell>
          <cell r="G50">
            <v>98.067412755000007</v>
          </cell>
          <cell r="H50">
            <v>88.153154270999991</v>
          </cell>
          <cell r="I50">
            <v>83.642474798999999</v>
          </cell>
          <cell r="J50">
            <v>89.096001813000001</v>
          </cell>
          <cell r="K50">
            <v>99.270515448000012</v>
          </cell>
          <cell r="L50">
            <v>111.889000665</v>
          </cell>
          <cell r="M50">
            <v>113.89828004099999</v>
          </cell>
          <cell r="N50">
            <v>141.21320077799999</v>
          </cell>
          <cell r="O50">
            <v>162.67204512000001</v>
          </cell>
          <cell r="P50">
            <v>186.22487438100001</v>
          </cell>
          <cell r="Q50">
            <v>208.86266126699999</v>
          </cell>
          <cell r="R50">
            <v>223.89404450400002</v>
          </cell>
          <cell r="S50">
            <v>224.378095968</v>
          </cell>
          <cell r="T50">
            <v>214.374945798</v>
          </cell>
          <cell r="U50">
            <v>207.11173228200002</v>
          </cell>
          <cell r="V50">
            <v>204.24825895500001</v>
          </cell>
          <cell r="W50">
            <v>228.45996201600002</v>
          </cell>
          <cell r="X50">
            <v>254.96549395200003</v>
          </cell>
          <cell r="Y50">
            <v>252.00603370799999</v>
          </cell>
          <cell r="Z50">
            <v>229.69720753199996</v>
          </cell>
          <cell r="AA50">
            <v>197.16026604300001</v>
          </cell>
          <cell r="AB50">
            <v>159.05854223999998</v>
          </cell>
          <cell r="AC50">
            <v>123.795824256</v>
          </cell>
        </row>
        <row r="51">
          <cell r="F51">
            <v>124.53622178400001</v>
          </cell>
          <cell r="G51">
            <v>107.031936258</v>
          </cell>
          <cell r="H51">
            <v>97.612880742000002</v>
          </cell>
          <cell r="I51">
            <v>96.330314924999996</v>
          </cell>
          <cell r="J51">
            <v>109.412886258</v>
          </cell>
          <cell r="K51">
            <v>136.46694145499998</v>
          </cell>
          <cell r="L51">
            <v>171.01062552600001</v>
          </cell>
          <cell r="M51">
            <v>184.68756423000002</v>
          </cell>
          <cell r="N51">
            <v>213.657002793</v>
          </cell>
          <cell r="O51">
            <v>230.48514613799998</v>
          </cell>
          <cell r="P51">
            <v>250.502675904</v>
          </cell>
          <cell r="Q51">
            <v>269.58308972400005</v>
          </cell>
          <cell r="R51">
            <v>277.35790878900002</v>
          </cell>
          <cell r="S51">
            <v>272.325853215</v>
          </cell>
          <cell r="T51">
            <v>272.70656712000005</v>
          </cell>
          <cell r="U51">
            <v>271.71366768000001</v>
          </cell>
          <cell r="V51">
            <v>263.50513043399997</v>
          </cell>
          <cell r="W51">
            <v>269.852189022</v>
          </cell>
          <cell r="X51">
            <v>293.06252511899999</v>
          </cell>
          <cell r="Y51">
            <v>287.33043561300002</v>
          </cell>
          <cell r="Z51">
            <v>264.59189991000005</v>
          </cell>
          <cell r="AA51">
            <v>233.92097820000001</v>
          </cell>
          <cell r="AB51">
            <v>194.282957232</v>
          </cell>
          <cell r="AC51">
            <v>159.12924779699998</v>
          </cell>
        </row>
        <row r="52">
          <cell r="F52">
            <v>133.79479694099999</v>
          </cell>
          <cell r="G52">
            <v>113.72764817700001</v>
          </cell>
          <cell r="H52">
            <v>102.77115696899999</v>
          </cell>
          <cell r="I52">
            <v>98.587957689000007</v>
          </cell>
          <cell r="J52">
            <v>107.136195894</v>
          </cell>
          <cell r="K52">
            <v>124.09270707600001</v>
          </cell>
          <cell r="L52">
            <v>152.14408595100002</v>
          </cell>
          <cell r="M52">
            <v>164.80139796899999</v>
          </cell>
          <cell r="N52">
            <v>197.15410587600002</v>
          </cell>
          <cell r="O52">
            <v>218.826131823</v>
          </cell>
          <cell r="P52">
            <v>235.79385511499999</v>
          </cell>
          <cell r="Q52">
            <v>248.09629302900001</v>
          </cell>
          <cell r="R52">
            <v>250.42087512000001</v>
          </cell>
          <cell r="S52">
            <v>243.06020715600002</v>
          </cell>
          <cell r="T52">
            <v>234.423124884</v>
          </cell>
          <cell r="U52">
            <v>228.01996678500004</v>
          </cell>
          <cell r="V52">
            <v>221.74344059399999</v>
          </cell>
          <cell r="W52">
            <v>238.07036366099999</v>
          </cell>
          <cell r="X52">
            <v>267.97279696200002</v>
          </cell>
          <cell r="Y52">
            <v>260.90507242799998</v>
          </cell>
          <cell r="Z52">
            <v>236.53355134500001</v>
          </cell>
          <cell r="AA52">
            <v>209.82412350900003</v>
          </cell>
          <cell r="AB52">
            <v>180.73701406799998</v>
          </cell>
          <cell r="AC52">
            <v>153.07490320200003</v>
          </cell>
        </row>
        <row r="53">
          <cell r="F53">
            <v>133.02074576699999</v>
          </cell>
          <cell r="G53">
            <v>111.61573254</v>
          </cell>
          <cell r="H53">
            <v>99.899428239000002</v>
          </cell>
          <cell r="I53">
            <v>93.217989032999995</v>
          </cell>
          <cell r="J53">
            <v>93.032829044999986</v>
          </cell>
          <cell r="K53">
            <v>99.811181574000003</v>
          </cell>
          <cell r="L53">
            <v>111.524195835</v>
          </cell>
          <cell r="M53">
            <v>112.04062389000001</v>
          </cell>
          <cell r="N53">
            <v>138.59171855099999</v>
          </cell>
          <cell r="O53">
            <v>160.73186957099998</v>
          </cell>
          <cell r="P53">
            <v>178.68272174999998</v>
          </cell>
          <cell r="Q53">
            <v>195.75342762299999</v>
          </cell>
          <cell r="R53">
            <v>206.792442558</v>
          </cell>
          <cell r="S53">
            <v>208.78683450300002</v>
          </cell>
          <cell r="T53">
            <v>202.79000500199999</v>
          </cell>
          <cell r="U53">
            <v>199.35230714100001</v>
          </cell>
          <cell r="V53">
            <v>194.80034199600001</v>
          </cell>
          <cell r="W53">
            <v>210.18019241699997</v>
          </cell>
          <cell r="X53">
            <v>237.91429888199997</v>
          </cell>
          <cell r="Y53">
            <v>238.71171799800001</v>
          </cell>
          <cell r="Z53">
            <v>226.95282932399999</v>
          </cell>
          <cell r="AA53">
            <v>205.17325803</v>
          </cell>
          <cell r="AB53">
            <v>174.196981647</v>
          </cell>
          <cell r="AC53">
            <v>140.57030531699999</v>
          </cell>
        </row>
        <row r="54">
          <cell r="F54">
            <v>127.10895514199999</v>
          </cell>
          <cell r="G54">
            <v>110.995940952</v>
          </cell>
          <cell r="H54">
            <v>98.223577101000004</v>
          </cell>
          <cell r="I54">
            <v>89.409135699000004</v>
          </cell>
          <cell r="J54">
            <v>87.08549733000001</v>
          </cell>
          <cell r="K54">
            <v>89.457767684999993</v>
          </cell>
          <cell r="L54">
            <v>94.258503144000002</v>
          </cell>
          <cell r="M54">
            <v>87.971474799000006</v>
          </cell>
          <cell r="N54">
            <v>107.517113262</v>
          </cell>
          <cell r="O54">
            <v>127.64010612599999</v>
          </cell>
          <cell r="P54">
            <v>146.896956999</v>
          </cell>
          <cell r="Q54">
            <v>165.23863995599999</v>
          </cell>
          <cell r="R54">
            <v>179.580443796</v>
          </cell>
          <cell r="S54">
            <v>181.94540679899998</v>
          </cell>
          <cell r="T54">
            <v>176.95657196100001</v>
          </cell>
          <cell r="U54">
            <v>176.24689301699999</v>
          </cell>
          <cell r="V54">
            <v>174.583751823</v>
          </cell>
          <cell r="W54">
            <v>189.73787086799999</v>
          </cell>
          <cell r="X54">
            <v>223.29428752800001</v>
          </cell>
          <cell r="Y54">
            <v>223.94922193799999</v>
          </cell>
          <cell r="Z54">
            <v>209.52217575899999</v>
          </cell>
          <cell r="AA54">
            <v>187.63595089199998</v>
          </cell>
          <cell r="AB54">
            <v>159.06962447999999</v>
          </cell>
          <cell r="AC54">
            <v>128.29585871699999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  <sheetName val="kWh"/>
    </sheetNames>
    <sheetDataSet>
      <sheetData sheetId="0">
        <row r="7">
          <cell r="F7">
            <v>179.04083481000001</v>
          </cell>
          <cell r="G7">
            <v>162.91153201499998</v>
          </cell>
          <cell r="H7">
            <v>153.97637449499999</v>
          </cell>
          <cell r="I7">
            <v>152.82850040999998</v>
          </cell>
          <cell r="J7">
            <v>168.26297291999998</v>
          </cell>
          <cell r="K7">
            <v>202.60074496499999</v>
          </cell>
          <cell r="L7">
            <v>238.61453242499996</v>
          </cell>
          <cell r="M7">
            <v>241.39873948499996</v>
          </cell>
          <cell r="N7">
            <v>267.84052420499995</v>
          </cell>
          <cell r="O7">
            <v>284.83032442499996</v>
          </cell>
          <cell r="P7">
            <v>307.73604590999997</v>
          </cell>
          <cell r="Q7">
            <v>327.57984589499995</v>
          </cell>
          <cell r="R7">
            <v>334.46245504499996</v>
          </cell>
          <cell r="S7">
            <v>330.69537157500002</v>
          </cell>
          <cell r="T7">
            <v>333.69207308999995</v>
          </cell>
          <cell r="U7">
            <v>333.27012221999996</v>
          </cell>
          <cell r="V7">
            <v>323.84099348999996</v>
          </cell>
          <cell r="W7">
            <v>325.79199850499998</v>
          </cell>
          <cell r="X7">
            <v>341.59803974999994</v>
          </cell>
          <cell r="Y7">
            <v>350.40853975499999</v>
          </cell>
          <cell r="Z7">
            <v>329.75730233999991</v>
          </cell>
          <cell r="AA7">
            <v>296.53207933499993</v>
          </cell>
          <cell r="AB7">
            <v>251.53582940999996</v>
          </cell>
          <cell r="AC7">
            <v>213.54239087999997</v>
          </cell>
        </row>
        <row r="8">
          <cell r="F8">
            <v>182.71113556499998</v>
          </cell>
          <cell r="G8">
            <v>165.086212725</v>
          </cell>
          <cell r="H8">
            <v>154.97712679499998</v>
          </cell>
          <cell r="I8">
            <v>151.36097440499998</v>
          </cell>
          <cell r="J8">
            <v>160.46045230499999</v>
          </cell>
          <cell r="K8">
            <v>177.62342471999997</v>
          </cell>
          <cell r="L8">
            <v>204.94728634499998</v>
          </cell>
          <cell r="M8">
            <v>211.21838424000001</v>
          </cell>
          <cell r="N8">
            <v>241.91549599499999</v>
          </cell>
          <cell r="O8">
            <v>264.64481932500001</v>
          </cell>
          <cell r="P8">
            <v>284.07446712000001</v>
          </cell>
          <cell r="Q8">
            <v>300.38288507999999</v>
          </cell>
          <cell r="R8">
            <v>303.86187152999997</v>
          </cell>
          <cell r="S8">
            <v>296.67602997</v>
          </cell>
          <cell r="T8">
            <v>287.84519153999997</v>
          </cell>
          <cell r="U8">
            <v>283.29585191999996</v>
          </cell>
          <cell r="V8">
            <v>278.59680270000001</v>
          </cell>
          <cell r="W8">
            <v>292.04909896499993</v>
          </cell>
          <cell r="X8">
            <v>314.63576360999997</v>
          </cell>
          <cell r="Y8">
            <v>321.31418593499995</v>
          </cell>
          <cell r="Z8">
            <v>301.53182012999997</v>
          </cell>
          <cell r="AA8">
            <v>272.80959489000003</v>
          </cell>
          <cell r="AB8">
            <v>241.31815703999999</v>
          </cell>
          <cell r="AC8">
            <v>209.85992622000001</v>
          </cell>
        </row>
        <row r="9">
          <cell r="F9">
            <v>182.781127935</v>
          </cell>
          <cell r="G9">
            <v>163.71208295999998</v>
          </cell>
          <cell r="H9">
            <v>151.54503812999997</v>
          </cell>
          <cell r="I9">
            <v>145.18235272500002</v>
          </cell>
          <cell r="J9">
            <v>146.97270962999997</v>
          </cell>
          <cell r="K9">
            <v>154.25256208499999</v>
          </cell>
          <cell r="L9">
            <v>166.85332627499997</v>
          </cell>
          <cell r="M9">
            <v>162.69195532499998</v>
          </cell>
          <cell r="N9">
            <v>186.64905788999997</v>
          </cell>
          <cell r="O9">
            <v>208.71616288499996</v>
          </cell>
          <cell r="P9">
            <v>226.11657221999999</v>
          </cell>
          <cell r="Q9">
            <v>246.17458925999995</v>
          </cell>
          <cell r="R9">
            <v>259.26027318000001</v>
          </cell>
          <cell r="S9">
            <v>262.27824880499998</v>
          </cell>
          <cell r="T9">
            <v>256.53829112999995</v>
          </cell>
          <cell r="U9">
            <v>251.27874701999997</v>
          </cell>
          <cell r="V9">
            <v>246.38365417499995</v>
          </cell>
          <cell r="W9">
            <v>261.82083195000001</v>
          </cell>
          <cell r="X9">
            <v>285.77643898499997</v>
          </cell>
          <cell r="Y9">
            <v>299.31460294499993</v>
          </cell>
          <cell r="Z9">
            <v>284.93578277999995</v>
          </cell>
          <cell r="AA9">
            <v>260.20920262499999</v>
          </cell>
          <cell r="AB9">
            <v>227.45285959499998</v>
          </cell>
          <cell r="AC9">
            <v>192.83025955499997</v>
          </cell>
        </row>
        <row r="10">
          <cell r="F10">
            <v>176.03254880999998</v>
          </cell>
          <cell r="G10">
            <v>162.33177140999999</v>
          </cell>
          <cell r="H10">
            <v>149.31828400499995</v>
          </cell>
          <cell r="I10">
            <v>141.71863086000002</v>
          </cell>
          <cell r="J10">
            <v>141.48100210499999</v>
          </cell>
          <cell r="K10">
            <v>146.20357264499998</v>
          </cell>
          <cell r="L10">
            <v>149.51954240999996</v>
          </cell>
          <cell r="M10">
            <v>137.43979424999998</v>
          </cell>
          <cell r="N10">
            <v>154.67598107999999</v>
          </cell>
          <cell r="O10">
            <v>172.86496145999999</v>
          </cell>
          <cell r="P10">
            <v>192.45687425999998</v>
          </cell>
          <cell r="Q10">
            <v>213.44953882499999</v>
          </cell>
          <cell r="R10">
            <v>228.80948539499997</v>
          </cell>
          <cell r="S10">
            <v>231.326986995</v>
          </cell>
          <cell r="T10">
            <v>226.56138668999998</v>
          </cell>
          <cell r="U10">
            <v>221.40668236499999</v>
          </cell>
          <cell r="V10">
            <v>217.89452412</v>
          </cell>
          <cell r="W10">
            <v>236.10827861999999</v>
          </cell>
          <cell r="X10">
            <v>266.67700969499998</v>
          </cell>
          <cell r="Y10">
            <v>277.29031630499998</v>
          </cell>
          <cell r="Z10">
            <v>262.30828468499999</v>
          </cell>
          <cell r="AA10">
            <v>238.53717202499999</v>
          </cell>
          <cell r="AB10">
            <v>209.61656590499996</v>
          </cell>
          <cell r="AC10">
            <v>180.32995034999999</v>
          </cell>
        </row>
        <row r="11">
          <cell r="F11">
            <v>198.81714410999999</v>
          </cell>
          <cell r="G11">
            <v>181.88832392999998</v>
          </cell>
          <cell r="H11">
            <v>173.21519344499998</v>
          </cell>
          <cell r="I11">
            <v>172.91436484499997</v>
          </cell>
          <cell r="J11">
            <v>194.54556982499997</v>
          </cell>
          <cell r="K11">
            <v>244.483642035</v>
          </cell>
          <cell r="L11">
            <v>286.09268093999998</v>
          </cell>
          <cell r="M11">
            <v>285.09561265499997</v>
          </cell>
          <cell r="N11">
            <v>311.81187019499998</v>
          </cell>
          <cell r="O11">
            <v>330.14953835999995</v>
          </cell>
          <cell r="P11">
            <v>355.46302007999998</v>
          </cell>
          <cell r="Q11">
            <v>374.88998218499995</v>
          </cell>
          <cell r="R11">
            <v>376.42122481499996</v>
          </cell>
          <cell r="S11">
            <v>370.80325462499997</v>
          </cell>
          <cell r="T11">
            <v>374.23392997499997</v>
          </cell>
          <cell r="U11">
            <v>374.21665307999996</v>
          </cell>
          <cell r="V11">
            <v>363.72119971499995</v>
          </cell>
          <cell r="W11">
            <v>360.61781053499999</v>
          </cell>
          <cell r="X11">
            <v>370.12406476499996</v>
          </cell>
          <cell r="Y11">
            <v>386.34318940499998</v>
          </cell>
          <cell r="Z11">
            <v>363.86177170499997</v>
          </cell>
          <cell r="AA11">
            <v>325.14198322499999</v>
          </cell>
          <cell r="AB11">
            <v>273.87318293999999</v>
          </cell>
          <cell r="AC11">
            <v>231.68178778499998</v>
          </cell>
        </row>
        <row r="12">
          <cell r="F12">
            <v>208.93274851499999</v>
          </cell>
          <cell r="G12">
            <v>189.55084414499999</v>
          </cell>
          <cell r="H12">
            <v>177.82206790499998</v>
          </cell>
          <cell r="I12">
            <v>174.63426740999998</v>
          </cell>
          <cell r="J12">
            <v>184.62763376999999</v>
          </cell>
          <cell r="K12">
            <v>205.91400946499996</v>
          </cell>
          <cell r="L12">
            <v>240.64846105499998</v>
          </cell>
          <cell r="M12">
            <v>254.12294362499998</v>
          </cell>
          <cell r="N12">
            <v>291.36701983500001</v>
          </cell>
          <cell r="O12">
            <v>315.82668703500002</v>
          </cell>
          <cell r="P12">
            <v>339.12230728499998</v>
          </cell>
          <cell r="Q12">
            <v>354.52073047499999</v>
          </cell>
          <cell r="R12">
            <v>356.17708867499994</v>
          </cell>
          <cell r="S12">
            <v>343.50203344499994</v>
          </cell>
          <cell r="T12">
            <v>331.52424754499992</v>
          </cell>
          <cell r="U12">
            <v>325.65265582499995</v>
          </cell>
          <cell r="V12">
            <v>318.62831193</v>
          </cell>
          <cell r="W12">
            <v>329.61319119000001</v>
          </cell>
          <cell r="X12">
            <v>346.28636578499999</v>
          </cell>
          <cell r="Y12">
            <v>358.99036852499995</v>
          </cell>
          <cell r="Z12">
            <v>336.69850729499996</v>
          </cell>
          <cell r="AA12">
            <v>305.58165664499995</v>
          </cell>
          <cell r="AB12">
            <v>270.59182177499997</v>
          </cell>
          <cell r="AC12">
            <v>236.30116283999993</v>
          </cell>
        </row>
        <row r="13">
          <cell r="F13">
            <v>207.977973975</v>
          </cell>
          <cell r="G13">
            <v>187.464196125</v>
          </cell>
          <cell r="H13">
            <v>174.52801822499998</v>
          </cell>
          <cell r="I13">
            <v>167.991009615</v>
          </cell>
          <cell r="J13">
            <v>170.05602725999998</v>
          </cell>
          <cell r="K13">
            <v>178.50794458499999</v>
          </cell>
          <cell r="L13">
            <v>194.69711164499998</v>
          </cell>
          <cell r="M13">
            <v>194.15939813999998</v>
          </cell>
          <cell r="N13">
            <v>223.85614909500001</v>
          </cell>
          <cell r="O13">
            <v>248.339134035</v>
          </cell>
          <cell r="P13">
            <v>269.02937659499997</v>
          </cell>
          <cell r="Q13">
            <v>289.38476137499993</v>
          </cell>
          <cell r="R13">
            <v>302.42174269499998</v>
          </cell>
          <cell r="S13">
            <v>299.73525795</v>
          </cell>
          <cell r="T13">
            <v>289.47760168500002</v>
          </cell>
          <cell r="U13">
            <v>284.32587667499996</v>
          </cell>
          <cell r="V13">
            <v>278.96819917499994</v>
          </cell>
          <cell r="W13">
            <v>291.90272102999995</v>
          </cell>
          <cell r="X13">
            <v>313.23676967999995</v>
          </cell>
          <cell r="Y13">
            <v>337.19155064999995</v>
          </cell>
          <cell r="Z13">
            <v>323.80962259499995</v>
          </cell>
          <cell r="AA13">
            <v>298.2512772</v>
          </cell>
          <cell r="AB13">
            <v>259.13544731999997</v>
          </cell>
          <cell r="AC13">
            <v>219.74744663999999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180.16014113999995</v>
          </cell>
          <cell r="G15">
            <v>163.93510485000002</v>
          </cell>
          <cell r="H15">
            <v>155.40188471999997</v>
          </cell>
          <cell r="I15">
            <v>154.81454467499998</v>
          </cell>
          <cell r="J15">
            <v>172.20152164499999</v>
          </cell>
          <cell r="K15">
            <v>214.02786653999999</v>
          </cell>
          <cell r="L15">
            <v>250.22533797</v>
          </cell>
          <cell r="M15">
            <v>252.40410985499994</v>
          </cell>
          <cell r="N15">
            <v>276.75118165499998</v>
          </cell>
          <cell r="O15">
            <v>293.16120560999997</v>
          </cell>
          <cell r="P15">
            <v>315.11298253499996</v>
          </cell>
          <cell r="Q15">
            <v>332.59065439499994</v>
          </cell>
          <cell r="R15">
            <v>334.56946374</v>
          </cell>
          <cell r="S15">
            <v>329.40869899500001</v>
          </cell>
          <cell r="T15">
            <v>331.99189037999992</v>
          </cell>
          <cell r="U15">
            <v>332.17090375499998</v>
          </cell>
          <cell r="V15">
            <v>323.170874685</v>
          </cell>
          <cell r="W15">
            <v>322.19168228999996</v>
          </cell>
          <cell r="X15">
            <v>331.02508895999995</v>
          </cell>
          <cell r="Y15">
            <v>344.67776666999998</v>
          </cell>
          <cell r="Z15">
            <v>325.13999049</v>
          </cell>
          <cell r="AA15">
            <v>292.57978895999997</v>
          </cell>
          <cell r="AB15">
            <v>250.03009300499997</v>
          </cell>
          <cell r="AC15">
            <v>213.00822827999994</v>
          </cell>
        </row>
        <row r="16">
          <cell r="F16">
            <v>185.53977395999999</v>
          </cell>
          <cell r="G16">
            <v>167.23853878499997</v>
          </cell>
          <cell r="H16">
            <v>156.92973695999999</v>
          </cell>
          <cell r="I16">
            <v>153.49425790499998</v>
          </cell>
          <cell r="J16">
            <v>161.44551719999998</v>
          </cell>
          <cell r="K16">
            <v>177.83544545999999</v>
          </cell>
          <cell r="L16">
            <v>206.06041088999999</v>
          </cell>
          <cell r="M16">
            <v>216.74982509999998</v>
          </cell>
          <cell r="N16">
            <v>249.00701345999997</v>
          </cell>
          <cell r="O16">
            <v>270.03986549999996</v>
          </cell>
          <cell r="P16">
            <v>290.69319352499997</v>
          </cell>
          <cell r="Q16">
            <v>304.51829566499998</v>
          </cell>
          <cell r="R16">
            <v>306.48774033000001</v>
          </cell>
          <cell r="S16">
            <v>296.74820299499999</v>
          </cell>
          <cell r="T16">
            <v>288.31521860999999</v>
          </cell>
          <cell r="U16">
            <v>283.15519771499999</v>
          </cell>
          <cell r="V16">
            <v>277.31435440499996</v>
          </cell>
          <cell r="W16">
            <v>291.72642857999995</v>
          </cell>
          <cell r="X16">
            <v>307.91738870999995</v>
          </cell>
          <cell r="Y16">
            <v>316.22851872000001</v>
          </cell>
          <cell r="Z16">
            <v>296.59617962999999</v>
          </cell>
          <cell r="AA16">
            <v>269.86327159500001</v>
          </cell>
          <cell r="AB16">
            <v>239.91145838999998</v>
          </cell>
          <cell r="AC16">
            <v>209.72072447999997</v>
          </cell>
        </row>
        <row r="17">
          <cell r="F17">
            <v>184.03785859499996</v>
          </cell>
          <cell r="G17">
            <v>165.83419696499999</v>
          </cell>
          <cell r="H17">
            <v>154.15198181999997</v>
          </cell>
          <cell r="I17">
            <v>148.18426119</v>
          </cell>
          <cell r="J17">
            <v>150.18210917999997</v>
          </cell>
          <cell r="K17">
            <v>157.08867812999998</v>
          </cell>
          <cell r="L17">
            <v>169.22793428999998</v>
          </cell>
          <cell r="M17">
            <v>169.36120871999998</v>
          </cell>
          <cell r="N17">
            <v>195.19286809499999</v>
          </cell>
          <cell r="O17">
            <v>216.75586202999995</v>
          </cell>
          <cell r="P17">
            <v>232.27024360499996</v>
          </cell>
          <cell r="Q17">
            <v>248.56939475999997</v>
          </cell>
          <cell r="R17">
            <v>259.43799460499997</v>
          </cell>
          <cell r="S17">
            <v>258.64278372000001</v>
          </cell>
          <cell r="T17">
            <v>251.62991077499996</v>
          </cell>
          <cell r="U17">
            <v>245.64105305999999</v>
          </cell>
          <cell r="V17">
            <v>241.42927648499995</v>
          </cell>
          <cell r="W17">
            <v>256.56074756999993</v>
          </cell>
          <cell r="X17">
            <v>276.41551347000001</v>
          </cell>
          <cell r="Y17">
            <v>293.66925515999998</v>
          </cell>
          <cell r="Z17">
            <v>280.71305986499999</v>
          </cell>
          <cell r="AA17">
            <v>258.28063447499994</v>
          </cell>
          <cell r="AB17">
            <v>225.90194800499995</v>
          </cell>
          <cell r="AC17">
            <v>191.74784818499998</v>
          </cell>
        </row>
        <row r="18">
          <cell r="F18">
            <v>174.86549905499996</v>
          </cell>
          <cell r="G18">
            <v>157.00492453499996</v>
          </cell>
          <cell r="H18">
            <v>146.97402507000001</v>
          </cell>
          <cell r="I18">
            <v>141.66665140499998</v>
          </cell>
          <cell r="J18">
            <v>145.32319093499999</v>
          </cell>
          <cell r="K18">
            <v>153.89495815500001</v>
          </cell>
          <cell r="L18">
            <v>166.94913023999996</v>
          </cell>
          <cell r="M18">
            <v>168.64842032999999</v>
          </cell>
          <cell r="N18">
            <v>194.13082646999996</v>
          </cell>
          <cell r="O18">
            <v>209.57578334999999</v>
          </cell>
          <cell r="P18">
            <v>221.59712753999997</v>
          </cell>
          <cell r="Q18">
            <v>239.90918377499995</v>
          </cell>
          <cell r="R18">
            <v>253.27203403499999</v>
          </cell>
          <cell r="S18">
            <v>251.70354800999993</v>
          </cell>
          <cell r="T18">
            <v>244.37393198999999</v>
          </cell>
          <cell r="U18">
            <v>240.82341457500002</v>
          </cell>
          <cell r="V18">
            <v>236.79113291999997</v>
          </cell>
          <cell r="W18">
            <v>253.47004690499998</v>
          </cell>
          <cell r="X18">
            <v>271.17706337999994</v>
          </cell>
          <cell r="Y18">
            <v>282.00730796999994</v>
          </cell>
          <cell r="Z18">
            <v>264.179913075</v>
          </cell>
          <cell r="AA18">
            <v>244.19298460499996</v>
          </cell>
          <cell r="AB18">
            <v>219.62061238499996</v>
          </cell>
          <cell r="AC18">
            <v>193.27538722499997</v>
          </cell>
        </row>
        <row r="19">
          <cell r="F19">
            <v>181.14848289</v>
          </cell>
          <cell r="G19">
            <v>165.66300575999998</v>
          </cell>
          <cell r="H19">
            <v>157.68110767499996</v>
          </cell>
          <cell r="I19">
            <v>157.84533409499997</v>
          </cell>
          <cell r="J19">
            <v>177.95460239999997</v>
          </cell>
          <cell r="K19">
            <v>222.81844310999998</v>
          </cell>
          <cell r="L19">
            <v>260.85141530999999</v>
          </cell>
          <cell r="M19">
            <v>263.43825156000003</v>
          </cell>
          <cell r="N19">
            <v>287.13722643</v>
          </cell>
          <cell r="O19">
            <v>303.97043056500002</v>
          </cell>
          <cell r="P19">
            <v>326.56204377</v>
          </cell>
          <cell r="Q19">
            <v>344.76900574499996</v>
          </cell>
          <cell r="R19">
            <v>346.44388189499995</v>
          </cell>
          <cell r="S19">
            <v>340.730471835</v>
          </cell>
          <cell r="T19">
            <v>343.34450167499995</v>
          </cell>
          <cell r="U19">
            <v>342.42261313499995</v>
          </cell>
          <cell r="V19">
            <v>331.89117308999994</v>
          </cell>
          <cell r="W19">
            <v>334.173637665</v>
          </cell>
          <cell r="X19">
            <v>349.10542417499994</v>
          </cell>
          <cell r="Y19">
            <v>357.73043931000001</v>
          </cell>
          <cell r="Z19">
            <v>335.51737136999998</v>
          </cell>
          <cell r="AA19">
            <v>300.55723568999997</v>
          </cell>
          <cell r="AB19">
            <v>252.70666496999999</v>
          </cell>
          <cell r="AC19">
            <v>213.63300747000002</v>
          </cell>
        </row>
        <row r="20">
          <cell r="F20">
            <v>189.950401215</v>
          </cell>
          <cell r="G20">
            <v>173.57659100999999</v>
          </cell>
          <cell r="H20">
            <v>161.57441857499998</v>
          </cell>
          <cell r="I20">
            <v>158.47268935499997</v>
          </cell>
          <cell r="J20">
            <v>168.80165342999999</v>
          </cell>
          <cell r="K20">
            <v>187.13611912499996</v>
          </cell>
          <cell r="L20">
            <v>220.64665558499996</v>
          </cell>
          <cell r="M20">
            <v>237.15240128999997</v>
          </cell>
          <cell r="N20">
            <v>270.79801699499995</v>
          </cell>
          <cell r="O20">
            <v>293.82664598999997</v>
          </cell>
          <cell r="P20">
            <v>314.45138668499999</v>
          </cell>
          <cell r="Q20">
            <v>329.84827519499993</v>
          </cell>
          <cell r="R20">
            <v>332.66526646499995</v>
          </cell>
          <cell r="S20">
            <v>320.18995453499997</v>
          </cell>
          <cell r="T20">
            <v>309.17573626499995</v>
          </cell>
          <cell r="U20">
            <v>301.97958650999993</v>
          </cell>
          <cell r="V20">
            <v>295.12355629499996</v>
          </cell>
          <cell r="W20">
            <v>310.18597460999996</v>
          </cell>
          <cell r="X20">
            <v>329.71125802499995</v>
          </cell>
          <cell r="Y20">
            <v>334.09650433499996</v>
          </cell>
          <cell r="Z20">
            <v>311.93094883499998</v>
          </cell>
          <cell r="AA20">
            <v>282.58417147500001</v>
          </cell>
          <cell r="AB20">
            <v>248.38658774999999</v>
          </cell>
          <cell r="AC20">
            <v>214.90897643999998</v>
          </cell>
        </row>
        <row r="21">
          <cell r="F21">
            <v>189.14423615999996</v>
          </cell>
          <cell r="G21">
            <v>170.10092447999997</v>
          </cell>
          <cell r="H21">
            <v>158.00255658</v>
          </cell>
          <cell r="I21">
            <v>151.92300005999999</v>
          </cell>
          <cell r="J21">
            <v>153.73531228499996</v>
          </cell>
          <cell r="K21">
            <v>160.16278702499997</v>
          </cell>
          <cell r="L21">
            <v>174.81985798499997</v>
          </cell>
          <cell r="M21">
            <v>176.576659425</v>
          </cell>
          <cell r="N21">
            <v>203.87517925499998</v>
          </cell>
          <cell r="O21">
            <v>226.07638474499998</v>
          </cell>
          <cell r="P21">
            <v>244.50825563999999</v>
          </cell>
          <cell r="Q21">
            <v>263.40634039499997</v>
          </cell>
          <cell r="R21">
            <v>274.25530651500003</v>
          </cell>
          <cell r="S21">
            <v>273.59401994999996</v>
          </cell>
          <cell r="T21">
            <v>264.64963477499998</v>
          </cell>
          <cell r="U21">
            <v>258.88613620500001</v>
          </cell>
          <cell r="V21">
            <v>253.52403083999997</v>
          </cell>
          <cell r="W21">
            <v>269.57825959500002</v>
          </cell>
          <cell r="X21">
            <v>295.37620690499995</v>
          </cell>
          <cell r="Y21">
            <v>308.19622675499994</v>
          </cell>
          <cell r="Z21">
            <v>294.01004416499995</v>
          </cell>
          <cell r="AA21">
            <v>268.36697425499995</v>
          </cell>
          <cell r="AB21">
            <v>233.51201896499995</v>
          </cell>
          <cell r="AC21">
            <v>196.09524427499997</v>
          </cell>
        </row>
        <row r="22">
          <cell r="F22">
            <v>189.36384416999996</v>
          </cell>
          <cell r="G22">
            <v>170.38940908499998</v>
          </cell>
          <cell r="H22">
            <v>158.21395483499998</v>
          </cell>
          <cell r="I22">
            <v>152.07151949999999</v>
          </cell>
          <cell r="J22">
            <v>153.75288280499998</v>
          </cell>
          <cell r="K22">
            <v>160.071246495</v>
          </cell>
          <cell r="L22">
            <v>174.89971223999999</v>
          </cell>
          <cell r="M22">
            <v>176.56619854499996</v>
          </cell>
          <cell r="N22">
            <v>204.023722185</v>
          </cell>
          <cell r="O22">
            <v>226.43419616999998</v>
          </cell>
          <cell r="P22">
            <v>245.232330975</v>
          </cell>
          <cell r="Q22">
            <v>264.08029198499997</v>
          </cell>
          <cell r="R22">
            <v>274.74165522000004</v>
          </cell>
          <cell r="S22">
            <v>274.16397739500002</v>
          </cell>
          <cell r="T22">
            <v>265.28928313499995</v>
          </cell>
          <cell r="U22">
            <v>259.62380442</v>
          </cell>
          <cell r="V22">
            <v>254.26346863499995</v>
          </cell>
          <cell r="W22">
            <v>270.33224161499999</v>
          </cell>
          <cell r="X22">
            <v>296.20910749500001</v>
          </cell>
          <cell r="Y22">
            <v>309.39925927499996</v>
          </cell>
          <cell r="Z22">
            <v>295.32414523499995</v>
          </cell>
          <cell r="AA22">
            <v>269.53914091500002</v>
          </cell>
          <cell r="AB22">
            <v>233.98313440499996</v>
          </cell>
          <cell r="AC22">
            <v>196.17275735999999</v>
          </cell>
        </row>
        <row r="23">
          <cell r="F23">
            <v>154.59727000499996</v>
          </cell>
          <cell r="G23">
            <v>137.00345184</v>
          </cell>
          <cell r="H23">
            <v>127.83346087499999</v>
          </cell>
          <cell r="I23">
            <v>126.23515429499999</v>
          </cell>
          <cell r="J23">
            <v>137.03524946999997</v>
          </cell>
          <cell r="K23">
            <v>154.62066212999997</v>
          </cell>
          <cell r="L23">
            <v>189.86141326499998</v>
          </cell>
          <cell r="M23">
            <v>206.64209375999997</v>
          </cell>
          <cell r="N23">
            <v>240.55912075499995</v>
          </cell>
          <cell r="O23">
            <v>263.48266723499995</v>
          </cell>
          <cell r="P23">
            <v>284.04886693499998</v>
          </cell>
          <cell r="Q23">
            <v>304.69632245999992</v>
          </cell>
          <cell r="R23">
            <v>315.95339209499997</v>
          </cell>
          <cell r="S23">
            <v>305.47221281999998</v>
          </cell>
          <cell r="T23">
            <v>294.76172416499998</v>
          </cell>
          <cell r="U23">
            <v>286.54029854999993</v>
          </cell>
          <cell r="V23">
            <v>276.67952149500002</v>
          </cell>
          <cell r="W23">
            <v>287.13083714999999</v>
          </cell>
          <cell r="X23">
            <v>308.50263031499998</v>
          </cell>
          <cell r="Y23">
            <v>319.76324693999999</v>
          </cell>
          <cell r="Z23">
            <v>296.70458597999999</v>
          </cell>
          <cell r="AA23">
            <v>262.67431760999995</v>
          </cell>
          <cell r="AB23">
            <v>219.992874075</v>
          </cell>
          <cell r="AC23">
            <v>180.97806685499998</v>
          </cell>
        </row>
        <row r="24">
          <cell r="F24">
            <v>142.41532076999999</v>
          </cell>
          <cell r="G24">
            <v>128.20008104999999</v>
          </cell>
          <cell r="H24">
            <v>120.25346886</v>
          </cell>
          <cell r="I24">
            <v>120.92052613499999</v>
          </cell>
          <cell r="J24">
            <v>138.934357245</v>
          </cell>
          <cell r="K24">
            <v>166.14445288499996</v>
          </cell>
          <cell r="L24">
            <v>213.96259957500001</v>
          </cell>
          <cell r="M24">
            <v>234.34767571499995</v>
          </cell>
          <cell r="N24">
            <v>265.92989458499994</v>
          </cell>
          <cell r="O24">
            <v>286.32893944499995</v>
          </cell>
          <cell r="P24">
            <v>308.15651299500001</v>
          </cell>
          <cell r="Q24">
            <v>331.38189814499998</v>
          </cell>
          <cell r="R24">
            <v>342.18320697000001</v>
          </cell>
          <cell r="S24">
            <v>329.90131952999991</v>
          </cell>
          <cell r="T24">
            <v>325.14648155999998</v>
          </cell>
          <cell r="U24">
            <v>320.47910860499996</v>
          </cell>
          <cell r="V24">
            <v>309.28807327499999</v>
          </cell>
          <cell r="W24">
            <v>311.82921364499992</v>
          </cell>
          <cell r="X24">
            <v>331.90625366999996</v>
          </cell>
          <cell r="Y24">
            <v>347.52561596999999</v>
          </cell>
          <cell r="Z24">
            <v>319.87244020499998</v>
          </cell>
          <cell r="AA24">
            <v>279.97395484499998</v>
          </cell>
          <cell r="AB24">
            <v>227.07451007999998</v>
          </cell>
          <cell r="AC24">
            <v>180.06539813999999</v>
          </cell>
        </row>
        <row r="25">
          <cell r="F25">
            <v>149.77301125499997</v>
          </cell>
          <cell r="G25">
            <v>133.65568052999998</v>
          </cell>
          <cell r="H25">
            <v>125.50154201999999</v>
          </cell>
          <cell r="I25">
            <v>126.25025836499999</v>
          </cell>
          <cell r="J25">
            <v>144.73799239499999</v>
          </cell>
          <cell r="K25">
            <v>172.31453203499998</v>
          </cell>
          <cell r="L25">
            <v>220.69194039000001</v>
          </cell>
          <cell r="M25">
            <v>241.68625708499997</v>
          </cell>
          <cell r="N25">
            <v>273.82007987999998</v>
          </cell>
          <cell r="O25">
            <v>293.55635047499999</v>
          </cell>
          <cell r="P25">
            <v>315.36394577999994</v>
          </cell>
          <cell r="Q25">
            <v>337.91683963499992</v>
          </cell>
          <cell r="R25">
            <v>348.56049923999996</v>
          </cell>
          <cell r="S25">
            <v>337.67828693999996</v>
          </cell>
          <cell r="T25">
            <v>329.52962943</v>
          </cell>
          <cell r="U25">
            <v>323.46365795999998</v>
          </cell>
          <cell r="V25">
            <v>311.27557783499992</v>
          </cell>
          <cell r="W25">
            <v>314.82190228499996</v>
          </cell>
          <cell r="X25">
            <v>336.89507161499995</v>
          </cell>
          <cell r="Y25">
            <v>352.99279601999996</v>
          </cell>
          <cell r="Z25">
            <v>323.42360750999995</v>
          </cell>
          <cell r="AA25">
            <v>284.286804975</v>
          </cell>
          <cell r="AB25">
            <v>234.23472796499996</v>
          </cell>
          <cell r="AC25">
            <v>185.85933974999998</v>
          </cell>
        </row>
        <row r="26">
          <cell r="F26">
            <v>152.90321427000001</v>
          </cell>
          <cell r="G26">
            <v>134.48123266499999</v>
          </cell>
          <cell r="H26">
            <v>124.47687689999998</v>
          </cell>
          <cell r="I26">
            <v>123.25196735999999</v>
          </cell>
          <cell r="J26">
            <v>135.61266374999997</v>
          </cell>
          <cell r="K26">
            <v>151.38954215999999</v>
          </cell>
          <cell r="L26">
            <v>187.73420975999997</v>
          </cell>
          <cell r="M26">
            <v>205.74522206999995</v>
          </cell>
          <cell r="N26">
            <v>235.69447094999998</v>
          </cell>
          <cell r="O26">
            <v>259.10129285999994</v>
          </cell>
          <cell r="P26">
            <v>282.99276044999999</v>
          </cell>
          <cell r="Q26">
            <v>304.24493470499999</v>
          </cell>
          <cell r="R26">
            <v>314.24571607500002</v>
          </cell>
          <cell r="S26">
            <v>303.35766259500002</v>
          </cell>
          <cell r="T26">
            <v>295.15348647000002</v>
          </cell>
          <cell r="U26">
            <v>290.75985814499995</v>
          </cell>
          <cell r="V26">
            <v>278.86507024500003</v>
          </cell>
          <cell r="W26">
            <v>284.03967842999998</v>
          </cell>
          <cell r="X26">
            <v>307.87724821499995</v>
          </cell>
          <cell r="Y26">
            <v>322.32377830499996</v>
          </cell>
          <cell r="Z26">
            <v>298.90697705999997</v>
          </cell>
          <cell r="AA26">
            <v>264.24095966999994</v>
          </cell>
          <cell r="AB26">
            <v>223.09345228499998</v>
          </cell>
          <cell r="AC26">
            <v>181.94982466499999</v>
          </cell>
        </row>
        <row r="27">
          <cell r="F27">
            <v>173.05483504499998</v>
          </cell>
          <cell r="G27">
            <v>156.47270768999999</v>
          </cell>
          <cell r="H27">
            <v>147.45407062499999</v>
          </cell>
          <cell r="I27">
            <v>147.61240496999997</v>
          </cell>
          <cell r="J27">
            <v>164.96736898499998</v>
          </cell>
          <cell r="K27">
            <v>197.71004083499997</v>
          </cell>
          <cell r="L27">
            <v>238.34251039499998</v>
          </cell>
          <cell r="M27">
            <v>251.02063498499996</v>
          </cell>
          <cell r="N27">
            <v>280.00030670999996</v>
          </cell>
          <cell r="O27">
            <v>297.42128545500003</v>
          </cell>
          <cell r="P27">
            <v>320.43753130499999</v>
          </cell>
          <cell r="Q27">
            <v>341.20994188499992</v>
          </cell>
          <cell r="R27">
            <v>347.75988956999993</v>
          </cell>
          <cell r="S27">
            <v>340.86328037999994</v>
          </cell>
          <cell r="T27">
            <v>342.23396885999995</v>
          </cell>
          <cell r="U27">
            <v>340.72077046499993</v>
          </cell>
          <cell r="V27">
            <v>330.06080488499992</v>
          </cell>
          <cell r="W27">
            <v>330.29334413999999</v>
          </cell>
          <cell r="X27">
            <v>338.99553958499996</v>
          </cell>
          <cell r="Y27">
            <v>352.72768004999995</v>
          </cell>
          <cell r="Z27">
            <v>329.94302602499999</v>
          </cell>
          <cell r="AA27">
            <v>294.12528610499993</v>
          </cell>
          <cell r="AB27">
            <v>247.70167024499997</v>
          </cell>
          <cell r="AC27">
            <v>207.98825476499999</v>
          </cell>
        </row>
        <row r="28">
          <cell r="F28">
            <v>183.47377364999997</v>
          </cell>
          <cell r="G28">
            <v>164.20064363999995</v>
          </cell>
          <cell r="H28">
            <v>154.49737094999998</v>
          </cell>
          <cell r="I28">
            <v>150.76572214499998</v>
          </cell>
          <cell r="J28">
            <v>161.11728751499999</v>
          </cell>
          <cell r="K28">
            <v>178.02968818499997</v>
          </cell>
          <cell r="L28">
            <v>212.44627700999996</v>
          </cell>
          <cell r="M28">
            <v>224.33013422999997</v>
          </cell>
          <cell r="N28">
            <v>257.01536520000002</v>
          </cell>
          <cell r="O28">
            <v>279.53435515499996</v>
          </cell>
          <cell r="P28">
            <v>300.22136783999997</v>
          </cell>
          <cell r="Q28">
            <v>314.45736880499999</v>
          </cell>
          <cell r="R28">
            <v>315.02992581000001</v>
          </cell>
          <cell r="S28">
            <v>302.67003590999997</v>
          </cell>
          <cell r="T28">
            <v>293.65513766999999</v>
          </cell>
          <cell r="U28">
            <v>291.28886077499993</v>
          </cell>
          <cell r="V28">
            <v>285.25499621999995</v>
          </cell>
          <cell r="W28">
            <v>299.72899003499998</v>
          </cell>
          <cell r="X28">
            <v>314.21297884499995</v>
          </cell>
          <cell r="Y28">
            <v>326.69691943499998</v>
          </cell>
          <cell r="Z28">
            <v>304.66877651999994</v>
          </cell>
          <cell r="AA28">
            <v>274.711646745</v>
          </cell>
          <cell r="AB28">
            <v>240.67261268999999</v>
          </cell>
          <cell r="AC28">
            <v>208.20969108</v>
          </cell>
        </row>
        <row r="29">
          <cell r="F29">
            <v>183.13087445999997</v>
          </cell>
          <cell r="G29">
            <v>163.99365367499999</v>
          </cell>
          <cell r="H29">
            <v>151.019508105</v>
          </cell>
          <cell r="I29">
            <v>144.31755271500001</v>
          </cell>
          <cell r="J29">
            <v>145.60438580999997</v>
          </cell>
          <cell r="K29">
            <v>150.68982986999998</v>
          </cell>
          <cell r="L29">
            <v>165.33116644499998</v>
          </cell>
          <cell r="M29">
            <v>167.04195880499998</v>
          </cell>
          <cell r="N29">
            <v>192.91771282499997</v>
          </cell>
          <cell r="O29">
            <v>215.45415584999998</v>
          </cell>
          <cell r="P29">
            <v>232.82845604999994</v>
          </cell>
          <cell r="Q29">
            <v>251.88382593</v>
          </cell>
          <cell r="R29">
            <v>264.28787702999995</v>
          </cell>
          <cell r="S29">
            <v>264.939795</v>
          </cell>
          <cell r="T29">
            <v>257.41030648499998</v>
          </cell>
          <cell r="U29">
            <v>251.47673248499996</v>
          </cell>
          <cell r="V29">
            <v>244.96963447499996</v>
          </cell>
          <cell r="W29">
            <v>260.52237913499994</v>
          </cell>
          <cell r="X29">
            <v>276.56286232499997</v>
          </cell>
          <cell r="Y29">
            <v>292.13316184500002</v>
          </cell>
          <cell r="Z29">
            <v>276.47459473499993</v>
          </cell>
          <cell r="AA29">
            <v>253.30760180999999</v>
          </cell>
          <cell r="AB29">
            <v>222.99904205999997</v>
          </cell>
          <cell r="AC29">
            <v>189.99955012499998</v>
          </cell>
        </row>
        <row r="30">
          <cell r="F30">
            <v>171.28135570499998</v>
          </cell>
          <cell r="G30">
            <v>154.56110323499999</v>
          </cell>
          <cell r="H30">
            <v>143.50845924000001</v>
          </cell>
          <cell r="I30">
            <v>139.05567917999997</v>
          </cell>
          <cell r="J30">
            <v>143.60099417999999</v>
          </cell>
          <cell r="K30">
            <v>150.05322737999998</v>
          </cell>
          <cell r="L30">
            <v>166.11102661499999</v>
          </cell>
          <cell r="M30">
            <v>170.83785275999998</v>
          </cell>
          <cell r="N30">
            <v>203.202503955</v>
          </cell>
          <cell r="O30">
            <v>223.23281062499998</v>
          </cell>
          <cell r="P30">
            <v>247.32355171499995</v>
          </cell>
          <cell r="Q30">
            <v>271.61241529499995</v>
          </cell>
          <cell r="R30">
            <v>288.00268807500004</v>
          </cell>
          <cell r="S30">
            <v>281.98144939499997</v>
          </cell>
          <cell r="T30">
            <v>269.88335162999994</v>
          </cell>
          <cell r="U30">
            <v>262.66308938999998</v>
          </cell>
          <cell r="V30">
            <v>255.46957834499997</v>
          </cell>
          <cell r="W30">
            <v>274.761523845</v>
          </cell>
          <cell r="X30">
            <v>299.31802074000001</v>
          </cell>
          <cell r="Y30">
            <v>315.06969046499995</v>
          </cell>
          <cell r="Z30">
            <v>295.7439546</v>
          </cell>
          <cell r="AA30">
            <v>260.52670129499995</v>
          </cell>
          <cell r="AB30">
            <v>225.04927274999997</v>
          </cell>
          <cell r="AC30">
            <v>188.58729609</v>
          </cell>
        </row>
        <row r="31">
          <cell r="F31">
            <v>171.31105489499998</v>
          </cell>
          <cell r="G31">
            <v>155.04625394999999</v>
          </cell>
          <cell r="H31">
            <v>146.19117384</v>
          </cell>
          <cell r="I31">
            <v>145.10885642999997</v>
          </cell>
          <cell r="J31">
            <v>162.37550587499999</v>
          </cell>
          <cell r="K31">
            <v>201.46786924499997</v>
          </cell>
          <cell r="L31">
            <v>238.76453173499996</v>
          </cell>
          <cell r="M31">
            <v>242.33665212</v>
          </cell>
          <cell r="N31">
            <v>267.07375970999993</v>
          </cell>
          <cell r="O31">
            <v>284.329979595</v>
          </cell>
          <cell r="P31">
            <v>307.66512568499996</v>
          </cell>
          <cell r="Q31">
            <v>326.43195223499998</v>
          </cell>
          <cell r="R31">
            <v>328.84634056499993</v>
          </cell>
          <cell r="S31">
            <v>322.882206075</v>
          </cell>
          <cell r="T31">
            <v>326.43497852999997</v>
          </cell>
          <cell r="U31">
            <v>325.80539563499997</v>
          </cell>
          <cell r="V31">
            <v>315.39548893499995</v>
          </cell>
          <cell r="W31">
            <v>313.83219028499997</v>
          </cell>
          <cell r="X31">
            <v>320.57852220000001</v>
          </cell>
          <cell r="Y31">
            <v>339.65231606999993</v>
          </cell>
          <cell r="Z31">
            <v>319.29695086499999</v>
          </cell>
          <cell r="AA31">
            <v>286.81336196999996</v>
          </cell>
          <cell r="AB31">
            <v>241.47564182999997</v>
          </cell>
          <cell r="AC31">
            <v>201.68236034999998</v>
          </cell>
        </row>
        <row r="32">
          <cell r="F32">
            <v>169.18762544999998</v>
          </cell>
          <cell r="G32">
            <v>151.25917265999999</v>
          </cell>
          <cell r="H32">
            <v>141.77892968999998</v>
          </cell>
          <cell r="I32">
            <v>138.75162853499998</v>
          </cell>
          <cell r="J32">
            <v>147.62280712499998</v>
          </cell>
          <cell r="K32">
            <v>163.95374808</v>
          </cell>
          <cell r="L32">
            <v>195.57021537</v>
          </cell>
          <cell r="M32">
            <v>210.10915511999997</v>
          </cell>
          <cell r="N32">
            <v>243.16338266999998</v>
          </cell>
          <cell r="O32">
            <v>264.85298770499998</v>
          </cell>
          <cell r="P32">
            <v>286.20348326999999</v>
          </cell>
          <cell r="Q32">
            <v>301.57370671499996</v>
          </cell>
          <cell r="R32">
            <v>301.73217416999995</v>
          </cell>
          <cell r="S32">
            <v>291.56047955999998</v>
          </cell>
          <cell r="T32">
            <v>282.68445811499998</v>
          </cell>
          <cell r="U32">
            <v>278.87608313999999</v>
          </cell>
          <cell r="V32">
            <v>274.13288837999994</v>
          </cell>
          <cell r="W32">
            <v>285.43767794999997</v>
          </cell>
          <cell r="X32">
            <v>294.05815560000002</v>
          </cell>
          <cell r="Y32">
            <v>312.23302240499993</v>
          </cell>
          <cell r="Z32">
            <v>292.29227135999997</v>
          </cell>
          <cell r="AA32">
            <v>265.16798077499993</v>
          </cell>
          <cell r="AB32">
            <v>232.39097828999996</v>
          </cell>
          <cell r="AC32">
            <v>200.87679037499998</v>
          </cell>
        </row>
        <row r="33">
          <cell r="F33">
            <v>175.04384687999996</v>
          </cell>
          <cell r="G33">
            <v>156.50472456</v>
          </cell>
          <cell r="H33">
            <v>144.36929726999998</v>
          </cell>
          <cell r="I33">
            <v>138.05909243999997</v>
          </cell>
          <cell r="J33">
            <v>139.68701990999998</v>
          </cell>
          <cell r="K33">
            <v>145.24466386499998</v>
          </cell>
          <cell r="L33">
            <v>158.306137425</v>
          </cell>
          <cell r="M33">
            <v>159.44754392999999</v>
          </cell>
          <cell r="N33">
            <v>185.76232604999998</v>
          </cell>
          <cell r="O33">
            <v>208.48004923499997</v>
          </cell>
          <cell r="P33">
            <v>227.93209082999996</v>
          </cell>
          <cell r="Q33">
            <v>247.79403683999996</v>
          </cell>
          <cell r="R33">
            <v>258.99067844999996</v>
          </cell>
          <cell r="S33">
            <v>259.56051452999998</v>
          </cell>
          <cell r="T33">
            <v>253.47934111499998</v>
          </cell>
          <cell r="U33">
            <v>248.77665094499997</v>
          </cell>
          <cell r="V33">
            <v>244.47316157999998</v>
          </cell>
          <cell r="W33">
            <v>258.48951538499995</v>
          </cell>
          <cell r="X33">
            <v>269.79927700499996</v>
          </cell>
          <cell r="Y33">
            <v>289.46577838499996</v>
          </cell>
          <cell r="Z33">
            <v>274.11074122500003</v>
          </cell>
          <cell r="AA33">
            <v>253.00258024499999</v>
          </cell>
          <cell r="AB33">
            <v>221.34062065499995</v>
          </cell>
          <cell r="AC33">
            <v>191.58167209499999</v>
          </cell>
        </row>
        <row r="34">
          <cell r="F34">
            <v>166.54480861499999</v>
          </cell>
          <cell r="G34">
            <v>148.47191581499999</v>
          </cell>
          <cell r="H34">
            <v>135.03302059499998</v>
          </cell>
          <cell r="I34">
            <v>130.75717112999996</v>
          </cell>
          <cell r="J34">
            <v>134.49880709999999</v>
          </cell>
          <cell r="K34">
            <v>143.19016582499998</v>
          </cell>
          <cell r="L34">
            <v>160.88000719499999</v>
          </cell>
          <cell r="M34">
            <v>164.26859237999994</v>
          </cell>
          <cell r="N34">
            <v>192.38498702999999</v>
          </cell>
          <cell r="O34">
            <v>215.91594967499995</v>
          </cell>
          <cell r="P34">
            <v>237.62070184500001</v>
          </cell>
          <cell r="Q34">
            <v>258.32701939499998</v>
          </cell>
          <cell r="R34">
            <v>268.52799428999998</v>
          </cell>
          <cell r="S34">
            <v>265.95253894499996</v>
          </cell>
          <cell r="T34">
            <v>259.33293949499995</v>
          </cell>
          <cell r="U34">
            <v>256.79798482500001</v>
          </cell>
          <cell r="V34">
            <v>248.35477837499997</v>
          </cell>
          <cell r="W34">
            <v>260.41620042</v>
          </cell>
          <cell r="X34">
            <v>272.28189595499998</v>
          </cell>
          <cell r="Y34">
            <v>293.52211379999994</v>
          </cell>
          <cell r="Z34">
            <v>279.79940848499996</v>
          </cell>
          <cell r="AA34">
            <v>254.94611543999997</v>
          </cell>
          <cell r="AB34">
            <v>222.8172921</v>
          </cell>
          <cell r="AC34">
            <v>189.95500134</v>
          </cell>
        </row>
        <row r="35">
          <cell r="F35">
            <v>169.94628589499999</v>
          </cell>
          <cell r="G35">
            <v>154.51043530499999</v>
          </cell>
          <cell r="H35">
            <v>146.51261882999998</v>
          </cell>
          <cell r="I35">
            <v>145.91194820999996</v>
          </cell>
          <cell r="J35">
            <v>164.84189323499999</v>
          </cell>
          <cell r="K35">
            <v>207.45238913999998</v>
          </cell>
          <cell r="L35">
            <v>246.51648229499997</v>
          </cell>
          <cell r="M35">
            <v>248.483926395</v>
          </cell>
          <cell r="N35">
            <v>271.62372181499995</v>
          </cell>
          <cell r="O35">
            <v>288.66924031499997</v>
          </cell>
          <cell r="P35">
            <v>311.92053102</v>
          </cell>
          <cell r="Q35">
            <v>330.40435396499998</v>
          </cell>
          <cell r="R35">
            <v>332.10617705999994</v>
          </cell>
          <cell r="S35">
            <v>327.10257998999998</v>
          </cell>
          <cell r="T35">
            <v>330.52269266999997</v>
          </cell>
          <cell r="U35">
            <v>329.92946054999999</v>
          </cell>
          <cell r="V35">
            <v>319.46054305499996</v>
          </cell>
          <cell r="W35">
            <v>318.36107402999994</v>
          </cell>
          <cell r="X35">
            <v>329.89446436499998</v>
          </cell>
          <cell r="Y35">
            <v>344.53252017</v>
          </cell>
          <cell r="Z35">
            <v>324.23636150999994</v>
          </cell>
          <cell r="AA35">
            <v>290.20000531499994</v>
          </cell>
          <cell r="AB35">
            <v>243.51207997499998</v>
          </cell>
          <cell r="AC35">
            <v>204.46668877499997</v>
          </cell>
        </row>
        <row r="36">
          <cell r="F36">
            <v>183.04091950499998</v>
          </cell>
          <cell r="G36">
            <v>164.44604366999999</v>
          </cell>
          <cell r="H36">
            <v>153.03807035999998</v>
          </cell>
          <cell r="I36">
            <v>149.04318869999997</v>
          </cell>
          <cell r="J36">
            <v>157.59200227499997</v>
          </cell>
          <cell r="K36">
            <v>175.16895070499999</v>
          </cell>
          <cell r="L36">
            <v>206.16411532499998</v>
          </cell>
          <cell r="M36">
            <v>219.06322600499996</v>
          </cell>
          <cell r="N36">
            <v>250.96635742499996</v>
          </cell>
          <cell r="O36">
            <v>272.86229861999993</v>
          </cell>
          <cell r="P36">
            <v>292.84972820999997</v>
          </cell>
          <cell r="Q36">
            <v>306.84392702999997</v>
          </cell>
          <cell r="R36">
            <v>306.94509845999994</v>
          </cell>
          <cell r="S36">
            <v>297.58003087499998</v>
          </cell>
          <cell r="T36">
            <v>287.92317442499996</v>
          </cell>
          <cell r="U36">
            <v>282.60478786500005</v>
          </cell>
          <cell r="V36">
            <v>277.90923082499995</v>
          </cell>
          <cell r="W36">
            <v>292.08549671999998</v>
          </cell>
          <cell r="X36">
            <v>306.75072262499998</v>
          </cell>
          <cell r="Y36">
            <v>316.49308267499998</v>
          </cell>
          <cell r="Z36">
            <v>296.38355989499996</v>
          </cell>
          <cell r="AA36">
            <v>267.03631664999995</v>
          </cell>
          <cell r="AB36">
            <v>232.55294183999996</v>
          </cell>
          <cell r="AC36">
            <v>200.95595167499999</v>
          </cell>
        </row>
        <row r="37">
          <cell r="F37">
            <v>172.04644457999999</v>
          </cell>
          <cell r="G37">
            <v>154.07859123</v>
          </cell>
          <cell r="H37">
            <v>143.01811723499998</v>
          </cell>
          <cell r="I37">
            <v>137.28580946999998</v>
          </cell>
          <cell r="J37">
            <v>139.24854382499998</v>
          </cell>
          <cell r="K37">
            <v>146.603591685</v>
          </cell>
          <cell r="L37">
            <v>159.145763985</v>
          </cell>
          <cell r="M37">
            <v>160.59777092999997</v>
          </cell>
          <cell r="N37">
            <v>186.91305025499997</v>
          </cell>
          <cell r="O37">
            <v>209.28429202499998</v>
          </cell>
          <cell r="P37">
            <v>226.73635587000001</v>
          </cell>
          <cell r="Q37">
            <v>245.01982868999997</v>
          </cell>
          <cell r="R37">
            <v>256.197862305</v>
          </cell>
          <cell r="S37">
            <v>257.06115503999996</v>
          </cell>
          <cell r="T37">
            <v>248.27497892999997</v>
          </cell>
          <cell r="U37">
            <v>243.91992901500001</v>
          </cell>
          <cell r="V37">
            <v>237.59513689499997</v>
          </cell>
          <cell r="W37">
            <v>252.26372578499999</v>
          </cell>
          <cell r="X37">
            <v>270.7421382</v>
          </cell>
          <cell r="Y37">
            <v>292.14835595999995</v>
          </cell>
          <cell r="Z37">
            <v>278.39384518499998</v>
          </cell>
          <cell r="AA37">
            <v>254.54173900499995</v>
          </cell>
          <cell r="AB37">
            <v>219.97706138999999</v>
          </cell>
          <cell r="AC37">
            <v>185.705194455</v>
          </cell>
        </row>
        <row r="38">
          <cell r="F38">
            <v>173.49345598499997</v>
          </cell>
          <cell r="G38">
            <v>156.60656154</v>
          </cell>
          <cell r="H38">
            <v>146.21804639999996</v>
          </cell>
          <cell r="I38">
            <v>141.78986428499999</v>
          </cell>
          <cell r="J38">
            <v>147.012419475</v>
          </cell>
          <cell r="K38">
            <v>154.69240450499998</v>
          </cell>
          <cell r="L38">
            <v>169.82580568500001</v>
          </cell>
          <cell r="M38">
            <v>173.01194230499996</v>
          </cell>
          <cell r="N38">
            <v>199.48871929499995</v>
          </cell>
          <cell r="O38">
            <v>220.40898376499999</v>
          </cell>
          <cell r="P38">
            <v>243.33750620999996</v>
          </cell>
          <cell r="Q38">
            <v>265.94166698999999</v>
          </cell>
          <cell r="R38">
            <v>280.11108554999998</v>
          </cell>
          <cell r="S38">
            <v>273.36935375999997</v>
          </cell>
          <cell r="T38">
            <v>262.04553337499999</v>
          </cell>
          <cell r="U38">
            <v>256.21070741999995</v>
          </cell>
          <cell r="V38">
            <v>249.89706130499999</v>
          </cell>
          <cell r="W38">
            <v>264.82796693999995</v>
          </cell>
          <cell r="X38">
            <v>285.41223827999994</v>
          </cell>
          <cell r="Y38">
            <v>306.95993239499995</v>
          </cell>
          <cell r="Z38">
            <v>289.30704471000001</v>
          </cell>
          <cell r="AA38">
            <v>258.65094257999999</v>
          </cell>
          <cell r="AB38">
            <v>220.81300393499998</v>
          </cell>
          <cell r="AC38">
            <v>185.04286258499997</v>
          </cell>
        </row>
        <row r="39">
          <cell r="F39">
            <v>167.32694339999995</v>
          </cell>
          <cell r="G39">
            <v>151.50571586999999</v>
          </cell>
          <cell r="H39">
            <v>143.30978864999997</v>
          </cell>
          <cell r="I39">
            <v>143.03366761499998</v>
          </cell>
          <cell r="J39">
            <v>161.93838046499999</v>
          </cell>
          <cell r="K39">
            <v>204.46504838999999</v>
          </cell>
          <cell r="L39">
            <v>244.06023087</v>
          </cell>
          <cell r="M39">
            <v>247.98766882500001</v>
          </cell>
          <cell r="N39">
            <v>271.74759632999996</v>
          </cell>
          <cell r="O39">
            <v>288.78860474999999</v>
          </cell>
          <cell r="P39">
            <v>312.90871616999999</v>
          </cell>
          <cell r="Q39">
            <v>333.02217743999995</v>
          </cell>
          <cell r="R39">
            <v>336.28991831999991</v>
          </cell>
          <cell r="S39">
            <v>331.06360081499997</v>
          </cell>
          <cell r="T39">
            <v>333.47803612499996</v>
          </cell>
          <cell r="U39">
            <v>333.6231181949999</v>
          </cell>
          <cell r="V39">
            <v>323.76942337499997</v>
          </cell>
          <cell r="W39">
            <v>325.13717951999996</v>
          </cell>
          <cell r="X39">
            <v>344.78933633999992</v>
          </cell>
          <cell r="Y39">
            <v>347.76838903499998</v>
          </cell>
          <cell r="Z39">
            <v>325.729937925</v>
          </cell>
          <cell r="AA39">
            <v>290.83542939</v>
          </cell>
          <cell r="AB39">
            <v>242.38018691999997</v>
          </cell>
          <cell r="AC39">
            <v>202.11682356</v>
          </cell>
        </row>
        <row r="40">
          <cell r="F40">
            <v>177.364827225</v>
          </cell>
          <cell r="G40">
            <v>159.14058443999997</v>
          </cell>
          <cell r="H40">
            <v>148.38161242499999</v>
          </cell>
          <cell r="I40">
            <v>144.91377980999997</v>
          </cell>
          <cell r="J40">
            <v>154.63915659</v>
          </cell>
          <cell r="K40">
            <v>172.88111474999997</v>
          </cell>
          <cell r="L40">
            <v>204.183947475</v>
          </cell>
          <cell r="M40">
            <v>218.67288092999999</v>
          </cell>
          <cell r="N40">
            <v>252.48274654499997</v>
          </cell>
          <cell r="O40">
            <v>275.71526482499996</v>
          </cell>
          <cell r="P40">
            <v>297.32084221499997</v>
          </cell>
          <cell r="Q40">
            <v>312.34312786499999</v>
          </cell>
          <cell r="R40">
            <v>313.03517458499999</v>
          </cell>
          <cell r="S40">
            <v>300.70194583499995</v>
          </cell>
          <cell r="T40">
            <v>287.51721241499996</v>
          </cell>
          <cell r="U40">
            <v>281.23614301499998</v>
          </cell>
          <cell r="V40">
            <v>274.51632739499996</v>
          </cell>
          <cell r="W40">
            <v>292.87427917499997</v>
          </cell>
          <cell r="X40">
            <v>316.13873993999994</v>
          </cell>
          <cell r="Y40">
            <v>313.80578360999993</v>
          </cell>
          <cell r="Z40">
            <v>291.86439709499996</v>
          </cell>
          <cell r="AA40">
            <v>262.24010887499998</v>
          </cell>
          <cell r="AB40">
            <v>229.80344908499998</v>
          </cell>
          <cell r="AC40">
            <v>196.93253357999998</v>
          </cell>
        </row>
        <row r="41">
          <cell r="F41">
            <v>170.93592742499996</v>
          </cell>
          <cell r="G41">
            <v>152.34536983499999</v>
          </cell>
          <cell r="H41">
            <v>139.924327635</v>
          </cell>
          <cell r="I41">
            <v>133.61261552999997</v>
          </cell>
          <cell r="J41">
            <v>135.22121073</v>
          </cell>
          <cell r="K41">
            <v>139.75829639999995</v>
          </cell>
          <cell r="L41">
            <v>153.70987652999997</v>
          </cell>
          <cell r="M41">
            <v>155.57877224999999</v>
          </cell>
          <cell r="N41">
            <v>182.34325084499997</v>
          </cell>
          <cell r="O41">
            <v>204.83404496999998</v>
          </cell>
          <cell r="P41">
            <v>224.87738858999995</v>
          </cell>
          <cell r="Q41">
            <v>243.98375917499996</v>
          </cell>
          <cell r="R41">
            <v>255.59516371499996</v>
          </cell>
          <cell r="S41">
            <v>254.29617845999996</v>
          </cell>
          <cell r="T41">
            <v>246.43026224999997</v>
          </cell>
          <cell r="U41">
            <v>243.01156679999994</v>
          </cell>
          <cell r="V41">
            <v>238.96423588499994</v>
          </cell>
          <cell r="W41">
            <v>258.26505668999999</v>
          </cell>
          <cell r="X41">
            <v>283.57387564499999</v>
          </cell>
          <cell r="Y41">
            <v>290.22313904999993</v>
          </cell>
          <cell r="Z41">
            <v>274.13447787000001</v>
          </cell>
          <cell r="AA41">
            <v>246.518306685</v>
          </cell>
          <cell r="AB41">
            <v>211.28331059999999</v>
          </cell>
          <cell r="AC41">
            <v>176.34903740999997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152.1263295</v>
          </cell>
          <cell r="G43">
            <v>136.83843458999999</v>
          </cell>
          <cell r="H43">
            <v>129.13263013499997</v>
          </cell>
          <cell r="I43">
            <v>129.44303090999998</v>
          </cell>
          <cell r="J43">
            <v>148.88829563999997</v>
          </cell>
          <cell r="K43">
            <v>188.62757360999998</v>
          </cell>
          <cell r="L43">
            <v>229.36364189999995</v>
          </cell>
          <cell r="M43">
            <v>234.41807915999999</v>
          </cell>
          <cell r="N43">
            <v>258.42910693499999</v>
          </cell>
          <cell r="O43">
            <v>274.50576080999997</v>
          </cell>
          <cell r="P43">
            <v>296.53170349499999</v>
          </cell>
          <cell r="Q43">
            <v>316.21812439500002</v>
          </cell>
          <cell r="R43">
            <v>320.30190004499997</v>
          </cell>
          <cell r="S43">
            <v>314.76568288499993</v>
          </cell>
          <cell r="T43">
            <v>317.17723675499997</v>
          </cell>
          <cell r="U43">
            <v>316.63334929499996</v>
          </cell>
          <cell r="V43">
            <v>307.08545120999997</v>
          </cell>
          <cell r="W43">
            <v>315.98699845499999</v>
          </cell>
          <cell r="X43">
            <v>334.37769920999995</v>
          </cell>
          <cell r="Y43">
            <v>327.03126826499994</v>
          </cell>
          <cell r="Z43">
            <v>303.31821896999998</v>
          </cell>
          <cell r="AA43">
            <v>268.40487536999996</v>
          </cell>
          <cell r="AB43">
            <v>223.31987630999998</v>
          </cell>
          <cell r="AC43">
            <v>186.192702</v>
          </cell>
        </row>
        <row r="44">
          <cell r="F44">
            <v>167.71094225999997</v>
          </cell>
          <cell r="G44">
            <v>148.73501555999999</v>
          </cell>
          <cell r="H44">
            <v>138.80136469499999</v>
          </cell>
          <cell r="I44">
            <v>135.33261596999998</v>
          </cell>
          <cell r="J44">
            <v>145.47907448999996</v>
          </cell>
          <cell r="K44">
            <v>162.72222218999997</v>
          </cell>
          <cell r="L44">
            <v>194.74792051499998</v>
          </cell>
          <cell r="M44">
            <v>207.51018237</v>
          </cell>
          <cell r="N44">
            <v>239.746499865</v>
          </cell>
          <cell r="O44">
            <v>261.96085583999997</v>
          </cell>
          <cell r="P44">
            <v>283.33494319499994</v>
          </cell>
          <cell r="Q44">
            <v>298.08189080999995</v>
          </cell>
          <cell r="R44">
            <v>299.51909513999999</v>
          </cell>
          <cell r="S44">
            <v>289.90617673499992</v>
          </cell>
          <cell r="T44">
            <v>280.09653741</v>
          </cell>
          <cell r="U44">
            <v>276.24236868000003</v>
          </cell>
          <cell r="V44">
            <v>271.86219229499994</v>
          </cell>
          <cell r="W44">
            <v>293.27834240999999</v>
          </cell>
          <cell r="X44">
            <v>315.75792005999995</v>
          </cell>
          <cell r="Y44">
            <v>306.62624911500001</v>
          </cell>
          <cell r="Z44">
            <v>284.65389886499997</v>
          </cell>
          <cell r="AA44">
            <v>255.60221854499994</v>
          </cell>
          <cell r="AB44">
            <v>223.09500653999999</v>
          </cell>
          <cell r="AC44">
            <v>191.63127122999998</v>
          </cell>
        </row>
        <row r="45">
          <cell r="F45">
            <v>166.61336026499995</v>
          </cell>
          <cell r="G45">
            <v>147.90995279999999</v>
          </cell>
          <cell r="H45">
            <v>136.79367830999999</v>
          </cell>
          <cell r="I45">
            <v>130.81785754499998</v>
          </cell>
          <cell r="J45">
            <v>132.744930165</v>
          </cell>
          <cell r="K45">
            <v>137.725452225</v>
          </cell>
          <cell r="L45">
            <v>153.05744960999999</v>
          </cell>
          <cell r="M45">
            <v>155.40770632499996</v>
          </cell>
          <cell r="N45">
            <v>181.70891905499997</v>
          </cell>
          <cell r="O45">
            <v>203.34328343999996</v>
          </cell>
          <cell r="P45">
            <v>222.49730348999998</v>
          </cell>
          <cell r="Q45">
            <v>242.68960111499999</v>
          </cell>
          <cell r="R45">
            <v>253.50445192499996</v>
          </cell>
          <cell r="S45">
            <v>251.13388027499997</v>
          </cell>
          <cell r="T45">
            <v>243.22325476499998</v>
          </cell>
          <cell r="U45">
            <v>238.45608845999996</v>
          </cell>
          <cell r="V45">
            <v>232.21426301999998</v>
          </cell>
          <cell r="W45">
            <v>254.38608251999997</v>
          </cell>
          <cell r="X45">
            <v>281.90082779999995</v>
          </cell>
          <cell r="Y45">
            <v>279.91380478499997</v>
          </cell>
          <cell r="Z45">
            <v>262.86621916499996</v>
          </cell>
          <cell r="AA45">
            <v>237.53905843499999</v>
          </cell>
          <cell r="AB45">
            <v>203.94720742499996</v>
          </cell>
          <cell r="AC45">
            <v>171.483628095</v>
          </cell>
        </row>
        <row r="46">
          <cell r="F46">
            <v>155.14529170499998</v>
          </cell>
          <cell r="G46">
            <v>138.84989503499997</v>
          </cell>
          <cell r="H46">
            <v>129.18051841499999</v>
          </cell>
          <cell r="I46">
            <v>124.27903237499999</v>
          </cell>
          <cell r="J46">
            <v>129.36670015499999</v>
          </cell>
          <cell r="K46">
            <v>135.663288615</v>
          </cell>
          <cell r="L46">
            <v>149.729867955</v>
          </cell>
          <cell r="M46">
            <v>152.17630447499999</v>
          </cell>
          <cell r="N46">
            <v>178.46392040999996</v>
          </cell>
          <cell r="O46">
            <v>197.99738225999999</v>
          </cell>
          <cell r="P46">
            <v>218.51529043499997</v>
          </cell>
          <cell r="Q46">
            <v>244.23581078999999</v>
          </cell>
          <cell r="R46">
            <v>260.76331214999993</v>
          </cell>
          <cell r="S46">
            <v>260.62507741499996</v>
          </cell>
          <cell r="T46">
            <v>249.61276183499999</v>
          </cell>
          <cell r="U46">
            <v>246.517672455</v>
          </cell>
          <cell r="V46">
            <v>244.01485601999997</v>
          </cell>
          <cell r="W46">
            <v>265.29387151499998</v>
          </cell>
          <cell r="X46">
            <v>291.83463135</v>
          </cell>
          <cell r="Y46">
            <v>291.05352229499999</v>
          </cell>
          <cell r="Z46">
            <v>269.52367666499998</v>
          </cell>
          <cell r="AA46">
            <v>238.72298183999996</v>
          </cell>
          <cell r="AB46">
            <v>201.21289703999997</v>
          </cell>
          <cell r="AC46">
            <v>167.02537878000001</v>
          </cell>
        </row>
        <row r="47">
          <cell r="F47">
            <v>166.85433634499998</v>
          </cell>
          <cell r="G47">
            <v>150.451003125</v>
          </cell>
          <cell r="H47">
            <v>142.662901455</v>
          </cell>
          <cell r="I47">
            <v>143.11798888499999</v>
          </cell>
          <cell r="J47">
            <v>162.54352592999999</v>
          </cell>
          <cell r="K47">
            <v>202.12592593499997</v>
          </cell>
          <cell r="L47">
            <v>245.98861109999999</v>
          </cell>
          <cell r="M47">
            <v>254.39523187499998</v>
          </cell>
          <cell r="N47">
            <v>278.51653345499994</v>
          </cell>
          <cell r="O47">
            <v>294.50512331999994</v>
          </cell>
          <cell r="P47">
            <v>315.99808181999998</v>
          </cell>
          <cell r="Q47">
            <v>336.35345093999996</v>
          </cell>
          <cell r="R47">
            <v>341.328198375</v>
          </cell>
          <cell r="S47">
            <v>334.82710988999997</v>
          </cell>
          <cell r="T47">
            <v>335.25010606499995</v>
          </cell>
          <cell r="U47">
            <v>334.69674430499998</v>
          </cell>
          <cell r="V47">
            <v>326.74124506499999</v>
          </cell>
          <cell r="W47">
            <v>341.38028745000003</v>
          </cell>
          <cell r="X47">
            <v>361.39717349999995</v>
          </cell>
          <cell r="Y47">
            <v>352.47121622999998</v>
          </cell>
          <cell r="Z47">
            <v>326.622401325</v>
          </cell>
          <cell r="AA47">
            <v>288.26567037000001</v>
          </cell>
          <cell r="AB47">
            <v>240.93644453999997</v>
          </cell>
          <cell r="AC47">
            <v>201.09643753499998</v>
          </cell>
        </row>
        <row r="48">
          <cell r="F48">
            <v>174.27036032999999</v>
          </cell>
          <cell r="G48">
            <v>155.44918966499998</v>
          </cell>
          <cell r="H48">
            <v>144.93008578499996</v>
          </cell>
          <cell r="I48">
            <v>142.63278335999999</v>
          </cell>
          <cell r="J48">
            <v>154.30842913499998</v>
          </cell>
          <cell r="K48">
            <v>174.25143521999999</v>
          </cell>
          <cell r="L48">
            <v>209.41518613499997</v>
          </cell>
          <cell r="M48">
            <v>226.47184672499998</v>
          </cell>
          <cell r="N48">
            <v>260.78773783499997</v>
          </cell>
          <cell r="O48">
            <v>281.95505837999997</v>
          </cell>
          <cell r="P48">
            <v>300.78647459999996</v>
          </cell>
          <cell r="Q48">
            <v>312.38761400999994</v>
          </cell>
          <cell r="R48">
            <v>313.95850775999997</v>
          </cell>
          <cell r="S48">
            <v>304.67626200000001</v>
          </cell>
          <cell r="T48">
            <v>294.66142969499992</v>
          </cell>
          <cell r="U48">
            <v>288.77181331499997</v>
          </cell>
          <cell r="V48">
            <v>282.11493914999994</v>
          </cell>
          <cell r="W48">
            <v>307.28589529499993</v>
          </cell>
          <cell r="X48">
            <v>331.020614115</v>
          </cell>
          <cell r="Y48">
            <v>322.33806413999997</v>
          </cell>
          <cell r="Z48">
            <v>299.09798599499999</v>
          </cell>
          <cell r="AA48">
            <v>267.72299590499995</v>
          </cell>
          <cell r="AB48">
            <v>232.88749033499997</v>
          </cell>
          <cell r="AC48">
            <v>198.89394858</v>
          </cell>
        </row>
        <row r="49">
          <cell r="F49">
            <v>165.884911875</v>
          </cell>
          <cell r="G49">
            <v>146.77212852</v>
          </cell>
          <cell r="H49">
            <v>135.33095209499999</v>
          </cell>
          <cell r="I49">
            <v>129.99237196499999</v>
          </cell>
          <cell r="J49">
            <v>132.74758844999999</v>
          </cell>
          <cell r="K49">
            <v>140.04851535</v>
          </cell>
          <cell r="L49">
            <v>156.41775674999997</v>
          </cell>
          <cell r="M49">
            <v>162.06651449999998</v>
          </cell>
          <cell r="N49">
            <v>190.05465766499998</v>
          </cell>
          <cell r="O49">
            <v>213.63722392499997</v>
          </cell>
          <cell r="P49">
            <v>231.95928689999997</v>
          </cell>
          <cell r="Q49">
            <v>250.33548257999999</v>
          </cell>
          <cell r="R49">
            <v>262.70264263499996</v>
          </cell>
          <cell r="S49">
            <v>264.32667859500003</v>
          </cell>
          <cell r="T49">
            <v>257.05418633999994</v>
          </cell>
          <cell r="U49">
            <v>250.23066628499998</v>
          </cell>
          <cell r="V49">
            <v>243.89938700999994</v>
          </cell>
          <cell r="W49">
            <v>267.76493729999993</v>
          </cell>
          <cell r="X49">
            <v>295.30241306999994</v>
          </cell>
          <cell r="Y49">
            <v>291.15314729999994</v>
          </cell>
          <cell r="Z49">
            <v>273.58675762499996</v>
          </cell>
          <cell r="AA49">
            <v>247.54295222999997</v>
          </cell>
          <cell r="AB49">
            <v>215.50344569999999</v>
          </cell>
          <cell r="AC49">
            <v>181.3675428</v>
          </cell>
        </row>
        <row r="50">
          <cell r="F50">
            <v>157.73387404499996</v>
          </cell>
          <cell r="G50">
            <v>140.77369471499998</v>
          </cell>
          <cell r="H50">
            <v>130.62004825499997</v>
          </cell>
          <cell r="I50">
            <v>126.03117104999998</v>
          </cell>
          <cell r="J50">
            <v>131.57648666999998</v>
          </cell>
          <cell r="K50">
            <v>141.716379735</v>
          </cell>
          <cell r="L50">
            <v>154.99215647999998</v>
          </cell>
          <cell r="M50">
            <v>155.96014805999997</v>
          </cell>
          <cell r="N50">
            <v>184.313576385</v>
          </cell>
          <cell r="O50">
            <v>206.92257610499999</v>
          </cell>
          <cell r="P50">
            <v>231.09252155999999</v>
          </cell>
          <cell r="Q50">
            <v>254.32650796499996</v>
          </cell>
          <cell r="R50">
            <v>269.67685886999999</v>
          </cell>
          <cell r="S50">
            <v>269.43948458999995</v>
          </cell>
          <cell r="T50">
            <v>258.94196801999999</v>
          </cell>
          <cell r="U50">
            <v>251.35036019999998</v>
          </cell>
          <cell r="V50">
            <v>248.15679290999998</v>
          </cell>
          <cell r="W50">
            <v>275.63597433000001</v>
          </cell>
          <cell r="X50">
            <v>303.11055954</v>
          </cell>
          <cell r="Y50">
            <v>300.21743326500001</v>
          </cell>
          <cell r="Z50">
            <v>277.41623444999999</v>
          </cell>
          <cell r="AA50">
            <v>244.23861001499998</v>
          </cell>
          <cell r="AB50">
            <v>204.96481379999997</v>
          </cell>
          <cell r="AC50">
            <v>168.97941400499997</v>
          </cell>
        </row>
        <row r="51">
          <cell r="F51">
            <v>184.66748847</v>
          </cell>
          <cell r="G51">
            <v>166.88549583</v>
          </cell>
          <cell r="H51">
            <v>157.3385256</v>
          </cell>
          <cell r="I51">
            <v>156.03993575999999</v>
          </cell>
          <cell r="J51">
            <v>170.09458609499998</v>
          </cell>
          <cell r="K51">
            <v>197.58622504499996</v>
          </cell>
          <cell r="L51">
            <v>232.90544060999997</v>
          </cell>
          <cell r="M51">
            <v>245.251819845</v>
          </cell>
          <cell r="N51">
            <v>274.90377928499998</v>
          </cell>
          <cell r="O51">
            <v>292.44681206999991</v>
          </cell>
          <cell r="P51">
            <v>312.96487684499994</v>
          </cell>
          <cell r="Q51">
            <v>332.45642861999994</v>
          </cell>
          <cell r="R51">
            <v>340.38009499499998</v>
          </cell>
          <cell r="S51">
            <v>335.123917785</v>
          </cell>
          <cell r="T51">
            <v>335.39751364499995</v>
          </cell>
          <cell r="U51">
            <v>334.10660503499997</v>
          </cell>
          <cell r="V51">
            <v>325.47341146499997</v>
          </cell>
          <cell r="W51">
            <v>334.82431066499998</v>
          </cell>
          <cell r="X51">
            <v>358.46318245499992</v>
          </cell>
          <cell r="Y51">
            <v>352.70186062499999</v>
          </cell>
          <cell r="Z51">
            <v>329.65524220499998</v>
          </cell>
          <cell r="AA51">
            <v>298.014423615</v>
          </cell>
          <cell r="AB51">
            <v>257.52020836499997</v>
          </cell>
          <cell r="AC51">
            <v>220.68200020499998</v>
          </cell>
        </row>
        <row r="52">
          <cell r="F52">
            <v>194.37210400499998</v>
          </cell>
          <cell r="G52">
            <v>174.05408789999998</v>
          </cell>
          <cell r="H52">
            <v>162.92374289999998</v>
          </cell>
          <cell r="I52">
            <v>158.73325217999999</v>
          </cell>
          <cell r="J52">
            <v>167.57040941999998</v>
          </cell>
          <cell r="K52">
            <v>184.81901854499998</v>
          </cell>
          <cell r="L52">
            <v>213.43574236500001</v>
          </cell>
          <cell r="M52">
            <v>224.55972940499996</v>
          </cell>
          <cell r="N52">
            <v>257.48224069499997</v>
          </cell>
          <cell r="O52">
            <v>279.58954099499999</v>
          </cell>
          <cell r="P52">
            <v>297.16765217999995</v>
          </cell>
          <cell r="Q52">
            <v>309.77944100999997</v>
          </cell>
          <cell r="R52">
            <v>312.17642324999997</v>
          </cell>
          <cell r="S52">
            <v>304.48363225499992</v>
          </cell>
          <cell r="T52">
            <v>295.63802252999994</v>
          </cell>
          <cell r="U52">
            <v>289.24581410999997</v>
          </cell>
          <cell r="V52">
            <v>282.88243966499994</v>
          </cell>
          <cell r="W52">
            <v>302.66534965499994</v>
          </cell>
          <cell r="X52">
            <v>332.74147585499998</v>
          </cell>
          <cell r="Y52">
            <v>325.67808374999998</v>
          </cell>
          <cell r="Z52">
            <v>301.25899552499999</v>
          </cell>
          <cell r="AA52">
            <v>274.09117405500001</v>
          </cell>
          <cell r="AB52">
            <v>244.29222985499999</v>
          </cell>
          <cell r="AC52">
            <v>215.72918851499998</v>
          </cell>
        </row>
        <row r="53">
          <cell r="F53">
            <v>193.57825553999999</v>
          </cell>
          <cell r="G53">
            <v>172.05685064999997</v>
          </cell>
          <cell r="H53">
            <v>160.08996802499999</v>
          </cell>
          <cell r="I53">
            <v>153.33300296999997</v>
          </cell>
          <cell r="J53">
            <v>153.59578951499998</v>
          </cell>
          <cell r="K53">
            <v>160.71354139499996</v>
          </cell>
          <cell r="L53">
            <v>173.20904297999996</v>
          </cell>
          <cell r="M53">
            <v>172.48999058999999</v>
          </cell>
          <cell r="N53">
            <v>199.67299834499997</v>
          </cell>
          <cell r="O53">
            <v>222.372512865</v>
          </cell>
          <cell r="P53">
            <v>240.73096185</v>
          </cell>
          <cell r="Q53">
            <v>257.93326826999999</v>
          </cell>
          <cell r="R53">
            <v>268.836014745</v>
          </cell>
          <cell r="S53">
            <v>270.372949785</v>
          </cell>
          <cell r="T53">
            <v>264.10498780500001</v>
          </cell>
          <cell r="U53">
            <v>260.53963253999996</v>
          </cell>
          <cell r="V53">
            <v>255.81505751999998</v>
          </cell>
          <cell r="W53">
            <v>274.50956618999999</v>
          </cell>
          <cell r="X53">
            <v>303.0920964</v>
          </cell>
          <cell r="Y53">
            <v>303.63258955500004</v>
          </cell>
          <cell r="Z53">
            <v>290.960564535</v>
          </cell>
          <cell r="AA53">
            <v>268.47049076999997</v>
          </cell>
          <cell r="AB53">
            <v>237.06004252499997</v>
          </cell>
          <cell r="AC53">
            <v>203.21600678999999</v>
          </cell>
        </row>
        <row r="54">
          <cell r="F54">
            <v>188.79320551499998</v>
          </cell>
          <cell r="G54">
            <v>172.37868713999995</v>
          </cell>
          <cell r="H54">
            <v>159.41693254499998</v>
          </cell>
          <cell r="I54">
            <v>150.56316004499996</v>
          </cell>
          <cell r="J54">
            <v>148.46859197999996</v>
          </cell>
          <cell r="K54">
            <v>151.08881534999998</v>
          </cell>
          <cell r="L54">
            <v>156.28316687999998</v>
          </cell>
          <cell r="M54">
            <v>148.45231340999996</v>
          </cell>
          <cell r="N54">
            <v>168.67233706499997</v>
          </cell>
          <cell r="O54">
            <v>189.19313842499997</v>
          </cell>
          <cell r="P54">
            <v>208.86245077499999</v>
          </cell>
          <cell r="Q54">
            <v>227.59844670000001</v>
          </cell>
          <cell r="R54">
            <v>241.98549227999996</v>
          </cell>
          <cell r="S54">
            <v>244.19850475499996</v>
          </cell>
          <cell r="T54">
            <v>238.96630691999997</v>
          </cell>
          <cell r="U54">
            <v>237.84827296499995</v>
          </cell>
          <cell r="V54">
            <v>235.79303107500002</v>
          </cell>
          <cell r="W54">
            <v>254.47128857999999</v>
          </cell>
          <cell r="X54">
            <v>288.13174213499997</v>
          </cell>
          <cell r="Y54">
            <v>288.577590165</v>
          </cell>
          <cell r="Z54">
            <v>273.64272254999997</v>
          </cell>
          <cell r="AA54">
            <v>251.24173852499996</v>
          </cell>
          <cell r="AB54">
            <v>222.41523334499999</v>
          </cell>
          <cell r="AC54">
            <v>191.33508190499998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FA2D-742E-4BC4-8FC7-7973C2994D27}">
  <sheetPr codeName="Hoja1"/>
  <dimension ref="C1:BD57"/>
  <sheetViews>
    <sheetView showGridLines="0" topLeftCell="A39" zoomScale="66" zoomScaleNormal="66" workbookViewId="0">
      <selection activeCell="G22" sqref="G22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3.1796875" style="1" bestFit="1" customWidth="1"/>
    <col min="5" max="5" width="7.81640625" style="1" bestFit="1" customWidth="1"/>
    <col min="6" max="29" width="11.54296875" style="1" customWidth="1"/>
    <col min="30" max="30" width="19.54296875" style="1" bestFit="1" customWidth="1"/>
    <col min="31" max="31" width="2.81640625" style="1" customWidth="1"/>
    <col min="32" max="55" width="11.453125" style="1"/>
    <col min="56" max="56" width="15.1796875" style="1" bestFit="1" customWidth="1"/>
    <col min="57" max="258" width="11.453125" style="1"/>
    <col min="259" max="259" width="7" style="1" customWidth="1"/>
    <col min="260" max="260" width="10.81640625" style="1" customWidth="1"/>
    <col min="261" max="261" width="9.1796875" style="1" customWidth="1"/>
    <col min="262" max="285" width="7.1796875" style="1" customWidth="1"/>
    <col min="286" max="286" width="14.1796875" style="1" bestFit="1" customWidth="1"/>
    <col min="287" max="514" width="11.453125" style="1"/>
    <col min="515" max="515" width="7" style="1" customWidth="1"/>
    <col min="516" max="516" width="10.81640625" style="1" customWidth="1"/>
    <col min="517" max="517" width="9.1796875" style="1" customWidth="1"/>
    <col min="518" max="541" width="7.1796875" style="1" customWidth="1"/>
    <col min="542" max="542" width="14.1796875" style="1" bestFit="1" customWidth="1"/>
    <col min="543" max="770" width="11.453125" style="1"/>
    <col min="771" max="771" width="7" style="1" customWidth="1"/>
    <col min="772" max="772" width="10.81640625" style="1" customWidth="1"/>
    <col min="773" max="773" width="9.1796875" style="1" customWidth="1"/>
    <col min="774" max="797" width="7.1796875" style="1" customWidth="1"/>
    <col min="798" max="798" width="14.1796875" style="1" bestFit="1" customWidth="1"/>
    <col min="799" max="1026" width="11.453125" style="1"/>
    <col min="1027" max="1027" width="7" style="1" customWidth="1"/>
    <col min="1028" max="1028" width="10.81640625" style="1" customWidth="1"/>
    <col min="1029" max="1029" width="9.1796875" style="1" customWidth="1"/>
    <col min="1030" max="1053" width="7.1796875" style="1" customWidth="1"/>
    <col min="1054" max="1054" width="14.1796875" style="1" bestFit="1" customWidth="1"/>
    <col min="1055" max="1282" width="11.453125" style="1"/>
    <col min="1283" max="1283" width="7" style="1" customWidth="1"/>
    <col min="1284" max="1284" width="10.81640625" style="1" customWidth="1"/>
    <col min="1285" max="1285" width="9.1796875" style="1" customWidth="1"/>
    <col min="1286" max="1309" width="7.1796875" style="1" customWidth="1"/>
    <col min="1310" max="1310" width="14.1796875" style="1" bestFit="1" customWidth="1"/>
    <col min="1311" max="1538" width="11.453125" style="1"/>
    <col min="1539" max="1539" width="7" style="1" customWidth="1"/>
    <col min="1540" max="1540" width="10.81640625" style="1" customWidth="1"/>
    <col min="1541" max="1541" width="9.1796875" style="1" customWidth="1"/>
    <col min="1542" max="1565" width="7.1796875" style="1" customWidth="1"/>
    <col min="1566" max="1566" width="14.1796875" style="1" bestFit="1" customWidth="1"/>
    <col min="1567" max="1794" width="11.453125" style="1"/>
    <col min="1795" max="1795" width="7" style="1" customWidth="1"/>
    <col min="1796" max="1796" width="10.81640625" style="1" customWidth="1"/>
    <col min="1797" max="1797" width="9.1796875" style="1" customWidth="1"/>
    <col min="1798" max="1821" width="7.1796875" style="1" customWidth="1"/>
    <col min="1822" max="1822" width="14.1796875" style="1" bestFit="1" customWidth="1"/>
    <col min="1823" max="2050" width="11.453125" style="1"/>
    <col min="2051" max="2051" width="7" style="1" customWidth="1"/>
    <col min="2052" max="2052" width="10.81640625" style="1" customWidth="1"/>
    <col min="2053" max="2053" width="9.1796875" style="1" customWidth="1"/>
    <col min="2054" max="2077" width="7.1796875" style="1" customWidth="1"/>
    <col min="2078" max="2078" width="14.1796875" style="1" bestFit="1" customWidth="1"/>
    <col min="2079" max="2306" width="11.453125" style="1"/>
    <col min="2307" max="2307" width="7" style="1" customWidth="1"/>
    <col min="2308" max="2308" width="10.81640625" style="1" customWidth="1"/>
    <col min="2309" max="2309" width="9.1796875" style="1" customWidth="1"/>
    <col min="2310" max="2333" width="7.1796875" style="1" customWidth="1"/>
    <col min="2334" max="2334" width="14.1796875" style="1" bestFit="1" customWidth="1"/>
    <col min="2335" max="2562" width="11.453125" style="1"/>
    <col min="2563" max="2563" width="7" style="1" customWidth="1"/>
    <col min="2564" max="2564" width="10.81640625" style="1" customWidth="1"/>
    <col min="2565" max="2565" width="9.1796875" style="1" customWidth="1"/>
    <col min="2566" max="2589" width="7.1796875" style="1" customWidth="1"/>
    <col min="2590" max="2590" width="14.1796875" style="1" bestFit="1" customWidth="1"/>
    <col min="2591" max="2818" width="11.453125" style="1"/>
    <col min="2819" max="2819" width="7" style="1" customWidth="1"/>
    <col min="2820" max="2820" width="10.81640625" style="1" customWidth="1"/>
    <col min="2821" max="2821" width="9.1796875" style="1" customWidth="1"/>
    <col min="2822" max="2845" width="7.1796875" style="1" customWidth="1"/>
    <col min="2846" max="2846" width="14.1796875" style="1" bestFit="1" customWidth="1"/>
    <col min="2847" max="3074" width="11.453125" style="1"/>
    <col min="3075" max="3075" width="7" style="1" customWidth="1"/>
    <col min="3076" max="3076" width="10.81640625" style="1" customWidth="1"/>
    <col min="3077" max="3077" width="9.1796875" style="1" customWidth="1"/>
    <col min="3078" max="3101" width="7.1796875" style="1" customWidth="1"/>
    <col min="3102" max="3102" width="14.1796875" style="1" bestFit="1" customWidth="1"/>
    <col min="3103" max="3330" width="11.453125" style="1"/>
    <col min="3331" max="3331" width="7" style="1" customWidth="1"/>
    <col min="3332" max="3332" width="10.81640625" style="1" customWidth="1"/>
    <col min="3333" max="3333" width="9.1796875" style="1" customWidth="1"/>
    <col min="3334" max="3357" width="7.1796875" style="1" customWidth="1"/>
    <col min="3358" max="3358" width="14.1796875" style="1" bestFit="1" customWidth="1"/>
    <col min="3359" max="3586" width="11.453125" style="1"/>
    <col min="3587" max="3587" width="7" style="1" customWidth="1"/>
    <col min="3588" max="3588" width="10.81640625" style="1" customWidth="1"/>
    <col min="3589" max="3589" width="9.1796875" style="1" customWidth="1"/>
    <col min="3590" max="3613" width="7.1796875" style="1" customWidth="1"/>
    <col min="3614" max="3614" width="14.1796875" style="1" bestFit="1" customWidth="1"/>
    <col min="3615" max="3842" width="11.453125" style="1"/>
    <col min="3843" max="3843" width="7" style="1" customWidth="1"/>
    <col min="3844" max="3844" width="10.81640625" style="1" customWidth="1"/>
    <col min="3845" max="3845" width="9.1796875" style="1" customWidth="1"/>
    <col min="3846" max="3869" width="7.1796875" style="1" customWidth="1"/>
    <col min="3870" max="3870" width="14.1796875" style="1" bestFit="1" customWidth="1"/>
    <col min="3871" max="4098" width="11.453125" style="1"/>
    <col min="4099" max="4099" width="7" style="1" customWidth="1"/>
    <col min="4100" max="4100" width="10.81640625" style="1" customWidth="1"/>
    <col min="4101" max="4101" width="9.1796875" style="1" customWidth="1"/>
    <col min="4102" max="4125" width="7.1796875" style="1" customWidth="1"/>
    <col min="4126" max="4126" width="14.1796875" style="1" bestFit="1" customWidth="1"/>
    <col min="4127" max="4354" width="11.453125" style="1"/>
    <col min="4355" max="4355" width="7" style="1" customWidth="1"/>
    <col min="4356" max="4356" width="10.81640625" style="1" customWidth="1"/>
    <col min="4357" max="4357" width="9.1796875" style="1" customWidth="1"/>
    <col min="4358" max="4381" width="7.1796875" style="1" customWidth="1"/>
    <col min="4382" max="4382" width="14.1796875" style="1" bestFit="1" customWidth="1"/>
    <col min="4383" max="4610" width="11.453125" style="1"/>
    <col min="4611" max="4611" width="7" style="1" customWidth="1"/>
    <col min="4612" max="4612" width="10.81640625" style="1" customWidth="1"/>
    <col min="4613" max="4613" width="9.1796875" style="1" customWidth="1"/>
    <col min="4614" max="4637" width="7.1796875" style="1" customWidth="1"/>
    <col min="4638" max="4638" width="14.1796875" style="1" bestFit="1" customWidth="1"/>
    <col min="4639" max="4866" width="11.453125" style="1"/>
    <col min="4867" max="4867" width="7" style="1" customWidth="1"/>
    <col min="4868" max="4868" width="10.81640625" style="1" customWidth="1"/>
    <col min="4869" max="4869" width="9.1796875" style="1" customWidth="1"/>
    <col min="4870" max="4893" width="7.1796875" style="1" customWidth="1"/>
    <col min="4894" max="4894" width="14.1796875" style="1" bestFit="1" customWidth="1"/>
    <col min="4895" max="5122" width="11.453125" style="1"/>
    <col min="5123" max="5123" width="7" style="1" customWidth="1"/>
    <col min="5124" max="5124" width="10.81640625" style="1" customWidth="1"/>
    <col min="5125" max="5125" width="9.1796875" style="1" customWidth="1"/>
    <col min="5126" max="5149" width="7.1796875" style="1" customWidth="1"/>
    <col min="5150" max="5150" width="14.1796875" style="1" bestFit="1" customWidth="1"/>
    <col min="5151" max="5378" width="11.453125" style="1"/>
    <col min="5379" max="5379" width="7" style="1" customWidth="1"/>
    <col min="5380" max="5380" width="10.81640625" style="1" customWidth="1"/>
    <col min="5381" max="5381" width="9.1796875" style="1" customWidth="1"/>
    <col min="5382" max="5405" width="7.1796875" style="1" customWidth="1"/>
    <col min="5406" max="5406" width="14.1796875" style="1" bestFit="1" customWidth="1"/>
    <col min="5407" max="5634" width="11.453125" style="1"/>
    <col min="5635" max="5635" width="7" style="1" customWidth="1"/>
    <col min="5636" max="5636" width="10.81640625" style="1" customWidth="1"/>
    <col min="5637" max="5637" width="9.1796875" style="1" customWidth="1"/>
    <col min="5638" max="5661" width="7.1796875" style="1" customWidth="1"/>
    <col min="5662" max="5662" width="14.1796875" style="1" bestFit="1" customWidth="1"/>
    <col min="5663" max="5890" width="11.453125" style="1"/>
    <col min="5891" max="5891" width="7" style="1" customWidth="1"/>
    <col min="5892" max="5892" width="10.81640625" style="1" customWidth="1"/>
    <col min="5893" max="5893" width="9.1796875" style="1" customWidth="1"/>
    <col min="5894" max="5917" width="7.1796875" style="1" customWidth="1"/>
    <col min="5918" max="5918" width="14.1796875" style="1" bestFit="1" customWidth="1"/>
    <col min="5919" max="6146" width="11.453125" style="1"/>
    <col min="6147" max="6147" width="7" style="1" customWidth="1"/>
    <col min="6148" max="6148" width="10.81640625" style="1" customWidth="1"/>
    <col min="6149" max="6149" width="9.1796875" style="1" customWidth="1"/>
    <col min="6150" max="6173" width="7.1796875" style="1" customWidth="1"/>
    <col min="6174" max="6174" width="14.1796875" style="1" bestFit="1" customWidth="1"/>
    <col min="6175" max="6402" width="11.453125" style="1"/>
    <col min="6403" max="6403" width="7" style="1" customWidth="1"/>
    <col min="6404" max="6404" width="10.81640625" style="1" customWidth="1"/>
    <col min="6405" max="6405" width="9.1796875" style="1" customWidth="1"/>
    <col min="6406" max="6429" width="7.1796875" style="1" customWidth="1"/>
    <col min="6430" max="6430" width="14.1796875" style="1" bestFit="1" customWidth="1"/>
    <col min="6431" max="6658" width="11.453125" style="1"/>
    <col min="6659" max="6659" width="7" style="1" customWidth="1"/>
    <col min="6660" max="6660" width="10.81640625" style="1" customWidth="1"/>
    <col min="6661" max="6661" width="9.1796875" style="1" customWidth="1"/>
    <col min="6662" max="6685" width="7.1796875" style="1" customWidth="1"/>
    <col min="6686" max="6686" width="14.1796875" style="1" bestFit="1" customWidth="1"/>
    <col min="6687" max="6914" width="11.453125" style="1"/>
    <col min="6915" max="6915" width="7" style="1" customWidth="1"/>
    <col min="6916" max="6916" width="10.81640625" style="1" customWidth="1"/>
    <col min="6917" max="6917" width="9.1796875" style="1" customWidth="1"/>
    <col min="6918" max="6941" width="7.1796875" style="1" customWidth="1"/>
    <col min="6942" max="6942" width="14.1796875" style="1" bestFit="1" customWidth="1"/>
    <col min="6943" max="7170" width="11.453125" style="1"/>
    <col min="7171" max="7171" width="7" style="1" customWidth="1"/>
    <col min="7172" max="7172" width="10.81640625" style="1" customWidth="1"/>
    <col min="7173" max="7173" width="9.1796875" style="1" customWidth="1"/>
    <col min="7174" max="7197" width="7.1796875" style="1" customWidth="1"/>
    <col min="7198" max="7198" width="14.1796875" style="1" bestFit="1" customWidth="1"/>
    <col min="7199" max="7426" width="11.453125" style="1"/>
    <col min="7427" max="7427" width="7" style="1" customWidth="1"/>
    <col min="7428" max="7428" width="10.81640625" style="1" customWidth="1"/>
    <col min="7429" max="7429" width="9.1796875" style="1" customWidth="1"/>
    <col min="7430" max="7453" width="7.1796875" style="1" customWidth="1"/>
    <col min="7454" max="7454" width="14.1796875" style="1" bestFit="1" customWidth="1"/>
    <col min="7455" max="7682" width="11.453125" style="1"/>
    <col min="7683" max="7683" width="7" style="1" customWidth="1"/>
    <col min="7684" max="7684" width="10.81640625" style="1" customWidth="1"/>
    <col min="7685" max="7685" width="9.1796875" style="1" customWidth="1"/>
    <col min="7686" max="7709" width="7.1796875" style="1" customWidth="1"/>
    <col min="7710" max="7710" width="14.1796875" style="1" bestFit="1" customWidth="1"/>
    <col min="7711" max="7938" width="11.453125" style="1"/>
    <col min="7939" max="7939" width="7" style="1" customWidth="1"/>
    <col min="7940" max="7940" width="10.81640625" style="1" customWidth="1"/>
    <col min="7941" max="7941" width="9.1796875" style="1" customWidth="1"/>
    <col min="7942" max="7965" width="7.1796875" style="1" customWidth="1"/>
    <col min="7966" max="7966" width="14.1796875" style="1" bestFit="1" customWidth="1"/>
    <col min="7967" max="8194" width="11.453125" style="1"/>
    <col min="8195" max="8195" width="7" style="1" customWidth="1"/>
    <col min="8196" max="8196" width="10.81640625" style="1" customWidth="1"/>
    <col min="8197" max="8197" width="9.1796875" style="1" customWidth="1"/>
    <col min="8198" max="8221" width="7.1796875" style="1" customWidth="1"/>
    <col min="8222" max="8222" width="14.1796875" style="1" bestFit="1" customWidth="1"/>
    <col min="8223" max="8450" width="11.453125" style="1"/>
    <col min="8451" max="8451" width="7" style="1" customWidth="1"/>
    <col min="8452" max="8452" width="10.81640625" style="1" customWidth="1"/>
    <col min="8453" max="8453" width="9.1796875" style="1" customWidth="1"/>
    <col min="8454" max="8477" width="7.1796875" style="1" customWidth="1"/>
    <col min="8478" max="8478" width="14.1796875" style="1" bestFit="1" customWidth="1"/>
    <col min="8479" max="8706" width="11.453125" style="1"/>
    <col min="8707" max="8707" width="7" style="1" customWidth="1"/>
    <col min="8708" max="8708" width="10.81640625" style="1" customWidth="1"/>
    <col min="8709" max="8709" width="9.1796875" style="1" customWidth="1"/>
    <col min="8710" max="8733" width="7.1796875" style="1" customWidth="1"/>
    <col min="8734" max="8734" width="14.1796875" style="1" bestFit="1" customWidth="1"/>
    <col min="8735" max="8962" width="11.453125" style="1"/>
    <col min="8963" max="8963" width="7" style="1" customWidth="1"/>
    <col min="8964" max="8964" width="10.81640625" style="1" customWidth="1"/>
    <col min="8965" max="8965" width="9.1796875" style="1" customWidth="1"/>
    <col min="8966" max="8989" width="7.1796875" style="1" customWidth="1"/>
    <col min="8990" max="8990" width="14.1796875" style="1" bestFit="1" customWidth="1"/>
    <col min="8991" max="9218" width="11.453125" style="1"/>
    <col min="9219" max="9219" width="7" style="1" customWidth="1"/>
    <col min="9220" max="9220" width="10.81640625" style="1" customWidth="1"/>
    <col min="9221" max="9221" width="9.1796875" style="1" customWidth="1"/>
    <col min="9222" max="9245" width="7.1796875" style="1" customWidth="1"/>
    <col min="9246" max="9246" width="14.1796875" style="1" bestFit="1" customWidth="1"/>
    <col min="9247" max="9474" width="11.453125" style="1"/>
    <col min="9475" max="9475" width="7" style="1" customWidth="1"/>
    <col min="9476" max="9476" width="10.81640625" style="1" customWidth="1"/>
    <col min="9477" max="9477" width="9.1796875" style="1" customWidth="1"/>
    <col min="9478" max="9501" width="7.1796875" style="1" customWidth="1"/>
    <col min="9502" max="9502" width="14.1796875" style="1" bestFit="1" customWidth="1"/>
    <col min="9503" max="9730" width="11.453125" style="1"/>
    <col min="9731" max="9731" width="7" style="1" customWidth="1"/>
    <col min="9732" max="9732" width="10.81640625" style="1" customWidth="1"/>
    <col min="9733" max="9733" width="9.1796875" style="1" customWidth="1"/>
    <col min="9734" max="9757" width="7.1796875" style="1" customWidth="1"/>
    <col min="9758" max="9758" width="14.1796875" style="1" bestFit="1" customWidth="1"/>
    <col min="9759" max="9986" width="11.453125" style="1"/>
    <col min="9987" max="9987" width="7" style="1" customWidth="1"/>
    <col min="9988" max="9988" width="10.81640625" style="1" customWidth="1"/>
    <col min="9989" max="9989" width="9.1796875" style="1" customWidth="1"/>
    <col min="9990" max="10013" width="7.1796875" style="1" customWidth="1"/>
    <col min="10014" max="10014" width="14.1796875" style="1" bestFit="1" customWidth="1"/>
    <col min="10015" max="10242" width="11.453125" style="1"/>
    <col min="10243" max="10243" width="7" style="1" customWidth="1"/>
    <col min="10244" max="10244" width="10.81640625" style="1" customWidth="1"/>
    <col min="10245" max="10245" width="9.1796875" style="1" customWidth="1"/>
    <col min="10246" max="10269" width="7.1796875" style="1" customWidth="1"/>
    <col min="10270" max="10270" width="14.1796875" style="1" bestFit="1" customWidth="1"/>
    <col min="10271" max="10498" width="11.453125" style="1"/>
    <col min="10499" max="10499" width="7" style="1" customWidth="1"/>
    <col min="10500" max="10500" width="10.81640625" style="1" customWidth="1"/>
    <col min="10501" max="10501" width="9.1796875" style="1" customWidth="1"/>
    <col min="10502" max="10525" width="7.1796875" style="1" customWidth="1"/>
    <col min="10526" max="10526" width="14.1796875" style="1" bestFit="1" customWidth="1"/>
    <col min="10527" max="10754" width="11.453125" style="1"/>
    <col min="10755" max="10755" width="7" style="1" customWidth="1"/>
    <col min="10756" max="10756" width="10.81640625" style="1" customWidth="1"/>
    <col min="10757" max="10757" width="9.1796875" style="1" customWidth="1"/>
    <col min="10758" max="10781" width="7.1796875" style="1" customWidth="1"/>
    <col min="10782" max="10782" width="14.1796875" style="1" bestFit="1" customWidth="1"/>
    <col min="10783" max="11010" width="11.453125" style="1"/>
    <col min="11011" max="11011" width="7" style="1" customWidth="1"/>
    <col min="11012" max="11012" width="10.81640625" style="1" customWidth="1"/>
    <col min="11013" max="11013" width="9.1796875" style="1" customWidth="1"/>
    <col min="11014" max="11037" width="7.1796875" style="1" customWidth="1"/>
    <col min="11038" max="11038" width="14.1796875" style="1" bestFit="1" customWidth="1"/>
    <col min="11039" max="11266" width="11.453125" style="1"/>
    <col min="11267" max="11267" width="7" style="1" customWidth="1"/>
    <col min="11268" max="11268" width="10.81640625" style="1" customWidth="1"/>
    <col min="11269" max="11269" width="9.1796875" style="1" customWidth="1"/>
    <col min="11270" max="11293" width="7.1796875" style="1" customWidth="1"/>
    <col min="11294" max="11294" width="14.1796875" style="1" bestFit="1" customWidth="1"/>
    <col min="11295" max="11522" width="11.453125" style="1"/>
    <col min="11523" max="11523" width="7" style="1" customWidth="1"/>
    <col min="11524" max="11524" width="10.81640625" style="1" customWidth="1"/>
    <col min="11525" max="11525" width="9.1796875" style="1" customWidth="1"/>
    <col min="11526" max="11549" width="7.1796875" style="1" customWidth="1"/>
    <col min="11550" max="11550" width="14.1796875" style="1" bestFit="1" customWidth="1"/>
    <col min="11551" max="11778" width="11.453125" style="1"/>
    <col min="11779" max="11779" width="7" style="1" customWidth="1"/>
    <col min="11780" max="11780" width="10.81640625" style="1" customWidth="1"/>
    <col min="11781" max="11781" width="9.1796875" style="1" customWidth="1"/>
    <col min="11782" max="11805" width="7.1796875" style="1" customWidth="1"/>
    <col min="11806" max="11806" width="14.1796875" style="1" bestFit="1" customWidth="1"/>
    <col min="11807" max="12034" width="11.453125" style="1"/>
    <col min="12035" max="12035" width="7" style="1" customWidth="1"/>
    <col min="12036" max="12036" width="10.81640625" style="1" customWidth="1"/>
    <col min="12037" max="12037" width="9.1796875" style="1" customWidth="1"/>
    <col min="12038" max="12061" width="7.1796875" style="1" customWidth="1"/>
    <col min="12062" max="12062" width="14.1796875" style="1" bestFit="1" customWidth="1"/>
    <col min="12063" max="12290" width="11.453125" style="1"/>
    <col min="12291" max="12291" width="7" style="1" customWidth="1"/>
    <col min="12292" max="12292" width="10.81640625" style="1" customWidth="1"/>
    <col min="12293" max="12293" width="9.1796875" style="1" customWidth="1"/>
    <col min="12294" max="12317" width="7.1796875" style="1" customWidth="1"/>
    <col min="12318" max="12318" width="14.1796875" style="1" bestFit="1" customWidth="1"/>
    <col min="12319" max="12546" width="11.453125" style="1"/>
    <col min="12547" max="12547" width="7" style="1" customWidth="1"/>
    <col min="12548" max="12548" width="10.81640625" style="1" customWidth="1"/>
    <col min="12549" max="12549" width="9.1796875" style="1" customWidth="1"/>
    <col min="12550" max="12573" width="7.1796875" style="1" customWidth="1"/>
    <col min="12574" max="12574" width="14.1796875" style="1" bestFit="1" customWidth="1"/>
    <col min="12575" max="12802" width="11.453125" style="1"/>
    <col min="12803" max="12803" width="7" style="1" customWidth="1"/>
    <col min="12804" max="12804" width="10.81640625" style="1" customWidth="1"/>
    <col min="12805" max="12805" width="9.1796875" style="1" customWidth="1"/>
    <col min="12806" max="12829" width="7.1796875" style="1" customWidth="1"/>
    <col min="12830" max="12830" width="14.1796875" style="1" bestFit="1" customWidth="1"/>
    <col min="12831" max="13058" width="11.453125" style="1"/>
    <col min="13059" max="13059" width="7" style="1" customWidth="1"/>
    <col min="13060" max="13060" width="10.81640625" style="1" customWidth="1"/>
    <col min="13061" max="13061" width="9.1796875" style="1" customWidth="1"/>
    <col min="13062" max="13085" width="7.1796875" style="1" customWidth="1"/>
    <col min="13086" max="13086" width="14.1796875" style="1" bestFit="1" customWidth="1"/>
    <col min="13087" max="13314" width="11.453125" style="1"/>
    <col min="13315" max="13315" width="7" style="1" customWidth="1"/>
    <col min="13316" max="13316" width="10.81640625" style="1" customWidth="1"/>
    <col min="13317" max="13317" width="9.1796875" style="1" customWidth="1"/>
    <col min="13318" max="13341" width="7.1796875" style="1" customWidth="1"/>
    <col min="13342" max="13342" width="14.1796875" style="1" bestFit="1" customWidth="1"/>
    <col min="13343" max="13570" width="11.453125" style="1"/>
    <col min="13571" max="13571" width="7" style="1" customWidth="1"/>
    <col min="13572" max="13572" width="10.81640625" style="1" customWidth="1"/>
    <col min="13573" max="13573" width="9.1796875" style="1" customWidth="1"/>
    <col min="13574" max="13597" width="7.1796875" style="1" customWidth="1"/>
    <col min="13598" max="13598" width="14.1796875" style="1" bestFit="1" customWidth="1"/>
    <col min="13599" max="13826" width="11.453125" style="1"/>
    <col min="13827" max="13827" width="7" style="1" customWidth="1"/>
    <col min="13828" max="13828" width="10.81640625" style="1" customWidth="1"/>
    <col min="13829" max="13829" width="9.1796875" style="1" customWidth="1"/>
    <col min="13830" max="13853" width="7.1796875" style="1" customWidth="1"/>
    <col min="13854" max="13854" width="14.1796875" style="1" bestFit="1" customWidth="1"/>
    <col min="13855" max="14082" width="11.453125" style="1"/>
    <col min="14083" max="14083" width="7" style="1" customWidth="1"/>
    <col min="14084" max="14084" width="10.81640625" style="1" customWidth="1"/>
    <col min="14085" max="14085" width="9.1796875" style="1" customWidth="1"/>
    <col min="14086" max="14109" width="7.1796875" style="1" customWidth="1"/>
    <col min="14110" max="14110" width="14.1796875" style="1" bestFit="1" customWidth="1"/>
    <col min="14111" max="14338" width="11.453125" style="1"/>
    <col min="14339" max="14339" width="7" style="1" customWidth="1"/>
    <col min="14340" max="14340" width="10.81640625" style="1" customWidth="1"/>
    <col min="14341" max="14341" width="9.1796875" style="1" customWidth="1"/>
    <col min="14342" max="14365" width="7.1796875" style="1" customWidth="1"/>
    <col min="14366" max="14366" width="14.1796875" style="1" bestFit="1" customWidth="1"/>
    <col min="14367" max="14594" width="11.453125" style="1"/>
    <col min="14595" max="14595" width="7" style="1" customWidth="1"/>
    <col min="14596" max="14596" width="10.81640625" style="1" customWidth="1"/>
    <col min="14597" max="14597" width="9.1796875" style="1" customWidth="1"/>
    <col min="14598" max="14621" width="7.1796875" style="1" customWidth="1"/>
    <col min="14622" max="14622" width="14.1796875" style="1" bestFit="1" customWidth="1"/>
    <col min="14623" max="14850" width="11.453125" style="1"/>
    <col min="14851" max="14851" width="7" style="1" customWidth="1"/>
    <col min="14852" max="14852" width="10.81640625" style="1" customWidth="1"/>
    <col min="14853" max="14853" width="9.1796875" style="1" customWidth="1"/>
    <col min="14854" max="14877" width="7.1796875" style="1" customWidth="1"/>
    <col min="14878" max="14878" width="14.1796875" style="1" bestFit="1" customWidth="1"/>
    <col min="14879" max="15106" width="11.453125" style="1"/>
    <col min="15107" max="15107" width="7" style="1" customWidth="1"/>
    <col min="15108" max="15108" width="10.81640625" style="1" customWidth="1"/>
    <col min="15109" max="15109" width="9.1796875" style="1" customWidth="1"/>
    <col min="15110" max="15133" width="7.1796875" style="1" customWidth="1"/>
    <col min="15134" max="15134" width="14.1796875" style="1" bestFit="1" customWidth="1"/>
    <col min="15135" max="15362" width="11.453125" style="1"/>
    <col min="15363" max="15363" width="7" style="1" customWidth="1"/>
    <col min="15364" max="15364" width="10.81640625" style="1" customWidth="1"/>
    <col min="15365" max="15365" width="9.1796875" style="1" customWidth="1"/>
    <col min="15366" max="15389" width="7.1796875" style="1" customWidth="1"/>
    <col min="15390" max="15390" width="14.1796875" style="1" bestFit="1" customWidth="1"/>
    <col min="15391" max="15618" width="11.453125" style="1"/>
    <col min="15619" max="15619" width="7" style="1" customWidth="1"/>
    <col min="15620" max="15620" width="10.81640625" style="1" customWidth="1"/>
    <col min="15621" max="15621" width="9.1796875" style="1" customWidth="1"/>
    <col min="15622" max="15645" width="7.1796875" style="1" customWidth="1"/>
    <col min="15646" max="15646" width="14.1796875" style="1" bestFit="1" customWidth="1"/>
    <col min="15647" max="15874" width="11.453125" style="1"/>
    <col min="15875" max="15875" width="7" style="1" customWidth="1"/>
    <col min="15876" max="15876" width="10.81640625" style="1" customWidth="1"/>
    <col min="15877" max="15877" width="9.1796875" style="1" customWidth="1"/>
    <col min="15878" max="15901" width="7.1796875" style="1" customWidth="1"/>
    <col min="15902" max="15902" width="14.1796875" style="1" bestFit="1" customWidth="1"/>
    <col min="15903" max="16130" width="11.453125" style="1"/>
    <col min="16131" max="16131" width="7" style="1" customWidth="1"/>
    <col min="16132" max="16132" width="10.81640625" style="1" customWidth="1"/>
    <col min="16133" max="16133" width="9.1796875" style="1" customWidth="1"/>
    <col min="16134" max="16157" width="7.1796875" style="1" customWidth="1"/>
    <col min="16158" max="16158" width="14.179687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2026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20</v>
      </c>
      <c r="F7" s="7">
        <f>+[1]Resumen!F7*1000</f>
        <v>118803.04853200002</v>
      </c>
      <c r="G7" s="7">
        <f>+[1]Resumen!G7*1000</f>
        <v>102965.43556900001</v>
      </c>
      <c r="H7" s="7">
        <f>+[1]Resumen!H7*1000</f>
        <v>93626.991543000011</v>
      </c>
      <c r="I7" s="7">
        <f>+[1]Resumen!I7*1000</f>
        <v>91797.815126000001</v>
      </c>
      <c r="J7" s="7">
        <f>+[1]Resumen!J7*1000</f>
        <v>99208.357025000005</v>
      </c>
      <c r="K7" s="7">
        <f>+[1]Resumen!K7*1000</f>
        <v>129732.22226200002</v>
      </c>
      <c r="L7" s="7">
        <f>+[1]Resumen!L7*1000</f>
        <v>161520.27345600002</v>
      </c>
      <c r="M7" s="7">
        <f>+[1]Resumen!M7*1000</f>
        <v>143195.33427900003</v>
      </c>
      <c r="N7" s="7">
        <f>+[1]Resumen!N7*1000</f>
        <v>165821.30833900004</v>
      </c>
      <c r="O7" s="7">
        <f>+[1]Resumen!O7*1000</f>
        <v>177830.401637</v>
      </c>
      <c r="P7" s="7">
        <f>+[1]Resumen!P7*1000</f>
        <v>198249.51403100003</v>
      </c>
      <c r="Q7" s="7">
        <f>+[1]Resumen!Q7*1000</f>
        <v>216482.21559900002</v>
      </c>
      <c r="R7" s="7">
        <f>+[1]Resumen!R7*1000</f>
        <v>224823.55875800003</v>
      </c>
      <c r="S7" s="7">
        <f>+[1]Resumen!S7*1000</f>
        <v>224676.28390600003</v>
      </c>
      <c r="T7" s="7">
        <f>+[1]Resumen!T7*1000</f>
        <v>231000.48294500003</v>
      </c>
      <c r="U7" s="7">
        <f>+[1]Resumen!U7*1000</f>
        <v>232329.93156500004</v>
      </c>
      <c r="V7" s="7">
        <f>+[1]Resumen!V7*1000</f>
        <v>223815.53397400002</v>
      </c>
      <c r="W7" s="7">
        <f>+[1]Resumen!W7*1000</f>
        <v>221413.10755000002</v>
      </c>
      <c r="X7" s="7">
        <f>+[1]Resumen!X7*1000</f>
        <v>229912.81510100004</v>
      </c>
      <c r="Y7" s="7">
        <f>+[1]Resumen!Y7*1000</f>
        <v>236111.147861</v>
      </c>
      <c r="Z7" s="7">
        <f>+[1]Resumen!Z7*1000</f>
        <v>219563.06263500001</v>
      </c>
      <c r="AA7" s="7">
        <f>+[1]Resumen!AA7*1000</f>
        <v>195049.70647500001</v>
      </c>
      <c r="AB7" s="7">
        <f>+[1]Resumen!AB7*1000</f>
        <v>154632.54576000001</v>
      </c>
      <c r="AC7" s="7">
        <f>+[1]Resumen!AC7*1000</f>
        <v>131050.17808599999</v>
      </c>
      <c r="AD7" s="57">
        <f>SUM(F7:AC7)*E7+SUM(F8:AC8)*E8+SUM(F9:AC9)*E9+SUM(F10:AC10)*E10</f>
        <v>119622499.57684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5</v>
      </c>
      <c r="F8" s="7">
        <f>+[1]Resumen!F8*1000</f>
        <v>113731.69387500001</v>
      </c>
      <c r="G8" s="7">
        <f>+[1]Resumen!G8*1000</f>
        <v>97498.695605000001</v>
      </c>
      <c r="H8" s="7">
        <f>+[1]Resumen!H8*1000</f>
        <v>87446.258027000018</v>
      </c>
      <c r="I8" s="7">
        <f>+[1]Resumen!I8*1000</f>
        <v>82954.403845000008</v>
      </c>
      <c r="J8" s="7">
        <f>+[1]Resumen!J8*1000</f>
        <v>90481.270698000008</v>
      </c>
      <c r="K8" s="7">
        <f>+[1]Resumen!K8*1000</f>
        <v>105903.933237</v>
      </c>
      <c r="L8" s="7">
        <f>+[1]Resumen!L8*1000</f>
        <v>128647.024361</v>
      </c>
      <c r="M8" s="7">
        <f>+[1]Resumen!M8*1000</f>
        <v>111176.42622600003</v>
      </c>
      <c r="N8" s="7">
        <f>+[1]Resumen!N8*1000</f>
        <v>137054.45829800001</v>
      </c>
      <c r="O8" s="7">
        <f>+[1]Resumen!O8*1000</f>
        <v>156808.92559300002</v>
      </c>
      <c r="P8" s="7">
        <f>+[1]Resumen!P8*1000</f>
        <v>172436.59340100002</v>
      </c>
      <c r="Q8" s="7">
        <f>+[1]Resumen!Q8*1000</f>
        <v>187234.89323500003</v>
      </c>
      <c r="R8" s="7">
        <f>+[1]Resumen!R8*1000</f>
        <v>189346.29844500002</v>
      </c>
      <c r="S8" s="7">
        <f>+[1]Resumen!S8*1000</f>
        <v>186807.62910100003</v>
      </c>
      <c r="T8" s="7">
        <f>+[1]Resumen!T8*1000</f>
        <v>181938.464122</v>
      </c>
      <c r="U8" s="7">
        <f>+[1]Resumen!U8*1000</f>
        <v>180179.77829400002</v>
      </c>
      <c r="V8" s="7">
        <f>+[1]Resumen!V8*1000</f>
        <v>179248.27133600001</v>
      </c>
      <c r="W8" s="7">
        <f>+[1]Resumen!W8*1000</f>
        <v>187382.65055400002</v>
      </c>
      <c r="X8" s="7">
        <f>+[1]Resumen!X8*1000</f>
        <v>205331.47430000003</v>
      </c>
      <c r="Y8" s="7">
        <f>+[1]Resumen!Y8*1000</f>
        <v>209403.02051400003</v>
      </c>
      <c r="Z8" s="7">
        <f>+[1]Resumen!Z8*1000</f>
        <v>191800.97532500001</v>
      </c>
      <c r="AA8" s="7">
        <f>+[1]Resumen!AA8*1000</f>
        <v>168425.93164200004</v>
      </c>
      <c r="AB8" s="7">
        <f>+[1]Resumen!AB8*1000</f>
        <v>143005.63113500003</v>
      </c>
      <c r="AC8" s="7">
        <f>+[1]Resumen!AC8*1000</f>
        <v>115425.426683</v>
      </c>
      <c r="AD8" s="5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+[1]Resumen!F9*1000</f>
        <v>113723.43432800002</v>
      </c>
      <c r="G9" s="7">
        <f>+[1]Resumen!G9*1000</f>
        <v>95929.086434000012</v>
      </c>
      <c r="H9" s="7">
        <f>+[1]Resumen!H9*1000</f>
        <v>83793.975636000003</v>
      </c>
      <c r="I9" s="7">
        <f>+[1]Resumen!I9*1000</f>
        <v>76877.948010000007</v>
      </c>
      <c r="J9" s="7">
        <f>+[1]Resumen!J9*1000</f>
        <v>78613.165779000003</v>
      </c>
      <c r="K9" s="7">
        <f>+[1]Resumen!K9*1000</f>
        <v>85486.196234000003</v>
      </c>
      <c r="L9" s="7">
        <f>+[1]Resumen!L9*1000</f>
        <v>95888.127145999999</v>
      </c>
      <c r="M9" s="7">
        <f>+[1]Resumen!M9*1000</f>
        <v>71128.071927000012</v>
      </c>
      <c r="N9" s="7">
        <f>+[1]Resumen!N9*1000</f>
        <v>90490.495179000005</v>
      </c>
      <c r="O9" s="7">
        <f>+[1]Resumen!O9*1000</f>
        <v>108979.06988</v>
      </c>
      <c r="P9" s="7">
        <f>+[1]Resumen!P9*1000</f>
        <v>123423.937433</v>
      </c>
      <c r="Q9" s="7">
        <f>+[1]Resumen!Q9*1000</f>
        <v>142815.53913700001</v>
      </c>
      <c r="R9" s="7">
        <f>+[1]Resumen!R9*1000</f>
        <v>155548.73619100003</v>
      </c>
      <c r="S9" s="7">
        <f>+[1]Resumen!S9*1000</f>
        <v>161840.17788100001</v>
      </c>
      <c r="T9" s="7">
        <f>+[1]Resumen!T9*1000</f>
        <v>159620.31120900001</v>
      </c>
      <c r="U9" s="7">
        <f>+[1]Resumen!U9*1000</f>
        <v>156660.22494300001</v>
      </c>
      <c r="V9" s="7">
        <f>+[1]Resumen!V9*1000</f>
        <v>153786.74510400003</v>
      </c>
      <c r="W9" s="7">
        <f>+[1]Resumen!W9*1000</f>
        <v>163862.39870600001</v>
      </c>
      <c r="X9" s="7">
        <f>+[1]Resumen!X9*1000</f>
        <v>181698.63481700004</v>
      </c>
      <c r="Y9" s="7">
        <f>+[1]Resumen!Y9*1000</f>
        <v>192416.82644800001</v>
      </c>
      <c r="Z9" s="7">
        <f>+[1]Resumen!Z9*1000</f>
        <v>179962.17127500003</v>
      </c>
      <c r="AA9" s="7">
        <f>+[1]Resumen!AA9*1000</f>
        <v>158788.185252</v>
      </c>
      <c r="AB9" s="7">
        <f>+[1]Resumen!AB9*1000</f>
        <v>130700.34630500001</v>
      </c>
      <c r="AC9" s="7">
        <f>+[1]Resumen!AC9*1000</f>
        <v>98213.121217000022</v>
      </c>
      <c r="AD9" s="5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+[1]Resumen!F10*1000</f>
        <v>96105.20849200002</v>
      </c>
      <c r="G10" s="7">
        <f>+[1]Resumen!G10*1000</f>
        <v>84910.785927000004</v>
      </c>
      <c r="H10" s="7">
        <f>+[1]Resumen!H10*1000</f>
        <v>73004.789346000005</v>
      </c>
      <c r="I10" s="7">
        <f>+[1]Resumen!I10*1000</f>
        <v>66612.360832000006</v>
      </c>
      <c r="J10" s="7">
        <f>+[1]Resumen!J10*1000</f>
        <v>66799.961284000005</v>
      </c>
      <c r="K10" s="7">
        <f>+[1]Resumen!K10*1000</f>
        <v>72733.851721000014</v>
      </c>
      <c r="L10" s="7">
        <f>+[1]Resumen!L10*1000</f>
        <v>73943.475701000003</v>
      </c>
      <c r="M10" s="7">
        <f>+[1]Resumen!M10*1000</f>
        <v>40842.905438000002</v>
      </c>
      <c r="N10" s="7">
        <f>+[1]Resumen!N10*1000</f>
        <v>53509.406830000007</v>
      </c>
      <c r="O10" s="7">
        <f>+[1]Resumen!O10*1000</f>
        <v>67856.571215000004</v>
      </c>
      <c r="P10" s="7">
        <f>+[1]Resumen!P10*1000</f>
        <v>85057.117448000005</v>
      </c>
      <c r="Q10" s="7">
        <f>+[1]Resumen!Q10*1000</f>
        <v>104657.30331800001</v>
      </c>
      <c r="R10" s="7">
        <f>+[1]Resumen!R10*1000</f>
        <v>120650.54429300001</v>
      </c>
      <c r="S10" s="7">
        <f>+[1]Resumen!S10*1000</f>
        <v>126126.91919500002</v>
      </c>
      <c r="T10" s="7">
        <f>+[1]Resumen!T10*1000</f>
        <v>124959.60109000001</v>
      </c>
      <c r="U10" s="7">
        <f>+[1]Resumen!U10*1000</f>
        <v>120392.40284500002</v>
      </c>
      <c r="V10" s="7">
        <f>+[1]Resumen!V10*1000</f>
        <v>118250.919058</v>
      </c>
      <c r="W10" s="7">
        <f>+[1]Resumen!W10*1000</f>
        <v>131476.03802500002</v>
      </c>
      <c r="X10" s="7">
        <f>+[1]Resumen!X10*1000</f>
        <v>157324.66121300001</v>
      </c>
      <c r="Y10" s="7">
        <f>+[1]Resumen!Y10*1000</f>
        <v>165744.84812100002</v>
      </c>
      <c r="Z10" s="7">
        <f>+[1]Resumen!Z10*1000</f>
        <v>153311.91836500002</v>
      </c>
      <c r="AA10" s="7">
        <f>+[1]Resumen!AA10*1000</f>
        <v>133949.09905799999</v>
      </c>
      <c r="AB10" s="7">
        <f>+[1]Resumen!AB10*1000</f>
        <v>109116.24893</v>
      </c>
      <c r="AC10" s="7">
        <f>+[1]Resumen!AC10*1000</f>
        <v>83130.957963000008</v>
      </c>
      <c r="AD10" s="59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+[1]Resumen!F11*1000</f>
        <v>148904.24387300003</v>
      </c>
      <c r="G11" s="7">
        <f>+[1]Resumen!G11*1000</f>
        <v>131850.259593</v>
      </c>
      <c r="H11" s="7">
        <f>+[1]Resumen!H11*1000</f>
        <v>122882.962308</v>
      </c>
      <c r="I11" s="7">
        <f>+[1]Resumen!I11*1000</f>
        <v>122286.61869400002</v>
      </c>
      <c r="J11" s="7">
        <f>+[1]Resumen!J11*1000</f>
        <v>138689.15730799999</v>
      </c>
      <c r="K11" s="7">
        <f>+[1]Resumen!K11*1000</f>
        <v>193109.742673</v>
      </c>
      <c r="L11" s="7">
        <f>+[1]Resumen!L11*1000</f>
        <v>229558.64831800002</v>
      </c>
      <c r="M11" s="7">
        <f>+[1]Resumen!M11*1000</f>
        <v>202595.713586</v>
      </c>
      <c r="N11" s="7">
        <f>+[1]Resumen!N11*1000</f>
        <v>227314.06781400004</v>
      </c>
      <c r="O11" s="7">
        <f>+[1]Resumen!O11*1000</f>
        <v>243528.81875000003</v>
      </c>
      <c r="P11" s="7">
        <f>+[1]Resumen!P11*1000</f>
        <v>269243.978604</v>
      </c>
      <c r="Q11" s="7">
        <f>+[1]Resumen!Q11*1000</f>
        <v>286439.21049900004</v>
      </c>
      <c r="R11" s="7">
        <f>+[1]Resumen!R11*1000</f>
        <v>286593.67915000004</v>
      </c>
      <c r="S11" s="7">
        <f>+[1]Resumen!S11*1000</f>
        <v>284203.09837100003</v>
      </c>
      <c r="T11" s="7">
        <f>+[1]Resumen!T11*1000</f>
        <v>290276.61619800003</v>
      </c>
      <c r="U11" s="7">
        <f>+[1]Resumen!U11*1000</f>
        <v>291516.88763400004</v>
      </c>
      <c r="V11" s="7">
        <f>+[1]Resumen!V11*1000</f>
        <v>281279.05311000004</v>
      </c>
      <c r="W11" s="7">
        <f>+[1]Resumen!W11*1000</f>
        <v>272192.16881800001</v>
      </c>
      <c r="X11" s="7">
        <f>+[1]Resumen!X11*1000</f>
        <v>274500.59338800004</v>
      </c>
      <c r="Y11" s="7">
        <f>+[1]Resumen!Y11*1000</f>
        <v>288217.74948400003</v>
      </c>
      <c r="Z11" s="7">
        <f>+[1]Resumen!Z11*1000</f>
        <v>268298.71053500002</v>
      </c>
      <c r="AA11" s="7">
        <f>+[1]Resumen!AA11*1000</f>
        <v>234723.94002000004</v>
      </c>
      <c r="AB11" s="7">
        <f>+[1]Resumen!AB11*1000</f>
        <v>185198.63766100002</v>
      </c>
      <c r="AC11" s="7">
        <f>+[1]Resumen!AC11*1000</f>
        <v>156975.29749700002</v>
      </c>
      <c r="AD11" s="57">
        <f>SUM(F11:AC11)*E11+SUM(F12:AC12)*E12+SUM(F13:AC13)*E13+SUM(F14:AC14)*E14</f>
        <v>145189562.771916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+[1]Resumen!F12*1000</f>
        <v>152302.59740100004</v>
      </c>
      <c r="G12" s="7">
        <f>+[1]Resumen!G12*1000</f>
        <v>133240.41264300002</v>
      </c>
      <c r="H12" s="7">
        <f>+[1]Resumen!H12*1000</f>
        <v>120948.52167300002</v>
      </c>
      <c r="I12" s="7">
        <f>+[1]Resumen!I12*1000</f>
        <v>117010.38838600001</v>
      </c>
      <c r="J12" s="7">
        <f>+[1]Resumen!J12*1000</f>
        <v>125498.703955</v>
      </c>
      <c r="K12" s="7">
        <f>+[1]Resumen!K12*1000</f>
        <v>145616.51930800002</v>
      </c>
      <c r="L12" s="7">
        <f>+[1]Resumen!L12*1000</f>
        <v>178665.17756200003</v>
      </c>
      <c r="M12" s="7">
        <f>+[1]Resumen!M12*1000</f>
        <v>172555.14346400002</v>
      </c>
      <c r="N12" s="7">
        <f>+[1]Resumen!N12*1000</f>
        <v>208616.47688700003</v>
      </c>
      <c r="O12" s="7">
        <f>+[1]Resumen!O12*1000</f>
        <v>232454.58087500001</v>
      </c>
      <c r="P12" s="7">
        <f>+[1]Resumen!P12*1000</f>
        <v>254538.28363000002</v>
      </c>
      <c r="Q12" s="7">
        <f>+[1]Resumen!Q12*1000</f>
        <v>267913.28421100002</v>
      </c>
      <c r="R12" s="7">
        <f>+[1]Resumen!R12*1000</f>
        <v>267774.038474</v>
      </c>
      <c r="S12" s="7">
        <f>+[1]Resumen!S12*1000</f>
        <v>258371.00147800005</v>
      </c>
      <c r="T12" s="7">
        <f>+[1]Resumen!T12*1000</f>
        <v>249687.02033700002</v>
      </c>
      <c r="U12" s="7">
        <f>+[1]Resumen!U12*1000</f>
        <v>245970.433016</v>
      </c>
      <c r="V12" s="7">
        <f>+[1]Resumen!V12*1000</f>
        <v>240157.80021800002</v>
      </c>
      <c r="W12" s="7">
        <f>+[1]Resumen!W12*1000</f>
        <v>246076.07888700001</v>
      </c>
      <c r="X12" s="7">
        <f>+[1]Resumen!X12*1000</f>
        <v>258349.74412600001</v>
      </c>
      <c r="Y12" s="7">
        <f>+[1]Resumen!Y12*1000</f>
        <v>267292.73083499999</v>
      </c>
      <c r="Z12" s="7">
        <f>+[1]Resumen!Z12*1000</f>
        <v>246277.99492700005</v>
      </c>
      <c r="AA12" s="7">
        <f>+[1]Resumen!AA12*1000</f>
        <v>217568.70968</v>
      </c>
      <c r="AB12" s="7">
        <f>+[1]Resumen!AB12*1000</f>
        <v>185814.17194000003</v>
      </c>
      <c r="AC12" s="7">
        <f>+[1]Resumen!AC12*1000</f>
        <v>155587.97444000002</v>
      </c>
      <c r="AD12" s="5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+[1]Resumen!F13*1000</f>
        <v>149955.13621000003</v>
      </c>
      <c r="G13" s="7">
        <f>+[1]Resumen!G13*1000</f>
        <v>129668.37099500003</v>
      </c>
      <c r="H13" s="7">
        <f>+[1]Resumen!H13*1000</f>
        <v>117160.52203500002</v>
      </c>
      <c r="I13" s="7">
        <f>+[1]Resumen!I13*1000</f>
        <v>111192.76529500002</v>
      </c>
      <c r="J13" s="7">
        <f>+[1]Resumen!J13*1000</f>
        <v>112630.13530200001</v>
      </c>
      <c r="K13" s="7">
        <f>+[1]Resumen!K13*1000</f>
        <v>120389.51524400001</v>
      </c>
      <c r="L13" s="7">
        <f>+[1]Resumen!L13*1000</f>
        <v>135993.779802</v>
      </c>
      <c r="M13" s="7">
        <f>+[1]Resumen!M13*1000</f>
        <v>115804.01205700001</v>
      </c>
      <c r="N13" s="7">
        <f>+[1]Resumen!N13*1000</f>
        <v>143783.36073800002</v>
      </c>
      <c r="O13" s="7">
        <f>+[1]Resumen!O13*1000</f>
        <v>166294.47164700003</v>
      </c>
      <c r="P13" s="7">
        <f>+[1]Resumen!P13*1000</f>
        <v>186171.23352500002</v>
      </c>
      <c r="Q13" s="7">
        <f>+[1]Resumen!Q13*1000</f>
        <v>205964.22617000004</v>
      </c>
      <c r="R13" s="7">
        <f>+[1]Resumen!R13*1000</f>
        <v>218654.886917</v>
      </c>
      <c r="S13" s="7">
        <f>+[1]Resumen!S13*1000</f>
        <v>216654.66514699999</v>
      </c>
      <c r="T13" s="7">
        <f>+[1]Resumen!T13*1000</f>
        <v>207809.00715399999</v>
      </c>
      <c r="U13" s="7">
        <f>+[1]Resumen!U13*1000</f>
        <v>204782.42685400002</v>
      </c>
      <c r="V13" s="7">
        <f>+[1]Resumen!V13*1000</f>
        <v>201451.64030900004</v>
      </c>
      <c r="W13" s="7">
        <f>+[1]Resumen!W13*1000</f>
        <v>209730.30596400003</v>
      </c>
      <c r="X13" s="7">
        <f>+[1]Resumen!X13*1000</f>
        <v>224739.75352000003</v>
      </c>
      <c r="Y13" s="7">
        <f>+[1]Resumen!Y13*1000</f>
        <v>247191.36976700003</v>
      </c>
      <c r="Z13" s="7">
        <f>+[1]Resumen!Z13*1000</f>
        <v>235649.92381100002</v>
      </c>
      <c r="AA13" s="7">
        <f>+[1]Resumen!AA13*1000</f>
        <v>214261.29758100002</v>
      </c>
      <c r="AB13" s="7">
        <f>+[1]Resumen!AB13*1000</f>
        <v>178776.47621800003</v>
      </c>
      <c r="AC13" s="7">
        <f>+[1]Resumen!AC13*1000</f>
        <v>142494.35293400002</v>
      </c>
      <c r="AD13" s="5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+[1]Resumen!F14*1000</f>
        <v>0</v>
      </c>
      <c r="G14" s="7">
        <f>+[1]Resumen!G14*1000</f>
        <v>0</v>
      </c>
      <c r="H14" s="7">
        <f>+[1]Resumen!H14*1000</f>
        <v>0</v>
      </c>
      <c r="I14" s="7">
        <f>+[1]Resumen!I14*1000</f>
        <v>0</v>
      </c>
      <c r="J14" s="7">
        <f>+[1]Resumen!J14*1000</f>
        <v>0</v>
      </c>
      <c r="K14" s="7">
        <f>+[1]Resumen!K14*1000</f>
        <v>0</v>
      </c>
      <c r="L14" s="7">
        <f>+[1]Resumen!L14*1000</f>
        <v>0</v>
      </c>
      <c r="M14" s="7">
        <f>+[1]Resumen!M14*1000</f>
        <v>0</v>
      </c>
      <c r="N14" s="7">
        <f>+[1]Resumen!N14*1000</f>
        <v>0</v>
      </c>
      <c r="O14" s="7">
        <f>+[1]Resumen!O14*1000</f>
        <v>0</v>
      </c>
      <c r="P14" s="7">
        <f>+[1]Resumen!P14*1000</f>
        <v>0</v>
      </c>
      <c r="Q14" s="7">
        <f>+[1]Resumen!Q14*1000</f>
        <v>0</v>
      </c>
      <c r="R14" s="7">
        <f>+[1]Resumen!R14*1000</f>
        <v>0</v>
      </c>
      <c r="S14" s="7">
        <f>+[1]Resumen!S14*1000</f>
        <v>0</v>
      </c>
      <c r="T14" s="7">
        <f>+[1]Resumen!T14*1000</f>
        <v>0</v>
      </c>
      <c r="U14" s="7">
        <f>+[1]Resumen!U14*1000</f>
        <v>0</v>
      </c>
      <c r="V14" s="7">
        <f>+[1]Resumen!V14*1000</f>
        <v>0</v>
      </c>
      <c r="W14" s="7">
        <f>+[1]Resumen!W14*1000</f>
        <v>0</v>
      </c>
      <c r="X14" s="7">
        <f>+[1]Resumen!X14*1000</f>
        <v>0</v>
      </c>
      <c r="Y14" s="7">
        <f>+[1]Resumen!Y14*1000</f>
        <v>0</v>
      </c>
      <c r="Z14" s="7">
        <f>+[1]Resumen!Z14*1000</f>
        <v>0</v>
      </c>
      <c r="AA14" s="7">
        <f>+[1]Resumen!AA14*1000</f>
        <v>0</v>
      </c>
      <c r="AB14" s="7">
        <f>+[1]Resumen!AB14*1000</f>
        <v>0</v>
      </c>
      <c r="AC14" s="7">
        <f>+[1]Resumen!AC14*1000</f>
        <v>0</v>
      </c>
      <c r="AD14" s="59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21</v>
      </c>
      <c r="F15" s="7">
        <f>+[1]Resumen!F15*1000</f>
        <v>118356.04645700002</v>
      </c>
      <c r="G15" s="7">
        <f>+[1]Resumen!G15*1000</f>
        <v>102474.47138900003</v>
      </c>
      <c r="H15" s="7">
        <f>+[1]Resumen!H15*1000</f>
        <v>93761.434213000015</v>
      </c>
      <c r="I15" s="7">
        <f>+[1]Resumen!I15*1000</f>
        <v>92183.291857000018</v>
      </c>
      <c r="J15" s="7">
        <f>+[1]Resumen!J15*1000</f>
        <v>100412.54425000001</v>
      </c>
      <c r="K15" s="7">
        <f>+[1]Resumen!K15*1000</f>
        <v>139642.44729100002</v>
      </c>
      <c r="L15" s="7">
        <f>+[1]Resumen!L15*1000</f>
        <v>167406.529278</v>
      </c>
      <c r="M15" s="7">
        <f>+[1]Resumen!M15*1000</f>
        <v>143399.93629200003</v>
      </c>
      <c r="N15" s="7">
        <f>+[1]Resumen!N15*1000</f>
        <v>163375.35187000001</v>
      </c>
      <c r="O15" s="7">
        <f>+[1]Resumen!O15*1000</f>
        <v>176910.47388700003</v>
      </c>
      <c r="P15" s="7">
        <f>+[1]Resumen!P15*1000</f>
        <v>196560.27464700001</v>
      </c>
      <c r="Q15" s="7">
        <f>+[1]Resumen!Q15*1000</f>
        <v>210662.38180100004</v>
      </c>
      <c r="R15" s="7">
        <f>+[1]Resumen!R15*1000</f>
        <v>210981.55172400002</v>
      </c>
      <c r="S15" s="7">
        <f>+[1]Resumen!S15*1000</f>
        <v>210568.63918300002</v>
      </c>
      <c r="T15" s="7">
        <f>+[1]Resumen!T15*1000</f>
        <v>216663.88242700003</v>
      </c>
      <c r="U15" s="7">
        <f>+[1]Resumen!U15*1000</f>
        <v>218850.53808700002</v>
      </c>
      <c r="V15" s="7">
        <f>+[1]Resumen!V15*1000</f>
        <v>210353.72533800002</v>
      </c>
      <c r="W15" s="7">
        <f>+[1]Resumen!W15*1000</f>
        <v>202488.56990700003</v>
      </c>
      <c r="X15" s="7">
        <f>+[1]Resumen!X15*1000</f>
        <v>202857.42673000001</v>
      </c>
      <c r="Y15" s="7">
        <f>+[1]Resumen!Y15*1000</f>
        <v>215419.90967700005</v>
      </c>
      <c r="Z15" s="7">
        <f>+[1]Resumen!Z15*1000</f>
        <v>201236.59684600003</v>
      </c>
      <c r="AA15" s="7">
        <f>+[1]Resumen!AA15*1000</f>
        <v>179365.13636500001</v>
      </c>
      <c r="AB15" s="7">
        <f>+[1]Resumen!AB15*1000</f>
        <v>146341.09112900001</v>
      </c>
      <c r="AC15" s="7">
        <f>+[1]Resumen!AC15*1000</f>
        <v>126933.38798900002</v>
      </c>
      <c r="AD15" s="57">
        <f t="shared" ref="AD15" si="0">SUM(F15:AC15)*E15+SUM(F16:AC16)*E16+SUM(F17:AC17)*E17+SUM(F18:AC18)*E18</f>
        <v>115325321.34061101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+[1]Resumen!F16*1000</f>
        <v>114752.11878100001</v>
      </c>
      <c r="G16" s="7">
        <f>+[1]Resumen!G16*1000</f>
        <v>97488.31176300002</v>
      </c>
      <c r="H16" s="7">
        <f>+[1]Resumen!H16*1000</f>
        <v>87294.345731000009</v>
      </c>
      <c r="I16" s="7">
        <f>+[1]Resumen!I16*1000</f>
        <v>82473.197020000007</v>
      </c>
      <c r="J16" s="7">
        <f>+[1]Resumen!J16*1000</f>
        <v>86708.962039000005</v>
      </c>
      <c r="K16" s="7">
        <f>+[1]Resumen!K16*1000</f>
        <v>97832.973226000016</v>
      </c>
      <c r="L16" s="7">
        <f>+[1]Resumen!L16*1000</f>
        <v>118040.469833</v>
      </c>
      <c r="M16" s="7">
        <f>+[1]Resumen!M16*1000</f>
        <v>105770.642727</v>
      </c>
      <c r="N16" s="7">
        <f>+[1]Resumen!N16*1000</f>
        <v>132380.98769500002</v>
      </c>
      <c r="O16" s="7">
        <f>+[1]Resumen!O16*1000</f>
        <v>150330.15708900001</v>
      </c>
      <c r="P16" s="7">
        <f>+[1]Resumen!P16*1000</f>
        <v>169421.066636</v>
      </c>
      <c r="Q16" s="7">
        <f>+[1]Resumen!Q16*1000</f>
        <v>179920.13183700002</v>
      </c>
      <c r="R16" s="7">
        <f>+[1]Resumen!R16*1000</f>
        <v>180958.43682600002</v>
      </c>
      <c r="S16" s="7">
        <f>+[1]Resumen!S16*1000</f>
        <v>175982.257786</v>
      </c>
      <c r="T16" s="7">
        <f>+[1]Resumen!T16*1000</f>
        <v>173447.18894200004</v>
      </c>
      <c r="U16" s="7">
        <f>+[1]Resumen!U16*1000</f>
        <v>171049.41436400003</v>
      </c>
      <c r="V16" s="7">
        <f>+[1]Resumen!V16*1000</f>
        <v>167159.19653100002</v>
      </c>
      <c r="W16" s="7">
        <f>+[1]Resumen!W16*1000</f>
        <v>178882.510943</v>
      </c>
      <c r="X16" s="7">
        <f>+[1]Resumen!X16*1000</f>
        <v>187992.69047000003</v>
      </c>
      <c r="Y16" s="7">
        <f>+[1]Resumen!Y16*1000</f>
        <v>189358.25210500002</v>
      </c>
      <c r="Z16" s="7">
        <f>+[1]Resumen!Z16*1000</f>
        <v>174603.55432600001</v>
      </c>
      <c r="AA16" s="7">
        <f>+[1]Resumen!AA16*1000</f>
        <v>155347.32422100002</v>
      </c>
      <c r="AB16" s="7">
        <f>+[1]Resumen!AB16*1000</f>
        <v>133520.69716600003</v>
      </c>
      <c r="AC16" s="7">
        <f>+[1]Resumen!AC16*1000</f>
        <v>110331.13684100001</v>
      </c>
      <c r="AD16" s="5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5</v>
      </c>
      <c r="F17" s="7">
        <f>+[1]Resumen!F17*1000</f>
        <v>111504.64780600001</v>
      </c>
      <c r="G17" s="7">
        <f>+[1]Resumen!G17*1000</f>
        <v>95488.392435000016</v>
      </c>
      <c r="H17" s="7">
        <f>+[1]Resumen!H17*1000</f>
        <v>84393.473288000008</v>
      </c>
      <c r="I17" s="7">
        <f>+[1]Resumen!I17*1000</f>
        <v>78590.612247000012</v>
      </c>
      <c r="J17" s="7">
        <f>+[1]Resumen!J17*1000</f>
        <v>79875.861128999997</v>
      </c>
      <c r="K17" s="7">
        <f>+[1]Resumen!K17*1000</f>
        <v>84514.226857000016</v>
      </c>
      <c r="L17" s="7">
        <f>+[1]Resumen!L17*1000</f>
        <v>93409.074881000008</v>
      </c>
      <c r="M17" s="7">
        <f>+[1]Resumen!M17*1000</f>
        <v>70847.621781000009</v>
      </c>
      <c r="N17" s="7">
        <f>+[1]Resumen!N17*1000</f>
        <v>90348.815503999998</v>
      </c>
      <c r="O17" s="7">
        <f>+[1]Resumen!O17*1000</f>
        <v>106337.41903500001</v>
      </c>
      <c r="P17" s="7">
        <f>+[1]Resumen!P17*1000</f>
        <v>116819.45387100001</v>
      </c>
      <c r="Q17" s="7">
        <f>+[1]Resumen!Q17*1000</f>
        <v>128600.46989600002</v>
      </c>
      <c r="R17" s="7">
        <f>+[1]Resumen!R17*1000</f>
        <v>138438.09444300001</v>
      </c>
      <c r="S17" s="7">
        <f>+[1]Resumen!S17*1000</f>
        <v>140607.30207999999</v>
      </c>
      <c r="T17" s="7">
        <f>+[1]Resumen!T17*1000</f>
        <v>137875.32909200003</v>
      </c>
      <c r="U17" s="7">
        <f>+[1]Resumen!U17*1000</f>
        <v>134483.65809200003</v>
      </c>
      <c r="V17" s="7">
        <f>+[1]Resumen!V17*1000</f>
        <v>132460.37872000001</v>
      </c>
      <c r="W17" s="7">
        <f>+[1]Resumen!W17*1000</f>
        <v>142402.352958</v>
      </c>
      <c r="X17" s="7">
        <f>+[1]Resumen!X17*1000</f>
        <v>155887.92489400003</v>
      </c>
      <c r="Y17" s="7">
        <f>+[1]Resumen!Y17*1000</f>
        <v>169234.23669100003</v>
      </c>
      <c r="Z17" s="7">
        <f>+[1]Resumen!Z17*1000</f>
        <v>161133.33492200001</v>
      </c>
      <c r="AA17" s="7">
        <f>+[1]Resumen!AA17*1000</f>
        <v>146162.535133</v>
      </c>
      <c r="AB17" s="7">
        <f>+[1]Resumen!AB17*1000</f>
        <v>120779.42059000001</v>
      </c>
      <c r="AC17" s="7">
        <f>+[1]Resumen!AC17*1000</f>
        <v>92566.644293000005</v>
      </c>
      <c r="AD17" s="5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+[1]Resumen!F18*1000</f>
        <v>103538.62076700001</v>
      </c>
      <c r="G18" s="7">
        <f>+[1]Resumen!G18*1000</f>
        <v>88606.360730000015</v>
      </c>
      <c r="H18" s="7">
        <f>+[1]Resumen!H18*1000</f>
        <v>79634.296383000008</v>
      </c>
      <c r="I18" s="7">
        <f>+[1]Resumen!I18*1000</f>
        <v>72706.091866000017</v>
      </c>
      <c r="J18" s="7">
        <f>+[1]Resumen!J18*1000</f>
        <v>75605.300878000009</v>
      </c>
      <c r="K18" s="7">
        <f>+[1]Resumen!K18*1000</f>
        <v>82418.923083000016</v>
      </c>
      <c r="L18" s="7">
        <f>+[1]Resumen!L18*1000</f>
        <v>92792.093201000011</v>
      </c>
      <c r="M18" s="7">
        <f>+[1]Resumen!M18*1000</f>
        <v>74431.941134000008</v>
      </c>
      <c r="N18" s="7">
        <f>+[1]Resumen!N18*1000</f>
        <v>92366.787739000007</v>
      </c>
      <c r="O18" s="7">
        <f>+[1]Resumen!O18*1000</f>
        <v>98275.870731000003</v>
      </c>
      <c r="P18" s="7">
        <f>+[1]Resumen!P18*1000</f>
        <v>98697.021216000008</v>
      </c>
      <c r="Q18" s="7">
        <f>+[1]Resumen!Q18*1000</f>
        <v>110913.20087200002</v>
      </c>
      <c r="R18" s="7">
        <f>+[1]Resumen!R18*1000</f>
        <v>122636.09042500002</v>
      </c>
      <c r="S18" s="7">
        <f>+[1]Resumen!S18*1000</f>
        <v>125721.98536200001</v>
      </c>
      <c r="T18" s="7">
        <f>+[1]Resumen!T18*1000</f>
        <v>123627.56011000002</v>
      </c>
      <c r="U18" s="7">
        <f>+[1]Resumen!U18*1000</f>
        <v>122539.64023100001</v>
      </c>
      <c r="V18" s="7">
        <f>+[1]Resumen!V18*1000</f>
        <v>120928.87014400001</v>
      </c>
      <c r="W18" s="7">
        <f>+[1]Resumen!W18*1000</f>
        <v>129444.36948800001</v>
      </c>
      <c r="X18" s="7">
        <f>+[1]Resumen!X18*1000</f>
        <v>139756.96479400003</v>
      </c>
      <c r="Y18" s="7">
        <f>+[1]Resumen!Y18*1000</f>
        <v>146091.63408700001</v>
      </c>
      <c r="Z18" s="7">
        <f>+[1]Resumen!Z18*1000</f>
        <v>133643.74785400002</v>
      </c>
      <c r="AA18" s="7">
        <f>+[1]Resumen!AA18*1000</f>
        <v>127108.60992200002</v>
      </c>
      <c r="AB18" s="7">
        <f>+[1]Resumen!AB18*1000</f>
        <v>119231.11197700001</v>
      </c>
      <c r="AC18" s="7">
        <f>+[1]Resumen!AC18*1000</f>
        <v>105295.33352100001</v>
      </c>
      <c r="AD18" s="59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20</v>
      </c>
      <c r="F19" s="7">
        <f>+[1]Resumen!F19*1000</f>
        <v>122497.38476300001</v>
      </c>
      <c r="G19" s="7">
        <f>+[1]Resumen!G19*1000</f>
        <v>107408.98544300001</v>
      </c>
      <c r="H19" s="7">
        <f>+[1]Resumen!H19*1000</f>
        <v>99334.43933400001</v>
      </c>
      <c r="I19" s="7">
        <f>+[1]Resumen!I19*1000</f>
        <v>99022.772853000002</v>
      </c>
      <c r="J19" s="7">
        <f>+[1]Resumen!J19*1000</f>
        <v>113843.63342000001</v>
      </c>
      <c r="K19" s="7">
        <f>+[1]Resumen!K19*1000</f>
        <v>163879.29225200001</v>
      </c>
      <c r="L19" s="7">
        <f>+[1]Resumen!L19*1000</f>
        <v>196446.00917900002</v>
      </c>
      <c r="M19" s="7">
        <f>+[1]Resumen!M19*1000</f>
        <v>169681.81484600002</v>
      </c>
      <c r="N19" s="7">
        <f>+[1]Resumen!N19*1000</f>
        <v>188251.41519900001</v>
      </c>
      <c r="O19" s="7">
        <f>+[1]Resumen!O19*1000</f>
        <v>201813.015293</v>
      </c>
      <c r="P19" s="7">
        <f>+[1]Resumen!P19*1000</f>
        <v>224016.97474800001</v>
      </c>
      <c r="Q19" s="7">
        <f>+[1]Resumen!Q19*1000</f>
        <v>239235.26570600003</v>
      </c>
      <c r="R19" s="7">
        <f>+[1]Resumen!R19*1000</f>
        <v>237828.58636100002</v>
      </c>
      <c r="S19" s="7">
        <f>+[1]Resumen!S19*1000</f>
        <v>236698.37500900004</v>
      </c>
      <c r="T19" s="7">
        <f>+[1]Resumen!T19*1000</f>
        <v>244375.08027000003</v>
      </c>
      <c r="U19" s="7">
        <f>+[1]Resumen!U19*1000</f>
        <v>245998.020047</v>
      </c>
      <c r="V19" s="7">
        <f>+[1]Resumen!V19*1000</f>
        <v>236863.72437100005</v>
      </c>
      <c r="W19" s="7">
        <f>+[1]Resumen!W19*1000</f>
        <v>235082.18256900003</v>
      </c>
      <c r="X19" s="7">
        <f>+[1]Resumen!X19*1000</f>
        <v>242932.41752800005</v>
      </c>
      <c r="Y19" s="7">
        <f>+[1]Resumen!Y19*1000</f>
        <v>249448.70324200002</v>
      </c>
      <c r="Z19" s="7">
        <f>+[1]Resumen!Z19*1000</f>
        <v>230698.10575400002</v>
      </c>
      <c r="AA19" s="7">
        <f>+[1]Resumen!AA19*1000</f>
        <v>203054.68372299999</v>
      </c>
      <c r="AB19" s="7">
        <f>+[1]Resumen!AB19*1000</f>
        <v>158388.28491800002</v>
      </c>
      <c r="AC19" s="7">
        <f>+[1]Resumen!AC19*1000</f>
        <v>132475.53682500002</v>
      </c>
      <c r="AD19" s="57">
        <f t="shared" ref="AD19" si="1">SUM(F19:AC19)*E19+SUM(F20:AC20)*E20+SUM(F21:AC21)*E21+SUM(F22:AC22)*E22</f>
        <v>129614333.49563399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+[1]Resumen!F20*1000</f>
        <v>131023.19593900003</v>
      </c>
      <c r="G20" s="7">
        <f>+[1]Resumen!G20*1000</f>
        <v>115785.66390900001</v>
      </c>
      <c r="H20" s="7">
        <f>+[1]Resumen!H20*1000</f>
        <v>102139.22163300001</v>
      </c>
      <c r="I20" s="7">
        <f>+[1]Resumen!I20*1000</f>
        <v>98574.777040000001</v>
      </c>
      <c r="J20" s="7">
        <f>+[1]Resumen!J20*1000</f>
        <v>107765.63657100001</v>
      </c>
      <c r="K20" s="7">
        <f>+[1]Resumen!K20*1000</f>
        <v>127025.16473400001</v>
      </c>
      <c r="L20" s="7">
        <f>+[1]Resumen!L20*1000</f>
        <v>163300.05101300002</v>
      </c>
      <c r="M20" s="7">
        <f>+[1]Resumen!M20*1000</f>
        <v>161073.08415500002</v>
      </c>
      <c r="N20" s="7">
        <f>+[1]Resumen!N20*1000</f>
        <v>191393.77317700002</v>
      </c>
      <c r="O20" s="7">
        <f>+[1]Resumen!O20*1000</f>
        <v>212257.10806</v>
      </c>
      <c r="P20" s="7">
        <f>+[1]Resumen!P20*1000</f>
        <v>230071.06427700003</v>
      </c>
      <c r="Q20" s="7">
        <f>+[1]Resumen!Q20*1000</f>
        <v>241707.80106600001</v>
      </c>
      <c r="R20" s="7">
        <f>+[1]Resumen!R20*1000</f>
        <v>240335.60731000002</v>
      </c>
      <c r="S20" s="7">
        <f>+[1]Resumen!S20*1000</f>
        <v>229095.68882700003</v>
      </c>
      <c r="T20" s="7">
        <f>+[1]Resumen!T20*1000</f>
        <v>222924.72706800001</v>
      </c>
      <c r="U20" s="7">
        <f>+[1]Resumen!U20*1000</f>
        <v>216775.94438900004</v>
      </c>
      <c r="V20" s="7">
        <f>+[1]Resumen!V20*1000</f>
        <v>212414.48591500003</v>
      </c>
      <c r="W20" s="7">
        <f>+[1]Resumen!W20*1000</f>
        <v>224052.25244700001</v>
      </c>
      <c r="X20" s="7">
        <f>+[1]Resumen!X20*1000</f>
        <v>237065.726823</v>
      </c>
      <c r="Y20" s="7">
        <f>+[1]Resumen!Y20*1000</f>
        <v>234647.99107300001</v>
      </c>
      <c r="Z20" s="7">
        <f>+[1]Resumen!Z20*1000</f>
        <v>213948.73817600004</v>
      </c>
      <c r="AA20" s="7">
        <f>+[1]Resumen!AA20*1000</f>
        <v>188598.43138900003</v>
      </c>
      <c r="AB20" s="7">
        <f>+[1]Resumen!AB20*1000</f>
        <v>157071.96372100001</v>
      </c>
      <c r="AC20" s="7">
        <f>+[1]Resumen!AC20*1000</f>
        <v>127882.10533700002</v>
      </c>
      <c r="AD20" s="5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+[1]Resumen!F21*1000</f>
        <v>127153.85380500001</v>
      </c>
      <c r="G21" s="7">
        <f>+[1]Resumen!G21*1000</f>
        <v>108881.56113900003</v>
      </c>
      <c r="H21" s="7">
        <f>+[1]Resumen!H21*1000</f>
        <v>96649.856127000006</v>
      </c>
      <c r="I21" s="7">
        <f>+[1]Resumen!I21*1000</f>
        <v>90087.21037500001</v>
      </c>
      <c r="J21" s="7">
        <f>+[1]Resumen!J21*1000</f>
        <v>90932.233323000008</v>
      </c>
      <c r="K21" s="7">
        <f>+[1]Resumen!K21*1000</f>
        <v>96818.330723000021</v>
      </c>
      <c r="L21" s="7">
        <f>+[1]Resumen!L21*1000</f>
        <v>110910.75253200001</v>
      </c>
      <c r="M21" s="7">
        <f>+[1]Resumen!M21*1000</f>
        <v>91092.448372000013</v>
      </c>
      <c r="N21" s="7">
        <f>+[1]Resumen!N21*1000</f>
        <v>113309.571255</v>
      </c>
      <c r="O21" s="7">
        <f>+[1]Resumen!O21*1000</f>
        <v>129751.18969600002</v>
      </c>
      <c r="P21" s="7">
        <f>+[1]Resumen!P21*1000</f>
        <v>145093.71950700003</v>
      </c>
      <c r="Q21" s="7">
        <f>+[1]Resumen!Q21*1000</f>
        <v>162599.27849700002</v>
      </c>
      <c r="R21" s="7">
        <f>+[1]Resumen!R21*1000</f>
        <v>169245.31903000001</v>
      </c>
      <c r="S21" s="7">
        <f>+[1]Resumen!S21*1000</f>
        <v>170441.988411</v>
      </c>
      <c r="T21" s="7">
        <f>+[1]Resumen!T21*1000</f>
        <v>163694.60100400003</v>
      </c>
      <c r="U21" s="7">
        <f>+[1]Resumen!U21*1000</f>
        <v>161464.89776600001</v>
      </c>
      <c r="V21" s="7">
        <f>+[1]Resumen!V21*1000</f>
        <v>158902.076268</v>
      </c>
      <c r="W21" s="7">
        <f>+[1]Resumen!W21*1000</f>
        <v>171247.85232100001</v>
      </c>
      <c r="X21" s="7">
        <f>+[1]Resumen!X21*1000</f>
        <v>189979.597591</v>
      </c>
      <c r="Y21" s="7">
        <f>+[1]Resumen!Y21*1000</f>
        <v>195902.16805600002</v>
      </c>
      <c r="Z21" s="7">
        <f>+[1]Resumen!Z21*1000</f>
        <v>187141.29463700001</v>
      </c>
      <c r="AA21" s="7">
        <f>+[1]Resumen!AA21*1000</f>
        <v>168195.80928500002</v>
      </c>
      <c r="AB21" s="7">
        <f>+[1]Resumen!AB21*1000</f>
        <v>140286.90078600001</v>
      </c>
      <c r="AC21" s="7">
        <f>+[1]Resumen!AC21*1000</f>
        <v>106139.71558</v>
      </c>
      <c r="AD21" s="5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+[1]Resumen!F22*1000</f>
        <v>128881.359303</v>
      </c>
      <c r="G22" s="7">
        <f>+[1]Resumen!G22*1000</f>
        <v>111265.408983</v>
      </c>
      <c r="H22" s="7">
        <f>+[1]Resumen!H22*1000</f>
        <v>98371.298383000001</v>
      </c>
      <c r="I22" s="7">
        <f>+[1]Resumen!I22*1000</f>
        <v>90771.636621000012</v>
      </c>
      <c r="J22" s="7">
        <f>+[1]Resumen!J22*1000</f>
        <v>90692.425621000017</v>
      </c>
      <c r="K22" s="7">
        <f>+[1]Resumen!K22*1000</f>
        <v>95777.051721000011</v>
      </c>
      <c r="L22" s="7">
        <f>+[1]Resumen!L22*1000</f>
        <v>108192.115796</v>
      </c>
      <c r="M22" s="7">
        <f>+[1]Resumen!M22*1000</f>
        <v>88450.35826600001</v>
      </c>
      <c r="N22" s="7">
        <f>+[1]Resumen!N22*1000</f>
        <v>111587.51691400002</v>
      </c>
      <c r="O22" s="7">
        <f>+[1]Resumen!O22*1000</f>
        <v>132327.973933</v>
      </c>
      <c r="P22" s="7">
        <f>+[1]Resumen!P22*1000</f>
        <v>153073.48605400001</v>
      </c>
      <c r="Q22" s="7">
        <f>+[1]Resumen!Q22*1000</f>
        <v>171869.24101300002</v>
      </c>
      <c r="R22" s="7">
        <f>+[1]Resumen!R22*1000</f>
        <v>179759.99599900001</v>
      </c>
      <c r="S22" s="7">
        <f>+[1]Resumen!S22*1000</f>
        <v>183941.60949800003</v>
      </c>
      <c r="T22" s="7">
        <f>+[1]Resumen!T22*1000</f>
        <v>181566.33084400001</v>
      </c>
      <c r="U22" s="7">
        <f>+[1]Resumen!U22*1000</f>
        <v>180865.64474000002</v>
      </c>
      <c r="V22" s="7">
        <f>+[1]Resumen!V22*1000</f>
        <v>176746.83116200002</v>
      </c>
      <c r="W22" s="7">
        <f>+[1]Resumen!W22*1000</f>
        <v>185800.07958300001</v>
      </c>
      <c r="X22" s="7">
        <f>+[1]Resumen!X22*1000</f>
        <v>205920.22805999999</v>
      </c>
      <c r="Y22" s="7">
        <f>+[1]Resumen!Y22*1000</f>
        <v>217930.12787000003</v>
      </c>
      <c r="Z22" s="7">
        <f>+[1]Resumen!Z22*1000</f>
        <v>209888.80717500002</v>
      </c>
      <c r="AA22" s="7">
        <f>+[1]Resumen!AA22*1000</f>
        <v>186434.16363800003</v>
      </c>
      <c r="AB22" s="7">
        <f>+[1]Resumen!AB22*1000</f>
        <v>149704.41179200003</v>
      </c>
      <c r="AC22" s="7">
        <f>+[1]Resumen!AC22*1000</f>
        <v>108896.74804800002</v>
      </c>
      <c r="AD22" s="59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19</v>
      </c>
      <c r="F23" s="7">
        <f>+[1]Resumen!F23*1000</f>
        <v>99546.371965000013</v>
      </c>
      <c r="G23" s="7">
        <f>+[1]Resumen!G23*1000</f>
        <v>81129.396807000012</v>
      </c>
      <c r="H23" s="7">
        <f>+[1]Resumen!H23*1000</f>
        <v>71396.971669000006</v>
      </c>
      <c r="I23" s="7">
        <f>+[1]Resumen!I23*1000</f>
        <v>67725.534618000005</v>
      </c>
      <c r="J23" s="7">
        <f>+[1]Resumen!J23*1000</f>
        <v>66158.121752000006</v>
      </c>
      <c r="K23" s="7">
        <f>+[1]Resumen!K23*1000</f>
        <v>74017.588392999998</v>
      </c>
      <c r="L23" s="7">
        <f>+[1]Resumen!L23*1000</f>
        <v>98901.450404999996</v>
      </c>
      <c r="M23" s="7">
        <f>+[1]Resumen!M23*1000</f>
        <v>96021.540073000011</v>
      </c>
      <c r="N23" s="7">
        <f>+[1]Resumen!N23*1000</f>
        <v>129900.13518000001</v>
      </c>
      <c r="O23" s="7">
        <f>+[1]Resumen!O23*1000</f>
        <v>151040.16848800002</v>
      </c>
      <c r="P23" s="7">
        <f>+[1]Resumen!P23*1000</f>
        <v>169532.61012600001</v>
      </c>
      <c r="Q23" s="7">
        <f>+[1]Resumen!Q23*1000</f>
        <v>190110.47576599999</v>
      </c>
      <c r="R23" s="7">
        <f>+[1]Resumen!R23*1000</f>
        <v>205234.90889000005</v>
      </c>
      <c r="S23" s="7">
        <f>+[1]Resumen!S23*1000</f>
        <v>195833.484918</v>
      </c>
      <c r="T23" s="7">
        <f>+[1]Resumen!T23*1000</f>
        <v>181912.648537</v>
      </c>
      <c r="U23" s="7">
        <f>+[1]Resumen!U23*1000</f>
        <v>172508.077728</v>
      </c>
      <c r="V23" s="7">
        <f>+[1]Resumen!V23*1000</f>
        <v>163278.67124400003</v>
      </c>
      <c r="W23" s="7">
        <f>+[1]Resumen!W23*1000</f>
        <v>170925.93881700002</v>
      </c>
      <c r="X23" s="7">
        <f>+[1]Resumen!X23*1000</f>
        <v>189622.42079000003</v>
      </c>
      <c r="Y23" s="7">
        <f>+[1]Resumen!Y23*1000</f>
        <v>199918.68422800003</v>
      </c>
      <c r="Z23" s="7">
        <f>+[1]Resumen!Z23*1000</f>
        <v>180590.85458000001</v>
      </c>
      <c r="AA23" s="7">
        <f>+[1]Resumen!AA23*1000</f>
        <v>156877.64473600002</v>
      </c>
      <c r="AB23" s="7">
        <f>+[1]Resumen!AB23*1000</f>
        <v>122513.06854100002</v>
      </c>
      <c r="AC23" s="7">
        <f>+[1]Resumen!AC23*1000</f>
        <v>97627.197450000007</v>
      </c>
      <c r="AD23" s="57">
        <f t="shared" ref="AD23" si="2">SUM(F23:AC23)*E23+SUM(F24:AC24)*E24+SUM(F25:AC25)*E25+SUM(F26:AC26)*E26</f>
        <v>116745809.07837701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5</v>
      </c>
      <c r="F24" s="7">
        <f>+[1]Resumen!F24*1000</f>
        <v>65508.152290999999</v>
      </c>
      <c r="G24" s="7">
        <f>+[1]Resumen!G24*1000</f>
        <v>55577.850874000011</v>
      </c>
      <c r="H24" s="7">
        <f>+[1]Resumen!H24*1000</f>
        <v>48308.671806000006</v>
      </c>
      <c r="I24" s="7">
        <f>+[1]Resumen!I24*1000</f>
        <v>49455.265433000008</v>
      </c>
      <c r="J24" s="7">
        <f>+[1]Resumen!J24*1000</f>
        <v>66429.31141200001</v>
      </c>
      <c r="K24" s="7">
        <f>+[1]Resumen!K24*1000</f>
        <v>96187.89757500001</v>
      </c>
      <c r="L24" s="7">
        <f>+[1]Resumen!L24*1000</f>
        <v>149388.56153000001</v>
      </c>
      <c r="M24" s="7">
        <f>+[1]Resumen!M24*1000</f>
        <v>152116.72518900002</v>
      </c>
      <c r="N24" s="7">
        <f>+[1]Resumen!N24*1000</f>
        <v>181426.07696700003</v>
      </c>
      <c r="O24" s="7">
        <f>+[1]Resumen!O24*1000</f>
        <v>196413.287835</v>
      </c>
      <c r="P24" s="7">
        <f>+[1]Resumen!P24*1000</f>
        <v>217073.06485000002</v>
      </c>
      <c r="Q24" s="7">
        <f>+[1]Resumen!Q24*1000</f>
        <v>244284.51329300003</v>
      </c>
      <c r="R24" s="7">
        <f>+[1]Resumen!R24*1000</f>
        <v>259130.12369699997</v>
      </c>
      <c r="S24" s="7">
        <f>+[1]Resumen!S24*1000</f>
        <v>247671.89969800002</v>
      </c>
      <c r="T24" s="7">
        <f>+[1]Resumen!T24*1000</f>
        <v>252035.78490900004</v>
      </c>
      <c r="U24" s="7">
        <f>+[1]Resumen!U24*1000</f>
        <v>248817.24755200004</v>
      </c>
      <c r="V24" s="7">
        <f>+[1]Resumen!V24*1000</f>
        <v>235964.13944600004</v>
      </c>
      <c r="W24" s="7">
        <f>+[1]Resumen!W24*1000</f>
        <v>225764.340604</v>
      </c>
      <c r="X24" s="7">
        <f>+[1]Resumen!X24*1000</f>
        <v>241832.70241100001</v>
      </c>
      <c r="Y24" s="7">
        <f>+[1]Resumen!Y24*1000</f>
        <v>262011.82707800006</v>
      </c>
      <c r="Z24" s="7">
        <f>+[1]Resumen!Z24*1000</f>
        <v>233296.11853900005</v>
      </c>
      <c r="AA24" s="7">
        <f>+[1]Resumen!AA24*1000</f>
        <v>197312.52711200001</v>
      </c>
      <c r="AB24" s="7">
        <f>+[1]Resumen!AB24*1000</f>
        <v>139284.46397800001</v>
      </c>
      <c r="AC24" s="7">
        <f>+[1]Resumen!AC24*1000</f>
        <v>88592.433996000007</v>
      </c>
      <c r="AD24" s="5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5</v>
      </c>
      <c r="F25" s="7">
        <f>+[1]Resumen!F25*1000</f>
        <v>82610.959350999998</v>
      </c>
      <c r="G25" s="7">
        <f>+[1]Resumen!G25*1000</f>
        <v>70678.131844000003</v>
      </c>
      <c r="H25" s="7">
        <f>+[1]Resumen!H25*1000</f>
        <v>62419.693798</v>
      </c>
      <c r="I25" s="7">
        <f>+[1]Resumen!I25*1000</f>
        <v>62896.363992999999</v>
      </c>
      <c r="J25" s="7">
        <f>+[1]Resumen!J25*1000</f>
        <v>87749.837785000011</v>
      </c>
      <c r="K25" s="7">
        <f>+[1]Resumen!K25*1000</f>
        <v>124024.95449600001</v>
      </c>
      <c r="L25" s="7">
        <f>+[1]Resumen!L25*1000</f>
        <v>187843.37053400002</v>
      </c>
      <c r="M25" s="7">
        <f>+[1]Resumen!M25*1000</f>
        <v>199628.28950100002</v>
      </c>
      <c r="N25" s="7">
        <f>+[1]Resumen!N25*1000</f>
        <v>231986.09821700002</v>
      </c>
      <c r="O25" s="7">
        <f>+[1]Resumen!O25*1000</f>
        <v>243886.37720400002</v>
      </c>
      <c r="P25" s="7">
        <f>+[1]Resumen!P25*1000</f>
        <v>266347.93803200003</v>
      </c>
      <c r="Q25" s="7">
        <f>+[1]Resumen!Q25*1000</f>
        <v>291012.85363900004</v>
      </c>
      <c r="R25" s="7">
        <f>+[1]Resumen!R25*1000</f>
        <v>302790.420385</v>
      </c>
      <c r="S25" s="7">
        <f>+[1]Resumen!S25*1000</f>
        <v>286778.30558900005</v>
      </c>
      <c r="T25" s="7">
        <f>+[1]Resumen!T25*1000</f>
        <v>279176.87958200002</v>
      </c>
      <c r="U25" s="7">
        <f>+[1]Resumen!U25*1000</f>
        <v>276952.98035000003</v>
      </c>
      <c r="V25" s="7">
        <f>+[1]Resumen!V25*1000</f>
        <v>261321.13596200003</v>
      </c>
      <c r="W25" s="7">
        <f>+[1]Resumen!W25*1000</f>
        <v>249615.67282900002</v>
      </c>
      <c r="X25" s="7">
        <f>+[1]Resumen!X25*1000</f>
        <v>268313.66701200005</v>
      </c>
      <c r="Y25" s="7">
        <f>+[1]Resumen!Y25*1000</f>
        <v>289338.88037500001</v>
      </c>
      <c r="Z25" s="7">
        <f>+[1]Resumen!Z25*1000</f>
        <v>252945.79688200002</v>
      </c>
      <c r="AA25" s="7">
        <f>+[1]Resumen!AA25*1000</f>
        <v>212728.03905800002</v>
      </c>
      <c r="AB25" s="7">
        <f>+[1]Resumen!AB25*1000</f>
        <v>159896.34714200001</v>
      </c>
      <c r="AC25" s="7">
        <f>+[1]Resumen!AC25*1000</f>
        <v>107944.63902900001</v>
      </c>
      <c r="AD25" s="5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+[1]Resumen!F26*1000</f>
        <v>93558.970897000007</v>
      </c>
      <c r="G26" s="7">
        <f>+[1]Resumen!G26*1000</f>
        <v>75511.723883000013</v>
      </c>
      <c r="H26" s="7">
        <f>+[1]Resumen!H26*1000</f>
        <v>66698.888048000008</v>
      </c>
      <c r="I26" s="7">
        <f>+[1]Resumen!I26*1000</f>
        <v>66132.392579000007</v>
      </c>
      <c r="J26" s="7">
        <f>+[1]Resumen!J26*1000</f>
        <v>82520.594002000013</v>
      </c>
      <c r="K26" s="7">
        <f>+[1]Resumen!K26*1000</f>
        <v>105726.356577</v>
      </c>
      <c r="L26" s="7">
        <f>+[1]Resumen!L26*1000</f>
        <v>151488.61796400003</v>
      </c>
      <c r="M26" s="7">
        <f>+[1]Resumen!M26*1000</f>
        <v>155277.67614900001</v>
      </c>
      <c r="N26" s="7">
        <f>+[1]Resumen!N26*1000</f>
        <v>183990.77072500001</v>
      </c>
      <c r="O26" s="7">
        <f>+[1]Resumen!O26*1000</f>
        <v>202581.887666</v>
      </c>
      <c r="P26" s="7">
        <f>+[1]Resumen!P26*1000</f>
        <v>225252.99759400001</v>
      </c>
      <c r="Q26" s="7">
        <f>+[1]Resumen!Q26*1000</f>
        <v>247150.41047900001</v>
      </c>
      <c r="R26" s="7">
        <f>+[1]Resumen!R26*1000</f>
        <v>252528.77977100003</v>
      </c>
      <c r="S26" s="7">
        <f>+[1]Resumen!S26*1000</f>
        <v>241173.50846900002</v>
      </c>
      <c r="T26" s="7">
        <f>+[1]Resumen!T26*1000</f>
        <v>237780.30365600003</v>
      </c>
      <c r="U26" s="7">
        <f>+[1]Resumen!U26*1000</f>
        <v>236799.05219000005</v>
      </c>
      <c r="V26" s="7">
        <f>+[1]Resumen!V26*1000</f>
        <v>220472.62814600003</v>
      </c>
      <c r="W26" s="7">
        <f>+[1]Resumen!W26*1000</f>
        <v>209198.62012900002</v>
      </c>
      <c r="X26" s="7">
        <f>+[1]Resumen!X26*1000</f>
        <v>227802.16599600003</v>
      </c>
      <c r="Y26" s="7">
        <f>+[1]Resumen!Y26*1000</f>
        <v>244311.70426900004</v>
      </c>
      <c r="Z26" s="7">
        <f>+[1]Resumen!Z26*1000</f>
        <v>219395.68259099999</v>
      </c>
      <c r="AA26" s="7">
        <f>+[1]Resumen!AA26*1000</f>
        <v>188540.30491700003</v>
      </c>
      <c r="AB26" s="7">
        <f>+[1]Resumen!AB26*1000</f>
        <v>151225.198183</v>
      </c>
      <c r="AC26" s="7">
        <f>+[1]Resumen!AC26*1000</f>
        <v>98781.078489000021</v>
      </c>
      <c r="AD26" s="59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19</v>
      </c>
      <c r="F27" s="7">
        <f>+[1]Resumen!F27*1000</f>
        <v>126298.32459800002</v>
      </c>
      <c r="G27" s="7">
        <f>+[1]Resumen!G27*1000</f>
        <v>109995.81507500001</v>
      </c>
      <c r="H27" s="7">
        <f>+[1]Resumen!H27*1000</f>
        <v>100746.67065000001</v>
      </c>
      <c r="I27" s="7">
        <f>+[1]Resumen!I27*1000</f>
        <v>100971.89632700001</v>
      </c>
      <c r="J27" s="7">
        <f>+[1]Resumen!J27*1000</f>
        <v>111518.58174100002</v>
      </c>
      <c r="K27" s="7">
        <f>+[1]Resumen!K27*1000</f>
        <v>142956.563521</v>
      </c>
      <c r="L27" s="7">
        <f>+[1]Resumen!L27*1000</f>
        <v>178640.11088100003</v>
      </c>
      <c r="M27" s="7">
        <f>+[1]Resumen!M27*1000</f>
        <v>166696.26584400001</v>
      </c>
      <c r="N27" s="7">
        <f>+[1]Resumen!N27*1000</f>
        <v>191901.92614400003</v>
      </c>
      <c r="O27" s="7">
        <f>+[1]Resumen!O27*1000</f>
        <v>204791.80975700004</v>
      </c>
      <c r="P27" s="7">
        <f>+[1]Resumen!P27*1000</f>
        <v>225152.46443300004</v>
      </c>
      <c r="Q27" s="7">
        <f>+[1]Resumen!Q27*1000</f>
        <v>243322.28686900003</v>
      </c>
      <c r="R27" s="7">
        <f>+[1]Resumen!R27*1000</f>
        <v>249297.575855</v>
      </c>
      <c r="S27" s="7">
        <f>+[1]Resumen!S27*1000</f>
        <v>246271.80926800001</v>
      </c>
      <c r="T27" s="7">
        <f>+[1]Resumen!T27*1000</f>
        <v>250646.33035600002</v>
      </c>
      <c r="U27" s="7">
        <f>+[1]Resumen!U27*1000</f>
        <v>250661.53886800003</v>
      </c>
      <c r="V27" s="7">
        <f>+[1]Resumen!V27*1000</f>
        <v>240440.15862900001</v>
      </c>
      <c r="W27" s="7">
        <f>+[1]Resumen!W27*1000</f>
        <v>237685.80493300004</v>
      </c>
      <c r="X27" s="7">
        <f>+[1]Resumen!X27*1000</f>
        <v>241979.54520300005</v>
      </c>
      <c r="Y27" s="7">
        <f>+[1]Resumen!Y27*1000</f>
        <v>250043.59945500002</v>
      </c>
      <c r="Z27" s="7">
        <f>+[1]Resumen!Z27*1000</f>
        <v>229801.55245000002</v>
      </c>
      <c r="AA27" s="7">
        <f>+[1]Resumen!AA27*1000</f>
        <v>201456.09772800005</v>
      </c>
      <c r="AB27" s="7">
        <f>+[1]Resumen!AB27*1000</f>
        <v>162022.37758299999</v>
      </c>
      <c r="AC27" s="7">
        <f>+[1]Resumen!AC27*1000</f>
        <v>136726.92801400003</v>
      </c>
      <c r="AD27" s="57">
        <f t="shared" ref="AD27" si="3">SUM(F27:AC27)*E27+SUM(F28:AC28)*E28+SUM(F29:AC29)*E29+SUM(F30:AC30)*E30</f>
        <v>128278473.37887201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+[1]Resumen!F28*1000</f>
        <v>130896.96240900003</v>
      </c>
      <c r="G28" s="7">
        <f>+[1]Resumen!G28*1000</f>
        <v>112114.80293800001</v>
      </c>
      <c r="H28" s="7">
        <f>+[1]Resumen!H28*1000</f>
        <v>103306.640552</v>
      </c>
      <c r="I28" s="7">
        <f>+[1]Resumen!I28*1000</f>
        <v>98278.052634000007</v>
      </c>
      <c r="J28" s="7">
        <f>+[1]Resumen!J28*1000</f>
        <v>106551.69199100001</v>
      </c>
      <c r="K28" s="7">
        <f>+[1]Resumen!K28*1000</f>
        <v>121763.39403400001</v>
      </c>
      <c r="L28" s="7">
        <f>+[1]Resumen!L28*1000</f>
        <v>154030.87340600003</v>
      </c>
      <c r="M28" s="7">
        <f>+[1]Resumen!M28*1000</f>
        <v>141554.40640400001</v>
      </c>
      <c r="N28" s="7">
        <f>+[1]Resumen!N28*1000</f>
        <v>168225.85185700003</v>
      </c>
      <c r="O28" s="7">
        <f>+[1]Resumen!O28*1000</f>
        <v>187367.65807200002</v>
      </c>
      <c r="P28" s="7">
        <f>+[1]Resumen!P28*1000</f>
        <v>204863.387697</v>
      </c>
      <c r="Q28" s="7">
        <f>+[1]Resumen!Q28*1000</f>
        <v>216973.45341700001</v>
      </c>
      <c r="R28" s="7">
        <f>+[1]Resumen!R28*1000</f>
        <v>214722.68725400002</v>
      </c>
      <c r="S28" s="7">
        <f>+[1]Resumen!S28*1000</f>
        <v>205690.17771300001</v>
      </c>
      <c r="T28" s="7">
        <f>+[1]Resumen!T28*1000</f>
        <v>202381.75747400001</v>
      </c>
      <c r="U28" s="7">
        <f>+[1]Resumen!U28*1000</f>
        <v>205223.12085300003</v>
      </c>
      <c r="V28" s="7">
        <f>+[1]Resumen!V28*1000</f>
        <v>201585.52850200003</v>
      </c>
      <c r="W28" s="7">
        <f>+[1]Resumen!W28*1000</f>
        <v>214259.23809500004</v>
      </c>
      <c r="X28" s="7">
        <f>+[1]Resumen!X28*1000</f>
        <v>223661.871835</v>
      </c>
      <c r="Y28" s="7">
        <f>+[1]Resumen!Y28*1000</f>
        <v>231153.38177800004</v>
      </c>
      <c r="Z28" s="7">
        <f>+[1]Resumen!Z28*1000</f>
        <v>211363.39915100002</v>
      </c>
      <c r="AA28" s="7">
        <f>+[1]Resumen!AA28*1000</f>
        <v>184368.26874800003</v>
      </c>
      <c r="AB28" s="7">
        <f>+[1]Resumen!AB28*1000</f>
        <v>155275.68147200003</v>
      </c>
      <c r="AC28" s="7">
        <f>+[1]Resumen!AC28*1000</f>
        <v>128319.544484</v>
      </c>
      <c r="AD28" s="5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+[1]Resumen!F29*1000</f>
        <v>130270.27378100001</v>
      </c>
      <c r="G29" s="7">
        <f>+[1]Resumen!G29*1000</f>
        <v>113023.56193700001</v>
      </c>
      <c r="H29" s="7">
        <f>+[1]Resumen!H29*1000</f>
        <v>99950.708115000001</v>
      </c>
      <c r="I29" s="7">
        <f>+[1]Resumen!I29*1000</f>
        <v>92738.229721000011</v>
      </c>
      <c r="J29" s="7">
        <f>+[1]Resumen!J29*1000</f>
        <v>92948.664544000014</v>
      </c>
      <c r="K29" s="7">
        <f>+[1]Resumen!K29*1000</f>
        <v>98233.392032000018</v>
      </c>
      <c r="L29" s="7">
        <f>+[1]Resumen!L29*1000</f>
        <v>109063.638424</v>
      </c>
      <c r="M29" s="7">
        <f>+[1]Resumen!M29*1000</f>
        <v>87684.647132000013</v>
      </c>
      <c r="N29" s="7">
        <f>+[1]Resumen!N29*1000</f>
        <v>108230.16588</v>
      </c>
      <c r="O29" s="7">
        <f>+[1]Resumen!O29*1000</f>
        <v>126859.49852800001</v>
      </c>
      <c r="P29" s="7">
        <f>+[1]Resumen!P29*1000</f>
        <v>140555.66370900001</v>
      </c>
      <c r="Q29" s="7">
        <f>+[1]Resumen!Q29*1000</f>
        <v>158234.85321100001</v>
      </c>
      <c r="R29" s="7">
        <f>+[1]Resumen!R29*1000</f>
        <v>170647.14490100002</v>
      </c>
      <c r="S29" s="7">
        <f>+[1]Resumen!S29*1000</f>
        <v>175873.84673100003</v>
      </c>
      <c r="T29" s="7">
        <f>+[1]Resumen!T29*1000</f>
        <v>173485.68548800002</v>
      </c>
      <c r="U29" s="7">
        <f>+[1]Resumen!U29*1000</f>
        <v>169425.39443700001</v>
      </c>
      <c r="V29" s="7">
        <f>+[1]Resumen!V29*1000</f>
        <v>163720.08534300001</v>
      </c>
      <c r="W29" s="7">
        <f>+[1]Resumen!W29*1000</f>
        <v>172972.23978600002</v>
      </c>
      <c r="X29" s="7">
        <f>+[1]Resumen!X29*1000</f>
        <v>182752.43635800001</v>
      </c>
      <c r="Y29" s="7">
        <f>+[1]Resumen!Y29*1000</f>
        <v>196573.03481900002</v>
      </c>
      <c r="Z29" s="7">
        <f>+[1]Resumen!Z29*1000</f>
        <v>182345.34942600003</v>
      </c>
      <c r="AA29" s="7">
        <f>+[1]Resumen!AA29*1000</f>
        <v>163305.81181300001</v>
      </c>
      <c r="AB29" s="7">
        <f>+[1]Resumen!AB29*1000</f>
        <v>139621.25474800004</v>
      </c>
      <c r="AC29" s="7">
        <f>+[1]Resumen!AC29*1000</f>
        <v>111664.03474</v>
      </c>
      <c r="AD29" s="5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3</v>
      </c>
      <c r="F30" s="7">
        <f>+[1]Resumen!F30*1000</f>
        <v>119360.89560000002</v>
      </c>
      <c r="G30" s="7">
        <f>+[1]Resumen!G30*1000</f>
        <v>104300.16252200001</v>
      </c>
      <c r="H30" s="7">
        <f>+[1]Resumen!H30*1000</f>
        <v>93714.152447000015</v>
      </c>
      <c r="I30" s="7">
        <f>+[1]Resumen!I30*1000</f>
        <v>89127.259467000011</v>
      </c>
      <c r="J30" s="7">
        <f>+[1]Resumen!J30*1000</f>
        <v>92447.021281000008</v>
      </c>
      <c r="K30" s="7">
        <f>+[1]Resumen!K30*1000</f>
        <v>98042.983189999999</v>
      </c>
      <c r="L30" s="7">
        <f>+[1]Resumen!L30*1000</f>
        <v>113008.46144000001</v>
      </c>
      <c r="M30" s="7">
        <f>+[1]Resumen!M30*1000</f>
        <v>96638.507351000022</v>
      </c>
      <c r="N30" s="7">
        <f>+[1]Resumen!N30*1000</f>
        <v>128675.50431600004</v>
      </c>
      <c r="O30" s="7">
        <f>+[1]Resumen!O30*1000</f>
        <v>141676.60737400001</v>
      </c>
      <c r="P30" s="7">
        <f>+[1]Resumen!P30*1000</f>
        <v>163759.64043600002</v>
      </c>
      <c r="Q30" s="7">
        <f>+[1]Resumen!Q30*1000</f>
        <v>185472.42688200003</v>
      </c>
      <c r="R30" s="7">
        <f>+[1]Resumen!R30*1000</f>
        <v>202902.14494000003</v>
      </c>
      <c r="S30" s="7">
        <f>+[1]Resumen!S30*1000</f>
        <v>198046.82748400004</v>
      </c>
      <c r="T30" s="7">
        <f>+[1]Resumen!T30*1000</f>
        <v>188395.60082200001</v>
      </c>
      <c r="U30" s="7">
        <f>+[1]Resumen!U30*1000</f>
        <v>184095.64608900002</v>
      </c>
      <c r="V30" s="7">
        <f>+[1]Resumen!V30*1000</f>
        <v>175954.48352900002</v>
      </c>
      <c r="W30" s="7">
        <f>+[1]Resumen!W30*1000</f>
        <v>192277.35027900001</v>
      </c>
      <c r="X30" s="7">
        <f>+[1]Resumen!X30*1000</f>
        <v>212359.88073200002</v>
      </c>
      <c r="Y30" s="7">
        <f>+[1]Resumen!Y30*1000</f>
        <v>223834.969473</v>
      </c>
      <c r="Z30" s="7">
        <f>+[1]Resumen!Z30*1000</f>
        <v>206798.79326599999</v>
      </c>
      <c r="AA30" s="7">
        <f>+[1]Resumen!AA30*1000</f>
        <v>173856.457777</v>
      </c>
      <c r="AB30" s="7">
        <f>+[1]Resumen!AB30*1000</f>
        <v>147365.490987</v>
      </c>
      <c r="AC30" s="7">
        <f>+[1]Resumen!AC30*1000</f>
        <v>115066.37762200001</v>
      </c>
      <c r="AD30" s="59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22</v>
      </c>
      <c r="F31" s="7">
        <f>+[1]Resumen!F31*1000</f>
        <v>111395.055787</v>
      </c>
      <c r="G31" s="7">
        <f>+[1]Resumen!G31*1000</f>
        <v>95549.341698999997</v>
      </c>
      <c r="H31" s="7">
        <f>+[1]Resumen!H31*1000</f>
        <v>86511.813061000008</v>
      </c>
      <c r="I31" s="7">
        <f>+[1]Resumen!I31*1000</f>
        <v>84800.992280000006</v>
      </c>
      <c r="J31" s="7">
        <f>+[1]Resumen!J31*1000</f>
        <v>93713.583568000002</v>
      </c>
      <c r="K31" s="7">
        <f>+[1]Resumen!K31*1000</f>
        <v>130766.242656</v>
      </c>
      <c r="L31" s="7">
        <f>+[1]Resumen!L31*1000</f>
        <v>161606.46942600003</v>
      </c>
      <c r="M31" s="7">
        <f>+[1]Resumen!M31*1000</f>
        <v>138969.21139900002</v>
      </c>
      <c r="N31" s="7">
        <f>+[1]Resumen!N31*1000</f>
        <v>158776.69245600002</v>
      </c>
      <c r="O31" s="7">
        <f>+[1]Resumen!O31*1000</f>
        <v>171522.00879300002</v>
      </c>
      <c r="P31" s="7">
        <f>+[1]Resumen!P31*1000</f>
        <v>192496.91597000003</v>
      </c>
      <c r="Q31" s="7">
        <f>+[1]Resumen!Q31*1000</f>
        <v>208658.73235500001</v>
      </c>
      <c r="R31" s="7">
        <f>+[1]Resumen!R31*1000</f>
        <v>210656.08092600002</v>
      </c>
      <c r="S31" s="7">
        <f>+[1]Resumen!S31*1000</f>
        <v>208185.23780100004</v>
      </c>
      <c r="T31" s="7">
        <f>+[1]Resumen!T31*1000</f>
        <v>214866.40481200002</v>
      </c>
      <c r="U31" s="7">
        <f>+[1]Resumen!U31*1000</f>
        <v>215533.31822600003</v>
      </c>
      <c r="V31" s="7">
        <f>+[1]Resumen!V31*1000</f>
        <v>205516.03593000001</v>
      </c>
      <c r="W31" s="7">
        <f>+[1]Resumen!W31*1000</f>
        <v>200823.23784300001</v>
      </c>
      <c r="X31" s="7">
        <f>+[1]Resumen!X31*1000</f>
        <v>203805.35916900003</v>
      </c>
      <c r="Y31" s="7">
        <f>+[1]Resumen!Y31*1000</f>
        <v>217893.04992100003</v>
      </c>
      <c r="Z31" s="7">
        <f>+[1]Resumen!Z31*1000</f>
        <v>200424.59048300004</v>
      </c>
      <c r="AA31" s="7">
        <f>+[1]Resumen!AA31*1000</f>
        <v>177319.10903400002</v>
      </c>
      <c r="AB31" s="7">
        <f>+[1]Resumen!AB31*1000</f>
        <v>138752.09404800003</v>
      </c>
      <c r="AC31" s="7">
        <f>+[1]Resumen!AC31*1000</f>
        <v>113949.50252200001</v>
      </c>
      <c r="AD31" s="57">
        <f t="shared" ref="AD31" si="4">SUM(F31:AC31)*E31+SUM(F32:AC32)*E32+SUM(F33:AC33)*E33+SUM(F34:AC34)*E34</f>
        <v>114636397.66685499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4</v>
      </c>
      <c r="F32" s="7">
        <f>+[1]Resumen!F32*1000</f>
        <v>94480.72050000001</v>
      </c>
      <c r="G32" s="7">
        <f>+[1]Resumen!G32*1000</f>
        <v>78200.282042000006</v>
      </c>
      <c r="H32" s="7">
        <f>+[1]Resumen!H32*1000</f>
        <v>70254.734647000005</v>
      </c>
      <c r="I32" s="7">
        <f>+[1]Resumen!I32*1000</f>
        <v>66910.172589000009</v>
      </c>
      <c r="J32" s="7">
        <f>+[1]Resumen!J32*1000</f>
        <v>73361.994951000001</v>
      </c>
      <c r="K32" s="7">
        <f>+[1]Resumen!K32*1000</f>
        <v>87097.960059000005</v>
      </c>
      <c r="L32" s="7">
        <f>+[1]Resumen!L32*1000</f>
        <v>114925.821303</v>
      </c>
      <c r="M32" s="7">
        <f>+[1]Resumen!M32*1000</f>
        <v>105411.874505</v>
      </c>
      <c r="N32" s="7">
        <f>+[1]Resumen!N32*1000</f>
        <v>133335.58826000002</v>
      </c>
      <c r="O32" s="7">
        <f>+[1]Resumen!O32*1000</f>
        <v>151121.77022000003</v>
      </c>
      <c r="P32" s="7">
        <f>+[1]Resumen!P32*1000</f>
        <v>171404.87732700002</v>
      </c>
      <c r="Q32" s="7">
        <f>+[1]Resumen!Q32*1000</f>
        <v>185444.04774100002</v>
      </c>
      <c r="R32" s="7">
        <f>+[1]Resumen!R32*1000</f>
        <v>185194.12983500003</v>
      </c>
      <c r="S32" s="7">
        <f>+[1]Resumen!S32*1000</f>
        <v>179146.96766800003</v>
      </c>
      <c r="T32" s="7">
        <f>+[1]Resumen!T32*1000</f>
        <v>175847.36145300002</v>
      </c>
      <c r="U32" s="7">
        <f>+[1]Resumen!U32*1000</f>
        <v>175519.73035500001</v>
      </c>
      <c r="V32" s="7">
        <f>+[1]Resumen!V32*1000</f>
        <v>173389.516133</v>
      </c>
      <c r="W32" s="7">
        <f>+[1]Resumen!W32*1000</f>
        <v>181396.49525900002</v>
      </c>
      <c r="X32" s="7">
        <f>+[1]Resumen!X32*1000</f>
        <v>185139.44544100002</v>
      </c>
      <c r="Y32" s="7">
        <f>+[1]Resumen!Y32*1000</f>
        <v>197066.64896700002</v>
      </c>
      <c r="Z32" s="7">
        <f>+[1]Resumen!Z32*1000</f>
        <v>179219.24410500002</v>
      </c>
      <c r="AA32" s="7">
        <f>+[1]Resumen!AA32*1000</f>
        <v>156611.08531900001</v>
      </c>
      <c r="AB32" s="7">
        <f>+[1]Resumen!AB32*1000</f>
        <v>129077.557749</v>
      </c>
      <c r="AC32" s="7">
        <f>+[1]Resumen!AC32*1000</f>
        <v>104711.85809400001</v>
      </c>
      <c r="AD32" s="5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+[1]Resumen!F33*1000</f>
        <v>104995.13103200002</v>
      </c>
      <c r="G33" s="7">
        <f>+[1]Resumen!G33*1000</f>
        <v>89480.850170000005</v>
      </c>
      <c r="H33" s="7">
        <f>+[1]Resumen!H33*1000</f>
        <v>77508.265942000013</v>
      </c>
      <c r="I33" s="7">
        <f>+[1]Resumen!I33*1000</f>
        <v>70866.596416000015</v>
      </c>
      <c r="J33" s="7">
        <f>+[1]Resumen!J33*1000</f>
        <v>72472.088170000003</v>
      </c>
      <c r="K33" s="7">
        <f>+[1]Resumen!K33*1000</f>
        <v>76677.50817500001</v>
      </c>
      <c r="L33" s="7">
        <f>+[1]Resumen!L33*1000</f>
        <v>86786.574417000011</v>
      </c>
      <c r="M33" s="7">
        <f>+[1]Resumen!M33*1000</f>
        <v>65230.884987000012</v>
      </c>
      <c r="N33" s="7">
        <f>+[1]Resumen!N33*1000</f>
        <v>87473.83785700002</v>
      </c>
      <c r="O33" s="7">
        <f>+[1]Resumen!O33*1000</f>
        <v>105708.96616200001</v>
      </c>
      <c r="P33" s="7">
        <f>+[1]Resumen!P33*1000</f>
        <v>122809.850555</v>
      </c>
      <c r="Q33" s="7">
        <f>+[1]Resumen!Q33*1000</f>
        <v>142099.81014400002</v>
      </c>
      <c r="R33" s="7">
        <f>+[1]Resumen!R33*1000</f>
        <v>153112.58028300002</v>
      </c>
      <c r="S33" s="7">
        <f>+[1]Resumen!S33*1000</f>
        <v>157123.60929300002</v>
      </c>
      <c r="T33" s="7">
        <f>+[1]Resumen!T33*1000</f>
        <v>154991.508409</v>
      </c>
      <c r="U33" s="7">
        <f>+[1]Resumen!U33*1000</f>
        <v>152923.84927400001</v>
      </c>
      <c r="V33" s="7">
        <f>+[1]Resumen!V33*1000</f>
        <v>151638.96044200001</v>
      </c>
      <c r="W33" s="7">
        <f>+[1]Resumen!W33*1000</f>
        <v>162296.56285900003</v>
      </c>
      <c r="X33" s="7">
        <f>+[1]Resumen!X33*1000</f>
        <v>166260.69895700002</v>
      </c>
      <c r="Y33" s="7">
        <f>+[1]Resumen!Y33*1000</f>
        <v>177591.19161800001</v>
      </c>
      <c r="Z33" s="7">
        <f>+[1]Resumen!Z33*1000</f>
        <v>162160.38474800001</v>
      </c>
      <c r="AA33" s="7">
        <f>+[1]Resumen!AA33*1000</f>
        <v>147494.62652000002</v>
      </c>
      <c r="AB33" s="7">
        <f>+[1]Resumen!AB33*1000</f>
        <v>123315.47597100001</v>
      </c>
      <c r="AC33" s="7">
        <f>+[1]Resumen!AC33*1000</f>
        <v>103027.65220900001</v>
      </c>
      <c r="AD33" s="5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1</v>
      </c>
      <c r="F34" s="7">
        <f>+[1]Resumen!F34*1000</f>
        <v>93016.274733000013</v>
      </c>
      <c r="G34" s="7">
        <f>+[1]Resumen!G34*1000</f>
        <v>77028.304889999999</v>
      </c>
      <c r="H34" s="7">
        <f>+[1]Resumen!H34*1000</f>
        <v>62098.385178000004</v>
      </c>
      <c r="I34" s="7">
        <f>+[1]Resumen!I34*1000</f>
        <v>57687.715070000006</v>
      </c>
      <c r="J34" s="7">
        <f>+[1]Resumen!J34*1000</f>
        <v>60148.62801600001</v>
      </c>
      <c r="K34" s="7">
        <f>+[1]Resumen!K34*1000</f>
        <v>68814.671466000014</v>
      </c>
      <c r="L34" s="7">
        <f>+[1]Resumen!L34*1000</f>
        <v>85410.85217100002</v>
      </c>
      <c r="M34" s="7">
        <f>+[1]Resumen!M34*1000</f>
        <v>67324.316501000008</v>
      </c>
      <c r="N34" s="7">
        <f>+[1]Resumen!N34*1000</f>
        <v>90237.005577000018</v>
      </c>
      <c r="O34" s="7">
        <f>+[1]Resumen!O34*1000</f>
        <v>110201.63405700002</v>
      </c>
      <c r="P34" s="7">
        <f>+[1]Resumen!P34*1000</f>
        <v>127261.84000100002</v>
      </c>
      <c r="Q34" s="7">
        <f>+[1]Resumen!Q34*1000</f>
        <v>145475.12047200001</v>
      </c>
      <c r="R34" s="7">
        <f>+[1]Resumen!R34*1000</f>
        <v>153408.25334300002</v>
      </c>
      <c r="S34" s="7">
        <f>+[1]Resumen!S34*1000</f>
        <v>155020.49963500001</v>
      </c>
      <c r="T34" s="7">
        <f>+[1]Resumen!T34*1000</f>
        <v>155068.49430000002</v>
      </c>
      <c r="U34" s="7">
        <f>+[1]Resumen!U34*1000</f>
        <v>157310.46804200002</v>
      </c>
      <c r="V34" s="7">
        <f>+[1]Resumen!V34*1000</f>
        <v>148643.07080400002</v>
      </c>
      <c r="W34" s="7">
        <f>+[1]Resumen!W34*1000</f>
        <v>157128.14592300003</v>
      </c>
      <c r="X34" s="7">
        <f>+[1]Resumen!X34*1000</f>
        <v>160220.45695100003</v>
      </c>
      <c r="Y34" s="7">
        <f>+[1]Resumen!Y34*1000</f>
        <v>172904.22634100003</v>
      </c>
      <c r="Z34" s="7">
        <f>+[1]Resumen!Z34*1000</f>
        <v>162674.31291700003</v>
      </c>
      <c r="AA34" s="7">
        <f>+[1]Resumen!AA34*1000</f>
        <v>145243.92516600003</v>
      </c>
      <c r="AB34" s="7">
        <f>+[1]Resumen!AB34*1000</f>
        <v>121126.91204600001</v>
      </c>
      <c r="AC34" s="7">
        <f>+[1]Resumen!AC34*1000</f>
        <v>94870.993097000013</v>
      </c>
      <c r="AD34" s="59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19</v>
      </c>
      <c r="F35" s="7">
        <f>+[1]Resumen!F35*1000</f>
        <v>116018.30661600002</v>
      </c>
      <c r="G35" s="7">
        <f>+[1]Resumen!G35*1000</f>
        <v>101434.97823500002</v>
      </c>
      <c r="H35" s="7">
        <f>+[1]Resumen!H35*1000</f>
        <v>93375.266186000008</v>
      </c>
      <c r="I35" s="7">
        <f>+[1]Resumen!I35*1000</f>
        <v>92247.186330000011</v>
      </c>
      <c r="J35" s="7">
        <f>+[1]Resumen!J35*1000</f>
        <v>103398.42449800002</v>
      </c>
      <c r="K35" s="7">
        <f>+[1]Resumen!K35*1000</f>
        <v>145002.06517900003</v>
      </c>
      <c r="L35" s="7">
        <f>+[1]Resumen!L35*1000</f>
        <v>179527.25967900001</v>
      </c>
      <c r="M35" s="7">
        <f>+[1]Resumen!M35*1000</f>
        <v>156646.52864100001</v>
      </c>
      <c r="N35" s="7">
        <f>+[1]Resumen!N35*1000</f>
        <v>175013.78089400003</v>
      </c>
      <c r="O35" s="7">
        <f>+[1]Resumen!O35*1000</f>
        <v>188529.82746200002</v>
      </c>
      <c r="P35" s="7">
        <f>+[1]Resumen!P35*1000</f>
        <v>210605.19145900005</v>
      </c>
      <c r="Q35" s="7">
        <f>+[1]Resumen!Q35*1000</f>
        <v>226529.86451200003</v>
      </c>
      <c r="R35" s="7">
        <f>+[1]Resumen!R35*1000</f>
        <v>226908.65151400003</v>
      </c>
      <c r="S35" s="7">
        <f>+[1]Resumen!S35*1000</f>
        <v>226226.34236200002</v>
      </c>
      <c r="T35" s="7">
        <f>+[1]Resumen!T35*1000</f>
        <v>232686.58989400003</v>
      </c>
      <c r="U35" s="7">
        <f>+[1]Resumen!U35*1000</f>
        <v>232735.19664400004</v>
      </c>
      <c r="V35" s="7">
        <f>+[1]Resumen!V35*1000</f>
        <v>221656.46534500003</v>
      </c>
      <c r="W35" s="7">
        <f>+[1]Resumen!W35*1000</f>
        <v>216201.89507100004</v>
      </c>
      <c r="X35" s="7">
        <f>+[1]Resumen!X35*1000</f>
        <v>222583.57249200001</v>
      </c>
      <c r="Y35" s="7">
        <f>+[1]Resumen!Y35*1000</f>
        <v>235267.62272100005</v>
      </c>
      <c r="Z35" s="7">
        <f>+[1]Resumen!Z35*1000</f>
        <v>218290.37949799999</v>
      </c>
      <c r="AA35" s="7">
        <f>+[1]Resumen!AA35*1000</f>
        <v>192127.30304200001</v>
      </c>
      <c r="AB35" s="7">
        <f>+[1]Resumen!AB35*1000</f>
        <v>151223.13149600002</v>
      </c>
      <c r="AC35" s="7">
        <f>+[1]Resumen!AC35*1000</f>
        <v>127383.10484100002</v>
      </c>
      <c r="AD35" s="57">
        <f t="shared" ref="AD35" si="5">SUM(F35:AC35)*E35+SUM(F36:AC36)*E36+SUM(F37:AC37)*E37+SUM(F38:AC38)*E38</f>
        <v>122306651.45834203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5</v>
      </c>
      <c r="F36" s="7">
        <f>+[1]Resumen!F36*1000</f>
        <v>127554.56065100002</v>
      </c>
      <c r="G36" s="7">
        <f>+[1]Resumen!G36*1000</f>
        <v>108898.13784100002</v>
      </c>
      <c r="H36" s="7">
        <f>+[1]Resumen!H36*1000</f>
        <v>97110.007228000002</v>
      </c>
      <c r="I36" s="7">
        <f>+[1]Resumen!I36*1000</f>
        <v>91193.694432000018</v>
      </c>
      <c r="J36" s="7">
        <f>+[1]Resumen!J36*1000</f>
        <v>96745.607824000006</v>
      </c>
      <c r="K36" s="7">
        <f>+[1]Resumen!K36*1000</f>
        <v>111546.47841500001</v>
      </c>
      <c r="L36" s="7">
        <f>+[1]Resumen!L36*1000</f>
        <v>138647.11066900002</v>
      </c>
      <c r="M36" s="7">
        <f>+[1]Resumen!M36*1000</f>
        <v>127470.82742300002</v>
      </c>
      <c r="N36" s="7">
        <f>+[1]Resumen!N36*1000</f>
        <v>154512.634708</v>
      </c>
      <c r="O36" s="7">
        <f>+[1]Resumen!O36*1000</f>
        <v>173928.28055100003</v>
      </c>
      <c r="P36" s="7">
        <f>+[1]Resumen!P36*1000</f>
        <v>191301.03869900003</v>
      </c>
      <c r="Q36" s="7">
        <f>+[1]Resumen!Q36*1000</f>
        <v>203338.82798200002</v>
      </c>
      <c r="R36" s="7">
        <f>+[1]Resumen!R36*1000</f>
        <v>202699.11274500002</v>
      </c>
      <c r="S36" s="7">
        <f>+[1]Resumen!S36*1000</f>
        <v>199698.80169300002</v>
      </c>
      <c r="T36" s="7">
        <f>+[1]Resumen!T36*1000</f>
        <v>195363.90770800004</v>
      </c>
      <c r="U36" s="7">
        <f>+[1]Resumen!U36*1000</f>
        <v>191851.17349600003</v>
      </c>
      <c r="V36" s="7">
        <f>+[1]Resumen!V36*1000</f>
        <v>190246.94911800002</v>
      </c>
      <c r="W36" s="7">
        <f>+[1]Resumen!W36*1000</f>
        <v>202049.18649000005</v>
      </c>
      <c r="X36" s="7">
        <f>+[1]Resumen!X36*1000</f>
        <v>208621.330361</v>
      </c>
      <c r="Y36" s="7">
        <f>+[1]Resumen!Y36*1000</f>
        <v>214265.50296500005</v>
      </c>
      <c r="Z36" s="7">
        <f>+[1]Resumen!Z36*1000</f>
        <v>196719.32313400003</v>
      </c>
      <c r="AA36" s="7">
        <f>+[1]Resumen!AA36*1000</f>
        <v>170247.27337100002</v>
      </c>
      <c r="AB36" s="7">
        <f>+[1]Resumen!AB36*1000</f>
        <v>140278.60523400002</v>
      </c>
      <c r="AC36" s="7">
        <f>+[1]Resumen!AC36*1000</f>
        <v>113318.01802800001</v>
      </c>
      <c r="AD36" s="5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5</v>
      </c>
      <c r="F37" s="7">
        <f>+[1]Resumen!F37*1000</f>
        <v>105974.64705700001</v>
      </c>
      <c r="G37" s="7">
        <f>+[1]Resumen!G37*1000</f>
        <v>90750.372067999997</v>
      </c>
      <c r="H37" s="7">
        <f>+[1]Resumen!H37*1000</f>
        <v>81208.744626</v>
      </c>
      <c r="I37" s="7">
        <f>+[1]Resumen!I37*1000</f>
        <v>76092.945397000003</v>
      </c>
      <c r="J37" s="7">
        <f>+[1]Resumen!J37*1000</f>
        <v>76903.777997000012</v>
      </c>
      <c r="K37" s="7">
        <f>+[1]Resumen!K37*1000</f>
        <v>84595.338921000017</v>
      </c>
      <c r="L37" s="7">
        <f>+[1]Resumen!L37*1000</f>
        <v>94833.483088000008</v>
      </c>
      <c r="M37" s="7">
        <f>+[1]Resumen!M37*1000</f>
        <v>73997.663226000004</v>
      </c>
      <c r="N37" s="7">
        <f>+[1]Resumen!N37*1000</f>
        <v>95375.970423000021</v>
      </c>
      <c r="O37" s="7">
        <f>+[1]Resumen!O37*1000</f>
        <v>113025.09575000001</v>
      </c>
      <c r="P37" s="7">
        <f>+[1]Resumen!P37*1000</f>
        <v>127286.97869200002</v>
      </c>
      <c r="Q37" s="7">
        <f>+[1]Resumen!Q37*1000</f>
        <v>143855.968421</v>
      </c>
      <c r="R37" s="7">
        <f>+[1]Resumen!R37*1000</f>
        <v>155792.23800600003</v>
      </c>
      <c r="S37" s="7">
        <f>+[1]Resumen!S37*1000</f>
        <v>158834.876536</v>
      </c>
      <c r="T37" s="7">
        <f>+[1]Resumen!T37*1000</f>
        <v>152864.09537600001</v>
      </c>
      <c r="U37" s="7">
        <f>+[1]Resumen!U37*1000</f>
        <v>151771.56685700003</v>
      </c>
      <c r="V37" s="7">
        <f>+[1]Resumen!V37*1000</f>
        <v>147173.05146300001</v>
      </c>
      <c r="W37" s="7">
        <f>+[1]Resumen!W37*1000</f>
        <v>157125.03509100003</v>
      </c>
      <c r="X37" s="7">
        <f>+[1]Resumen!X37*1000</f>
        <v>170412.28428600001</v>
      </c>
      <c r="Y37" s="7">
        <f>+[1]Resumen!Y37*1000</f>
        <v>188817.67303500001</v>
      </c>
      <c r="Z37" s="7">
        <f>+[1]Resumen!Z37*1000</f>
        <v>175877.80728100002</v>
      </c>
      <c r="AA37" s="7">
        <f>+[1]Resumen!AA37*1000</f>
        <v>156208.71504200003</v>
      </c>
      <c r="AB37" s="7">
        <f>+[1]Resumen!AB37*1000</f>
        <v>125171.332093</v>
      </c>
      <c r="AC37" s="7">
        <f>+[1]Resumen!AC37*1000</f>
        <v>96357.005859000012</v>
      </c>
      <c r="AD37" s="5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+[1]Resumen!F38*1000</f>
        <v>111048.39964700001</v>
      </c>
      <c r="G38" s="7">
        <f>+[1]Resumen!G38*1000</f>
        <v>96990.189789000025</v>
      </c>
      <c r="H38" s="7">
        <f>+[1]Resumen!H38*1000</f>
        <v>87054.610039000007</v>
      </c>
      <c r="I38" s="7">
        <f>+[1]Resumen!I38*1000</f>
        <v>82412.21175100001</v>
      </c>
      <c r="J38" s="7">
        <f>+[1]Resumen!J38*1000</f>
        <v>86221.735178000003</v>
      </c>
      <c r="K38" s="7">
        <f>+[1]Resumen!K38*1000</f>
        <v>92719.579131000006</v>
      </c>
      <c r="L38" s="7">
        <f>+[1]Resumen!L38*1000</f>
        <v>104768.69558700001</v>
      </c>
      <c r="M38" s="7">
        <f>+[1]Resumen!M38*1000</f>
        <v>85093.806542999999</v>
      </c>
      <c r="N38" s="7">
        <f>+[1]Resumen!N38*1000</f>
        <v>104840.23752200001</v>
      </c>
      <c r="O38" s="7">
        <f>+[1]Resumen!O38*1000</f>
        <v>120999.05109000001</v>
      </c>
      <c r="P38" s="7">
        <f>+[1]Resumen!P38*1000</f>
        <v>141975.74411500001</v>
      </c>
      <c r="Q38" s="7">
        <f>+[1]Resumen!Q38*1000</f>
        <v>164522.67999900001</v>
      </c>
      <c r="R38" s="7">
        <f>+[1]Resumen!R38*1000</f>
        <v>179285.51490800001</v>
      </c>
      <c r="S38" s="7">
        <f>+[1]Resumen!S38*1000</f>
        <v>178465.62345000001</v>
      </c>
      <c r="T38" s="7">
        <f>+[1]Resumen!T38*1000</f>
        <v>167715.69701200002</v>
      </c>
      <c r="U38" s="7">
        <f>+[1]Resumen!U38*1000</f>
        <v>162393.38750500002</v>
      </c>
      <c r="V38" s="7">
        <f>+[1]Resumen!V38*1000</f>
        <v>156332.74506600003</v>
      </c>
      <c r="W38" s="7">
        <f>+[1]Resumen!W38*1000</f>
        <v>164941.18051600002</v>
      </c>
      <c r="X38" s="7">
        <f>+[1]Resumen!X38*1000</f>
        <v>183917.92540900002</v>
      </c>
      <c r="Y38" s="7">
        <f>+[1]Resumen!Y38*1000</f>
        <v>208356.11753100003</v>
      </c>
      <c r="Z38" s="7">
        <f>+[1]Resumen!Z38*1000</f>
        <v>192236.68623200004</v>
      </c>
      <c r="AA38" s="7">
        <f>+[1]Resumen!AA38*1000</f>
        <v>164329.649993</v>
      </c>
      <c r="AB38" s="7">
        <f>+[1]Resumen!AB38*1000</f>
        <v>129808.94171600002</v>
      </c>
      <c r="AC38" s="7">
        <f>+[1]Resumen!AC38*1000</f>
        <v>96732.797245000023</v>
      </c>
      <c r="AD38" s="5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22</v>
      </c>
      <c r="F39" s="7">
        <f>+[1]Resumen!F39*1000</f>
        <v>122809.59131900001</v>
      </c>
      <c r="G39" s="7">
        <f>+[1]Resumen!G39*1000</f>
        <v>107837.44494300001</v>
      </c>
      <c r="H39" s="7">
        <f>+[1]Resumen!H39*1000</f>
        <v>99418.993476000018</v>
      </c>
      <c r="I39" s="7">
        <f>+[1]Resumen!I39*1000</f>
        <v>98469.152772000016</v>
      </c>
      <c r="J39" s="7">
        <f>+[1]Resumen!J39*1000</f>
        <v>108821.95126099999</v>
      </c>
      <c r="K39" s="7">
        <f>+[1]Resumen!K39*1000</f>
        <v>148947.87473200003</v>
      </c>
      <c r="L39" s="7">
        <f>+[1]Resumen!L39*1000</f>
        <v>182723.33711700002</v>
      </c>
      <c r="M39" s="7">
        <f>+[1]Resumen!M39*1000</f>
        <v>162830.13535600001</v>
      </c>
      <c r="N39" s="7">
        <f>+[1]Resumen!N39*1000</f>
        <v>182691.49429500004</v>
      </c>
      <c r="O39" s="7">
        <f>+[1]Resumen!O39*1000</f>
        <v>195978.06659600005</v>
      </c>
      <c r="P39" s="7">
        <f>+[1]Resumen!P39*1000</f>
        <v>218927.22873700003</v>
      </c>
      <c r="Q39" s="7">
        <f>+[1]Resumen!Q39*1000</f>
        <v>237076.76595600002</v>
      </c>
      <c r="R39" s="7">
        <f>+[1]Resumen!R39*1000</f>
        <v>241379.75951100001</v>
      </c>
      <c r="S39" s="7">
        <f>+[1]Resumen!S39*1000</f>
        <v>240495.54152000003</v>
      </c>
      <c r="T39" s="7">
        <f>+[1]Resumen!T39*1000</f>
        <v>244465.69045300005</v>
      </c>
      <c r="U39" s="7">
        <f>+[1]Resumen!U39*1000</f>
        <v>246023.30995900003</v>
      </c>
      <c r="V39" s="7">
        <f>+[1]Resumen!V39*1000</f>
        <v>236100.80002400003</v>
      </c>
      <c r="W39" s="7">
        <f>+[1]Resumen!W39*1000</f>
        <v>231776.49150900004</v>
      </c>
      <c r="X39" s="7">
        <f>+[1]Resumen!X39*1000</f>
        <v>244333.71052500003</v>
      </c>
      <c r="Y39" s="7">
        <f>+[1]Resumen!Y39*1000</f>
        <v>247642.25318100004</v>
      </c>
      <c r="Z39" s="7">
        <f>+[1]Resumen!Z39*1000</f>
        <v>229659.73595600002</v>
      </c>
      <c r="AA39" s="7">
        <f>+[1]Resumen!AA39*1000</f>
        <v>203563.00951400003</v>
      </c>
      <c r="AB39" s="7">
        <f>+[1]Resumen!AB39*1000</f>
        <v>160095.980465</v>
      </c>
      <c r="AC39" s="7">
        <f>+[1]Resumen!AC39*1000</f>
        <v>133752.25252200002</v>
      </c>
      <c r="AD39" s="57">
        <f t="shared" ref="AD39" si="6">SUM(F39:AC39)*E39+SUM(F40:AC40)*E40+SUM(F41:AC41)*E41+SUM(F42:AC42)*E42</f>
        <v>127851280.00189799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+[1]Resumen!F40*1000</f>
        <v>122014.010437</v>
      </c>
      <c r="G40" s="7">
        <f>+[1]Resumen!G40*1000</f>
        <v>105531.49031600001</v>
      </c>
      <c r="H40" s="7">
        <f>+[1]Resumen!H40*1000</f>
        <v>95634.80316700002</v>
      </c>
      <c r="I40" s="7">
        <f>+[1]Resumen!I40*1000</f>
        <v>91279.904804000005</v>
      </c>
      <c r="J40" s="7">
        <f>+[1]Resumen!J40*1000</f>
        <v>98019.587141000011</v>
      </c>
      <c r="K40" s="7">
        <f>+[1]Resumen!K40*1000</f>
        <v>115169.69036900002</v>
      </c>
      <c r="L40" s="7">
        <f>+[1]Resumen!L40*1000</f>
        <v>141733.45206800001</v>
      </c>
      <c r="M40" s="7">
        <f>+[1]Resumen!M40*1000</f>
        <v>132093.293343</v>
      </c>
      <c r="N40" s="7">
        <f>+[1]Resumen!N40*1000</f>
        <v>159473.25958800002</v>
      </c>
      <c r="O40" s="7">
        <f>+[1]Resumen!O40*1000</f>
        <v>181101.03822900003</v>
      </c>
      <c r="P40" s="7">
        <f>+[1]Resumen!P40*1000</f>
        <v>201116.05930700002</v>
      </c>
      <c r="Q40" s="7">
        <f>+[1]Resumen!Q40*1000</f>
        <v>214725.03478000002</v>
      </c>
      <c r="R40" s="7">
        <f>+[1]Resumen!R40*1000</f>
        <v>215324.50362800003</v>
      </c>
      <c r="S40" s="7">
        <f>+[1]Resumen!S40*1000</f>
        <v>207578.48874200002</v>
      </c>
      <c r="T40" s="7">
        <f>+[1]Resumen!T40*1000</f>
        <v>197020.17371300003</v>
      </c>
      <c r="U40" s="7">
        <f>+[1]Resumen!U40*1000</f>
        <v>192373.93729200002</v>
      </c>
      <c r="V40" s="7">
        <f>+[1]Resumen!V40*1000</f>
        <v>187695.03713500002</v>
      </c>
      <c r="W40" s="7">
        <f>+[1]Resumen!W40*1000</f>
        <v>202913.96178100002</v>
      </c>
      <c r="X40" s="7">
        <f>+[1]Resumen!X40*1000</f>
        <v>219135.546466</v>
      </c>
      <c r="Y40" s="7">
        <f>+[1]Resumen!Y40*1000</f>
        <v>214902.70505300004</v>
      </c>
      <c r="Z40" s="7">
        <f>+[1]Resumen!Z40*1000</f>
        <v>196140.17550800004</v>
      </c>
      <c r="AA40" s="7">
        <f>+[1]Resumen!AA40*1000</f>
        <v>170387.90170000002</v>
      </c>
      <c r="AB40" s="7">
        <f>+[1]Resumen!AB40*1000</f>
        <v>144085.68752200002</v>
      </c>
      <c r="AC40" s="7">
        <f>+[1]Resumen!AC40*1000</f>
        <v>116274.34537200001</v>
      </c>
      <c r="AD40" s="5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+[1]Resumen!F41*1000</f>
        <v>116121.44653900003</v>
      </c>
      <c r="G41" s="7">
        <f>+[1]Resumen!G41*1000</f>
        <v>99250.792518000002</v>
      </c>
      <c r="H41" s="7">
        <f>+[1]Resumen!H41*1000</f>
        <v>87315.790309000004</v>
      </c>
      <c r="I41" s="7">
        <f>+[1]Resumen!I41*1000</f>
        <v>80667.157416000016</v>
      </c>
      <c r="J41" s="7">
        <f>+[1]Resumen!J41*1000</f>
        <v>82086.114466000014</v>
      </c>
      <c r="K41" s="7">
        <f>+[1]Resumen!K41*1000</f>
        <v>85145.790562000009</v>
      </c>
      <c r="L41" s="7">
        <f>+[1]Resumen!L41*1000</f>
        <v>97500.07819700001</v>
      </c>
      <c r="M41" s="7">
        <f>+[1]Resumen!M41*1000</f>
        <v>77010.16557100002</v>
      </c>
      <c r="N41" s="7">
        <f>+[1]Resumen!N41*1000</f>
        <v>99688.289273000017</v>
      </c>
      <c r="O41" s="7">
        <f>+[1]Resumen!O41*1000</f>
        <v>117124.58184400001</v>
      </c>
      <c r="P41" s="7">
        <f>+[1]Resumen!P41*1000</f>
        <v>134440.47369500002</v>
      </c>
      <c r="Q41" s="7">
        <f>+[1]Resumen!Q41*1000</f>
        <v>152274.60711400001</v>
      </c>
      <c r="R41" s="7">
        <f>+[1]Resumen!R41*1000</f>
        <v>163503.84651400003</v>
      </c>
      <c r="S41" s="7">
        <f>+[1]Resumen!S41*1000</f>
        <v>164617.71159600001</v>
      </c>
      <c r="T41" s="7">
        <f>+[1]Resumen!T41*1000</f>
        <v>159760.75951300003</v>
      </c>
      <c r="U41" s="7">
        <f>+[1]Resumen!U41*1000</f>
        <v>159132.47946400003</v>
      </c>
      <c r="V41" s="7">
        <f>+[1]Resumen!V41*1000</f>
        <v>157791.818887</v>
      </c>
      <c r="W41" s="7">
        <f>+[1]Resumen!W41*1000</f>
        <v>173460.66201300002</v>
      </c>
      <c r="X41" s="7">
        <f>+[1]Resumen!X41*1000</f>
        <v>191451.76283000002</v>
      </c>
      <c r="Y41" s="7">
        <f>+[1]Resumen!Y41*1000</f>
        <v>194747.34368600001</v>
      </c>
      <c r="Z41" s="7">
        <f>+[1]Resumen!Z41*1000</f>
        <v>180616.08688400002</v>
      </c>
      <c r="AA41" s="7">
        <f>+[1]Resumen!AA41*1000</f>
        <v>154904.786766</v>
      </c>
      <c r="AB41" s="7">
        <f>+[1]Resumen!AB41*1000</f>
        <v>124649.74206000002</v>
      </c>
      <c r="AC41" s="7">
        <f>+[1]Resumen!AC41*1000</f>
        <v>95820.480951999998</v>
      </c>
      <c r="AD41" s="5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+[1]Resumen!F42*1000</f>
        <v>0</v>
      </c>
      <c r="G42" s="7">
        <f>+[1]Resumen!G42*1000</f>
        <v>0</v>
      </c>
      <c r="H42" s="7">
        <f>+[1]Resumen!H42*1000</f>
        <v>0</v>
      </c>
      <c r="I42" s="7">
        <f>+[1]Resumen!I42*1000</f>
        <v>0</v>
      </c>
      <c r="J42" s="7">
        <f>+[1]Resumen!J42*1000</f>
        <v>0</v>
      </c>
      <c r="K42" s="7">
        <f>+[1]Resumen!K42*1000</f>
        <v>0</v>
      </c>
      <c r="L42" s="7">
        <f>+[1]Resumen!L42*1000</f>
        <v>0</v>
      </c>
      <c r="M42" s="7">
        <f>+[1]Resumen!M42*1000</f>
        <v>0</v>
      </c>
      <c r="N42" s="7">
        <f>+[1]Resumen!N42*1000</f>
        <v>0</v>
      </c>
      <c r="O42" s="7">
        <f>+[1]Resumen!O42*1000</f>
        <v>0</v>
      </c>
      <c r="P42" s="7">
        <f>+[1]Resumen!P42*1000</f>
        <v>0</v>
      </c>
      <c r="Q42" s="7">
        <f>+[1]Resumen!Q42*1000</f>
        <v>0</v>
      </c>
      <c r="R42" s="7">
        <f>+[1]Resumen!R42*1000</f>
        <v>0</v>
      </c>
      <c r="S42" s="7">
        <f>+[1]Resumen!S42*1000</f>
        <v>0</v>
      </c>
      <c r="T42" s="7">
        <f>+[1]Resumen!T42*1000</f>
        <v>0</v>
      </c>
      <c r="U42" s="7">
        <f>+[1]Resumen!U42*1000</f>
        <v>0</v>
      </c>
      <c r="V42" s="7">
        <f>+[1]Resumen!V42*1000</f>
        <v>0</v>
      </c>
      <c r="W42" s="7">
        <f>+[1]Resumen!W42*1000</f>
        <v>0</v>
      </c>
      <c r="X42" s="7">
        <f>+[1]Resumen!X42*1000</f>
        <v>0</v>
      </c>
      <c r="Y42" s="7">
        <f>+[1]Resumen!Y42*1000</f>
        <v>0</v>
      </c>
      <c r="Z42" s="7">
        <f>+[1]Resumen!Z42*1000</f>
        <v>0</v>
      </c>
      <c r="AA42" s="7">
        <f>+[1]Resumen!AA42*1000</f>
        <v>0</v>
      </c>
      <c r="AB42" s="7">
        <f>+[1]Resumen!AB42*1000</f>
        <v>0</v>
      </c>
      <c r="AC42" s="7">
        <f>+[1]Resumen!AC42*1000</f>
        <v>0</v>
      </c>
      <c r="AD42" s="59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21</v>
      </c>
      <c r="F43" s="7">
        <f>+[1]Resumen!F43*1000</f>
        <v>100895.86096800001</v>
      </c>
      <c r="G43" s="7">
        <f>+[1]Resumen!G43*1000</f>
        <v>86071.407102000012</v>
      </c>
      <c r="H43" s="7">
        <f>+[1]Resumen!H43*1000</f>
        <v>78442.185235000012</v>
      </c>
      <c r="I43" s="7">
        <f>+[1]Resumen!I43*1000</f>
        <v>78466.589424000005</v>
      </c>
      <c r="J43" s="7">
        <f>+[1]Resumen!J43*1000</f>
        <v>89239.76789100001</v>
      </c>
      <c r="K43" s="7">
        <f>+[1]Resumen!K43*1000</f>
        <v>126550.165171</v>
      </c>
      <c r="L43" s="7">
        <f>+[1]Resumen!L43*1000</f>
        <v>162984.48159000001</v>
      </c>
      <c r="M43" s="7">
        <f>+[1]Resumen!M43*1000</f>
        <v>144070.71664300002</v>
      </c>
      <c r="N43" s="7">
        <f>+[1]Resumen!N43*1000</f>
        <v>164433.51001600001</v>
      </c>
      <c r="O43" s="7">
        <f>+[1]Resumen!O43*1000</f>
        <v>175892.15887400002</v>
      </c>
      <c r="P43" s="7">
        <f>+[1]Resumen!P43*1000</f>
        <v>195484.89890999999</v>
      </c>
      <c r="Q43" s="7">
        <f>+[1]Resumen!Q43*1000</f>
        <v>213108.54709900002</v>
      </c>
      <c r="R43" s="7">
        <f>+[1]Resumen!R43*1000</f>
        <v>217988.65039699999</v>
      </c>
      <c r="S43" s="7">
        <f>+[1]Resumen!S43*1000</f>
        <v>216253.58384900002</v>
      </c>
      <c r="T43" s="7">
        <f>+[1]Resumen!T43*1000</f>
        <v>220767.06263400003</v>
      </c>
      <c r="U43" s="7">
        <f>+[1]Resumen!U43*1000</f>
        <v>221333.53650000002</v>
      </c>
      <c r="V43" s="7">
        <f>+[1]Resumen!V43*1000</f>
        <v>210971.60714300003</v>
      </c>
      <c r="W43" s="7">
        <f>+[1]Resumen!W43*1000</f>
        <v>212336.36946700001</v>
      </c>
      <c r="X43" s="7">
        <f>+[1]Resumen!X43*1000</f>
        <v>223269.67657100005</v>
      </c>
      <c r="Y43" s="7">
        <f>+[1]Resumen!Y43*1000</f>
        <v>218488.60862600003</v>
      </c>
      <c r="Z43" s="7">
        <f>+[1]Resumen!Z43*1000</f>
        <v>198678.69363100003</v>
      </c>
      <c r="AA43" s="7">
        <f>+[1]Resumen!AA43*1000</f>
        <v>172994.42606700002</v>
      </c>
      <c r="AB43" s="7">
        <f>+[1]Resumen!AB43*1000</f>
        <v>133926.54552600003</v>
      </c>
      <c r="AC43" s="7">
        <f>+[1]Resumen!AC43*1000</f>
        <v>111422.85164700002</v>
      </c>
      <c r="AD43" s="57">
        <f t="shared" ref="AD43" si="7">SUM(F43:AC43)*E43+SUM(F44:AC44)*E44+SUM(F45:AC45)*E45+SUM(F46:AC46)*E46</f>
        <v>117629238.30064102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5</v>
      </c>
      <c r="F44" s="7">
        <f>+[1]Resumen!F44*1000</f>
        <v>115123.80559700001</v>
      </c>
      <c r="G44" s="7">
        <f>+[1]Resumen!G44*1000</f>
        <v>95750.948096000007</v>
      </c>
      <c r="H44" s="7">
        <f>+[1]Resumen!H44*1000</f>
        <v>85845.360511000006</v>
      </c>
      <c r="I44" s="7">
        <f>+[1]Resumen!I44*1000</f>
        <v>81148.781899000009</v>
      </c>
      <c r="J44" s="7">
        <f>+[1]Resumen!J44*1000</f>
        <v>88294.492621000012</v>
      </c>
      <c r="K44" s="7">
        <f>+[1]Resumen!K44*1000</f>
        <v>103988.690468</v>
      </c>
      <c r="L44" s="7">
        <f>+[1]Resumen!L44*1000</f>
        <v>130715.706038</v>
      </c>
      <c r="M44" s="7">
        <f>+[1]Resumen!M44*1000</f>
        <v>118908.26954400001</v>
      </c>
      <c r="N44" s="7">
        <f>+[1]Resumen!N44*1000</f>
        <v>145747.71432699999</v>
      </c>
      <c r="O44" s="7">
        <f>+[1]Resumen!O44*1000</f>
        <v>167040.18560400003</v>
      </c>
      <c r="P44" s="7">
        <f>+[1]Resumen!P44*1000</f>
        <v>187938.65416600002</v>
      </c>
      <c r="Q44" s="7">
        <f>+[1]Resumen!Q44*1000</f>
        <v>199864.55431100001</v>
      </c>
      <c r="R44" s="7">
        <f>+[1]Resumen!R44*1000</f>
        <v>200577.39570300005</v>
      </c>
      <c r="S44" s="7">
        <f>+[1]Resumen!S44*1000</f>
        <v>196428.46754300001</v>
      </c>
      <c r="T44" s="7">
        <f>+[1]Resumen!T44*1000</f>
        <v>190874.96993100003</v>
      </c>
      <c r="U44" s="7">
        <f>+[1]Resumen!U44*1000</f>
        <v>190593.88609700001</v>
      </c>
      <c r="V44" s="7">
        <f>+[1]Resumen!V44*1000</f>
        <v>189555.25706300003</v>
      </c>
      <c r="W44" s="7">
        <f>+[1]Resumen!W44*1000</f>
        <v>205297.95364500003</v>
      </c>
      <c r="X44" s="7">
        <f>+[1]Resumen!X44*1000</f>
        <v>220080.74972600004</v>
      </c>
      <c r="Y44" s="7">
        <f>+[1]Resumen!Y44*1000</f>
        <v>211685.16143400004</v>
      </c>
      <c r="Z44" s="7">
        <f>+[1]Resumen!Z44*1000</f>
        <v>192430.77478500002</v>
      </c>
      <c r="AA44" s="7">
        <f>+[1]Resumen!AA44*1000</f>
        <v>167728.64441000001</v>
      </c>
      <c r="AB44" s="7">
        <f>+[1]Resumen!AB44*1000</f>
        <v>141231.54956900002</v>
      </c>
      <c r="AC44" s="7">
        <f>+[1]Resumen!AC44*1000</f>
        <v>114495.46073900002</v>
      </c>
      <c r="AD44" s="5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+[1]Resumen!F45*1000</f>
        <v>114443.09506700002</v>
      </c>
      <c r="G45" s="7">
        <f>+[1]Resumen!G45*1000</f>
        <v>96969.767753000007</v>
      </c>
      <c r="H45" s="7">
        <f>+[1]Resumen!H45*1000</f>
        <v>86779.323010000007</v>
      </c>
      <c r="I45" s="7">
        <f>+[1]Resumen!I45*1000</f>
        <v>80336.372280000011</v>
      </c>
      <c r="J45" s="7">
        <f>+[1]Resumen!J45*1000</f>
        <v>80523.461461000014</v>
      </c>
      <c r="K45" s="7">
        <f>+[1]Resumen!K45*1000</f>
        <v>85098.573605000012</v>
      </c>
      <c r="L45" s="7">
        <f>+[1]Resumen!L45*1000</f>
        <v>97537.99866300002</v>
      </c>
      <c r="M45" s="7">
        <f>+[1]Resumen!M45*1000</f>
        <v>77843.825341000003</v>
      </c>
      <c r="N45" s="7">
        <f>+[1]Resumen!N45*1000</f>
        <v>98932.083459000001</v>
      </c>
      <c r="O45" s="7">
        <f>+[1]Resumen!O45*1000</f>
        <v>116193.85979500003</v>
      </c>
      <c r="P45" s="7">
        <f>+[1]Resumen!P45*1000</f>
        <v>132479.454169</v>
      </c>
      <c r="Q45" s="7">
        <f>+[1]Resumen!Q45*1000</f>
        <v>152592.46645500002</v>
      </c>
      <c r="R45" s="7">
        <f>+[1]Resumen!R45*1000</f>
        <v>163630.706531</v>
      </c>
      <c r="S45" s="7">
        <f>+[1]Resumen!S45*1000</f>
        <v>162917.46908400001</v>
      </c>
      <c r="T45" s="7">
        <f>+[1]Resumen!T45*1000</f>
        <v>158619.33620400002</v>
      </c>
      <c r="U45" s="7">
        <f>+[1]Resumen!U45*1000</f>
        <v>156715.54302500002</v>
      </c>
      <c r="V45" s="7">
        <f>+[1]Resumen!V45*1000</f>
        <v>151665.18648400001</v>
      </c>
      <c r="W45" s="7">
        <f>+[1]Resumen!W45*1000</f>
        <v>166542.41647900004</v>
      </c>
      <c r="X45" s="7">
        <f>+[1]Resumen!X45*1000</f>
        <v>188995.098474</v>
      </c>
      <c r="Y45" s="7">
        <f>+[1]Resumen!Y45*1000</f>
        <v>187557.73566800001</v>
      </c>
      <c r="Z45" s="7">
        <f>+[1]Resumen!Z45*1000</f>
        <v>171717.73917400002</v>
      </c>
      <c r="AA45" s="7">
        <f>+[1]Resumen!AA45*1000</f>
        <v>149587.58276800002</v>
      </c>
      <c r="AB45" s="7">
        <f>+[1]Resumen!AB45*1000</f>
        <v>119363.93442200001</v>
      </c>
      <c r="AC45" s="7">
        <f>+[1]Resumen!AC45*1000</f>
        <v>91258.078573000006</v>
      </c>
      <c r="AD45" s="5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+[1]Resumen!F46*1000</f>
        <v>102744.34326600001</v>
      </c>
      <c r="G46" s="7">
        <f>+[1]Resumen!G46*1000</f>
        <v>88734.912982000009</v>
      </c>
      <c r="H46" s="7">
        <f>+[1]Resumen!H46*1000</f>
        <v>79264.899485000016</v>
      </c>
      <c r="I46" s="7">
        <f>+[1]Resumen!I46*1000</f>
        <v>75306.653805000009</v>
      </c>
      <c r="J46" s="7">
        <f>+[1]Resumen!J46*1000</f>
        <v>78825.436857000008</v>
      </c>
      <c r="K46" s="7">
        <f>+[1]Resumen!K46*1000</f>
        <v>85376.53220500001</v>
      </c>
      <c r="L46" s="7">
        <f>+[1]Resumen!L46*1000</f>
        <v>96239.607956000007</v>
      </c>
      <c r="M46" s="7">
        <f>+[1]Resumen!M46*1000</f>
        <v>75772.49369600002</v>
      </c>
      <c r="N46" s="7">
        <f>+[1]Resumen!N46*1000</f>
        <v>97951.847334000006</v>
      </c>
      <c r="O46" s="7">
        <f>+[1]Resumen!O46*1000</f>
        <v>110534.14743300001</v>
      </c>
      <c r="P46" s="7">
        <f>+[1]Resumen!P46*1000</f>
        <v>126815.83886500001</v>
      </c>
      <c r="Q46" s="7">
        <f>+[1]Resumen!Q46*1000</f>
        <v>151422.60639700003</v>
      </c>
      <c r="R46" s="7">
        <f>+[1]Resumen!R46*1000</f>
        <v>169455.94107900001</v>
      </c>
      <c r="S46" s="7">
        <f>+[1]Resumen!S46*1000</f>
        <v>174128.51875800002</v>
      </c>
      <c r="T46" s="7">
        <f>+[1]Resumen!T46*1000</f>
        <v>166702.72514100003</v>
      </c>
      <c r="U46" s="7">
        <f>+[1]Resumen!U46*1000</f>
        <v>167630.63880000002</v>
      </c>
      <c r="V46" s="7">
        <f>+[1]Resumen!V46*1000</f>
        <v>169277.43549</v>
      </c>
      <c r="W46" s="7">
        <f>+[1]Resumen!W46*1000</f>
        <v>183893.41320500002</v>
      </c>
      <c r="X46" s="7">
        <f>+[1]Resumen!X46*1000</f>
        <v>197613.26967600003</v>
      </c>
      <c r="Y46" s="7">
        <f>+[1]Resumen!Y46*1000</f>
        <v>194447.918905</v>
      </c>
      <c r="Z46" s="7">
        <f>+[1]Resumen!Z46*1000</f>
        <v>173228.47296900002</v>
      </c>
      <c r="AA46" s="7">
        <f>+[1]Resumen!AA46*1000</f>
        <v>147760.645862</v>
      </c>
      <c r="AB46" s="7">
        <f>+[1]Resumen!AB46*1000</f>
        <v>114672.53332900001</v>
      </c>
      <c r="AC46" s="7">
        <f>+[1]Resumen!AC46*1000</f>
        <v>85985.945634000003</v>
      </c>
      <c r="AD46" s="5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19</v>
      </c>
      <c r="F47" s="7">
        <f>+[1]Resumen!F47*1000</f>
        <v>127761.76942600001</v>
      </c>
      <c r="G47" s="7">
        <f>+[1]Resumen!G47*1000</f>
        <v>111226.24274400002</v>
      </c>
      <c r="H47" s="7">
        <f>+[1]Resumen!H47*1000</f>
        <v>103707.90187500001</v>
      </c>
      <c r="I47" s="7">
        <f>+[1]Resumen!I47*1000</f>
        <v>104034.58964200002</v>
      </c>
      <c r="J47" s="7">
        <f>+[1]Resumen!J47*1000</f>
        <v>114844.64443</v>
      </c>
      <c r="K47" s="7">
        <f>+[1]Resumen!K47*1000</f>
        <v>152407.56637800002</v>
      </c>
      <c r="L47" s="7">
        <f>+[1]Resumen!L47*1000</f>
        <v>192666.18267600003</v>
      </c>
      <c r="M47" s="7">
        <f>+[1]Resumen!M47*1000</f>
        <v>178064.84459400002</v>
      </c>
      <c r="N47" s="7">
        <f>+[1]Resumen!N47*1000</f>
        <v>198565.22027300001</v>
      </c>
      <c r="O47" s="7">
        <f>+[1]Resumen!O47*1000</f>
        <v>211190.45273400005</v>
      </c>
      <c r="P47" s="7">
        <f>+[1]Resumen!P47*1000</f>
        <v>230194.65504000004</v>
      </c>
      <c r="Q47" s="7">
        <f>+[1]Resumen!Q47*1000</f>
        <v>249563.97685000004</v>
      </c>
      <c r="R47" s="7">
        <f>+[1]Resumen!R47*1000</f>
        <v>255103.07246200001</v>
      </c>
      <c r="S47" s="7">
        <f>+[1]Resumen!S47*1000</f>
        <v>251521.33826800002</v>
      </c>
      <c r="T47" s="7">
        <f>+[1]Resumen!T47*1000</f>
        <v>253826.44317700004</v>
      </c>
      <c r="U47" s="7">
        <f>+[1]Resumen!U47*1000</f>
        <v>254197.99317400003</v>
      </c>
      <c r="V47" s="7">
        <f>+[1]Resumen!V47*1000</f>
        <v>246248.13958100002</v>
      </c>
      <c r="W47" s="7">
        <f>+[1]Resumen!W47*1000</f>
        <v>253542.88219900001</v>
      </c>
      <c r="X47" s="7">
        <f>+[1]Resumen!X47*1000</f>
        <v>268852.85628900002</v>
      </c>
      <c r="Y47" s="7">
        <f>+[1]Resumen!Y47*1000</f>
        <v>261254.65633000006</v>
      </c>
      <c r="Z47" s="7">
        <f>+[1]Resumen!Z47*1000</f>
        <v>237271.06333800004</v>
      </c>
      <c r="AA47" s="7">
        <f>+[1]Resumen!AA47*1000</f>
        <v>206058.21362200001</v>
      </c>
      <c r="AB47" s="7">
        <f>+[1]Resumen!AB47*1000</f>
        <v>164000.88833800002</v>
      </c>
      <c r="AC47" s="7">
        <f>+[1]Resumen!AC47*1000</f>
        <v>137564.82197200001</v>
      </c>
      <c r="AD47" s="57">
        <f t="shared" ref="AD47" si="8">SUM(F47:AC47)*E47+SUM(F48:AC48)*E48+SUM(F49:AC49)*E49+SUM(F50:AC50)*E50</f>
        <v>130926638.06124602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+[1]Resumen!F48*1000</f>
        <v>126274.01402200002</v>
      </c>
      <c r="G48" s="7">
        <f>+[1]Resumen!G48*1000</f>
        <v>107877.07924700002</v>
      </c>
      <c r="H48" s="7">
        <f>+[1]Resumen!H48*1000</f>
        <v>97724.022096000001</v>
      </c>
      <c r="I48" s="7">
        <f>+[1]Resumen!I48*1000</f>
        <v>94745.580481000012</v>
      </c>
      <c r="J48" s="7">
        <f>+[1]Resumen!J48*1000</f>
        <v>104236.26084800002</v>
      </c>
      <c r="K48" s="7">
        <f>+[1]Resumen!K48*1000</f>
        <v>123937.33272800001</v>
      </c>
      <c r="L48" s="7">
        <f>+[1]Resumen!L48*1000</f>
        <v>155283.27132600002</v>
      </c>
      <c r="M48" s="7">
        <f>+[1]Resumen!M48*1000</f>
        <v>150019.822793</v>
      </c>
      <c r="N48" s="7">
        <f>+[1]Resumen!N48*1000</f>
        <v>180384.704352</v>
      </c>
      <c r="O48" s="7">
        <f>+[1]Resumen!O48*1000</f>
        <v>200252.19134200001</v>
      </c>
      <c r="P48" s="7">
        <f>+[1]Resumen!P48*1000</f>
        <v>215752.55987200001</v>
      </c>
      <c r="Q48" s="7">
        <f>+[1]Resumen!Q48*1000</f>
        <v>223758.04119000005</v>
      </c>
      <c r="R48" s="7">
        <f>+[1]Resumen!R48*1000</f>
        <v>225507.75457200001</v>
      </c>
      <c r="S48" s="7">
        <f>+[1]Resumen!S48*1000</f>
        <v>221039.28923800003</v>
      </c>
      <c r="T48" s="7">
        <f>+[1]Resumen!T48*1000</f>
        <v>215441.87272700004</v>
      </c>
      <c r="U48" s="7">
        <f>+[1]Resumen!U48*1000</f>
        <v>211237.79210800002</v>
      </c>
      <c r="V48" s="7">
        <f>+[1]Resumen!V48*1000</f>
        <v>205288.880385</v>
      </c>
      <c r="W48" s="7">
        <f>+[1]Resumen!W48*1000</f>
        <v>223616.98800200003</v>
      </c>
      <c r="X48" s="7">
        <f>+[1]Resumen!X48*1000</f>
        <v>245131.36529500003</v>
      </c>
      <c r="Y48" s="7">
        <f>+[1]Resumen!Y48*1000</f>
        <v>236400.54885000002</v>
      </c>
      <c r="Z48" s="7">
        <f>+[1]Resumen!Z48*1000</f>
        <v>215168.48676200002</v>
      </c>
      <c r="AA48" s="7">
        <f>+[1]Resumen!AA48*1000</f>
        <v>185565.08214900002</v>
      </c>
      <c r="AB48" s="7">
        <f>+[1]Resumen!AB48*1000</f>
        <v>156196.55975400002</v>
      </c>
      <c r="AC48" s="7">
        <f>+[1]Resumen!AC48*1000</f>
        <v>125515.95755100001</v>
      </c>
      <c r="AD48" s="5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5</v>
      </c>
      <c r="F49" s="7">
        <f>+[1]Resumen!F49*1000</f>
        <v>112526.757746</v>
      </c>
      <c r="G49" s="7">
        <f>+[1]Resumen!G49*1000</f>
        <v>94912.089204000018</v>
      </c>
      <c r="H49" s="7">
        <f>+[1]Resumen!H49*1000</f>
        <v>84606.190828000006</v>
      </c>
      <c r="I49" s="7">
        <f>+[1]Resumen!I49*1000</f>
        <v>79857.412167000002</v>
      </c>
      <c r="J49" s="7">
        <f>+[1]Resumen!J49*1000</f>
        <v>81596.208833000012</v>
      </c>
      <c r="K49" s="7">
        <f>+[1]Resumen!K49*1000</f>
        <v>88954.154628000004</v>
      </c>
      <c r="L49" s="7">
        <f>+[1]Resumen!L49*1000</f>
        <v>103435.08478900002</v>
      </c>
      <c r="M49" s="7">
        <f>+[1]Resumen!M49*1000</f>
        <v>87732.634596000018</v>
      </c>
      <c r="N49" s="7">
        <f>+[1]Resumen!N49*1000</f>
        <v>112615.063609</v>
      </c>
      <c r="O49" s="7">
        <f>+[1]Resumen!O49*1000</f>
        <v>132106.16873100001</v>
      </c>
      <c r="P49" s="7">
        <f>+[1]Resumen!P49*1000</f>
        <v>146278.788077</v>
      </c>
      <c r="Q49" s="7">
        <f>+[1]Resumen!Q49*1000</f>
        <v>163468.475202</v>
      </c>
      <c r="R49" s="7">
        <f>+[1]Resumen!R49*1000</f>
        <v>176817.37215800001</v>
      </c>
      <c r="S49" s="7">
        <f>+[1]Resumen!S49*1000</f>
        <v>182084.385186</v>
      </c>
      <c r="T49" s="7">
        <f>+[1]Resumen!T49*1000</f>
        <v>178559.17884200002</v>
      </c>
      <c r="U49" s="7">
        <f>+[1]Resumen!U49*1000</f>
        <v>171990.02338600002</v>
      </c>
      <c r="V49" s="7">
        <f>+[1]Resumen!V49*1000</f>
        <v>166693.64468</v>
      </c>
      <c r="W49" s="7">
        <f>+[1]Resumen!W49*1000</f>
        <v>184904.90887100002</v>
      </c>
      <c r="X49" s="7">
        <f>+[1]Resumen!X49*1000</f>
        <v>207131.753104</v>
      </c>
      <c r="Y49" s="7">
        <f>+[1]Resumen!Y49*1000</f>
        <v>201426.92647700003</v>
      </c>
      <c r="Z49" s="7">
        <f>+[1]Resumen!Z49*1000</f>
        <v>185110.02215500001</v>
      </c>
      <c r="AA49" s="7">
        <f>+[1]Resumen!AA49*1000</f>
        <v>161388.80479900001</v>
      </c>
      <c r="AB49" s="7">
        <f>+[1]Resumen!AB49*1000</f>
        <v>135533.85193200002</v>
      </c>
      <c r="AC49" s="7">
        <f>+[1]Resumen!AC49*1000</f>
        <v>105777.73571200001</v>
      </c>
      <c r="AD49" s="5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+[1]Resumen!F50*1000</f>
        <v>109374.31836800001</v>
      </c>
      <c r="G50" s="7">
        <f>+[1]Resumen!G50*1000</f>
        <v>92670.67714</v>
      </c>
      <c r="H50" s="7">
        <f>+[1]Resumen!H50*1000</f>
        <v>82775.307774000015</v>
      </c>
      <c r="I50" s="7">
        <f>+[1]Resumen!I50*1000</f>
        <v>77652.314746000018</v>
      </c>
      <c r="J50" s="7">
        <f>+[1]Resumen!J50*1000</f>
        <v>82772.592997000014</v>
      </c>
      <c r="K50" s="7">
        <f>+[1]Resumen!K50*1000</f>
        <v>93150.040509000013</v>
      </c>
      <c r="L50" s="7">
        <f>+[1]Resumen!L50*1000</f>
        <v>104103.84886000001</v>
      </c>
      <c r="M50" s="7">
        <f>+[1]Resumen!M50*1000</f>
        <v>81240.753071000014</v>
      </c>
      <c r="N50" s="7">
        <f>+[1]Resumen!N50*1000</f>
        <v>105063.97259200002</v>
      </c>
      <c r="O50" s="7">
        <f>+[1]Resumen!O50*1000</f>
        <v>123222.87831200002</v>
      </c>
      <c r="P50" s="7">
        <f>+[1]Resumen!P50*1000</f>
        <v>144513.21089200003</v>
      </c>
      <c r="Q50" s="7">
        <f>+[1]Resumen!Q50*1000</f>
        <v>166071.06062200002</v>
      </c>
      <c r="R50" s="7">
        <f>+[1]Resumen!R50*1000</f>
        <v>182787.99489600002</v>
      </c>
      <c r="S50" s="7">
        <f>+[1]Resumen!S50*1000</f>
        <v>188980.54525300005</v>
      </c>
      <c r="T50" s="7">
        <f>+[1]Resumen!T50*1000</f>
        <v>180856.974736</v>
      </c>
      <c r="U50" s="7">
        <f>+[1]Resumen!U50*1000</f>
        <v>174493.55185000002</v>
      </c>
      <c r="V50" s="7">
        <f>+[1]Resumen!V50*1000</f>
        <v>173352.15014400001</v>
      </c>
      <c r="W50" s="7">
        <f>+[1]Resumen!W50*1000</f>
        <v>193354.25982900002</v>
      </c>
      <c r="X50" s="7">
        <f>+[1]Resumen!X50*1000</f>
        <v>215991.08579600003</v>
      </c>
      <c r="Y50" s="7">
        <f>+[1]Resumen!Y50*1000</f>
        <v>212003.52484500004</v>
      </c>
      <c r="Z50" s="7">
        <f>+[1]Resumen!Z50*1000</f>
        <v>190965.00403400004</v>
      </c>
      <c r="AA50" s="7">
        <f>+[1]Resumen!AA50*1000</f>
        <v>158621.92136300003</v>
      </c>
      <c r="AB50" s="7">
        <f>+[1]Resumen!AB50*1000</f>
        <v>124575.98221700003</v>
      </c>
      <c r="AC50" s="7">
        <f>+[1]Resumen!AC50*1000</f>
        <v>93376.108703000005</v>
      </c>
      <c r="AD50" s="59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21</v>
      </c>
      <c r="F51" s="7">
        <f>+[1]Resumen!F51*1000</f>
        <v>119386.79039600001</v>
      </c>
      <c r="G51" s="7">
        <f>+[1]Resumen!G51*1000</f>
        <v>102543.24814000001</v>
      </c>
      <c r="H51" s="7">
        <f>+[1]Resumen!H51*1000</f>
        <v>93087.471020000012</v>
      </c>
      <c r="I51" s="7">
        <f>+[1]Resumen!I51*1000</f>
        <v>91440.436697000012</v>
      </c>
      <c r="J51" s="7">
        <f>+[1]Resumen!J51*1000</f>
        <v>96797.426220000023</v>
      </c>
      <c r="K51" s="7">
        <f>+[1]Resumen!K51*1000</f>
        <v>121205.23012200001</v>
      </c>
      <c r="L51" s="7">
        <f>+[1]Resumen!L51*1000</f>
        <v>151927.67013500002</v>
      </c>
      <c r="M51" s="7">
        <f>+[1]Resumen!M51*1000</f>
        <v>141214.34638</v>
      </c>
      <c r="N51" s="7">
        <f>+[1]Resumen!N51*1000</f>
        <v>166671.37198700002</v>
      </c>
      <c r="O51" s="7">
        <f>+[1]Resumen!O51*1000</f>
        <v>179712.21736400004</v>
      </c>
      <c r="P51" s="7">
        <f>+[1]Resumen!P51*1000</f>
        <v>197684.90522400002</v>
      </c>
      <c r="Q51" s="7">
        <f>+[1]Resumen!Q51*1000</f>
        <v>215896.88951500005</v>
      </c>
      <c r="R51" s="7">
        <f>+[1]Resumen!R51*1000</f>
        <v>224472.32278200003</v>
      </c>
      <c r="S51" s="7">
        <f>+[1]Resumen!S51*1000</f>
        <v>222558.77224800002</v>
      </c>
      <c r="T51" s="7">
        <f>+[1]Resumen!T51*1000</f>
        <v>225293.46001300003</v>
      </c>
      <c r="U51" s="7">
        <f>+[1]Resumen!U51*1000</f>
        <v>225462.46028200001</v>
      </c>
      <c r="V51" s="7">
        <f>+[1]Resumen!V51*1000</f>
        <v>217723.113522</v>
      </c>
      <c r="W51" s="7">
        <f>+[1]Resumen!W51*1000</f>
        <v>222322.18339300001</v>
      </c>
      <c r="X51" s="7">
        <f>+[1]Resumen!X51*1000</f>
        <v>239607.97506400003</v>
      </c>
      <c r="Y51" s="7">
        <f>+[1]Resumen!Y51*1000</f>
        <v>234093.09641500004</v>
      </c>
      <c r="Z51" s="7">
        <f>+[1]Resumen!Z51*1000</f>
        <v>213616.13838800002</v>
      </c>
      <c r="AA51" s="7">
        <f>+[1]Resumen!AA51*1000</f>
        <v>188793.75851400002</v>
      </c>
      <c r="AB51" s="7">
        <f>+[1]Resumen!AB51*1000</f>
        <v>153889.61859</v>
      </c>
      <c r="AC51" s="7">
        <f>+[1]Resumen!AC51*1000</f>
        <v>131206.02212800001</v>
      </c>
      <c r="AD51" s="57">
        <f t="shared" ref="AD51" si="9">SUM(F51:AC51)*E51+SUM(F52:AC52)*E52+SUM(F53:AC53)*E53+SUM(F54:AC54)*E54</f>
        <v>120650329.68159702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+[1]Resumen!F52*1000</f>
        <v>121311.83372600003</v>
      </c>
      <c r="G52" s="7">
        <f>+[1]Resumen!G52*1000</f>
        <v>101543.655727</v>
      </c>
      <c r="H52" s="7">
        <f>+[1]Resumen!H52*1000</f>
        <v>91669.752542000002</v>
      </c>
      <c r="I52" s="7">
        <f>+[1]Resumen!I52*1000</f>
        <v>87183.284708000007</v>
      </c>
      <c r="J52" s="7">
        <f>+[1]Resumen!J52*1000</f>
        <v>92429.602062000005</v>
      </c>
      <c r="K52" s="7">
        <f>+[1]Resumen!K52*1000</f>
        <v>106502.091503</v>
      </c>
      <c r="L52" s="7">
        <f>+[1]Resumen!L52*1000</f>
        <v>129695.07230300002</v>
      </c>
      <c r="M52" s="7">
        <f>+[1]Resumen!M52*1000</f>
        <v>117762.964896</v>
      </c>
      <c r="N52" s="7">
        <f>+[1]Resumen!N52*1000</f>
        <v>146764.84837600001</v>
      </c>
      <c r="O52" s="7">
        <f>+[1]Resumen!O52*1000</f>
        <v>167549.44752500003</v>
      </c>
      <c r="P52" s="7">
        <f>+[1]Resumen!P52*1000</f>
        <v>181804.20147700002</v>
      </c>
      <c r="Q52" s="7">
        <f>+[1]Resumen!Q52*1000</f>
        <v>191980.87790800002</v>
      </c>
      <c r="R52" s="7">
        <f>+[1]Resumen!R52*1000</f>
        <v>194643.13801500003</v>
      </c>
      <c r="S52" s="7">
        <f>+[1]Resumen!S52*1000</f>
        <v>192959.35698900002</v>
      </c>
      <c r="T52" s="7">
        <f>+[1]Resumen!T52*1000</f>
        <v>189988.48362500002</v>
      </c>
      <c r="U52" s="7">
        <f>+[1]Resumen!U52*1000</f>
        <v>184397.75684300001</v>
      </c>
      <c r="V52" s="7">
        <f>+[1]Resumen!V52*1000</f>
        <v>178710.10460100003</v>
      </c>
      <c r="W52" s="7">
        <f>+[1]Resumen!W52*1000</f>
        <v>190891.97149200001</v>
      </c>
      <c r="X52" s="7">
        <f>+[1]Resumen!X52*1000</f>
        <v>217955.55460100004</v>
      </c>
      <c r="Y52" s="7">
        <f>+[1]Resumen!Y52*1000</f>
        <v>209934.81436400002</v>
      </c>
      <c r="Z52" s="7">
        <f>+[1]Resumen!Z52*1000</f>
        <v>185984.91485100004</v>
      </c>
      <c r="AA52" s="7">
        <f>+[1]Resumen!AA52*1000</f>
        <v>162413.52870200001</v>
      </c>
      <c r="AB52" s="7">
        <f>+[1]Resumen!AB52*1000</f>
        <v>138888.41617900002</v>
      </c>
      <c r="AC52" s="7">
        <f>+[1]Resumen!AC52*1000</f>
        <v>116711.662102</v>
      </c>
      <c r="AD52" s="5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+[1]Resumen!F53*1000</f>
        <v>123868.69999700002</v>
      </c>
      <c r="G53" s="7">
        <f>+[1]Resumen!G53*1000</f>
        <v>102408.675852</v>
      </c>
      <c r="H53" s="7">
        <f>+[1]Resumen!H53*1000</f>
        <v>92096.260571000021</v>
      </c>
      <c r="I53" s="7">
        <f>+[1]Resumen!I53*1000</f>
        <v>85117.216994000017</v>
      </c>
      <c r="J53" s="7">
        <f>+[1]Resumen!J53*1000</f>
        <v>83993.385728000008</v>
      </c>
      <c r="K53" s="7">
        <f>+[1]Resumen!K53*1000</f>
        <v>91278.090152000019</v>
      </c>
      <c r="L53" s="7">
        <f>+[1]Resumen!L53*1000</f>
        <v>102625.39714800002</v>
      </c>
      <c r="M53" s="7">
        <f>+[1]Resumen!M53*1000</f>
        <v>79195.546654000005</v>
      </c>
      <c r="N53" s="7">
        <f>+[1]Resumen!N53*1000</f>
        <v>103982.67043200001</v>
      </c>
      <c r="O53" s="7">
        <f>+[1]Resumen!O53*1000</f>
        <v>122703.751021</v>
      </c>
      <c r="P53" s="7">
        <f>+[1]Resumen!P53*1000</f>
        <v>138984.22548400002</v>
      </c>
      <c r="Q53" s="7">
        <f>+[1]Resumen!Q53*1000</f>
        <v>153773.60327900003</v>
      </c>
      <c r="R53" s="7">
        <f>+[1]Resumen!R53*1000</f>
        <v>162697.543343</v>
      </c>
      <c r="S53" s="7">
        <f>+[1]Resumen!S53*1000</f>
        <v>166710.531025</v>
      </c>
      <c r="T53" s="7">
        <f>+[1]Resumen!T53*1000</f>
        <v>163717.34896300003</v>
      </c>
      <c r="U53" s="7">
        <f>+[1]Resumen!U53*1000</f>
        <v>163671.392181</v>
      </c>
      <c r="V53" s="7">
        <f>+[1]Resumen!V53*1000</f>
        <v>161800.70920000001</v>
      </c>
      <c r="W53" s="7">
        <f>+[1]Resumen!W53*1000</f>
        <v>173672.20579000001</v>
      </c>
      <c r="X53" s="7">
        <f>+[1]Resumen!X53*1000</f>
        <v>193890.64071599999</v>
      </c>
      <c r="Y53" s="7">
        <f>+[1]Resumen!Y53*1000</f>
        <v>192805.84607100004</v>
      </c>
      <c r="Z53" s="7">
        <f>+[1]Resumen!Z53*1000</f>
        <v>182395.626808</v>
      </c>
      <c r="AA53" s="7">
        <f>+[1]Resumen!AA53*1000</f>
        <v>163248.65747600002</v>
      </c>
      <c r="AB53" s="7">
        <f>+[1]Resumen!AB53*1000</f>
        <v>136642.02822400001</v>
      </c>
      <c r="AC53" s="7">
        <f>+[1]Resumen!AC53*1000</f>
        <v>107748.65661300001</v>
      </c>
      <c r="AD53" s="5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+[1]Resumen!F54*1000</f>
        <v>105173.903058</v>
      </c>
      <c r="G54" s="7">
        <f>+[1]Resumen!G54*1000</f>
        <v>91529.966730000015</v>
      </c>
      <c r="H54" s="7">
        <f>+[1]Resumen!H54*1000</f>
        <v>80001.777815000009</v>
      </c>
      <c r="I54" s="7">
        <f>+[1]Resumen!I54*1000</f>
        <v>71589.252771000014</v>
      </c>
      <c r="J54" s="7">
        <f>+[1]Resumen!J54*1000</f>
        <v>68470.132420000009</v>
      </c>
      <c r="K54" s="7">
        <f>+[1]Resumen!K54*1000</f>
        <v>70383.81257200001</v>
      </c>
      <c r="L54" s="7">
        <f>+[1]Resumen!L54*1000</f>
        <v>73563.644553999999</v>
      </c>
      <c r="M54" s="7">
        <f>+[1]Resumen!M54*1000</f>
        <v>42375.703097000005</v>
      </c>
      <c r="N54" s="7">
        <f>+[1]Resumen!N54*1000</f>
        <v>57732.080431000002</v>
      </c>
      <c r="O54" s="7">
        <f>+[1]Resumen!O54*1000</f>
        <v>75814.216289999997</v>
      </c>
      <c r="P54" s="7">
        <f>+[1]Resumen!P54*1000</f>
        <v>92592.171838000009</v>
      </c>
      <c r="Q54" s="7">
        <f>+[1]Resumen!Q54*1000</f>
        <v>108464.94728400001</v>
      </c>
      <c r="R54" s="7">
        <f>+[1]Resumen!R54*1000</f>
        <v>123937.33992900002</v>
      </c>
      <c r="S54" s="7">
        <f>+[1]Resumen!S54*1000</f>
        <v>128498.554143</v>
      </c>
      <c r="T54" s="7">
        <f>+[1]Resumen!T54*1000</f>
        <v>126043.60362500002</v>
      </c>
      <c r="U54" s="7">
        <f>+[1]Resumen!U54*1000</f>
        <v>128614.85029300002</v>
      </c>
      <c r="V54" s="7">
        <f>+[1]Resumen!V54*1000</f>
        <v>129423.34256800001</v>
      </c>
      <c r="W54" s="7">
        <f>+[1]Resumen!W54*1000</f>
        <v>142627.25459</v>
      </c>
      <c r="X54" s="7">
        <f>+[1]Resumen!X54*1000</f>
        <v>173104.96861800001</v>
      </c>
      <c r="Y54" s="7">
        <f>+[1]Resumen!Y54*1000</f>
        <v>174019.47401500001</v>
      </c>
      <c r="Z54" s="7">
        <f>+[1]Resumen!Z54*1000</f>
        <v>161533.06963300001</v>
      </c>
      <c r="AA54" s="7">
        <f>+[1]Resumen!AA54*1000</f>
        <v>142599.42992600001</v>
      </c>
      <c r="AB54" s="7">
        <f>+[1]Resumen!AB54*1000</f>
        <v>116583.12425200001</v>
      </c>
      <c r="AC54" s="7">
        <f>+[1]Resumen!AC54*1000</f>
        <v>88703.423009000006</v>
      </c>
      <c r="AD54" s="59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AA55" s="60" t="s">
        <v>46</v>
      </c>
      <c r="AB55" s="61"/>
      <c r="AC55" s="62"/>
      <c r="AD55" s="17">
        <f>SUM(AD7:AD54)</f>
        <v>1488776534.812829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>
      <c r="AD56" s="10"/>
    </row>
    <row r="57" spans="3:56">
      <c r="AD57" s="18"/>
    </row>
  </sheetData>
  <mergeCells count="16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A55:AC55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2AA8-98C1-46E7-8643-504944318B04}">
  <sheetPr codeName="Hoja4"/>
  <dimension ref="C1:BD57"/>
  <sheetViews>
    <sheetView showGridLines="0" zoomScale="66" zoomScaleNormal="66" workbookViewId="0">
      <selection activeCell="R44" sqref="R44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3.1796875" style="1" bestFit="1" customWidth="1"/>
    <col min="5" max="5" width="7.81640625" style="1" bestFit="1" customWidth="1"/>
    <col min="6" max="29" width="11.54296875" style="1" customWidth="1"/>
    <col min="30" max="30" width="19.54296875" style="1" bestFit="1" customWidth="1"/>
    <col min="31" max="31" width="2.81640625" style="1" customWidth="1"/>
    <col min="32" max="55" width="11.453125" style="1"/>
    <col min="56" max="56" width="15.1796875" style="1" bestFit="1" customWidth="1"/>
    <col min="57" max="258" width="11.453125" style="1"/>
    <col min="259" max="259" width="7" style="1" customWidth="1"/>
    <col min="260" max="260" width="10.81640625" style="1" customWidth="1"/>
    <col min="261" max="261" width="9.1796875" style="1" customWidth="1"/>
    <col min="262" max="285" width="7.1796875" style="1" customWidth="1"/>
    <col min="286" max="286" width="14.1796875" style="1" bestFit="1" customWidth="1"/>
    <col min="287" max="514" width="11.453125" style="1"/>
    <col min="515" max="515" width="7" style="1" customWidth="1"/>
    <col min="516" max="516" width="10.81640625" style="1" customWidth="1"/>
    <col min="517" max="517" width="9.1796875" style="1" customWidth="1"/>
    <col min="518" max="541" width="7.1796875" style="1" customWidth="1"/>
    <col min="542" max="542" width="14.1796875" style="1" bestFit="1" customWidth="1"/>
    <col min="543" max="770" width="11.453125" style="1"/>
    <col min="771" max="771" width="7" style="1" customWidth="1"/>
    <col min="772" max="772" width="10.81640625" style="1" customWidth="1"/>
    <col min="773" max="773" width="9.1796875" style="1" customWidth="1"/>
    <col min="774" max="797" width="7.1796875" style="1" customWidth="1"/>
    <col min="798" max="798" width="14.1796875" style="1" bestFit="1" customWidth="1"/>
    <col min="799" max="1026" width="11.453125" style="1"/>
    <col min="1027" max="1027" width="7" style="1" customWidth="1"/>
    <col min="1028" max="1028" width="10.81640625" style="1" customWidth="1"/>
    <col min="1029" max="1029" width="9.1796875" style="1" customWidth="1"/>
    <col min="1030" max="1053" width="7.1796875" style="1" customWidth="1"/>
    <col min="1054" max="1054" width="14.1796875" style="1" bestFit="1" customWidth="1"/>
    <col min="1055" max="1282" width="11.453125" style="1"/>
    <col min="1283" max="1283" width="7" style="1" customWidth="1"/>
    <col min="1284" max="1284" width="10.81640625" style="1" customWidth="1"/>
    <col min="1285" max="1285" width="9.1796875" style="1" customWidth="1"/>
    <col min="1286" max="1309" width="7.1796875" style="1" customWidth="1"/>
    <col min="1310" max="1310" width="14.1796875" style="1" bestFit="1" customWidth="1"/>
    <col min="1311" max="1538" width="11.453125" style="1"/>
    <col min="1539" max="1539" width="7" style="1" customWidth="1"/>
    <col min="1540" max="1540" width="10.81640625" style="1" customWidth="1"/>
    <col min="1541" max="1541" width="9.1796875" style="1" customWidth="1"/>
    <col min="1542" max="1565" width="7.1796875" style="1" customWidth="1"/>
    <col min="1566" max="1566" width="14.1796875" style="1" bestFit="1" customWidth="1"/>
    <col min="1567" max="1794" width="11.453125" style="1"/>
    <col min="1795" max="1795" width="7" style="1" customWidth="1"/>
    <col min="1796" max="1796" width="10.81640625" style="1" customWidth="1"/>
    <col min="1797" max="1797" width="9.1796875" style="1" customWidth="1"/>
    <col min="1798" max="1821" width="7.1796875" style="1" customWidth="1"/>
    <col min="1822" max="1822" width="14.1796875" style="1" bestFit="1" customWidth="1"/>
    <col min="1823" max="2050" width="11.453125" style="1"/>
    <col min="2051" max="2051" width="7" style="1" customWidth="1"/>
    <col min="2052" max="2052" width="10.81640625" style="1" customWidth="1"/>
    <col min="2053" max="2053" width="9.1796875" style="1" customWidth="1"/>
    <col min="2054" max="2077" width="7.1796875" style="1" customWidth="1"/>
    <col min="2078" max="2078" width="14.1796875" style="1" bestFit="1" customWidth="1"/>
    <col min="2079" max="2306" width="11.453125" style="1"/>
    <col min="2307" max="2307" width="7" style="1" customWidth="1"/>
    <col min="2308" max="2308" width="10.81640625" style="1" customWidth="1"/>
    <col min="2309" max="2309" width="9.1796875" style="1" customWidth="1"/>
    <col min="2310" max="2333" width="7.1796875" style="1" customWidth="1"/>
    <col min="2334" max="2334" width="14.1796875" style="1" bestFit="1" customWidth="1"/>
    <col min="2335" max="2562" width="11.453125" style="1"/>
    <col min="2563" max="2563" width="7" style="1" customWidth="1"/>
    <col min="2564" max="2564" width="10.81640625" style="1" customWidth="1"/>
    <col min="2565" max="2565" width="9.1796875" style="1" customWidth="1"/>
    <col min="2566" max="2589" width="7.1796875" style="1" customWidth="1"/>
    <col min="2590" max="2590" width="14.1796875" style="1" bestFit="1" customWidth="1"/>
    <col min="2591" max="2818" width="11.453125" style="1"/>
    <col min="2819" max="2819" width="7" style="1" customWidth="1"/>
    <col min="2820" max="2820" width="10.81640625" style="1" customWidth="1"/>
    <col min="2821" max="2821" width="9.1796875" style="1" customWidth="1"/>
    <col min="2822" max="2845" width="7.1796875" style="1" customWidth="1"/>
    <col min="2846" max="2846" width="14.1796875" style="1" bestFit="1" customWidth="1"/>
    <col min="2847" max="3074" width="11.453125" style="1"/>
    <col min="3075" max="3075" width="7" style="1" customWidth="1"/>
    <col min="3076" max="3076" width="10.81640625" style="1" customWidth="1"/>
    <col min="3077" max="3077" width="9.1796875" style="1" customWidth="1"/>
    <col min="3078" max="3101" width="7.1796875" style="1" customWidth="1"/>
    <col min="3102" max="3102" width="14.1796875" style="1" bestFit="1" customWidth="1"/>
    <col min="3103" max="3330" width="11.453125" style="1"/>
    <col min="3331" max="3331" width="7" style="1" customWidth="1"/>
    <col min="3332" max="3332" width="10.81640625" style="1" customWidth="1"/>
    <col min="3333" max="3333" width="9.1796875" style="1" customWidth="1"/>
    <col min="3334" max="3357" width="7.1796875" style="1" customWidth="1"/>
    <col min="3358" max="3358" width="14.1796875" style="1" bestFit="1" customWidth="1"/>
    <col min="3359" max="3586" width="11.453125" style="1"/>
    <col min="3587" max="3587" width="7" style="1" customWidth="1"/>
    <col min="3588" max="3588" width="10.81640625" style="1" customWidth="1"/>
    <col min="3589" max="3589" width="9.1796875" style="1" customWidth="1"/>
    <col min="3590" max="3613" width="7.1796875" style="1" customWidth="1"/>
    <col min="3614" max="3614" width="14.1796875" style="1" bestFit="1" customWidth="1"/>
    <col min="3615" max="3842" width="11.453125" style="1"/>
    <col min="3843" max="3843" width="7" style="1" customWidth="1"/>
    <col min="3844" max="3844" width="10.81640625" style="1" customWidth="1"/>
    <col min="3845" max="3845" width="9.1796875" style="1" customWidth="1"/>
    <col min="3846" max="3869" width="7.1796875" style="1" customWidth="1"/>
    <col min="3870" max="3870" width="14.1796875" style="1" bestFit="1" customWidth="1"/>
    <col min="3871" max="4098" width="11.453125" style="1"/>
    <col min="4099" max="4099" width="7" style="1" customWidth="1"/>
    <col min="4100" max="4100" width="10.81640625" style="1" customWidth="1"/>
    <col min="4101" max="4101" width="9.1796875" style="1" customWidth="1"/>
    <col min="4102" max="4125" width="7.1796875" style="1" customWidth="1"/>
    <col min="4126" max="4126" width="14.1796875" style="1" bestFit="1" customWidth="1"/>
    <col min="4127" max="4354" width="11.453125" style="1"/>
    <col min="4355" max="4355" width="7" style="1" customWidth="1"/>
    <col min="4356" max="4356" width="10.81640625" style="1" customWidth="1"/>
    <col min="4357" max="4357" width="9.1796875" style="1" customWidth="1"/>
    <col min="4358" max="4381" width="7.1796875" style="1" customWidth="1"/>
    <col min="4382" max="4382" width="14.1796875" style="1" bestFit="1" customWidth="1"/>
    <col min="4383" max="4610" width="11.453125" style="1"/>
    <col min="4611" max="4611" width="7" style="1" customWidth="1"/>
    <col min="4612" max="4612" width="10.81640625" style="1" customWidth="1"/>
    <col min="4613" max="4613" width="9.1796875" style="1" customWidth="1"/>
    <col min="4614" max="4637" width="7.1796875" style="1" customWidth="1"/>
    <col min="4638" max="4638" width="14.1796875" style="1" bestFit="1" customWidth="1"/>
    <col min="4639" max="4866" width="11.453125" style="1"/>
    <col min="4867" max="4867" width="7" style="1" customWidth="1"/>
    <col min="4868" max="4868" width="10.81640625" style="1" customWidth="1"/>
    <col min="4869" max="4869" width="9.1796875" style="1" customWidth="1"/>
    <col min="4870" max="4893" width="7.1796875" style="1" customWidth="1"/>
    <col min="4894" max="4894" width="14.1796875" style="1" bestFit="1" customWidth="1"/>
    <col min="4895" max="5122" width="11.453125" style="1"/>
    <col min="5123" max="5123" width="7" style="1" customWidth="1"/>
    <col min="5124" max="5124" width="10.81640625" style="1" customWidth="1"/>
    <col min="5125" max="5125" width="9.1796875" style="1" customWidth="1"/>
    <col min="5126" max="5149" width="7.1796875" style="1" customWidth="1"/>
    <col min="5150" max="5150" width="14.1796875" style="1" bestFit="1" customWidth="1"/>
    <col min="5151" max="5378" width="11.453125" style="1"/>
    <col min="5379" max="5379" width="7" style="1" customWidth="1"/>
    <col min="5380" max="5380" width="10.81640625" style="1" customWidth="1"/>
    <col min="5381" max="5381" width="9.1796875" style="1" customWidth="1"/>
    <col min="5382" max="5405" width="7.1796875" style="1" customWidth="1"/>
    <col min="5406" max="5406" width="14.1796875" style="1" bestFit="1" customWidth="1"/>
    <col min="5407" max="5634" width="11.453125" style="1"/>
    <col min="5635" max="5635" width="7" style="1" customWidth="1"/>
    <col min="5636" max="5636" width="10.81640625" style="1" customWidth="1"/>
    <col min="5637" max="5637" width="9.1796875" style="1" customWidth="1"/>
    <col min="5638" max="5661" width="7.1796875" style="1" customWidth="1"/>
    <col min="5662" max="5662" width="14.1796875" style="1" bestFit="1" customWidth="1"/>
    <col min="5663" max="5890" width="11.453125" style="1"/>
    <col min="5891" max="5891" width="7" style="1" customWidth="1"/>
    <col min="5892" max="5892" width="10.81640625" style="1" customWidth="1"/>
    <col min="5893" max="5893" width="9.1796875" style="1" customWidth="1"/>
    <col min="5894" max="5917" width="7.1796875" style="1" customWidth="1"/>
    <col min="5918" max="5918" width="14.1796875" style="1" bestFit="1" customWidth="1"/>
    <col min="5919" max="6146" width="11.453125" style="1"/>
    <col min="6147" max="6147" width="7" style="1" customWidth="1"/>
    <col min="6148" max="6148" width="10.81640625" style="1" customWidth="1"/>
    <col min="6149" max="6149" width="9.1796875" style="1" customWidth="1"/>
    <col min="6150" max="6173" width="7.1796875" style="1" customWidth="1"/>
    <col min="6174" max="6174" width="14.1796875" style="1" bestFit="1" customWidth="1"/>
    <col min="6175" max="6402" width="11.453125" style="1"/>
    <col min="6403" max="6403" width="7" style="1" customWidth="1"/>
    <col min="6404" max="6404" width="10.81640625" style="1" customWidth="1"/>
    <col min="6405" max="6405" width="9.1796875" style="1" customWidth="1"/>
    <col min="6406" max="6429" width="7.1796875" style="1" customWidth="1"/>
    <col min="6430" max="6430" width="14.1796875" style="1" bestFit="1" customWidth="1"/>
    <col min="6431" max="6658" width="11.453125" style="1"/>
    <col min="6659" max="6659" width="7" style="1" customWidth="1"/>
    <col min="6660" max="6660" width="10.81640625" style="1" customWidth="1"/>
    <col min="6661" max="6661" width="9.1796875" style="1" customWidth="1"/>
    <col min="6662" max="6685" width="7.1796875" style="1" customWidth="1"/>
    <col min="6686" max="6686" width="14.1796875" style="1" bestFit="1" customWidth="1"/>
    <col min="6687" max="6914" width="11.453125" style="1"/>
    <col min="6915" max="6915" width="7" style="1" customWidth="1"/>
    <col min="6916" max="6916" width="10.81640625" style="1" customWidth="1"/>
    <col min="6917" max="6917" width="9.1796875" style="1" customWidth="1"/>
    <col min="6918" max="6941" width="7.1796875" style="1" customWidth="1"/>
    <col min="6942" max="6942" width="14.1796875" style="1" bestFit="1" customWidth="1"/>
    <col min="6943" max="7170" width="11.453125" style="1"/>
    <col min="7171" max="7171" width="7" style="1" customWidth="1"/>
    <col min="7172" max="7172" width="10.81640625" style="1" customWidth="1"/>
    <col min="7173" max="7173" width="9.1796875" style="1" customWidth="1"/>
    <col min="7174" max="7197" width="7.1796875" style="1" customWidth="1"/>
    <col min="7198" max="7198" width="14.1796875" style="1" bestFit="1" customWidth="1"/>
    <col min="7199" max="7426" width="11.453125" style="1"/>
    <col min="7427" max="7427" width="7" style="1" customWidth="1"/>
    <col min="7428" max="7428" width="10.81640625" style="1" customWidth="1"/>
    <col min="7429" max="7429" width="9.1796875" style="1" customWidth="1"/>
    <col min="7430" max="7453" width="7.1796875" style="1" customWidth="1"/>
    <col min="7454" max="7454" width="14.1796875" style="1" bestFit="1" customWidth="1"/>
    <col min="7455" max="7682" width="11.453125" style="1"/>
    <col min="7683" max="7683" width="7" style="1" customWidth="1"/>
    <col min="7684" max="7684" width="10.81640625" style="1" customWidth="1"/>
    <col min="7685" max="7685" width="9.1796875" style="1" customWidth="1"/>
    <col min="7686" max="7709" width="7.1796875" style="1" customWidth="1"/>
    <col min="7710" max="7710" width="14.1796875" style="1" bestFit="1" customWidth="1"/>
    <col min="7711" max="7938" width="11.453125" style="1"/>
    <col min="7939" max="7939" width="7" style="1" customWidth="1"/>
    <col min="7940" max="7940" width="10.81640625" style="1" customWidth="1"/>
    <col min="7941" max="7941" width="9.1796875" style="1" customWidth="1"/>
    <col min="7942" max="7965" width="7.1796875" style="1" customWidth="1"/>
    <col min="7966" max="7966" width="14.1796875" style="1" bestFit="1" customWidth="1"/>
    <col min="7967" max="8194" width="11.453125" style="1"/>
    <col min="8195" max="8195" width="7" style="1" customWidth="1"/>
    <col min="8196" max="8196" width="10.81640625" style="1" customWidth="1"/>
    <col min="8197" max="8197" width="9.1796875" style="1" customWidth="1"/>
    <col min="8198" max="8221" width="7.1796875" style="1" customWidth="1"/>
    <col min="8222" max="8222" width="14.1796875" style="1" bestFit="1" customWidth="1"/>
    <col min="8223" max="8450" width="11.453125" style="1"/>
    <col min="8451" max="8451" width="7" style="1" customWidth="1"/>
    <col min="8452" max="8452" width="10.81640625" style="1" customWidth="1"/>
    <col min="8453" max="8453" width="9.1796875" style="1" customWidth="1"/>
    <col min="8454" max="8477" width="7.1796875" style="1" customWidth="1"/>
    <col min="8478" max="8478" width="14.1796875" style="1" bestFit="1" customWidth="1"/>
    <col min="8479" max="8706" width="11.453125" style="1"/>
    <col min="8707" max="8707" width="7" style="1" customWidth="1"/>
    <col min="8708" max="8708" width="10.81640625" style="1" customWidth="1"/>
    <col min="8709" max="8709" width="9.1796875" style="1" customWidth="1"/>
    <col min="8710" max="8733" width="7.1796875" style="1" customWidth="1"/>
    <col min="8734" max="8734" width="14.1796875" style="1" bestFit="1" customWidth="1"/>
    <col min="8735" max="8962" width="11.453125" style="1"/>
    <col min="8963" max="8963" width="7" style="1" customWidth="1"/>
    <col min="8964" max="8964" width="10.81640625" style="1" customWidth="1"/>
    <col min="8965" max="8965" width="9.1796875" style="1" customWidth="1"/>
    <col min="8966" max="8989" width="7.1796875" style="1" customWidth="1"/>
    <col min="8990" max="8990" width="14.1796875" style="1" bestFit="1" customWidth="1"/>
    <col min="8991" max="9218" width="11.453125" style="1"/>
    <col min="9219" max="9219" width="7" style="1" customWidth="1"/>
    <col min="9220" max="9220" width="10.81640625" style="1" customWidth="1"/>
    <col min="9221" max="9221" width="9.1796875" style="1" customWidth="1"/>
    <col min="9222" max="9245" width="7.1796875" style="1" customWidth="1"/>
    <col min="9246" max="9246" width="14.1796875" style="1" bestFit="1" customWidth="1"/>
    <col min="9247" max="9474" width="11.453125" style="1"/>
    <col min="9475" max="9475" width="7" style="1" customWidth="1"/>
    <col min="9476" max="9476" width="10.81640625" style="1" customWidth="1"/>
    <col min="9477" max="9477" width="9.1796875" style="1" customWidth="1"/>
    <col min="9478" max="9501" width="7.1796875" style="1" customWidth="1"/>
    <col min="9502" max="9502" width="14.1796875" style="1" bestFit="1" customWidth="1"/>
    <col min="9503" max="9730" width="11.453125" style="1"/>
    <col min="9731" max="9731" width="7" style="1" customWidth="1"/>
    <col min="9732" max="9732" width="10.81640625" style="1" customWidth="1"/>
    <col min="9733" max="9733" width="9.1796875" style="1" customWidth="1"/>
    <col min="9734" max="9757" width="7.1796875" style="1" customWidth="1"/>
    <col min="9758" max="9758" width="14.1796875" style="1" bestFit="1" customWidth="1"/>
    <col min="9759" max="9986" width="11.453125" style="1"/>
    <col min="9987" max="9987" width="7" style="1" customWidth="1"/>
    <col min="9988" max="9988" width="10.81640625" style="1" customWidth="1"/>
    <col min="9989" max="9989" width="9.1796875" style="1" customWidth="1"/>
    <col min="9990" max="10013" width="7.1796875" style="1" customWidth="1"/>
    <col min="10014" max="10014" width="14.1796875" style="1" bestFit="1" customWidth="1"/>
    <col min="10015" max="10242" width="11.453125" style="1"/>
    <col min="10243" max="10243" width="7" style="1" customWidth="1"/>
    <col min="10244" max="10244" width="10.81640625" style="1" customWidth="1"/>
    <col min="10245" max="10245" width="9.1796875" style="1" customWidth="1"/>
    <col min="10246" max="10269" width="7.1796875" style="1" customWidth="1"/>
    <col min="10270" max="10270" width="14.1796875" style="1" bestFit="1" customWidth="1"/>
    <col min="10271" max="10498" width="11.453125" style="1"/>
    <col min="10499" max="10499" width="7" style="1" customWidth="1"/>
    <col min="10500" max="10500" width="10.81640625" style="1" customWidth="1"/>
    <col min="10501" max="10501" width="9.1796875" style="1" customWidth="1"/>
    <col min="10502" max="10525" width="7.1796875" style="1" customWidth="1"/>
    <col min="10526" max="10526" width="14.1796875" style="1" bestFit="1" customWidth="1"/>
    <col min="10527" max="10754" width="11.453125" style="1"/>
    <col min="10755" max="10755" width="7" style="1" customWidth="1"/>
    <col min="10756" max="10756" width="10.81640625" style="1" customWidth="1"/>
    <col min="10757" max="10757" width="9.1796875" style="1" customWidth="1"/>
    <col min="10758" max="10781" width="7.1796875" style="1" customWidth="1"/>
    <col min="10782" max="10782" width="14.1796875" style="1" bestFit="1" customWidth="1"/>
    <col min="10783" max="11010" width="11.453125" style="1"/>
    <col min="11011" max="11011" width="7" style="1" customWidth="1"/>
    <col min="11012" max="11012" width="10.81640625" style="1" customWidth="1"/>
    <col min="11013" max="11013" width="9.1796875" style="1" customWidth="1"/>
    <col min="11014" max="11037" width="7.1796875" style="1" customWidth="1"/>
    <col min="11038" max="11038" width="14.1796875" style="1" bestFit="1" customWidth="1"/>
    <col min="11039" max="11266" width="11.453125" style="1"/>
    <col min="11267" max="11267" width="7" style="1" customWidth="1"/>
    <col min="11268" max="11268" width="10.81640625" style="1" customWidth="1"/>
    <col min="11269" max="11269" width="9.1796875" style="1" customWidth="1"/>
    <col min="11270" max="11293" width="7.1796875" style="1" customWidth="1"/>
    <col min="11294" max="11294" width="14.1796875" style="1" bestFit="1" customWidth="1"/>
    <col min="11295" max="11522" width="11.453125" style="1"/>
    <col min="11523" max="11523" width="7" style="1" customWidth="1"/>
    <col min="11524" max="11524" width="10.81640625" style="1" customWidth="1"/>
    <col min="11525" max="11525" width="9.1796875" style="1" customWidth="1"/>
    <col min="11526" max="11549" width="7.1796875" style="1" customWidth="1"/>
    <col min="11550" max="11550" width="14.1796875" style="1" bestFit="1" customWidth="1"/>
    <col min="11551" max="11778" width="11.453125" style="1"/>
    <col min="11779" max="11779" width="7" style="1" customWidth="1"/>
    <col min="11780" max="11780" width="10.81640625" style="1" customWidth="1"/>
    <col min="11781" max="11781" width="9.1796875" style="1" customWidth="1"/>
    <col min="11782" max="11805" width="7.1796875" style="1" customWidth="1"/>
    <col min="11806" max="11806" width="14.1796875" style="1" bestFit="1" customWidth="1"/>
    <col min="11807" max="12034" width="11.453125" style="1"/>
    <col min="12035" max="12035" width="7" style="1" customWidth="1"/>
    <col min="12036" max="12036" width="10.81640625" style="1" customWidth="1"/>
    <col min="12037" max="12037" width="9.1796875" style="1" customWidth="1"/>
    <col min="12038" max="12061" width="7.1796875" style="1" customWidth="1"/>
    <col min="12062" max="12062" width="14.1796875" style="1" bestFit="1" customWidth="1"/>
    <col min="12063" max="12290" width="11.453125" style="1"/>
    <col min="12291" max="12291" width="7" style="1" customWidth="1"/>
    <col min="12292" max="12292" width="10.81640625" style="1" customWidth="1"/>
    <col min="12293" max="12293" width="9.1796875" style="1" customWidth="1"/>
    <col min="12294" max="12317" width="7.1796875" style="1" customWidth="1"/>
    <col min="12318" max="12318" width="14.1796875" style="1" bestFit="1" customWidth="1"/>
    <col min="12319" max="12546" width="11.453125" style="1"/>
    <col min="12547" max="12547" width="7" style="1" customWidth="1"/>
    <col min="12548" max="12548" width="10.81640625" style="1" customWidth="1"/>
    <col min="12549" max="12549" width="9.1796875" style="1" customWidth="1"/>
    <col min="12550" max="12573" width="7.1796875" style="1" customWidth="1"/>
    <col min="12574" max="12574" width="14.1796875" style="1" bestFit="1" customWidth="1"/>
    <col min="12575" max="12802" width="11.453125" style="1"/>
    <col min="12803" max="12803" width="7" style="1" customWidth="1"/>
    <col min="12804" max="12804" width="10.81640625" style="1" customWidth="1"/>
    <col min="12805" max="12805" width="9.1796875" style="1" customWidth="1"/>
    <col min="12806" max="12829" width="7.1796875" style="1" customWidth="1"/>
    <col min="12830" max="12830" width="14.1796875" style="1" bestFit="1" customWidth="1"/>
    <col min="12831" max="13058" width="11.453125" style="1"/>
    <col min="13059" max="13059" width="7" style="1" customWidth="1"/>
    <col min="13060" max="13060" width="10.81640625" style="1" customWidth="1"/>
    <col min="13061" max="13061" width="9.1796875" style="1" customWidth="1"/>
    <col min="13062" max="13085" width="7.1796875" style="1" customWidth="1"/>
    <col min="13086" max="13086" width="14.1796875" style="1" bestFit="1" customWidth="1"/>
    <col min="13087" max="13314" width="11.453125" style="1"/>
    <col min="13315" max="13315" width="7" style="1" customWidth="1"/>
    <col min="13316" max="13316" width="10.81640625" style="1" customWidth="1"/>
    <col min="13317" max="13317" width="9.1796875" style="1" customWidth="1"/>
    <col min="13318" max="13341" width="7.1796875" style="1" customWidth="1"/>
    <col min="13342" max="13342" width="14.1796875" style="1" bestFit="1" customWidth="1"/>
    <col min="13343" max="13570" width="11.453125" style="1"/>
    <col min="13571" max="13571" width="7" style="1" customWidth="1"/>
    <col min="13572" max="13572" width="10.81640625" style="1" customWidth="1"/>
    <col min="13573" max="13573" width="9.1796875" style="1" customWidth="1"/>
    <col min="13574" max="13597" width="7.1796875" style="1" customWidth="1"/>
    <col min="13598" max="13598" width="14.1796875" style="1" bestFit="1" customWidth="1"/>
    <col min="13599" max="13826" width="11.453125" style="1"/>
    <col min="13827" max="13827" width="7" style="1" customWidth="1"/>
    <col min="13828" max="13828" width="10.81640625" style="1" customWidth="1"/>
    <col min="13829" max="13829" width="9.1796875" style="1" customWidth="1"/>
    <col min="13830" max="13853" width="7.1796875" style="1" customWidth="1"/>
    <col min="13854" max="13854" width="14.1796875" style="1" bestFit="1" customWidth="1"/>
    <col min="13855" max="14082" width="11.453125" style="1"/>
    <col min="14083" max="14083" width="7" style="1" customWidth="1"/>
    <col min="14084" max="14084" width="10.81640625" style="1" customWidth="1"/>
    <col min="14085" max="14085" width="9.1796875" style="1" customWidth="1"/>
    <col min="14086" max="14109" width="7.1796875" style="1" customWidth="1"/>
    <col min="14110" max="14110" width="14.1796875" style="1" bestFit="1" customWidth="1"/>
    <col min="14111" max="14338" width="11.453125" style="1"/>
    <col min="14339" max="14339" width="7" style="1" customWidth="1"/>
    <col min="14340" max="14340" width="10.81640625" style="1" customWidth="1"/>
    <col min="14341" max="14341" width="9.1796875" style="1" customWidth="1"/>
    <col min="14342" max="14365" width="7.1796875" style="1" customWidth="1"/>
    <col min="14366" max="14366" width="14.1796875" style="1" bestFit="1" customWidth="1"/>
    <col min="14367" max="14594" width="11.453125" style="1"/>
    <col min="14595" max="14595" width="7" style="1" customWidth="1"/>
    <col min="14596" max="14596" width="10.81640625" style="1" customWidth="1"/>
    <col min="14597" max="14597" width="9.1796875" style="1" customWidth="1"/>
    <col min="14598" max="14621" width="7.1796875" style="1" customWidth="1"/>
    <col min="14622" max="14622" width="14.1796875" style="1" bestFit="1" customWidth="1"/>
    <col min="14623" max="14850" width="11.453125" style="1"/>
    <col min="14851" max="14851" width="7" style="1" customWidth="1"/>
    <col min="14852" max="14852" width="10.81640625" style="1" customWidth="1"/>
    <col min="14853" max="14853" width="9.1796875" style="1" customWidth="1"/>
    <col min="14854" max="14877" width="7.1796875" style="1" customWidth="1"/>
    <col min="14878" max="14878" width="14.1796875" style="1" bestFit="1" customWidth="1"/>
    <col min="14879" max="15106" width="11.453125" style="1"/>
    <col min="15107" max="15107" width="7" style="1" customWidth="1"/>
    <col min="15108" max="15108" width="10.81640625" style="1" customWidth="1"/>
    <col min="15109" max="15109" width="9.1796875" style="1" customWidth="1"/>
    <col min="15110" max="15133" width="7.1796875" style="1" customWidth="1"/>
    <col min="15134" max="15134" width="14.1796875" style="1" bestFit="1" customWidth="1"/>
    <col min="15135" max="15362" width="11.453125" style="1"/>
    <col min="15363" max="15363" width="7" style="1" customWidth="1"/>
    <col min="15364" max="15364" width="10.81640625" style="1" customWidth="1"/>
    <col min="15365" max="15365" width="9.1796875" style="1" customWidth="1"/>
    <col min="15366" max="15389" width="7.1796875" style="1" customWidth="1"/>
    <col min="15390" max="15390" width="14.1796875" style="1" bestFit="1" customWidth="1"/>
    <col min="15391" max="15618" width="11.453125" style="1"/>
    <col min="15619" max="15619" width="7" style="1" customWidth="1"/>
    <col min="15620" max="15620" width="10.81640625" style="1" customWidth="1"/>
    <col min="15621" max="15621" width="9.1796875" style="1" customWidth="1"/>
    <col min="15622" max="15645" width="7.1796875" style="1" customWidth="1"/>
    <col min="15646" max="15646" width="14.1796875" style="1" bestFit="1" customWidth="1"/>
    <col min="15647" max="15874" width="11.453125" style="1"/>
    <col min="15875" max="15875" width="7" style="1" customWidth="1"/>
    <col min="15876" max="15876" width="10.81640625" style="1" customWidth="1"/>
    <col min="15877" max="15877" width="9.1796875" style="1" customWidth="1"/>
    <col min="15878" max="15901" width="7.1796875" style="1" customWidth="1"/>
    <col min="15902" max="15902" width="14.1796875" style="1" bestFit="1" customWidth="1"/>
    <col min="15903" max="16130" width="11.453125" style="1"/>
    <col min="16131" max="16131" width="7" style="1" customWidth="1"/>
    <col min="16132" max="16132" width="10.81640625" style="1" customWidth="1"/>
    <col min="16133" max="16133" width="9.1796875" style="1" customWidth="1"/>
    <col min="16134" max="16157" width="7.1796875" style="1" customWidth="1"/>
    <col min="16158" max="16158" width="14.179687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2027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19</v>
      </c>
      <c r="F7" s="7">
        <f>+[2]Resumen!F7*1000</f>
        <v>115710.319254</v>
      </c>
      <c r="G7" s="7">
        <f>+[2]Resumen!G7*1000</f>
        <v>101957.940009</v>
      </c>
      <c r="H7" s="7">
        <f>+[2]Resumen!H7*1000</f>
        <v>93538.938462000006</v>
      </c>
      <c r="I7" s="7">
        <f>+[2]Resumen!I7*1000</f>
        <v>91675.172816999999</v>
      </c>
      <c r="J7" s="7">
        <f>+[2]Resumen!J7*1000</f>
        <v>97686.288324000008</v>
      </c>
      <c r="K7" s="7">
        <f>+[2]Resumen!K7*1000</f>
        <v>124543.342836</v>
      </c>
      <c r="L7" s="7">
        <f>+[2]Resumen!L7*1000</f>
        <v>151353.30143699999</v>
      </c>
      <c r="M7" s="7">
        <f>+[2]Resumen!M7*1000</f>
        <v>149962.642896</v>
      </c>
      <c r="N7" s="7">
        <f>+[2]Resumen!N7*1000</f>
        <v>168398.85254700002</v>
      </c>
      <c r="O7" s="7">
        <f>+[2]Resumen!O7*1000</f>
        <v>177740.79075000001</v>
      </c>
      <c r="P7" s="7">
        <f>+[2]Resumen!P7*1000</f>
        <v>195146.03945100002</v>
      </c>
      <c r="Q7" s="7">
        <f>+[2]Resumen!Q7*1000</f>
        <v>210515.53064700001</v>
      </c>
      <c r="R7" s="7">
        <f>+[2]Resumen!R7*1000</f>
        <v>217785.31731900002</v>
      </c>
      <c r="S7" s="7">
        <f>+[2]Resumen!S7*1000</f>
        <v>219226.72031400001</v>
      </c>
      <c r="T7" s="7">
        <f>+[2]Resumen!T7*1000</f>
        <v>226676.18439899999</v>
      </c>
      <c r="U7" s="7">
        <f>+[2]Resumen!U7*1000</f>
        <v>228651.653349</v>
      </c>
      <c r="V7" s="7">
        <f>+[2]Resumen!V7*1000</f>
        <v>221620.888137</v>
      </c>
      <c r="W7" s="7">
        <f>+[2]Resumen!W7*1000</f>
        <v>196547.55221700002</v>
      </c>
      <c r="X7" s="7">
        <f>+[2]Resumen!X7*1000</f>
        <v>202435.005729</v>
      </c>
      <c r="Y7" s="7">
        <f>+[2]Resumen!Y7*1000</f>
        <v>207637.92706799999</v>
      </c>
      <c r="Z7" s="7">
        <f>+[2]Resumen!Z7*1000</f>
        <v>194389.63326600002</v>
      </c>
      <c r="AA7" s="7">
        <f>+[2]Resumen!AA7*1000</f>
        <v>174017.31170399999</v>
      </c>
      <c r="AB7" s="7">
        <f>+[2]Resumen!AB7*1000</f>
        <v>138989.13567600001</v>
      </c>
      <c r="AC7" s="7">
        <f>+[2]Resumen!AC7*1000</f>
        <v>120528.20124300002</v>
      </c>
      <c r="AD7" s="57">
        <f>SUM(F7:AC7)*E7+SUM(F8:AC8)*E8+SUM(F9:AC9)*E9+SUM(F10:AC10)*E10</f>
        <v>113546920.32852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5</v>
      </c>
      <c r="F8" s="7">
        <f>+[2]Resumen!F8*1000</f>
        <v>110346.054621</v>
      </c>
      <c r="G8" s="7">
        <f>+[2]Resumen!G8*1000</f>
        <v>96453.499725000001</v>
      </c>
      <c r="H8" s="7">
        <f>+[2]Resumen!H8*1000</f>
        <v>87470.246052000002</v>
      </c>
      <c r="I8" s="7">
        <f>+[2]Resumen!I8*1000</f>
        <v>83063.781084000002</v>
      </c>
      <c r="J8" s="7">
        <f>+[2]Resumen!J8*1000</f>
        <v>89294.707976999998</v>
      </c>
      <c r="K8" s="7">
        <f>+[2]Resumen!K8*1000</f>
        <v>102528.34667100001</v>
      </c>
      <c r="L8" s="7">
        <f>+[2]Resumen!L8*1000</f>
        <v>121151.67554400001</v>
      </c>
      <c r="M8" s="7">
        <f>+[2]Resumen!M8*1000</f>
        <v>120428.82224400001</v>
      </c>
      <c r="N8" s="7">
        <f>+[2]Resumen!N8*1000</f>
        <v>141436.98811500001</v>
      </c>
      <c r="O8" s="7">
        <f>+[2]Resumen!O8*1000</f>
        <v>157881.08567100001</v>
      </c>
      <c r="P8" s="7">
        <f>+[2]Resumen!P8*1000</f>
        <v>170247.52891500003</v>
      </c>
      <c r="Q8" s="7">
        <f>+[2]Resumen!Q8*1000</f>
        <v>182838.35374500003</v>
      </c>
      <c r="R8" s="7">
        <f>+[2]Resumen!R8*1000</f>
        <v>183595.932948</v>
      </c>
      <c r="S8" s="7">
        <f>+[2]Resumen!S8*1000</f>
        <v>183214.88490599999</v>
      </c>
      <c r="T8" s="7">
        <f>+[2]Resumen!T8*1000</f>
        <v>180339.794937</v>
      </c>
      <c r="U8" s="7">
        <f>+[2]Resumen!U8*1000</f>
        <v>179850.67689900001</v>
      </c>
      <c r="V8" s="7">
        <f>+[2]Resumen!V8*1000</f>
        <v>180792.13048200001</v>
      </c>
      <c r="W8" s="7">
        <f>+[2]Resumen!W8*1000</f>
        <v>164651.402802</v>
      </c>
      <c r="X8" s="7">
        <f>+[2]Resumen!X8*1000</f>
        <v>179488.343826</v>
      </c>
      <c r="Y8" s="7">
        <f>+[2]Resumen!Y8*1000</f>
        <v>182664.49572000001</v>
      </c>
      <c r="Z8" s="7">
        <f>+[2]Resumen!Z8*1000</f>
        <v>168189.720195</v>
      </c>
      <c r="AA8" s="7">
        <f>+[2]Resumen!AA8*1000</f>
        <v>149261.391408</v>
      </c>
      <c r="AB8" s="7">
        <f>+[2]Resumen!AB8*1000</f>
        <v>128658.13002300001</v>
      </c>
      <c r="AC8" s="7">
        <f>+[2]Resumen!AC8*1000</f>
        <v>105364.24717500001</v>
      </c>
      <c r="AD8" s="5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5</v>
      </c>
      <c r="F9" s="7">
        <f>+[2]Resumen!F9*1000</f>
        <v>111200.18691600002</v>
      </c>
      <c r="G9" s="7">
        <f>+[2]Resumen!G9*1000</f>
        <v>95703.301395000017</v>
      </c>
      <c r="H9" s="7">
        <f>+[2]Resumen!H9*1000</f>
        <v>84804.676902000007</v>
      </c>
      <c r="I9" s="7">
        <f>+[2]Resumen!I9*1000</f>
        <v>78266.480229000008</v>
      </c>
      <c r="J9" s="7">
        <f>+[2]Resumen!J9*1000</f>
        <v>79855.599705000001</v>
      </c>
      <c r="K9" s="7">
        <f>+[2]Resumen!K9*1000</f>
        <v>85888.576002000002</v>
      </c>
      <c r="L9" s="7">
        <f>+[2]Resumen!L9*1000</f>
        <v>94614.885414000004</v>
      </c>
      <c r="M9" s="7">
        <f>+[2]Resumen!M9*1000</f>
        <v>88121.042532000007</v>
      </c>
      <c r="N9" s="7">
        <f>+[2]Resumen!N9*1000</f>
        <v>103211.25642300001</v>
      </c>
      <c r="O9" s="7">
        <f>+[2]Resumen!O9*1000</f>
        <v>117955.17864300001</v>
      </c>
      <c r="P9" s="7">
        <f>+[2]Resumen!P9*1000</f>
        <v>129514.783545</v>
      </c>
      <c r="Q9" s="7">
        <f>+[2]Resumen!Q9*1000</f>
        <v>146432.43760800001</v>
      </c>
      <c r="R9" s="7">
        <f>+[2]Resumen!R9*1000</f>
        <v>157280.37858300001</v>
      </c>
      <c r="S9" s="7">
        <f>+[2]Resumen!S9*1000</f>
        <v>164158.13349900002</v>
      </c>
      <c r="T9" s="7">
        <f>+[2]Resumen!T9*1000</f>
        <v>163826.07800100002</v>
      </c>
      <c r="U9" s="7">
        <f>+[2]Resumen!U9*1000</f>
        <v>162031.1091</v>
      </c>
      <c r="V9" s="7">
        <f>+[2]Resumen!V9*1000</f>
        <v>160409.95252200001</v>
      </c>
      <c r="W9" s="7">
        <f>+[2]Resumen!W9*1000</f>
        <v>146538.01684500001</v>
      </c>
      <c r="X9" s="7">
        <f>+[2]Resumen!X9*1000</f>
        <v>160765.96348500001</v>
      </c>
      <c r="Y9" s="7">
        <f>+[2]Resumen!Y9*1000</f>
        <v>169217.268729</v>
      </c>
      <c r="Z9" s="7">
        <f>+[2]Resumen!Z9*1000</f>
        <v>158885.59278000001</v>
      </c>
      <c r="AA9" s="7">
        <f>+[2]Resumen!AA9*1000</f>
        <v>141021.153234</v>
      </c>
      <c r="AB9" s="7">
        <f>+[2]Resumen!AB9*1000</f>
        <v>117278.35487400001</v>
      </c>
      <c r="AC9" s="7">
        <f>+[2]Resumen!AC9*1000</f>
        <v>89092.621350000001</v>
      </c>
      <c r="AD9" s="5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+[2]Resumen!F10*1000</f>
        <v>90234.561990000002</v>
      </c>
      <c r="G10" s="7">
        <f>+[2]Resumen!G10*1000</f>
        <v>81366.751569000015</v>
      </c>
      <c r="H10" s="7">
        <f>+[2]Resumen!H10*1000</f>
        <v>71366.057121000005</v>
      </c>
      <c r="I10" s="7">
        <f>+[2]Resumen!I10*1000</f>
        <v>65984.806578000003</v>
      </c>
      <c r="J10" s="7">
        <f>+[2]Resumen!J10*1000</f>
        <v>66237.569105999995</v>
      </c>
      <c r="K10" s="7">
        <f>+[2]Resumen!K10*1000</f>
        <v>71995.244172000006</v>
      </c>
      <c r="L10" s="7">
        <f>+[2]Resumen!L10*1000</f>
        <v>72167.403605999993</v>
      </c>
      <c r="M10" s="7">
        <f>+[2]Resumen!M10*1000</f>
        <v>58277.004321000008</v>
      </c>
      <c r="N10" s="7">
        <f>+[2]Resumen!N10*1000</f>
        <v>67545.347070000003</v>
      </c>
      <c r="O10" s="7">
        <f>+[2]Resumen!O10*1000</f>
        <v>78802.663710000008</v>
      </c>
      <c r="P10" s="7">
        <f>+[2]Resumen!P10*1000</f>
        <v>93047.078303999995</v>
      </c>
      <c r="Q10" s="7">
        <f>+[2]Resumen!Q10*1000</f>
        <v>109928.475447</v>
      </c>
      <c r="R10" s="7">
        <f>+[2]Resumen!R10*1000</f>
        <v>124175.921607</v>
      </c>
      <c r="S10" s="7">
        <f>+[2]Resumen!S10*1000</f>
        <v>130141.19800800001</v>
      </c>
      <c r="T10" s="7">
        <f>+[2]Resumen!T10*1000</f>
        <v>130476.78779400002</v>
      </c>
      <c r="U10" s="7">
        <f>+[2]Resumen!U10*1000</f>
        <v>126697.67418</v>
      </c>
      <c r="V10" s="7">
        <f>+[2]Resumen!V10*1000</f>
        <v>125363.85369300001</v>
      </c>
      <c r="W10" s="7">
        <f>+[2]Resumen!W10*1000</f>
        <v>113936.15999700001</v>
      </c>
      <c r="X10" s="7">
        <f>+[2]Resumen!X10*1000</f>
        <v>136172.36145900001</v>
      </c>
      <c r="Y10" s="7">
        <f>+[2]Resumen!Y10*1000</f>
        <v>143705.63539500002</v>
      </c>
      <c r="Z10" s="7">
        <f>+[2]Resumen!Z10*1000</f>
        <v>133975.90048800001</v>
      </c>
      <c r="AA10" s="7">
        <f>+[2]Resumen!AA10*1000</f>
        <v>118284.18734100001</v>
      </c>
      <c r="AB10" s="7">
        <f>+[2]Resumen!AB10*1000</f>
        <v>96870.317199000012</v>
      </c>
      <c r="AC10" s="7">
        <f>+[2]Resumen!AC10*1000</f>
        <v>74514.475518000007</v>
      </c>
      <c r="AD10" s="59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+[2]Resumen!F11*1000</f>
        <v>142727.66591400001</v>
      </c>
      <c r="G11" s="7">
        <f>+[2]Resumen!G11*1000</f>
        <v>127519.34282100001</v>
      </c>
      <c r="H11" s="7">
        <f>+[2]Resumen!H11*1000</f>
        <v>119498.969352</v>
      </c>
      <c r="I11" s="7">
        <f>+[2]Resumen!I11*1000</f>
        <v>118620.554061</v>
      </c>
      <c r="J11" s="7">
        <f>+[2]Resumen!J11*1000</f>
        <v>132857.01650699999</v>
      </c>
      <c r="K11" s="7">
        <f>+[2]Resumen!K11*1000</f>
        <v>181222.62808800003</v>
      </c>
      <c r="L11" s="7">
        <f>+[2]Resumen!L11*1000</f>
        <v>212287.640931</v>
      </c>
      <c r="M11" s="7">
        <f>+[2]Resumen!M11*1000</f>
        <v>203982.924852</v>
      </c>
      <c r="N11" s="7">
        <f>+[2]Resumen!N11*1000</f>
        <v>225744.80810700002</v>
      </c>
      <c r="O11" s="7">
        <f>+[2]Resumen!O11*1000</f>
        <v>240007.49588400003</v>
      </c>
      <c r="P11" s="7">
        <f>+[2]Resumen!P11*1000</f>
        <v>262927.21645800001</v>
      </c>
      <c r="Q11" s="7">
        <f>+[2]Resumen!Q11*1000</f>
        <v>277665.37260900001</v>
      </c>
      <c r="R11" s="7">
        <f>+[2]Resumen!R11*1000</f>
        <v>277756.19010000001</v>
      </c>
      <c r="S11" s="7">
        <f>+[2]Resumen!S11*1000</f>
        <v>277011.38460600004</v>
      </c>
      <c r="T11" s="7">
        <f>+[2]Resumen!T11*1000</f>
        <v>283408.40780100005</v>
      </c>
      <c r="U11" s="7">
        <f>+[2]Resumen!U11*1000</f>
        <v>284727.87786000001</v>
      </c>
      <c r="V11" s="7">
        <f>+[2]Resumen!V11*1000</f>
        <v>275364.77963100001</v>
      </c>
      <c r="W11" s="7">
        <f>+[2]Resumen!W11*1000</f>
        <v>243227.74259099999</v>
      </c>
      <c r="X11" s="7">
        <f>+[2]Resumen!X11*1000</f>
        <v>243071.46460200002</v>
      </c>
      <c r="Y11" s="7">
        <f>+[2]Resumen!Y11*1000</f>
        <v>255318.07720200001</v>
      </c>
      <c r="Z11" s="7">
        <f>+[2]Resumen!Z11*1000</f>
        <v>238648.09751100003</v>
      </c>
      <c r="AA11" s="7">
        <f>+[2]Resumen!AA11*1000</f>
        <v>208989.853164</v>
      </c>
      <c r="AB11" s="7">
        <f>+[2]Resumen!AB11*1000</f>
        <v>165379.641321</v>
      </c>
      <c r="AC11" s="7">
        <f>+[2]Resumen!AC11*1000</f>
        <v>142613.70797700001</v>
      </c>
      <c r="AD11" s="57">
        <f>SUM(F11:AC11)*E11+SUM(F12:AC12)*E12+SUM(F13:AC13)*E13+SUM(F14:AC14)*E14</f>
        <v>137813340.79201201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+[2]Resumen!F12*1000</f>
        <v>145400.79112800001</v>
      </c>
      <c r="G12" s="7">
        <f>+[2]Resumen!G12*1000</f>
        <v>128442.63747600002</v>
      </c>
      <c r="H12" s="7">
        <f>+[2]Resumen!H12*1000</f>
        <v>117247.55172600001</v>
      </c>
      <c r="I12" s="7">
        <f>+[2]Resumen!I12*1000</f>
        <v>113283.46688399999</v>
      </c>
      <c r="J12" s="7">
        <f>+[2]Resumen!J12*1000</f>
        <v>119871.57014100002</v>
      </c>
      <c r="K12" s="7">
        <f>+[2]Resumen!K12*1000</f>
        <v>137437.92600899999</v>
      </c>
      <c r="L12" s="7">
        <f>+[2]Resumen!L12*1000</f>
        <v>166364.214741</v>
      </c>
      <c r="M12" s="7">
        <f>+[2]Resumen!M12*1000</f>
        <v>176787.24898800001</v>
      </c>
      <c r="N12" s="7">
        <f>+[2]Resumen!N12*1000</f>
        <v>208205.21076000002</v>
      </c>
      <c r="O12" s="7">
        <f>+[2]Resumen!O12*1000</f>
        <v>229041.84179100001</v>
      </c>
      <c r="P12" s="7">
        <f>+[2]Resumen!P12*1000</f>
        <v>248551.65235800002</v>
      </c>
      <c r="Q12" s="7">
        <f>+[2]Resumen!Q12*1000</f>
        <v>259736.59226400004</v>
      </c>
      <c r="R12" s="7">
        <f>+[2]Resumen!R12*1000</f>
        <v>258748.80446999997</v>
      </c>
      <c r="S12" s="7">
        <f>+[2]Resumen!S12*1000</f>
        <v>251286.97799400002</v>
      </c>
      <c r="T12" s="7">
        <f>+[2]Resumen!T12*1000</f>
        <v>245146.381104</v>
      </c>
      <c r="U12" s="7">
        <f>+[2]Resumen!U12*1000</f>
        <v>242498.033991</v>
      </c>
      <c r="V12" s="7">
        <f>+[2]Resumen!V12*1000</f>
        <v>237796.95108000003</v>
      </c>
      <c r="W12" s="7">
        <f>+[2]Resumen!W12*1000</f>
        <v>219930.27975300004</v>
      </c>
      <c r="X12" s="7">
        <f>+[2]Resumen!X12*1000</f>
        <v>230045.37392399998</v>
      </c>
      <c r="Y12" s="7">
        <f>+[2]Resumen!Y12*1000</f>
        <v>237746.13045600001</v>
      </c>
      <c r="Z12" s="7">
        <f>+[2]Resumen!Z12*1000</f>
        <v>219326.63250300003</v>
      </c>
      <c r="AA12" s="7">
        <f>+[2]Resumen!AA12*1000</f>
        <v>194868.42265200001</v>
      </c>
      <c r="AB12" s="7">
        <f>+[2]Resumen!AB12*1000</f>
        <v>167985.04378800001</v>
      </c>
      <c r="AC12" s="7">
        <f>+[2]Resumen!AC12*1000</f>
        <v>142380.909606</v>
      </c>
      <c r="AD12" s="5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+[2]Resumen!F13*1000</f>
        <v>143518.798002</v>
      </c>
      <c r="G13" s="7">
        <f>+[2]Resumen!G13*1000</f>
        <v>125387.62635000001</v>
      </c>
      <c r="H13" s="7">
        <f>+[2]Resumen!H13*1000</f>
        <v>114268.26881400001</v>
      </c>
      <c r="I13" s="7">
        <f>+[2]Resumen!I13*1000</f>
        <v>108837.66011099999</v>
      </c>
      <c r="J13" s="7">
        <f>+[2]Resumen!J13*1000</f>
        <v>109750.35951900001</v>
      </c>
      <c r="K13" s="7">
        <f>+[2]Resumen!K13*1000</f>
        <v>116593.88363699999</v>
      </c>
      <c r="L13" s="7">
        <f>+[2]Resumen!L13*1000</f>
        <v>130257.06019500001</v>
      </c>
      <c r="M13" s="7">
        <f>+[2]Resumen!M13*1000</f>
        <v>128468.55051</v>
      </c>
      <c r="N13" s="7">
        <f>+[2]Resumen!N13*1000</f>
        <v>152135.902485</v>
      </c>
      <c r="O13" s="7">
        <f>+[2]Resumen!O13*1000</f>
        <v>170916.83470500002</v>
      </c>
      <c r="P13" s="7">
        <f>+[2]Resumen!P13*1000</f>
        <v>188017.58621400001</v>
      </c>
      <c r="Q13" s="7">
        <f>+[2]Resumen!Q13*1000</f>
        <v>205572.77556000001</v>
      </c>
      <c r="R13" s="7">
        <f>+[2]Resumen!R13*1000</f>
        <v>216569.76599099999</v>
      </c>
      <c r="S13" s="7">
        <f>+[2]Resumen!S13*1000</f>
        <v>214789.84066500003</v>
      </c>
      <c r="T13" s="7">
        <f>+[2]Resumen!T13*1000</f>
        <v>207581.45463000002</v>
      </c>
      <c r="U13" s="7">
        <f>+[2]Resumen!U13*1000</f>
        <v>205676.222037</v>
      </c>
      <c r="V13" s="7">
        <f>+[2]Resumen!V13*1000</f>
        <v>203761.77287399999</v>
      </c>
      <c r="W13" s="7">
        <f>+[2]Resumen!W13*1000</f>
        <v>187577.46072</v>
      </c>
      <c r="X13" s="7">
        <f>+[2]Resumen!X13*1000</f>
        <v>199924.03882800002</v>
      </c>
      <c r="Y13" s="7">
        <f>+[2]Resumen!Y13*1000</f>
        <v>220613.631291</v>
      </c>
      <c r="Z13" s="7">
        <f>+[2]Resumen!Z13*1000</f>
        <v>211818.41849700001</v>
      </c>
      <c r="AA13" s="7">
        <f>+[2]Resumen!AA13*1000</f>
        <v>194467.71513299999</v>
      </c>
      <c r="AB13" s="7">
        <f>+[2]Resumen!AB13*1000</f>
        <v>163726.24198200001</v>
      </c>
      <c r="AC13" s="7">
        <f>+[2]Resumen!AC13*1000</f>
        <v>132078.38391600002</v>
      </c>
      <c r="AD13" s="5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+[2]Resumen!F14*1000</f>
        <v>0</v>
      </c>
      <c r="G14" s="7">
        <f>+[2]Resumen!G14*1000</f>
        <v>0</v>
      </c>
      <c r="H14" s="7">
        <f>+[2]Resumen!H14*1000</f>
        <v>0</v>
      </c>
      <c r="I14" s="7">
        <f>+[2]Resumen!I14*1000</f>
        <v>0</v>
      </c>
      <c r="J14" s="7">
        <f>+[2]Resumen!J14*1000</f>
        <v>0</v>
      </c>
      <c r="K14" s="7">
        <f>+[2]Resumen!K14*1000</f>
        <v>0</v>
      </c>
      <c r="L14" s="7">
        <f>+[2]Resumen!L14*1000</f>
        <v>0</v>
      </c>
      <c r="M14" s="7">
        <f>+[2]Resumen!M14*1000</f>
        <v>0</v>
      </c>
      <c r="N14" s="7">
        <f>+[2]Resumen!N14*1000</f>
        <v>0</v>
      </c>
      <c r="O14" s="7">
        <f>+[2]Resumen!O14*1000</f>
        <v>0</v>
      </c>
      <c r="P14" s="7">
        <f>+[2]Resumen!P14*1000</f>
        <v>0</v>
      </c>
      <c r="Q14" s="7">
        <f>+[2]Resumen!Q14*1000</f>
        <v>0</v>
      </c>
      <c r="R14" s="7">
        <f>+[2]Resumen!R14*1000</f>
        <v>0</v>
      </c>
      <c r="S14" s="7">
        <f>+[2]Resumen!S14*1000</f>
        <v>0</v>
      </c>
      <c r="T14" s="7">
        <f>+[2]Resumen!T14*1000</f>
        <v>0</v>
      </c>
      <c r="U14" s="7">
        <f>+[2]Resumen!U14*1000</f>
        <v>0</v>
      </c>
      <c r="V14" s="7">
        <f>+[2]Resumen!V14*1000</f>
        <v>0</v>
      </c>
      <c r="W14" s="7">
        <f>+[2]Resumen!W14*1000</f>
        <v>0</v>
      </c>
      <c r="X14" s="7">
        <f>+[2]Resumen!X14*1000</f>
        <v>0</v>
      </c>
      <c r="Y14" s="7">
        <f>+[2]Resumen!Y14*1000</f>
        <v>0</v>
      </c>
      <c r="Z14" s="7">
        <f>+[2]Resumen!Z14*1000</f>
        <v>0</v>
      </c>
      <c r="AA14" s="7">
        <f>+[2]Resumen!AA14*1000</f>
        <v>0</v>
      </c>
      <c r="AB14" s="7">
        <f>+[2]Resumen!AB14*1000</f>
        <v>0</v>
      </c>
      <c r="AC14" s="7">
        <f>+[2]Resumen!AC14*1000</f>
        <v>0</v>
      </c>
      <c r="AD14" s="59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20</v>
      </c>
      <c r="F15" s="7">
        <f>+[2]Resumen!F15*1000</f>
        <v>113341.38655200001</v>
      </c>
      <c r="G15" s="7">
        <f>+[2]Resumen!G15*1000</f>
        <v>99310.301277000006</v>
      </c>
      <c r="H15" s="7">
        <f>+[2]Resumen!H15*1000</f>
        <v>91432.502814000007</v>
      </c>
      <c r="I15" s="7">
        <f>+[2]Resumen!I15*1000</f>
        <v>89602.137713999997</v>
      </c>
      <c r="J15" s="7">
        <f>+[2]Resumen!J15*1000</f>
        <v>94827.590139000007</v>
      </c>
      <c r="K15" s="7">
        <f>+[2]Resumen!K15*1000</f>
        <v>126965.07658199999</v>
      </c>
      <c r="L15" s="7">
        <f>+[2]Resumen!L15*1000</f>
        <v>148993.760496</v>
      </c>
      <c r="M15" s="7">
        <f>+[2]Resumen!M15*1000</f>
        <v>143269.28793300001</v>
      </c>
      <c r="N15" s="7">
        <f>+[2]Resumen!N15*1000</f>
        <v>160204.224969</v>
      </c>
      <c r="O15" s="7">
        <f>+[2]Resumen!O15*1000</f>
        <v>171791.01494400002</v>
      </c>
      <c r="P15" s="7">
        <f>+[2]Resumen!P15*1000</f>
        <v>187948.12679100002</v>
      </c>
      <c r="Q15" s="7">
        <f>+[2]Resumen!Q15*1000</f>
        <v>199130.157003</v>
      </c>
      <c r="R15" s="7">
        <f>+[2]Resumen!R15*1000</f>
        <v>199377.43529100003</v>
      </c>
      <c r="S15" s="7">
        <f>+[2]Resumen!S15*1000</f>
        <v>200759.21241000001</v>
      </c>
      <c r="T15" s="7">
        <f>+[2]Resumen!T15*1000</f>
        <v>207546.72872700001</v>
      </c>
      <c r="U15" s="7">
        <f>+[2]Resumen!U15*1000</f>
        <v>210244.46446799999</v>
      </c>
      <c r="V15" s="7">
        <f>+[2]Resumen!V15*1000</f>
        <v>202922.813643</v>
      </c>
      <c r="W15" s="7">
        <f>+[2]Resumen!W15*1000</f>
        <v>171734.184507</v>
      </c>
      <c r="X15" s="7">
        <f>+[2]Resumen!X15*1000</f>
        <v>169444.986561</v>
      </c>
      <c r="Y15" s="7">
        <f>+[2]Resumen!Y15*1000</f>
        <v>180459.20664600001</v>
      </c>
      <c r="Z15" s="7">
        <f>+[2]Resumen!Z15*1000</f>
        <v>170018.35623599999</v>
      </c>
      <c r="AA15" s="7">
        <f>+[2]Resumen!AA15*1000</f>
        <v>152989.78341900001</v>
      </c>
      <c r="AB15" s="7">
        <f>+[2]Resumen!AB15*1000</f>
        <v>126966.120111</v>
      </c>
      <c r="AC15" s="7">
        <f>+[2]Resumen!AC15*1000</f>
        <v>113642.50941300002</v>
      </c>
      <c r="AD15" s="57">
        <f t="shared" ref="AD15" si="0">SUM(F15:AC15)*E15+SUM(F16:AC16)*E16+SUM(F17:AC17)*E17+SUM(F18:AC18)*E18</f>
        <v>104893002.45035098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+[2]Resumen!F16*1000</f>
        <v>107964.46246500002</v>
      </c>
      <c r="G16" s="7">
        <f>+[2]Resumen!G16*1000</f>
        <v>92967.495888000005</v>
      </c>
      <c r="H16" s="7">
        <f>+[2]Resumen!H16*1000</f>
        <v>83944.946112000005</v>
      </c>
      <c r="I16" s="7">
        <f>+[2]Resumen!I16*1000</f>
        <v>79151.773671000003</v>
      </c>
      <c r="J16" s="7">
        <f>+[2]Resumen!J16*1000</f>
        <v>81136.253532000002</v>
      </c>
      <c r="K16" s="7">
        <f>+[2]Resumen!K16*1000</f>
        <v>88965.318429000006</v>
      </c>
      <c r="L16" s="7">
        <f>+[2]Resumen!L16*1000</f>
        <v>103584.75601800001</v>
      </c>
      <c r="M16" s="7">
        <f>+[2]Resumen!M16*1000</f>
        <v>107605.08478800002</v>
      </c>
      <c r="N16" s="7">
        <f>+[2]Resumen!N16*1000</f>
        <v>128822.65722299999</v>
      </c>
      <c r="O16" s="7">
        <f>+[2]Resumen!O16*1000</f>
        <v>143864.25180299999</v>
      </c>
      <c r="P16" s="7">
        <f>+[2]Resumen!P16*1000</f>
        <v>159962.85747300001</v>
      </c>
      <c r="Q16" s="7">
        <f>+[2]Resumen!Q16*1000</f>
        <v>168281.50504500003</v>
      </c>
      <c r="R16" s="7">
        <f>+[2]Resumen!R16*1000</f>
        <v>168767.987601</v>
      </c>
      <c r="S16" s="7">
        <f>+[2]Resumen!S16*1000</f>
        <v>165952.95006</v>
      </c>
      <c r="T16" s="7">
        <f>+[2]Resumen!T16*1000</f>
        <v>166147.67104800002</v>
      </c>
      <c r="U16" s="7">
        <f>+[2]Resumen!U16*1000</f>
        <v>165682.08192300002</v>
      </c>
      <c r="V16" s="7">
        <f>+[2]Resumen!V16*1000</f>
        <v>162996.86853000001</v>
      </c>
      <c r="W16" s="7">
        <f>+[2]Resumen!W16*1000</f>
        <v>151477.00913399999</v>
      </c>
      <c r="X16" s="7">
        <f>+[2]Resumen!X16*1000</f>
        <v>157885.27502100001</v>
      </c>
      <c r="Y16" s="7">
        <f>+[2]Resumen!Y16*1000</f>
        <v>157471.23775200002</v>
      </c>
      <c r="Z16" s="7">
        <f>+[2]Resumen!Z16*1000</f>
        <v>145968.143373</v>
      </c>
      <c r="AA16" s="7">
        <f>+[2]Resumen!AA16*1000</f>
        <v>131697.32825700002</v>
      </c>
      <c r="AB16" s="7">
        <f>+[2]Resumen!AB16*1000</f>
        <v>115232.855226</v>
      </c>
      <c r="AC16" s="7">
        <f>+[2]Resumen!AC16*1000</f>
        <v>97195.144163999998</v>
      </c>
      <c r="AD16" s="5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+[2]Resumen!F17*1000</f>
        <v>105494.67306600002</v>
      </c>
      <c r="G17" s="7">
        <f>+[2]Resumen!G17*1000</f>
        <v>92184.734883000012</v>
      </c>
      <c r="H17" s="7">
        <f>+[2]Resumen!H17*1000</f>
        <v>82264.727316000004</v>
      </c>
      <c r="I17" s="7">
        <f>+[2]Resumen!I17*1000</f>
        <v>77269.529184000014</v>
      </c>
      <c r="J17" s="7">
        <f>+[2]Resumen!J17*1000</f>
        <v>77995.086519000004</v>
      </c>
      <c r="K17" s="7">
        <f>+[2]Resumen!K17*1000</f>
        <v>81161.016399</v>
      </c>
      <c r="L17" s="7">
        <f>+[2]Resumen!L17*1000</f>
        <v>87758.313374999998</v>
      </c>
      <c r="M17" s="7">
        <f>+[2]Resumen!M17*1000</f>
        <v>82461.489660000007</v>
      </c>
      <c r="N17" s="7">
        <f>+[2]Resumen!N17*1000</f>
        <v>97524.381372000003</v>
      </c>
      <c r="O17" s="7">
        <f>+[2]Resumen!O17*1000</f>
        <v>109894.83877500001</v>
      </c>
      <c r="P17" s="7">
        <f>+[2]Resumen!P17*1000</f>
        <v>117429.87223800001</v>
      </c>
      <c r="Q17" s="7">
        <f>+[2]Resumen!Q17*1000</f>
        <v>126403.155258</v>
      </c>
      <c r="R17" s="7">
        <f>+[2]Resumen!R17*1000</f>
        <v>134924.316009</v>
      </c>
      <c r="S17" s="7">
        <f>+[2]Resumen!S17*1000</f>
        <v>138259.36614000003</v>
      </c>
      <c r="T17" s="7">
        <f>+[2]Resumen!T17*1000</f>
        <v>137817.39733199999</v>
      </c>
      <c r="U17" s="7">
        <f>+[2]Resumen!U17*1000</f>
        <v>135862.73802600001</v>
      </c>
      <c r="V17" s="7">
        <f>+[2]Resumen!V17*1000</f>
        <v>134731.69731300001</v>
      </c>
      <c r="W17" s="7">
        <f>+[2]Resumen!W17*1000</f>
        <v>120553.11645</v>
      </c>
      <c r="X17" s="7">
        <f>+[2]Resumen!X17*1000</f>
        <v>130382.428398</v>
      </c>
      <c r="Y17" s="7">
        <f>+[2]Resumen!Y17*1000</f>
        <v>140930.03868</v>
      </c>
      <c r="Z17" s="7">
        <f>+[2]Resumen!Z17*1000</f>
        <v>135793.05009300003</v>
      </c>
      <c r="AA17" s="7">
        <f>+[2]Resumen!AA17*1000</f>
        <v>125239.21672200001</v>
      </c>
      <c r="AB17" s="7">
        <f>+[2]Resumen!AB17*1000</f>
        <v>105013.354836</v>
      </c>
      <c r="AC17" s="7">
        <f>+[2]Resumen!AC17*1000</f>
        <v>81956.078859000001</v>
      </c>
      <c r="AD17" s="5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3</v>
      </c>
      <c r="F18" s="7">
        <f>+[2]Resumen!F18*1000</f>
        <v>96957.166233000011</v>
      </c>
      <c r="G18" s="7">
        <f>+[2]Resumen!G18*1000</f>
        <v>84721.666836000004</v>
      </c>
      <c r="H18" s="7">
        <f>+[2]Resumen!H18*1000</f>
        <v>77103.478584000011</v>
      </c>
      <c r="I18" s="7">
        <f>+[2]Resumen!I18*1000</f>
        <v>70388.224746000007</v>
      </c>
      <c r="J18" s="7">
        <f>+[2]Resumen!J18*1000</f>
        <v>72782.217378000001</v>
      </c>
      <c r="K18" s="7">
        <f>+[2]Resumen!K18*1000</f>
        <v>77741.249994000013</v>
      </c>
      <c r="L18" s="7">
        <f>+[2]Resumen!L18*1000</f>
        <v>86180.908845000013</v>
      </c>
      <c r="M18" s="7">
        <f>+[2]Resumen!M18*1000</f>
        <v>86701.172796000013</v>
      </c>
      <c r="N18" s="7">
        <f>+[2]Resumen!N18*1000</f>
        <v>99637.101045000003</v>
      </c>
      <c r="O18" s="7">
        <f>+[2]Resumen!O18*1000</f>
        <v>99924.33049800001</v>
      </c>
      <c r="P18" s="7">
        <f>+[2]Resumen!P18*1000</f>
        <v>95250.996318000005</v>
      </c>
      <c r="Q18" s="7">
        <f>+[2]Resumen!Q18*1000</f>
        <v>103471.73497200001</v>
      </c>
      <c r="R18" s="7">
        <f>+[2]Resumen!R18*1000</f>
        <v>113006.32233900002</v>
      </c>
      <c r="S18" s="7">
        <f>+[2]Resumen!S18*1000</f>
        <v>117782.37938100001</v>
      </c>
      <c r="T18" s="7">
        <f>+[2]Resumen!T18*1000</f>
        <v>117866.63101800001</v>
      </c>
      <c r="U18" s="7">
        <f>+[2]Resumen!U18*1000</f>
        <v>118276.85217000001</v>
      </c>
      <c r="V18" s="7">
        <f>+[2]Resumen!V18*1000</f>
        <v>117976.55194500001</v>
      </c>
      <c r="W18" s="7">
        <f>+[2]Resumen!W18*1000</f>
        <v>102414.40396800001</v>
      </c>
      <c r="X18" s="7">
        <f>+[2]Resumen!X18*1000</f>
        <v>108661.63124100001</v>
      </c>
      <c r="Y18" s="7">
        <f>+[2]Resumen!Y18*1000</f>
        <v>111378.904587</v>
      </c>
      <c r="Z18" s="7">
        <f>+[2]Resumen!Z18*1000</f>
        <v>101906.47194000002</v>
      </c>
      <c r="AA18" s="7">
        <f>+[2]Resumen!AA18*1000</f>
        <v>100953.44813399999</v>
      </c>
      <c r="AB18" s="7">
        <f>+[2]Resumen!AB18*1000</f>
        <v>100848.440172</v>
      </c>
      <c r="AC18" s="7">
        <f>+[2]Resumen!AC18*1000</f>
        <v>93552.032085000013</v>
      </c>
      <c r="AD18" s="59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22</v>
      </c>
      <c r="F19" s="7">
        <f>+[2]Resumen!F19*1000</f>
        <v>111767.55439500001</v>
      </c>
      <c r="G19" s="7">
        <f>+[2]Resumen!G19*1000</f>
        <v>98873.671986000001</v>
      </c>
      <c r="H19" s="7">
        <f>+[2]Resumen!H19*1000</f>
        <v>91876.992849000002</v>
      </c>
      <c r="I19" s="7">
        <f>+[2]Resumen!I19*1000</f>
        <v>91489.554144000009</v>
      </c>
      <c r="J19" s="7">
        <f>+[2]Resumen!J19*1000</f>
        <v>103887.379428</v>
      </c>
      <c r="K19" s="7">
        <f>+[2]Resumen!K19*1000</f>
        <v>147957.91704900001</v>
      </c>
      <c r="L19" s="7">
        <f>+[2]Resumen!L19*1000</f>
        <v>174706.73399100002</v>
      </c>
      <c r="M19" s="7">
        <f>+[2]Resumen!M19*1000</f>
        <v>164771.583828</v>
      </c>
      <c r="N19" s="7">
        <f>+[2]Resumen!N19*1000</f>
        <v>179202.40926300001</v>
      </c>
      <c r="O19" s="7">
        <f>+[2]Resumen!O19*1000</f>
        <v>190417.13925599999</v>
      </c>
      <c r="P19" s="7">
        <f>+[2]Resumen!P19*1000</f>
        <v>209127.69039600002</v>
      </c>
      <c r="Q19" s="7">
        <f>+[2]Resumen!Q19*1000</f>
        <v>221127.07802700001</v>
      </c>
      <c r="R19" s="7">
        <f>+[2]Resumen!R19*1000</f>
        <v>219061.70562600004</v>
      </c>
      <c r="S19" s="7">
        <f>+[2]Resumen!S19*1000</f>
        <v>219738.773139</v>
      </c>
      <c r="T19" s="7">
        <f>+[2]Resumen!T19*1000</f>
        <v>228191.639868</v>
      </c>
      <c r="U19" s="7">
        <f>+[2]Resumen!U19*1000</f>
        <v>230335.81775100002</v>
      </c>
      <c r="V19" s="7">
        <f>+[2]Resumen!V19*1000</f>
        <v>222557.786754</v>
      </c>
      <c r="W19" s="7">
        <f>+[2]Resumen!W19*1000</f>
        <v>198126.990486</v>
      </c>
      <c r="X19" s="7">
        <f>+[2]Resumen!X19*1000</f>
        <v>203292.10103700001</v>
      </c>
      <c r="Y19" s="7">
        <f>+[2]Resumen!Y19*1000</f>
        <v>208650.50058000002</v>
      </c>
      <c r="Z19" s="7">
        <f>+[2]Resumen!Z19*1000</f>
        <v>193760.52238499999</v>
      </c>
      <c r="AA19" s="7">
        <f>+[2]Resumen!AA19*1000</f>
        <v>171131.50461600002</v>
      </c>
      <c r="AB19" s="7">
        <f>+[2]Resumen!AB19*1000</f>
        <v>133367.27172000002</v>
      </c>
      <c r="AC19" s="7">
        <f>+[2]Resumen!AC19*1000</f>
        <v>113022.660804</v>
      </c>
      <c r="AD19" s="57">
        <f t="shared" ref="AD19" si="1">SUM(F19:AC19)*E19+SUM(F20:AC20)*E20+SUM(F21:AC21)*E21+SUM(F22:AC22)*E22</f>
        <v>118947062.49398401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+[2]Resumen!F20*1000</f>
        <v>119958.45726</v>
      </c>
      <c r="G20" s="7">
        <f>+[2]Resumen!G20*1000</f>
        <v>107505.12689700001</v>
      </c>
      <c r="H20" s="7">
        <f>+[2]Resumen!H20*1000</f>
        <v>95121.248340000006</v>
      </c>
      <c r="I20" s="7">
        <f>+[2]Resumen!I20*1000</f>
        <v>91683.566751000006</v>
      </c>
      <c r="J20" s="7">
        <f>+[2]Resumen!J20*1000</f>
        <v>98874.669813</v>
      </c>
      <c r="K20" s="7">
        <f>+[2]Resumen!K20*1000</f>
        <v>115729.75783800002</v>
      </c>
      <c r="L20" s="7">
        <f>+[2]Resumen!L20*1000</f>
        <v>147326.36111100001</v>
      </c>
      <c r="M20" s="7">
        <f>+[2]Resumen!M20*1000</f>
        <v>160960.532133</v>
      </c>
      <c r="N20" s="7">
        <f>+[2]Resumen!N20*1000</f>
        <v>186055.94211900001</v>
      </c>
      <c r="O20" s="7">
        <f>+[2]Resumen!O20*1000</f>
        <v>203280.85834499999</v>
      </c>
      <c r="P20" s="7">
        <f>+[2]Resumen!P20*1000</f>
        <v>217161.93442199999</v>
      </c>
      <c r="Q20" s="7">
        <f>+[2]Resumen!Q20*1000</f>
        <v>226643.88070200002</v>
      </c>
      <c r="R20" s="7">
        <f>+[2]Resumen!R20*1000</f>
        <v>224511.94333800001</v>
      </c>
      <c r="S20" s="7">
        <f>+[2]Resumen!S20*1000</f>
        <v>214999.55952600003</v>
      </c>
      <c r="T20" s="7">
        <f>+[2]Resumen!T20*1000</f>
        <v>211393.66410900003</v>
      </c>
      <c r="U20" s="7">
        <f>+[2]Resumen!U20*1000</f>
        <v>206263.28707800002</v>
      </c>
      <c r="V20" s="7">
        <f>+[2]Resumen!V20*1000</f>
        <v>203522.081118</v>
      </c>
      <c r="W20" s="7">
        <f>+[2]Resumen!W20*1000</f>
        <v>191517.552012</v>
      </c>
      <c r="X20" s="7">
        <f>+[2]Resumen!X20*1000</f>
        <v>201581.76462300002</v>
      </c>
      <c r="Y20" s="7">
        <f>+[2]Resumen!Y20*1000</f>
        <v>197794.05141600003</v>
      </c>
      <c r="Z20" s="7">
        <f>+[2]Resumen!Z20*1000</f>
        <v>179824.42110000001</v>
      </c>
      <c r="AA20" s="7">
        <f>+[2]Resumen!AA20*1000</f>
        <v>159436.98741</v>
      </c>
      <c r="AB20" s="7">
        <f>+[2]Resumen!AB20*1000</f>
        <v>133301.53701</v>
      </c>
      <c r="AC20" s="7">
        <f>+[2]Resumen!AC20*1000</f>
        <v>108852.29998499999</v>
      </c>
      <c r="AD20" s="5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+[2]Resumen!F21*1000</f>
        <v>115356.243009</v>
      </c>
      <c r="G21" s="7">
        <f>+[2]Resumen!G21*1000</f>
        <v>99824.128863000005</v>
      </c>
      <c r="H21" s="7">
        <f>+[2]Resumen!H21*1000</f>
        <v>89159.986098000008</v>
      </c>
      <c r="I21" s="7">
        <f>+[2]Resumen!I21*1000</f>
        <v>83360.82123300001</v>
      </c>
      <c r="J21" s="7">
        <f>+[2]Resumen!J21*1000</f>
        <v>83602.104942000005</v>
      </c>
      <c r="K21" s="7">
        <f>+[2]Resumen!K21*1000</f>
        <v>88470.274365000005</v>
      </c>
      <c r="L21" s="7">
        <f>+[2]Resumen!L21*1000</f>
        <v>100309.75831500001</v>
      </c>
      <c r="M21" s="7">
        <f>+[2]Resumen!M21*1000</f>
        <v>97102.27008300001</v>
      </c>
      <c r="N21" s="7">
        <f>+[2]Resumen!N21*1000</f>
        <v>114499.13246700002</v>
      </c>
      <c r="O21" s="7">
        <f>+[2]Resumen!O21*1000</f>
        <v>126288.05477100001</v>
      </c>
      <c r="P21" s="7">
        <f>+[2]Resumen!P21*1000</f>
        <v>138621.38691600002</v>
      </c>
      <c r="Q21" s="7">
        <f>+[2]Resumen!Q21*1000</f>
        <v>153528.65570100001</v>
      </c>
      <c r="R21" s="7">
        <f>+[2]Resumen!R21*1000</f>
        <v>158654.27972400002</v>
      </c>
      <c r="S21" s="7">
        <f>+[2]Resumen!S21*1000</f>
        <v>160539.38820300001</v>
      </c>
      <c r="T21" s="7">
        <f>+[2]Resumen!T21*1000</f>
        <v>155516.96691300001</v>
      </c>
      <c r="U21" s="7">
        <f>+[2]Resumen!U21*1000</f>
        <v>155243.242401</v>
      </c>
      <c r="V21" s="7">
        <f>+[2]Resumen!V21*1000</f>
        <v>154155.01684500001</v>
      </c>
      <c r="W21" s="7">
        <f>+[2]Resumen!W21*1000</f>
        <v>142838.94266700002</v>
      </c>
      <c r="X21" s="7">
        <f>+[2]Resumen!X21*1000</f>
        <v>157665.59312400001</v>
      </c>
      <c r="Y21" s="7">
        <f>+[2]Resumen!Y21*1000</f>
        <v>160852.27932900001</v>
      </c>
      <c r="Z21" s="7">
        <f>+[2]Resumen!Z21*1000</f>
        <v>154868.37174600002</v>
      </c>
      <c r="AA21" s="7">
        <f>+[2]Resumen!AA21*1000</f>
        <v>140195.33332800001</v>
      </c>
      <c r="AB21" s="7">
        <f>+[2]Resumen!AB21*1000</f>
        <v>118017.68374500002</v>
      </c>
      <c r="AC21" s="7">
        <f>+[2]Resumen!AC21*1000</f>
        <v>89357.837673000002</v>
      </c>
      <c r="AD21" s="5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0</v>
      </c>
      <c r="F22" s="7">
        <f>+[2]Resumen!F22*1000</f>
        <v>0</v>
      </c>
      <c r="G22" s="7">
        <f>+[2]Resumen!G22*1000</f>
        <v>0</v>
      </c>
      <c r="H22" s="7">
        <f>+[2]Resumen!H22*1000</f>
        <v>0</v>
      </c>
      <c r="I22" s="7">
        <f>+[2]Resumen!I22*1000</f>
        <v>0</v>
      </c>
      <c r="J22" s="7">
        <f>+[2]Resumen!J22*1000</f>
        <v>0</v>
      </c>
      <c r="K22" s="7">
        <f>+[2]Resumen!K22*1000</f>
        <v>0</v>
      </c>
      <c r="L22" s="7">
        <f>+[2]Resumen!L22*1000</f>
        <v>0</v>
      </c>
      <c r="M22" s="7">
        <f>+[2]Resumen!M22*1000</f>
        <v>0</v>
      </c>
      <c r="N22" s="7">
        <f>+[2]Resumen!N22*1000</f>
        <v>0</v>
      </c>
      <c r="O22" s="7">
        <f>+[2]Resumen!O22*1000</f>
        <v>0</v>
      </c>
      <c r="P22" s="7">
        <f>+[2]Resumen!P22*1000</f>
        <v>0</v>
      </c>
      <c r="Q22" s="7">
        <f>+[2]Resumen!Q22*1000</f>
        <v>0</v>
      </c>
      <c r="R22" s="7">
        <f>+[2]Resumen!R22*1000</f>
        <v>0</v>
      </c>
      <c r="S22" s="7">
        <f>+[2]Resumen!S22*1000</f>
        <v>0</v>
      </c>
      <c r="T22" s="7">
        <f>+[2]Resumen!T22*1000</f>
        <v>0</v>
      </c>
      <c r="U22" s="7">
        <f>+[2]Resumen!U22*1000</f>
        <v>0</v>
      </c>
      <c r="V22" s="7">
        <f>+[2]Resumen!V22*1000</f>
        <v>0</v>
      </c>
      <c r="W22" s="7">
        <f>+[2]Resumen!W22*1000</f>
        <v>0</v>
      </c>
      <c r="X22" s="7">
        <f>+[2]Resumen!X22*1000</f>
        <v>0</v>
      </c>
      <c r="Y22" s="7">
        <f>+[2]Resumen!Y22*1000</f>
        <v>0</v>
      </c>
      <c r="Z22" s="7">
        <f>+[2]Resumen!Z22*1000</f>
        <v>0</v>
      </c>
      <c r="AA22" s="7">
        <f>+[2]Resumen!AA22*1000</f>
        <v>0</v>
      </c>
      <c r="AB22" s="7">
        <f>+[2]Resumen!AB22*1000</f>
        <v>0</v>
      </c>
      <c r="AC22" s="7">
        <f>+[2]Resumen!AC22*1000</f>
        <v>0</v>
      </c>
      <c r="AD22" s="59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19</v>
      </c>
      <c r="F23" s="7">
        <f>+[2]Resumen!F23*1000</f>
        <v>90690.454674000008</v>
      </c>
      <c r="G23" s="7">
        <f>+[2]Resumen!G23*1000</f>
        <v>73819.683246000001</v>
      </c>
      <c r="H23" s="7">
        <f>+[2]Resumen!H23*1000</f>
        <v>64953.01537500001</v>
      </c>
      <c r="I23" s="7">
        <f>+[2]Resumen!I23*1000</f>
        <v>61046.134203000001</v>
      </c>
      <c r="J23" s="7">
        <f>+[2]Resumen!J23*1000</f>
        <v>55625.488536000004</v>
      </c>
      <c r="K23" s="7">
        <f>+[2]Resumen!K23*1000</f>
        <v>53551.447989</v>
      </c>
      <c r="L23" s="7">
        <f>+[2]Resumen!L23*1000</f>
        <v>71946.579159000001</v>
      </c>
      <c r="M23" s="7">
        <f>+[2]Resumen!M23*1000</f>
        <v>87920.806836000003</v>
      </c>
      <c r="N23" s="7">
        <f>+[2]Resumen!N23*1000</f>
        <v>119534.236062</v>
      </c>
      <c r="O23" s="7">
        <f>+[2]Resumen!O23*1000</f>
        <v>139354.28703900002</v>
      </c>
      <c r="P23" s="7">
        <f>+[2]Resumen!P23*1000</f>
        <v>154035.23952</v>
      </c>
      <c r="Q23" s="7">
        <f>+[2]Resumen!Q23*1000</f>
        <v>171976.07757600001</v>
      </c>
      <c r="R23" s="7">
        <f>+[2]Resumen!R23*1000</f>
        <v>188155.217787</v>
      </c>
      <c r="S23" s="7">
        <f>+[2]Resumen!S23*1000</f>
        <v>180043.98112500002</v>
      </c>
      <c r="T23" s="7">
        <f>+[2]Resumen!T23*1000</f>
        <v>164864.13799500003</v>
      </c>
      <c r="U23" s="7">
        <f>+[2]Resumen!U23*1000</f>
        <v>154841.02671600002</v>
      </c>
      <c r="V23" s="7">
        <f>+[2]Resumen!V23*1000</f>
        <v>146741.19270300001</v>
      </c>
      <c r="W23" s="7">
        <f>+[2]Resumen!W23*1000</f>
        <v>133463.581068</v>
      </c>
      <c r="X23" s="7">
        <f>+[2]Resumen!X23*1000</f>
        <v>151035.16219800001</v>
      </c>
      <c r="Y23" s="7">
        <f>+[2]Resumen!Y23*1000</f>
        <v>159992.69326199999</v>
      </c>
      <c r="Z23" s="7">
        <f>+[2]Resumen!Z23*1000</f>
        <v>144243.31942499999</v>
      </c>
      <c r="AA23" s="7">
        <f>+[2]Resumen!AA23*1000</f>
        <v>125599.91214000001</v>
      </c>
      <c r="AB23" s="7">
        <f>+[2]Resumen!AB23*1000</f>
        <v>99117.964410000015</v>
      </c>
      <c r="AC23" s="7">
        <f>+[2]Resumen!AC23*1000</f>
        <v>79637.974398000006</v>
      </c>
      <c r="AD23" s="57">
        <f t="shared" ref="AD23" si="2">SUM(F23:AC23)*E23+SUM(F24:AC24)*E24+SUM(F25:AC25)*E25+SUM(F26:AC26)*E26</f>
        <v>106819398.230406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+[2]Resumen!F24*1000</f>
        <v>53036.378832000009</v>
      </c>
      <c r="G24" s="7">
        <f>+[2]Resumen!G24*1000</f>
        <v>45739.064322000006</v>
      </c>
      <c r="H24" s="7">
        <f>+[2]Resumen!H24*1000</f>
        <v>40252.752498000002</v>
      </c>
      <c r="I24" s="7">
        <f>+[2]Resumen!I24*1000</f>
        <v>42449.716191000007</v>
      </c>
      <c r="J24" s="7">
        <f>+[2]Resumen!J24*1000</f>
        <v>59196.452390999999</v>
      </c>
      <c r="K24" s="7">
        <f>+[2]Resumen!K24*1000</f>
        <v>88540.046085000009</v>
      </c>
      <c r="L24" s="7">
        <f>+[2]Resumen!L24*1000</f>
        <v>139151.93381700001</v>
      </c>
      <c r="M24" s="7">
        <f>+[2]Resumen!M24*1000</f>
        <v>157722.78156</v>
      </c>
      <c r="N24" s="7">
        <f>+[2]Resumen!N24*1000</f>
        <v>180477.403659</v>
      </c>
      <c r="O24" s="7">
        <f>+[2]Resumen!O24*1000</f>
        <v>192242.987475</v>
      </c>
      <c r="P24" s="7">
        <f>+[2]Resumen!P24*1000</f>
        <v>209981.31235200001</v>
      </c>
      <c r="Q24" s="7">
        <f>+[2]Resumen!Q24*1000</f>
        <v>235658.01369299999</v>
      </c>
      <c r="R24" s="7">
        <f>+[2]Resumen!R24*1000</f>
        <v>250982.09233499999</v>
      </c>
      <c r="S24" s="7">
        <f>+[2]Resumen!S24*1000</f>
        <v>242142.39626100002</v>
      </c>
      <c r="T24" s="7">
        <f>+[2]Resumen!T24*1000</f>
        <v>250455.270147</v>
      </c>
      <c r="U24" s="7">
        <f>+[2]Resumen!U24*1000</f>
        <v>249206.33350800001</v>
      </c>
      <c r="V24" s="7">
        <f>+[2]Resumen!V24*1000</f>
        <v>236684.02359299999</v>
      </c>
      <c r="W24" s="7">
        <f>+[2]Resumen!W24*1000</f>
        <v>200841.87971100002</v>
      </c>
      <c r="X24" s="7">
        <f>+[2]Resumen!X24*1000</f>
        <v>215537.83768200004</v>
      </c>
      <c r="Y24" s="7">
        <f>+[2]Resumen!Y24*1000</f>
        <v>236089.60814699999</v>
      </c>
      <c r="Z24" s="7">
        <f>+[2]Resumen!Z24*1000</f>
        <v>209402.71741500002</v>
      </c>
      <c r="AA24" s="7">
        <f>+[2]Resumen!AA24*1000</f>
        <v>175946.20269900002</v>
      </c>
      <c r="AB24" s="7">
        <f>+[2]Resumen!AB24*1000</f>
        <v>120009.38452200001</v>
      </c>
      <c r="AC24" s="7">
        <f>+[2]Resumen!AC24*1000</f>
        <v>71876.396121000012</v>
      </c>
      <c r="AD24" s="5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5</v>
      </c>
      <c r="F25" s="7">
        <f>+[2]Resumen!F25*1000</f>
        <v>72477.720186000006</v>
      </c>
      <c r="G25" s="7">
        <f>+[2]Resumen!G25*1000</f>
        <v>63715.108152000001</v>
      </c>
      <c r="H25" s="7">
        <f>+[2]Resumen!H25*1000</f>
        <v>57695.682498000002</v>
      </c>
      <c r="I25" s="7">
        <f>+[2]Resumen!I25*1000</f>
        <v>60232.600517999999</v>
      </c>
      <c r="J25" s="7">
        <f>+[2]Resumen!J25*1000</f>
        <v>87434.857470000003</v>
      </c>
      <c r="K25" s="7">
        <f>+[2]Resumen!K25*1000</f>
        <v>127702.94298900002</v>
      </c>
      <c r="L25" s="7">
        <f>+[2]Resumen!L25*1000</f>
        <v>193545.517326</v>
      </c>
      <c r="M25" s="7">
        <f>+[2]Resumen!M25*1000</f>
        <v>224754.10300200002</v>
      </c>
      <c r="N25" s="7">
        <f>+[2]Resumen!N25*1000</f>
        <v>252745.81630200002</v>
      </c>
      <c r="O25" s="7">
        <f>+[2]Resumen!O25*1000</f>
        <v>259980.30579600003</v>
      </c>
      <c r="P25" s="7">
        <f>+[2]Resumen!P25*1000</f>
        <v>279805.97050200001</v>
      </c>
      <c r="Q25" s="7">
        <f>+[2]Resumen!Q25*1000</f>
        <v>302655.41663400002</v>
      </c>
      <c r="R25" s="7">
        <f>+[2]Resumen!R25*1000</f>
        <v>314076.99387900002</v>
      </c>
      <c r="S25" s="7">
        <f>+[2]Resumen!S25*1000</f>
        <v>298388.24374499999</v>
      </c>
      <c r="T25" s="7">
        <f>+[2]Resumen!T25*1000</f>
        <v>292402.50046500005</v>
      </c>
      <c r="U25" s="7">
        <f>+[2]Resumen!U25*1000</f>
        <v>291317.42834699998</v>
      </c>
      <c r="V25" s="7">
        <f>+[2]Resumen!V25*1000</f>
        <v>276228.07517700002</v>
      </c>
      <c r="W25" s="7">
        <f>+[2]Resumen!W25*1000</f>
        <v>238616.22798300002</v>
      </c>
      <c r="X25" s="7">
        <f>+[2]Resumen!X25*1000</f>
        <v>253777.96550400002</v>
      </c>
      <c r="Y25" s="7">
        <f>+[2]Resumen!Y25*1000</f>
        <v>272129.30654100003</v>
      </c>
      <c r="Z25" s="7">
        <f>+[2]Resumen!Z25*1000</f>
        <v>235479.075129</v>
      </c>
      <c r="AA25" s="7">
        <f>+[2]Resumen!AA25*1000</f>
        <v>196112.88049500002</v>
      </c>
      <c r="AB25" s="7">
        <f>+[2]Resumen!AB25*1000</f>
        <v>145735.03270499999</v>
      </c>
      <c r="AC25" s="7">
        <f>+[2]Resumen!AC25*1000</f>
        <v>96473.783796000003</v>
      </c>
      <c r="AD25" s="5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3</v>
      </c>
      <c r="F26" s="7">
        <f>+[2]Resumen!F26*1000</f>
        <v>85548.636909000008</v>
      </c>
      <c r="G26" s="7">
        <f>+[2]Resumen!G26*1000</f>
        <v>70010.459631000005</v>
      </c>
      <c r="H26" s="7">
        <f>+[2]Resumen!H26*1000</f>
        <v>62449.132284000007</v>
      </c>
      <c r="I26" s="7">
        <f>+[2]Resumen!I26*1000</f>
        <v>62920.357989000004</v>
      </c>
      <c r="J26" s="7">
        <f>+[2]Resumen!J26*1000</f>
        <v>79781.410125000009</v>
      </c>
      <c r="K26" s="7">
        <f>+[2]Resumen!K26*1000</f>
        <v>103475.87100300001</v>
      </c>
      <c r="L26" s="7">
        <f>+[2]Resumen!L26*1000</f>
        <v>149617.28049900001</v>
      </c>
      <c r="M26" s="7">
        <f>+[2]Resumen!M26*1000</f>
        <v>172447.20426</v>
      </c>
      <c r="N26" s="7">
        <f>+[2]Resumen!N26*1000</f>
        <v>196399.44726900003</v>
      </c>
      <c r="O26" s="7">
        <f>+[2]Resumen!O26*1000</f>
        <v>210891.239172</v>
      </c>
      <c r="P26" s="7">
        <f>+[2]Resumen!P26*1000</f>
        <v>230726.31849000003</v>
      </c>
      <c r="Q26" s="7">
        <f>+[2]Resumen!Q26*1000</f>
        <v>248948.6961</v>
      </c>
      <c r="R26" s="7">
        <f>+[2]Resumen!R26*1000</f>
        <v>251744.18080200002</v>
      </c>
      <c r="S26" s="7">
        <f>+[2]Resumen!S26*1000</f>
        <v>240297.49030800001</v>
      </c>
      <c r="T26" s="7">
        <f>+[2]Resumen!T26*1000</f>
        <v>239573.32688400004</v>
      </c>
      <c r="U26" s="7">
        <f>+[2]Resumen!U26*1000</f>
        <v>240295.37278200002</v>
      </c>
      <c r="V26" s="7">
        <f>+[2]Resumen!V26*1000</f>
        <v>224905.20143099999</v>
      </c>
      <c r="W26" s="7">
        <f>+[2]Resumen!W26*1000</f>
        <v>188326.249905</v>
      </c>
      <c r="X26" s="7">
        <f>+[2]Resumen!X26*1000</f>
        <v>202941.19346400001</v>
      </c>
      <c r="Y26" s="7">
        <f>+[2]Resumen!Y26*1000</f>
        <v>216458.56540799999</v>
      </c>
      <c r="Z26" s="7">
        <f>+[2]Resumen!Z26*1000</f>
        <v>192993.818016</v>
      </c>
      <c r="AA26" s="7">
        <f>+[2]Resumen!AA26*1000</f>
        <v>165296.43321300001</v>
      </c>
      <c r="AB26" s="7">
        <f>+[2]Resumen!AB26*1000</f>
        <v>132759.32086500002</v>
      </c>
      <c r="AC26" s="7">
        <f>+[2]Resumen!AC26*1000</f>
        <v>86488.079603999999</v>
      </c>
      <c r="AD26" s="59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21</v>
      </c>
      <c r="F27" s="7">
        <f>+[2]Resumen!F27*1000</f>
        <v>117079.45977000002</v>
      </c>
      <c r="G27" s="7">
        <f>+[2]Resumen!G27*1000</f>
        <v>103122.57930899999</v>
      </c>
      <c r="H27" s="7">
        <f>+[2]Resumen!H27*1000</f>
        <v>94960.369683000012</v>
      </c>
      <c r="I27" s="7">
        <f>+[2]Resumen!I27*1000</f>
        <v>95173.935129000005</v>
      </c>
      <c r="J27" s="7">
        <f>+[2]Resumen!J27*1000</f>
        <v>103169.12679600001</v>
      </c>
      <c r="K27" s="7">
        <f>+[2]Resumen!K27*1000</f>
        <v>129138.26000099999</v>
      </c>
      <c r="L27" s="7">
        <f>+[2]Resumen!L27*1000</f>
        <v>158554.73315100002</v>
      </c>
      <c r="M27" s="7">
        <f>+[2]Resumen!M27*1000</f>
        <v>162976.93484100001</v>
      </c>
      <c r="N27" s="7">
        <f>+[2]Resumen!N27*1000</f>
        <v>184301.25191400002</v>
      </c>
      <c r="O27" s="7">
        <f>+[2]Resumen!O27*1000</f>
        <v>194616.27710100001</v>
      </c>
      <c r="P27" s="7">
        <f>+[2]Resumen!P27*1000</f>
        <v>211336.01865300004</v>
      </c>
      <c r="Q27" s="7">
        <f>+[2]Resumen!Q27*1000</f>
        <v>226091.43492600005</v>
      </c>
      <c r="R27" s="7">
        <f>+[2]Resumen!R27*1000</f>
        <v>231389.72110500003</v>
      </c>
      <c r="S27" s="7">
        <f>+[2]Resumen!S27*1000</f>
        <v>229979.32691700003</v>
      </c>
      <c r="T27" s="7">
        <f>+[2]Resumen!T27*1000</f>
        <v>235414.848585</v>
      </c>
      <c r="U27" s="7">
        <f>+[2]Resumen!U27*1000</f>
        <v>236085.79203000004</v>
      </c>
      <c r="V27" s="7">
        <f>+[2]Resumen!V27*1000</f>
        <v>227380.11707100002</v>
      </c>
      <c r="W27" s="7">
        <f>+[2]Resumen!W27*1000</f>
        <v>201816.09401100004</v>
      </c>
      <c r="X27" s="7">
        <f>+[2]Resumen!X27*1000</f>
        <v>204261.95079600002</v>
      </c>
      <c r="Y27" s="7">
        <f>+[2]Resumen!Y27*1000</f>
        <v>210352.47352800003</v>
      </c>
      <c r="Z27" s="7">
        <f>+[2]Resumen!Z27*1000</f>
        <v>193792.285275</v>
      </c>
      <c r="AA27" s="7">
        <f>+[2]Resumen!AA27*1000</f>
        <v>170695.28664300003</v>
      </c>
      <c r="AB27" s="7">
        <f>+[2]Resumen!AB27*1000</f>
        <v>138651.61878900003</v>
      </c>
      <c r="AC27" s="7">
        <f>+[2]Resumen!AC27*1000</f>
        <v>118972.61941800002</v>
      </c>
      <c r="AD27" s="57">
        <f t="shared" ref="AD27" si="3">SUM(F27:AC27)*E27+SUM(F28:AC28)*E28+SUM(F29:AC29)*E29+SUM(F30:AC30)*E30</f>
        <v>118724088.71239199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+[2]Resumen!F28*1000</f>
        <v>120889.58219100001</v>
      </c>
      <c r="G28" s="7">
        <f>+[2]Resumen!G28*1000</f>
        <v>104524.328202</v>
      </c>
      <c r="H28" s="7">
        <f>+[2]Resumen!H28*1000</f>
        <v>97221.201921000014</v>
      </c>
      <c r="I28" s="7">
        <f>+[2]Resumen!I28*1000</f>
        <v>92580.422799000007</v>
      </c>
      <c r="J28" s="7">
        <f>+[2]Resumen!J28*1000</f>
        <v>98526.946146000002</v>
      </c>
      <c r="K28" s="7">
        <f>+[2]Resumen!K28*1000</f>
        <v>110878.55147400001</v>
      </c>
      <c r="L28" s="7">
        <f>+[2]Resumen!L28*1000</f>
        <v>138102.23504700002</v>
      </c>
      <c r="M28" s="7">
        <f>+[2]Resumen!M28*1000</f>
        <v>141192.71092500002</v>
      </c>
      <c r="N28" s="7">
        <f>+[2]Resumen!N28*1000</f>
        <v>161964.43749900002</v>
      </c>
      <c r="O28" s="7">
        <f>+[2]Resumen!O28*1000</f>
        <v>177499.826955</v>
      </c>
      <c r="P28" s="7">
        <f>+[2]Resumen!P28*1000</f>
        <v>192005.93881800002</v>
      </c>
      <c r="Q28" s="7">
        <f>+[2]Resumen!Q28*1000</f>
        <v>201051.84231599999</v>
      </c>
      <c r="R28" s="7">
        <f>+[2]Resumen!R28*1000</f>
        <v>197902.07571</v>
      </c>
      <c r="S28" s="7">
        <f>+[2]Resumen!S28*1000</f>
        <v>191124.30153600001</v>
      </c>
      <c r="T28" s="7">
        <f>+[2]Resumen!T28*1000</f>
        <v>190989.48063599999</v>
      </c>
      <c r="U28" s="7">
        <f>+[2]Resumen!U28*1000</f>
        <v>195400.59197400001</v>
      </c>
      <c r="V28" s="7">
        <f>+[2]Resumen!V28*1000</f>
        <v>193152.00025500002</v>
      </c>
      <c r="W28" s="7">
        <f>+[2]Resumen!W28*1000</f>
        <v>182507.04471300001</v>
      </c>
      <c r="X28" s="7">
        <f>+[2]Resumen!X28*1000</f>
        <v>189601.853661</v>
      </c>
      <c r="Y28" s="7">
        <f>+[2]Resumen!Y28*1000</f>
        <v>195602.02353900002</v>
      </c>
      <c r="Z28" s="7">
        <f>+[2]Resumen!Z28*1000</f>
        <v>178713.51211800001</v>
      </c>
      <c r="AA28" s="7">
        <f>+[2]Resumen!AA28*1000</f>
        <v>157178.70686700003</v>
      </c>
      <c r="AB28" s="7">
        <f>+[2]Resumen!AB28*1000</f>
        <v>133779.83890800001</v>
      </c>
      <c r="AC28" s="7">
        <f>+[2]Resumen!AC28*1000</f>
        <v>112517.417577</v>
      </c>
      <c r="AD28" s="5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+[2]Resumen!F29*1000</f>
        <v>122395.615431</v>
      </c>
      <c r="G29" s="7">
        <f>+[2]Resumen!G29*1000</f>
        <v>107874.871311</v>
      </c>
      <c r="H29" s="7">
        <f>+[2]Resumen!H29*1000</f>
        <v>96223.138794000013</v>
      </c>
      <c r="I29" s="7">
        <f>+[2]Resumen!I29*1000</f>
        <v>89756.31341100001</v>
      </c>
      <c r="J29" s="7">
        <f>+[2]Resumen!J29*1000</f>
        <v>89391.497196000011</v>
      </c>
      <c r="K29" s="7">
        <f>+[2]Resumen!K29*1000</f>
        <v>93325.532973000008</v>
      </c>
      <c r="L29" s="7">
        <f>+[2]Resumen!L29*1000</f>
        <v>101214.29229900001</v>
      </c>
      <c r="M29" s="7">
        <f>+[2]Resumen!M29*1000</f>
        <v>96848.494494000013</v>
      </c>
      <c r="N29" s="7">
        <f>+[2]Resumen!N29*1000</f>
        <v>112100.318274</v>
      </c>
      <c r="O29" s="7">
        <f>+[2]Resumen!O29*1000</f>
        <v>126126.33824400001</v>
      </c>
      <c r="P29" s="7">
        <f>+[2]Resumen!P29*1000</f>
        <v>136991.371767</v>
      </c>
      <c r="Q29" s="7">
        <f>+[2]Resumen!Q29*1000</f>
        <v>152364.534357</v>
      </c>
      <c r="R29" s="7">
        <f>+[2]Resumen!R29*1000</f>
        <v>162761.457528</v>
      </c>
      <c r="S29" s="7">
        <f>+[2]Resumen!S29*1000</f>
        <v>169122.49801500002</v>
      </c>
      <c r="T29" s="7">
        <f>+[2]Resumen!T29*1000</f>
        <v>169898.69316600001</v>
      </c>
      <c r="U29" s="7">
        <f>+[2]Resumen!U29*1000</f>
        <v>167586.71277300001</v>
      </c>
      <c r="V29" s="7">
        <f>+[2]Resumen!V29*1000</f>
        <v>162081.56410799999</v>
      </c>
      <c r="W29" s="7">
        <f>+[2]Resumen!W29*1000</f>
        <v>146464.642284</v>
      </c>
      <c r="X29" s="7">
        <f>+[2]Resumen!X29*1000</f>
        <v>153309.804057</v>
      </c>
      <c r="Y29" s="7">
        <f>+[2]Resumen!Y29*1000</f>
        <v>165048.096162</v>
      </c>
      <c r="Z29" s="7">
        <f>+[2]Resumen!Z29*1000</f>
        <v>153743.27991000001</v>
      </c>
      <c r="AA29" s="7">
        <f>+[2]Resumen!AA29*1000</f>
        <v>138767.32101900002</v>
      </c>
      <c r="AB29" s="7">
        <f>+[2]Resumen!AB29*1000</f>
        <v>120527.11962900001</v>
      </c>
      <c r="AC29" s="7">
        <f>+[2]Resumen!AC29*1000</f>
        <v>97673.171849999999</v>
      </c>
      <c r="AD29" s="5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1</v>
      </c>
      <c r="F30" s="7">
        <f>+[2]Resumen!F30*1000</f>
        <v>112217.315394</v>
      </c>
      <c r="G30" s="7">
        <f>+[2]Resumen!G30*1000</f>
        <v>99805.718574000013</v>
      </c>
      <c r="H30" s="7">
        <f>+[2]Resumen!H30*1000</f>
        <v>90636.709122000015</v>
      </c>
      <c r="I30" s="7">
        <f>+[2]Resumen!I30*1000</f>
        <v>86556.708773999999</v>
      </c>
      <c r="J30" s="7">
        <f>+[2]Resumen!J30*1000</f>
        <v>89095.645299000011</v>
      </c>
      <c r="K30" s="7">
        <f>+[2]Resumen!K30*1000</f>
        <v>93783.550800000012</v>
      </c>
      <c r="L30" s="7">
        <f>+[2]Resumen!L30*1000</f>
        <v>106367.360373</v>
      </c>
      <c r="M30" s="7">
        <f>+[2]Resumen!M30*1000</f>
        <v>107382.31038900002</v>
      </c>
      <c r="N30" s="7">
        <f>+[2]Resumen!N30*1000</f>
        <v>135458.51907000001</v>
      </c>
      <c r="O30" s="7">
        <f>+[2]Resumen!O30*1000</f>
        <v>143472.16672800001</v>
      </c>
      <c r="P30" s="7">
        <f>+[2]Resumen!P30*1000</f>
        <v>162198.058506</v>
      </c>
      <c r="Q30" s="7">
        <f>+[2]Resumen!Q30*1000</f>
        <v>179740.87022700001</v>
      </c>
      <c r="R30" s="7">
        <f>+[2]Resumen!R30*1000</f>
        <v>194197.34971800001</v>
      </c>
      <c r="S30" s="7">
        <f>+[2]Resumen!S30*1000</f>
        <v>189245.30189100001</v>
      </c>
      <c r="T30" s="7">
        <f>+[2]Resumen!T30*1000</f>
        <v>181617.333411</v>
      </c>
      <c r="U30" s="7">
        <f>+[2]Resumen!U30*1000</f>
        <v>179243.99046600002</v>
      </c>
      <c r="V30" s="7">
        <f>+[2]Resumen!V30*1000</f>
        <v>171927.43541400001</v>
      </c>
      <c r="W30" s="7">
        <f>+[2]Resumen!W30*1000</f>
        <v>165142.44794100002</v>
      </c>
      <c r="X30" s="7">
        <f>+[2]Resumen!X30*1000</f>
        <v>182517.81515100002</v>
      </c>
      <c r="Y30" s="7">
        <f>+[2]Resumen!Y30*1000</f>
        <v>189872.43996900003</v>
      </c>
      <c r="Z30" s="7">
        <f>+[2]Resumen!Z30*1000</f>
        <v>176069.788524</v>
      </c>
      <c r="AA30" s="7">
        <f>+[2]Resumen!AA30*1000</f>
        <v>147439.37454000002</v>
      </c>
      <c r="AB30" s="7">
        <f>+[2]Resumen!AB30*1000</f>
        <v>127625.19627000001</v>
      </c>
      <c r="AC30" s="7">
        <f>+[2]Resumen!AC30*1000</f>
        <v>100898.27820300001</v>
      </c>
      <c r="AD30" s="59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20</v>
      </c>
      <c r="F31" s="7">
        <f>+[2]Resumen!F31*1000</f>
        <v>77323.213799999998</v>
      </c>
      <c r="G31" s="7">
        <f>+[2]Resumen!G31*1000</f>
        <v>63664.226591999999</v>
      </c>
      <c r="H31" s="7">
        <f>+[2]Resumen!H31*1000</f>
        <v>55724.722812000007</v>
      </c>
      <c r="I31" s="7">
        <f>+[2]Resumen!I31*1000</f>
        <v>53900.481780000002</v>
      </c>
      <c r="J31" s="7">
        <f>+[2]Resumen!J31*1000</f>
        <v>60609.276402000003</v>
      </c>
      <c r="K31" s="7">
        <f>+[2]Resumen!K31*1000</f>
        <v>91984.925738999998</v>
      </c>
      <c r="L31" s="7">
        <f>+[2]Resumen!L31*1000</f>
        <v>116996.60966099999</v>
      </c>
      <c r="M31" s="7">
        <f>+[2]Resumen!M31*1000</f>
        <v>105359.532252</v>
      </c>
      <c r="N31" s="7">
        <f>+[2]Resumen!N31*1000</f>
        <v>121409.38912200001</v>
      </c>
      <c r="O31" s="7">
        <f>+[2]Resumen!O31*1000</f>
        <v>131687.540412</v>
      </c>
      <c r="P31" s="7">
        <f>+[2]Resumen!P31*1000</f>
        <v>149163.581511</v>
      </c>
      <c r="Q31" s="7">
        <f>+[2]Resumen!Q31*1000</f>
        <v>162608.310126</v>
      </c>
      <c r="R31" s="7">
        <f>+[2]Resumen!R31*1000</f>
        <v>163926.07397700002</v>
      </c>
      <c r="S31" s="7">
        <f>+[2]Resumen!S31*1000</f>
        <v>163256.059806</v>
      </c>
      <c r="T31" s="7">
        <f>+[2]Resumen!T31*1000</f>
        <v>170796.866955</v>
      </c>
      <c r="U31" s="7">
        <f>+[2]Resumen!U31*1000</f>
        <v>171598.43433300001</v>
      </c>
      <c r="V31" s="7">
        <f>+[2]Resumen!V31*1000</f>
        <v>163091.18222400002</v>
      </c>
      <c r="W31" s="7">
        <f>+[2]Resumen!W31*1000</f>
        <v>163214.120604</v>
      </c>
      <c r="X31" s="7">
        <f>+[2]Resumen!X31*1000</f>
        <v>164899.60274700003</v>
      </c>
      <c r="Y31" s="7">
        <f>+[2]Resumen!Y31*1000</f>
        <v>175809.066231</v>
      </c>
      <c r="Z31" s="7">
        <f>+[2]Resumen!Z31*1000</f>
        <v>161788.8885</v>
      </c>
      <c r="AA31" s="7">
        <f>+[2]Resumen!AA31*1000</f>
        <v>143821.89366600002</v>
      </c>
      <c r="AB31" s="7">
        <f>+[2]Resumen!AB31*1000</f>
        <v>112290.25578599999</v>
      </c>
      <c r="AC31" s="7">
        <f>+[2]Resumen!AC31*1000</f>
        <v>92136.526890000008</v>
      </c>
      <c r="AD31" s="57">
        <f t="shared" ref="AD31:AD35" si="4">SUM(F31:AC31)*E31+SUM(F32:AC32)*E32+SUM(F33:AC33)*E33+SUM(F34:AC34)*E34</f>
        <v>85800296.106933013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5</v>
      </c>
      <c r="F32" s="7">
        <f>+[2]Resumen!F32*1000</f>
        <v>57499.240067999999</v>
      </c>
      <c r="G32" s="7">
        <f>+[2]Resumen!G32*1000</f>
        <v>43590.049643999999</v>
      </c>
      <c r="H32" s="7">
        <f>+[2]Resumen!H32*1000</f>
        <v>37310.564376000002</v>
      </c>
      <c r="I32" s="7">
        <f>+[2]Resumen!I32*1000</f>
        <v>34425.915072000003</v>
      </c>
      <c r="J32" s="7">
        <f>+[2]Resumen!J32*1000</f>
        <v>39197.379063</v>
      </c>
      <c r="K32" s="7">
        <f>+[2]Resumen!K32*1000</f>
        <v>50154.418329</v>
      </c>
      <c r="L32" s="7">
        <f>+[2]Resumen!L32*1000</f>
        <v>73618.525892999998</v>
      </c>
      <c r="M32" s="7">
        <f>+[2]Resumen!M32*1000</f>
        <v>74265.628127999997</v>
      </c>
      <c r="N32" s="7">
        <f>+[2]Resumen!N32*1000</f>
        <v>96900.533838000003</v>
      </c>
      <c r="O32" s="7">
        <f>+[2]Resumen!O32*1000</f>
        <v>111218.521035</v>
      </c>
      <c r="P32" s="7">
        <f>+[2]Resumen!P32*1000</f>
        <v>129088.88660700001</v>
      </c>
      <c r="Q32" s="7">
        <f>+[2]Resumen!Q32*1000</f>
        <v>141023.36978100002</v>
      </c>
      <c r="R32" s="7">
        <f>+[2]Resumen!R32*1000</f>
        <v>139606.50876</v>
      </c>
      <c r="S32" s="7">
        <f>+[2]Resumen!S32*1000</f>
        <v>135696.54270300001</v>
      </c>
      <c r="T32" s="7">
        <f>+[2]Resumen!T32*1000</f>
        <v>135472.35915900001</v>
      </c>
      <c r="U32" s="7">
        <f>+[2]Resumen!U32*1000</f>
        <v>136576.230033</v>
      </c>
      <c r="V32" s="7">
        <f>+[2]Resumen!V32*1000</f>
        <v>135984.40436700001</v>
      </c>
      <c r="W32" s="7">
        <f>+[2]Resumen!W32*1000</f>
        <v>147286.46326500003</v>
      </c>
      <c r="X32" s="7">
        <f>+[2]Resumen!X32*1000</f>
        <v>148640.141271</v>
      </c>
      <c r="Y32" s="7">
        <f>+[2]Resumen!Y32*1000</f>
        <v>157956.059802</v>
      </c>
      <c r="Z32" s="7">
        <f>+[2]Resumen!Z32*1000</f>
        <v>142989.49267200002</v>
      </c>
      <c r="AA32" s="7">
        <f>+[2]Resumen!AA32*1000</f>
        <v>125090.228202</v>
      </c>
      <c r="AB32" s="7">
        <f>+[2]Resumen!AB32*1000</f>
        <v>102569.10523800002</v>
      </c>
      <c r="AC32" s="7">
        <f>+[2]Resumen!AC32*1000</f>
        <v>82856.530130999992</v>
      </c>
      <c r="AD32" s="5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+[2]Resumen!F33*1000</f>
        <v>69017.385639</v>
      </c>
      <c r="G33" s="7">
        <f>+[2]Resumen!G33*1000</f>
        <v>55920.403542</v>
      </c>
      <c r="H33" s="7">
        <f>+[2]Resumen!H33*1000</f>
        <v>45856.952631</v>
      </c>
      <c r="I33" s="7">
        <f>+[2]Resumen!I33*1000</f>
        <v>40151.050314</v>
      </c>
      <c r="J33" s="7">
        <f>+[2]Resumen!J33*1000</f>
        <v>41388.112050000003</v>
      </c>
      <c r="K33" s="7">
        <f>+[2]Resumen!K33*1000</f>
        <v>45139.804464000001</v>
      </c>
      <c r="L33" s="7">
        <f>+[2]Resumen!L33*1000</f>
        <v>53270.022689999998</v>
      </c>
      <c r="M33" s="7">
        <f>+[2]Resumen!M33*1000</f>
        <v>43548.483675000003</v>
      </c>
      <c r="N33" s="7">
        <f>+[2]Resumen!N33*1000</f>
        <v>61370.153766000003</v>
      </c>
      <c r="O33" s="7">
        <f>+[2]Resumen!O33*1000</f>
        <v>76031.119239000007</v>
      </c>
      <c r="P33" s="7">
        <f>+[2]Resumen!P33*1000</f>
        <v>90050.641908000005</v>
      </c>
      <c r="Q33" s="7">
        <f>+[2]Resumen!Q33*1000</f>
        <v>106537.935471</v>
      </c>
      <c r="R33" s="7">
        <f>+[2]Resumen!R33*1000</f>
        <v>115511.52317100001</v>
      </c>
      <c r="S33" s="7">
        <f>+[2]Resumen!S33*1000</f>
        <v>120074.39561700002</v>
      </c>
      <c r="T33" s="7">
        <f>+[2]Resumen!T33*1000</f>
        <v>120588.885882</v>
      </c>
      <c r="U33" s="7">
        <f>+[2]Resumen!U33*1000</f>
        <v>119901.26882400001</v>
      </c>
      <c r="V33" s="7">
        <f>+[2]Resumen!V33*1000</f>
        <v>120239.47124100002</v>
      </c>
      <c r="W33" s="7">
        <f>+[2]Resumen!W33*1000</f>
        <v>134706.53836199999</v>
      </c>
      <c r="X33" s="7">
        <f>+[2]Resumen!X33*1000</f>
        <v>134947.517391</v>
      </c>
      <c r="Y33" s="7">
        <f>+[2]Resumen!Y33*1000</f>
        <v>141088.403727</v>
      </c>
      <c r="Z33" s="7">
        <f>+[2]Resumen!Z33*1000</f>
        <v>127570.70425200001</v>
      </c>
      <c r="AA33" s="7">
        <f>+[2]Resumen!AA33*1000</f>
        <v>117248.244873</v>
      </c>
      <c r="AB33" s="7">
        <f>+[2]Resumen!AB33*1000</f>
        <v>98462.597729999994</v>
      </c>
      <c r="AC33" s="7">
        <f>+[2]Resumen!AC33*1000</f>
        <v>84052.879002000001</v>
      </c>
      <c r="AD33" s="5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+[2]Resumen!F34*1000</f>
        <v>56189.915852999999</v>
      </c>
      <c r="G34" s="7">
        <f>+[2]Resumen!G34*1000</f>
        <v>42277.937607</v>
      </c>
      <c r="H34" s="7">
        <f>+[2]Resumen!H34*1000</f>
        <v>28799.572319999999</v>
      </c>
      <c r="I34" s="7">
        <f>+[2]Resumen!I34*1000</f>
        <v>25286.307239999998</v>
      </c>
      <c r="J34" s="7">
        <f>+[2]Resumen!J34*1000</f>
        <v>26603.97207</v>
      </c>
      <c r="K34" s="7">
        <f>+[2]Resumen!K34*1000</f>
        <v>34043.739714000003</v>
      </c>
      <c r="L34" s="7">
        <f>+[2]Resumen!L34*1000</f>
        <v>49255.962711000007</v>
      </c>
      <c r="M34" s="7">
        <f>+[2]Resumen!M34*1000</f>
        <v>42386.936877</v>
      </c>
      <c r="N34" s="7">
        <f>+[2]Resumen!N34*1000</f>
        <v>61171.845171000008</v>
      </c>
      <c r="O34" s="7">
        <f>+[2]Resumen!O34*1000</f>
        <v>76205.571389999997</v>
      </c>
      <c r="P34" s="7">
        <f>+[2]Resumen!P34*1000</f>
        <v>90102.589848000003</v>
      </c>
      <c r="Q34" s="7">
        <f>+[2]Resumen!Q34*1000</f>
        <v>104967.736623</v>
      </c>
      <c r="R34" s="7">
        <f>+[2]Resumen!R34*1000</f>
        <v>110041.39747200001</v>
      </c>
      <c r="S34" s="7">
        <f>+[2]Resumen!S34*1000</f>
        <v>113280.29059500001</v>
      </c>
      <c r="T34" s="7">
        <f>+[2]Resumen!T34*1000</f>
        <v>116605.08824400001</v>
      </c>
      <c r="U34" s="7">
        <f>+[2]Resumen!U34*1000</f>
        <v>121398.13881300001</v>
      </c>
      <c r="V34" s="7">
        <f>+[2]Resumen!V34*1000</f>
        <v>113486.03338199999</v>
      </c>
      <c r="W34" s="7">
        <f>+[2]Resumen!W34*1000</f>
        <v>124969.76534700001</v>
      </c>
      <c r="X34" s="7">
        <f>+[2]Resumen!X34*1000</f>
        <v>123996.312747</v>
      </c>
      <c r="Y34" s="7">
        <f>+[2]Resumen!Y34*1000</f>
        <v>132438.00533700001</v>
      </c>
      <c r="Z34" s="7">
        <f>+[2]Resumen!Z34*1000</f>
        <v>125770.28919600001</v>
      </c>
      <c r="AA34" s="7">
        <f>+[2]Resumen!AA34*1000</f>
        <v>114163.04757600001</v>
      </c>
      <c r="AB34" s="7">
        <f>+[2]Resumen!AB34*1000</f>
        <v>96518.053800000009</v>
      </c>
      <c r="AC34" s="7">
        <f>+[2]Resumen!AC34*1000</f>
        <v>76689.989738999997</v>
      </c>
      <c r="AD34" s="59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+[2]Resumen!F35*1000</f>
        <v>69034.996142999997</v>
      </c>
      <c r="G35" s="7">
        <f>+[2]Resumen!G35*1000</f>
        <v>56813.222580000001</v>
      </c>
      <c r="H35" s="7">
        <f>+[2]Resumen!H35*1000</f>
        <v>49883.032236000006</v>
      </c>
      <c r="I35" s="7">
        <f>+[2]Resumen!I35*1000</f>
        <v>48707.416839000005</v>
      </c>
      <c r="J35" s="7">
        <f>+[2]Resumen!J35*1000</f>
        <v>58254.899787000002</v>
      </c>
      <c r="K35" s="7">
        <f>+[2]Resumen!K35*1000</f>
        <v>95885.492417999994</v>
      </c>
      <c r="L35" s="7">
        <f>+[2]Resumen!L35*1000</f>
        <v>124080.145449</v>
      </c>
      <c r="M35" s="7">
        <f>+[2]Resumen!M35*1000</f>
        <v>110726.50092000001</v>
      </c>
      <c r="N35" s="7">
        <f>+[2]Resumen!N35*1000</f>
        <v>124481.13479700001</v>
      </c>
      <c r="O35" s="7">
        <f>+[2]Resumen!O35*1000</f>
        <v>135507.686805</v>
      </c>
      <c r="P35" s="7">
        <f>+[2]Resumen!P35*1000</f>
        <v>154503.83736</v>
      </c>
      <c r="Q35" s="7">
        <f>+[2]Resumen!Q35*1000</f>
        <v>167001.59006700001</v>
      </c>
      <c r="R35" s="7">
        <f>+[2]Resumen!R35*1000</f>
        <v>165608.80638299999</v>
      </c>
      <c r="S35" s="7">
        <f>+[2]Resumen!S35*1000</f>
        <v>167191.04009100003</v>
      </c>
      <c r="T35" s="7">
        <f>+[2]Resumen!T35*1000</f>
        <v>174957.45516300004</v>
      </c>
      <c r="U35" s="7">
        <f>+[2]Resumen!U35*1000</f>
        <v>175531.92930300001</v>
      </c>
      <c r="V35" s="7">
        <f>+[2]Resumen!V35*1000</f>
        <v>165882.10434300001</v>
      </c>
      <c r="W35" s="7">
        <f>+[2]Resumen!W35*1000</f>
        <v>165976.27331400002</v>
      </c>
      <c r="X35" s="7">
        <f>+[2]Resumen!X35*1000</f>
        <v>170001.03517800002</v>
      </c>
      <c r="Y35" s="7">
        <f>+[2]Resumen!Y35*1000</f>
        <v>180763.65051900002</v>
      </c>
      <c r="Z35" s="7">
        <f>+[2]Resumen!Z35*1000</f>
        <v>167474.42295899999</v>
      </c>
      <c r="AA35" s="7">
        <f>+[2]Resumen!AA35*1000</f>
        <v>146212.42818000002</v>
      </c>
      <c r="AB35" s="7">
        <f>+[2]Resumen!AB35*1000</f>
        <v>112186.260885</v>
      </c>
      <c r="AC35" s="7">
        <f>+[2]Resumen!AC35*1000</f>
        <v>94118.249397000007</v>
      </c>
      <c r="AD35" s="57">
        <f t="shared" si="4"/>
        <v>86838018.827789992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3</v>
      </c>
      <c r="F36" s="7">
        <f>+[2]Resumen!F36*1000</f>
        <v>81217.31364600001</v>
      </c>
      <c r="G36" s="7">
        <f>+[2]Resumen!G36*1000</f>
        <v>64899.30790800001</v>
      </c>
      <c r="H36" s="7">
        <f>+[2]Resumen!H36*1000</f>
        <v>54304.898778000002</v>
      </c>
      <c r="I36" s="7">
        <f>+[2]Resumen!I36*1000</f>
        <v>48476.461781999998</v>
      </c>
      <c r="J36" s="7">
        <f>+[2]Resumen!J36*1000</f>
        <v>52125.141888000006</v>
      </c>
      <c r="K36" s="7">
        <f>+[2]Resumen!K36*1000</f>
        <v>64282.49848200001</v>
      </c>
      <c r="L36" s="7">
        <f>+[2]Resumen!L36*1000</f>
        <v>86806.340714999998</v>
      </c>
      <c r="M36" s="7">
        <f>+[2]Resumen!M36*1000</f>
        <v>85078.29477600001</v>
      </c>
      <c r="N36" s="7">
        <f>+[2]Resumen!N36*1000</f>
        <v>107092.75775100001</v>
      </c>
      <c r="O36" s="7">
        <f>+[2]Resumen!O36*1000</f>
        <v>122965.14613800001</v>
      </c>
      <c r="P36" s="7">
        <f>+[2]Resumen!P36*1000</f>
        <v>136962.967974</v>
      </c>
      <c r="Q36" s="7">
        <f>+[2]Resumen!Q36*1000</f>
        <v>146180.467248</v>
      </c>
      <c r="R36" s="7">
        <f>+[2]Resumen!R36*1000</f>
        <v>144255.69705000002</v>
      </c>
      <c r="S36" s="7">
        <f>+[2]Resumen!S36*1000</f>
        <v>144023.21859300003</v>
      </c>
      <c r="T36" s="7">
        <f>+[2]Resumen!T36*1000</f>
        <v>142818.10255499999</v>
      </c>
      <c r="U36" s="7">
        <f>+[2]Resumen!U36*1000</f>
        <v>140715.67344899999</v>
      </c>
      <c r="V36" s="7">
        <f>+[2]Resumen!V36*1000</f>
        <v>140838.97744500003</v>
      </c>
      <c r="W36" s="7">
        <f>+[2]Resumen!W36*1000</f>
        <v>157491.902673</v>
      </c>
      <c r="X36" s="7">
        <f>+[2]Resumen!X36*1000</f>
        <v>159657.78138900001</v>
      </c>
      <c r="Y36" s="7">
        <f>+[2]Resumen!Y36*1000</f>
        <v>162943.45812600001</v>
      </c>
      <c r="Z36" s="7">
        <f>+[2]Resumen!Z36*1000</f>
        <v>148761.73905900001</v>
      </c>
      <c r="AA36" s="7">
        <f>+[2]Resumen!AA36*1000</f>
        <v>126622.98949500002</v>
      </c>
      <c r="AB36" s="7">
        <f>+[2]Resumen!AB36*1000</f>
        <v>102008.737782</v>
      </c>
      <c r="AC36" s="7">
        <f>+[2]Resumen!AC36*1000</f>
        <v>80363.006160000004</v>
      </c>
      <c r="AD36" s="5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5</v>
      </c>
      <c r="F37" s="7">
        <f>+[2]Resumen!F37*1000</f>
        <v>57526.943097000003</v>
      </c>
      <c r="G37" s="7">
        <f>+[2]Resumen!G37*1000</f>
        <v>45407.382057000003</v>
      </c>
      <c r="H37" s="7">
        <f>+[2]Resumen!H37*1000</f>
        <v>37876.659816000007</v>
      </c>
      <c r="I37" s="7">
        <f>+[2]Resumen!I37*1000</f>
        <v>33485.009913000002</v>
      </c>
      <c r="J37" s="7">
        <f>+[2]Resumen!J37*1000</f>
        <v>34018.679784</v>
      </c>
      <c r="K37" s="7">
        <f>+[2]Resumen!K37*1000</f>
        <v>41072.082719999999</v>
      </c>
      <c r="L37" s="7">
        <f>+[2]Resumen!L37*1000</f>
        <v>49182.504363</v>
      </c>
      <c r="M37" s="7">
        <f>+[2]Resumen!M37*1000</f>
        <v>39963.390285000001</v>
      </c>
      <c r="N37" s="7">
        <f>+[2]Resumen!N37*1000</f>
        <v>56186.739564000003</v>
      </c>
      <c r="O37" s="7">
        <f>+[2]Resumen!O37*1000</f>
        <v>69639.275603999995</v>
      </c>
      <c r="P37" s="7">
        <f>+[2]Resumen!P37*1000</f>
        <v>80276.141892</v>
      </c>
      <c r="Q37" s="7">
        <f>+[2]Resumen!Q37*1000</f>
        <v>93851.045037000004</v>
      </c>
      <c r="R37" s="7">
        <f>+[2]Resumen!R37*1000</f>
        <v>103668.581103</v>
      </c>
      <c r="S37" s="7">
        <f>+[2]Resumen!S37*1000</f>
        <v>107376.77283</v>
      </c>
      <c r="T37" s="7">
        <f>+[2]Resumen!T37*1000</f>
        <v>103629.871509</v>
      </c>
      <c r="U37" s="7">
        <f>+[2]Resumen!U37*1000</f>
        <v>104461.16803800002</v>
      </c>
      <c r="V37" s="7">
        <f>+[2]Resumen!V37*1000</f>
        <v>101673.87922800001</v>
      </c>
      <c r="W37" s="7">
        <f>+[2]Resumen!W37*1000</f>
        <v>115499.30550300001</v>
      </c>
      <c r="X37" s="7">
        <f>+[2]Resumen!X37*1000</f>
        <v>124755.20969100001</v>
      </c>
      <c r="Y37" s="7">
        <f>+[2]Resumen!Y37*1000</f>
        <v>140651.63733</v>
      </c>
      <c r="Z37" s="7">
        <f>+[2]Resumen!Z37*1000</f>
        <v>129959.159325</v>
      </c>
      <c r="AA37" s="7">
        <f>+[2]Resumen!AA37*1000</f>
        <v>114426.90807300001</v>
      </c>
      <c r="AB37" s="7">
        <f>+[2]Resumen!AB37*1000</f>
        <v>88117.553946000015</v>
      </c>
      <c r="AC37" s="7">
        <f>+[2]Resumen!AC37*1000</f>
        <v>65056.979808000011</v>
      </c>
      <c r="AD37" s="5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+[2]Resumen!F38*1000</f>
        <v>63864.165225000004</v>
      </c>
      <c r="G38" s="7">
        <f>+[2]Resumen!G38*1000</f>
        <v>52752.500859000007</v>
      </c>
      <c r="H38" s="7">
        <f>+[2]Resumen!H38*1000</f>
        <v>44346.989019000001</v>
      </c>
      <c r="I38" s="7">
        <f>+[2]Resumen!I38*1000</f>
        <v>40126.279830000007</v>
      </c>
      <c r="J38" s="7">
        <f>+[2]Resumen!J38*1000</f>
        <v>43035.303533999999</v>
      </c>
      <c r="K38" s="7">
        <f>+[2]Resumen!K38*1000</f>
        <v>47883.226971000004</v>
      </c>
      <c r="L38" s="7">
        <f>+[2]Resumen!L38*1000</f>
        <v>57518.145462</v>
      </c>
      <c r="M38" s="7">
        <f>+[2]Resumen!M38*1000</f>
        <v>48851.050607999998</v>
      </c>
      <c r="N38" s="7">
        <f>+[2]Resumen!N38*1000</f>
        <v>63457.135596000007</v>
      </c>
      <c r="O38" s="7">
        <f>+[2]Resumen!O38*1000</f>
        <v>75344.545710000006</v>
      </c>
      <c r="P38" s="7">
        <f>+[2]Resumen!P38*1000</f>
        <v>92901.486965999997</v>
      </c>
      <c r="Q38" s="7">
        <f>+[2]Resumen!Q38*1000</f>
        <v>112753.590279</v>
      </c>
      <c r="R38" s="7">
        <f>+[2]Resumen!R38*1000</f>
        <v>125558.74987200001</v>
      </c>
      <c r="S38" s="7">
        <f>+[2]Resumen!S38*1000</f>
        <v>126684.390132</v>
      </c>
      <c r="T38" s="7">
        <f>+[2]Resumen!T38*1000</f>
        <v>117536.28934500001</v>
      </c>
      <c r="U38" s="7">
        <f>+[2]Resumen!U38*1000</f>
        <v>112890.620109</v>
      </c>
      <c r="V38" s="7">
        <f>+[2]Resumen!V38*1000</f>
        <v>107729.62273800002</v>
      </c>
      <c r="W38" s="7">
        <f>+[2]Resumen!W38*1000</f>
        <v>119551.351461</v>
      </c>
      <c r="X38" s="7">
        <f>+[2]Resumen!X38*1000</f>
        <v>135883.288692</v>
      </c>
      <c r="Y38" s="7">
        <f>+[2]Resumen!Y38*1000</f>
        <v>159534.16509600001</v>
      </c>
      <c r="Z38" s="7">
        <f>+[2]Resumen!Z38*1000</f>
        <v>146445.88923</v>
      </c>
      <c r="AA38" s="7">
        <f>+[2]Resumen!AA38*1000</f>
        <v>122848.25565600001</v>
      </c>
      <c r="AB38" s="7">
        <f>+[2]Resumen!AB38*1000</f>
        <v>92980.132490999997</v>
      </c>
      <c r="AC38" s="7">
        <f>+[2]Resumen!AC38*1000</f>
        <v>64557.799712999993</v>
      </c>
      <c r="AD38" s="5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22</v>
      </c>
      <c r="F39" s="7">
        <f>+[2]Resumen!F39*1000</f>
        <v>87460.244930999994</v>
      </c>
      <c r="G39" s="7">
        <f>+[2]Resumen!G39*1000</f>
        <v>74801.765907000008</v>
      </c>
      <c r="H39" s="7">
        <f>+[2]Resumen!H39*1000</f>
        <v>67460.569860000003</v>
      </c>
      <c r="I39" s="7">
        <f>+[2]Resumen!I39*1000</f>
        <v>66395.309559000001</v>
      </c>
      <c r="J39" s="7">
        <f>+[2]Resumen!J39*1000</f>
        <v>74922.952377000009</v>
      </c>
      <c r="K39" s="7">
        <f>+[2]Resumen!K39*1000</f>
        <v>111042.004677</v>
      </c>
      <c r="L39" s="7">
        <f>+[2]Resumen!L39*1000</f>
        <v>138098.129484</v>
      </c>
      <c r="M39" s="7">
        <f>+[2]Resumen!M39*1000</f>
        <v>127692.23348699999</v>
      </c>
      <c r="N39" s="7">
        <f>+[2]Resumen!N39*1000</f>
        <v>143138.13081</v>
      </c>
      <c r="O39" s="7">
        <f>+[2]Resumen!O39*1000</f>
        <v>153963.19031700003</v>
      </c>
      <c r="P39" s="7">
        <f>+[2]Resumen!P39*1000</f>
        <v>173822.857311</v>
      </c>
      <c r="Q39" s="7">
        <f>+[2]Resumen!Q39*1000</f>
        <v>188784.336285</v>
      </c>
      <c r="R39" s="7">
        <f>+[2]Resumen!R39*1000</f>
        <v>192099.97068299999</v>
      </c>
      <c r="S39" s="7">
        <f>+[2]Resumen!S39*1000</f>
        <v>193497.96439500002</v>
      </c>
      <c r="T39" s="7">
        <f>+[2]Resumen!T39*1000</f>
        <v>198404.98051800003</v>
      </c>
      <c r="U39" s="7">
        <f>+[2]Resumen!U39*1000</f>
        <v>200646.06949200001</v>
      </c>
      <c r="V39" s="7">
        <f>+[2]Resumen!V39*1000</f>
        <v>192247.070187</v>
      </c>
      <c r="W39" s="7">
        <f>+[2]Resumen!W39*1000</f>
        <v>193116.10133400001</v>
      </c>
      <c r="X39" s="7">
        <f>+[2]Resumen!X39*1000</f>
        <v>201992.21428499999</v>
      </c>
      <c r="Y39" s="7">
        <f>+[2]Resumen!Y39*1000</f>
        <v>205318.49724899998</v>
      </c>
      <c r="Z39" s="7">
        <f>+[2]Resumen!Z39*1000</f>
        <v>191152.77388200001</v>
      </c>
      <c r="AA39" s="7">
        <f>+[2]Resumen!AA39*1000</f>
        <v>170059.90697100002</v>
      </c>
      <c r="AB39" s="7">
        <f>+[2]Resumen!AB39*1000</f>
        <v>133151.80964100003</v>
      </c>
      <c r="AC39" s="7">
        <f>+[2]Resumen!AC39*1000</f>
        <v>111967.896729</v>
      </c>
      <c r="AD39" s="57">
        <f t="shared" ref="AD39" si="5">SUM(F39:AC39)*E39+SUM(F40:AC40)*E40+SUM(F41:AC41)*E41+SUM(F42:AC42)*E42</f>
        <v>100520520.29368198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+[2]Resumen!F40*1000</f>
        <v>84904.406283000004</v>
      </c>
      <c r="G40" s="7">
        <f>+[2]Resumen!G40*1000</f>
        <v>71015.088612000007</v>
      </c>
      <c r="H40" s="7">
        <f>+[2]Resumen!H40*1000</f>
        <v>62955.685635000009</v>
      </c>
      <c r="I40" s="7">
        <f>+[2]Resumen!I40*1000</f>
        <v>58460.703510000007</v>
      </c>
      <c r="J40" s="7">
        <f>+[2]Resumen!J40*1000</f>
        <v>63548.714787000004</v>
      </c>
      <c r="K40" s="7">
        <f>+[2]Resumen!K40*1000</f>
        <v>78297.359547</v>
      </c>
      <c r="L40" s="7">
        <f>+[2]Resumen!L40*1000</f>
        <v>99861.954884999999</v>
      </c>
      <c r="M40" s="7">
        <f>+[2]Resumen!M40*1000</f>
        <v>99412.506183000005</v>
      </c>
      <c r="N40" s="7">
        <f>+[2]Resumen!N40*1000</f>
        <v>121158.59939700001</v>
      </c>
      <c r="O40" s="7">
        <f>+[2]Resumen!O40*1000</f>
        <v>139212.80126400001</v>
      </c>
      <c r="P40" s="7">
        <f>+[2]Resumen!P40*1000</f>
        <v>155502.41082600001</v>
      </c>
      <c r="Q40" s="7">
        <f>+[2]Resumen!Q40*1000</f>
        <v>167006.464947</v>
      </c>
      <c r="R40" s="7">
        <f>+[2]Resumen!R40*1000</f>
        <v>166847.01066900001</v>
      </c>
      <c r="S40" s="7">
        <f>+[2]Resumen!S40*1000</f>
        <v>162044.02753200001</v>
      </c>
      <c r="T40" s="7">
        <f>+[2]Resumen!T40*1000</f>
        <v>153995.92818300001</v>
      </c>
      <c r="U40" s="7">
        <f>+[2]Resumen!U40*1000</f>
        <v>150515.621862</v>
      </c>
      <c r="V40" s="7">
        <f>+[2]Resumen!V40*1000</f>
        <v>147450.15259500002</v>
      </c>
      <c r="W40" s="7">
        <f>+[2]Resumen!W40*1000</f>
        <v>166982.61612000002</v>
      </c>
      <c r="X40" s="7">
        <f>+[2]Resumen!X40*1000</f>
        <v>178671.29108699999</v>
      </c>
      <c r="Y40" s="7">
        <f>+[2]Resumen!Y40*1000</f>
        <v>174254.154702</v>
      </c>
      <c r="Z40" s="7">
        <f>+[2]Resumen!Z40*1000</f>
        <v>158781.62834700002</v>
      </c>
      <c r="AA40" s="7">
        <f>+[2]Resumen!AA40*1000</f>
        <v>137981.32278900003</v>
      </c>
      <c r="AB40" s="7">
        <f>+[2]Resumen!AB40*1000</f>
        <v>117440.27705999999</v>
      </c>
      <c r="AC40" s="7">
        <f>+[2]Resumen!AC40*1000</f>
        <v>95193.609840000005</v>
      </c>
      <c r="AD40" s="5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+[2]Resumen!F41*1000</f>
        <v>80821.481007000009</v>
      </c>
      <c r="G41" s="7">
        <f>+[2]Resumen!G41*1000</f>
        <v>66776.083389000007</v>
      </c>
      <c r="H41" s="7">
        <f>+[2]Resumen!H41*1000</f>
        <v>56299.829163000002</v>
      </c>
      <c r="I41" s="7">
        <f>+[2]Resumen!I41*1000</f>
        <v>49853.851509</v>
      </c>
      <c r="J41" s="7">
        <f>+[2]Resumen!J41*1000</f>
        <v>51009.533216999997</v>
      </c>
      <c r="K41" s="7">
        <f>+[2]Resumen!K41*1000</f>
        <v>52552.31848200001</v>
      </c>
      <c r="L41" s="7">
        <f>+[2]Resumen!L41*1000</f>
        <v>63128.736258000004</v>
      </c>
      <c r="M41" s="7">
        <f>+[2]Resumen!M41*1000</f>
        <v>54316.720362</v>
      </c>
      <c r="N41" s="7">
        <f>+[2]Resumen!N41*1000</f>
        <v>73038.83410800001</v>
      </c>
      <c r="O41" s="7">
        <f>+[2]Resumen!O41*1000</f>
        <v>84791.469024000005</v>
      </c>
      <c r="P41" s="7">
        <f>+[2]Resumen!P41*1000</f>
        <v>98840.088633000007</v>
      </c>
      <c r="Q41" s="7">
        <f>+[2]Resumen!Q41*1000</f>
        <v>113840.08677600001</v>
      </c>
      <c r="R41" s="7">
        <f>+[2]Resumen!R41*1000</f>
        <v>122961.61185</v>
      </c>
      <c r="S41" s="7">
        <f>+[2]Resumen!S41*1000</f>
        <v>124888.042554</v>
      </c>
      <c r="T41" s="7">
        <f>+[2]Resumen!T41*1000</f>
        <v>122248.02082200001</v>
      </c>
      <c r="U41" s="7">
        <f>+[2]Resumen!U41*1000</f>
        <v>123234.551811</v>
      </c>
      <c r="V41" s="7">
        <f>+[2]Resumen!V41*1000</f>
        <v>123253.28963100001</v>
      </c>
      <c r="W41" s="7">
        <f>+[2]Resumen!W41*1000</f>
        <v>143259.72859800002</v>
      </c>
      <c r="X41" s="7">
        <f>+[2]Resumen!X41*1000</f>
        <v>156249.943206</v>
      </c>
      <c r="Y41" s="7">
        <f>+[2]Resumen!Y41*1000</f>
        <v>158267.79314400002</v>
      </c>
      <c r="Z41" s="7">
        <f>+[2]Resumen!Z41*1000</f>
        <v>146750.355954</v>
      </c>
      <c r="AA41" s="7">
        <f>+[2]Resumen!AA41*1000</f>
        <v>124717.185627</v>
      </c>
      <c r="AB41" s="7">
        <f>+[2]Resumen!AB41*1000</f>
        <v>99133.228878000009</v>
      </c>
      <c r="AC41" s="7">
        <f>+[2]Resumen!AC41*1000</f>
        <v>76599.560715</v>
      </c>
      <c r="AD41" s="5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+[2]Resumen!F42*1000</f>
        <v>0</v>
      </c>
      <c r="G42" s="7">
        <f>+[2]Resumen!G42*1000</f>
        <v>0</v>
      </c>
      <c r="H42" s="7">
        <f>+[2]Resumen!H42*1000</f>
        <v>0</v>
      </c>
      <c r="I42" s="7">
        <f>+[2]Resumen!I42*1000</f>
        <v>0</v>
      </c>
      <c r="J42" s="7">
        <f>+[2]Resumen!J42*1000</f>
        <v>0</v>
      </c>
      <c r="K42" s="7">
        <f>+[2]Resumen!K42*1000</f>
        <v>0</v>
      </c>
      <c r="L42" s="7">
        <f>+[2]Resumen!L42*1000</f>
        <v>0</v>
      </c>
      <c r="M42" s="7">
        <f>+[2]Resumen!M42*1000</f>
        <v>0</v>
      </c>
      <c r="N42" s="7">
        <f>+[2]Resumen!N42*1000</f>
        <v>0</v>
      </c>
      <c r="O42" s="7">
        <f>+[2]Resumen!O42*1000</f>
        <v>0</v>
      </c>
      <c r="P42" s="7">
        <f>+[2]Resumen!P42*1000</f>
        <v>0</v>
      </c>
      <c r="Q42" s="7">
        <f>+[2]Resumen!Q42*1000</f>
        <v>0</v>
      </c>
      <c r="R42" s="7">
        <f>+[2]Resumen!R42*1000</f>
        <v>0</v>
      </c>
      <c r="S42" s="7">
        <f>+[2]Resumen!S42*1000</f>
        <v>0</v>
      </c>
      <c r="T42" s="7">
        <f>+[2]Resumen!T42*1000</f>
        <v>0</v>
      </c>
      <c r="U42" s="7">
        <f>+[2]Resumen!U42*1000</f>
        <v>0</v>
      </c>
      <c r="V42" s="7">
        <f>+[2]Resumen!V42*1000</f>
        <v>0</v>
      </c>
      <c r="W42" s="7">
        <f>+[2]Resumen!W42*1000</f>
        <v>0</v>
      </c>
      <c r="X42" s="7">
        <f>+[2]Resumen!X42*1000</f>
        <v>0</v>
      </c>
      <c r="Y42" s="7">
        <f>+[2]Resumen!Y42*1000</f>
        <v>0</v>
      </c>
      <c r="Z42" s="7">
        <f>+[2]Resumen!Z42*1000</f>
        <v>0</v>
      </c>
      <c r="AA42" s="7">
        <f>+[2]Resumen!AA42*1000</f>
        <v>0</v>
      </c>
      <c r="AB42" s="7">
        <f>+[2]Resumen!AB42*1000</f>
        <v>0</v>
      </c>
      <c r="AC42" s="7">
        <f>+[2]Resumen!AC42*1000</f>
        <v>0</v>
      </c>
      <c r="AD42" s="59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20</v>
      </c>
      <c r="F43" s="7">
        <f>+[2]Resumen!F43*1000</f>
        <v>70526.762742000006</v>
      </c>
      <c r="G43" s="7">
        <f>+[2]Resumen!G43*1000</f>
        <v>57778.090821000005</v>
      </c>
      <c r="H43" s="7">
        <f>+[2]Resumen!H43*1000</f>
        <v>51191.442411000004</v>
      </c>
      <c r="I43" s="7">
        <f>+[2]Resumen!I43*1000</f>
        <v>51180.192102000001</v>
      </c>
      <c r="J43" s="7">
        <f>+[2]Resumen!J43*1000</f>
        <v>60167.254275000007</v>
      </c>
      <c r="K43" s="7">
        <f>+[2]Resumen!K43*1000</f>
        <v>93825.451916999999</v>
      </c>
      <c r="L43" s="7">
        <f>+[2]Resumen!L43*1000</f>
        <v>124297.26041700001</v>
      </c>
      <c r="M43" s="7">
        <f>+[2]Resumen!M43*1000</f>
        <v>114885.801855</v>
      </c>
      <c r="N43" s="7">
        <f>+[2]Resumen!N43*1000</f>
        <v>130929.18427500001</v>
      </c>
      <c r="O43" s="7">
        <f>+[2]Resumen!O43*1000</f>
        <v>139911.66863100001</v>
      </c>
      <c r="P43" s="7">
        <f>+[2]Resumen!P43*1000</f>
        <v>156171.602361</v>
      </c>
      <c r="Q43" s="7">
        <f>+[2]Resumen!Q43*1000</f>
        <v>170817.17387699999</v>
      </c>
      <c r="R43" s="7">
        <f>+[2]Resumen!R43*1000</f>
        <v>174602.47249500002</v>
      </c>
      <c r="S43" s="7">
        <f>+[2]Resumen!S43*1000</f>
        <v>174955.84797600002</v>
      </c>
      <c r="T43" s="7">
        <f>+[2]Resumen!T43*1000</f>
        <v>180425.92035600002</v>
      </c>
      <c r="U43" s="7">
        <f>+[2]Resumen!U43*1000</f>
        <v>181624.790454</v>
      </c>
      <c r="V43" s="7">
        <f>+[2]Resumen!V43*1000</f>
        <v>172351.98414300001</v>
      </c>
      <c r="W43" s="7">
        <f>+[2]Resumen!W43*1000</f>
        <v>177571.76952</v>
      </c>
      <c r="X43" s="7">
        <f>+[2]Resumen!X43*1000</f>
        <v>185409.46447800001</v>
      </c>
      <c r="Y43" s="7">
        <f>+[2]Resumen!Y43*1000</f>
        <v>182141.680074</v>
      </c>
      <c r="Z43" s="7">
        <f>+[2]Resumen!Z43*1000</f>
        <v>166231.915068</v>
      </c>
      <c r="AA43" s="7">
        <f>+[2]Resumen!AA43*1000</f>
        <v>145379.699655</v>
      </c>
      <c r="AB43" s="7">
        <f>+[2]Resumen!AB43*1000</f>
        <v>112678.62376500001</v>
      </c>
      <c r="AC43" s="7">
        <f>+[2]Resumen!AC43*1000</f>
        <v>95107.362549000012</v>
      </c>
      <c r="AD43" s="57">
        <f t="shared" ref="AD43" si="6">SUM(F43:AC43)*E43+SUM(F44:AC44)*E44+SUM(F45:AC45)*E45+SUM(F46:AC46)*E46</f>
        <v>93336949.667748004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5</v>
      </c>
      <c r="F44" s="7">
        <f>+[2]Resumen!F44*1000</f>
        <v>85791.146955000004</v>
      </c>
      <c r="G44" s="7">
        <f>+[2]Resumen!G44*1000</f>
        <v>68197.141377000007</v>
      </c>
      <c r="H44" s="7">
        <f>+[2]Resumen!H44*1000</f>
        <v>59451.987507000005</v>
      </c>
      <c r="I44" s="7">
        <f>+[2]Resumen!I44*1000</f>
        <v>54797.330211000008</v>
      </c>
      <c r="J44" s="7">
        <f>+[2]Resumen!J44*1000</f>
        <v>60062.116824000004</v>
      </c>
      <c r="K44" s="7">
        <f>+[2]Resumen!K44*1000</f>
        <v>73376.708994000015</v>
      </c>
      <c r="L44" s="7">
        <f>+[2]Resumen!L44*1000</f>
        <v>94932.552399000007</v>
      </c>
      <c r="M44" s="7">
        <f>+[2]Resumen!M44*1000</f>
        <v>92696.246901000006</v>
      </c>
      <c r="N44" s="7">
        <f>+[2]Resumen!N44*1000</f>
        <v>114257.612631</v>
      </c>
      <c r="O44" s="7">
        <f>+[2]Resumen!O44*1000</f>
        <v>132642.46085100001</v>
      </c>
      <c r="P44" s="7">
        <f>+[2]Resumen!P44*1000</f>
        <v>150946.57648800002</v>
      </c>
      <c r="Q44" s="7">
        <f>+[2]Resumen!Q44*1000</f>
        <v>160315.69976400002</v>
      </c>
      <c r="R44" s="7">
        <f>+[2]Resumen!R44*1000</f>
        <v>160365.73583699999</v>
      </c>
      <c r="S44" s="7">
        <f>+[2]Resumen!S44*1000</f>
        <v>159085.50094500001</v>
      </c>
      <c r="T44" s="7">
        <f>+[2]Resumen!T44*1000</f>
        <v>156083.29086300003</v>
      </c>
      <c r="U44" s="7">
        <f>+[2]Resumen!U44*1000</f>
        <v>157794.87646500001</v>
      </c>
      <c r="V44" s="7">
        <f>+[2]Resumen!V44*1000</f>
        <v>158551.38167100001</v>
      </c>
      <c r="W44" s="7">
        <f>+[2]Resumen!W44*1000</f>
        <v>177684.607758</v>
      </c>
      <c r="X44" s="7">
        <f>+[2]Resumen!X44*1000</f>
        <v>187519.662924</v>
      </c>
      <c r="Y44" s="7">
        <f>+[2]Resumen!Y44*1000</f>
        <v>180128.735484</v>
      </c>
      <c r="Z44" s="7">
        <f>+[2]Resumen!Z44*1000</f>
        <v>164253.68114700002</v>
      </c>
      <c r="AA44" s="7">
        <f>+[2]Resumen!AA44*1000</f>
        <v>144129.300552</v>
      </c>
      <c r="AB44" s="7">
        <f>+[2]Resumen!AB44*1000</f>
        <v>122712.73399200001</v>
      </c>
      <c r="AC44" s="7">
        <f>+[2]Resumen!AC44*1000</f>
        <v>101007.99347100001</v>
      </c>
      <c r="AD44" s="5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5</v>
      </c>
      <c r="F45" s="7">
        <f>+[2]Resumen!F45*1000</f>
        <v>85279.170299999998</v>
      </c>
      <c r="G45" s="7">
        <f>+[2]Resumen!G45*1000</f>
        <v>70567.467990000005</v>
      </c>
      <c r="H45" s="7">
        <f>+[2]Resumen!H45*1000</f>
        <v>61886.875812000006</v>
      </c>
      <c r="I45" s="7">
        <f>+[2]Resumen!I45*1000</f>
        <v>55936.437327</v>
      </c>
      <c r="J45" s="7">
        <f>+[2]Resumen!J45*1000</f>
        <v>55625.899854000003</v>
      </c>
      <c r="K45" s="7">
        <f>+[2]Resumen!K45*1000</f>
        <v>59774.262777000004</v>
      </c>
      <c r="L45" s="7">
        <f>+[2]Resumen!L45*1000</f>
        <v>69743.666589</v>
      </c>
      <c r="M45" s="7">
        <f>+[2]Resumen!M45*1000</f>
        <v>61087.433577000003</v>
      </c>
      <c r="N45" s="7">
        <f>+[2]Resumen!N45*1000</f>
        <v>77708.618766</v>
      </c>
      <c r="O45" s="7">
        <f>+[2]Resumen!O45*1000</f>
        <v>90627.34021200001</v>
      </c>
      <c r="P45" s="7">
        <f>+[2]Resumen!P45*1000</f>
        <v>103680.01422000001</v>
      </c>
      <c r="Q45" s="7">
        <f>+[2]Resumen!Q45*1000</f>
        <v>121284.47032200001</v>
      </c>
      <c r="R45" s="7">
        <f>+[2]Resumen!R45*1000</f>
        <v>130645.13111099998</v>
      </c>
      <c r="S45" s="7">
        <f>+[2]Resumen!S45*1000</f>
        <v>130527.58556700002</v>
      </c>
      <c r="T45" s="7">
        <f>+[2]Resumen!T45*1000</f>
        <v>128507.20678499999</v>
      </c>
      <c r="U45" s="7">
        <f>+[2]Resumen!U45*1000</f>
        <v>128128.99226699999</v>
      </c>
      <c r="V45" s="7">
        <f>+[2]Resumen!V45*1000</f>
        <v>124328.99283900001</v>
      </c>
      <c r="W45" s="7">
        <f>+[2]Resumen!W45*1000</f>
        <v>141742.78019700001</v>
      </c>
      <c r="X45" s="7">
        <f>+[2]Resumen!X45*1000</f>
        <v>160843.093227</v>
      </c>
      <c r="Y45" s="7">
        <f>+[2]Resumen!Y45*1000</f>
        <v>159941.33183100002</v>
      </c>
      <c r="Z45" s="7">
        <f>+[2]Resumen!Z45*1000</f>
        <v>146684.40796800001</v>
      </c>
      <c r="AA45" s="7">
        <f>+[2]Resumen!AA45*1000</f>
        <v>128198.70305099999</v>
      </c>
      <c r="AB45" s="7">
        <f>+[2]Resumen!AB45*1000</f>
        <v>101856.35969700001</v>
      </c>
      <c r="AC45" s="7">
        <f>+[2]Resumen!AC45*1000</f>
        <v>78469.252386000007</v>
      </c>
      <c r="AD45" s="5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+[2]Resumen!F46*1000</f>
        <v>74981.169108000002</v>
      </c>
      <c r="G46" s="7">
        <f>+[2]Resumen!G46*1000</f>
        <v>63180.120540000004</v>
      </c>
      <c r="H46" s="7">
        <f>+[2]Resumen!H46*1000</f>
        <v>55074.170076000002</v>
      </c>
      <c r="I46" s="7">
        <f>+[2]Resumen!I46*1000</f>
        <v>52101.361614000001</v>
      </c>
      <c r="J46" s="7">
        <f>+[2]Resumen!J46*1000</f>
        <v>54337.895622000004</v>
      </c>
      <c r="K46" s="7">
        <f>+[2]Resumen!K46*1000</f>
        <v>60451.017993000001</v>
      </c>
      <c r="L46" s="7">
        <f>+[2]Resumen!L46*1000</f>
        <v>68195.496104999998</v>
      </c>
      <c r="M46" s="7">
        <f>+[2]Resumen!M46*1000</f>
        <v>58613.355807000007</v>
      </c>
      <c r="N46" s="7">
        <f>+[2]Resumen!N46*1000</f>
        <v>76327.755687000012</v>
      </c>
      <c r="O46" s="7">
        <f>+[2]Resumen!O46*1000</f>
        <v>84705.290286000003</v>
      </c>
      <c r="P46" s="7">
        <f>+[2]Resumen!P46*1000</f>
        <v>97066.409247000003</v>
      </c>
      <c r="Q46" s="7">
        <f>+[2]Resumen!Q46*1000</f>
        <v>118574.68448699999</v>
      </c>
      <c r="R46" s="7">
        <f>+[2]Resumen!R46*1000</f>
        <v>135028.03669800001</v>
      </c>
      <c r="S46" s="7">
        <f>+[2]Resumen!S46*1000</f>
        <v>141390.32637300002</v>
      </c>
      <c r="T46" s="7">
        <f>+[2]Resumen!T46*1000</f>
        <v>135960.448902</v>
      </c>
      <c r="U46" s="7">
        <f>+[2]Resumen!U46*1000</f>
        <v>138864.07215300002</v>
      </c>
      <c r="V46" s="7">
        <f>+[2]Resumen!V46*1000</f>
        <v>142253.408643</v>
      </c>
      <c r="W46" s="7">
        <f>+[2]Resumen!W46*1000</f>
        <v>159466.97553900001</v>
      </c>
      <c r="X46" s="7">
        <f>+[2]Resumen!X46*1000</f>
        <v>167370.95363100001</v>
      </c>
      <c r="Y46" s="7">
        <f>+[2]Resumen!Y46*1000</f>
        <v>163677.63790500001</v>
      </c>
      <c r="Z46" s="7">
        <f>+[2]Resumen!Z46*1000</f>
        <v>144841.44435000001</v>
      </c>
      <c r="AA46" s="7">
        <f>+[2]Resumen!AA46*1000</f>
        <v>123820.29149400002</v>
      </c>
      <c r="AB46" s="7">
        <f>+[2]Resumen!AB46*1000</f>
        <v>95629.804962000009</v>
      </c>
      <c r="AC46" s="7">
        <f>+[2]Resumen!AC46*1000</f>
        <v>72466.332771000001</v>
      </c>
      <c r="AD46" s="5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+[2]Resumen!F47*1000</f>
        <v>94424.871732000014</v>
      </c>
      <c r="G47" s="7">
        <f>+[2]Resumen!G47*1000</f>
        <v>80010.765612000003</v>
      </c>
      <c r="H47" s="7">
        <f>+[2]Resumen!H47*1000</f>
        <v>73652.132097000009</v>
      </c>
      <c r="I47" s="7">
        <f>+[2]Resumen!I47*1000</f>
        <v>73982.824152000001</v>
      </c>
      <c r="J47" s="7">
        <f>+[2]Resumen!J47*1000</f>
        <v>82916.559708000015</v>
      </c>
      <c r="K47" s="7">
        <f>+[2]Resumen!K47*1000</f>
        <v>116130.85382400001</v>
      </c>
      <c r="L47" s="7">
        <f>+[2]Resumen!L47*1000</f>
        <v>149983.650582</v>
      </c>
      <c r="M47" s="7">
        <f>+[2]Resumen!M47*1000</f>
        <v>145058.125149</v>
      </c>
      <c r="N47" s="7">
        <f>+[2]Resumen!N47*1000</f>
        <v>161211.92360100002</v>
      </c>
      <c r="O47" s="7">
        <f>+[2]Resumen!O47*1000</f>
        <v>171591.754224</v>
      </c>
      <c r="P47" s="7">
        <f>+[2]Resumen!P47*1000</f>
        <v>187390.272945</v>
      </c>
      <c r="Q47" s="7">
        <f>+[2]Resumen!Q47*1000</f>
        <v>203825.08537800002</v>
      </c>
      <c r="R47" s="7">
        <f>+[2]Resumen!R47*1000</f>
        <v>208366.91205300004</v>
      </c>
      <c r="S47" s="7">
        <f>+[2]Resumen!S47*1000</f>
        <v>206590.96280100005</v>
      </c>
      <c r="T47" s="7">
        <f>+[2]Resumen!T47*1000</f>
        <v>209792.66211300003</v>
      </c>
      <c r="U47" s="7">
        <f>+[2]Resumen!U47*1000</f>
        <v>210576.35239200003</v>
      </c>
      <c r="V47" s="7">
        <f>+[2]Resumen!V47*1000</f>
        <v>203807.55104400002</v>
      </c>
      <c r="W47" s="7">
        <f>+[2]Resumen!W47*1000</f>
        <v>214664.41152600004</v>
      </c>
      <c r="X47" s="7">
        <f>+[2]Resumen!X47*1000</f>
        <v>227230.96859400001</v>
      </c>
      <c r="Y47" s="7">
        <f>+[2]Resumen!Y47*1000</f>
        <v>221055.02120700004</v>
      </c>
      <c r="Z47" s="7">
        <f>+[2]Resumen!Z47*1000</f>
        <v>200472.73704000001</v>
      </c>
      <c r="AA47" s="7">
        <f>+[2]Resumen!AA47*1000</f>
        <v>174067.55343599999</v>
      </c>
      <c r="AB47" s="7">
        <f>+[2]Resumen!AB47*1000</f>
        <v>138795.83906700002</v>
      </c>
      <c r="AC47" s="7">
        <f>+[2]Resumen!AC47*1000</f>
        <v>117535.398156</v>
      </c>
      <c r="AD47" s="57">
        <f t="shared" ref="AD47" si="7">SUM(F47:AC47)*E47+SUM(F48:AC48)*E48+SUM(F49:AC49)*E49+SUM(F50:AC50)*E50</f>
        <v>106615721.82886802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+[2]Resumen!F48*1000</f>
        <v>91933.884222000008</v>
      </c>
      <c r="G48" s="7">
        <f>+[2]Resumen!G48*1000</f>
        <v>75914.030715000001</v>
      </c>
      <c r="H48" s="7">
        <f>+[2]Resumen!H48*1000</f>
        <v>67021.922063999998</v>
      </c>
      <c r="I48" s="7">
        <f>+[2]Resumen!I48*1000</f>
        <v>64368.387773999995</v>
      </c>
      <c r="J48" s="7">
        <f>+[2]Resumen!J48*1000</f>
        <v>71721.679617000002</v>
      </c>
      <c r="K48" s="7">
        <f>+[2]Resumen!K48*1000</f>
        <v>89223.115794000012</v>
      </c>
      <c r="L48" s="7">
        <f>+[2]Resumen!L48*1000</f>
        <v>115356.03735000001</v>
      </c>
      <c r="M48" s="7">
        <f>+[2]Resumen!M48*1000</f>
        <v>119370.55434900001</v>
      </c>
      <c r="N48" s="7">
        <f>+[2]Resumen!N48*1000</f>
        <v>144449.02412700001</v>
      </c>
      <c r="O48" s="7">
        <f>+[2]Resumen!O48*1000</f>
        <v>161213.76691500001</v>
      </c>
      <c r="P48" s="7">
        <f>+[2]Resumen!P48*1000</f>
        <v>173234.215551</v>
      </c>
      <c r="Q48" s="7">
        <f>+[2]Resumen!Q48*1000</f>
        <v>178272.38879700002</v>
      </c>
      <c r="R48" s="7">
        <f>+[2]Resumen!R48*1000</f>
        <v>179441.72016900001</v>
      </c>
      <c r="S48" s="7">
        <f>+[2]Resumen!S48*1000</f>
        <v>177490.33617300002</v>
      </c>
      <c r="T48" s="7">
        <f>+[2]Resumen!T48*1000</f>
        <v>174612.80876400002</v>
      </c>
      <c r="U48" s="7">
        <f>+[2]Resumen!U48*1000</f>
        <v>171912.734604</v>
      </c>
      <c r="V48" s="7">
        <f>+[2]Resumen!V48*1000</f>
        <v>167183.24790000002</v>
      </c>
      <c r="W48" s="7">
        <f>+[2]Resumen!W48*1000</f>
        <v>188063.53195800001</v>
      </c>
      <c r="X48" s="7">
        <f>+[2]Resumen!X48*1000</f>
        <v>206797.21592700001</v>
      </c>
      <c r="Y48" s="7">
        <f>+[2]Resumen!Y48*1000</f>
        <v>199339.44169500002</v>
      </c>
      <c r="Z48" s="7">
        <f>+[2]Resumen!Z48*1000</f>
        <v>181532.03062800001</v>
      </c>
      <c r="AA48" s="7">
        <f>+[2]Resumen!AA48*1000</f>
        <v>156002.146962</v>
      </c>
      <c r="AB48" s="7">
        <f>+[2]Resumen!AB48*1000</f>
        <v>132104.95962899999</v>
      </c>
      <c r="AC48" s="7">
        <f>+[2]Resumen!AC48*1000</f>
        <v>106553.30657700001</v>
      </c>
      <c r="AD48" s="5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+[2]Resumen!F49*1000</f>
        <v>77646.55545</v>
      </c>
      <c r="G49" s="7">
        <f>+[2]Resumen!G49*1000</f>
        <v>62811.389187000001</v>
      </c>
      <c r="H49" s="7">
        <f>+[2]Resumen!H49*1000</f>
        <v>54165.370572000007</v>
      </c>
      <c r="I49" s="7">
        <f>+[2]Resumen!I49*1000</f>
        <v>50285.575452000005</v>
      </c>
      <c r="J49" s="7">
        <f>+[2]Resumen!J49*1000</f>
        <v>51561.521973000003</v>
      </c>
      <c r="K49" s="7">
        <f>+[2]Resumen!K49*1000</f>
        <v>57974.015295000005</v>
      </c>
      <c r="L49" s="7">
        <f>+[2]Resumen!L49*1000</f>
        <v>70027.26273300001</v>
      </c>
      <c r="M49" s="7">
        <f>+[2]Resumen!M49*1000</f>
        <v>65685.686988000001</v>
      </c>
      <c r="N49" s="7">
        <f>+[2]Resumen!N49*1000</f>
        <v>85923.408542999998</v>
      </c>
      <c r="O49" s="7">
        <f>+[2]Resumen!O49*1000</f>
        <v>101198.32706700001</v>
      </c>
      <c r="P49" s="7">
        <f>+[2]Resumen!P49*1000</f>
        <v>111655.79777100001</v>
      </c>
      <c r="Q49" s="7">
        <f>+[2]Resumen!Q49*1000</f>
        <v>126125.74411800002</v>
      </c>
      <c r="R49" s="7">
        <f>+[2]Resumen!R49*1000</f>
        <v>138163.399557</v>
      </c>
      <c r="S49" s="7">
        <f>+[2]Resumen!S49*1000</f>
        <v>144366.08261400001</v>
      </c>
      <c r="T49" s="7">
        <f>+[2]Resumen!T49*1000</f>
        <v>142848.56293800002</v>
      </c>
      <c r="U49" s="7">
        <f>+[2]Resumen!U49*1000</f>
        <v>137324.52411300002</v>
      </c>
      <c r="V49" s="7">
        <f>+[2]Resumen!V49*1000</f>
        <v>133276.62180300002</v>
      </c>
      <c r="W49" s="7">
        <f>+[2]Resumen!W49*1000</f>
        <v>154984.652868</v>
      </c>
      <c r="X49" s="7">
        <f>+[2]Resumen!X49*1000</f>
        <v>172407.13884000003</v>
      </c>
      <c r="Y49" s="7">
        <f>+[2]Resumen!Y49*1000</f>
        <v>166603.14479700002</v>
      </c>
      <c r="Z49" s="7">
        <f>+[2]Resumen!Z49*1000</f>
        <v>152934.42306300002</v>
      </c>
      <c r="AA49" s="7">
        <f>+[2]Resumen!AA49*1000</f>
        <v>132789.05001600002</v>
      </c>
      <c r="AB49" s="7">
        <f>+[2]Resumen!AB49*1000</f>
        <v>112386.88504800001</v>
      </c>
      <c r="AC49" s="7">
        <f>+[2]Resumen!AC49*1000</f>
        <v>87571.20938700001</v>
      </c>
      <c r="AD49" s="5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+[2]Resumen!F50*1000</f>
        <v>77644.239882000009</v>
      </c>
      <c r="G50" s="7">
        <f>+[2]Resumen!G50*1000</f>
        <v>62709.633684000008</v>
      </c>
      <c r="H50" s="7">
        <f>+[2]Resumen!H50*1000</f>
        <v>54096.924210000005</v>
      </c>
      <c r="I50" s="7">
        <f>+[2]Resumen!I50*1000</f>
        <v>49584.872388000003</v>
      </c>
      <c r="J50" s="7">
        <f>+[2]Resumen!J50*1000</f>
        <v>53689.391859000003</v>
      </c>
      <c r="K50" s="7">
        <f>+[2]Resumen!K50*1000</f>
        <v>63364.063473000002</v>
      </c>
      <c r="L50" s="7">
        <f>+[2]Resumen!L50*1000</f>
        <v>71863.972794000016</v>
      </c>
      <c r="M50" s="7">
        <f>+[2]Resumen!M50*1000</f>
        <v>59502.274941000003</v>
      </c>
      <c r="N50" s="7">
        <f>+[2]Resumen!N50*1000</f>
        <v>78720.186834000007</v>
      </c>
      <c r="O50" s="7">
        <f>+[2]Resumen!O50*1000</f>
        <v>92619.345669000017</v>
      </c>
      <c r="P50" s="7">
        <f>+[2]Resumen!P50*1000</f>
        <v>110026.81853400001</v>
      </c>
      <c r="Q50" s="7">
        <f>+[2]Resumen!Q50*1000</f>
        <v>128114.16196800001</v>
      </c>
      <c r="R50" s="7">
        <f>+[2]Resumen!R50*1000</f>
        <v>143113.809729</v>
      </c>
      <c r="S50" s="7">
        <f>+[2]Resumen!S50*1000</f>
        <v>151362.41136900001</v>
      </c>
      <c r="T50" s="7">
        <f>+[2]Resumen!T50*1000</f>
        <v>145192.53473099999</v>
      </c>
      <c r="U50" s="7">
        <f>+[2]Resumen!U50*1000</f>
        <v>140164.16456400001</v>
      </c>
      <c r="V50" s="7">
        <f>+[2]Resumen!V50*1000</f>
        <v>139760.69969100002</v>
      </c>
      <c r="W50" s="7">
        <f>+[2]Resumen!W50*1000</f>
        <v>162143.24657400002</v>
      </c>
      <c r="X50" s="7">
        <f>+[2]Resumen!X50*1000</f>
        <v>180289.65222600001</v>
      </c>
      <c r="Y50" s="7">
        <f>+[2]Resumen!Y50*1000</f>
        <v>176704.018029</v>
      </c>
      <c r="Z50" s="7">
        <f>+[2]Resumen!Z50*1000</f>
        <v>159000.75420300002</v>
      </c>
      <c r="AA50" s="7">
        <f>+[2]Resumen!AA50*1000</f>
        <v>130298.96131199998</v>
      </c>
      <c r="AB50" s="7">
        <f>+[2]Resumen!AB50*1000</f>
        <v>102161.21488800002</v>
      </c>
      <c r="AC50" s="7">
        <f>+[2]Resumen!AC50*1000</f>
        <v>76723.99964400001</v>
      </c>
      <c r="AD50" s="59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22</v>
      </c>
      <c r="F51" s="7">
        <f>+[2]Resumen!F51*1000</f>
        <v>83800.543025999999</v>
      </c>
      <c r="G51" s="7">
        <f>+[2]Resumen!G51*1000</f>
        <v>69563.395050000006</v>
      </c>
      <c r="H51" s="7">
        <f>+[2]Resumen!H51*1000</f>
        <v>61371.479124000005</v>
      </c>
      <c r="I51" s="7">
        <f>+[2]Resumen!I51*1000</f>
        <v>59809.826550000005</v>
      </c>
      <c r="J51" s="7">
        <f>+[2]Resumen!J51*1000</f>
        <v>63627.18512100001</v>
      </c>
      <c r="K51" s="7">
        <f>+[2]Resumen!K51*1000</f>
        <v>84312.146448</v>
      </c>
      <c r="L51" s="7">
        <f>+[2]Resumen!L51*1000</f>
        <v>109635.14477700001</v>
      </c>
      <c r="M51" s="7">
        <f>+[2]Resumen!M51*1000</f>
        <v>108739.812129</v>
      </c>
      <c r="N51" s="7">
        <f>+[2]Resumen!N51*1000</f>
        <v>129525.19598399999</v>
      </c>
      <c r="O51" s="7">
        <f>+[2]Resumen!O51*1000</f>
        <v>140048.92697100001</v>
      </c>
      <c r="P51" s="7">
        <f>+[2]Resumen!P51*1000</f>
        <v>154984.94231400001</v>
      </c>
      <c r="Q51" s="7">
        <f>+[2]Resumen!Q51*1000</f>
        <v>170463.91265100002</v>
      </c>
      <c r="R51" s="7">
        <f>+[2]Resumen!R51*1000</f>
        <v>178015.61210999999</v>
      </c>
      <c r="S51" s="7">
        <f>+[2]Resumen!S51*1000</f>
        <v>177609.077586</v>
      </c>
      <c r="T51" s="7">
        <f>+[2]Resumen!T51*1000</f>
        <v>181188.91524600002</v>
      </c>
      <c r="U51" s="7">
        <f>+[2]Resumen!U51*1000</f>
        <v>182243.13089700002</v>
      </c>
      <c r="V51" s="7">
        <f>+[2]Resumen!V51*1000</f>
        <v>175954.68803699999</v>
      </c>
      <c r="W51" s="7">
        <f>+[2]Resumen!W51*1000</f>
        <v>185152.383111</v>
      </c>
      <c r="X51" s="7">
        <f>+[2]Resumen!X51*1000</f>
        <v>198649.63855800001</v>
      </c>
      <c r="Y51" s="7">
        <f>+[2]Resumen!Y51*1000</f>
        <v>193826.99594400002</v>
      </c>
      <c r="Z51" s="7">
        <f>+[2]Resumen!Z51*1000</f>
        <v>176451.57541500003</v>
      </c>
      <c r="AA51" s="7">
        <f>+[2]Resumen!AA51*1000</f>
        <v>155502.784059</v>
      </c>
      <c r="AB51" s="7">
        <f>+[2]Resumen!AB51*1000</f>
        <v>126790.39592100002</v>
      </c>
      <c r="AC51" s="7">
        <f>+[2]Resumen!AC51*1000</f>
        <v>109043.74566300002</v>
      </c>
      <c r="AD51" s="57">
        <f t="shared" ref="AD51" si="8">SUM(F51:AC51)*E51+SUM(F52:AC52)*E52+SUM(F53:AC53)*E53+SUM(F54:AC54)*E54</f>
        <v>94139432.54059501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3</v>
      </c>
      <c r="F52" s="7">
        <f>+[2]Resumen!F52*1000</f>
        <v>85995.998552999998</v>
      </c>
      <c r="G52" s="7">
        <f>+[2]Resumen!G52*1000</f>
        <v>68677.195185000004</v>
      </c>
      <c r="H52" s="7">
        <f>+[2]Resumen!H52*1000</f>
        <v>60009.247227</v>
      </c>
      <c r="I52" s="7">
        <f>+[2]Resumen!I52*1000</f>
        <v>56167.567575000001</v>
      </c>
      <c r="J52" s="7">
        <f>+[2]Resumen!J52*1000</f>
        <v>58796.864571000006</v>
      </c>
      <c r="K52" s="7">
        <f>+[2]Resumen!K52*1000</f>
        <v>70020.369348000007</v>
      </c>
      <c r="L52" s="7">
        <f>+[2]Resumen!L52*1000</f>
        <v>88167.224403</v>
      </c>
      <c r="M52" s="7">
        <f>+[2]Resumen!M52*1000</f>
        <v>86097.754056000005</v>
      </c>
      <c r="N52" s="7">
        <f>+[2]Resumen!N52*1000</f>
        <v>110262.640854</v>
      </c>
      <c r="O52" s="7">
        <f>+[2]Resumen!O52*1000</f>
        <v>128145.98579400001</v>
      </c>
      <c r="P52" s="7">
        <f>+[2]Resumen!P52*1000</f>
        <v>139289.42828399999</v>
      </c>
      <c r="Q52" s="7">
        <f>+[2]Resumen!Q52*1000</f>
        <v>146892.664365</v>
      </c>
      <c r="R52" s="7">
        <f>+[2]Resumen!R52*1000</f>
        <v>149016.47439000002</v>
      </c>
      <c r="S52" s="7">
        <f>+[2]Resumen!S52*1000</f>
        <v>150217.538184</v>
      </c>
      <c r="T52" s="7">
        <f>+[2]Resumen!T52*1000</f>
        <v>150050.604012</v>
      </c>
      <c r="U52" s="7">
        <f>+[2]Resumen!U52*1000</f>
        <v>145439.25697800002</v>
      </c>
      <c r="V52" s="7">
        <f>+[2]Resumen!V52*1000</f>
        <v>140771.13282600002</v>
      </c>
      <c r="W52" s="7">
        <f>+[2]Resumen!W52*1000</f>
        <v>154883.780937</v>
      </c>
      <c r="X52" s="7">
        <f>+[2]Resumen!X52*1000</f>
        <v>178222.32225600001</v>
      </c>
      <c r="Y52" s="7">
        <f>+[2]Resumen!Y52*1000</f>
        <v>171092.61983100002</v>
      </c>
      <c r="Z52" s="7">
        <f>+[2]Resumen!Z52*1000</f>
        <v>149884.13447700001</v>
      </c>
      <c r="AA52" s="7">
        <f>+[2]Resumen!AA52*1000</f>
        <v>131021.67750600001</v>
      </c>
      <c r="AB52" s="7">
        <f>+[2]Resumen!AB52*1000</f>
        <v>112606.74975300001</v>
      </c>
      <c r="AC52" s="7">
        <f>+[2]Resumen!AC52*1000</f>
        <v>95850.941705999998</v>
      </c>
      <c r="AD52" s="5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+[2]Resumen!F53*1000</f>
        <v>90057.680015999998</v>
      </c>
      <c r="G53" s="7">
        <f>+[2]Resumen!G53*1000</f>
        <v>70722.717684000003</v>
      </c>
      <c r="H53" s="7">
        <f>+[2]Resumen!H53*1000</f>
        <v>62072.410698000007</v>
      </c>
      <c r="I53" s="7">
        <f>+[2]Resumen!I53*1000</f>
        <v>55724.174387999999</v>
      </c>
      <c r="J53" s="7">
        <f>+[2]Resumen!J53*1000</f>
        <v>53631.083724000004</v>
      </c>
      <c r="K53" s="7">
        <f>+[2]Resumen!K53*1000</f>
        <v>59981.627985000006</v>
      </c>
      <c r="L53" s="7">
        <f>+[2]Resumen!L53*1000</f>
        <v>69185.409041999999</v>
      </c>
      <c r="M53" s="7">
        <f>+[2]Resumen!M53*1000</f>
        <v>57122.701290000005</v>
      </c>
      <c r="N53" s="7">
        <f>+[2]Resumen!N53*1000</f>
        <v>77683.376027999999</v>
      </c>
      <c r="O53" s="7">
        <f>+[2]Resumen!O53*1000</f>
        <v>92109.852155999994</v>
      </c>
      <c r="P53" s="7">
        <f>+[2]Resumen!P53*1000</f>
        <v>105646.091409</v>
      </c>
      <c r="Q53" s="7">
        <f>+[2]Resumen!Q53*1000</f>
        <v>117752.84065500001</v>
      </c>
      <c r="R53" s="7">
        <f>+[2]Resumen!R53*1000</f>
        <v>124906.75752300001</v>
      </c>
      <c r="S53" s="7">
        <f>+[2]Resumen!S53*1000</f>
        <v>129737.28373200001</v>
      </c>
      <c r="T53" s="7">
        <f>+[2]Resumen!T53*1000</f>
        <v>128861.00120099999</v>
      </c>
      <c r="U53" s="7">
        <f>+[2]Resumen!U53*1000</f>
        <v>130298.64901500002</v>
      </c>
      <c r="V53" s="7">
        <f>+[2]Resumen!V53*1000</f>
        <v>130185.90218099998</v>
      </c>
      <c r="W53" s="7">
        <f>+[2]Resumen!W53*1000</f>
        <v>144500.606451</v>
      </c>
      <c r="X53" s="7">
        <f>+[2]Resumen!X53*1000</f>
        <v>159166.12689000001</v>
      </c>
      <c r="Y53" s="7">
        <f>+[2]Resumen!Y53*1000</f>
        <v>157657.04685000001</v>
      </c>
      <c r="Z53" s="7">
        <f>+[2]Resumen!Z53*1000</f>
        <v>149986.79640300001</v>
      </c>
      <c r="AA53" s="7">
        <f>+[2]Resumen!AA53*1000</f>
        <v>134614.05274800002</v>
      </c>
      <c r="AB53" s="7">
        <f>+[2]Resumen!AB53*1000</f>
        <v>112788.70464900001</v>
      </c>
      <c r="AC53" s="7">
        <f>+[2]Resumen!AC53*1000</f>
        <v>88913.202915000002</v>
      </c>
      <c r="AD53" s="5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+[2]Resumen!F54*1000</f>
        <v>66363.455264999997</v>
      </c>
      <c r="G54" s="7">
        <f>+[2]Resumen!G54*1000</f>
        <v>55576.914926999998</v>
      </c>
      <c r="H54" s="7">
        <f>+[2]Resumen!H54*1000</f>
        <v>45954.998655000003</v>
      </c>
      <c r="I54" s="7">
        <f>+[2]Resumen!I54*1000</f>
        <v>38525.026473000005</v>
      </c>
      <c r="J54" s="7">
        <f>+[2]Resumen!J54*1000</f>
        <v>34848.270105000003</v>
      </c>
      <c r="K54" s="7">
        <f>+[2]Resumen!K54*1000</f>
        <v>36030.428505000003</v>
      </c>
      <c r="L54" s="7">
        <f>+[2]Resumen!L54*1000</f>
        <v>37943.498991000008</v>
      </c>
      <c r="M54" s="7">
        <f>+[2]Resumen!M54*1000</f>
        <v>18830.092338000002</v>
      </c>
      <c r="N54" s="7">
        <f>+[2]Resumen!N54*1000</f>
        <v>30043.253229000005</v>
      </c>
      <c r="O54" s="7">
        <f>+[2]Resumen!O54*1000</f>
        <v>44834.583657000003</v>
      </c>
      <c r="P54" s="7">
        <f>+[2]Resumen!P54*1000</f>
        <v>58089.527100000007</v>
      </c>
      <c r="Q54" s="7">
        <f>+[2]Resumen!Q54*1000</f>
        <v>70777.02689400001</v>
      </c>
      <c r="R54" s="7">
        <f>+[2]Resumen!R54*1000</f>
        <v>84785.12406300001</v>
      </c>
      <c r="S54" s="7">
        <f>+[2]Resumen!S54*1000</f>
        <v>89752.908611999999</v>
      </c>
      <c r="T54" s="7">
        <f>+[2]Resumen!T54*1000</f>
        <v>89051.131550999999</v>
      </c>
      <c r="U54" s="7">
        <f>+[2]Resumen!U54*1000</f>
        <v>92889.794871000006</v>
      </c>
      <c r="V54" s="7">
        <f>+[2]Resumen!V54*1000</f>
        <v>95186.922114000001</v>
      </c>
      <c r="W54" s="7">
        <f>+[2]Resumen!W54*1000</f>
        <v>111460.17036</v>
      </c>
      <c r="X54" s="7">
        <f>+[2]Resumen!X54*1000</f>
        <v>137622.41736600001</v>
      </c>
      <c r="Y54" s="7">
        <f>+[2]Resumen!Y54*1000</f>
        <v>139273.13552100002</v>
      </c>
      <c r="Z54" s="7">
        <f>+[2]Resumen!Z54*1000</f>
        <v>129727.10742000001</v>
      </c>
      <c r="AA54" s="7">
        <f>+[2]Resumen!AA54*1000</f>
        <v>114335.97632700001</v>
      </c>
      <c r="AB54" s="7">
        <f>+[2]Resumen!AB54*1000</f>
        <v>92164.717407000004</v>
      </c>
      <c r="AC54" s="7">
        <f>+[2]Resumen!AC54*1000</f>
        <v>68241.358061999999</v>
      </c>
      <c r="AD54" s="59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AA55" s="60" t="s">
        <v>46</v>
      </c>
      <c r="AB55" s="61"/>
      <c r="AC55" s="62"/>
      <c r="AD55" s="17">
        <f>SUM(AD7:AD54)</f>
        <v>1267994752.2732811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6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A55:AC55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5C97-6CFB-4CD7-93B5-29463B5EEB7F}">
  <sheetPr codeName="Hoja5"/>
  <dimension ref="C1:BD57"/>
  <sheetViews>
    <sheetView showGridLines="0" zoomScale="66" zoomScaleNormal="66" workbookViewId="0">
      <selection activeCell="E11" sqref="E11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3.1796875" style="1" bestFit="1" customWidth="1"/>
    <col min="5" max="5" width="7.81640625" style="1" bestFit="1" customWidth="1"/>
    <col min="6" max="29" width="11.54296875" style="1" customWidth="1"/>
    <col min="30" max="30" width="19.54296875" style="1" bestFit="1" customWidth="1"/>
    <col min="31" max="31" width="2.81640625" style="1" customWidth="1"/>
    <col min="32" max="55" width="11.453125" style="1"/>
    <col min="56" max="56" width="15.1796875" style="1" bestFit="1" customWidth="1"/>
    <col min="57" max="258" width="11.453125" style="1"/>
    <col min="259" max="259" width="7" style="1" customWidth="1"/>
    <col min="260" max="260" width="10.81640625" style="1" customWidth="1"/>
    <col min="261" max="261" width="9.1796875" style="1" customWidth="1"/>
    <col min="262" max="285" width="7.1796875" style="1" customWidth="1"/>
    <col min="286" max="286" width="14.1796875" style="1" bestFit="1" customWidth="1"/>
    <col min="287" max="514" width="11.453125" style="1"/>
    <col min="515" max="515" width="7" style="1" customWidth="1"/>
    <col min="516" max="516" width="10.81640625" style="1" customWidth="1"/>
    <col min="517" max="517" width="9.1796875" style="1" customWidth="1"/>
    <col min="518" max="541" width="7.1796875" style="1" customWidth="1"/>
    <col min="542" max="542" width="14.1796875" style="1" bestFit="1" customWidth="1"/>
    <col min="543" max="770" width="11.453125" style="1"/>
    <col min="771" max="771" width="7" style="1" customWidth="1"/>
    <col min="772" max="772" width="10.81640625" style="1" customWidth="1"/>
    <col min="773" max="773" width="9.1796875" style="1" customWidth="1"/>
    <col min="774" max="797" width="7.1796875" style="1" customWidth="1"/>
    <col min="798" max="798" width="14.1796875" style="1" bestFit="1" customWidth="1"/>
    <col min="799" max="1026" width="11.453125" style="1"/>
    <col min="1027" max="1027" width="7" style="1" customWidth="1"/>
    <col min="1028" max="1028" width="10.81640625" style="1" customWidth="1"/>
    <col min="1029" max="1029" width="9.1796875" style="1" customWidth="1"/>
    <col min="1030" max="1053" width="7.1796875" style="1" customWidth="1"/>
    <col min="1054" max="1054" width="14.1796875" style="1" bestFit="1" customWidth="1"/>
    <col min="1055" max="1282" width="11.453125" style="1"/>
    <col min="1283" max="1283" width="7" style="1" customWidth="1"/>
    <col min="1284" max="1284" width="10.81640625" style="1" customWidth="1"/>
    <col min="1285" max="1285" width="9.1796875" style="1" customWidth="1"/>
    <col min="1286" max="1309" width="7.1796875" style="1" customWidth="1"/>
    <col min="1310" max="1310" width="14.1796875" style="1" bestFit="1" customWidth="1"/>
    <col min="1311" max="1538" width="11.453125" style="1"/>
    <col min="1539" max="1539" width="7" style="1" customWidth="1"/>
    <col min="1540" max="1540" width="10.81640625" style="1" customWidth="1"/>
    <col min="1541" max="1541" width="9.1796875" style="1" customWidth="1"/>
    <col min="1542" max="1565" width="7.1796875" style="1" customWidth="1"/>
    <col min="1566" max="1566" width="14.1796875" style="1" bestFit="1" customWidth="1"/>
    <col min="1567" max="1794" width="11.453125" style="1"/>
    <col min="1795" max="1795" width="7" style="1" customWidth="1"/>
    <col min="1796" max="1796" width="10.81640625" style="1" customWidth="1"/>
    <col min="1797" max="1797" width="9.1796875" style="1" customWidth="1"/>
    <col min="1798" max="1821" width="7.1796875" style="1" customWidth="1"/>
    <col min="1822" max="1822" width="14.1796875" style="1" bestFit="1" customWidth="1"/>
    <col min="1823" max="2050" width="11.453125" style="1"/>
    <col min="2051" max="2051" width="7" style="1" customWidth="1"/>
    <col min="2052" max="2052" width="10.81640625" style="1" customWidth="1"/>
    <col min="2053" max="2053" width="9.1796875" style="1" customWidth="1"/>
    <col min="2054" max="2077" width="7.1796875" style="1" customWidth="1"/>
    <col min="2078" max="2078" width="14.1796875" style="1" bestFit="1" customWidth="1"/>
    <col min="2079" max="2306" width="11.453125" style="1"/>
    <col min="2307" max="2307" width="7" style="1" customWidth="1"/>
    <col min="2308" max="2308" width="10.81640625" style="1" customWidth="1"/>
    <col min="2309" max="2309" width="9.1796875" style="1" customWidth="1"/>
    <col min="2310" max="2333" width="7.1796875" style="1" customWidth="1"/>
    <col min="2334" max="2334" width="14.1796875" style="1" bestFit="1" customWidth="1"/>
    <col min="2335" max="2562" width="11.453125" style="1"/>
    <col min="2563" max="2563" width="7" style="1" customWidth="1"/>
    <col min="2564" max="2564" width="10.81640625" style="1" customWidth="1"/>
    <col min="2565" max="2565" width="9.1796875" style="1" customWidth="1"/>
    <col min="2566" max="2589" width="7.1796875" style="1" customWidth="1"/>
    <col min="2590" max="2590" width="14.1796875" style="1" bestFit="1" customWidth="1"/>
    <col min="2591" max="2818" width="11.453125" style="1"/>
    <col min="2819" max="2819" width="7" style="1" customWidth="1"/>
    <col min="2820" max="2820" width="10.81640625" style="1" customWidth="1"/>
    <col min="2821" max="2821" width="9.1796875" style="1" customWidth="1"/>
    <col min="2822" max="2845" width="7.1796875" style="1" customWidth="1"/>
    <col min="2846" max="2846" width="14.1796875" style="1" bestFit="1" customWidth="1"/>
    <col min="2847" max="3074" width="11.453125" style="1"/>
    <col min="3075" max="3075" width="7" style="1" customWidth="1"/>
    <col min="3076" max="3076" width="10.81640625" style="1" customWidth="1"/>
    <col min="3077" max="3077" width="9.1796875" style="1" customWidth="1"/>
    <col min="3078" max="3101" width="7.1796875" style="1" customWidth="1"/>
    <col min="3102" max="3102" width="14.1796875" style="1" bestFit="1" customWidth="1"/>
    <col min="3103" max="3330" width="11.453125" style="1"/>
    <col min="3331" max="3331" width="7" style="1" customWidth="1"/>
    <col min="3332" max="3332" width="10.81640625" style="1" customWidth="1"/>
    <col min="3333" max="3333" width="9.1796875" style="1" customWidth="1"/>
    <col min="3334" max="3357" width="7.1796875" style="1" customWidth="1"/>
    <col min="3358" max="3358" width="14.1796875" style="1" bestFit="1" customWidth="1"/>
    <col min="3359" max="3586" width="11.453125" style="1"/>
    <col min="3587" max="3587" width="7" style="1" customWidth="1"/>
    <col min="3588" max="3588" width="10.81640625" style="1" customWidth="1"/>
    <col min="3589" max="3589" width="9.1796875" style="1" customWidth="1"/>
    <col min="3590" max="3613" width="7.1796875" style="1" customWidth="1"/>
    <col min="3614" max="3614" width="14.1796875" style="1" bestFit="1" customWidth="1"/>
    <col min="3615" max="3842" width="11.453125" style="1"/>
    <col min="3843" max="3843" width="7" style="1" customWidth="1"/>
    <col min="3844" max="3844" width="10.81640625" style="1" customWidth="1"/>
    <col min="3845" max="3845" width="9.1796875" style="1" customWidth="1"/>
    <col min="3846" max="3869" width="7.1796875" style="1" customWidth="1"/>
    <col min="3870" max="3870" width="14.1796875" style="1" bestFit="1" customWidth="1"/>
    <col min="3871" max="4098" width="11.453125" style="1"/>
    <col min="4099" max="4099" width="7" style="1" customWidth="1"/>
    <col min="4100" max="4100" width="10.81640625" style="1" customWidth="1"/>
    <col min="4101" max="4101" width="9.1796875" style="1" customWidth="1"/>
    <col min="4102" max="4125" width="7.1796875" style="1" customWidth="1"/>
    <col min="4126" max="4126" width="14.1796875" style="1" bestFit="1" customWidth="1"/>
    <col min="4127" max="4354" width="11.453125" style="1"/>
    <col min="4355" max="4355" width="7" style="1" customWidth="1"/>
    <col min="4356" max="4356" width="10.81640625" style="1" customWidth="1"/>
    <col min="4357" max="4357" width="9.1796875" style="1" customWidth="1"/>
    <col min="4358" max="4381" width="7.1796875" style="1" customWidth="1"/>
    <col min="4382" max="4382" width="14.1796875" style="1" bestFit="1" customWidth="1"/>
    <col min="4383" max="4610" width="11.453125" style="1"/>
    <col min="4611" max="4611" width="7" style="1" customWidth="1"/>
    <col min="4612" max="4612" width="10.81640625" style="1" customWidth="1"/>
    <col min="4613" max="4613" width="9.1796875" style="1" customWidth="1"/>
    <col min="4614" max="4637" width="7.1796875" style="1" customWidth="1"/>
    <col min="4638" max="4638" width="14.1796875" style="1" bestFit="1" customWidth="1"/>
    <col min="4639" max="4866" width="11.453125" style="1"/>
    <col min="4867" max="4867" width="7" style="1" customWidth="1"/>
    <col min="4868" max="4868" width="10.81640625" style="1" customWidth="1"/>
    <col min="4869" max="4869" width="9.1796875" style="1" customWidth="1"/>
    <col min="4870" max="4893" width="7.1796875" style="1" customWidth="1"/>
    <col min="4894" max="4894" width="14.1796875" style="1" bestFit="1" customWidth="1"/>
    <col min="4895" max="5122" width="11.453125" style="1"/>
    <col min="5123" max="5123" width="7" style="1" customWidth="1"/>
    <col min="5124" max="5124" width="10.81640625" style="1" customWidth="1"/>
    <col min="5125" max="5125" width="9.1796875" style="1" customWidth="1"/>
    <col min="5126" max="5149" width="7.1796875" style="1" customWidth="1"/>
    <col min="5150" max="5150" width="14.1796875" style="1" bestFit="1" customWidth="1"/>
    <col min="5151" max="5378" width="11.453125" style="1"/>
    <col min="5379" max="5379" width="7" style="1" customWidth="1"/>
    <col min="5380" max="5380" width="10.81640625" style="1" customWidth="1"/>
    <col min="5381" max="5381" width="9.1796875" style="1" customWidth="1"/>
    <col min="5382" max="5405" width="7.1796875" style="1" customWidth="1"/>
    <col min="5406" max="5406" width="14.1796875" style="1" bestFit="1" customWidth="1"/>
    <col min="5407" max="5634" width="11.453125" style="1"/>
    <col min="5635" max="5635" width="7" style="1" customWidth="1"/>
    <col min="5636" max="5636" width="10.81640625" style="1" customWidth="1"/>
    <col min="5637" max="5637" width="9.1796875" style="1" customWidth="1"/>
    <col min="5638" max="5661" width="7.1796875" style="1" customWidth="1"/>
    <col min="5662" max="5662" width="14.1796875" style="1" bestFit="1" customWidth="1"/>
    <col min="5663" max="5890" width="11.453125" style="1"/>
    <col min="5891" max="5891" width="7" style="1" customWidth="1"/>
    <col min="5892" max="5892" width="10.81640625" style="1" customWidth="1"/>
    <col min="5893" max="5893" width="9.1796875" style="1" customWidth="1"/>
    <col min="5894" max="5917" width="7.1796875" style="1" customWidth="1"/>
    <col min="5918" max="5918" width="14.1796875" style="1" bestFit="1" customWidth="1"/>
    <col min="5919" max="6146" width="11.453125" style="1"/>
    <col min="6147" max="6147" width="7" style="1" customWidth="1"/>
    <col min="6148" max="6148" width="10.81640625" style="1" customWidth="1"/>
    <col min="6149" max="6149" width="9.1796875" style="1" customWidth="1"/>
    <col min="6150" max="6173" width="7.1796875" style="1" customWidth="1"/>
    <col min="6174" max="6174" width="14.1796875" style="1" bestFit="1" customWidth="1"/>
    <col min="6175" max="6402" width="11.453125" style="1"/>
    <col min="6403" max="6403" width="7" style="1" customWidth="1"/>
    <col min="6404" max="6404" width="10.81640625" style="1" customWidth="1"/>
    <col min="6405" max="6405" width="9.1796875" style="1" customWidth="1"/>
    <col min="6406" max="6429" width="7.1796875" style="1" customWidth="1"/>
    <col min="6430" max="6430" width="14.1796875" style="1" bestFit="1" customWidth="1"/>
    <col min="6431" max="6658" width="11.453125" style="1"/>
    <col min="6659" max="6659" width="7" style="1" customWidth="1"/>
    <col min="6660" max="6660" width="10.81640625" style="1" customWidth="1"/>
    <col min="6661" max="6661" width="9.1796875" style="1" customWidth="1"/>
    <col min="6662" max="6685" width="7.1796875" style="1" customWidth="1"/>
    <col min="6686" max="6686" width="14.1796875" style="1" bestFit="1" customWidth="1"/>
    <col min="6687" max="6914" width="11.453125" style="1"/>
    <col min="6915" max="6915" width="7" style="1" customWidth="1"/>
    <col min="6916" max="6916" width="10.81640625" style="1" customWidth="1"/>
    <col min="6917" max="6917" width="9.1796875" style="1" customWidth="1"/>
    <col min="6918" max="6941" width="7.1796875" style="1" customWidth="1"/>
    <col min="6942" max="6942" width="14.1796875" style="1" bestFit="1" customWidth="1"/>
    <col min="6943" max="7170" width="11.453125" style="1"/>
    <col min="7171" max="7171" width="7" style="1" customWidth="1"/>
    <col min="7172" max="7172" width="10.81640625" style="1" customWidth="1"/>
    <col min="7173" max="7173" width="9.1796875" style="1" customWidth="1"/>
    <col min="7174" max="7197" width="7.1796875" style="1" customWidth="1"/>
    <col min="7198" max="7198" width="14.1796875" style="1" bestFit="1" customWidth="1"/>
    <col min="7199" max="7426" width="11.453125" style="1"/>
    <col min="7427" max="7427" width="7" style="1" customWidth="1"/>
    <col min="7428" max="7428" width="10.81640625" style="1" customWidth="1"/>
    <col min="7429" max="7429" width="9.1796875" style="1" customWidth="1"/>
    <col min="7430" max="7453" width="7.1796875" style="1" customWidth="1"/>
    <col min="7454" max="7454" width="14.1796875" style="1" bestFit="1" customWidth="1"/>
    <col min="7455" max="7682" width="11.453125" style="1"/>
    <col min="7683" max="7683" width="7" style="1" customWidth="1"/>
    <col min="7684" max="7684" width="10.81640625" style="1" customWidth="1"/>
    <col min="7685" max="7685" width="9.1796875" style="1" customWidth="1"/>
    <col min="7686" max="7709" width="7.1796875" style="1" customWidth="1"/>
    <col min="7710" max="7710" width="14.1796875" style="1" bestFit="1" customWidth="1"/>
    <col min="7711" max="7938" width="11.453125" style="1"/>
    <col min="7939" max="7939" width="7" style="1" customWidth="1"/>
    <col min="7940" max="7940" width="10.81640625" style="1" customWidth="1"/>
    <col min="7941" max="7941" width="9.1796875" style="1" customWidth="1"/>
    <col min="7942" max="7965" width="7.1796875" style="1" customWidth="1"/>
    <col min="7966" max="7966" width="14.1796875" style="1" bestFit="1" customWidth="1"/>
    <col min="7967" max="8194" width="11.453125" style="1"/>
    <col min="8195" max="8195" width="7" style="1" customWidth="1"/>
    <col min="8196" max="8196" width="10.81640625" style="1" customWidth="1"/>
    <col min="8197" max="8197" width="9.1796875" style="1" customWidth="1"/>
    <col min="8198" max="8221" width="7.1796875" style="1" customWidth="1"/>
    <col min="8222" max="8222" width="14.1796875" style="1" bestFit="1" customWidth="1"/>
    <col min="8223" max="8450" width="11.453125" style="1"/>
    <col min="8451" max="8451" width="7" style="1" customWidth="1"/>
    <col min="8452" max="8452" width="10.81640625" style="1" customWidth="1"/>
    <col min="8453" max="8453" width="9.1796875" style="1" customWidth="1"/>
    <col min="8454" max="8477" width="7.1796875" style="1" customWidth="1"/>
    <col min="8478" max="8478" width="14.1796875" style="1" bestFit="1" customWidth="1"/>
    <col min="8479" max="8706" width="11.453125" style="1"/>
    <col min="8707" max="8707" width="7" style="1" customWidth="1"/>
    <col min="8708" max="8708" width="10.81640625" style="1" customWidth="1"/>
    <col min="8709" max="8709" width="9.1796875" style="1" customWidth="1"/>
    <col min="8710" max="8733" width="7.1796875" style="1" customWidth="1"/>
    <col min="8734" max="8734" width="14.1796875" style="1" bestFit="1" customWidth="1"/>
    <col min="8735" max="8962" width="11.453125" style="1"/>
    <col min="8963" max="8963" width="7" style="1" customWidth="1"/>
    <col min="8964" max="8964" width="10.81640625" style="1" customWidth="1"/>
    <col min="8965" max="8965" width="9.1796875" style="1" customWidth="1"/>
    <col min="8966" max="8989" width="7.1796875" style="1" customWidth="1"/>
    <col min="8990" max="8990" width="14.1796875" style="1" bestFit="1" customWidth="1"/>
    <col min="8991" max="9218" width="11.453125" style="1"/>
    <col min="9219" max="9219" width="7" style="1" customWidth="1"/>
    <col min="9220" max="9220" width="10.81640625" style="1" customWidth="1"/>
    <col min="9221" max="9221" width="9.1796875" style="1" customWidth="1"/>
    <col min="9222" max="9245" width="7.1796875" style="1" customWidth="1"/>
    <col min="9246" max="9246" width="14.1796875" style="1" bestFit="1" customWidth="1"/>
    <col min="9247" max="9474" width="11.453125" style="1"/>
    <col min="9475" max="9475" width="7" style="1" customWidth="1"/>
    <col min="9476" max="9476" width="10.81640625" style="1" customWidth="1"/>
    <col min="9477" max="9477" width="9.1796875" style="1" customWidth="1"/>
    <col min="9478" max="9501" width="7.1796875" style="1" customWidth="1"/>
    <col min="9502" max="9502" width="14.1796875" style="1" bestFit="1" customWidth="1"/>
    <col min="9503" max="9730" width="11.453125" style="1"/>
    <col min="9731" max="9731" width="7" style="1" customWidth="1"/>
    <col min="9732" max="9732" width="10.81640625" style="1" customWidth="1"/>
    <col min="9733" max="9733" width="9.1796875" style="1" customWidth="1"/>
    <col min="9734" max="9757" width="7.1796875" style="1" customWidth="1"/>
    <col min="9758" max="9758" width="14.1796875" style="1" bestFit="1" customWidth="1"/>
    <col min="9759" max="9986" width="11.453125" style="1"/>
    <col min="9987" max="9987" width="7" style="1" customWidth="1"/>
    <col min="9988" max="9988" width="10.81640625" style="1" customWidth="1"/>
    <col min="9989" max="9989" width="9.1796875" style="1" customWidth="1"/>
    <col min="9990" max="10013" width="7.1796875" style="1" customWidth="1"/>
    <col min="10014" max="10014" width="14.1796875" style="1" bestFit="1" customWidth="1"/>
    <col min="10015" max="10242" width="11.453125" style="1"/>
    <col min="10243" max="10243" width="7" style="1" customWidth="1"/>
    <col min="10244" max="10244" width="10.81640625" style="1" customWidth="1"/>
    <col min="10245" max="10245" width="9.1796875" style="1" customWidth="1"/>
    <col min="10246" max="10269" width="7.1796875" style="1" customWidth="1"/>
    <col min="10270" max="10270" width="14.1796875" style="1" bestFit="1" customWidth="1"/>
    <col min="10271" max="10498" width="11.453125" style="1"/>
    <col min="10499" max="10499" width="7" style="1" customWidth="1"/>
    <col min="10500" max="10500" width="10.81640625" style="1" customWidth="1"/>
    <col min="10501" max="10501" width="9.1796875" style="1" customWidth="1"/>
    <col min="10502" max="10525" width="7.1796875" style="1" customWidth="1"/>
    <col min="10526" max="10526" width="14.1796875" style="1" bestFit="1" customWidth="1"/>
    <col min="10527" max="10754" width="11.453125" style="1"/>
    <col min="10755" max="10755" width="7" style="1" customWidth="1"/>
    <col min="10756" max="10756" width="10.81640625" style="1" customWidth="1"/>
    <col min="10757" max="10757" width="9.1796875" style="1" customWidth="1"/>
    <col min="10758" max="10781" width="7.1796875" style="1" customWidth="1"/>
    <col min="10782" max="10782" width="14.1796875" style="1" bestFit="1" customWidth="1"/>
    <col min="10783" max="11010" width="11.453125" style="1"/>
    <col min="11011" max="11011" width="7" style="1" customWidth="1"/>
    <col min="11012" max="11012" width="10.81640625" style="1" customWidth="1"/>
    <col min="11013" max="11013" width="9.1796875" style="1" customWidth="1"/>
    <col min="11014" max="11037" width="7.1796875" style="1" customWidth="1"/>
    <col min="11038" max="11038" width="14.1796875" style="1" bestFit="1" customWidth="1"/>
    <col min="11039" max="11266" width="11.453125" style="1"/>
    <col min="11267" max="11267" width="7" style="1" customWidth="1"/>
    <col min="11268" max="11268" width="10.81640625" style="1" customWidth="1"/>
    <col min="11269" max="11269" width="9.1796875" style="1" customWidth="1"/>
    <col min="11270" max="11293" width="7.1796875" style="1" customWidth="1"/>
    <col min="11294" max="11294" width="14.1796875" style="1" bestFit="1" customWidth="1"/>
    <col min="11295" max="11522" width="11.453125" style="1"/>
    <col min="11523" max="11523" width="7" style="1" customWidth="1"/>
    <col min="11524" max="11524" width="10.81640625" style="1" customWidth="1"/>
    <col min="11525" max="11525" width="9.1796875" style="1" customWidth="1"/>
    <col min="11526" max="11549" width="7.1796875" style="1" customWidth="1"/>
    <col min="11550" max="11550" width="14.1796875" style="1" bestFit="1" customWidth="1"/>
    <col min="11551" max="11778" width="11.453125" style="1"/>
    <col min="11779" max="11779" width="7" style="1" customWidth="1"/>
    <col min="11780" max="11780" width="10.81640625" style="1" customWidth="1"/>
    <col min="11781" max="11781" width="9.1796875" style="1" customWidth="1"/>
    <col min="11782" max="11805" width="7.1796875" style="1" customWidth="1"/>
    <col min="11806" max="11806" width="14.1796875" style="1" bestFit="1" customWidth="1"/>
    <col min="11807" max="12034" width="11.453125" style="1"/>
    <col min="12035" max="12035" width="7" style="1" customWidth="1"/>
    <col min="12036" max="12036" width="10.81640625" style="1" customWidth="1"/>
    <col min="12037" max="12037" width="9.1796875" style="1" customWidth="1"/>
    <col min="12038" max="12061" width="7.1796875" style="1" customWidth="1"/>
    <col min="12062" max="12062" width="14.1796875" style="1" bestFit="1" customWidth="1"/>
    <col min="12063" max="12290" width="11.453125" style="1"/>
    <col min="12291" max="12291" width="7" style="1" customWidth="1"/>
    <col min="12292" max="12292" width="10.81640625" style="1" customWidth="1"/>
    <col min="12293" max="12293" width="9.1796875" style="1" customWidth="1"/>
    <col min="12294" max="12317" width="7.1796875" style="1" customWidth="1"/>
    <col min="12318" max="12318" width="14.1796875" style="1" bestFit="1" customWidth="1"/>
    <col min="12319" max="12546" width="11.453125" style="1"/>
    <col min="12547" max="12547" width="7" style="1" customWidth="1"/>
    <col min="12548" max="12548" width="10.81640625" style="1" customWidth="1"/>
    <col min="12549" max="12549" width="9.1796875" style="1" customWidth="1"/>
    <col min="12550" max="12573" width="7.1796875" style="1" customWidth="1"/>
    <col min="12574" max="12574" width="14.1796875" style="1" bestFit="1" customWidth="1"/>
    <col min="12575" max="12802" width="11.453125" style="1"/>
    <col min="12803" max="12803" width="7" style="1" customWidth="1"/>
    <col min="12804" max="12804" width="10.81640625" style="1" customWidth="1"/>
    <col min="12805" max="12805" width="9.1796875" style="1" customWidth="1"/>
    <col min="12806" max="12829" width="7.1796875" style="1" customWidth="1"/>
    <col min="12830" max="12830" width="14.1796875" style="1" bestFit="1" customWidth="1"/>
    <col min="12831" max="13058" width="11.453125" style="1"/>
    <col min="13059" max="13059" width="7" style="1" customWidth="1"/>
    <col min="13060" max="13060" width="10.81640625" style="1" customWidth="1"/>
    <col min="13061" max="13061" width="9.1796875" style="1" customWidth="1"/>
    <col min="13062" max="13085" width="7.1796875" style="1" customWidth="1"/>
    <col min="13086" max="13086" width="14.1796875" style="1" bestFit="1" customWidth="1"/>
    <col min="13087" max="13314" width="11.453125" style="1"/>
    <col min="13315" max="13315" width="7" style="1" customWidth="1"/>
    <col min="13316" max="13316" width="10.81640625" style="1" customWidth="1"/>
    <col min="13317" max="13317" width="9.1796875" style="1" customWidth="1"/>
    <col min="13318" max="13341" width="7.1796875" style="1" customWidth="1"/>
    <col min="13342" max="13342" width="14.1796875" style="1" bestFit="1" customWidth="1"/>
    <col min="13343" max="13570" width="11.453125" style="1"/>
    <col min="13571" max="13571" width="7" style="1" customWidth="1"/>
    <col min="13572" max="13572" width="10.81640625" style="1" customWidth="1"/>
    <col min="13573" max="13573" width="9.1796875" style="1" customWidth="1"/>
    <col min="13574" max="13597" width="7.1796875" style="1" customWidth="1"/>
    <col min="13598" max="13598" width="14.1796875" style="1" bestFit="1" customWidth="1"/>
    <col min="13599" max="13826" width="11.453125" style="1"/>
    <col min="13827" max="13827" width="7" style="1" customWidth="1"/>
    <col min="13828" max="13828" width="10.81640625" style="1" customWidth="1"/>
    <col min="13829" max="13829" width="9.1796875" style="1" customWidth="1"/>
    <col min="13830" max="13853" width="7.1796875" style="1" customWidth="1"/>
    <col min="13854" max="13854" width="14.1796875" style="1" bestFit="1" customWidth="1"/>
    <col min="13855" max="14082" width="11.453125" style="1"/>
    <col min="14083" max="14083" width="7" style="1" customWidth="1"/>
    <col min="14084" max="14084" width="10.81640625" style="1" customWidth="1"/>
    <col min="14085" max="14085" width="9.1796875" style="1" customWidth="1"/>
    <col min="14086" max="14109" width="7.1796875" style="1" customWidth="1"/>
    <col min="14110" max="14110" width="14.1796875" style="1" bestFit="1" customWidth="1"/>
    <col min="14111" max="14338" width="11.453125" style="1"/>
    <col min="14339" max="14339" width="7" style="1" customWidth="1"/>
    <col min="14340" max="14340" width="10.81640625" style="1" customWidth="1"/>
    <col min="14341" max="14341" width="9.1796875" style="1" customWidth="1"/>
    <col min="14342" max="14365" width="7.1796875" style="1" customWidth="1"/>
    <col min="14366" max="14366" width="14.1796875" style="1" bestFit="1" customWidth="1"/>
    <col min="14367" max="14594" width="11.453125" style="1"/>
    <col min="14595" max="14595" width="7" style="1" customWidth="1"/>
    <col min="14596" max="14596" width="10.81640625" style="1" customWidth="1"/>
    <col min="14597" max="14597" width="9.1796875" style="1" customWidth="1"/>
    <col min="14598" max="14621" width="7.1796875" style="1" customWidth="1"/>
    <col min="14622" max="14622" width="14.1796875" style="1" bestFit="1" customWidth="1"/>
    <col min="14623" max="14850" width="11.453125" style="1"/>
    <col min="14851" max="14851" width="7" style="1" customWidth="1"/>
    <col min="14852" max="14852" width="10.81640625" style="1" customWidth="1"/>
    <col min="14853" max="14853" width="9.1796875" style="1" customWidth="1"/>
    <col min="14854" max="14877" width="7.1796875" style="1" customWidth="1"/>
    <col min="14878" max="14878" width="14.1796875" style="1" bestFit="1" customWidth="1"/>
    <col min="14879" max="15106" width="11.453125" style="1"/>
    <col min="15107" max="15107" width="7" style="1" customWidth="1"/>
    <col min="15108" max="15108" width="10.81640625" style="1" customWidth="1"/>
    <col min="15109" max="15109" width="9.1796875" style="1" customWidth="1"/>
    <col min="15110" max="15133" width="7.1796875" style="1" customWidth="1"/>
    <col min="15134" max="15134" width="14.1796875" style="1" bestFit="1" customWidth="1"/>
    <col min="15135" max="15362" width="11.453125" style="1"/>
    <col min="15363" max="15363" width="7" style="1" customWidth="1"/>
    <col min="15364" max="15364" width="10.81640625" style="1" customWidth="1"/>
    <col min="15365" max="15365" width="9.1796875" style="1" customWidth="1"/>
    <col min="15366" max="15389" width="7.1796875" style="1" customWidth="1"/>
    <col min="15390" max="15390" width="14.1796875" style="1" bestFit="1" customWidth="1"/>
    <col min="15391" max="15618" width="11.453125" style="1"/>
    <col min="15619" max="15619" width="7" style="1" customWidth="1"/>
    <col min="15620" max="15620" width="10.81640625" style="1" customWidth="1"/>
    <col min="15621" max="15621" width="9.1796875" style="1" customWidth="1"/>
    <col min="15622" max="15645" width="7.1796875" style="1" customWidth="1"/>
    <col min="15646" max="15646" width="14.1796875" style="1" bestFit="1" customWidth="1"/>
    <col min="15647" max="15874" width="11.453125" style="1"/>
    <col min="15875" max="15875" width="7" style="1" customWidth="1"/>
    <col min="15876" max="15876" width="10.81640625" style="1" customWidth="1"/>
    <col min="15877" max="15877" width="9.1796875" style="1" customWidth="1"/>
    <col min="15878" max="15901" width="7.1796875" style="1" customWidth="1"/>
    <col min="15902" max="15902" width="14.1796875" style="1" bestFit="1" customWidth="1"/>
    <col min="15903" max="16130" width="11.453125" style="1"/>
    <col min="16131" max="16131" width="7" style="1" customWidth="1"/>
    <col min="16132" max="16132" width="10.81640625" style="1" customWidth="1"/>
    <col min="16133" max="16133" width="9.1796875" style="1" customWidth="1"/>
    <col min="16134" max="16157" width="7.1796875" style="1" customWidth="1"/>
    <col min="16158" max="16158" width="14.179687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2028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20</v>
      </c>
      <c r="F7" s="7">
        <f>+[3]Resumen!F7*1000</f>
        <v>89371.422223999994</v>
      </c>
      <c r="G7" s="7">
        <f>+[3]Resumen!G7*1000</f>
        <v>69462.156568000006</v>
      </c>
      <c r="H7" s="7">
        <f>+[3]Resumen!H7*1000</f>
        <v>58252.10669600001</v>
      </c>
      <c r="I7" s="7">
        <f>+[3]Resumen!I7*1000</f>
        <v>56630.726096000006</v>
      </c>
      <c r="J7" s="7">
        <f>+[3]Resumen!J7*1000</f>
        <v>75807.177544000006</v>
      </c>
      <c r="K7" s="7">
        <f>+[3]Resumen!K7*1000</f>
        <v>117984.843452</v>
      </c>
      <c r="L7" s="7">
        <f>+[3]Resumen!L7*1000</f>
        <v>162037.44144000002</v>
      </c>
      <c r="M7" s="7">
        <f>+[3]Resumen!M7*1000</f>
        <v>171837.87754000002</v>
      </c>
      <c r="N7" s="7">
        <f>+[3]Resumen!N7*1000</f>
        <v>204174.67764400001</v>
      </c>
      <c r="O7" s="7">
        <f>+[3]Resumen!O7*1000</f>
        <v>224845.80686400001</v>
      </c>
      <c r="P7" s="7">
        <f>+[3]Resumen!P7*1000</f>
        <v>252913.39063200002</v>
      </c>
      <c r="Q7" s="7">
        <f>+[3]Resumen!Q7*1000</f>
        <v>277317.37728800002</v>
      </c>
      <c r="R7" s="7">
        <f>+[3]Resumen!R7*1000</f>
        <v>286107.562944</v>
      </c>
      <c r="S7" s="7">
        <f>+[3]Resumen!S7*1000</f>
        <v>282320.76885600004</v>
      </c>
      <c r="T7" s="7">
        <f>+[3]Resumen!T7*1000</f>
        <v>287032.72508400003</v>
      </c>
      <c r="U7" s="7">
        <f>+[3]Resumen!U7*1000</f>
        <v>286925.21026399999</v>
      </c>
      <c r="V7" s="7">
        <f>+[3]Resumen!V7*1000</f>
        <v>275267.359192</v>
      </c>
      <c r="W7" s="7">
        <f>+[3]Resumen!W7*1000</f>
        <v>267862.84179199999</v>
      </c>
      <c r="X7" s="7">
        <f>+[3]Resumen!X7*1000</f>
        <v>287382.69053200004</v>
      </c>
      <c r="Y7" s="7">
        <f>+[3]Resumen!Y7*1000</f>
        <v>298376.78113600001</v>
      </c>
      <c r="Z7" s="7">
        <f>+[3]Resumen!Z7*1000</f>
        <v>273489.75248000002</v>
      </c>
      <c r="AA7" s="7">
        <f>+[3]Resumen!AA7*1000</f>
        <v>232446.67628000001</v>
      </c>
      <c r="AB7" s="7">
        <f>+[3]Resumen!AB7*1000</f>
        <v>176761.248188</v>
      </c>
      <c r="AC7" s="7">
        <f>+[3]Resumen!AC7*1000</f>
        <v>129596.20704800003</v>
      </c>
      <c r="AD7" s="57">
        <f>SUM(F7:AC7)*E7+SUM(F8:AC8)*E8+SUM(F9:AC9)*E9+SUM(F10:AC10)*E10</f>
        <v>135256054.85098001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+[3]Resumen!F8*1000</f>
        <v>93020.066300000006</v>
      </c>
      <c r="G8" s="7">
        <f>+[3]Resumen!G8*1000</f>
        <v>71412.904976000005</v>
      </c>
      <c r="H8" s="7">
        <f>+[3]Resumen!H8*1000</f>
        <v>58864.111796000005</v>
      </c>
      <c r="I8" s="7">
        <f>+[3]Resumen!I8*1000</f>
        <v>54215.552552000008</v>
      </c>
      <c r="J8" s="7">
        <f>+[3]Resumen!J8*1000</f>
        <v>65127.410572000001</v>
      </c>
      <c r="K8" s="7">
        <f>+[3]Resumen!K8*1000</f>
        <v>86170.172256000005</v>
      </c>
      <c r="L8" s="7">
        <f>+[3]Resumen!L8*1000</f>
        <v>119179.749612</v>
      </c>
      <c r="M8" s="7">
        <f>+[3]Resumen!M8*1000</f>
        <v>132538.394604</v>
      </c>
      <c r="N8" s="7">
        <f>+[3]Resumen!N8*1000</f>
        <v>169711.91552000001</v>
      </c>
      <c r="O8" s="7">
        <f>+[3]Resumen!O8*1000</f>
        <v>197627.71473200002</v>
      </c>
      <c r="P8" s="7">
        <f>+[3]Resumen!P8*1000</f>
        <v>220887.657424</v>
      </c>
      <c r="Q8" s="7">
        <f>+[3]Resumen!Q8*1000</f>
        <v>241074.02513600001</v>
      </c>
      <c r="R8" s="7">
        <f>+[3]Resumen!R8*1000</f>
        <v>244943.63510399999</v>
      </c>
      <c r="S8" s="7">
        <f>+[3]Resumen!S8*1000</f>
        <v>237285.62090800001</v>
      </c>
      <c r="T8" s="7">
        <f>+[3]Resumen!T8*1000</f>
        <v>227049.86978800001</v>
      </c>
      <c r="U8" s="7">
        <f>+[3]Resumen!U8*1000</f>
        <v>221931.6722</v>
      </c>
      <c r="V8" s="7">
        <f>+[3]Resumen!V8*1000</f>
        <v>217367.417456</v>
      </c>
      <c r="W8" s="7">
        <f>+[3]Resumen!W8*1000</f>
        <v>223765.13558</v>
      </c>
      <c r="X8" s="7">
        <f>+[3]Resumen!X8*1000</f>
        <v>252021.39737600001</v>
      </c>
      <c r="Y8" s="7">
        <f>+[3]Resumen!Y8*1000</f>
        <v>260439.033092</v>
      </c>
      <c r="Z8" s="7">
        <f>+[3]Resumen!Z8*1000</f>
        <v>236484.63398000001</v>
      </c>
      <c r="AA8" s="7">
        <f>+[3]Resumen!AA8*1000</f>
        <v>201333.84384400002</v>
      </c>
      <c r="AB8" s="7">
        <f>+[3]Resumen!AB8*1000</f>
        <v>162967.01475600002</v>
      </c>
      <c r="AC8" s="7">
        <f>+[3]Resumen!AC8*1000</f>
        <v>124483.55684800001</v>
      </c>
      <c r="AD8" s="5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5</v>
      </c>
      <c r="F9" s="7">
        <f>+[3]Resumen!F9*1000</f>
        <v>93663.259508000003</v>
      </c>
      <c r="G9" s="7">
        <f>+[3]Resumen!G9*1000</f>
        <v>70194.92824400001</v>
      </c>
      <c r="H9" s="7">
        <f>+[3]Resumen!H9*1000</f>
        <v>55166.85972</v>
      </c>
      <c r="I9" s="7">
        <f>+[3]Resumen!I9*1000</f>
        <v>47116.670103999997</v>
      </c>
      <c r="J9" s="7">
        <f>+[3]Resumen!J9*1000</f>
        <v>49329.512847999998</v>
      </c>
      <c r="K9" s="7">
        <f>+[3]Resumen!K9*1000</f>
        <v>58374.197840000001</v>
      </c>
      <c r="L9" s="7">
        <f>+[3]Resumen!L9*1000</f>
        <v>73579.928604000001</v>
      </c>
      <c r="M9" s="7">
        <f>+[3]Resumen!M9*1000</f>
        <v>74252.402056000006</v>
      </c>
      <c r="N9" s="7">
        <f>+[3]Resumen!N9*1000</f>
        <v>102761.13988</v>
      </c>
      <c r="O9" s="7">
        <f>+[3]Resumen!O9*1000</f>
        <v>129224.26470799999</v>
      </c>
      <c r="P9" s="7">
        <f>+[3]Resumen!P9*1000</f>
        <v>150121.378596</v>
      </c>
      <c r="Q9" s="7">
        <f>+[3]Resumen!Q9*1000</f>
        <v>175051.56508</v>
      </c>
      <c r="R9" s="7">
        <f>+[3]Resumen!R9*1000</f>
        <v>191549.25395200003</v>
      </c>
      <c r="S9" s="7">
        <f>+[3]Resumen!S9*1000</f>
        <v>196394.17736400003</v>
      </c>
      <c r="T9" s="7">
        <f>+[3]Resumen!T9*1000</f>
        <v>190228.550288</v>
      </c>
      <c r="U9" s="7">
        <f>+[3]Resumen!U9*1000</f>
        <v>183974.90627600002</v>
      </c>
      <c r="V9" s="7">
        <f>+[3]Resumen!V9*1000</f>
        <v>178347.25431600001</v>
      </c>
      <c r="W9" s="7">
        <f>+[3]Resumen!W9*1000</f>
        <v>188206.42710800003</v>
      </c>
      <c r="X9" s="7">
        <f>+[3]Resumen!X9*1000</f>
        <v>217785.76828400002</v>
      </c>
      <c r="Y9" s="7">
        <f>+[3]Resumen!Y9*1000</f>
        <v>234286.05160800001</v>
      </c>
      <c r="Z9" s="7">
        <f>+[3]Resumen!Z9*1000</f>
        <v>216564.33430800002</v>
      </c>
      <c r="AA9" s="7">
        <f>+[3]Resumen!AA9*1000</f>
        <v>186196.46807999999</v>
      </c>
      <c r="AB9" s="7">
        <f>+[3]Resumen!AB9*1000</f>
        <v>145901.82140799999</v>
      </c>
      <c r="AC9" s="7">
        <f>+[3]Resumen!AC9*1000</f>
        <v>102967.444384</v>
      </c>
      <c r="AD9" s="5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+[3]Resumen!F10*1000</f>
        <v>83542.885551999992</v>
      </c>
      <c r="G10" s="7">
        <f>+[3]Resumen!G10*1000</f>
        <v>66812.820060000013</v>
      </c>
      <c r="H10" s="7">
        <f>+[3]Resumen!H10*1000</f>
        <v>50624.867440000002</v>
      </c>
      <c r="I10" s="7">
        <f>+[3]Resumen!I10*1000</f>
        <v>41300.880880000004</v>
      </c>
      <c r="J10" s="7">
        <f>+[3]Resumen!J10*1000</f>
        <v>41034.029036</v>
      </c>
      <c r="K10" s="7">
        <f>+[3]Resumen!K10*1000</f>
        <v>47288.432547999997</v>
      </c>
      <c r="L10" s="7">
        <f>+[3]Resumen!L10*1000</f>
        <v>50717.477832000004</v>
      </c>
      <c r="M10" s="7">
        <f>+[3]Resumen!M10*1000</f>
        <v>41565.988912000001</v>
      </c>
      <c r="N10" s="7">
        <f>+[3]Resumen!N10*1000</f>
        <v>61967.841963999999</v>
      </c>
      <c r="O10" s="7">
        <f>+[3]Resumen!O10*1000</f>
        <v>83525.161860000007</v>
      </c>
      <c r="P10" s="7">
        <f>+[3]Resumen!P10*1000</f>
        <v>107364.53014</v>
      </c>
      <c r="Q10" s="7">
        <f>+[3]Resumen!Q10*1000</f>
        <v>133424.90730799999</v>
      </c>
      <c r="R10" s="7">
        <f>+[3]Resumen!R10*1000</f>
        <v>152667.64791600002</v>
      </c>
      <c r="S10" s="7">
        <f>+[3]Resumen!S10*1000</f>
        <v>156985.04085600001</v>
      </c>
      <c r="T10" s="7">
        <f>+[3]Resumen!T10*1000</f>
        <v>152061.95577999999</v>
      </c>
      <c r="U10" s="7">
        <f>+[3]Resumen!U10*1000</f>
        <v>145551.3395</v>
      </c>
      <c r="V10" s="7">
        <f>+[3]Resumen!V10*1000</f>
        <v>141514.791432</v>
      </c>
      <c r="W10" s="7">
        <f>+[3]Resumen!W10*1000</f>
        <v>154428.63069200001</v>
      </c>
      <c r="X10" s="7">
        <f>+[3]Resumen!X10*1000</f>
        <v>192371.04510399999</v>
      </c>
      <c r="Y10" s="7">
        <f>+[3]Resumen!Y10*1000</f>
        <v>205854.64303599999</v>
      </c>
      <c r="Z10" s="7">
        <f>+[3]Resumen!Z10*1000</f>
        <v>187853.07732800001</v>
      </c>
      <c r="AA10" s="7">
        <f>+[3]Resumen!AA10*1000</f>
        <v>158866.784132</v>
      </c>
      <c r="AB10" s="7">
        <f>+[3]Resumen!AB10*1000</f>
        <v>123507.19225600001</v>
      </c>
      <c r="AC10" s="7">
        <f>+[3]Resumen!AC10*1000</f>
        <v>87245.751852000001</v>
      </c>
      <c r="AD10" s="59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21</v>
      </c>
      <c r="F11" s="7">
        <f>+[3]Resumen!F11*1000</f>
        <v>100135.967624</v>
      </c>
      <c r="G11" s="7">
        <f>+[3]Resumen!G11*1000</f>
        <v>79768.687011999995</v>
      </c>
      <c r="H11" s="7">
        <f>+[3]Resumen!H11*1000</f>
        <v>69378.976128000009</v>
      </c>
      <c r="I11" s="7">
        <f>+[3]Resumen!I11*1000</f>
        <v>68911.008684</v>
      </c>
      <c r="J11" s="7">
        <f>+[3]Resumen!J11*1000</f>
        <v>95395.138244000002</v>
      </c>
      <c r="K11" s="7">
        <f>+[3]Resumen!K11*1000</f>
        <v>155541.71136000002</v>
      </c>
      <c r="L11" s="7">
        <f>+[3]Resumen!L11*1000</f>
        <v>205701.96530800001</v>
      </c>
      <c r="M11" s="7">
        <f>+[3]Resumen!M11*1000</f>
        <v>210684.77138800002</v>
      </c>
      <c r="N11" s="7">
        <f>+[3]Resumen!N11*1000</f>
        <v>242741.68055200003</v>
      </c>
      <c r="O11" s="7">
        <f>+[3]Resumen!O11*1000</f>
        <v>264638.40580800001</v>
      </c>
      <c r="P11" s="7">
        <f>+[3]Resumen!P11*1000</f>
        <v>295092.61199600005</v>
      </c>
      <c r="Q11" s="7">
        <f>+[3]Resumen!Q11*1000</f>
        <v>318280.21383200004</v>
      </c>
      <c r="R11" s="7">
        <f>+[3]Resumen!R11*1000</f>
        <v>320136.29816000001</v>
      </c>
      <c r="S11" s="7">
        <f>+[3]Resumen!S11*1000</f>
        <v>313929.00187600002</v>
      </c>
      <c r="T11" s="7">
        <f>+[3]Resumen!T11*1000</f>
        <v>318877.72767200001</v>
      </c>
      <c r="U11" s="7">
        <f>+[3]Resumen!U11*1000</f>
        <v>319011.82499200007</v>
      </c>
      <c r="V11" s="7">
        <f>+[3]Resumen!V11*1000</f>
        <v>306019.58710399998</v>
      </c>
      <c r="W11" s="7">
        <f>+[3]Resumen!W11*1000</f>
        <v>291956.88561200001</v>
      </c>
      <c r="X11" s="7">
        <f>+[3]Resumen!X11*1000</f>
        <v>301815.390044</v>
      </c>
      <c r="Y11" s="7">
        <f>+[3]Resumen!Y11*1000</f>
        <v>321237.03847199999</v>
      </c>
      <c r="Z11" s="7">
        <f>+[3]Resumen!Z11*1000</f>
        <v>294695.53324399999</v>
      </c>
      <c r="AA11" s="7">
        <f>+[3]Resumen!AA11*1000</f>
        <v>247881.72136</v>
      </c>
      <c r="AB11" s="7">
        <f>+[3]Resumen!AB11*1000</f>
        <v>186612.00572000002</v>
      </c>
      <c r="AC11" s="7">
        <f>+[3]Resumen!AC11*1000</f>
        <v>136682.82812799999</v>
      </c>
      <c r="AD11" s="57">
        <f>SUM(F11:AC11)*E11+SUM(F12:AC12)*E12+SUM(F13:AC13)*E13+SUM(F14:AC14)*E14</f>
        <v>148996734.81391996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+[3]Resumen!F12*1000</f>
        <v>113131.674908</v>
      </c>
      <c r="G12" s="7">
        <f>+[3]Resumen!G12*1000</f>
        <v>89458.618900000001</v>
      </c>
      <c r="H12" s="7">
        <f>+[3]Resumen!H12*1000</f>
        <v>74966.805984000006</v>
      </c>
      <c r="I12" s="7">
        <f>+[3]Resumen!I12*1000</f>
        <v>70481.666836000004</v>
      </c>
      <c r="J12" s="7">
        <f>+[3]Resumen!J12*1000</f>
        <v>80449.296228000007</v>
      </c>
      <c r="K12" s="7">
        <f>+[3]Resumen!K12*1000</f>
        <v>102020.56662000001</v>
      </c>
      <c r="L12" s="7">
        <f>+[3]Resumen!L12*1000</f>
        <v>142327.91820799999</v>
      </c>
      <c r="M12" s="7">
        <f>+[3]Resumen!M12*1000</f>
        <v>165892.48723599999</v>
      </c>
      <c r="N12" s="7">
        <f>+[3]Resumen!N12*1000</f>
        <v>211793.92695999998</v>
      </c>
      <c r="O12" s="7">
        <f>+[3]Resumen!O12*1000</f>
        <v>241761.19643200003</v>
      </c>
      <c r="P12" s="7">
        <f>+[3]Resumen!P12*1000</f>
        <v>269567.86460800003</v>
      </c>
      <c r="Q12" s="7">
        <f>+[3]Resumen!Q12*1000</f>
        <v>287374.41502000001</v>
      </c>
      <c r="R12" s="7">
        <f>+[3]Resumen!R12*1000</f>
        <v>289422.203224</v>
      </c>
      <c r="S12" s="7">
        <f>+[3]Resumen!S12*1000</f>
        <v>274038.26338000002</v>
      </c>
      <c r="T12" s="7">
        <f>+[3]Resumen!T12*1000</f>
        <v>258337.88545600005</v>
      </c>
      <c r="U12" s="7">
        <f>+[3]Resumen!U12*1000</f>
        <v>250975.95474000002</v>
      </c>
      <c r="V12" s="7">
        <f>+[3]Resumen!V12*1000</f>
        <v>243100.89367200001</v>
      </c>
      <c r="W12" s="7">
        <f>+[3]Resumen!W12*1000</f>
        <v>248465.710024</v>
      </c>
      <c r="X12" s="7">
        <f>+[3]Resumen!X12*1000</f>
        <v>268744.18382000003</v>
      </c>
      <c r="Y12" s="7">
        <f>+[3]Resumen!Y12*1000</f>
        <v>283852.52237999998</v>
      </c>
      <c r="Z12" s="7">
        <f>+[3]Resumen!Z12*1000</f>
        <v>257497.805544</v>
      </c>
      <c r="AA12" s="7">
        <f>+[3]Resumen!AA12*1000</f>
        <v>221225.59239199999</v>
      </c>
      <c r="AB12" s="7">
        <f>+[3]Resumen!AB12*1000</f>
        <v>180987.48897600002</v>
      </c>
      <c r="AC12" s="7">
        <f>+[3]Resumen!AC12*1000</f>
        <v>141821.416772</v>
      </c>
      <c r="AD12" s="5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+[3]Resumen!F13*1000</f>
        <v>111294.88188</v>
      </c>
      <c r="G13" s="7">
        <f>+[3]Resumen!G13*1000</f>
        <v>86426.123756000001</v>
      </c>
      <c r="H13" s="7">
        <f>+[3]Resumen!H13*1000</f>
        <v>70594.352332000009</v>
      </c>
      <c r="I13" s="7">
        <f>+[3]Resumen!I13*1000</f>
        <v>62057.080176000003</v>
      </c>
      <c r="J13" s="7">
        <f>+[3]Resumen!J13*1000</f>
        <v>62974.228072000005</v>
      </c>
      <c r="K13" s="7">
        <f>+[3]Resumen!K13*1000</f>
        <v>71336.590416000006</v>
      </c>
      <c r="L13" s="7">
        <f>+[3]Resumen!L13*1000</f>
        <v>88153.731064000007</v>
      </c>
      <c r="M13" s="7">
        <f>+[3]Resumen!M13*1000</f>
        <v>91319.478964000009</v>
      </c>
      <c r="N13" s="7">
        <f>+[3]Resumen!N13*1000</f>
        <v>125494.44527200001</v>
      </c>
      <c r="O13" s="7">
        <f>+[3]Resumen!O13*1000</f>
        <v>154503.83334400001</v>
      </c>
      <c r="P13" s="7">
        <f>+[3]Resumen!P13*1000</f>
        <v>178952.666956</v>
      </c>
      <c r="Q13" s="7">
        <f>+[3]Resumen!Q13*1000</f>
        <v>203815.23363599999</v>
      </c>
      <c r="R13" s="7">
        <f>+[3]Resumen!R13*1000</f>
        <v>220601.53858400002</v>
      </c>
      <c r="S13" s="7">
        <f>+[3]Resumen!S13*1000</f>
        <v>218923.04358400003</v>
      </c>
      <c r="T13" s="7">
        <f>+[3]Resumen!T13*1000</f>
        <v>207662.45962000001</v>
      </c>
      <c r="U13" s="7">
        <f>+[3]Resumen!U13*1000</f>
        <v>201960.157924</v>
      </c>
      <c r="V13" s="7">
        <f>+[3]Resumen!V13*1000</f>
        <v>196137.31446400002</v>
      </c>
      <c r="W13" s="7">
        <f>+[3]Resumen!W13*1000</f>
        <v>202467.10898400002</v>
      </c>
      <c r="X13" s="7">
        <f>+[3]Resumen!X13*1000</f>
        <v>228280.73979200001</v>
      </c>
      <c r="Y13" s="7">
        <f>+[3]Resumen!Y13*1000</f>
        <v>258627.23672800002</v>
      </c>
      <c r="Z13" s="7">
        <f>+[3]Resumen!Z13*1000</f>
        <v>244049.46664000003</v>
      </c>
      <c r="AA13" s="7">
        <f>+[3]Resumen!AA13*1000</f>
        <v>214879.44735600002</v>
      </c>
      <c r="AB13" s="7">
        <f>+[3]Resumen!AB13*1000</f>
        <v>168181.91188400003</v>
      </c>
      <c r="AC13" s="7">
        <f>+[3]Resumen!AC13*1000</f>
        <v>120877.627052</v>
      </c>
      <c r="AD13" s="5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+[3]Resumen!F14*1000</f>
        <v>0</v>
      </c>
      <c r="G14" s="7">
        <f>+[3]Resumen!G14*1000</f>
        <v>0</v>
      </c>
      <c r="H14" s="7">
        <f>+[3]Resumen!H14*1000</f>
        <v>0</v>
      </c>
      <c r="I14" s="7">
        <f>+[3]Resumen!I14*1000</f>
        <v>0</v>
      </c>
      <c r="J14" s="7">
        <f>+[3]Resumen!J14*1000</f>
        <v>0</v>
      </c>
      <c r="K14" s="7">
        <f>+[3]Resumen!K14*1000</f>
        <v>0</v>
      </c>
      <c r="L14" s="7">
        <f>+[3]Resumen!L14*1000</f>
        <v>0</v>
      </c>
      <c r="M14" s="7">
        <f>+[3]Resumen!M14*1000</f>
        <v>0</v>
      </c>
      <c r="N14" s="7">
        <f>+[3]Resumen!N14*1000</f>
        <v>0</v>
      </c>
      <c r="O14" s="7">
        <f>+[3]Resumen!O14*1000</f>
        <v>0</v>
      </c>
      <c r="P14" s="7">
        <f>+[3]Resumen!P14*1000</f>
        <v>0</v>
      </c>
      <c r="Q14" s="7">
        <f>+[3]Resumen!Q14*1000</f>
        <v>0</v>
      </c>
      <c r="R14" s="7">
        <f>+[3]Resumen!R14*1000</f>
        <v>0</v>
      </c>
      <c r="S14" s="7">
        <f>+[3]Resumen!S14*1000</f>
        <v>0</v>
      </c>
      <c r="T14" s="7">
        <f>+[3]Resumen!T14*1000</f>
        <v>0</v>
      </c>
      <c r="U14" s="7">
        <f>+[3]Resumen!U14*1000</f>
        <v>0</v>
      </c>
      <c r="V14" s="7">
        <f>+[3]Resumen!V14*1000</f>
        <v>0</v>
      </c>
      <c r="W14" s="7">
        <f>+[3]Resumen!W14*1000</f>
        <v>0</v>
      </c>
      <c r="X14" s="7">
        <f>+[3]Resumen!X14*1000</f>
        <v>0</v>
      </c>
      <c r="Y14" s="7">
        <f>+[3]Resumen!Y14*1000</f>
        <v>0</v>
      </c>
      <c r="Z14" s="7">
        <f>+[3]Resumen!Z14*1000</f>
        <v>0</v>
      </c>
      <c r="AA14" s="7">
        <f>+[3]Resumen!AA14*1000</f>
        <v>0</v>
      </c>
      <c r="AB14" s="7">
        <f>+[3]Resumen!AB14*1000</f>
        <v>0</v>
      </c>
      <c r="AC14" s="7">
        <f>+[3]Resumen!AC14*1000</f>
        <v>0</v>
      </c>
      <c r="AD14" s="59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22</v>
      </c>
      <c r="F15" s="7">
        <f>+[3]Resumen!F15*1000</f>
        <v>84714.945951999995</v>
      </c>
      <c r="G15" s="7">
        <f>+[3]Resumen!G15*1000</f>
        <v>64651.556480000014</v>
      </c>
      <c r="H15" s="7">
        <f>+[3]Resumen!H15*1000</f>
        <v>53969.571768000002</v>
      </c>
      <c r="I15" s="7">
        <f>+[3]Resumen!I15*1000</f>
        <v>52875.296320000001</v>
      </c>
      <c r="J15" s="7">
        <f>+[3]Resumen!J15*1000</f>
        <v>72903.724488000007</v>
      </c>
      <c r="K15" s="7">
        <f>+[3]Resumen!K15*1000</f>
        <v>121590.19602800001</v>
      </c>
      <c r="L15" s="7">
        <f>+[3]Resumen!L15*1000</f>
        <v>164644.99329600003</v>
      </c>
      <c r="M15" s="7">
        <f>+[3]Resumen!M15*1000</f>
        <v>174200.092668</v>
      </c>
      <c r="N15" s="7">
        <f>+[3]Resumen!N15*1000</f>
        <v>204225.17528</v>
      </c>
      <c r="O15" s="7">
        <f>+[3]Resumen!O15*1000</f>
        <v>224412.67312800002</v>
      </c>
      <c r="P15" s="7">
        <f>+[3]Resumen!P15*1000</f>
        <v>250533.482192</v>
      </c>
      <c r="Q15" s="7">
        <f>+[3]Resumen!Q15*1000</f>
        <v>271351.68099199998</v>
      </c>
      <c r="R15" s="7">
        <f>+[3]Resumen!R15*1000</f>
        <v>274265.34172800003</v>
      </c>
      <c r="S15" s="7">
        <f>+[3]Resumen!S15*1000</f>
        <v>268969.95582800003</v>
      </c>
      <c r="T15" s="7">
        <f>+[3]Resumen!T15*1000</f>
        <v>272885.16617600003</v>
      </c>
      <c r="U15" s="7">
        <f>+[3]Resumen!U15*1000</f>
        <v>273487.856768</v>
      </c>
      <c r="V15" s="7">
        <f>+[3]Resumen!V15*1000</f>
        <v>262441.46395599999</v>
      </c>
      <c r="W15" s="7">
        <f>+[3]Resumen!W15*1000</f>
        <v>250649.11454800001</v>
      </c>
      <c r="X15" s="7">
        <f>+[3]Resumen!X15*1000</f>
        <v>259811.698244</v>
      </c>
      <c r="Y15" s="7">
        <f>+[3]Resumen!Y15*1000</f>
        <v>276507.08192800003</v>
      </c>
      <c r="Z15" s="7">
        <f>+[3]Resumen!Z15*1000</f>
        <v>253960.72290399999</v>
      </c>
      <c r="AA15" s="7">
        <f>+[3]Resumen!AA15*1000</f>
        <v>215176.746036</v>
      </c>
      <c r="AB15" s="7">
        <f>+[3]Resumen!AB15*1000</f>
        <v>165123.94614799999</v>
      </c>
      <c r="AC15" s="7">
        <f>+[3]Resumen!AC15*1000</f>
        <v>121499.59071600001</v>
      </c>
      <c r="AD15" s="57">
        <f t="shared" ref="AD15" si="0">SUM(F15:AC15)*E15+SUM(F16:AC16)*E16+SUM(F17:AC17)*E17+SUM(F18:AC18)*E18</f>
        <v>132778332.24093197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+[3]Resumen!F16*1000</f>
        <v>89972.733564000009</v>
      </c>
      <c r="G16" s="7">
        <f>+[3]Resumen!G16*1000</f>
        <v>67580.443672000009</v>
      </c>
      <c r="H16" s="7">
        <f>+[3]Resumen!H16*1000</f>
        <v>54836.404308000005</v>
      </c>
      <c r="I16" s="7">
        <f>+[3]Resumen!I16*1000</f>
        <v>50232.546196000003</v>
      </c>
      <c r="J16" s="7">
        <f>+[3]Resumen!J16*1000</f>
        <v>58749.840464000001</v>
      </c>
      <c r="K16" s="7">
        <f>+[3]Resumen!K16*1000</f>
        <v>77416.782856000005</v>
      </c>
      <c r="L16" s="7">
        <f>+[3]Resumen!L16*1000</f>
        <v>109793.78177600002</v>
      </c>
      <c r="M16" s="7">
        <f>+[3]Resumen!M16*1000</f>
        <v>128444.73213600001</v>
      </c>
      <c r="N16" s="7">
        <f>+[3]Resumen!N16*1000</f>
        <v>166558.337848</v>
      </c>
      <c r="O16" s="7">
        <f>+[3]Resumen!O16*1000</f>
        <v>192070.44715600001</v>
      </c>
      <c r="P16" s="7">
        <f>+[3]Resumen!P16*1000</f>
        <v>216974.60405600001</v>
      </c>
      <c r="Q16" s="7">
        <f>+[3]Resumen!Q16*1000</f>
        <v>233570.94286400001</v>
      </c>
      <c r="R16" s="7">
        <f>+[3]Resumen!R16*1000</f>
        <v>235793.54366400003</v>
      </c>
      <c r="S16" s="7">
        <f>+[3]Resumen!S16*1000</f>
        <v>224846.51775600002</v>
      </c>
      <c r="T16" s="7">
        <f>+[3]Resumen!T16*1000</f>
        <v>216149.00932800001</v>
      </c>
      <c r="U16" s="7">
        <f>+[3]Resumen!U16*1000</f>
        <v>210905.925636</v>
      </c>
      <c r="V16" s="7">
        <f>+[3]Resumen!V16*1000</f>
        <v>204240.31667199999</v>
      </c>
      <c r="W16" s="7">
        <f>+[3]Resumen!W16*1000</f>
        <v>212988.37134400001</v>
      </c>
      <c r="X16" s="7">
        <f>+[3]Resumen!X16*1000</f>
        <v>232102.549868</v>
      </c>
      <c r="Y16" s="7">
        <f>+[3]Resumen!Y16*1000</f>
        <v>241342.62686800002</v>
      </c>
      <c r="Z16" s="7">
        <f>+[3]Resumen!Z16*1000</f>
        <v>218087.42345600002</v>
      </c>
      <c r="AA16" s="7">
        <f>+[3]Resumen!AA16*1000</f>
        <v>187131.37004800001</v>
      </c>
      <c r="AB16" s="7">
        <f>+[3]Resumen!AB16*1000</f>
        <v>152175.959768</v>
      </c>
      <c r="AC16" s="7">
        <f>+[3]Resumen!AC16*1000</f>
        <v>116733.38796000001</v>
      </c>
      <c r="AD16" s="5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+[3]Resumen!F17*1000</f>
        <v>88586.141755999997</v>
      </c>
      <c r="G17" s="7">
        <f>+[3]Resumen!G17*1000</f>
        <v>66817.51073200001</v>
      </c>
      <c r="H17" s="7">
        <f>+[3]Resumen!H17*1000</f>
        <v>52267.058339999996</v>
      </c>
      <c r="I17" s="7">
        <f>+[3]Resumen!I17*1000</f>
        <v>45071.245464</v>
      </c>
      <c r="J17" s="7">
        <f>+[3]Resumen!J17*1000</f>
        <v>47205.215652000006</v>
      </c>
      <c r="K17" s="7">
        <f>+[3]Resumen!K17*1000</f>
        <v>55039.014603999996</v>
      </c>
      <c r="L17" s="7">
        <f>+[3]Resumen!L17*1000</f>
        <v>68991.479227999997</v>
      </c>
      <c r="M17" s="7">
        <f>+[3]Resumen!M17*1000</f>
        <v>74435.587380000012</v>
      </c>
      <c r="N17" s="7">
        <f>+[3]Resumen!N17*1000</f>
        <v>104845.58459200001</v>
      </c>
      <c r="O17" s="7">
        <f>+[3]Resumen!O17*1000</f>
        <v>130263.91084</v>
      </c>
      <c r="P17" s="7">
        <f>+[3]Resumen!P17*1000</f>
        <v>148257.77825600002</v>
      </c>
      <c r="Q17" s="7">
        <f>+[3]Resumen!Q17*1000</f>
        <v>167490.23219600003</v>
      </c>
      <c r="R17" s="7">
        <f>+[3]Resumen!R17*1000</f>
        <v>180838.04975599999</v>
      </c>
      <c r="S17" s="7">
        <f>+[3]Resumen!S17*1000</f>
        <v>180815.574632</v>
      </c>
      <c r="T17" s="7">
        <f>+[3]Resumen!T17*1000</f>
        <v>173562.009376</v>
      </c>
      <c r="U17" s="7">
        <f>+[3]Resumen!U17*1000</f>
        <v>166963.32147600001</v>
      </c>
      <c r="V17" s="7">
        <f>+[3]Resumen!V17*1000</f>
        <v>162130.45892400001</v>
      </c>
      <c r="W17" s="7">
        <f>+[3]Resumen!W17*1000</f>
        <v>171031.78677199999</v>
      </c>
      <c r="X17" s="7">
        <f>+[3]Resumen!X17*1000</f>
        <v>194106.83070800002</v>
      </c>
      <c r="Y17" s="7">
        <f>+[3]Resumen!Y17*1000</f>
        <v>214535.46676800001</v>
      </c>
      <c r="Z17" s="7">
        <f>+[3]Resumen!Z17*1000</f>
        <v>200038.823432</v>
      </c>
      <c r="AA17" s="7">
        <f>+[3]Resumen!AA17*1000</f>
        <v>174368.42824800001</v>
      </c>
      <c r="AB17" s="7">
        <f>+[3]Resumen!AB17*1000</f>
        <v>136168.677008</v>
      </c>
      <c r="AC17" s="7">
        <f>+[3]Resumen!AC17*1000</f>
        <v>95282.082112000004</v>
      </c>
      <c r="AD17" s="5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+[3]Resumen!F18*1000</f>
        <v>76302.948764000001</v>
      </c>
      <c r="G18" s="7">
        <f>+[3]Resumen!G18*1000</f>
        <v>54746.771156000003</v>
      </c>
      <c r="H18" s="7">
        <f>+[3]Resumen!H18*1000</f>
        <v>42597.359532000009</v>
      </c>
      <c r="I18" s="7">
        <f>+[3]Resumen!I18*1000</f>
        <v>35744.40926</v>
      </c>
      <c r="J18" s="7">
        <f>+[3]Resumen!J18*1000</f>
        <v>40070.831136000001</v>
      </c>
      <c r="K18" s="7">
        <f>+[3]Resumen!K18*1000</f>
        <v>49771.468936000005</v>
      </c>
      <c r="L18" s="7">
        <f>+[3]Resumen!L18*1000</f>
        <v>65437.037455999998</v>
      </c>
      <c r="M18" s="7">
        <f>+[3]Resumen!M18*1000</f>
        <v>74272.471084000004</v>
      </c>
      <c r="N18" s="7">
        <f>+[3]Resumen!N18*1000</f>
        <v>103686.520756</v>
      </c>
      <c r="O18" s="7">
        <f>+[3]Resumen!O18*1000</f>
        <v>118923.25734800001</v>
      </c>
      <c r="P18" s="7">
        <f>+[3]Resumen!P18*1000</f>
        <v>130045.81889599998</v>
      </c>
      <c r="Q18" s="7">
        <f>+[3]Resumen!Q18*1000</f>
        <v>150779.62813200001</v>
      </c>
      <c r="R18" s="7">
        <f>+[3]Resumen!R18*1000</f>
        <v>166711.99988800002</v>
      </c>
      <c r="S18" s="7">
        <f>+[3]Resumen!S18*1000</f>
        <v>166305.13270000002</v>
      </c>
      <c r="T18" s="7">
        <f>+[3]Resumen!T18*1000</f>
        <v>158571.70926800001</v>
      </c>
      <c r="U18" s="7">
        <f>+[3]Resumen!U18*1000</f>
        <v>155319.27507600002</v>
      </c>
      <c r="V18" s="7">
        <f>+[3]Resumen!V18*1000</f>
        <v>151147.16537200002</v>
      </c>
      <c r="W18" s="7">
        <f>+[3]Resumen!W18*1000</f>
        <v>162113.62840399999</v>
      </c>
      <c r="X18" s="7">
        <f>+[3]Resumen!X18*1000</f>
        <v>181768.437256</v>
      </c>
      <c r="Y18" s="7">
        <f>+[3]Resumen!Y18*1000</f>
        <v>192634.17236</v>
      </c>
      <c r="Z18" s="7">
        <f>+[3]Resumen!Z18*1000</f>
        <v>171589.95851200001</v>
      </c>
      <c r="AA18" s="7">
        <f>+[3]Resumen!AA18*1000</f>
        <v>150377.03237200002</v>
      </c>
      <c r="AB18" s="7">
        <f>+[3]Resumen!AB18*1000</f>
        <v>125197.037224</v>
      </c>
      <c r="AC18" s="7">
        <f>+[3]Resumen!AC18*1000</f>
        <v>96229.081395999994</v>
      </c>
      <c r="AD18" s="59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18</v>
      </c>
      <c r="F19" s="7">
        <f>+[3]Resumen!F19*1000</f>
        <v>89066.540695999996</v>
      </c>
      <c r="G19" s="7">
        <f>+[3]Resumen!G19*1000</f>
        <v>69951.936851999999</v>
      </c>
      <c r="H19" s="7">
        <f>+[3]Resumen!H19*1000</f>
        <v>60067.718788000006</v>
      </c>
      <c r="I19" s="7">
        <f>+[3]Resumen!I19*1000</f>
        <v>60197.295564</v>
      </c>
      <c r="J19" s="7">
        <f>+[3]Resumen!J19*1000</f>
        <v>85111.034316000005</v>
      </c>
      <c r="K19" s="7">
        <f>+[3]Resumen!K19*1000</f>
        <v>140595.82073599999</v>
      </c>
      <c r="L19" s="7">
        <f>+[3]Resumen!L19*1000</f>
        <v>187127.91280399999</v>
      </c>
      <c r="M19" s="7">
        <f>+[3]Resumen!M19*1000</f>
        <v>196090.30445200001</v>
      </c>
      <c r="N19" s="7">
        <f>+[3]Resumen!N19*1000</f>
        <v>224568.07897999999</v>
      </c>
      <c r="O19" s="7">
        <f>+[3]Resumen!O19*1000</f>
        <v>245247.21636799999</v>
      </c>
      <c r="P19" s="7">
        <f>+[3]Resumen!P19*1000</f>
        <v>272768.27608800004</v>
      </c>
      <c r="Q19" s="7">
        <f>+[3]Resumen!Q19*1000</f>
        <v>294716.32531599997</v>
      </c>
      <c r="R19" s="7">
        <f>+[3]Resumen!R19*1000</f>
        <v>296607.54715200001</v>
      </c>
      <c r="S19" s="7">
        <f>+[3]Resumen!S19*1000</f>
        <v>290585.78760400001</v>
      </c>
      <c r="T19" s="7">
        <f>+[3]Resumen!T19*1000</f>
        <v>294916.00090400001</v>
      </c>
      <c r="U19" s="7">
        <f>+[3]Resumen!U19*1000</f>
        <v>294095.65584000002</v>
      </c>
      <c r="V19" s="7">
        <f>+[3]Resumen!V19*1000</f>
        <v>280788.590012</v>
      </c>
      <c r="W19" s="7">
        <f>+[3]Resumen!W19*1000</f>
        <v>273527.25962800003</v>
      </c>
      <c r="X19" s="7">
        <f>+[3]Resumen!X19*1000</f>
        <v>291249.74250400002</v>
      </c>
      <c r="Y19" s="7">
        <f>+[3]Resumen!Y19*1000</f>
        <v>301761.02807200002</v>
      </c>
      <c r="Z19" s="7">
        <f>+[3]Resumen!Z19*1000</f>
        <v>275094.99522400001</v>
      </c>
      <c r="AA19" s="7">
        <f>+[3]Resumen!AA19*1000</f>
        <v>232295.274512</v>
      </c>
      <c r="AB19" s="7">
        <f>+[3]Resumen!AB19*1000</f>
        <v>173548.283692</v>
      </c>
      <c r="AC19" s="7">
        <f>+[3]Resumen!AC19*1000</f>
        <v>125848.712528</v>
      </c>
      <c r="AD19" s="57">
        <f t="shared" ref="AD19" si="1">SUM(F19:AC19)*E19+SUM(F20:AC20)*E20+SUM(F21:AC21)*E21+SUM(F22:AC22)*E22</f>
        <v>138334782.37012002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5</v>
      </c>
      <c r="F20" s="7">
        <f>+[3]Resumen!F20*1000</f>
        <v>100709.07417200001</v>
      </c>
      <c r="G20" s="7">
        <f>+[3]Resumen!G20*1000</f>
        <v>80954.831579999998</v>
      </c>
      <c r="H20" s="7">
        <f>+[3]Resumen!H20*1000</f>
        <v>65629.999064000003</v>
      </c>
      <c r="I20" s="7">
        <f>+[3]Resumen!I20*1000</f>
        <v>61449.231060000006</v>
      </c>
      <c r="J20" s="7">
        <f>+[3]Resumen!J20*1000</f>
        <v>73391.232348000005</v>
      </c>
      <c r="K20" s="7">
        <f>+[3]Resumen!K20*1000</f>
        <v>95633.870360000015</v>
      </c>
      <c r="L20" s="7">
        <f>+[3]Resumen!L20*1000</f>
        <v>136809.47019600001</v>
      </c>
      <c r="M20" s="7">
        <f>+[3]Resumen!M20*1000</f>
        <v>164011.023456</v>
      </c>
      <c r="N20" s="7">
        <f>+[3]Resumen!N20*1000</f>
        <v>205235.84496800002</v>
      </c>
      <c r="O20" s="7">
        <f>+[3]Resumen!O20*1000</f>
        <v>233312.056656</v>
      </c>
      <c r="P20" s="7">
        <f>+[3]Resumen!P20*1000</f>
        <v>257880.08316000004</v>
      </c>
      <c r="Q20" s="7">
        <f>+[3]Resumen!Q20*1000</f>
        <v>276906.26297600003</v>
      </c>
      <c r="R20" s="7">
        <f>+[3]Resumen!R20*1000</f>
        <v>280203.13095600001</v>
      </c>
      <c r="S20" s="7">
        <f>+[3]Resumen!S20*1000</f>
        <v>264832.07223200001</v>
      </c>
      <c r="T20" s="7">
        <f>+[3]Resumen!T20*1000</f>
        <v>252051.26699199999</v>
      </c>
      <c r="U20" s="7">
        <f>+[3]Resumen!U20*1000</f>
        <v>242969.28751200001</v>
      </c>
      <c r="V20" s="7">
        <f>+[3]Resumen!V20*1000</f>
        <v>235091.66237199999</v>
      </c>
      <c r="W20" s="7">
        <f>+[3]Resumen!W20*1000</f>
        <v>244470.41799600003</v>
      </c>
      <c r="X20" s="7">
        <f>+[3]Resumen!X20*1000</f>
        <v>268368.51689199999</v>
      </c>
      <c r="Y20" s="7">
        <f>+[3]Resumen!Y20*1000</f>
        <v>273024.20935999998</v>
      </c>
      <c r="Z20" s="7">
        <f>+[3]Resumen!Z20*1000</f>
        <v>245451.72845200001</v>
      </c>
      <c r="AA20" s="7">
        <f>+[3]Resumen!AA20*1000</f>
        <v>210264.26965600002</v>
      </c>
      <c r="AB20" s="7">
        <f>+[3]Resumen!AB20*1000</f>
        <v>168743.18238400001</v>
      </c>
      <c r="AC20" s="7">
        <f>+[3]Resumen!AC20*1000</f>
        <v>127620.97236000001</v>
      </c>
      <c r="AD20" s="5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5</v>
      </c>
      <c r="F21" s="7">
        <f>+[3]Resumen!F21*1000</f>
        <v>98807.602123999997</v>
      </c>
      <c r="G21" s="7">
        <f>+[3]Resumen!G21*1000</f>
        <v>75353.780348</v>
      </c>
      <c r="H21" s="7">
        <f>+[3]Resumen!H21*1000</f>
        <v>60249.798280000003</v>
      </c>
      <c r="I21" s="7">
        <f>+[3]Resumen!I21*1000</f>
        <v>52542.137088000003</v>
      </c>
      <c r="J21" s="7">
        <f>+[3]Resumen!J21*1000</f>
        <v>54128.131064000001</v>
      </c>
      <c r="K21" s="7">
        <f>+[3]Resumen!K21*1000</f>
        <v>61291.072780000002</v>
      </c>
      <c r="L21" s="7">
        <f>+[3]Resumen!L21*1000</f>
        <v>78654.786084000007</v>
      </c>
      <c r="M21" s="7">
        <f>+[3]Resumen!M21*1000</f>
        <v>85984.337795999993</v>
      </c>
      <c r="N21" s="7">
        <f>+[3]Resumen!N21*1000</f>
        <v>118628.06704000001</v>
      </c>
      <c r="O21" s="7">
        <f>+[3]Resumen!O21*1000</f>
        <v>144659.49814400001</v>
      </c>
      <c r="P21" s="7">
        <f>+[3]Resumen!P21*1000</f>
        <v>167175.62906800001</v>
      </c>
      <c r="Q21" s="7">
        <f>+[3]Resumen!Q21*1000</f>
        <v>190820.68686800002</v>
      </c>
      <c r="R21" s="7">
        <f>+[3]Resumen!R21*1000</f>
        <v>204494.76740000001</v>
      </c>
      <c r="S21" s="7">
        <f>+[3]Resumen!S21*1000</f>
        <v>204364.53441599998</v>
      </c>
      <c r="T21" s="7">
        <f>+[3]Resumen!T21*1000</f>
        <v>193670.61644000001</v>
      </c>
      <c r="U21" s="7">
        <f>+[3]Resumen!U21*1000</f>
        <v>187577.13578800001</v>
      </c>
      <c r="V21" s="7">
        <f>+[3]Resumen!V21*1000</f>
        <v>181609.06377600002</v>
      </c>
      <c r="W21" s="7">
        <f>+[3]Resumen!W21*1000</f>
        <v>192333.79922400002</v>
      </c>
      <c r="X21" s="7">
        <f>+[3]Resumen!X21*1000</f>
        <v>224050.71973200003</v>
      </c>
      <c r="Y21" s="7">
        <f>+[3]Resumen!Y21*1000</f>
        <v>238955.77356</v>
      </c>
      <c r="Z21" s="7">
        <f>+[3]Resumen!Z21*1000</f>
        <v>222386.46687600002</v>
      </c>
      <c r="AA21" s="7">
        <f>+[3]Resumen!AA21*1000</f>
        <v>191685.89104000002</v>
      </c>
      <c r="AB21" s="7">
        <f>+[3]Resumen!AB21*1000</f>
        <v>149748.01447200001</v>
      </c>
      <c r="AC21" s="7">
        <f>+[3]Resumen!AC21*1000</f>
        <v>103798.88422399999</v>
      </c>
      <c r="AD21" s="5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+[3]Resumen!F22*1000</f>
        <v>99420.66444800001</v>
      </c>
      <c r="G22" s="7">
        <f>+[3]Resumen!G22*1000</f>
        <v>76108.553220000002</v>
      </c>
      <c r="H22" s="7">
        <f>+[3]Resumen!H22*1000</f>
        <v>60592.873544000002</v>
      </c>
      <c r="I22" s="7">
        <f>+[3]Resumen!I22*1000</f>
        <v>52499.289135999999</v>
      </c>
      <c r="J22" s="7">
        <f>+[3]Resumen!J22*1000</f>
        <v>53726.489236000001</v>
      </c>
      <c r="K22" s="7">
        <f>+[3]Resumen!K22*1000</f>
        <v>60684.056076000001</v>
      </c>
      <c r="L22" s="7">
        <f>+[3]Resumen!L22*1000</f>
        <v>79176.520052000007</v>
      </c>
      <c r="M22" s="7">
        <f>+[3]Resumen!M22*1000</f>
        <v>86307.416944000011</v>
      </c>
      <c r="N22" s="7">
        <f>+[3]Resumen!N22*1000</f>
        <v>119521.105368</v>
      </c>
      <c r="O22" s="7">
        <f>+[3]Resumen!O22*1000</f>
        <v>147997.76191200002</v>
      </c>
      <c r="P22" s="7">
        <f>+[3]Resumen!P22*1000</f>
        <v>173149.72239600003</v>
      </c>
      <c r="Q22" s="7">
        <f>+[3]Resumen!Q22*1000</f>
        <v>196578.334848</v>
      </c>
      <c r="R22" s="7">
        <f>+[3]Resumen!R22*1000</f>
        <v>208487.19763200002</v>
      </c>
      <c r="S22" s="7">
        <f>+[3]Resumen!S22*1000</f>
        <v>208131.11365200003</v>
      </c>
      <c r="T22" s="7">
        <f>+[3]Resumen!T22*1000</f>
        <v>197828.32602400001</v>
      </c>
      <c r="U22" s="7">
        <f>+[3]Resumen!U22*1000</f>
        <v>191762.48509600002</v>
      </c>
      <c r="V22" s="7">
        <f>+[3]Resumen!V22*1000</f>
        <v>185551.275868</v>
      </c>
      <c r="W22" s="7">
        <f>+[3]Resumen!W22*1000</f>
        <v>195924.53294400001</v>
      </c>
      <c r="X22" s="7">
        <f>+[3]Resumen!X22*1000</f>
        <v>228415.58445999998</v>
      </c>
      <c r="Y22" s="7">
        <f>+[3]Resumen!Y22*1000</f>
        <v>245402.78019600004</v>
      </c>
      <c r="Z22" s="7">
        <f>+[3]Resumen!Z22*1000</f>
        <v>229757.40830000001</v>
      </c>
      <c r="AA22" s="7">
        <f>+[3]Resumen!AA22*1000</f>
        <v>196841.88742400002</v>
      </c>
      <c r="AB22" s="7">
        <f>+[3]Resumen!AB22*1000</f>
        <v>150067.86726400003</v>
      </c>
      <c r="AC22" s="7">
        <f>+[3]Resumen!AC22*1000</f>
        <v>101049.66435199999</v>
      </c>
      <c r="AD22" s="59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21</v>
      </c>
      <c r="F23" s="7">
        <f>+[3]Resumen!F23*1000</f>
        <v>68093.622632000013</v>
      </c>
      <c r="G23" s="7">
        <f>+[3]Resumen!G23*1000</f>
        <v>46022.188072000004</v>
      </c>
      <c r="H23" s="7">
        <f>+[3]Resumen!H23*1000</f>
        <v>34544.946100000001</v>
      </c>
      <c r="I23" s="7">
        <f>+[3]Resumen!I23*1000</f>
        <v>32195.405508</v>
      </c>
      <c r="J23" s="7">
        <f>+[3]Resumen!J23*1000</f>
        <v>44232.76354</v>
      </c>
      <c r="K23" s="7">
        <f>+[3]Resumen!K23*1000</f>
        <v>61877.503996000007</v>
      </c>
      <c r="L23" s="7">
        <f>+[3]Resumen!L23*1000</f>
        <v>103717.781776</v>
      </c>
      <c r="M23" s="7">
        <f>+[3]Resumen!M23*1000</f>
        <v>132051.23915199999</v>
      </c>
      <c r="N23" s="7">
        <f>+[3]Resumen!N23*1000</f>
        <v>175093.27074400001</v>
      </c>
      <c r="O23" s="7">
        <f>+[3]Resumen!O23*1000</f>
        <v>204265.02776400003</v>
      </c>
      <c r="P23" s="7">
        <f>+[3]Resumen!P23*1000</f>
        <v>228976.87318800003</v>
      </c>
      <c r="Q23" s="7">
        <f>+[3]Resumen!Q23*1000</f>
        <v>254479.78343200003</v>
      </c>
      <c r="R23" s="7">
        <f>+[3]Resumen!R23*1000</f>
        <v>269499.90454800002</v>
      </c>
      <c r="S23" s="7">
        <f>+[3]Resumen!S23*1000</f>
        <v>256255.24531600002</v>
      </c>
      <c r="T23" s="7">
        <f>+[3]Resumen!T23*1000</f>
        <v>241393.43437999999</v>
      </c>
      <c r="U23" s="7">
        <f>+[3]Resumen!U23*1000</f>
        <v>230273.89868000001</v>
      </c>
      <c r="V23" s="7">
        <f>+[3]Resumen!V23*1000</f>
        <v>218245.83085200001</v>
      </c>
      <c r="W23" s="7">
        <f>+[3]Resumen!W23*1000</f>
        <v>223234.14786400003</v>
      </c>
      <c r="X23" s="7">
        <f>+[3]Resumen!X23*1000</f>
        <v>250504.40853200003</v>
      </c>
      <c r="Y23" s="7">
        <f>+[3]Resumen!Y23*1000</f>
        <v>264194.35350000003</v>
      </c>
      <c r="Z23" s="7">
        <f>+[3]Resumen!Z23*1000</f>
        <v>236292.90580000001</v>
      </c>
      <c r="AA23" s="7">
        <f>+[3]Resumen!AA23*1000</f>
        <v>194887.83367199998</v>
      </c>
      <c r="AB23" s="7">
        <f>+[3]Resumen!AB23*1000</f>
        <v>143979.18057600001</v>
      </c>
      <c r="AC23" s="7">
        <f>+[3]Resumen!AC23*1000</f>
        <v>96329.584512000001</v>
      </c>
      <c r="AD23" s="57">
        <f t="shared" ref="AD23" si="2">SUM(F23:AC23)*E23+SUM(F24:AC24)*E24+SUM(F25:AC25)*E25+SUM(F26:AC26)*E26</f>
        <v>131176647.14683202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+[3]Resumen!F24*1000</f>
        <v>48022.146004000002</v>
      </c>
      <c r="G24" s="7">
        <f>+[3]Resumen!G24*1000</f>
        <v>31359.402592000002</v>
      </c>
      <c r="H24" s="7">
        <f>+[3]Resumen!H24*1000</f>
        <v>21944.458312000002</v>
      </c>
      <c r="I24" s="7">
        <f>+[3]Resumen!I24*1000</f>
        <v>23384.324487999998</v>
      </c>
      <c r="J24" s="7">
        <f>+[3]Resumen!J24*1000</f>
        <v>46338.826660000006</v>
      </c>
      <c r="K24" s="7">
        <f>+[3]Resumen!K24*1000</f>
        <v>81277.965412000005</v>
      </c>
      <c r="L24" s="7">
        <f>+[3]Resumen!L24*1000</f>
        <v>141754.72052</v>
      </c>
      <c r="M24" s="7">
        <f>+[3]Resumen!M24*1000</f>
        <v>173226.595948</v>
      </c>
      <c r="N24" s="7">
        <f>+[3]Resumen!N24*1000</f>
        <v>211084.33522400001</v>
      </c>
      <c r="O24" s="7">
        <f>+[3]Resumen!O24*1000</f>
        <v>235912.44490800003</v>
      </c>
      <c r="P24" s="7">
        <f>+[3]Resumen!P24*1000</f>
        <v>262760.61193200003</v>
      </c>
      <c r="Q24" s="7">
        <f>+[3]Resumen!Q24*1000</f>
        <v>292330.37125600001</v>
      </c>
      <c r="R24" s="7">
        <f>+[3]Resumen!R24*1000</f>
        <v>307055.259532</v>
      </c>
      <c r="S24" s="7">
        <f>+[3]Resumen!S24*1000</f>
        <v>292604.052524</v>
      </c>
      <c r="T24" s="7">
        <f>+[3]Resumen!T24*1000</f>
        <v>288400.12280800001</v>
      </c>
      <c r="U24" s="7">
        <f>+[3]Resumen!U24*1000</f>
        <v>283218.67405999999</v>
      </c>
      <c r="V24" s="7">
        <f>+[3]Resumen!V24*1000</f>
        <v>269153.84596800001</v>
      </c>
      <c r="W24" s="7">
        <f>+[3]Resumen!W24*1000</f>
        <v>261305.31271600001</v>
      </c>
      <c r="X24" s="7">
        <f>+[3]Resumen!X24*1000</f>
        <v>286816.352648</v>
      </c>
      <c r="Y24" s="7">
        <f>+[3]Resumen!Y24*1000</f>
        <v>307862.881452</v>
      </c>
      <c r="Z24" s="7">
        <f>+[3]Resumen!Z24*1000</f>
        <v>272767.850768</v>
      </c>
      <c r="AA24" s="7">
        <f>+[3]Resumen!AA24*1000</f>
        <v>222010.03437199999</v>
      </c>
      <c r="AB24" s="7">
        <f>+[3]Resumen!AB24*1000</f>
        <v>153589.83281600001</v>
      </c>
      <c r="AC24" s="7">
        <f>+[3]Resumen!AC24*1000</f>
        <v>93587.990020000012</v>
      </c>
      <c r="AD24" s="5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+[3]Resumen!F25*1000</f>
        <v>58712.236100000002</v>
      </c>
      <c r="G25" s="7">
        <f>+[3]Resumen!G25*1000</f>
        <v>39757.194091999998</v>
      </c>
      <c r="H25" s="7">
        <f>+[3]Resumen!H25*1000</f>
        <v>30364.348224000001</v>
      </c>
      <c r="I25" s="7">
        <f>+[3]Resumen!I25*1000</f>
        <v>32431.628236</v>
      </c>
      <c r="J25" s="7">
        <f>+[3]Resumen!J25*1000</f>
        <v>58065.330456000003</v>
      </c>
      <c r="K25" s="7">
        <f>+[3]Resumen!K25*1000</f>
        <v>96563.972288000004</v>
      </c>
      <c r="L25" s="7">
        <f>+[3]Resumen!L25*1000</f>
        <v>161953.9572</v>
      </c>
      <c r="M25" s="7">
        <f>+[3]Resumen!M25*1000</f>
        <v>196620.76355600002</v>
      </c>
      <c r="N25" s="7">
        <f>+[3]Resumen!N25*1000</f>
        <v>235501.98072800002</v>
      </c>
      <c r="O25" s="7">
        <f>+[3]Resumen!O25*1000</f>
        <v>258218.57712000003</v>
      </c>
      <c r="P25" s="7">
        <f>+[3]Resumen!P25*1000</f>
        <v>285544.78559600003</v>
      </c>
      <c r="Q25" s="7">
        <f>+[3]Resumen!Q25*1000</f>
        <v>314440.692216</v>
      </c>
      <c r="R25" s="7">
        <f>+[3]Resumen!R25*1000</f>
        <v>328448.10210799996</v>
      </c>
      <c r="S25" s="7">
        <f>+[3]Resumen!S25*1000</f>
        <v>314946.19111200003</v>
      </c>
      <c r="T25" s="7">
        <f>+[3]Resumen!T25*1000</f>
        <v>306475.70027199999</v>
      </c>
      <c r="U25" s="7">
        <f>+[3]Resumen!U25*1000</f>
        <v>299574.31820400001</v>
      </c>
      <c r="V25" s="7">
        <f>+[3]Resumen!V25*1000</f>
        <v>283408.60982000001</v>
      </c>
      <c r="W25" s="7">
        <f>+[3]Resumen!W25*1000</f>
        <v>275366.51343599998</v>
      </c>
      <c r="X25" s="7">
        <f>+[3]Resumen!X25*1000</f>
        <v>302276.163504</v>
      </c>
      <c r="Y25" s="7">
        <f>+[3]Resumen!Y25*1000</f>
        <v>323287.84037200001</v>
      </c>
      <c r="Z25" s="7">
        <f>+[3]Resumen!Z25*1000</f>
        <v>284293.62782800006</v>
      </c>
      <c r="AA25" s="7">
        <f>+[3]Resumen!AA25*1000</f>
        <v>233666.87075200002</v>
      </c>
      <c r="AB25" s="7">
        <f>+[3]Resumen!AB25*1000</f>
        <v>168489.49723200002</v>
      </c>
      <c r="AC25" s="7">
        <f>+[3]Resumen!AC25*1000</f>
        <v>105534.68197999999</v>
      </c>
      <c r="AD25" s="5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+[3]Resumen!F26*1000</f>
        <v>67230.751644000004</v>
      </c>
      <c r="G26" s="7">
        <f>+[3]Resumen!G26*1000</f>
        <v>44163.017136000002</v>
      </c>
      <c r="H26" s="7">
        <f>+[3]Resumen!H26*1000</f>
        <v>32118.191700000003</v>
      </c>
      <c r="I26" s="7">
        <f>+[3]Resumen!I26*1000</f>
        <v>31223.871336</v>
      </c>
      <c r="J26" s="7">
        <f>+[3]Resumen!J26*1000</f>
        <v>48338.268132000005</v>
      </c>
      <c r="K26" s="7">
        <f>+[3]Resumen!K26*1000</f>
        <v>70234.677435999998</v>
      </c>
      <c r="L26" s="7">
        <f>+[3]Resumen!L26*1000</f>
        <v>119649.49124800001</v>
      </c>
      <c r="M26" s="7">
        <f>+[3]Resumen!M26*1000</f>
        <v>151104.25666000001</v>
      </c>
      <c r="N26" s="7">
        <f>+[3]Resumen!N26*1000</f>
        <v>187745.92706800002</v>
      </c>
      <c r="O26" s="7">
        <f>+[3]Resumen!O26*1000</f>
        <v>215110.87004400001</v>
      </c>
      <c r="P26" s="7">
        <f>+[3]Resumen!P26*1000</f>
        <v>244646.16022000002</v>
      </c>
      <c r="Q26" s="7">
        <f>+[3]Resumen!Q26*1000</f>
        <v>271072.44626</v>
      </c>
      <c r="R26" s="7">
        <f>+[3]Resumen!R26*1000</f>
        <v>282599.06180800003</v>
      </c>
      <c r="S26" s="7">
        <f>+[3]Resumen!S26*1000</f>
        <v>268071.94733200001</v>
      </c>
      <c r="T26" s="7">
        <f>+[3]Resumen!T26*1000</f>
        <v>259343.79156000001</v>
      </c>
      <c r="U26" s="7">
        <f>+[3]Resumen!U26*1000</f>
        <v>255047.008412</v>
      </c>
      <c r="V26" s="7">
        <f>+[3]Resumen!V26*1000</f>
        <v>239377.54517600001</v>
      </c>
      <c r="W26" s="7">
        <f>+[3]Resumen!W26*1000</f>
        <v>233601.62666400001</v>
      </c>
      <c r="X26" s="7">
        <f>+[3]Resumen!X26*1000</f>
        <v>262103.71126800004</v>
      </c>
      <c r="Y26" s="7">
        <f>+[3]Resumen!Y26*1000</f>
        <v>279460.83211200003</v>
      </c>
      <c r="Z26" s="7">
        <f>+[3]Resumen!Z26*1000</f>
        <v>249164.65660800002</v>
      </c>
      <c r="AA26" s="7">
        <f>+[3]Resumen!AA26*1000</f>
        <v>205610.13872000002</v>
      </c>
      <c r="AB26" s="7">
        <f>+[3]Resumen!AB26*1000</f>
        <v>153979.26796</v>
      </c>
      <c r="AC26" s="7">
        <f>+[3]Resumen!AC26*1000</f>
        <v>102170.15774</v>
      </c>
      <c r="AD26" s="59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20</v>
      </c>
      <c r="F27" s="7">
        <f>+[3]Resumen!F27*1000</f>
        <v>88614.516676000014</v>
      </c>
      <c r="G27" s="7">
        <f>+[3]Resumen!G27*1000</f>
        <v>68387.43976400001</v>
      </c>
      <c r="H27" s="7">
        <f>+[3]Resumen!H27*1000</f>
        <v>57240.452696000008</v>
      </c>
      <c r="I27" s="7">
        <f>+[3]Resumen!I27*1000</f>
        <v>57459.279836000002</v>
      </c>
      <c r="J27" s="7">
        <f>+[3]Resumen!J27*1000</f>
        <v>78368.053568000003</v>
      </c>
      <c r="K27" s="7">
        <f>+[3]Resumen!K27*1000</f>
        <v>117341.698852</v>
      </c>
      <c r="L27" s="7">
        <f>+[3]Resumen!L27*1000</f>
        <v>166372.41224800001</v>
      </c>
      <c r="M27" s="7">
        <f>+[3]Resumen!M27*1000</f>
        <v>188151.11728000001</v>
      </c>
      <c r="N27" s="7">
        <f>+[3]Resumen!N27*1000</f>
        <v>223683.212872</v>
      </c>
      <c r="O27" s="7">
        <f>+[3]Resumen!O27*1000</f>
        <v>244678.87340400001</v>
      </c>
      <c r="P27" s="7">
        <f>+[3]Resumen!P27*1000</f>
        <v>272312.333048</v>
      </c>
      <c r="Q27" s="7">
        <f>+[3]Resumen!Q27*1000</f>
        <v>297314.07050800003</v>
      </c>
      <c r="R27" s="7">
        <f>+[3]Resumen!R27*1000</f>
        <v>305705.84676799999</v>
      </c>
      <c r="S27" s="7">
        <f>+[3]Resumen!S27*1000</f>
        <v>297929.16221600003</v>
      </c>
      <c r="T27" s="7">
        <f>+[3]Resumen!T27*1000</f>
        <v>300630.88599600003</v>
      </c>
      <c r="U27" s="7">
        <f>+[3]Resumen!U27*1000</f>
        <v>299158.21549600002</v>
      </c>
      <c r="V27" s="7">
        <f>+[3]Resumen!V27*1000</f>
        <v>286195.46443599998</v>
      </c>
      <c r="W27" s="7">
        <f>+[3]Resumen!W27*1000</f>
        <v>276391.22476000001</v>
      </c>
      <c r="X27" s="7">
        <f>+[3]Resumen!X27*1000</f>
        <v>286426.72307200002</v>
      </c>
      <c r="Y27" s="7">
        <f>+[3]Resumen!Y27*1000</f>
        <v>302922.78965200001</v>
      </c>
      <c r="Z27" s="7">
        <f>+[3]Resumen!Z27*1000</f>
        <v>275511.08578000002</v>
      </c>
      <c r="AA27" s="7">
        <f>+[3]Resumen!AA27*1000</f>
        <v>232117.94645200003</v>
      </c>
      <c r="AB27" s="7">
        <f>+[3]Resumen!AB27*1000</f>
        <v>176367.86972000002</v>
      </c>
      <c r="AC27" s="7">
        <f>+[3]Resumen!AC27*1000</f>
        <v>128331.6517</v>
      </c>
      <c r="AD27" s="57">
        <f t="shared" ref="AD27" si="3">SUM(F27:AC27)*E27+SUM(F28:AC28)*E28+SUM(F29:AC29)*E29+SUM(F30:AC30)*E30</f>
        <v>139475655.48845601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+[3]Resumen!F28*1000</f>
        <v>102000.613036</v>
      </c>
      <c r="G28" s="7">
        <f>+[3]Resumen!G28*1000</f>
        <v>78215.770780000006</v>
      </c>
      <c r="H28" s="7">
        <f>+[3]Resumen!H28*1000</f>
        <v>66603.714520000009</v>
      </c>
      <c r="I28" s="7">
        <f>+[3]Resumen!I28*1000</f>
        <v>61827.850924000006</v>
      </c>
      <c r="J28" s="7">
        <f>+[3]Resumen!J28*1000</f>
        <v>73621.543128000005</v>
      </c>
      <c r="K28" s="7">
        <f>+[3]Resumen!K28*1000</f>
        <v>93714.34044</v>
      </c>
      <c r="L28" s="7">
        <f>+[3]Resumen!L28*1000</f>
        <v>135440.140304</v>
      </c>
      <c r="M28" s="7">
        <f>+[3]Resumen!M28*1000</f>
        <v>155368.33877600002</v>
      </c>
      <c r="N28" s="7">
        <f>+[3]Resumen!N28*1000</f>
        <v>193920.60738400003</v>
      </c>
      <c r="O28" s="7">
        <f>+[3]Resumen!O28*1000</f>
        <v>220999.498356</v>
      </c>
      <c r="P28" s="7">
        <f>+[3]Resumen!P28*1000</f>
        <v>246084.598536</v>
      </c>
      <c r="Q28" s="7">
        <f>+[3]Resumen!Q28*1000</f>
        <v>262644.58463599999</v>
      </c>
      <c r="R28" s="7">
        <f>+[3]Resumen!R28*1000</f>
        <v>262671.24004800001</v>
      </c>
      <c r="S28" s="7">
        <f>+[3]Resumen!S28*1000</f>
        <v>248088.87042800002</v>
      </c>
      <c r="T28" s="7">
        <f>+[3]Resumen!T28*1000</f>
        <v>238889.68490800002</v>
      </c>
      <c r="U28" s="7">
        <f>+[3]Resumen!U28*1000</f>
        <v>237228.26346800002</v>
      </c>
      <c r="V28" s="7">
        <f>+[3]Resumen!V28*1000</f>
        <v>230346.74384400001</v>
      </c>
      <c r="W28" s="7">
        <f>+[3]Resumen!W28*1000</f>
        <v>239070.500592</v>
      </c>
      <c r="X28" s="7">
        <f>+[3]Resumen!X28*1000</f>
        <v>256406.270372</v>
      </c>
      <c r="Y28" s="7">
        <f>+[3]Resumen!Y28*1000</f>
        <v>271795.34443599998</v>
      </c>
      <c r="Z28" s="7">
        <f>+[3]Resumen!Z28*1000</f>
        <v>244768.658456</v>
      </c>
      <c r="AA28" s="7">
        <f>+[3]Resumen!AA28*1000</f>
        <v>209400.16524000003</v>
      </c>
      <c r="AB28" s="7">
        <f>+[3]Resumen!AB28*1000</f>
        <v>168741.48110400001</v>
      </c>
      <c r="AC28" s="7">
        <f>+[3]Resumen!AC28*1000</f>
        <v>130165.030016</v>
      </c>
      <c r="AD28" s="5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+[3]Resumen!F29*1000</f>
        <v>103450.06106400001</v>
      </c>
      <c r="G29" s="7">
        <f>+[3]Resumen!G29*1000</f>
        <v>80086.996500000008</v>
      </c>
      <c r="H29" s="7">
        <f>+[3]Resumen!H29*1000</f>
        <v>63944.176408000007</v>
      </c>
      <c r="I29" s="7">
        <f>+[3]Resumen!I29*1000</f>
        <v>55572.062083999997</v>
      </c>
      <c r="J29" s="7">
        <f>+[3]Resumen!J29*1000</f>
        <v>56776.525792</v>
      </c>
      <c r="K29" s="7">
        <f>+[3]Resumen!K29*1000</f>
        <v>62463.351916000007</v>
      </c>
      <c r="L29" s="7">
        <f>+[3]Resumen!L29*1000</f>
        <v>79541.784868000002</v>
      </c>
      <c r="M29" s="7">
        <f>+[3]Resumen!M29*1000</f>
        <v>87073.825356000001</v>
      </c>
      <c r="N29" s="7">
        <f>+[3]Resumen!N29*1000</f>
        <v>117086.87141200001</v>
      </c>
      <c r="O29" s="7">
        <f>+[3]Resumen!O29*1000</f>
        <v>143307.44839599999</v>
      </c>
      <c r="P29" s="7">
        <f>+[3]Resumen!P29*1000</f>
        <v>164008.94546400002</v>
      </c>
      <c r="Q29" s="7">
        <f>+[3]Resumen!Q29*1000</f>
        <v>187491.51887199999</v>
      </c>
      <c r="R29" s="7">
        <f>+[3]Resumen!R29*1000</f>
        <v>202568.754388</v>
      </c>
      <c r="S29" s="7">
        <f>+[3]Resumen!S29*1000</f>
        <v>204662.987536</v>
      </c>
      <c r="T29" s="7">
        <f>+[3]Resumen!T29*1000</f>
        <v>197325.13600800003</v>
      </c>
      <c r="U29" s="7">
        <f>+[3]Resumen!U29*1000</f>
        <v>190885.77298000001</v>
      </c>
      <c r="V29" s="7">
        <f>+[3]Resumen!V29*1000</f>
        <v>182368.126304</v>
      </c>
      <c r="W29" s="7">
        <f>+[3]Resumen!W29*1000</f>
        <v>191320.64445200001</v>
      </c>
      <c r="X29" s="7">
        <f>+[3]Resumen!X29*1000</f>
        <v>210185.020388</v>
      </c>
      <c r="Y29" s="7">
        <f>+[3]Resumen!Y29*1000</f>
        <v>228648.42285600002</v>
      </c>
      <c r="Z29" s="7">
        <f>+[3]Resumen!Z29*1000</f>
        <v>210189.881188</v>
      </c>
      <c r="AA29" s="7">
        <f>+[3]Resumen!AA29*1000</f>
        <v>182693.51433200002</v>
      </c>
      <c r="AB29" s="7">
        <f>+[3]Resumen!AB29*1000</f>
        <v>147004.72477600002</v>
      </c>
      <c r="AC29" s="7">
        <f>+[3]Resumen!AC29*1000</f>
        <v>107251.38894400001</v>
      </c>
      <c r="AD29" s="5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+[3]Resumen!F30*1000</f>
        <v>87869.349960000007</v>
      </c>
      <c r="G30" s="7">
        <f>+[3]Resumen!G30*1000</f>
        <v>67751.701807999998</v>
      </c>
      <c r="H30" s="7">
        <f>+[3]Resumen!H30*1000</f>
        <v>54220.705000000002</v>
      </c>
      <c r="I30" s="7">
        <f>+[3]Resumen!I30*1000</f>
        <v>48738.384883999999</v>
      </c>
      <c r="J30" s="7">
        <f>+[3]Resumen!J30*1000</f>
        <v>54136.236448000003</v>
      </c>
      <c r="K30" s="7">
        <f>+[3]Resumen!K30*1000</f>
        <v>62132.580552000007</v>
      </c>
      <c r="L30" s="7">
        <f>+[3]Resumen!L30*1000</f>
        <v>81538.060744000002</v>
      </c>
      <c r="M30" s="7">
        <f>+[3]Resumen!M30*1000</f>
        <v>93565.229324</v>
      </c>
      <c r="N30" s="7">
        <f>+[3]Resumen!N30*1000</f>
        <v>133642.80482000002</v>
      </c>
      <c r="O30" s="7">
        <f>+[3]Resumen!O30*1000</f>
        <v>155914.54079600002</v>
      </c>
      <c r="P30" s="7">
        <f>+[3]Resumen!P30*1000</f>
        <v>185225.58404000002</v>
      </c>
      <c r="Q30" s="7">
        <f>+[3]Resumen!Q30*1000</f>
        <v>214333.79825200001</v>
      </c>
      <c r="R30" s="7">
        <f>+[3]Resumen!R30*1000</f>
        <v>233972.46317199999</v>
      </c>
      <c r="S30" s="7">
        <f>+[3]Resumen!S30*1000</f>
        <v>225906.09316799999</v>
      </c>
      <c r="T30" s="7">
        <f>+[3]Resumen!T30*1000</f>
        <v>211405.73739600001</v>
      </c>
      <c r="U30" s="7">
        <f>+[3]Resumen!U30*1000</f>
        <v>203318.63000400001</v>
      </c>
      <c r="V30" s="7">
        <f>+[3]Resumen!V30*1000</f>
        <v>194294.25100399999</v>
      </c>
      <c r="W30" s="7">
        <f>+[3]Resumen!W30*1000</f>
        <v>209668.65152800002</v>
      </c>
      <c r="X30" s="7">
        <f>+[3]Resumen!X30*1000</f>
        <v>240313.73525600001</v>
      </c>
      <c r="Y30" s="7">
        <f>+[3]Resumen!Y30*1000</f>
        <v>257349.68481599996</v>
      </c>
      <c r="Z30" s="7">
        <f>+[3]Resumen!Z30*1000</f>
        <v>234175.92410800001</v>
      </c>
      <c r="AA30" s="7">
        <f>+[3]Resumen!AA30*1000</f>
        <v>190523.98363599999</v>
      </c>
      <c r="AB30" s="7">
        <f>+[3]Resumen!AB30*1000</f>
        <v>148920.293144</v>
      </c>
      <c r="AC30" s="7">
        <f>+[3]Resumen!AC30*1000</f>
        <v>104942.460336</v>
      </c>
      <c r="AD30" s="59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19</v>
      </c>
      <c r="F31" s="7">
        <f>+[3]Resumen!F31*1000</f>
        <v>78365.592788000009</v>
      </c>
      <c r="G31" s="7">
        <f>+[3]Resumen!G31*1000</f>
        <v>58245.568919999998</v>
      </c>
      <c r="H31" s="7">
        <f>+[3]Resumen!H31*1000</f>
        <v>47184.168388000006</v>
      </c>
      <c r="I31" s="7">
        <f>+[3]Resumen!I31*1000</f>
        <v>45568.395936000001</v>
      </c>
      <c r="J31" s="7">
        <f>+[3]Resumen!J31*1000</f>
        <v>66579.647484000001</v>
      </c>
      <c r="K31" s="7">
        <f>+[3]Resumen!K31*1000</f>
        <v>113554.072352</v>
      </c>
      <c r="L31" s="7">
        <f>+[3]Resumen!L31*1000</f>
        <v>158680.11118400001</v>
      </c>
      <c r="M31" s="7">
        <f>+[3]Resumen!M31*1000</f>
        <v>169282.58536</v>
      </c>
      <c r="N31" s="7">
        <f>+[3]Resumen!N31*1000</f>
        <v>199627.44177600002</v>
      </c>
      <c r="O31" s="7">
        <f>+[3]Resumen!O31*1000</f>
        <v>220821.63560800001</v>
      </c>
      <c r="P31" s="7">
        <f>+[3]Resumen!P31*1000</f>
        <v>249265.736944</v>
      </c>
      <c r="Q31" s="7">
        <f>+[3]Resumen!Q31*1000</f>
        <v>272454.55398000003</v>
      </c>
      <c r="R31" s="7">
        <f>+[3]Resumen!R31*1000</f>
        <v>275670.31951200002</v>
      </c>
      <c r="S31" s="7">
        <f>+[3]Resumen!S31*1000</f>
        <v>269072.64630399999</v>
      </c>
      <c r="T31" s="7">
        <f>+[3]Resumen!T31*1000</f>
        <v>274265.48755200004</v>
      </c>
      <c r="U31" s="7">
        <f>+[3]Resumen!U31*1000</f>
        <v>273395.46511200001</v>
      </c>
      <c r="V31" s="7">
        <f>+[3]Resumen!V31*1000</f>
        <v>260527.99180800002</v>
      </c>
      <c r="W31" s="7">
        <f>+[3]Resumen!W31*1000</f>
        <v>248498.37460000001</v>
      </c>
      <c r="X31" s="7">
        <f>+[3]Resumen!X31*1000</f>
        <v>256593.13167600005</v>
      </c>
      <c r="Y31" s="7">
        <f>+[3]Resumen!Y31*1000</f>
        <v>279590.08078400005</v>
      </c>
      <c r="Z31" s="7">
        <f>+[3]Resumen!Z31*1000</f>
        <v>254956.75550800003</v>
      </c>
      <c r="AA31" s="7">
        <f>+[3]Resumen!AA31*1000</f>
        <v>215665.78504799999</v>
      </c>
      <c r="AB31" s="7">
        <f>+[3]Resumen!AB31*1000</f>
        <v>160833.73115599999</v>
      </c>
      <c r="AC31" s="7">
        <f>+[3]Resumen!AC31*1000</f>
        <v>111446.73934800002</v>
      </c>
      <c r="AD31" s="57">
        <f t="shared" ref="AD31" si="4">SUM(F31:AC31)*E31+SUM(F32:AC32)*E32+SUM(F33:AC33)*E33+SUM(F34:AC34)*E34</f>
        <v>127479809.16846001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5</v>
      </c>
      <c r="F32" s="7">
        <f>+[3]Resumen!F32*1000</f>
        <v>72655.726472000009</v>
      </c>
      <c r="G32" s="7">
        <f>+[3]Resumen!G32*1000</f>
        <v>50493.844575999996</v>
      </c>
      <c r="H32" s="7">
        <f>+[3]Resumen!H32*1000</f>
        <v>39120.14372</v>
      </c>
      <c r="I32" s="7">
        <f>+[3]Resumen!I32*1000</f>
        <v>35370.285636000001</v>
      </c>
      <c r="J32" s="7">
        <f>+[3]Resumen!J32*1000</f>
        <v>45754.285080000001</v>
      </c>
      <c r="K32" s="7">
        <f>+[3]Resumen!K32*1000</f>
        <v>65236.900091999996</v>
      </c>
      <c r="L32" s="7">
        <f>+[3]Resumen!L32*1000</f>
        <v>103699.13453200001</v>
      </c>
      <c r="M32" s="7">
        <f>+[3]Resumen!M32*1000</f>
        <v>127634.28487600001</v>
      </c>
      <c r="N32" s="7">
        <f>+[3]Resumen!N32*1000</f>
        <v>167454.48708800002</v>
      </c>
      <c r="O32" s="7">
        <f>+[3]Resumen!O32*1000</f>
        <v>193694.79892000003</v>
      </c>
      <c r="P32" s="7">
        <f>+[3]Resumen!P32*1000</f>
        <v>220409.59166800001</v>
      </c>
      <c r="Q32" s="7">
        <f>+[3]Resumen!Q32*1000</f>
        <v>239699.68862000003</v>
      </c>
      <c r="R32" s="7">
        <f>+[3]Resumen!R32*1000</f>
        <v>239520.34332800002</v>
      </c>
      <c r="S32" s="7">
        <f>+[3]Resumen!S32*1000</f>
        <v>227858.54893200001</v>
      </c>
      <c r="T32" s="7">
        <f>+[3]Resumen!T32*1000</f>
        <v>218452.68219600001</v>
      </c>
      <c r="U32" s="7">
        <f>+[3]Resumen!U32*1000</f>
        <v>214503.18497999999</v>
      </c>
      <c r="V32" s="7">
        <f>+[3]Resumen!V32*1000</f>
        <v>209410.366844</v>
      </c>
      <c r="W32" s="7">
        <f>+[3]Resumen!W32*1000</f>
        <v>213485.874224</v>
      </c>
      <c r="X32" s="7">
        <f>+[3]Resumen!X32*1000</f>
        <v>223227.45818800002</v>
      </c>
      <c r="Y32" s="7">
        <f>+[3]Resumen!Y32*1000</f>
        <v>245243.85026400001</v>
      </c>
      <c r="Z32" s="7">
        <f>+[3]Resumen!Z32*1000</f>
        <v>220699.87864400001</v>
      </c>
      <c r="AA32" s="7">
        <f>+[3]Resumen!AA32*1000</f>
        <v>188039.75635200003</v>
      </c>
      <c r="AB32" s="7">
        <f>+[3]Resumen!AB32*1000</f>
        <v>148107.30004</v>
      </c>
      <c r="AC32" s="7">
        <f>+[3]Resumen!AC32*1000</f>
        <v>109769.28334400001</v>
      </c>
      <c r="AD32" s="5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5</v>
      </c>
      <c r="F33" s="7">
        <f>+[3]Resumen!F33*1000</f>
        <v>81188.927708000003</v>
      </c>
      <c r="G33" s="7">
        <f>+[3]Resumen!G33*1000</f>
        <v>58386.386296000004</v>
      </c>
      <c r="H33" s="7">
        <f>+[3]Resumen!H33*1000</f>
        <v>43593.993660000007</v>
      </c>
      <c r="I33" s="7">
        <f>+[3]Resumen!I33*1000</f>
        <v>35878.962280000007</v>
      </c>
      <c r="J33" s="7">
        <f>+[3]Resumen!J33*1000</f>
        <v>37803.365151999998</v>
      </c>
      <c r="K33" s="7">
        <f>+[3]Resumen!K33*1000</f>
        <v>44786.536255999999</v>
      </c>
      <c r="L33" s="7">
        <f>+[3]Resumen!L33*1000</f>
        <v>60512.050592</v>
      </c>
      <c r="M33" s="7">
        <f>+[3]Resumen!M33*1000</f>
        <v>67907.940071999998</v>
      </c>
      <c r="N33" s="7">
        <f>+[3]Resumen!N33*1000</f>
        <v>99632.631783999997</v>
      </c>
      <c r="O33" s="7">
        <f>+[3]Resumen!O33*1000</f>
        <v>127200.10606800001</v>
      </c>
      <c r="P33" s="7">
        <f>+[3]Resumen!P33*1000</f>
        <v>150928.38683999999</v>
      </c>
      <c r="Q33" s="7">
        <f>+[3]Resumen!Q33*1000</f>
        <v>175676.627504</v>
      </c>
      <c r="R33" s="7">
        <f>+[3]Resumen!R33*1000</f>
        <v>189455.38536400002</v>
      </c>
      <c r="S33" s="7">
        <f>+[3]Resumen!S33*1000</f>
        <v>190841.81919600003</v>
      </c>
      <c r="T33" s="7">
        <f>+[3]Resumen!T33*1000</f>
        <v>184812.73806800001</v>
      </c>
      <c r="U33" s="7">
        <f>+[3]Resumen!U33*1000</f>
        <v>179499.03302800003</v>
      </c>
      <c r="V33" s="7">
        <f>+[3]Resumen!V33*1000</f>
        <v>175062.890744</v>
      </c>
      <c r="W33" s="7">
        <f>+[3]Resumen!W33*1000</f>
        <v>182866.49197600002</v>
      </c>
      <c r="X33" s="7">
        <f>+[3]Resumen!X33*1000</f>
        <v>194928.57325200003</v>
      </c>
      <c r="Y33" s="7">
        <f>+[3]Resumen!Y33*1000</f>
        <v>217172.85785999999</v>
      </c>
      <c r="Z33" s="7">
        <f>+[3]Resumen!Z33*1000</f>
        <v>197812.43120800002</v>
      </c>
      <c r="AA33" s="7">
        <f>+[3]Resumen!AA33*1000</f>
        <v>173040.86478</v>
      </c>
      <c r="AB33" s="7">
        <f>+[3]Resumen!AB33*1000</f>
        <v>135062.996908</v>
      </c>
      <c r="AC33" s="7">
        <f>+[3]Resumen!AC33*1000</f>
        <v>100198.80561600001</v>
      </c>
      <c r="AD33" s="5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+[3]Resumen!F34*1000</f>
        <v>69472.576908000003</v>
      </c>
      <c r="G34" s="7">
        <f>+[3]Resumen!G34*1000</f>
        <v>46842.022752000004</v>
      </c>
      <c r="H34" s="7">
        <f>+[3]Resumen!H34*1000</f>
        <v>29842.419824000001</v>
      </c>
      <c r="I34" s="7">
        <f>+[3]Resumen!I34*1000</f>
        <v>24733.129652</v>
      </c>
      <c r="J34" s="7">
        <f>+[3]Resumen!J34*1000</f>
        <v>28760.016880000003</v>
      </c>
      <c r="K34" s="7">
        <f>+[3]Resumen!K34*1000</f>
        <v>39366.361468000003</v>
      </c>
      <c r="L34" s="7">
        <f>+[3]Resumen!L34*1000</f>
        <v>61684.238588000007</v>
      </c>
      <c r="M34" s="7">
        <f>+[3]Resumen!M34*1000</f>
        <v>71600.240208000003</v>
      </c>
      <c r="N34" s="7">
        <f>+[3]Resumen!N34*1000</f>
        <v>105852.329184</v>
      </c>
      <c r="O34" s="7">
        <f>+[3]Resumen!O34*1000</f>
        <v>133543.942224</v>
      </c>
      <c r="P34" s="7">
        <f>+[3]Resumen!P34*1000</f>
        <v>159801.795468</v>
      </c>
      <c r="Q34" s="7">
        <f>+[3]Resumen!Q34*1000</f>
        <v>185080.62283200002</v>
      </c>
      <c r="R34" s="7">
        <f>+[3]Resumen!R34*1000</f>
        <v>196728.30267999999</v>
      </c>
      <c r="S34" s="7">
        <f>+[3]Resumen!S34*1000</f>
        <v>194751.89532400001</v>
      </c>
      <c r="T34" s="7">
        <f>+[3]Resumen!T34*1000</f>
        <v>188674.66189600003</v>
      </c>
      <c r="U34" s="7">
        <f>+[3]Resumen!U34*1000</f>
        <v>187411.46757199999</v>
      </c>
      <c r="V34" s="7">
        <f>+[3]Resumen!V34*1000</f>
        <v>176658.07770800003</v>
      </c>
      <c r="W34" s="7">
        <f>+[3]Resumen!W34*1000</f>
        <v>181320.64820800003</v>
      </c>
      <c r="X34" s="7">
        <f>+[3]Resumen!X34*1000</f>
        <v>194013.83752800003</v>
      </c>
      <c r="Y34" s="7">
        <f>+[3]Resumen!Y34*1000</f>
        <v>219202.94667600002</v>
      </c>
      <c r="Z34" s="7">
        <f>+[3]Resumen!Z34*1000</f>
        <v>203547.32456800001</v>
      </c>
      <c r="AA34" s="7">
        <f>+[3]Resumen!AA34*1000</f>
        <v>174855.46218</v>
      </c>
      <c r="AB34" s="7">
        <f>+[3]Resumen!AB34*1000</f>
        <v>137068.22880799999</v>
      </c>
      <c r="AC34" s="7">
        <f>+[3]Resumen!AC34*1000</f>
        <v>98223.601307999998</v>
      </c>
      <c r="AD34" s="59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+[3]Resumen!F35*1000</f>
        <v>73541.151572000002</v>
      </c>
      <c r="G35" s="7">
        <f>+[3]Resumen!G35*1000</f>
        <v>54723.269188000006</v>
      </c>
      <c r="H35" s="7">
        <f>+[3]Resumen!H35*1000</f>
        <v>44825.550252000008</v>
      </c>
      <c r="I35" s="7">
        <f>+[3]Resumen!I35*1000</f>
        <v>43828.338903999997</v>
      </c>
      <c r="J35" s="7">
        <f>+[3]Resumen!J35*1000</f>
        <v>67225.92730000001</v>
      </c>
      <c r="K35" s="7">
        <f>+[3]Resumen!K35*1000</f>
        <v>119209.364036</v>
      </c>
      <c r="L35" s="7">
        <f>+[3]Resumen!L35*1000</f>
        <v>166732.65828800001</v>
      </c>
      <c r="M35" s="7">
        <f>+[3]Resumen!M35*1000</f>
        <v>174805.69366400002</v>
      </c>
      <c r="N35" s="7">
        <f>+[3]Resumen!N35*1000</f>
        <v>202738.38415600001</v>
      </c>
      <c r="O35" s="7">
        <f>+[3]Resumen!O35*1000</f>
        <v>223697.97755200003</v>
      </c>
      <c r="P35" s="7">
        <f>+[3]Resumen!P35*1000</f>
        <v>252129.97549600003</v>
      </c>
      <c r="Q35" s="7">
        <f>+[3]Resumen!Q35*1000</f>
        <v>274408.04266400001</v>
      </c>
      <c r="R35" s="7">
        <f>+[3]Resumen!R35*1000</f>
        <v>276294.61635999999</v>
      </c>
      <c r="S35" s="7">
        <f>+[3]Resumen!S35*1000</f>
        <v>271171.958988</v>
      </c>
      <c r="T35" s="7">
        <f>+[3]Resumen!T35*1000</f>
        <v>276198.08087200002</v>
      </c>
      <c r="U35" s="7">
        <f>+[3]Resumen!U35*1000</f>
        <v>275637.98911600001</v>
      </c>
      <c r="V35" s="7">
        <f>+[3]Resumen!V35*1000</f>
        <v>262502.71611199999</v>
      </c>
      <c r="W35" s="7">
        <f>+[3]Resumen!W35*1000</f>
        <v>251450.53287199998</v>
      </c>
      <c r="X35" s="7">
        <f>+[3]Resumen!X35*1000</f>
        <v>265109.25327600003</v>
      </c>
      <c r="Y35" s="7">
        <f>+[3]Resumen!Y35*1000</f>
        <v>283017.41263600002</v>
      </c>
      <c r="Z35" s="7">
        <f>+[3]Resumen!Z35*1000</f>
        <v>258849.41174400001</v>
      </c>
      <c r="AA35" s="7">
        <f>+[3]Resumen!AA35*1000</f>
        <v>217533.92416</v>
      </c>
      <c r="AB35" s="7">
        <f>+[3]Resumen!AB35*1000</f>
        <v>161064.89257600001</v>
      </c>
      <c r="AC35" s="7">
        <f>+[3]Resumen!AC35*1000</f>
        <v>113429.64194800002</v>
      </c>
      <c r="AD35" s="57">
        <f t="shared" ref="AD35" si="5">SUM(F35:AC35)*E35+SUM(F36:AC36)*E36+SUM(F37:AC37)*E37+SUM(F38:AC38)*E38</f>
        <v>131471706.40158798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4</v>
      </c>
      <c r="F36" s="7">
        <f>+[3]Resumen!F36*1000</f>
        <v>90928.28785600001</v>
      </c>
      <c r="G36" s="7">
        <f>+[3]Resumen!G36*1000</f>
        <v>68029.022599999997</v>
      </c>
      <c r="H36" s="7">
        <f>+[3]Resumen!H36*1000</f>
        <v>53522.469308000007</v>
      </c>
      <c r="I36" s="7">
        <f>+[3]Resumen!I36*1000</f>
        <v>48454.301503999995</v>
      </c>
      <c r="J36" s="7">
        <f>+[3]Resumen!J36*1000</f>
        <v>58105.219396000008</v>
      </c>
      <c r="K36" s="7">
        <f>+[3]Resumen!K36*1000</f>
        <v>79274.708211999998</v>
      </c>
      <c r="L36" s="7">
        <f>+[3]Resumen!L36*1000</f>
        <v>116764.33910400001</v>
      </c>
      <c r="M36" s="7">
        <f>+[3]Resumen!M36*1000</f>
        <v>137883.251296</v>
      </c>
      <c r="N36" s="7">
        <f>+[3]Resumen!N36*1000</f>
        <v>176189.11380000002</v>
      </c>
      <c r="O36" s="7">
        <f>+[3]Resumen!O36*1000</f>
        <v>202897.55712800001</v>
      </c>
      <c r="P36" s="7">
        <f>+[3]Resumen!P36*1000</f>
        <v>226909.94558400003</v>
      </c>
      <c r="Q36" s="7">
        <f>+[3]Resumen!Q36*1000</f>
        <v>244021.45020399999</v>
      </c>
      <c r="R36" s="7">
        <f>+[3]Resumen!R36*1000</f>
        <v>243543.56065200001</v>
      </c>
      <c r="S36" s="7">
        <f>+[3]Resumen!S36*1000</f>
        <v>233369.93663200003</v>
      </c>
      <c r="T36" s="7">
        <f>+[3]Resumen!T36*1000</f>
        <v>222862.79489600004</v>
      </c>
      <c r="U36" s="7">
        <f>+[3]Resumen!U36*1000</f>
        <v>216794.790912</v>
      </c>
      <c r="V36" s="7">
        <f>+[3]Resumen!V36*1000</f>
        <v>211869.29974000002</v>
      </c>
      <c r="W36" s="7">
        <f>+[3]Resumen!W36*1000</f>
        <v>220406.09796800002</v>
      </c>
      <c r="X36" s="7">
        <f>+[3]Resumen!X36*1000</f>
        <v>236699.55425200003</v>
      </c>
      <c r="Y36" s="7">
        <f>+[3]Resumen!Y36*1000</f>
        <v>248365.72336800001</v>
      </c>
      <c r="Z36" s="7">
        <f>+[3]Resumen!Z36*1000</f>
        <v>224227.71968800001</v>
      </c>
      <c r="AA36" s="7">
        <f>+[3]Resumen!AA36*1000</f>
        <v>188521.80796400001</v>
      </c>
      <c r="AB36" s="7">
        <f>+[3]Resumen!AB36*1000</f>
        <v>146604.15840000001</v>
      </c>
      <c r="AC36" s="7">
        <f>+[3]Resumen!AC36*1000</f>
        <v>108674.63726</v>
      </c>
      <c r="AD36" s="5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+[3]Resumen!F37*1000</f>
        <v>75077.844884000006</v>
      </c>
      <c r="G37" s="7">
        <f>+[3]Resumen!G37*1000</f>
        <v>53307.032575999998</v>
      </c>
      <c r="H37" s="7">
        <f>+[3]Resumen!H37*1000</f>
        <v>40103.459256000002</v>
      </c>
      <c r="I37" s="7">
        <f>+[3]Resumen!I37*1000</f>
        <v>33007.238096000001</v>
      </c>
      <c r="J37" s="7">
        <f>+[3]Resumen!J37*1000</f>
        <v>35483.341767999998</v>
      </c>
      <c r="K37" s="7">
        <f>+[3]Resumen!K37*1000</f>
        <v>44616.013316000004</v>
      </c>
      <c r="L37" s="7">
        <f>+[3]Resumen!L37*1000</f>
        <v>59670.135728000001</v>
      </c>
      <c r="M37" s="7">
        <f>+[3]Resumen!M37*1000</f>
        <v>67180.740088000006</v>
      </c>
      <c r="N37" s="7">
        <f>+[3]Resumen!N37*1000</f>
        <v>98339.227588000009</v>
      </c>
      <c r="O37" s="7">
        <f>+[3]Resumen!O37*1000</f>
        <v>124831.81494</v>
      </c>
      <c r="P37" s="7">
        <f>+[3]Resumen!P37*1000</f>
        <v>145533.53074400002</v>
      </c>
      <c r="Q37" s="7">
        <f>+[3]Resumen!Q37*1000</f>
        <v>167981.84135600002</v>
      </c>
      <c r="R37" s="7">
        <f>+[3]Resumen!R37*1000</f>
        <v>181452.11462000001</v>
      </c>
      <c r="S37" s="7">
        <f>+[3]Resumen!S37*1000</f>
        <v>183391.585972</v>
      </c>
      <c r="T37" s="7">
        <f>+[3]Resumen!T37*1000</f>
        <v>173552.46398</v>
      </c>
      <c r="U37" s="7">
        <f>+[3]Resumen!U37*1000</f>
        <v>169017.21606000001</v>
      </c>
      <c r="V37" s="7">
        <f>+[3]Resumen!V37*1000</f>
        <v>161777.26104400001</v>
      </c>
      <c r="W37" s="7">
        <f>+[3]Resumen!W37*1000</f>
        <v>170117.60396400001</v>
      </c>
      <c r="X37" s="7">
        <f>+[3]Resumen!X37*1000</f>
        <v>191545.24379199999</v>
      </c>
      <c r="Y37" s="7">
        <f>+[3]Resumen!Y37*1000</f>
        <v>218850.86070399999</v>
      </c>
      <c r="Z37" s="7">
        <f>+[3]Resumen!Z37*1000</f>
        <v>202752.88149199999</v>
      </c>
      <c r="AA37" s="7">
        <f>+[3]Resumen!AA37*1000</f>
        <v>174213.27151200001</v>
      </c>
      <c r="AB37" s="7">
        <f>+[3]Resumen!AB37*1000</f>
        <v>131788.00252800001</v>
      </c>
      <c r="AC37" s="7">
        <f>+[3]Resumen!AC37*1000</f>
        <v>90398.497111999997</v>
      </c>
      <c r="AD37" s="5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+[3]Resumen!F38*1000</f>
        <v>78825.564215999999</v>
      </c>
      <c r="G38" s="7">
        <f>+[3]Resumen!G38*1000</f>
        <v>58711.470524000004</v>
      </c>
      <c r="H38" s="7">
        <f>+[3]Resumen!H38*1000</f>
        <v>46148.933432000005</v>
      </c>
      <c r="I38" s="7">
        <f>+[3]Resumen!I38*1000</f>
        <v>40570.138588000002</v>
      </c>
      <c r="J38" s="7">
        <f>+[3]Resumen!J38*1000</f>
        <v>47150.288611999997</v>
      </c>
      <c r="K38" s="7">
        <f>+[3]Resumen!K38*1000</f>
        <v>56408.757664000004</v>
      </c>
      <c r="L38" s="7">
        <f>+[3]Resumen!L38*1000</f>
        <v>75296.945444000012</v>
      </c>
      <c r="M38" s="7">
        <f>+[3]Resumen!M38*1000</f>
        <v>84945.919016</v>
      </c>
      <c r="N38" s="7">
        <f>+[3]Resumen!N38*1000</f>
        <v>115892.48778800001</v>
      </c>
      <c r="O38" s="7">
        <f>+[3]Resumen!O38*1000</f>
        <v>139901.65596400001</v>
      </c>
      <c r="P38" s="7">
        <f>+[3]Resumen!P38*1000</f>
        <v>167665.117704</v>
      </c>
      <c r="Q38" s="7">
        <f>+[3]Resumen!Q38*1000</f>
        <v>195083.24998400002</v>
      </c>
      <c r="R38" s="7">
        <f>+[3]Resumen!R38*1000</f>
        <v>213423.46155200002</v>
      </c>
      <c r="S38" s="7">
        <f>+[3]Resumen!S38*1000</f>
        <v>205133.26386000001</v>
      </c>
      <c r="T38" s="7">
        <f>+[3]Resumen!T38*1000</f>
        <v>191510.08197999999</v>
      </c>
      <c r="U38" s="7">
        <f>+[3]Resumen!U38*1000</f>
        <v>184564.99524400002</v>
      </c>
      <c r="V38" s="7">
        <f>+[3]Resumen!V38*1000</f>
        <v>176881.36463200001</v>
      </c>
      <c r="W38" s="7">
        <f>+[3]Resumen!W38*1000</f>
        <v>185943.54242800002</v>
      </c>
      <c r="X38" s="7">
        <f>+[3]Resumen!X38*1000</f>
        <v>211362.98666</v>
      </c>
      <c r="Y38" s="7">
        <f>+[3]Resumen!Y38*1000</f>
        <v>238224.49658000001</v>
      </c>
      <c r="Z38" s="7">
        <f>+[3]Resumen!Z38*1000</f>
        <v>216679.79045999999</v>
      </c>
      <c r="AA38" s="7">
        <f>+[3]Resumen!AA38*1000</f>
        <v>179075.65734800001</v>
      </c>
      <c r="AB38" s="7">
        <f>+[3]Resumen!AB38*1000</f>
        <v>132892.75907600002</v>
      </c>
      <c r="AC38" s="7">
        <f>+[3]Resumen!AC38*1000</f>
        <v>89411.311164000013</v>
      </c>
      <c r="AD38" s="5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21</v>
      </c>
      <c r="F39" s="7">
        <f>+[3]Resumen!F39*1000</f>
        <v>85320.674544000009</v>
      </c>
      <c r="G39" s="7">
        <f>+[3]Resumen!G39*1000</f>
        <v>65957.811416000011</v>
      </c>
      <c r="H39" s="7">
        <f>+[3]Resumen!H39*1000</f>
        <v>55828.268775999997</v>
      </c>
      <c r="I39" s="7">
        <f>+[3]Resumen!I39*1000</f>
        <v>55246.400636000006</v>
      </c>
      <c r="J39" s="7">
        <f>+[3]Resumen!J39*1000</f>
        <v>78251.497660000008</v>
      </c>
      <c r="K39" s="7">
        <f>+[3]Resumen!K39*1000</f>
        <v>130114.17389600001</v>
      </c>
      <c r="L39" s="7">
        <f>+[3]Resumen!L39*1000</f>
        <v>177822.16639600002</v>
      </c>
      <c r="M39" s="7">
        <f>+[3]Resumen!M39*1000</f>
        <v>188493.85836400001</v>
      </c>
      <c r="N39" s="7">
        <f>+[3]Resumen!N39*1000</f>
        <v>217373.17142800003</v>
      </c>
      <c r="O39" s="7">
        <f>+[3]Resumen!O39*1000</f>
        <v>238280.650972</v>
      </c>
      <c r="P39" s="7">
        <f>+[3]Resumen!P39*1000</f>
        <v>267758.12800800003</v>
      </c>
      <c r="Q39" s="7">
        <f>+[3]Resumen!Q39*1000</f>
        <v>292424.50064799999</v>
      </c>
      <c r="R39" s="7">
        <f>+[3]Resumen!R39*1000</f>
        <v>296729.92386799998</v>
      </c>
      <c r="S39" s="7">
        <f>+[3]Resumen!S39*1000</f>
        <v>291319.95068400004</v>
      </c>
      <c r="T39" s="7">
        <f>+[3]Resumen!T39*1000</f>
        <v>294895.87111599999</v>
      </c>
      <c r="U39" s="7">
        <f>+[3]Resumen!U39*1000</f>
        <v>295477.39900000003</v>
      </c>
      <c r="V39" s="7">
        <f>+[3]Resumen!V39*1000</f>
        <v>283326.72964400001</v>
      </c>
      <c r="W39" s="7">
        <f>+[3]Resumen!W39*1000</f>
        <v>275190.24867600005</v>
      </c>
      <c r="X39" s="7">
        <f>+[3]Resumen!X39*1000</f>
        <v>298779.97234400001</v>
      </c>
      <c r="Y39" s="7">
        <f>+[3]Resumen!Y39*1000</f>
        <v>302813.14823200001</v>
      </c>
      <c r="Z39" s="7">
        <f>+[3]Resumen!Z39*1000</f>
        <v>276604.285776</v>
      </c>
      <c r="AA39" s="7">
        <f>+[3]Resumen!AA39*1000</f>
        <v>234362.67604400002</v>
      </c>
      <c r="AB39" s="7">
        <f>+[3]Resumen!AB39*1000</f>
        <v>175097.79736400003</v>
      </c>
      <c r="AC39" s="7">
        <f>+[3]Resumen!AC39*1000</f>
        <v>125611.438652</v>
      </c>
      <c r="AD39" s="57">
        <f t="shared" ref="AD39" si="6">SUM(F39:AC39)*E39+SUM(F40:AC40)*E40+SUM(F41:AC41)*E41+SUM(F42:AC42)*E42</f>
        <v>139735443.61789605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5</v>
      </c>
      <c r="F40" s="7">
        <f>+[3]Resumen!F40*1000</f>
        <v>97713.344904000012</v>
      </c>
      <c r="G40" s="7">
        <f>+[3]Resumen!G40*1000</f>
        <v>75290.280072000009</v>
      </c>
      <c r="H40" s="7">
        <f>+[3]Resumen!H40*1000</f>
        <v>61995.803716000002</v>
      </c>
      <c r="I40" s="7">
        <f>+[3]Resumen!I40*1000</f>
        <v>57489.611228000002</v>
      </c>
      <c r="J40" s="7">
        <f>+[3]Resumen!J40*1000</f>
        <v>68708.902696000005</v>
      </c>
      <c r="K40" s="7">
        <f>+[3]Resumen!K40*1000</f>
        <v>90968.668951999993</v>
      </c>
      <c r="L40" s="7">
        <f>+[3]Resumen!L40*1000</f>
        <v>128207.652692</v>
      </c>
      <c r="M40" s="7">
        <f>+[3]Resumen!M40*1000</f>
        <v>151413.89569599999</v>
      </c>
      <c r="N40" s="7">
        <f>+[3]Resumen!N40*1000</f>
        <v>192184.65165200003</v>
      </c>
      <c r="O40" s="7">
        <f>+[3]Resumen!O40*1000</f>
        <v>220494.85617600003</v>
      </c>
      <c r="P40" s="7">
        <f>+[3]Resumen!P40*1000</f>
        <v>246695.02387600002</v>
      </c>
      <c r="Q40" s="7">
        <f>+[3]Resumen!Q40*1000</f>
        <v>265101.25725999998</v>
      </c>
      <c r="R40" s="7">
        <f>+[3]Resumen!R40*1000</f>
        <v>265943.76757199998</v>
      </c>
      <c r="S40" s="7">
        <f>+[3]Resumen!S40*1000</f>
        <v>251356.670824</v>
      </c>
      <c r="T40" s="7">
        <f>+[3]Resumen!T40*1000</f>
        <v>235592.73186400003</v>
      </c>
      <c r="U40" s="7">
        <f>+[3]Resumen!U40*1000</f>
        <v>228276.48051599998</v>
      </c>
      <c r="V40" s="7">
        <f>+[3]Resumen!V40*1000</f>
        <v>220373.29364400002</v>
      </c>
      <c r="W40" s="7">
        <f>+[3]Resumen!W40*1000</f>
        <v>234597.14888400002</v>
      </c>
      <c r="X40" s="7">
        <f>+[3]Resumen!X40*1000</f>
        <v>262265.08375200001</v>
      </c>
      <c r="Y40" s="7">
        <f>+[3]Resumen!Y40*1000</f>
        <v>258894.89667999998</v>
      </c>
      <c r="Z40" s="7">
        <f>+[3]Resumen!Z40*1000</f>
        <v>232380.61800800002</v>
      </c>
      <c r="AA40" s="7">
        <f>+[3]Resumen!AA40*1000</f>
        <v>197121.81482000003</v>
      </c>
      <c r="AB40" s="7">
        <f>+[3]Resumen!AB40*1000</f>
        <v>158210.97107200001</v>
      </c>
      <c r="AC40" s="7">
        <f>+[3]Resumen!AC40*1000</f>
        <v>118447.10553200002</v>
      </c>
      <c r="AD40" s="5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+[3]Resumen!F41*1000</f>
        <v>89484.010504000005</v>
      </c>
      <c r="G41" s="7">
        <f>+[3]Resumen!G41*1000</f>
        <v>66591.981763999996</v>
      </c>
      <c r="H41" s="7">
        <f>+[3]Resumen!H41*1000</f>
        <v>51447.594296000003</v>
      </c>
      <c r="I41" s="7">
        <f>+[3]Resumen!I41*1000</f>
        <v>43644.072052000003</v>
      </c>
      <c r="J41" s="7">
        <f>+[3]Resumen!J41*1000</f>
        <v>45547.597788000006</v>
      </c>
      <c r="K41" s="7">
        <f>+[3]Resumen!K41*1000</f>
        <v>50427.640480000002</v>
      </c>
      <c r="L41" s="7">
        <f>+[3]Resumen!L41*1000</f>
        <v>67447.713452000011</v>
      </c>
      <c r="M41" s="7">
        <f>+[3]Resumen!M41*1000</f>
        <v>75342.715952000013</v>
      </c>
      <c r="N41" s="7">
        <f>+[3]Resumen!N41*1000</f>
        <v>107119.56404800001</v>
      </c>
      <c r="O41" s="7">
        <f>+[3]Resumen!O41*1000</f>
        <v>133601.18422000002</v>
      </c>
      <c r="P41" s="7">
        <f>+[3]Resumen!P41*1000</f>
        <v>157978.59445199999</v>
      </c>
      <c r="Q41" s="7">
        <f>+[3]Resumen!Q41*1000</f>
        <v>181271.882232</v>
      </c>
      <c r="R41" s="7">
        <f>+[3]Resumen!R41*1000</f>
        <v>195048.41020000001</v>
      </c>
      <c r="S41" s="7">
        <f>+[3]Resumen!S41*1000</f>
        <v>193755.08499199999</v>
      </c>
      <c r="T41" s="7">
        <f>+[3]Resumen!T41*1000</f>
        <v>185316.930624</v>
      </c>
      <c r="U41" s="7">
        <f>+[3]Resumen!U41*1000</f>
        <v>182516.67235200002</v>
      </c>
      <c r="V41" s="7">
        <f>+[3]Resumen!V41*1000</f>
        <v>178115.728336</v>
      </c>
      <c r="W41" s="7">
        <f>+[3]Resumen!W41*1000</f>
        <v>193321.896572</v>
      </c>
      <c r="X41" s="7">
        <f>+[3]Resumen!X41*1000</f>
        <v>223126.59658800001</v>
      </c>
      <c r="Y41" s="7">
        <f>+[3]Resumen!Y41*1000</f>
        <v>230567.80695200001</v>
      </c>
      <c r="Z41" s="7">
        <f>+[3]Resumen!Z41*1000</f>
        <v>211187.88241600001</v>
      </c>
      <c r="AA41" s="7">
        <f>+[3]Resumen!AA41*1000</f>
        <v>177514.95168400003</v>
      </c>
      <c r="AB41" s="7">
        <f>+[3]Resumen!AB41*1000</f>
        <v>134911.273112</v>
      </c>
      <c r="AC41" s="7">
        <f>+[3]Resumen!AC41*1000</f>
        <v>92743.54754</v>
      </c>
      <c r="AD41" s="5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+[3]Resumen!F42*1000</f>
        <v>0</v>
      </c>
      <c r="G42" s="7">
        <f>+[3]Resumen!G42*1000</f>
        <v>0</v>
      </c>
      <c r="H42" s="7">
        <f>+[3]Resumen!H42*1000</f>
        <v>0</v>
      </c>
      <c r="I42" s="7">
        <f>+[3]Resumen!I42*1000</f>
        <v>0</v>
      </c>
      <c r="J42" s="7">
        <f>+[3]Resumen!J42*1000</f>
        <v>0</v>
      </c>
      <c r="K42" s="7">
        <f>+[3]Resumen!K42*1000</f>
        <v>0</v>
      </c>
      <c r="L42" s="7">
        <f>+[3]Resumen!L42*1000</f>
        <v>0</v>
      </c>
      <c r="M42" s="7">
        <f>+[3]Resumen!M42*1000</f>
        <v>0</v>
      </c>
      <c r="N42" s="7">
        <f>+[3]Resumen!N42*1000</f>
        <v>0</v>
      </c>
      <c r="O42" s="7">
        <f>+[3]Resumen!O42*1000</f>
        <v>0</v>
      </c>
      <c r="P42" s="7">
        <f>+[3]Resumen!P42*1000</f>
        <v>0</v>
      </c>
      <c r="Q42" s="7">
        <f>+[3]Resumen!Q42*1000</f>
        <v>0</v>
      </c>
      <c r="R42" s="7">
        <f>+[3]Resumen!R42*1000</f>
        <v>0</v>
      </c>
      <c r="S42" s="7">
        <f>+[3]Resumen!S42*1000</f>
        <v>0</v>
      </c>
      <c r="T42" s="7">
        <f>+[3]Resumen!T42*1000</f>
        <v>0</v>
      </c>
      <c r="U42" s="7">
        <f>+[3]Resumen!U42*1000</f>
        <v>0</v>
      </c>
      <c r="V42" s="7">
        <f>+[3]Resumen!V42*1000</f>
        <v>0</v>
      </c>
      <c r="W42" s="7">
        <f>+[3]Resumen!W42*1000</f>
        <v>0</v>
      </c>
      <c r="X42" s="7">
        <f>+[3]Resumen!X42*1000</f>
        <v>0</v>
      </c>
      <c r="Y42" s="7">
        <f>+[3]Resumen!Y42*1000</f>
        <v>0</v>
      </c>
      <c r="Z42" s="7">
        <f>+[3]Resumen!Z42*1000</f>
        <v>0</v>
      </c>
      <c r="AA42" s="7">
        <f>+[3]Resumen!AA42*1000</f>
        <v>0</v>
      </c>
      <c r="AB42" s="7">
        <f>+[3]Resumen!AB42*1000</f>
        <v>0</v>
      </c>
      <c r="AC42" s="7">
        <f>+[3]Resumen!AC42*1000</f>
        <v>0</v>
      </c>
      <c r="AD42" s="59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21</v>
      </c>
      <c r="F43" s="7">
        <f>+[3]Resumen!F43*1000</f>
        <v>69348.590052</v>
      </c>
      <c r="G43" s="7">
        <f>+[3]Resumen!G43*1000</f>
        <v>50434.202560000005</v>
      </c>
      <c r="H43" s="7">
        <f>+[3]Resumen!H43*1000</f>
        <v>40932.693508000004</v>
      </c>
      <c r="I43" s="7">
        <f>+[3]Resumen!I43*1000</f>
        <v>41172.063603999995</v>
      </c>
      <c r="J43" s="7">
        <f>+[3]Resumen!J43*1000</f>
        <v>65069.232872</v>
      </c>
      <c r="K43" s="7">
        <f>+[3]Resumen!K43*1000</f>
        <v>114055.29982000001</v>
      </c>
      <c r="L43" s="7">
        <f>+[3]Resumen!L43*1000</f>
        <v>163709.32575200003</v>
      </c>
      <c r="M43" s="7">
        <f>+[3]Resumen!M43*1000</f>
        <v>175627.867604</v>
      </c>
      <c r="N43" s="7">
        <f>+[3]Resumen!N43*1000</f>
        <v>204920.09955200003</v>
      </c>
      <c r="O43" s="7">
        <f>+[3]Resumen!O43*1000</f>
        <v>224574.60460399999</v>
      </c>
      <c r="P43" s="7">
        <f>+[3]Resumen!P43*1000</f>
        <v>251344.68287600001</v>
      </c>
      <c r="Q43" s="7">
        <f>+[3]Resumen!Q43*1000</f>
        <v>275566.091808</v>
      </c>
      <c r="R43" s="7">
        <f>+[3]Resumen!R43*1000</f>
        <v>280726.46291200002</v>
      </c>
      <c r="S43" s="7">
        <f>+[3]Resumen!S43*1000</f>
        <v>274952.00264000002</v>
      </c>
      <c r="T43" s="7">
        <f>+[3]Resumen!T43*1000</f>
        <v>278849.87208400003</v>
      </c>
      <c r="U43" s="7">
        <f>+[3]Resumen!U43*1000</f>
        <v>278675.84329200001</v>
      </c>
      <c r="V43" s="7">
        <f>+[3]Resumen!V43*1000</f>
        <v>266592.903108</v>
      </c>
      <c r="W43" s="7">
        <f>+[3]Resumen!W43*1000</f>
        <v>267445.311224</v>
      </c>
      <c r="X43" s="7">
        <f>+[3]Resumen!X43*1000</f>
        <v>289677.03066400002</v>
      </c>
      <c r="Y43" s="7">
        <f>+[3]Resumen!Y43*1000</f>
        <v>280930.53752399998</v>
      </c>
      <c r="Z43" s="7">
        <f>+[3]Resumen!Z43*1000</f>
        <v>252415.36521600001</v>
      </c>
      <c r="AA43" s="7">
        <f>+[3]Resumen!AA43*1000</f>
        <v>209670.46217600003</v>
      </c>
      <c r="AB43" s="7">
        <f>+[3]Resumen!AB43*1000</f>
        <v>154745.366496</v>
      </c>
      <c r="AC43" s="7">
        <f>+[3]Resumen!AC43*1000</f>
        <v>109242.88908400001</v>
      </c>
      <c r="AD43" s="57">
        <f t="shared" ref="AD43" si="7">SUM(F43:AC43)*E43+SUM(F44:AC44)*E44+SUM(F45:AC45)*E45+SUM(F46:AC46)*E46</f>
        <v>133636429.23066801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+[3]Resumen!F44*1000</f>
        <v>90966.590960000001</v>
      </c>
      <c r="G44" s="7">
        <f>+[3]Resumen!G44*1000</f>
        <v>66977.813840000003</v>
      </c>
      <c r="H44" s="7">
        <f>+[3]Resumen!H44*1000</f>
        <v>54628.568652000002</v>
      </c>
      <c r="I44" s="7">
        <f>+[3]Resumen!I44*1000</f>
        <v>49991.371528000003</v>
      </c>
      <c r="J44" s="7">
        <f>+[3]Resumen!J44*1000</f>
        <v>61837.347712000003</v>
      </c>
      <c r="K44" s="7">
        <f>+[3]Resumen!K44*1000</f>
        <v>82591.888260000007</v>
      </c>
      <c r="L44" s="7">
        <f>+[3]Resumen!L44*1000</f>
        <v>121131.33650799999</v>
      </c>
      <c r="M44" s="7">
        <f>+[3]Resumen!M44*1000</f>
        <v>142267.540996</v>
      </c>
      <c r="N44" s="7">
        <f>+[3]Resumen!N44*1000</f>
        <v>181382.690244</v>
      </c>
      <c r="O44" s="7">
        <f>+[3]Resumen!O44*1000</f>
        <v>208715.92865200003</v>
      </c>
      <c r="P44" s="7">
        <f>+[3]Resumen!P44*1000</f>
        <v>235176.86612000002</v>
      </c>
      <c r="Q44" s="7">
        <f>+[3]Resumen!Q44*1000</f>
        <v>253224.080816</v>
      </c>
      <c r="R44" s="7">
        <f>+[3]Resumen!R44*1000</f>
        <v>254728.93588800001</v>
      </c>
      <c r="S44" s="7">
        <f>+[3]Resumen!S44*1000</f>
        <v>244143.839072</v>
      </c>
      <c r="T44" s="7">
        <f>+[3]Resumen!T44*1000</f>
        <v>233414.59523200002</v>
      </c>
      <c r="U44" s="7">
        <f>+[3]Resumen!U44*1000</f>
        <v>229748.89582400001</v>
      </c>
      <c r="V44" s="7">
        <f>+[3]Resumen!V44*1000</f>
        <v>225495.14290800001</v>
      </c>
      <c r="W44" s="7">
        <f>+[3]Resumen!W44*1000</f>
        <v>242654.27729200001</v>
      </c>
      <c r="X44" s="7">
        <f>+[3]Resumen!X44*1000</f>
        <v>269195.80682400003</v>
      </c>
      <c r="Y44" s="7">
        <f>+[3]Resumen!Y44*1000</f>
        <v>257769.45135200003</v>
      </c>
      <c r="Z44" s="7">
        <f>+[3]Resumen!Z44*1000</f>
        <v>231082.74795200003</v>
      </c>
      <c r="AA44" s="7">
        <f>+[3]Resumen!AA44*1000</f>
        <v>196030.52268800003</v>
      </c>
      <c r="AB44" s="7">
        <f>+[3]Resumen!AB44*1000</f>
        <v>156677.32791200001</v>
      </c>
      <c r="AC44" s="7">
        <f>+[3]Resumen!AC44*1000</f>
        <v>118442.90701600001</v>
      </c>
      <c r="AD44" s="5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5</v>
      </c>
      <c r="F45" s="7">
        <f>+[3]Resumen!F45*1000</f>
        <v>89915.376124000002</v>
      </c>
      <c r="G45" s="7">
        <f>+[3]Resumen!G45*1000</f>
        <v>66772.572635999997</v>
      </c>
      <c r="H45" s="7">
        <f>+[3]Resumen!H45*1000</f>
        <v>53295.062856000004</v>
      </c>
      <c r="I45" s="7">
        <f>+[3]Resumen!I45*1000</f>
        <v>45780.843276</v>
      </c>
      <c r="J45" s="7">
        <f>+[3]Resumen!J45*1000</f>
        <v>47945.211692000004</v>
      </c>
      <c r="K45" s="7">
        <f>+[3]Resumen!K45*1000</f>
        <v>53914.031052000006</v>
      </c>
      <c r="L45" s="7">
        <f>+[3]Resumen!L45*1000</f>
        <v>72116.700208000009</v>
      </c>
      <c r="M45" s="7">
        <f>+[3]Resumen!M45*1000</f>
        <v>80616.09457999999</v>
      </c>
      <c r="N45" s="7">
        <f>+[3]Resumen!N45*1000</f>
        <v>112071.40683200001</v>
      </c>
      <c r="O45" s="7">
        <f>+[3]Resumen!O45*1000</f>
        <v>137514.37733600001</v>
      </c>
      <c r="P45" s="7">
        <f>+[3]Resumen!P45*1000</f>
        <v>160984.49494400001</v>
      </c>
      <c r="Q45" s="7">
        <f>+[3]Resumen!Q45*1000</f>
        <v>186322.63014400002</v>
      </c>
      <c r="R45" s="7">
        <f>+[3]Resumen!R45*1000</f>
        <v>199775.19186799999</v>
      </c>
      <c r="S45" s="7">
        <f>+[3]Resumen!S45*1000</f>
        <v>197107.633436</v>
      </c>
      <c r="T45" s="7">
        <f>+[3]Resumen!T45*1000</f>
        <v>188304.79147199998</v>
      </c>
      <c r="U45" s="7">
        <f>+[3]Resumen!U45*1000</f>
        <v>183116.0576</v>
      </c>
      <c r="V45" s="7">
        <f>+[3]Resumen!V45*1000</f>
        <v>175385.890904</v>
      </c>
      <c r="W45" s="7">
        <f>+[3]Resumen!W45*1000</f>
        <v>193105.95553200002</v>
      </c>
      <c r="X45" s="7">
        <f>+[3]Resumen!X45*1000</f>
        <v>226723.72226000001</v>
      </c>
      <c r="Y45" s="7">
        <f>+[3]Resumen!Y45*1000</f>
        <v>223975.03707600001</v>
      </c>
      <c r="Z45" s="7">
        <f>+[3]Resumen!Z45*1000</f>
        <v>203252.57173200001</v>
      </c>
      <c r="AA45" s="7">
        <f>+[3]Resumen!AA45*1000</f>
        <v>172524.04629600001</v>
      </c>
      <c r="AB45" s="7">
        <f>+[3]Resumen!AB45*1000</f>
        <v>131191.81933200001</v>
      </c>
      <c r="AC45" s="7">
        <f>+[3]Resumen!AC45*1000</f>
        <v>91602.985123999999</v>
      </c>
      <c r="AD45" s="5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+[3]Resumen!F46*1000</f>
        <v>74556.177752000003</v>
      </c>
      <c r="G46" s="7">
        <f>+[3]Resumen!G46*1000</f>
        <v>54596.621044000007</v>
      </c>
      <c r="H46" s="7">
        <f>+[3]Resumen!H46*1000</f>
        <v>42816.083380000004</v>
      </c>
      <c r="I46" s="7">
        <f>+[3]Resumen!I46*1000</f>
        <v>36749.531560000003</v>
      </c>
      <c r="J46" s="7">
        <f>+[3]Resumen!J46*1000</f>
        <v>42972.449240000002</v>
      </c>
      <c r="K46" s="7">
        <f>+[3]Resumen!K46*1000</f>
        <v>50733.135684000001</v>
      </c>
      <c r="L46" s="7">
        <f>+[3]Resumen!L46*1000</f>
        <v>67573.802603999997</v>
      </c>
      <c r="M46" s="7">
        <f>+[3]Resumen!M46*1000</f>
        <v>76209.50596000001</v>
      </c>
      <c r="N46" s="7">
        <f>+[3]Resumen!N46*1000</f>
        <v>107731.77573200001</v>
      </c>
      <c r="O46" s="7">
        <f>+[3]Resumen!O46*1000</f>
        <v>130438.81457600003</v>
      </c>
      <c r="P46" s="7">
        <f>+[3]Resumen!P46*1000</f>
        <v>154364.49851199999</v>
      </c>
      <c r="Q46" s="7">
        <f>+[3]Resumen!Q46*1000</f>
        <v>186177.79653200001</v>
      </c>
      <c r="R46" s="7">
        <f>+[3]Resumen!R46*1000</f>
        <v>207248.204016</v>
      </c>
      <c r="S46" s="7">
        <f>+[3]Resumen!S46*1000</f>
        <v>208418.66035200004</v>
      </c>
      <c r="T46" s="7">
        <f>+[3]Resumen!T46*1000</f>
        <v>195546.28371600001</v>
      </c>
      <c r="U46" s="7">
        <f>+[3]Resumen!U46*1000</f>
        <v>192839.425716</v>
      </c>
      <c r="V46" s="7">
        <f>+[3]Resumen!V46*1000</f>
        <v>191242.36126800001</v>
      </c>
      <c r="W46" s="7">
        <f>+[3]Resumen!W46*1000</f>
        <v>207106.60283600001</v>
      </c>
      <c r="X46" s="7">
        <f>+[3]Resumen!X46*1000</f>
        <v>238711.980136</v>
      </c>
      <c r="Y46" s="7">
        <f>+[3]Resumen!Y46*1000</f>
        <v>237678.05759600003</v>
      </c>
      <c r="Z46" s="7">
        <f>+[3]Resumen!Z46*1000</f>
        <v>210895.37770000001</v>
      </c>
      <c r="AA46" s="7">
        <f>+[3]Resumen!AA46*1000</f>
        <v>173614.06854400001</v>
      </c>
      <c r="AB46" s="7">
        <f>+[3]Resumen!AB46*1000</f>
        <v>127805.89542000002</v>
      </c>
      <c r="AC46" s="7">
        <f>+[3]Resumen!AC46*1000</f>
        <v>86468.880567999993</v>
      </c>
      <c r="AD46" s="5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+[3]Resumen!F47*1000</f>
        <v>90754.654004000011</v>
      </c>
      <c r="G47" s="7">
        <f>+[3]Resumen!G47*1000</f>
        <v>70476.909328000009</v>
      </c>
      <c r="H47" s="7">
        <f>+[3]Resumen!H47*1000</f>
        <v>60932.169536000001</v>
      </c>
      <c r="I47" s="7">
        <f>+[3]Resumen!I47*1000</f>
        <v>61497.085636000003</v>
      </c>
      <c r="J47" s="7">
        <f>+[3]Resumen!J47*1000</f>
        <v>85390.068540000007</v>
      </c>
      <c r="K47" s="7">
        <f>+[3]Resumen!K47*1000</f>
        <v>133751.145976</v>
      </c>
      <c r="L47" s="7">
        <f>+[3]Resumen!L47*1000</f>
        <v>187299.07980000001</v>
      </c>
      <c r="M47" s="7">
        <f>+[3]Resumen!M47*1000</f>
        <v>203771.863148</v>
      </c>
      <c r="N47" s="7">
        <f>+[3]Resumen!N47*1000</f>
        <v>232997.684416</v>
      </c>
      <c r="O47" s="7">
        <f>+[3]Resumen!O47*1000</f>
        <v>252566.62116000001</v>
      </c>
      <c r="P47" s="7">
        <f>+[3]Resumen!P47*1000</f>
        <v>278616.00076800003</v>
      </c>
      <c r="Q47" s="7">
        <f>+[3]Resumen!Q47*1000</f>
        <v>303622.131176</v>
      </c>
      <c r="R47" s="7">
        <f>+[3]Resumen!R47*1000</f>
        <v>310100.84237999999</v>
      </c>
      <c r="S47" s="7">
        <f>+[3]Resumen!S47*1000</f>
        <v>302792.896924</v>
      </c>
      <c r="T47" s="7">
        <f>+[3]Resumen!T47*1000</f>
        <v>303558.545836</v>
      </c>
      <c r="U47" s="7">
        <f>+[3]Resumen!U47*1000</f>
        <v>303331.05432</v>
      </c>
      <c r="V47" s="7">
        <f>+[3]Resumen!V47*1000</f>
        <v>293673.96928800002</v>
      </c>
      <c r="W47" s="7">
        <f>+[3]Resumen!W47*1000</f>
        <v>302106.98336000001</v>
      </c>
      <c r="X47" s="7">
        <f>+[3]Resumen!X47*1000</f>
        <v>327144.98846400005</v>
      </c>
      <c r="Y47" s="7">
        <f>+[3]Resumen!Y47*1000</f>
        <v>316283.93795600004</v>
      </c>
      <c r="Z47" s="7">
        <f>+[3]Resumen!Z47*1000</f>
        <v>284453.31118400005</v>
      </c>
      <c r="AA47" s="7">
        <f>+[3]Resumen!AA47*1000</f>
        <v>236952.17002800002</v>
      </c>
      <c r="AB47" s="7">
        <f>+[3]Resumen!AB47*1000</f>
        <v>179191.74540399999</v>
      </c>
      <c r="AC47" s="7">
        <f>+[3]Resumen!AC47*1000</f>
        <v>130196.521924</v>
      </c>
      <c r="AD47" s="57">
        <f t="shared" ref="AD47" si="8">SUM(F47:AC47)*E47+SUM(F48:AC48)*E48+SUM(F49:AC49)*E49+SUM(F50:AC50)*E50</f>
        <v>144607401.43847203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+[3]Resumen!F48*1000</f>
        <v>99806.344624000005</v>
      </c>
      <c r="G48" s="7">
        <f>+[3]Resumen!G48*1000</f>
        <v>76492.185784000001</v>
      </c>
      <c r="H48" s="7">
        <f>+[3]Resumen!H48*1000</f>
        <v>63195.959539999996</v>
      </c>
      <c r="I48" s="7">
        <f>+[3]Resumen!I48*1000</f>
        <v>60388.756400000006</v>
      </c>
      <c r="J48" s="7">
        <f>+[3]Resumen!J48*1000</f>
        <v>74217.969364000004</v>
      </c>
      <c r="K48" s="7">
        <f>+[3]Resumen!K48*1000</f>
        <v>98773.108672000002</v>
      </c>
      <c r="L48" s="7">
        <f>+[3]Resumen!L48*1000</f>
        <v>141561.75891199999</v>
      </c>
      <c r="M48" s="7">
        <f>+[3]Resumen!M48*1000</f>
        <v>168588.75476800001</v>
      </c>
      <c r="N48" s="7">
        <f>+[3]Resumen!N48*1000</f>
        <v>210236.57524800001</v>
      </c>
      <c r="O48" s="7">
        <f>+[3]Resumen!O48*1000</f>
        <v>236290.26274000003</v>
      </c>
      <c r="P48" s="7">
        <f>+[3]Resumen!P48*1000</f>
        <v>258736.13687599998</v>
      </c>
      <c r="Q48" s="7">
        <f>+[3]Resumen!Q48*1000</f>
        <v>271981.93839600001</v>
      </c>
      <c r="R48" s="7">
        <f>+[3]Resumen!R48*1000</f>
        <v>274088.651648</v>
      </c>
      <c r="S48" s="7">
        <f>+[3]Resumen!S48*1000</f>
        <v>263891.56211599999</v>
      </c>
      <c r="T48" s="7">
        <f>+[3]Resumen!T48*1000</f>
        <v>252649.99603200002</v>
      </c>
      <c r="U48" s="7">
        <f>+[3]Resumen!U48*1000</f>
        <v>245628.96537200001</v>
      </c>
      <c r="V48" s="7">
        <f>+[3]Resumen!V48*1000</f>
        <v>237694.71798800002</v>
      </c>
      <c r="W48" s="7">
        <f>+[3]Resumen!W48*1000</f>
        <v>259249.07279599999</v>
      </c>
      <c r="X48" s="7">
        <f>+[3]Resumen!X48*1000</f>
        <v>288869.341908</v>
      </c>
      <c r="Y48" s="7">
        <f>+[3]Resumen!Y48*1000</f>
        <v>278499.997776</v>
      </c>
      <c r="Z48" s="7">
        <f>+[3]Resumen!Z48*1000</f>
        <v>249992.15920000002</v>
      </c>
      <c r="AA48" s="7">
        <f>+[3]Resumen!AA48*1000</f>
        <v>211564.00504400002</v>
      </c>
      <c r="AB48" s="7">
        <f>+[3]Resumen!AB48*1000</f>
        <v>169406.007148</v>
      </c>
      <c r="AC48" s="7">
        <f>+[3]Resumen!AC48*1000</f>
        <v>127882.647452</v>
      </c>
      <c r="AD48" s="5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+[3]Resumen!F49*1000</f>
        <v>88303.206739999994</v>
      </c>
      <c r="G49" s="7">
        <f>+[3]Resumen!G49*1000</f>
        <v>64767.523016000014</v>
      </c>
      <c r="H49" s="7">
        <f>+[3]Resumen!H49*1000</f>
        <v>50826.906591999999</v>
      </c>
      <c r="I49" s="7">
        <f>+[3]Resumen!I49*1000</f>
        <v>44236.749396000007</v>
      </c>
      <c r="J49" s="7">
        <f>+[3]Resumen!J49*1000</f>
        <v>47408.038608000003</v>
      </c>
      <c r="K49" s="7">
        <f>+[3]Resumen!K49*1000</f>
        <v>56453.385884000003</v>
      </c>
      <c r="L49" s="7">
        <f>+[3]Resumen!L49*1000</f>
        <v>76269.269496000008</v>
      </c>
      <c r="M49" s="7">
        <f>+[3]Resumen!M49*1000</f>
        <v>89117.937579999998</v>
      </c>
      <c r="N49" s="7">
        <f>+[3]Resumen!N49*1000</f>
        <v>122737.49065199999</v>
      </c>
      <c r="O49" s="7">
        <f>+[3]Resumen!O49*1000</f>
        <v>150921.988812</v>
      </c>
      <c r="P49" s="7">
        <f>+[3]Resumen!P49*1000</f>
        <v>172788.49204400001</v>
      </c>
      <c r="Q49" s="7">
        <f>+[3]Resumen!Q49*1000</f>
        <v>195206.86620399999</v>
      </c>
      <c r="R49" s="7">
        <f>+[3]Resumen!R49*1000</f>
        <v>210865.30757600002</v>
      </c>
      <c r="S49" s="7">
        <f>+[3]Resumen!S49*1000</f>
        <v>213853.23525999999</v>
      </c>
      <c r="T49" s="7">
        <f>+[3]Resumen!T49*1000</f>
        <v>206278.92404000001</v>
      </c>
      <c r="U49" s="7">
        <f>+[3]Resumen!U49*1000</f>
        <v>198410.333912</v>
      </c>
      <c r="V49" s="7">
        <f>+[3]Resumen!V49*1000</f>
        <v>191373.45704400001</v>
      </c>
      <c r="W49" s="7">
        <f>+[3]Resumen!W49*1000</f>
        <v>210523.83637600002</v>
      </c>
      <c r="X49" s="7">
        <f>+[3]Resumen!X49*1000</f>
        <v>244437.92962400001</v>
      </c>
      <c r="Y49" s="7">
        <f>+[3]Resumen!Y49*1000</f>
        <v>238906.20555200003</v>
      </c>
      <c r="Z49" s="7">
        <f>+[3]Resumen!Z49*1000</f>
        <v>217660.52977199998</v>
      </c>
      <c r="AA49" s="7">
        <f>+[3]Resumen!AA49*1000</f>
        <v>185993.63297199999</v>
      </c>
      <c r="AB49" s="7">
        <f>+[3]Resumen!AB49*1000</f>
        <v>147420.9247</v>
      </c>
      <c r="AC49" s="7">
        <f>+[3]Resumen!AC49*1000</f>
        <v>105423.527636</v>
      </c>
      <c r="AD49" s="5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+[3]Resumen!F50*1000</f>
        <v>79098.868772000002</v>
      </c>
      <c r="G50" s="7">
        <f>+[3]Resumen!G50*1000</f>
        <v>58158.694272000001</v>
      </c>
      <c r="H50" s="7">
        <f>+[3]Resumen!H50*1000</f>
        <v>45716.862996000003</v>
      </c>
      <c r="I50" s="7">
        <f>+[3]Resumen!I50*1000</f>
        <v>39919.526583999999</v>
      </c>
      <c r="J50" s="7">
        <f>+[3]Resumen!J50*1000</f>
        <v>46587.262148000002</v>
      </c>
      <c r="K50" s="7">
        <f>+[3]Resumen!K50*1000</f>
        <v>59667.516972000005</v>
      </c>
      <c r="L50" s="7">
        <f>+[3]Resumen!L50*1000</f>
        <v>74979.419760000004</v>
      </c>
      <c r="M50" s="7">
        <f>+[3]Resumen!M50*1000</f>
        <v>80924.573100000009</v>
      </c>
      <c r="N50" s="7">
        <f>+[3]Resumen!N50*1000</f>
        <v>114821.525952</v>
      </c>
      <c r="O50" s="7">
        <f>+[3]Resumen!O50*1000</f>
        <v>140889.236852</v>
      </c>
      <c r="P50" s="7">
        <f>+[3]Resumen!P50*1000</f>
        <v>170074.86538</v>
      </c>
      <c r="Q50" s="7">
        <f>+[3]Resumen!Q50*1000</f>
        <v>198299.48336800002</v>
      </c>
      <c r="R50" s="7">
        <f>+[3]Resumen!R50*1000</f>
        <v>217662.504472</v>
      </c>
      <c r="S50" s="7">
        <f>+[3]Resumen!S50*1000</f>
        <v>219207.44899199999</v>
      </c>
      <c r="T50" s="7">
        <f>+[3]Resumen!T50*1000</f>
        <v>207136.80663200002</v>
      </c>
      <c r="U50" s="7">
        <f>+[3]Resumen!U50*1000</f>
        <v>198062.06974400001</v>
      </c>
      <c r="V50" s="7">
        <f>+[3]Resumen!V50*1000</f>
        <v>194807.28414000003</v>
      </c>
      <c r="W50" s="7">
        <f>+[3]Resumen!W50*1000</f>
        <v>219496.04684000002</v>
      </c>
      <c r="X50" s="7">
        <f>+[3]Resumen!X50*1000</f>
        <v>252583.074968</v>
      </c>
      <c r="Y50" s="7">
        <f>+[3]Resumen!Y50*1000</f>
        <v>248913.219576</v>
      </c>
      <c r="Z50" s="7">
        <f>+[3]Resumen!Z50*1000</f>
        <v>221104.673916</v>
      </c>
      <c r="AA50" s="7">
        <f>+[3]Resumen!AA50*1000</f>
        <v>180286.97478400002</v>
      </c>
      <c r="AB50" s="7">
        <f>+[3]Resumen!AB50*1000</f>
        <v>132459.46736400001</v>
      </c>
      <c r="AC50" s="7">
        <f>+[3]Resumen!AC50*1000</f>
        <v>88474.355507999993</v>
      </c>
      <c r="AD50" s="59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19</v>
      </c>
      <c r="F51" s="7">
        <f>+[3]Resumen!F51*1000</f>
        <v>93163.216860000015</v>
      </c>
      <c r="G51" s="7">
        <f>+[3]Resumen!G51*1000</f>
        <v>71282.428952000002</v>
      </c>
      <c r="H51" s="7">
        <f>+[3]Resumen!H51*1000</f>
        <v>59480.692124000008</v>
      </c>
      <c r="I51" s="7">
        <f>+[3]Resumen!I51*1000</f>
        <v>57874.817475999997</v>
      </c>
      <c r="J51" s="7">
        <f>+[3]Resumen!J51*1000</f>
        <v>75608.376900000003</v>
      </c>
      <c r="K51" s="7">
        <f>+[3]Resumen!K51*1000</f>
        <v>109891.16182800001</v>
      </c>
      <c r="L51" s="7">
        <f>+[3]Resumen!L51*1000</f>
        <v>153389.50709600002</v>
      </c>
      <c r="M51" s="7">
        <f>+[3]Resumen!M51*1000</f>
        <v>174748.84660800002</v>
      </c>
      <c r="N51" s="7">
        <f>+[3]Resumen!N51*1000</f>
        <v>210935.89246800001</v>
      </c>
      <c r="O51" s="7">
        <f>+[3]Resumen!O51*1000</f>
        <v>232305.09940400001</v>
      </c>
      <c r="P51" s="7">
        <f>+[3]Resumen!P51*1000</f>
        <v>257409.976964</v>
      </c>
      <c r="Q51" s="7">
        <f>+[3]Resumen!Q51*1000</f>
        <v>281393.06694799999</v>
      </c>
      <c r="R51" s="7">
        <f>+[3]Resumen!R51*1000</f>
        <v>291159.11288800003</v>
      </c>
      <c r="S51" s="7">
        <f>+[3]Resumen!S51*1000</f>
        <v>285189.57048400003</v>
      </c>
      <c r="T51" s="7">
        <f>+[3]Resumen!T51*1000</f>
        <v>286299.66175999999</v>
      </c>
      <c r="U51" s="7">
        <f>+[3]Resumen!U51*1000</f>
        <v>285407.49230000004</v>
      </c>
      <c r="V51" s="7">
        <f>+[3]Resumen!V51*1000</f>
        <v>275099.48538800003</v>
      </c>
      <c r="W51" s="7">
        <f>+[3]Resumen!W51*1000</f>
        <v>277046.55174000002</v>
      </c>
      <c r="X51" s="7">
        <f>+[3]Resumen!X51*1000</f>
        <v>305803.92556</v>
      </c>
      <c r="Y51" s="7">
        <f>+[3]Resumen!Y51*1000</f>
        <v>298401.28564399999</v>
      </c>
      <c r="Z51" s="7">
        <f>+[3]Resumen!Z51*1000</f>
        <v>269717.91750400001</v>
      </c>
      <c r="AA51" s="7">
        <f>+[3]Resumen!AA51*1000</f>
        <v>230166.46892400002</v>
      </c>
      <c r="AB51" s="7">
        <f>+[3]Resumen!AB51*1000</f>
        <v>180686.49608800001</v>
      </c>
      <c r="AC51" s="7">
        <f>+[3]Resumen!AC51*1000</f>
        <v>135370.27238000001</v>
      </c>
      <c r="AD51" s="57">
        <f t="shared" ref="AD51" si="9">SUM(F51:AC51)*E51+SUM(F52:AC52)*E52+SUM(F53:AC53)*E53+SUM(F54:AC54)*E54</f>
        <v>137552102.60632402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5</v>
      </c>
      <c r="F52" s="7">
        <f>+[3]Resumen!F52*1000</f>
        <v>106367.40993200001</v>
      </c>
      <c r="G52" s="7">
        <f>+[3]Resumen!G52*1000</f>
        <v>81014.862460000004</v>
      </c>
      <c r="H52" s="7">
        <f>+[3]Resumen!H52*1000</f>
        <v>67036.252808000005</v>
      </c>
      <c r="I52" s="7">
        <f>+[3]Resumen!I52*1000</f>
        <v>61622.00819600001</v>
      </c>
      <c r="J52" s="7">
        <f>+[3]Resumen!J52*1000</f>
        <v>71349.550524000006</v>
      </c>
      <c r="K52" s="7">
        <f>+[3]Resumen!K52*1000</f>
        <v>91633.699304000009</v>
      </c>
      <c r="L52" s="7">
        <f>+[3]Resumen!L52*1000</f>
        <v>125907.77124800002</v>
      </c>
      <c r="M52" s="7">
        <f>+[3]Resumen!M52*1000</f>
        <v>145560.85451600002</v>
      </c>
      <c r="N52" s="7">
        <f>+[3]Resumen!N52*1000</f>
        <v>186301.06642000002</v>
      </c>
      <c r="O52" s="7">
        <f>+[3]Resumen!O52*1000</f>
        <v>213910.84789199999</v>
      </c>
      <c r="P52" s="7">
        <f>+[3]Resumen!P52*1000</f>
        <v>234972.505936</v>
      </c>
      <c r="Q52" s="7">
        <f>+[3]Resumen!Q52*1000</f>
        <v>249839.37818</v>
      </c>
      <c r="R52" s="7">
        <f>+[3]Resumen!R52*1000</f>
        <v>252482.99109600001</v>
      </c>
      <c r="S52" s="7">
        <f>+[3]Resumen!S52*1000</f>
        <v>243922.72735600002</v>
      </c>
      <c r="T52" s="7">
        <f>+[3]Resumen!T52*1000</f>
        <v>233366.88648000002</v>
      </c>
      <c r="U52" s="7">
        <f>+[3]Resumen!U52*1000</f>
        <v>225165.87839200001</v>
      </c>
      <c r="V52" s="7">
        <f>+[3]Resumen!V52*1000</f>
        <v>217337.00100000002</v>
      </c>
      <c r="W52" s="7">
        <f>+[3]Resumen!W52*1000</f>
        <v>232247.280188</v>
      </c>
      <c r="X52" s="7">
        <f>+[3]Resumen!X52*1000</f>
        <v>270172.68787600001</v>
      </c>
      <c r="Y52" s="7">
        <f>+[3]Resumen!Y52*1000</f>
        <v>261413.05842400005</v>
      </c>
      <c r="Z52" s="7">
        <f>+[3]Resumen!Z52*1000</f>
        <v>230628.98619600001</v>
      </c>
      <c r="AA52" s="7">
        <f>+[3]Resumen!AA52*1000</f>
        <v>197660.792476</v>
      </c>
      <c r="AB52" s="7">
        <f>+[3]Resumen!AB52*1000</f>
        <v>161981.77920399999</v>
      </c>
      <c r="AC52" s="7">
        <f>+[3]Resumen!AC52*1000</f>
        <v>128178.67017200001</v>
      </c>
      <c r="AD52" s="5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5</v>
      </c>
      <c r="F53" s="7">
        <f>+[3]Resumen!F53*1000</f>
        <v>105450.31672000002</v>
      </c>
      <c r="G53" s="7">
        <f>+[3]Resumen!G53*1000</f>
        <v>78174.539044000005</v>
      </c>
      <c r="H53" s="7">
        <f>+[3]Resumen!H53*1000</f>
        <v>63280.197203999996</v>
      </c>
      <c r="I53" s="7">
        <f>+[3]Resumen!I53*1000</f>
        <v>54538.820056000004</v>
      </c>
      <c r="J53" s="7">
        <f>+[3]Resumen!J53*1000</f>
        <v>52676.440992000003</v>
      </c>
      <c r="K53" s="7">
        <f>+[3]Resumen!K53*1000</f>
        <v>59864.628488000002</v>
      </c>
      <c r="L53" s="7">
        <f>+[3]Resumen!L53*1000</f>
        <v>72367.219764000009</v>
      </c>
      <c r="M53" s="7">
        <f>+[3]Resumen!M53*1000</f>
        <v>75593.587916000004</v>
      </c>
      <c r="N53" s="7">
        <f>+[3]Resumen!N53*1000</f>
        <v>108188.775996</v>
      </c>
      <c r="O53" s="7">
        <f>+[3]Resumen!O53*1000</f>
        <v>136023.24187200001</v>
      </c>
      <c r="P53" s="7">
        <f>+[3]Resumen!P53*1000</f>
        <v>158395.01311200002</v>
      </c>
      <c r="Q53" s="7">
        <f>+[3]Resumen!Q53*1000</f>
        <v>179820.00988</v>
      </c>
      <c r="R53" s="7">
        <f>+[3]Resumen!R53*1000</f>
        <v>194385.64012000003</v>
      </c>
      <c r="S53" s="7">
        <f>+[3]Resumen!S53*1000</f>
        <v>198840.75167600001</v>
      </c>
      <c r="T53" s="7">
        <f>+[3]Resumen!T53*1000</f>
        <v>192591.014532</v>
      </c>
      <c r="U53" s="7">
        <f>+[3]Resumen!U53*1000</f>
        <v>188858.49127600002</v>
      </c>
      <c r="V53" s="7">
        <f>+[3]Resumen!V53*1000</f>
        <v>183609.088544</v>
      </c>
      <c r="W53" s="7">
        <f>+[3]Resumen!W53*1000</f>
        <v>196225.99368400002</v>
      </c>
      <c r="X53" s="7">
        <f>+[3]Resumen!X53*1000</f>
        <v>230890.69166800001</v>
      </c>
      <c r="Y53" s="7">
        <f>+[3]Resumen!Y53*1000</f>
        <v>232510.06718800002</v>
      </c>
      <c r="Z53" s="7">
        <f>+[3]Resumen!Z53*1000</f>
        <v>218627.914036</v>
      </c>
      <c r="AA53" s="7">
        <f>+[3]Resumen!AA53*1000</f>
        <v>192126.042556</v>
      </c>
      <c r="AB53" s="7">
        <f>+[3]Resumen!AB53*1000</f>
        <v>153767.60442399999</v>
      </c>
      <c r="AC53" s="7">
        <f>+[3]Resumen!AC53*1000</f>
        <v>111897.91880400002</v>
      </c>
      <c r="AD53" s="5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+[3]Resumen!F54*1000</f>
        <v>95318.860140000004</v>
      </c>
      <c r="G54" s="7">
        <f>+[3]Resumen!G54*1000</f>
        <v>75496.548120000007</v>
      </c>
      <c r="H54" s="7">
        <f>+[3]Resumen!H54*1000</f>
        <v>59572.858968</v>
      </c>
      <c r="I54" s="7">
        <f>+[3]Resumen!I54*1000</f>
        <v>48461.908656</v>
      </c>
      <c r="J54" s="7">
        <f>+[3]Resumen!J54*1000</f>
        <v>45192.771540000002</v>
      </c>
      <c r="K54" s="7">
        <f>+[3]Resumen!K54*1000</f>
        <v>48136.119612000002</v>
      </c>
      <c r="L54" s="7">
        <f>+[3]Resumen!L54*1000</f>
        <v>53940.212536000006</v>
      </c>
      <c r="M54" s="7">
        <f>+[3]Resumen!M54*1000</f>
        <v>49489.074683999999</v>
      </c>
      <c r="N54" s="7">
        <f>+[3]Resumen!N54*1000</f>
        <v>73301.009824000008</v>
      </c>
      <c r="O54" s="7">
        <f>+[3]Resumen!O54*1000</f>
        <v>98269.857896000001</v>
      </c>
      <c r="P54" s="7">
        <f>+[3]Resumen!P54*1000</f>
        <v>121940.53818800001</v>
      </c>
      <c r="Q54" s="7">
        <f>+[3]Resumen!Q54*1000</f>
        <v>144561.94796400002</v>
      </c>
      <c r="R54" s="7">
        <f>+[3]Resumen!R54*1000</f>
        <v>163006.65458</v>
      </c>
      <c r="S54" s="7">
        <f>+[3]Resumen!S54*1000</f>
        <v>166455.39218</v>
      </c>
      <c r="T54" s="7">
        <f>+[3]Resumen!T54*1000</f>
        <v>160847.14088800002</v>
      </c>
      <c r="U54" s="7">
        <f>+[3]Resumen!U54*1000</f>
        <v>160549.65385200002</v>
      </c>
      <c r="V54" s="7">
        <f>+[3]Resumen!V54*1000</f>
        <v>159073.02787600001</v>
      </c>
      <c r="W54" s="7">
        <f>+[3]Resumen!W54*1000</f>
        <v>172310.68148</v>
      </c>
      <c r="X54" s="7">
        <f>+[3]Resumen!X54*1000</f>
        <v>214327.69794799999</v>
      </c>
      <c r="Y54" s="7">
        <f>+[3]Resumen!Y54*1000</f>
        <v>215556.44742800001</v>
      </c>
      <c r="Z54" s="7">
        <f>+[3]Resumen!Z54*1000</f>
        <v>197788.46138800003</v>
      </c>
      <c r="AA54" s="7">
        <f>+[3]Resumen!AA54*1000</f>
        <v>170514.202712</v>
      </c>
      <c r="AB54" s="7">
        <f>+[3]Resumen!AB54*1000</f>
        <v>134631.92901200001</v>
      </c>
      <c r="AC54" s="7">
        <f>+[3]Resumen!AC54*1000</f>
        <v>95963.335384000005</v>
      </c>
      <c r="AD54" s="59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AA55" s="60" t="s">
        <v>46</v>
      </c>
      <c r="AB55" s="61"/>
      <c r="AC55" s="62"/>
      <c r="AD55" s="17">
        <f>SUM(AD7:AD54)</f>
        <v>1640501099.3746481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6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A55:AC55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1CF5-E50B-48A4-9B8E-84DE2A4E3E69}">
  <sheetPr codeName="Hoja3"/>
  <dimension ref="C1:BD57"/>
  <sheetViews>
    <sheetView showGridLines="0" zoomScale="66" zoomScaleNormal="66" workbookViewId="0">
      <selection activeCell="F7" sqref="F7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81640625" style="1" customWidth="1"/>
    <col min="5" max="5" width="9.1796875" style="1" customWidth="1"/>
    <col min="6" max="29" width="11.54296875" style="1" customWidth="1"/>
    <col min="30" max="30" width="19.54296875" style="1" bestFit="1" customWidth="1"/>
    <col min="31" max="31" width="2.81640625" style="1" customWidth="1"/>
    <col min="32" max="55" width="11.453125" style="1"/>
    <col min="56" max="56" width="15.1796875" style="1" bestFit="1" customWidth="1"/>
    <col min="57" max="258" width="11.453125" style="1"/>
    <col min="259" max="259" width="7" style="1" customWidth="1"/>
    <col min="260" max="260" width="10.81640625" style="1" customWidth="1"/>
    <col min="261" max="261" width="9.1796875" style="1" customWidth="1"/>
    <col min="262" max="285" width="7.1796875" style="1" customWidth="1"/>
    <col min="286" max="286" width="14.1796875" style="1" bestFit="1" customWidth="1"/>
    <col min="287" max="514" width="11.453125" style="1"/>
    <col min="515" max="515" width="7" style="1" customWidth="1"/>
    <col min="516" max="516" width="10.81640625" style="1" customWidth="1"/>
    <col min="517" max="517" width="9.1796875" style="1" customWidth="1"/>
    <col min="518" max="541" width="7.1796875" style="1" customWidth="1"/>
    <col min="542" max="542" width="14.1796875" style="1" bestFit="1" customWidth="1"/>
    <col min="543" max="770" width="11.453125" style="1"/>
    <col min="771" max="771" width="7" style="1" customWidth="1"/>
    <col min="772" max="772" width="10.81640625" style="1" customWidth="1"/>
    <col min="773" max="773" width="9.1796875" style="1" customWidth="1"/>
    <col min="774" max="797" width="7.1796875" style="1" customWidth="1"/>
    <col min="798" max="798" width="14.1796875" style="1" bestFit="1" customWidth="1"/>
    <col min="799" max="1026" width="11.453125" style="1"/>
    <col min="1027" max="1027" width="7" style="1" customWidth="1"/>
    <col min="1028" max="1028" width="10.81640625" style="1" customWidth="1"/>
    <col min="1029" max="1029" width="9.1796875" style="1" customWidth="1"/>
    <col min="1030" max="1053" width="7.1796875" style="1" customWidth="1"/>
    <col min="1054" max="1054" width="14.1796875" style="1" bestFit="1" customWidth="1"/>
    <col min="1055" max="1282" width="11.453125" style="1"/>
    <col min="1283" max="1283" width="7" style="1" customWidth="1"/>
    <col min="1284" max="1284" width="10.81640625" style="1" customWidth="1"/>
    <col min="1285" max="1285" width="9.1796875" style="1" customWidth="1"/>
    <col min="1286" max="1309" width="7.1796875" style="1" customWidth="1"/>
    <col min="1310" max="1310" width="14.1796875" style="1" bestFit="1" customWidth="1"/>
    <col min="1311" max="1538" width="11.453125" style="1"/>
    <col min="1539" max="1539" width="7" style="1" customWidth="1"/>
    <col min="1540" max="1540" width="10.81640625" style="1" customWidth="1"/>
    <col min="1541" max="1541" width="9.1796875" style="1" customWidth="1"/>
    <col min="1542" max="1565" width="7.1796875" style="1" customWidth="1"/>
    <col min="1566" max="1566" width="14.1796875" style="1" bestFit="1" customWidth="1"/>
    <col min="1567" max="1794" width="11.453125" style="1"/>
    <col min="1795" max="1795" width="7" style="1" customWidth="1"/>
    <col min="1796" max="1796" width="10.81640625" style="1" customWidth="1"/>
    <col min="1797" max="1797" width="9.1796875" style="1" customWidth="1"/>
    <col min="1798" max="1821" width="7.1796875" style="1" customWidth="1"/>
    <col min="1822" max="1822" width="14.1796875" style="1" bestFit="1" customWidth="1"/>
    <col min="1823" max="2050" width="11.453125" style="1"/>
    <col min="2051" max="2051" width="7" style="1" customWidth="1"/>
    <col min="2052" max="2052" width="10.81640625" style="1" customWidth="1"/>
    <col min="2053" max="2053" width="9.1796875" style="1" customWidth="1"/>
    <col min="2054" max="2077" width="7.1796875" style="1" customWidth="1"/>
    <col min="2078" max="2078" width="14.1796875" style="1" bestFit="1" customWidth="1"/>
    <col min="2079" max="2306" width="11.453125" style="1"/>
    <col min="2307" max="2307" width="7" style="1" customWidth="1"/>
    <col min="2308" max="2308" width="10.81640625" style="1" customWidth="1"/>
    <col min="2309" max="2309" width="9.1796875" style="1" customWidth="1"/>
    <col min="2310" max="2333" width="7.1796875" style="1" customWidth="1"/>
    <col min="2334" max="2334" width="14.1796875" style="1" bestFit="1" customWidth="1"/>
    <col min="2335" max="2562" width="11.453125" style="1"/>
    <col min="2563" max="2563" width="7" style="1" customWidth="1"/>
    <col min="2564" max="2564" width="10.81640625" style="1" customWidth="1"/>
    <col min="2565" max="2565" width="9.1796875" style="1" customWidth="1"/>
    <col min="2566" max="2589" width="7.1796875" style="1" customWidth="1"/>
    <col min="2590" max="2590" width="14.1796875" style="1" bestFit="1" customWidth="1"/>
    <col min="2591" max="2818" width="11.453125" style="1"/>
    <col min="2819" max="2819" width="7" style="1" customWidth="1"/>
    <col min="2820" max="2820" width="10.81640625" style="1" customWidth="1"/>
    <col min="2821" max="2821" width="9.1796875" style="1" customWidth="1"/>
    <col min="2822" max="2845" width="7.1796875" style="1" customWidth="1"/>
    <col min="2846" max="2846" width="14.1796875" style="1" bestFit="1" customWidth="1"/>
    <col min="2847" max="3074" width="11.453125" style="1"/>
    <col min="3075" max="3075" width="7" style="1" customWidth="1"/>
    <col min="3076" max="3076" width="10.81640625" style="1" customWidth="1"/>
    <col min="3077" max="3077" width="9.1796875" style="1" customWidth="1"/>
    <col min="3078" max="3101" width="7.1796875" style="1" customWidth="1"/>
    <col min="3102" max="3102" width="14.1796875" style="1" bestFit="1" customWidth="1"/>
    <col min="3103" max="3330" width="11.453125" style="1"/>
    <col min="3331" max="3331" width="7" style="1" customWidth="1"/>
    <col min="3332" max="3332" width="10.81640625" style="1" customWidth="1"/>
    <col min="3333" max="3333" width="9.1796875" style="1" customWidth="1"/>
    <col min="3334" max="3357" width="7.1796875" style="1" customWidth="1"/>
    <col min="3358" max="3358" width="14.1796875" style="1" bestFit="1" customWidth="1"/>
    <col min="3359" max="3586" width="11.453125" style="1"/>
    <col min="3587" max="3587" width="7" style="1" customWidth="1"/>
    <col min="3588" max="3588" width="10.81640625" style="1" customWidth="1"/>
    <col min="3589" max="3589" width="9.1796875" style="1" customWidth="1"/>
    <col min="3590" max="3613" width="7.1796875" style="1" customWidth="1"/>
    <col min="3614" max="3614" width="14.1796875" style="1" bestFit="1" customWidth="1"/>
    <col min="3615" max="3842" width="11.453125" style="1"/>
    <col min="3843" max="3843" width="7" style="1" customWidth="1"/>
    <col min="3844" max="3844" width="10.81640625" style="1" customWidth="1"/>
    <col min="3845" max="3845" width="9.1796875" style="1" customWidth="1"/>
    <col min="3846" max="3869" width="7.1796875" style="1" customWidth="1"/>
    <col min="3870" max="3870" width="14.1796875" style="1" bestFit="1" customWidth="1"/>
    <col min="3871" max="4098" width="11.453125" style="1"/>
    <col min="4099" max="4099" width="7" style="1" customWidth="1"/>
    <col min="4100" max="4100" width="10.81640625" style="1" customWidth="1"/>
    <col min="4101" max="4101" width="9.1796875" style="1" customWidth="1"/>
    <col min="4102" max="4125" width="7.1796875" style="1" customWidth="1"/>
    <col min="4126" max="4126" width="14.1796875" style="1" bestFit="1" customWidth="1"/>
    <col min="4127" max="4354" width="11.453125" style="1"/>
    <col min="4355" max="4355" width="7" style="1" customWidth="1"/>
    <col min="4356" max="4356" width="10.81640625" style="1" customWidth="1"/>
    <col min="4357" max="4357" width="9.1796875" style="1" customWidth="1"/>
    <col min="4358" max="4381" width="7.1796875" style="1" customWidth="1"/>
    <col min="4382" max="4382" width="14.1796875" style="1" bestFit="1" customWidth="1"/>
    <col min="4383" max="4610" width="11.453125" style="1"/>
    <col min="4611" max="4611" width="7" style="1" customWidth="1"/>
    <col min="4612" max="4612" width="10.81640625" style="1" customWidth="1"/>
    <col min="4613" max="4613" width="9.1796875" style="1" customWidth="1"/>
    <col min="4614" max="4637" width="7.1796875" style="1" customWidth="1"/>
    <col min="4638" max="4638" width="14.1796875" style="1" bestFit="1" customWidth="1"/>
    <col min="4639" max="4866" width="11.453125" style="1"/>
    <col min="4867" max="4867" width="7" style="1" customWidth="1"/>
    <col min="4868" max="4868" width="10.81640625" style="1" customWidth="1"/>
    <col min="4869" max="4869" width="9.1796875" style="1" customWidth="1"/>
    <col min="4870" max="4893" width="7.1796875" style="1" customWidth="1"/>
    <col min="4894" max="4894" width="14.1796875" style="1" bestFit="1" customWidth="1"/>
    <col min="4895" max="5122" width="11.453125" style="1"/>
    <col min="5123" max="5123" width="7" style="1" customWidth="1"/>
    <col min="5124" max="5124" width="10.81640625" style="1" customWidth="1"/>
    <col min="5125" max="5125" width="9.1796875" style="1" customWidth="1"/>
    <col min="5126" max="5149" width="7.1796875" style="1" customWidth="1"/>
    <col min="5150" max="5150" width="14.1796875" style="1" bestFit="1" customWidth="1"/>
    <col min="5151" max="5378" width="11.453125" style="1"/>
    <col min="5379" max="5379" width="7" style="1" customWidth="1"/>
    <col min="5380" max="5380" width="10.81640625" style="1" customWidth="1"/>
    <col min="5381" max="5381" width="9.1796875" style="1" customWidth="1"/>
    <col min="5382" max="5405" width="7.1796875" style="1" customWidth="1"/>
    <col min="5406" max="5406" width="14.1796875" style="1" bestFit="1" customWidth="1"/>
    <col min="5407" max="5634" width="11.453125" style="1"/>
    <col min="5635" max="5635" width="7" style="1" customWidth="1"/>
    <col min="5636" max="5636" width="10.81640625" style="1" customWidth="1"/>
    <col min="5637" max="5637" width="9.1796875" style="1" customWidth="1"/>
    <col min="5638" max="5661" width="7.1796875" style="1" customWidth="1"/>
    <col min="5662" max="5662" width="14.1796875" style="1" bestFit="1" customWidth="1"/>
    <col min="5663" max="5890" width="11.453125" style="1"/>
    <col min="5891" max="5891" width="7" style="1" customWidth="1"/>
    <col min="5892" max="5892" width="10.81640625" style="1" customWidth="1"/>
    <col min="5893" max="5893" width="9.1796875" style="1" customWidth="1"/>
    <col min="5894" max="5917" width="7.1796875" style="1" customWidth="1"/>
    <col min="5918" max="5918" width="14.1796875" style="1" bestFit="1" customWidth="1"/>
    <col min="5919" max="6146" width="11.453125" style="1"/>
    <col min="6147" max="6147" width="7" style="1" customWidth="1"/>
    <col min="6148" max="6148" width="10.81640625" style="1" customWidth="1"/>
    <col min="6149" max="6149" width="9.1796875" style="1" customWidth="1"/>
    <col min="6150" max="6173" width="7.1796875" style="1" customWidth="1"/>
    <col min="6174" max="6174" width="14.1796875" style="1" bestFit="1" customWidth="1"/>
    <col min="6175" max="6402" width="11.453125" style="1"/>
    <col min="6403" max="6403" width="7" style="1" customWidth="1"/>
    <col min="6404" max="6404" width="10.81640625" style="1" customWidth="1"/>
    <col min="6405" max="6405" width="9.1796875" style="1" customWidth="1"/>
    <col min="6406" max="6429" width="7.1796875" style="1" customWidth="1"/>
    <col min="6430" max="6430" width="14.1796875" style="1" bestFit="1" customWidth="1"/>
    <col min="6431" max="6658" width="11.453125" style="1"/>
    <col min="6659" max="6659" width="7" style="1" customWidth="1"/>
    <col min="6660" max="6660" width="10.81640625" style="1" customWidth="1"/>
    <col min="6661" max="6661" width="9.1796875" style="1" customWidth="1"/>
    <col min="6662" max="6685" width="7.1796875" style="1" customWidth="1"/>
    <col min="6686" max="6686" width="14.1796875" style="1" bestFit="1" customWidth="1"/>
    <col min="6687" max="6914" width="11.453125" style="1"/>
    <col min="6915" max="6915" width="7" style="1" customWidth="1"/>
    <col min="6916" max="6916" width="10.81640625" style="1" customWidth="1"/>
    <col min="6917" max="6917" width="9.1796875" style="1" customWidth="1"/>
    <col min="6918" max="6941" width="7.1796875" style="1" customWidth="1"/>
    <col min="6942" max="6942" width="14.1796875" style="1" bestFit="1" customWidth="1"/>
    <col min="6943" max="7170" width="11.453125" style="1"/>
    <col min="7171" max="7171" width="7" style="1" customWidth="1"/>
    <col min="7172" max="7172" width="10.81640625" style="1" customWidth="1"/>
    <col min="7173" max="7173" width="9.1796875" style="1" customWidth="1"/>
    <col min="7174" max="7197" width="7.1796875" style="1" customWidth="1"/>
    <col min="7198" max="7198" width="14.1796875" style="1" bestFit="1" customWidth="1"/>
    <col min="7199" max="7426" width="11.453125" style="1"/>
    <col min="7427" max="7427" width="7" style="1" customWidth="1"/>
    <col min="7428" max="7428" width="10.81640625" style="1" customWidth="1"/>
    <col min="7429" max="7429" width="9.1796875" style="1" customWidth="1"/>
    <col min="7430" max="7453" width="7.1796875" style="1" customWidth="1"/>
    <col min="7454" max="7454" width="14.1796875" style="1" bestFit="1" customWidth="1"/>
    <col min="7455" max="7682" width="11.453125" style="1"/>
    <col min="7683" max="7683" width="7" style="1" customWidth="1"/>
    <col min="7684" max="7684" width="10.81640625" style="1" customWidth="1"/>
    <col min="7685" max="7685" width="9.1796875" style="1" customWidth="1"/>
    <col min="7686" max="7709" width="7.1796875" style="1" customWidth="1"/>
    <col min="7710" max="7710" width="14.1796875" style="1" bestFit="1" customWidth="1"/>
    <col min="7711" max="7938" width="11.453125" style="1"/>
    <col min="7939" max="7939" width="7" style="1" customWidth="1"/>
    <col min="7940" max="7940" width="10.81640625" style="1" customWidth="1"/>
    <col min="7941" max="7941" width="9.1796875" style="1" customWidth="1"/>
    <col min="7942" max="7965" width="7.1796875" style="1" customWidth="1"/>
    <col min="7966" max="7966" width="14.1796875" style="1" bestFit="1" customWidth="1"/>
    <col min="7967" max="8194" width="11.453125" style="1"/>
    <col min="8195" max="8195" width="7" style="1" customWidth="1"/>
    <col min="8196" max="8196" width="10.81640625" style="1" customWidth="1"/>
    <col min="8197" max="8197" width="9.1796875" style="1" customWidth="1"/>
    <col min="8198" max="8221" width="7.1796875" style="1" customWidth="1"/>
    <col min="8222" max="8222" width="14.1796875" style="1" bestFit="1" customWidth="1"/>
    <col min="8223" max="8450" width="11.453125" style="1"/>
    <col min="8451" max="8451" width="7" style="1" customWidth="1"/>
    <col min="8452" max="8452" width="10.81640625" style="1" customWidth="1"/>
    <col min="8453" max="8453" width="9.1796875" style="1" customWidth="1"/>
    <col min="8454" max="8477" width="7.1796875" style="1" customWidth="1"/>
    <col min="8478" max="8478" width="14.1796875" style="1" bestFit="1" customWidth="1"/>
    <col min="8479" max="8706" width="11.453125" style="1"/>
    <col min="8707" max="8707" width="7" style="1" customWidth="1"/>
    <col min="8708" max="8708" width="10.81640625" style="1" customWidth="1"/>
    <col min="8709" max="8709" width="9.1796875" style="1" customWidth="1"/>
    <col min="8710" max="8733" width="7.1796875" style="1" customWidth="1"/>
    <col min="8734" max="8734" width="14.1796875" style="1" bestFit="1" customWidth="1"/>
    <col min="8735" max="8962" width="11.453125" style="1"/>
    <col min="8963" max="8963" width="7" style="1" customWidth="1"/>
    <col min="8964" max="8964" width="10.81640625" style="1" customWidth="1"/>
    <col min="8965" max="8965" width="9.1796875" style="1" customWidth="1"/>
    <col min="8966" max="8989" width="7.1796875" style="1" customWidth="1"/>
    <col min="8990" max="8990" width="14.1796875" style="1" bestFit="1" customWidth="1"/>
    <col min="8991" max="9218" width="11.453125" style="1"/>
    <col min="9219" max="9219" width="7" style="1" customWidth="1"/>
    <col min="9220" max="9220" width="10.81640625" style="1" customWidth="1"/>
    <col min="9221" max="9221" width="9.1796875" style="1" customWidth="1"/>
    <col min="9222" max="9245" width="7.1796875" style="1" customWidth="1"/>
    <col min="9246" max="9246" width="14.1796875" style="1" bestFit="1" customWidth="1"/>
    <col min="9247" max="9474" width="11.453125" style="1"/>
    <col min="9475" max="9475" width="7" style="1" customWidth="1"/>
    <col min="9476" max="9476" width="10.81640625" style="1" customWidth="1"/>
    <col min="9477" max="9477" width="9.1796875" style="1" customWidth="1"/>
    <col min="9478" max="9501" width="7.1796875" style="1" customWidth="1"/>
    <col min="9502" max="9502" width="14.1796875" style="1" bestFit="1" customWidth="1"/>
    <col min="9503" max="9730" width="11.453125" style="1"/>
    <col min="9731" max="9731" width="7" style="1" customWidth="1"/>
    <col min="9732" max="9732" width="10.81640625" style="1" customWidth="1"/>
    <col min="9733" max="9733" width="9.1796875" style="1" customWidth="1"/>
    <col min="9734" max="9757" width="7.1796875" style="1" customWidth="1"/>
    <col min="9758" max="9758" width="14.1796875" style="1" bestFit="1" customWidth="1"/>
    <col min="9759" max="9986" width="11.453125" style="1"/>
    <col min="9987" max="9987" width="7" style="1" customWidth="1"/>
    <col min="9988" max="9988" width="10.81640625" style="1" customWidth="1"/>
    <col min="9989" max="9989" width="9.1796875" style="1" customWidth="1"/>
    <col min="9990" max="10013" width="7.1796875" style="1" customWidth="1"/>
    <col min="10014" max="10014" width="14.1796875" style="1" bestFit="1" customWidth="1"/>
    <col min="10015" max="10242" width="11.453125" style="1"/>
    <col min="10243" max="10243" width="7" style="1" customWidth="1"/>
    <col min="10244" max="10244" width="10.81640625" style="1" customWidth="1"/>
    <col min="10245" max="10245" width="9.1796875" style="1" customWidth="1"/>
    <col min="10246" max="10269" width="7.1796875" style="1" customWidth="1"/>
    <col min="10270" max="10270" width="14.1796875" style="1" bestFit="1" customWidth="1"/>
    <col min="10271" max="10498" width="11.453125" style="1"/>
    <col min="10499" max="10499" width="7" style="1" customWidth="1"/>
    <col min="10500" max="10500" width="10.81640625" style="1" customWidth="1"/>
    <col min="10501" max="10501" width="9.1796875" style="1" customWidth="1"/>
    <col min="10502" max="10525" width="7.1796875" style="1" customWidth="1"/>
    <col min="10526" max="10526" width="14.1796875" style="1" bestFit="1" customWidth="1"/>
    <col min="10527" max="10754" width="11.453125" style="1"/>
    <col min="10755" max="10755" width="7" style="1" customWidth="1"/>
    <col min="10756" max="10756" width="10.81640625" style="1" customWidth="1"/>
    <col min="10757" max="10757" width="9.1796875" style="1" customWidth="1"/>
    <col min="10758" max="10781" width="7.1796875" style="1" customWidth="1"/>
    <col min="10782" max="10782" width="14.1796875" style="1" bestFit="1" customWidth="1"/>
    <col min="10783" max="11010" width="11.453125" style="1"/>
    <col min="11011" max="11011" width="7" style="1" customWidth="1"/>
    <col min="11012" max="11012" width="10.81640625" style="1" customWidth="1"/>
    <col min="11013" max="11013" width="9.1796875" style="1" customWidth="1"/>
    <col min="11014" max="11037" width="7.1796875" style="1" customWidth="1"/>
    <col min="11038" max="11038" width="14.1796875" style="1" bestFit="1" customWidth="1"/>
    <col min="11039" max="11266" width="11.453125" style="1"/>
    <col min="11267" max="11267" width="7" style="1" customWidth="1"/>
    <col min="11268" max="11268" width="10.81640625" style="1" customWidth="1"/>
    <col min="11269" max="11269" width="9.1796875" style="1" customWidth="1"/>
    <col min="11270" max="11293" width="7.1796875" style="1" customWidth="1"/>
    <col min="11294" max="11294" width="14.1796875" style="1" bestFit="1" customWidth="1"/>
    <col min="11295" max="11522" width="11.453125" style="1"/>
    <col min="11523" max="11523" width="7" style="1" customWidth="1"/>
    <col min="11524" max="11524" width="10.81640625" style="1" customWidth="1"/>
    <col min="11525" max="11525" width="9.1796875" style="1" customWidth="1"/>
    <col min="11526" max="11549" width="7.1796875" style="1" customWidth="1"/>
    <col min="11550" max="11550" width="14.1796875" style="1" bestFit="1" customWidth="1"/>
    <col min="11551" max="11778" width="11.453125" style="1"/>
    <col min="11779" max="11779" width="7" style="1" customWidth="1"/>
    <col min="11780" max="11780" width="10.81640625" style="1" customWidth="1"/>
    <col min="11781" max="11781" width="9.1796875" style="1" customWidth="1"/>
    <col min="11782" max="11805" width="7.1796875" style="1" customWidth="1"/>
    <col min="11806" max="11806" width="14.1796875" style="1" bestFit="1" customWidth="1"/>
    <col min="11807" max="12034" width="11.453125" style="1"/>
    <col min="12035" max="12035" width="7" style="1" customWidth="1"/>
    <col min="12036" max="12036" width="10.81640625" style="1" customWidth="1"/>
    <col min="12037" max="12037" width="9.1796875" style="1" customWidth="1"/>
    <col min="12038" max="12061" width="7.1796875" style="1" customWidth="1"/>
    <col min="12062" max="12062" width="14.1796875" style="1" bestFit="1" customWidth="1"/>
    <col min="12063" max="12290" width="11.453125" style="1"/>
    <col min="12291" max="12291" width="7" style="1" customWidth="1"/>
    <col min="12292" max="12292" width="10.81640625" style="1" customWidth="1"/>
    <col min="12293" max="12293" width="9.1796875" style="1" customWidth="1"/>
    <col min="12294" max="12317" width="7.1796875" style="1" customWidth="1"/>
    <col min="12318" max="12318" width="14.1796875" style="1" bestFit="1" customWidth="1"/>
    <col min="12319" max="12546" width="11.453125" style="1"/>
    <col min="12547" max="12547" width="7" style="1" customWidth="1"/>
    <col min="12548" max="12548" width="10.81640625" style="1" customWidth="1"/>
    <col min="12549" max="12549" width="9.1796875" style="1" customWidth="1"/>
    <col min="12550" max="12573" width="7.1796875" style="1" customWidth="1"/>
    <col min="12574" max="12574" width="14.1796875" style="1" bestFit="1" customWidth="1"/>
    <col min="12575" max="12802" width="11.453125" style="1"/>
    <col min="12803" max="12803" width="7" style="1" customWidth="1"/>
    <col min="12804" max="12804" width="10.81640625" style="1" customWidth="1"/>
    <col min="12805" max="12805" width="9.1796875" style="1" customWidth="1"/>
    <col min="12806" max="12829" width="7.1796875" style="1" customWidth="1"/>
    <col min="12830" max="12830" width="14.1796875" style="1" bestFit="1" customWidth="1"/>
    <col min="12831" max="13058" width="11.453125" style="1"/>
    <col min="13059" max="13059" width="7" style="1" customWidth="1"/>
    <col min="13060" max="13060" width="10.81640625" style="1" customWidth="1"/>
    <col min="13061" max="13061" width="9.1796875" style="1" customWidth="1"/>
    <col min="13062" max="13085" width="7.1796875" style="1" customWidth="1"/>
    <col min="13086" max="13086" width="14.1796875" style="1" bestFit="1" customWidth="1"/>
    <col min="13087" max="13314" width="11.453125" style="1"/>
    <col min="13315" max="13315" width="7" style="1" customWidth="1"/>
    <col min="13316" max="13316" width="10.81640625" style="1" customWidth="1"/>
    <col min="13317" max="13317" width="9.1796875" style="1" customWidth="1"/>
    <col min="13318" max="13341" width="7.1796875" style="1" customWidth="1"/>
    <col min="13342" max="13342" width="14.1796875" style="1" bestFit="1" customWidth="1"/>
    <col min="13343" max="13570" width="11.453125" style="1"/>
    <col min="13571" max="13571" width="7" style="1" customWidth="1"/>
    <col min="13572" max="13572" width="10.81640625" style="1" customWidth="1"/>
    <col min="13573" max="13573" width="9.1796875" style="1" customWidth="1"/>
    <col min="13574" max="13597" width="7.1796875" style="1" customWidth="1"/>
    <col min="13598" max="13598" width="14.1796875" style="1" bestFit="1" customWidth="1"/>
    <col min="13599" max="13826" width="11.453125" style="1"/>
    <col min="13827" max="13827" width="7" style="1" customWidth="1"/>
    <col min="13828" max="13828" width="10.81640625" style="1" customWidth="1"/>
    <col min="13829" max="13829" width="9.1796875" style="1" customWidth="1"/>
    <col min="13830" max="13853" width="7.1796875" style="1" customWidth="1"/>
    <col min="13854" max="13854" width="14.1796875" style="1" bestFit="1" customWidth="1"/>
    <col min="13855" max="14082" width="11.453125" style="1"/>
    <col min="14083" max="14083" width="7" style="1" customWidth="1"/>
    <col min="14084" max="14084" width="10.81640625" style="1" customWidth="1"/>
    <col min="14085" max="14085" width="9.1796875" style="1" customWidth="1"/>
    <col min="14086" max="14109" width="7.1796875" style="1" customWidth="1"/>
    <col min="14110" max="14110" width="14.1796875" style="1" bestFit="1" customWidth="1"/>
    <col min="14111" max="14338" width="11.453125" style="1"/>
    <col min="14339" max="14339" width="7" style="1" customWidth="1"/>
    <col min="14340" max="14340" width="10.81640625" style="1" customWidth="1"/>
    <col min="14341" max="14341" width="9.1796875" style="1" customWidth="1"/>
    <col min="14342" max="14365" width="7.1796875" style="1" customWidth="1"/>
    <col min="14366" max="14366" width="14.1796875" style="1" bestFit="1" customWidth="1"/>
    <col min="14367" max="14594" width="11.453125" style="1"/>
    <col min="14595" max="14595" width="7" style="1" customWidth="1"/>
    <col min="14596" max="14596" width="10.81640625" style="1" customWidth="1"/>
    <col min="14597" max="14597" width="9.1796875" style="1" customWidth="1"/>
    <col min="14598" max="14621" width="7.1796875" style="1" customWidth="1"/>
    <col min="14622" max="14622" width="14.1796875" style="1" bestFit="1" customWidth="1"/>
    <col min="14623" max="14850" width="11.453125" style="1"/>
    <col min="14851" max="14851" width="7" style="1" customWidth="1"/>
    <col min="14852" max="14852" width="10.81640625" style="1" customWidth="1"/>
    <col min="14853" max="14853" width="9.1796875" style="1" customWidth="1"/>
    <col min="14854" max="14877" width="7.1796875" style="1" customWidth="1"/>
    <col min="14878" max="14878" width="14.1796875" style="1" bestFit="1" customWidth="1"/>
    <col min="14879" max="15106" width="11.453125" style="1"/>
    <col min="15107" max="15107" width="7" style="1" customWidth="1"/>
    <col min="15108" max="15108" width="10.81640625" style="1" customWidth="1"/>
    <col min="15109" max="15109" width="9.1796875" style="1" customWidth="1"/>
    <col min="15110" max="15133" width="7.1796875" style="1" customWidth="1"/>
    <col min="15134" max="15134" width="14.1796875" style="1" bestFit="1" customWidth="1"/>
    <col min="15135" max="15362" width="11.453125" style="1"/>
    <col min="15363" max="15363" width="7" style="1" customWidth="1"/>
    <col min="15364" max="15364" width="10.81640625" style="1" customWidth="1"/>
    <col min="15365" max="15365" width="9.1796875" style="1" customWidth="1"/>
    <col min="15366" max="15389" width="7.1796875" style="1" customWidth="1"/>
    <col min="15390" max="15390" width="14.1796875" style="1" bestFit="1" customWidth="1"/>
    <col min="15391" max="15618" width="11.453125" style="1"/>
    <col min="15619" max="15619" width="7" style="1" customWidth="1"/>
    <col min="15620" max="15620" width="10.81640625" style="1" customWidth="1"/>
    <col min="15621" max="15621" width="9.1796875" style="1" customWidth="1"/>
    <col min="15622" max="15645" width="7.1796875" style="1" customWidth="1"/>
    <col min="15646" max="15646" width="14.1796875" style="1" bestFit="1" customWidth="1"/>
    <col min="15647" max="15874" width="11.453125" style="1"/>
    <col min="15875" max="15875" width="7" style="1" customWidth="1"/>
    <col min="15876" max="15876" width="10.81640625" style="1" customWidth="1"/>
    <col min="15877" max="15877" width="9.1796875" style="1" customWidth="1"/>
    <col min="15878" max="15901" width="7.1796875" style="1" customWidth="1"/>
    <col min="15902" max="15902" width="14.1796875" style="1" bestFit="1" customWidth="1"/>
    <col min="15903" max="16130" width="11.453125" style="1"/>
    <col min="16131" max="16131" width="7" style="1" customWidth="1"/>
    <col min="16132" max="16132" width="10.81640625" style="1" customWidth="1"/>
    <col min="16133" max="16133" width="9.1796875" style="1" customWidth="1"/>
    <col min="16134" max="16157" width="7.1796875" style="1" customWidth="1"/>
    <col min="16158" max="16158" width="14.179687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2029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21</v>
      </c>
      <c r="F7" s="7">
        <f>+[4]Resumen!F7*1000</f>
        <v>118757.344446</v>
      </c>
      <c r="G7" s="7">
        <f>+[4]Resumen!G7*1000</f>
        <v>102891.788883</v>
      </c>
      <c r="H7" s="7">
        <f>+[4]Resumen!H7*1000</f>
        <v>94097.321486999994</v>
      </c>
      <c r="I7" s="7">
        <f>+[4]Resumen!I7*1000</f>
        <v>92952.76851899999</v>
      </c>
      <c r="J7" s="7">
        <f>+[4]Resumen!J7*1000</f>
        <v>107398.684809</v>
      </c>
      <c r="K7" s="7">
        <f>+[4]Resumen!K7*1000</f>
        <v>141025.88494799999</v>
      </c>
      <c r="L7" s="7">
        <f>+[4]Resumen!L7*1000</f>
        <v>176289.79773600001</v>
      </c>
      <c r="M7" s="7">
        <f>+[4]Resumen!M7*1000</f>
        <v>180693.87558300002</v>
      </c>
      <c r="N7" s="7">
        <f>+[4]Resumen!N7*1000</f>
        <v>206478.42122700001</v>
      </c>
      <c r="O7" s="7">
        <f>+[4]Resumen!O7*1000</f>
        <v>222735.78159299999</v>
      </c>
      <c r="P7" s="7">
        <f>+[4]Resumen!P7*1000</f>
        <v>245105.76788100001</v>
      </c>
      <c r="Q7" s="7">
        <f>+[4]Resumen!Q7*1000</f>
        <v>264472.10349300003</v>
      </c>
      <c r="R7" s="7">
        <f>+[4]Resumen!R7*1000</f>
        <v>271295.10965699999</v>
      </c>
      <c r="S7" s="7">
        <f>+[4]Resumen!S7*1000</f>
        <v>267811.38586800004</v>
      </c>
      <c r="T7" s="7">
        <f>+[4]Resumen!T7*1000</f>
        <v>270953.16627599997</v>
      </c>
      <c r="U7" s="7">
        <f>+[4]Resumen!U7*1000</f>
        <v>270599.39173799998</v>
      </c>
      <c r="V7" s="7">
        <f>+[4]Resumen!V7*1000</f>
        <v>261389.46155400004</v>
      </c>
      <c r="W7" s="7">
        <f>+[4]Resumen!W7*1000</f>
        <v>260296.25485499998</v>
      </c>
      <c r="X7" s="7">
        <f>+[4]Resumen!X7*1000</f>
        <v>275892.87562200002</v>
      </c>
      <c r="Y7" s="7">
        <f>+[4]Resumen!Y7*1000</f>
        <v>284509.71981899999</v>
      </c>
      <c r="Z7" s="7">
        <f>+[4]Resumen!Z7*1000</f>
        <v>264363.592779</v>
      </c>
      <c r="AA7" s="7">
        <f>+[4]Resumen!AA7*1000</f>
        <v>232173.38687400002</v>
      </c>
      <c r="AB7" s="7">
        <f>+[4]Resumen!AB7*1000</f>
        <v>187907.17572900001</v>
      </c>
      <c r="AC7" s="7">
        <f>+[4]Resumen!AC7*1000</f>
        <v>151567.67960100001</v>
      </c>
      <c r="AD7" s="57">
        <f>SUM(F7:AC7)*E7+SUM(F8:AC8)*E8+SUM(F9:AC9)*E9+SUM(F10:AC10)*E10</f>
        <v>143093768.13119701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+[4]Resumen!F8*1000</f>
        <v>121163.73165</v>
      </c>
      <c r="G8" s="7">
        <f>+[4]Resumen!G8*1000</f>
        <v>103958.36790300001</v>
      </c>
      <c r="H8" s="7">
        <f>+[4]Resumen!H8*1000</f>
        <v>94056.200316000002</v>
      </c>
      <c r="I8" s="7">
        <f>+[4]Resumen!I8*1000</f>
        <v>90471.329442000002</v>
      </c>
      <c r="J8" s="7">
        <f>+[4]Resumen!J8*1000</f>
        <v>99400.801032000003</v>
      </c>
      <c r="K8" s="7">
        <f>+[4]Resumen!K8*1000</f>
        <v>116168.18686200002</v>
      </c>
      <c r="L8" s="7">
        <f>+[4]Resumen!L8*1000</f>
        <v>142801.72299899999</v>
      </c>
      <c r="M8" s="7">
        <f>+[4]Resumen!M8*1000</f>
        <v>150464.67204599999</v>
      </c>
      <c r="N8" s="7">
        <f>+[4]Resumen!N8*1000</f>
        <v>180403.200549</v>
      </c>
      <c r="O8" s="7">
        <f>+[4]Resumen!O8*1000</f>
        <v>202658.95318500002</v>
      </c>
      <c r="P8" s="7">
        <f>+[4]Resumen!P8*1000</f>
        <v>221413.96906200002</v>
      </c>
      <c r="Q8" s="7">
        <f>+[4]Resumen!Q8*1000</f>
        <v>237399.90112799997</v>
      </c>
      <c r="R8" s="7">
        <f>+[4]Resumen!R8*1000</f>
        <v>240768.63368999999</v>
      </c>
      <c r="S8" s="7">
        <f>+[4]Resumen!S8*1000</f>
        <v>234029.81358900003</v>
      </c>
      <c r="T8" s="7">
        <f>+[4]Resumen!T8*1000</f>
        <v>225465.93037800002</v>
      </c>
      <c r="U8" s="7">
        <f>+[4]Resumen!U8*1000</f>
        <v>221036.086323</v>
      </c>
      <c r="V8" s="7">
        <f>+[4]Resumen!V8*1000</f>
        <v>216744.81355800002</v>
      </c>
      <c r="W8" s="7">
        <f>+[4]Resumen!W8*1000</f>
        <v>226892.85102900001</v>
      </c>
      <c r="X8" s="7">
        <f>+[4]Resumen!X8*1000</f>
        <v>249375.15755099998</v>
      </c>
      <c r="Y8" s="7">
        <f>+[4]Resumen!Y8*1000</f>
        <v>255986.43665400002</v>
      </c>
      <c r="Z8" s="7">
        <f>+[4]Resumen!Z8*1000</f>
        <v>236709.91480499998</v>
      </c>
      <c r="AA8" s="7">
        <f>+[4]Resumen!AA8*1000</f>
        <v>208461.501495</v>
      </c>
      <c r="AB8" s="7">
        <f>+[4]Resumen!AB8*1000</f>
        <v>177559.98694199999</v>
      </c>
      <c r="AC8" s="7">
        <f>+[4]Resumen!AC8*1000</f>
        <v>146761.71038100001</v>
      </c>
      <c r="AD8" s="5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+[4]Resumen!F9*1000</f>
        <v>121368.45006000002</v>
      </c>
      <c r="G9" s="7">
        <f>+[4]Resumen!G9*1000</f>
        <v>102682.386495</v>
      </c>
      <c r="H9" s="7">
        <f>+[4]Resumen!H9*1000</f>
        <v>90765.588887999998</v>
      </c>
      <c r="I9" s="7">
        <f>+[4]Resumen!I9*1000</f>
        <v>84468.25319399999</v>
      </c>
      <c r="J9" s="7">
        <f>+[4]Resumen!J9*1000</f>
        <v>86270.961347999997</v>
      </c>
      <c r="K9" s="7">
        <f>+[4]Resumen!K9*1000</f>
        <v>93413.192301000003</v>
      </c>
      <c r="L9" s="7">
        <f>+[4]Resumen!L9*1000</f>
        <v>105731.292537</v>
      </c>
      <c r="M9" s="7">
        <f>+[4]Resumen!M9*1000</f>
        <v>103235.719275</v>
      </c>
      <c r="N9" s="7">
        <f>+[4]Resumen!N9*1000</f>
        <v>126484.70035500001</v>
      </c>
      <c r="O9" s="7">
        <f>+[4]Resumen!O9*1000</f>
        <v>147987.63123300002</v>
      </c>
      <c r="P9" s="7">
        <f>+[4]Resumen!P9*1000</f>
        <v>164980.41077700001</v>
      </c>
      <c r="Q9" s="7">
        <f>+[4]Resumen!Q9*1000</f>
        <v>184782.25244700001</v>
      </c>
      <c r="R9" s="7">
        <f>+[4]Resumen!R9*1000</f>
        <v>197772.45157800001</v>
      </c>
      <c r="S9" s="7">
        <f>+[4]Resumen!S9*1000</f>
        <v>201105.60841799999</v>
      </c>
      <c r="T9" s="7">
        <f>+[4]Resumen!T9*1000</f>
        <v>195652.70910900002</v>
      </c>
      <c r="U9" s="7">
        <f>+[4]Resumen!U9*1000</f>
        <v>190483.770555</v>
      </c>
      <c r="V9" s="7">
        <f>+[4]Resumen!V9*1000</f>
        <v>185767.212501</v>
      </c>
      <c r="W9" s="7">
        <f>+[4]Resumen!W9*1000</f>
        <v>197909.63325900002</v>
      </c>
      <c r="X9" s="7">
        <f>+[4]Resumen!X9*1000</f>
        <v>221575.70483100001</v>
      </c>
      <c r="Y9" s="7">
        <f>+[4]Resumen!Y9*1000</f>
        <v>234675.00774900004</v>
      </c>
      <c r="Z9" s="7">
        <f>+[4]Resumen!Z9*1000</f>
        <v>220439.14752600002</v>
      </c>
      <c r="AA9" s="7">
        <f>+[4]Resumen!AA9*1000</f>
        <v>196128.66967199999</v>
      </c>
      <c r="AB9" s="7">
        <f>+[4]Resumen!AB9*1000</f>
        <v>163892.72788200001</v>
      </c>
      <c r="AC9" s="7">
        <f>+[4]Resumen!AC9*1000</f>
        <v>129850.203483</v>
      </c>
      <c r="AD9" s="5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+[4]Resumen!F10*1000</f>
        <v>114742.551924</v>
      </c>
      <c r="G10" s="7">
        <f>+[4]Resumen!G10*1000</f>
        <v>101406.28820400001</v>
      </c>
      <c r="H10" s="7">
        <f>+[4]Resumen!H10*1000</f>
        <v>88610.569397999992</v>
      </c>
      <c r="I10" s="7">
        <f>+[4]Resumen!I10*1000</f>
        <v>81121.087709999993</v>
      </c>
      <c r="J10" s="7">
        <f>+[4]Resumen!J10*1000</f>
        <v>80953.620345000003</v>
      </c>
      <c r="K10" s="7">
        <f>+[4]Resumen!K10*1000</f>
        <v>85683.48141600001</v>
      </c>
      <c r="L10" s="7">
        <f>+[4]Resumen!L10*1000</f>
        <v>88765.616861999995</v>
      </c>
      <c r="M10" s="7">
        <f>+[4]Resumen!M10*1000</f>
        <v>78441.969177000006</v>
      </c>
      <c r="N10" s="7">
        <f>+[4]Resumen!N10*1000</f>
        <v>95090.324823000003</v>
      </c>
      <c r="O10" s="7">
        <f>+[4]Resumen!O10*1000</f>
        <v>112645.761813</v>
      </c>
      <c r="P10" s="7">
        <f>+[4]Resumen!P10*1000</f>
        <v>131793.699375</v>
      </c>
      <c r="Q10" s="7">
        <f>+[4]Resumen!Q10*1000</f>
        <v>152475.522849</v>
      </c>
      <c r="R10" s="7">
        <f>+[4]Resumen!R10*1000</f>
        <v>167658.69381299999</v>
      </c>
      <c r="S10" s="7">
        <f>+[4]Resumen!S10*1000</f>
        <v>170473.890132</v>
      </c>
      <c r="T10" s="7">
        <f>+[4]Resumen!T10*1000</f>
        <v>166096.535202</v>
      </c>
      <c r="U10" s="7">
        <f>+[4]Resumen!U10*1000</f>
        <v>160846.908417</v>
      </c>
      <c r="V10" s="7">
        <f>+[4]Resumen!V10*1000</f>
        <v>157480.91178300002</v>
      </c>
      <c r="W10" s="7">
        <f>+[4]Resumen!W10*1000</f>
        <v>172193.40356399998</v>
      </c>
      <c r="X10" s="7">
        <f>+[4]Resumen!X10*1000</f>
        <v>202359.044394</v>
      </c>
      <c r="Y10" s="7">
        <f>+[4]Resumen!Y10*1000</f>
        <v>212863.25466899999</v>
      </c>
      <c r="Z10" s="7">
        <f>+[4]Resumen!Z10*1000</f>
        <v>198177.82346700001</v>
      </c>
      <c r="AA10" s="7">
        <f>+[4]Resumen!AA10*1000</f>
        <v>174837.08490300001</v>
      </c>
      <c r="AB10" s="7">
        <f>+[4]Resumen!AB10*1000</f>
        <v>146669.85333000001</v>
      </c>
      <c r="AC10" s="7">
        <f>+[4]Resumen!AC10*1000</f>
        <v>117924.27168600001</v>
      </c>
      <c r="AD10" s="59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+[4]Resumen!F11*1000</f>
        <v>138817.21616100002</v>
      </c>
      <c r="G11" s="7">
        <f>+[4]Resumen!G11*1000</f>
        <v>122107.86923400001</v>
      </c>
      <c r="H11" s="7">
        <f>+[4]Resumen!H11*1000</f>
        <v>113548.00766399999</v>
      </c>
      <c r="I11" s="7">
        <f>+[4]Resumen!I11*1000</f>
        <v>113229.26339399999</v>
      </c>
      <c r="J11" s="7">
        <f>+[4]Resumen!J11*1000</f>
        <v>133769.65410900002</v>
      </c>
      <c r="K11" s="7">
        <f>+[4]Resumen!K11*1000</f>
        <v>182819.56176899999</v>
      </c>
      <c r="L11" s="7">
        <f>+[4]Resumen!L11*1000</f>
        <v>223689.685401</v>
      </c>
      <c r="M11" s="7">
        <f>+[4]Resumen!M11*1000</f>
        <v>224632.25155800002</v>
      </c>
      <c r="N11" s="7">
        <f>+[4]Resumen!N11*1000</f>
        <v>250962.355098</v>
      </c>
      <c r="O11" s="7">
        <f>+[4]Resumen!O11*1000</f>
        <v>268772.53209300002</v>
      </c>
      <c r="P11" s="7">
        <f>+[4]Resumen!P11*1000</f>
        <v>293637.53320200002</v>
      </c>
      <c r="Q11" s="7">
        <f>+[4]Resumen!Q11*1000</f>
        <v>312723.11151900003</v>
      </c>
      <c r="R11" s="7">
        <f>+[4]Resumen!R11*1000</f>
        <v>314241.742035</v>
      </c>
      <c r="S11" s="7">
        <f>+[4]Resumen!S11*1000</f>
        <v>308769.55270200002</v>
      </c>
      <c r="T11" s="7">
        <f>+[4]Resumen!T11*1000</f>
        <v>312183.01682100003</v>
      </c>
      <c r="U11" s="7">
        <f>+[4]Resumen!U11*1000</f>
        <v>312201.95186700003</v>
      </c>
      <c r="V11" s="7">
        <f>+[4]Resumen!V11*1000</f>
        <v>301884.53361300001</v>
      </c>
      <c r="W11" s="7">
        <f>+[4]Resumen!W11*1000</f>
        <v>295386.05526300002</v>
      </c>
      <c r="X11" s="7">
        <f>+[4]Resumen!X11*1000</f>
        <v>304455.74749199999</v>
      </c>
      <c r="Y11" s="7">
        <f>+[4]Resumen!Y11*1000</f>
        <v>320375.27269800002</v>
      </c>
      <c r="Z11" s="7">
        <f>+[4]Resumen!Z11*1000</f>
        <v>298393.52411699999</v>
      </c>
      <c r="AA11" s="7">
        <f>+[4]Resumen!AA11*1000</f>
        <v>260799.62664599999</v>
      </c>
      <c r="AB11" s="7">
        <f>+[4]Resumen!AB11*1000</f>
        <v>210380.42165400001</v>
      </c>
      <c r="AC11" s="7">
        <f>+[4]Resumen!AC11*1000</f>
        <v>169816.068279</v>
      </c>
      <c r="AD11" s="57">
        <f t="shared" ref="AD11" si="0">SUM(F11:AC11)*E11+SUM(F12:AC12)*E12+SUM(F13:AC13)*E13+SUM(F14:AC14)*E14</f>
        <v>155121401.467188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+[4]Resumen!F12*1000</f>
        <v>148018.19397299999</v>
      </c>
      <c r="G12" s="7">
        <f>+[4]Resumen!G12*1000</f>
        <v>128972.90133000001</v>
      </c>
      <c r="H12" s="7">
        <f>+[4]Resumen!H12*1000</f>
        <v>117397.800351</v>
      </c>
      <c r="I12" s="7">
        <f>+[4]Resumen!I12*1000</f>
        <v>114255.69093899999</v>
      </c>
      <c r="J12" s="7">
        <f>+[4]Resumen!J12*1000</f>
        <v>124021.82403</v>
      </c>
      <c r="K12" s="7">
        <f>+[4]Resumen!K12*1000</f>
        <v>144939.06285300001</v>
      </c>
      <c r="L12" s="7">
        <f>+[4]Resumen!L12*1000</f>
        <v>179006.45302800002</v>
      </c>
      <c r="M12" s="7">
        <f>+[4]Resumen!M12*1000</f>
        <v>194126.72795100001</v>
      </c>
      <c r="N12" s="7">
        <f>+[4]Resumen!N12*1000</f>
        <v>230756.99435099997</v>
      </c>
      <c r="O12" s="7">
        <f>+[4]Resumen!O12*1000</f>
        <v>254802.03957000002</v>
      </c>
      <c r="P12" s="7">
        <f>+[4]Resumen!P12*1000</f>
        <v>277698.36732299998</v>
      </c>
      <c r="Q12" s="7">
        <f>+[4]Resumen!Q12*1000</f>
        <v>292820.13142200001</v>
      </c>
      <c r="R12" s="7">
        <f>+[4]Resumen!R12*1000</f>
        <v>294481.59729300003</v>
      </c>
      <c r="S12" s="7">
        <f>+[4]Resumen!S12*1000</f>
        <v>282046.75691400003</v>
      </c>
      <c r="T12" s="7">
        <f>+[4]Resumen!T12*1000</f>
        <v>270328.08032100002</v>
      </c>
      <c r="U12" s="7">
        <f>+[4]Resumen!U12*1000</f>
        <v>264585.34147500002</v>
      </c>
      <c r="V12" s="7">
        <f>+[4]Resumen!V12*1000</f>
        <v>257704.52151600001</v>
      </c>
      <c r="W12" s="7">
        <f>+[4]Resumen!W12*1000</f>
        <v>265092.22841400001</v>
      </c>
      <c r="X12" s="7">
        <f>+[4]Resumen!X12*1000</f>
        <v>281509.85701800004</v>
      </c>
      <c r="Y12" s="7">
        <f>+[4]Resumen!Y12*1000</f>
        <v>293979.83156099997</v>
      </c>
      <c r="Z12" s="7">
        <f>+[4]Resumen!Z12*1000</f>
        <v>272073.88377000001</v>
      </c>
      <c r="AA12" s="7">
        <f>+[4]Resumen!AA12*1000</f>
        <v>241538.62859100002</v>
      </c>
      <c r="AB12" s="7">
        <f>+[4]Resumen!AB12*1000</f>
        <v>207197.89236900001</v>
      </c>
      <c r="AC12" s="7">
        <f>+[4]Resumen!AC12*1000</f>
        <v>173539.887066</v>
      </c>
      <c r="AD12" s="5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+[4]Resumen!F13*1000</f>
        <v>147050.554248</v>
      </c>
      <c r="G13" s="7">
        <f>+[4]Resumen!G13*1000</f>
        <v>126859.67833500002</v>
      </c>
      <c r="H13" s="7">
        <f>+[4]Resumen!H13*1000</f>
        <v>114127.903188</v>
      </c>
      <c r="I13" s="7">
        <f>+[4]Resumen!I13*1000</f>
        <v>107686.026513</v>
      </c>
      <c r="J13" s="7">
        <f>+[4]Resumen!J13*1000</f>
        <v>109690.82537400001</v>
      </c>
      <c r="K13" s="7">
        <f>+[4]Resumen!K13*1000</f>
        <v>117994.02919199999</v>
      </c>
      <c r="L13" s="7">
        <f>+[4]Resumen!L13*1000</f>
        <v>133917.41153700001</v>
      </c>
      <c r="M13" s="7">
        <f>+[4]Resumen!M13*1000</f>
        <v>135243.96432299999</v>
      </c>
      <c r="N13" s="7">
        <f>+[4]Resumen!N13*1000</f>
        <v>164414.92649399998</v>
      </c>
      <c r="O13" s="7">
        <f>+[4]Resumen!O13*1000</f>
        <v>188429.707674</v>
      </c>
      <c r="P13" s="7">
        <f>+[4]Resumen!P13*1000</f>
        <v>208762.756605</v>
      </c>
      <c r="Q13" s="7">
        <f>+[4]Resumen!Q13*1000</f>
        <v>228762.16517700002</v>
      </c>
      <c r="R13" s="7">
        <f>+[4]Resumen!R13*1000</f>
        <v>241574.87530800002</v>
      </c>
      <c r="S13" s="7">
        <f>+[4]Resumen!S13*1000</f>
        <v>238934.85197400002</v>
      </c>
      <c r="T13" s="7">
        <f>+[4]Resumen!T13*1000</f>
        <v>228877.02220499999</v>
      </c>
      <c r="U13" s="7">
        <f>+[4]Resumen!U13*1000</f>
        <v>223864.706871</v>
      </c>
      <c r="V13" s="7">
        <f>+[4]Resumen!V13*1000</f>
        <v>218640.14499599999</v>
      </c>
      <c r="W13" s="7">
        <f>+[4]Resumen!W13*1000</f>
        <v>228015.00575099999</v>
      </c>
      <c r="X13" s="7">
        <f>+[4]Resumen!X13*1000</f>
        <v>248959.45666800003</v>
      </c>
      <c r="Y13" s="7">
        <f>+[4]Resumen!Y13*1000</f>
        <v>272540.23828200001</v>
      </c>
      <c r="Z13" s="7">
        <f>+[4]Resumen!Z13*1000</f>
        <v>259459.31629799999</v>
      </c>
      <c r="AA13" s="7">
        <f>+[4]Resumen!AA13*1000</f>
        <v>234422.73094500002</v>
      </c>
      <c r="AB13" s="7">
        <f>+[4]Resumen!AB13*1000</f>
        <v>195984.67847400001</v>
      </c>
      <c r="AC13" s="7">
        <f>+[4]Resumen!AC13*1000</f>
        <v>157259.92499100001</v>
      </c>
      <c r="AD13" s="5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+[4]Resumen!F14*1000</f>
        <v>0</v>
      </c>
      <c r="G14" s="7">
        <f>+[4]Resumen!G14*1000</f>
        <v>0</v>
      </c>
      <c r="H14" s="7">
        <f>+[4]Resumen!H14*1000</f>
        <v>0</v>
      </c>
      <c r="I14" s="7">
        <f>+[4]Resumen!I14*1000</f>
        <v>0</v>
      </c>
      <c r="J14" s="7">
        <f>+[4]Resumen!J14*1000</f>
        <v>0</v>
      </c>
      <c r="K14" s="7">
        <f>+[4]Resumen!K14*1000</f>
        <v>0</v>
      </c>
      <c r="L14" s="7">
        <f>+[4]Resumen!L14*1000</f>
        <v>0</v>
      </c>
      <c r="M14" s="7">
        <f>+[4]Resumen!M14*1000</f>
        <v>0</v>
      </c>
      <c r="N14" s="7">
        <f>+[4]Resumen!N14*1000</f>
        <v>0</v>
      </c>
      <c r="O14" s="7">
        <f>+[4]Resumen!O14*1000</f>
        <v>0</v>
      </c>
      <c r="P14" s="7">
        <f>+[4]Resumen!P14*1000</f>
        <v>0</v>
      </c>
      <c r="Q14" s="7">
        <f>+[4]Resumen!Q14*1000</f>
        <v>0</v>
      </c>
      <c r="R14" s="7">
        <f>+[4]Resumen!R14*1000</f>
        <v>0</v>
      </c>
      <c r="S14" s="7">
        <f>+[4]Resumen!S14*1000</f>
        <v>0</v>
      </c>
      <c r="T14" s="7">
        <f>+[4]Resumen!T14*1000</f>
        <v>0</v>
      </c>
      <c r="U14" s="7">
        <f>+[4]Resumen!U14*1000</f>
        <v>0</v>
      </c>
      <c r="V14" s="7">
        <f>+[4]Resumen!V14*1000</f>
        <v>0</v>
      </c>
      <c r="W14" s="7">
        <f>+[4]Resumen!W14*1000</f>
        <v>0</v>
      </c>
      <c r="X14" s="7">
        <f>+[4]Resumen!X14*1000</f>
        <v>0</v>
      </c>
      <c r="Y14" s="7">
        <f>+[4]Resumen!Y14*1000</f>
        <v>0</v>
      </c>
      <c r="Z14" s="7">
        <f>+[4]Resumen!Z14*1000</f>
        <v>0</v>
      </c>
      <c r="AA14" s="7">
        <f>+[4]Resumen!AA14*1000</f>
        <v>0</v>
      </c>
      <c r="AB14" s="7">
        <f>+[4]Resumen!AB14*1000</f>
        <v>0</v>
      </c>
      <c r="AC14" s="7">
        <f>+[4]Resumen!AC14*1000</f>
        <v>0</v>
      </c>
      <c r="AD14" s="59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19</v>
      </c>
      <c r="F15" s="7">
        <f>+[4]Resumen!F15*1000</f>
        <v>120918.433194</v>
      </c>
      <c r="G15" s="7">
        <f>+[4]Resumen!G15*1000</f>
        <v>104899.206789</v>
      </c>
      <c r="H15" s="7">
        <f>+[4]Resumen!H15*1000</f>
        <v>96426.535607999991</v>
      </c>
      <c r="I15" s="7">
        <f>+[4]Resumen!I15*1000</f>
        <v>95725.735443000012</v>
      </c>
      <c r="J15" s="7">
        <f>+[4]Resumen!J15*1000</f>
        <v>111698.73245699999</v>
      </c>
      <c r="K15" s="7">
        <f>+[4]Resumen!K15*1000</f>
        <v>152362.80867600002</v>
      </c>
      <c r="L15" s="7">
        <f>+[4]Resumen!L15*1000</f>
        <v>187624.496358</v>
      </c>
      <c r="M15" s="7">
        <f>+[4]Resumen!M15*1000</f>
        <v>191818.751904</v>
      </c>
      <c r="N15" s="7">
        <f>+[4]Resumen!N15*1000</f>
        <v>215924.13472500001</v>
      </c>
      <c r="O15" s="7">
        <f>+[4]Resumen!O15*1000</f>
        <v>231899.77675800002</v>
      </c>
      <c r="P15" s="7">
        <f>+[4]Resumen!P15*1000</f>
        <v>253372.041</v>
      </c>
      <c r="Q15" s="7">
        <f>+[4]Resumen!Q15*1000</f>
        <v>270504.62559900002</v>
      </c>
      <c r="R15" s="7">
        <f>+[4]Resumen!R15*1000</f>
        <v>272532.30322499998</v>
      </c>
      <c r="S15" s="7">
        <f>+[4]Resumen!S15*1000</f>
        <v>267652.34706600005</v>
      </c>
      <c r="T15" s="7">
        <f>+[4]Resumen!T15*1000</f>
        <v>270310.67774100002</v>
      </c>
      <c r="U15" s="7">
        <f>+[4]Resumen!U15*1000</f>
        <v>270508.16239199997</v>
      </c>
      <c r="V15" s="7">
        <f>+[4]Resumen!V15*1000</f>
        <v>261654.09332400002</v>
      </c>
      <c r="W15" s="7">
        <f>+[4]Resumen!W15*1000</f>
        <v>257183.05450499998</v>
      </c>
      <c r="X15" s="7">
        <f>+[4]Resumen!X15*1000</f>
        <v>265312.34940599999</v>
      </c>
      <c r="Y15" s="7">
        <f>+[4]Resumen!Y15*1000</f>
        <v>278827.180047</v>
      </c>
      <c r="Z15" s="7">
        <f>+[4]Resumen!Z15*1000</f>
        <v>259986.12096600005</v>
      </c>
      <c r="AA15" s="7">
        <f>+[4]Resumen!AA15*1000</f>
        <v>228763.455219</v>
      </c>
      <c r="AB15" s="7">
        <f>+[4]Resumen!AB15*1000</f>
        <v>187345.40572800001</v>
      </c>
      <c r="AC15" s="7">
        <f>+[4]Resumen!AC15*1000</f>
        <v>152042.41072800002</v>
      </c>
      <c r="AD15" s="57">
        <f t="shared" ref="AD15" si="1">SUM(F15:AC15)*E15+SUM(F16:AC16)*E16+SUM(F17:AC17)*E17+SUM(F18:AC18)*E18</f>
        <v>143151749.090532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5</v>
      </c>
      <c r="F16" s="7">
        <f>+[4]Resumen!F16*1000</f>
        <v>125124.25149900001</v>
      </c>
      <c r="G16" s="7">
        <f>+[4]Resumen!G16*1000</f>
        <v>107150.39068500001</v>
      </c>
      <c r="H16" s="7">
        <f>+[4]Resumen!H16*1000</f>
        <v>96965.006931000011</v>
      </c>
      <c r="I16" s="7">
        <f>+[4]Resumen!I16*1000</f>
        <v>93524.248467000012</v>
      </c>
      <c r="J16" s="7">
        <f>+[4]Resumen!J16*1000</f>
        <v>101136.89453399999</v>
      </c>
      <c r="K16" s="7">
        <f>+[4]Resumen!K16*1000</f>
        <v>116882.18181899999</v>
      </c>
      <c r="L16" s="7">
        <f>+[4]Resumen!L16*1000</f>
        <v>144026.942553</v>
      </c>
      <c r="M16" s="7">
        <f>+[4]Resumen!M16*1000</f>
        <v>156394.93884299998</v>
      </c>
      <c r="N16" s="7">
        <f>+[4]Resumen!N16*1000</f>
        <v>187986.18430800003</v>
      </c>
      <c r="O16" s="7">
        <f>+[4]Resumen!O16*1000</f>
        <v>208690.799967</v>
      </c>
      <c r="P16" s="7">
        <f>+[4]Resumen!P16*1000</f>
        <v>229104.83150099998</v>
      </c>
      <c r="Q16" s="7">
        <f>+[4]Resumen!Q16*1000</f>
        <v>242624.25088199999</v>
      </c>
      <c r="R16" s="7">
        <f>+[4]Resumen!R16*1000</f>
        <v>244317.35308500001</v>
      </c>
      <c r="S16" s="7">
        <f>+[4]Resumen!S16*1000</f>
        <v>234943.99449300003</v>
      </c>
      <c r="T16" s="7">
        <f>+[4]Resumen!T16*1000</f>
        <v>226993.96348199999</v>
      </c>
      <c r="U16" s="7">
        <f>+[4]Resumen!U16*1000</f>
        <v>221958.18496799999</v>
      </c>
      <c r="V16" s="7">
        <f>+[4]Resumen!V16*1000</f>
        <v>216397.164555</v>
      </c>
      <c r="W16" s="7">
        <f>+[4]Resumen!W16*1000</f>
        <v>227194.27064100001</v>
      </c>
      <c r="X16" s="7">
        <f>+[4]Resumen!X16*1000</f>
        <v>243111.84346800004</v>
      </c>
      <c r="Y16" s="7">
        <f>+[4]Resumen!Y16*1000</f>
        <v>251219.58860699998</v>
      </c>
      <c r="Z16" s="7">
        <f>+[4]Resumen!Z16*1000</f>
        <v>232140.620673</v>
      </c>
      <c r="AA16" s="7">
        <f>+[4]Resumen!AA16*1000</f>
        <v>206373.191895</v>
      </c>
      <c r="AB16" s="7">
        <f>+[4]Resumen!AB16*1000</f>
        <v>177130.918107</v>
      </c>
      <c r="AC16" s="7">
        <f>+[4]Resumen!AC16*1000</f>
        <v>147673.332846</v>
      </c>
      <c r="AD16" s="5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+[4]Resumen!F17*1000</f>
        <v>123782.76366299999</v>
      </c>
      <c r="G17" s="7">
        <f>+[4]Resumen!G17*1000</f>
        <v>106068.240252</v>
      </c>
      <c r="H17" s="7">
        <f>+[4]Resumen!H17*1000</f>
        <v>94460.312466000003</v>
      </c>
      <c r="I17" s="7">
        <f>+[4]Resumen!I17*1000</f>
        <v>88632.599679000006</v>
      </c>
      <c r="J17" s="7">
        <f>+[4]Resumen!J17*1000</f>
        <v>90551.537154000005</v>
      </c>
      <c r="K17" s="7">
        <f>+[4]Resumen!K17*1000</f>
        <v>97231.179824999999</v>
      </c>
      <c r="L17" s="7">
        <f>+[4]Resumen!L17*1000</f>
        <v>108847.18552500001</v>
      </c>
      <c r="M17" s="7">
        <f>+[4]Resumen!M17*1000</f>
        <v>110708.86331700001</v>
      </c>
      <c r="N17" s="7">
        <f>+[4]Resumen!N17*1000</f>
        <v>135878.53511699999</v>
      </c>
      <c r="O17" s="7">
        <f>+[4]Resumen!O17*1000</f>
        <v>156850.47085500002</v>
      </c>
      <c r="P17" s="7">
        <f>+[4]Resumen!P17*1000</f>
        <v>171808.655031</v>
      </c>
      <c r="Q17" s="7">
        <f>+[4]Resumen!Q17*1000</f>
        <v>187729.89885</v>
      </c>
      <c r="R17" s="7">
        <f>+[4]Resumen!R17*1000</f>
        <v>198372.083013</v>
      </c>
      <c r="S17" s="7">
        <f>+[4]Resumen!S17*1000</f>
        <v>197616.27424500001</v>
      </c>
      <c r="T17" s="7">
        <f>+[4]Resumen!T17*1000</f>
        <v>190900.17273600001</v>
      </c>
      <c r="U17" s="7">
        <f>+[4]Resumen!U17*1000</f>
        <v>185213.33859599999</v>
      </c>
      <c r="V17" s="7">
        <f>+[4]Resumen!V17*1000</f>
        <v>181245.40749899999</v>
      </c>
      <c r="W17" s="7">
        <f>+[4]Resumen!W17*1000</f>
        <v>192733.374366</v>
      </c>
      <c r="X17" s="7">
        <f>+[4]Resumen!X17*1000</f>
        <v>212238.84403799998</v>
      </c>
      <c r="Y17" s="7">
        <f>+[4]Resumen!Y17*1000</f>
        <v>229244.76209700003</v>
      </c>
      <c r="Z17" s="7">
        <f>+[4]Resumen!Z17*1000</f>
        <v>216760.94341200002</v>
      </c>
      <c r="AA17" s="7">
        <f>+[4]Resumen!AA17*1000</f>
        <v>195130.15984800001</v>
      </c>
      <c r="AB17" s="7">
        <f>+[4]Resumen!AB17*1000</f>
        <v>163570.48578000002</v>
      </c>
      <c r="AC17" s="7">
        <f>+[4]Resumen!AC17*1000</f>
        <v>130018.28123700003</v>
      </c>
      <c r="AD17" s="5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3</v>
      </c>
      <c r="F18" s="7">
        <f>+[4]Resumen!F18*1000</f>
        <v>114783.49127700001</v>
      </c>
      <c r="G18" s="7">
        <f>+[4]Resumen!G18*1000</f>
        <v>97240.716612000004</v>
      </c>
      <c r="H18" s="7">
        <f>+[4]Resumen!H18*1000</f>
        <v>87406.618220999997</v>
      </c>
      <c r="I18" s="7">
        <f>+[4]Resumen!I18*1000</f>
        <v>82145.129975999997</v>
      </c>
      <c r="J18" s="7">
        <f>+[4]Resumen!J18*1000</f>
        <v>85645.269333000004</v>
      </c>
      <c r="K18" s="7">
        <f>+[4]Resumen!K18*1000</f>
        <v>93977.797796999992</v>
      </c>
      <c r="L18" s="7">
        <f>+[4]Resumen!L18*1000</f>
        <v>106686.793746</v>
      </c>
      <c r="M18" s="7">
        <f>+[4]Resumen!M18*1000</f>
        <v>110216.46121199999</v>
      </c>
      <c r="N18" s="7">
        <f>+[4]Resumen!N18*1000</f>
        <v>135012.70048500001</v>
      </c>
      <c r="O18" s="7">
        <f>+[4]Resumen!O18*1000</f>
        <v>149485.85051399999</v>
      </c>
      <c r="P18" s="7">
        <f>+[4]Resumen!P18*1000</f>
        <v>160427.354724</v>
      </c>
      <c r="Q18" s="7">
        <f>+[4]Resumen!Q18*1000</f>
        <v>177930.302589</v>
      </c>
      <c r="R18" s="7">
        <f>+[4]Resumen!R18*1000</f>
        <v>190950.03848700001</v>
      </c>
      <c r="S18" s="7">
        <f>+[4]Resumen!S18*1000</f>
        <v>189689.01810300001</v>
      </c>
      <c r="T18" s="7">
        <f>+[4]Resumen!T18*1000</f>
        <v>182773.605105</v>
      </c>
      <c r="U18" s="7">
        <f>+[4]Resumen!U18*1000</f>
        <v>179596.673217</v>
      </c>
      <c r="V18" s="7">
        <f>+[4]Resumen!V18*1000</f>
        <v>175892.95830600001</v>
      </c>
      <c r="W18" s="7">
        <f>+[4]Resumen!W18*1000</f>
        <v>189213.213384</v>
      </c>
      <c r="X18" s="7">
        <f>+[4]Resumen!X18*1000</f>
        <v>206102.702988</v>
      </c>
      <c r="Y18" s="7">
        <f>+[4]Resumen!Y18*1000</f>
        <v>216015.52857299999</v>
      </c>
      <c r="Z18" s="7">
        <f>+[4]Resumen!Z18*1000</f>
        <v>198586.55033100001</v>
      </c>
      <c r="AA18" s="7">
        <f>+[4]Resumen!AA18*1000</f>
        <v>179783.114589</v>
      </c>
      <c r="AB18" s="7">
        <f>+[4]Resumen!AB18*1000</f>
        <v>156704.17230000001</v>
      </c>
      <c r="AC18" s="7">
        <f>+[4]Resumen!AC18*1000</f>
        <v>131560.916058</v>
      </c>
      <c r="AD18" s="59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21</v>
      </c>
      <c r="F19" s="7">
        <f>+[4]Resumen!F19*1000</f>
        <v>118751.10635700001</v>
      </c>
      <c r="G19" s="7">
        <f>+[4]Resumen!G19*1000</f>
        <v>103631.35091400001</v>
      </c>
      <c r="H19" s="7">
        <f>+[4]Resumen!H19*1000</f>
        <v>95827.588155000005</v>
      </c>
      <c r="I19" s="7">
        <f>+[4]Resumen!I19*1000</f>
        <v>95956.042572000006</v>
      </c>
      <c r="J19" s="7">
        <f>+[4]Resumen!J19*1000</f>
        <v>114703.78140000001</v>
      </c>
      <c r="K19" s="7">
        <f>+[4]Resumen!K19*1000</f>
        <v>158369.39141399998</v>
      </c>
      <c r="L19" s="7">
        <f>+[4]Resumen!L19*1000</f>
        <v>195225.37620299999</v>
      </c>
      <c r="M19" s="7">
        <f>+[4]Resumen!M19*1000</f>
        <v>199311.10804799999</v>
      </c>
      <c r="N19" s="7">
        <f>+[4]Resumen!N19*1000</f>
        <v>222319.90322099999</v>
      </c>
      <c r="O19" s="7">
        <f>+[4]Resumen!O19*1000</f>
        <v>238442.41090800002</v>
      </c>
      <c r="P19" s="7">
        <f>+[4]Resumen!P19*1000</f>
        <v>260391.49285499996</v>
      </c>
      <c r="Q19" s="7">
        <f>+[4]Resumen!Q19*1000</f>
        <v>278047.76524199999</v>
      </c>
      <c r="R19" s="7">
        <f>+[4]Resumen!R19*1000</f>
        <v>279670.12292699999</v>
      </c>
      <c r="S19" s="7">
        <f>+[4]Resumen!S19*1000</f>
        <v>274284.78632100002</v>
      </c>
      <c r="T19" s="7">
        <f>+[4]Resumen!T19*1000</f>
        <v>276927.42437099997</v>
      </c>
      <c r="U19" s="7">
        <f>+[4]Resumen!U19*1000</f>
        <v>276052.226112</v>
      </c>
      <c r="V19" s="7">
        <f>+[4]Resumen!V19*1000</f>
        <v>265743.60438599996</v>
      </c>
      <c r="W19" s="7">
        <f>+[4]Resumen!W19*1000</f>
        <v>265022.19818100001</v>
      </c>
      <c r="X19" s="7">
        <f>+[4]Resumen!X19*1000</f>
        <v>279327.97608300002</v>
      </c>
      <c r="Y19" s="7">
        <f>+[4]Resumen!Y19*1000</f>
        <v>287707.38761699997</v>
      </c>
      <c r="Z19" s="7">
        <f>+[4]Resumen!Z19*1000</f>
        <v>266215.08876299998</v>
      </c>
      <c r="AA19" s="7">
        <f>+[4]Resumen!AA19*1000</f>
        <v>232834.68491400001</v>
      </c>
      <c r="AB19" s="7">
        <f>+[4]Resumen!AB19*1000</f>
        <v>186237.99558000002</v>
      </c>
      <c r="AC19" s="7">
        <f>+[4]Resumen!AC19*1000</f>
        <v>149225.62133700002</v>
      </c>
      <c r="AD19" s="57">
        <f t="shared" ref="AD19" si="2">SUM(F19:AC19)*E19+SUM(F20:AC20)*E20+SUM(F21:AC21)*E21+SUM(F22:AC22)*E22</f>
        <v>146075740.53883201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+[4]Resumen!F20*1000</f>
        <v>126780.280146</v>
      </c>
      <c r="G20" s="7">
        <f>+[4]Resumen!G20*1000</f>
        <v>111022.217982</v>
      </c>
      <c r="H20" s="7">
        <f>+[4]Resumen!H20*1000</f>
        <v>99123.571872</v>
      </c>
      <c r="I20" s="7">
        <f>+[4]Resumen!I20*1000</f>
        <v>96061.042467000007</v>
      </c>
      <c r="J20" s="7">
        <f>+[4]Resumen!J20*1000</f>
        <v>106021.77276600001</v>
      </c>
      <c r="K20" s="7">
        <f>+[4]Resumen!K20*1000</f>
        <v>123839.85018600001</v>
      </c>
      <c r="L20" s="7">
        <f>+[4]Resumen!L20*1000</f>
        <v>156392.9172</v>
      </c>
      <c r="M20" s="7">
        <f>+[4]Resumen!M20*1000</f>
        <v>174232.081179</v>
      </c>
      <c r="N20" s="7">
        <f>+[4]Resumen!N20*1000</f>
        <v>207039.62845800002</v>
      </c>
      <c r="O20" s="7">
        <f>+[4]Resumen!O20*1000</f>
        <v>229393.07363700002</v>
      </c>
      <c r="P20" s="7">
        <f>+[4]Resumen!P20*1000</f>
        <v>249385.68567900002</v>
      </c>
      <c r="Q20" s="7">
        <f>+[4]Resumen!Q20*1000</f>
        <v>264367.92177900003</v>
      </c>
      <c r="R20" s="7">
        <f>+[4]Resumen!R20*1000</f>
        <v>267054.75891899999</v>
      </c>
      <c r="S20" s="7">
        <f>+[4]Resumen!S20*1000</f>
        <v>254804.15212200003</v>
      </c>
      <c r="T20" s="7">
        <f>+[4]Resumen!T20*1000</f>
        <v>244445.93304300003</v>
      </c>
      <c r="U20" s="7">
        <f>+[4]Resumen!U20*1000</f>
        <v>237334.19123700002</v>
      </c>
      <c r="V20" s="7">
        <f>+[4]Resumen!V20*1000</f>
        <v>230685.31909800001</v>
      </c>
      <c r="W20" s="7">
        <f>+[4]Resumen!W20*1000</f>
        <v>242437.54111200001</v>
      </c>
      <c r="X20" s="7">
        <f>+[4]Resumen!X20*1000</f>
        <v>261370.53516600002</v>
      </c>
      <c r="Y20" s="7">
        <f>+[4]Resumen!Y20*1000</f>
        <v>265497.453117</v>
      </c>
      <c r="Z20" s="7">
        <f>+[4]Resumen!Z20*1000</f>
        <v>243950.55691499999</v>
      </c>
      <c r="AA20" s="7">
        <f>+[4]Resumen!AA20*1000</f>
        <v>215511.88838400002</v>
      </c>
      <c r="AB20" s="7">
        <f>+[4]Resumen!AB20*1000</f>
        <v>182190.37192199999</v>
      </c>
      <c r="AC20" s="7">
        <f>+[4]Resumen!AC20*1000</f>
        <v>149548.32231299998</v>
      </c>
      <c r="AD20" s="5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5</v>
      </c>
      <c r="F21" s="7">
        <f>+[4]Resumen!F21*1000</f>
        <v>125800.92614700001</v>
      </c>
      <c r="G21" s="7">
        <f>+[4]Resumen!G21*1000</f>
        <v>107234.48151</v>
      </c>
      <c r="H21" s="7">
        <f>+[4]Resumen!H21*1000</f>
        <v>95483.488931999993</v>
      </c>
      <c r="I21" s="7">
        <f>+[4]Resumen!I21*1000</f>
        <v>89575.113888000007</v>
      </c>
      <c r="J21" s="7">
        <f>+[4]Resumen!J21*1000</f>
        <v>91310.644619999992</v>
      </c>
      <c r="K21" s="7">
        <f>+[4]Resumen!K21*1000</f>
        <v>97464.534570000003</v>
      </c>
      <c r="L21" s="7">
        <f>+[4]Resumen!L21*1000</f>
        <v>111669.28227</v>
      </c>
      <c r="M21" s="7">
        <f>+[4]Resumen!M21*1000</f>
        <v>114791.80295700001</v>
      </c>
      <c r="N21" s="7">
        <f>+[4]Resumen!N21*1000</f>
        <v>141187.69863899998</v>
      </c>
      <c r="O21" s="7">
        <f>+[4]Resumen!O21*1000</f>
        <v>162657.261585</v>
      </c>
      <c r="P21" s="7">
        <f>+[4]Resumen!P21*1000</f>
        <v>180682.014123</v>
      </c>
      <c r="Q21" s="7">
        <f>+[4]Resumen!Q21*1000</f>
        <v>199224.225018</v>
      </c>
      <c r="R21" s="7">
        <f>+[4]Resumen!R21*1000</f>
        <v>209788.66467</v>
      </c>
      <c r="S21" s="7">
        <f>+[4]Resumen!S21*1000</f>
        <v>209181.61332900001</v>
      </c>
      <c r="T21" s="7">
        <f>+[4]Resumen!T21*1000</f>
        <v>200580.80807699999</v>
      </c>
      <c r="U21" s="7">
        <f>+[4]Resumen!U21*1000</f>
        <v>195006.30282899999</v>
      </c>
      <c r="V21" s="7">
        <f>+[4]Resumen!V21*1000</f>
        <v>189870.01359299998</v>
      </c>
      <c r="W21" s="7">
        <f>+[4]Resumen!W21*1000</f>
        <v>202481.10487800001</v>
      </c>
      <c r="X21" s="7">
        <f>+[4]Resumen!X21*1000</f>
        <v>227751.70298399997</v>
      </c>
      <c r="Y21" s="7">
        <f>+[4]Resumen!Y21*1000</f>
        <v>240131.78151299999</v>
      </c>
      <c r="Z21" s="7">
        <f>+[4]Resumen!Z21*1000</f>
        <v>226560.41846100002</v>
      </c>
      <c r="AA21" s="7">
        <f>+[4]Resumen!AA21*1000</f>
        <v>201733.43895900002</v>
      </c>
      <c r="AB21" s="7">
        <f>+[4]Resumen!AB21*1000</f>
        <v>167880.65463</v>
      </c>
      <c r="AC21" s="7">
        <f>+[4]Resumen!AC21*1000</f>
        <v>131356.253925</v>
      </c>
      <c r="AD21" s="5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0</v>
      </c>
      <c r="F22" s="7">
        <f>+[4]Resumen!F22*1000</f>
        <v>0</v>
      </c>
      <c r="G22" s="7">
        <f>+[4]Resumen!G22*1000</f>
        <v>0</v>
      </c>
      <c r="H22" s="7">
        <f>+[4]Resumen!H22*1000</f>
        <v>0</v>
      </c>
      <c r="I22" s="7">
        <f>+[4]Resumen!I22*1000</f>
        <v>0</v>
      </c>
      <c r="J22" s="7">
        <f>+[4]Resumen!J22*1000</f>
        <v>0</v>
      </c>
      <c r="K22" s="7">
        <f>+[4]Resumen!K22*1000</f>
        <v>0</v>
      </c>
      <c r="L22" s="7">
        <f>+[4]Resumen!L22*1000</f>
        <v>0</v>
      </c>
      <c r="M22" s="7">
        <f>+[4]Resumen!M22*1000</f>
        <v>0</v>
      </c>
      <c r="N22" s="7">
        <f>+[4]Resumen!N22*1000</f>
        <v>0</v>
      </c>
      <c r="O22" s="7">
        <f>+[4]Resumen!O22*1000</f>
        <v>0</v>
      </c>
      <c r="P22" s="7">
        <f>+[4]Resumen!P22*1000</f>
        <v>0</v>
      </c>
      <c r="Q22" s="7">
        <f>+[4]Resumen!Q22*1000</f>
        <v>0</v>
      </c>
      <c r="R22" s="7">
        <f>+[4]Resumen!R22*1000</f>
        <v>0</v>
      </c>
      <c r="S22" s="7">
        <f>+[4]Resumen!S22*1000</f>
        <v>0</v>
      </c>
      <c r="T22" s="7">
        <f>+[4]Resumen!T22*1000</f>
        <v>0</v>
      </c>
      <c r="U22" s="7">
        <f>+[4]Resumen!U22*1000</f>
        <v>0</v>
      </c>
      <c r="V22" s="7">
        <f>+[4]Resumen!V22*1000</f>
        <v>0</v>
      </c>
      <c r="W22" s="7">
        <f>+[4]Resumen!W22*1000</f>
        <v>0</v>
      </c>
      <c r="X22" s="7">
        <f>+[4]Resumen!X22*1000</f>
        <v>0</v>
      </c>
      <c r="Y22" s="7">
        <f>+[4]Resumen!Y22*1000</f>
        <v>0</v>
      </c>
      <c r="Z22" s="7">
        <f>+[4]Resumen!Z22*1000</f>
        <v>0</v>
      </c>
      <c r="AA22" s="7">
        <f>+[4]Resumen!AA22*1000</f>
        <v>0</v>
      </c>
      <c r="AB22" s="7">
        <f>+[4]Resumen!AB22*1000</f>
        <v>0</v>
      </c>
      <c r="AC22" s="7">
        <f>+[4]Resumen!AC22*1000</f>
        <v>0</v>
      </c>
      <c r="AD22" s="59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21</v>
      </c>
      <c r="F23" s="7">
        <f>+[4]Resumen!F23*1000</f>
        <v>105718.30986600001</v>
      </c>
      <c r="G23" s="7">
        <f>+[4]Resumen!G23*1000</f>
        <v>88234.695315000004</v>
      </c>
      <c r="H23" s="7">
        <f>+[4]Resumen!H23*1000</f>
        <v>79095.73042800001</v>
      </c>
      <c r="I23" s="7">
        <f>+[4]Resumen!I23*1000</f>
        <v>77343.888024</v>
      </c>
      <c r="J23" s="7">
        <f>+[4]Resumen!J23*1000</f>
        <v>86237.147529000009</v>
      </c>
      <c r="K23" s="7">
        <f>+[4]Resumen!K23*1000</f>
        <v>100868.12424</v>
      </c>
      <c r="L23" s="7">
        <f>+[4]Resumen!L23*1000</f>
        <v>134875.198458</v>
      </c>
      <c r="M23" s="7">
        <f>+[4]Resumen!M23*1000</f>
        <v>154413.73303200002</v>
      </c>
      <c r="N23" s="7">
        <f>+[4]Resumen!N23*1000</f>
        <v>188624.74211100003</v>
      </c>
      <c r="O23" s="7">
        <f>+[4]Resumen!O23*1000</f>
        <v>211374.018063</v>
      </c>
      <c r="P23" s="7">
        <f>+[4]Resumen!P23*1000</f>
        <v>231171.27099300001</v>
      </c>
      <c r="Q23" s="7">
        <f>+[4]Resumen!Q23*1000</f>
        <v>251626.06439100002</v>
      </c>
      <c r="R23" s="7">
        <f>+[4]Resumen!R23*1000</f>
        <v>263610.97015499999</v>
      </c>
      <c r="S23" s="7">
        <f>+[4]Resumen!S23*1000</f>
        <v>252983.55653999999</v>
      </c>
      <c r="T23" s="7">
        <f>+[4]Resumen!T23*1000</f>
        <v>241375.64607000002</v>
      </c>
      <c r="U23" s="7">
        <f>+[4]Resumen!U23*1000</f>
        <v>232695.00539999999</v>
      </c>
      <c r="V23" s="7">
        <f>+[4]Resumen!V23*1000</f>
        <v>223035.136272</v>
      </c>
      <c r="W23" s="7">
        <f>+[4]Resumen!W23*1000</f>
        <v>230977.58287499999</v>
      </c>
      <c r="X23" s="7">
        <f>+[4]Resumen!X23*1000</f>
        <v>252456.57005400001</v>
      </c>
      <c r="Y23" s="7">
        <f>+[4]Resumen!Y23*1000</f>
        <v>263615.35543200001</v>
      </c>
      <c r="Z23" s="7">
        <f>+[4]Resumen!Z23*1000</f>
        <v>241035.43861800001</v>
      </c>
      <c r="AA23" s="7">
        <f>+[4]Resumen!AA23*1000</f>
        <v>208347.674769</v>
      </c>
      <c r="AB23" s="7">
        <f>+[4]Resumen!AB23*1000</f>
        <v>167005.447713</v>
      </c>
      <c r="AC23" s="7">
        <f>+[4]Resumen!AC23*1000</f>
        <v>129854.76191999999</v>
      </c>
      <c r="AD23" s="57">
        <f t="shared" ref="AD23" si="3">SUM(F23:AC23)*E23+SUM(F24:AC24)*E24+SUM(F25:AC25)*E25+SUM(F26:AC26)*E26</f>
        <v>141732458.83017001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+[4]Resumen!F24*1000</f>
        <v>90604.177793999988</v>
      </c>
      <c r="G24" s="7">
        <f>+[4]Resumen!G24*1000</f>
        <v>77004.230355000007</v>
      </c>
      <c r="H24" s="7">
        <f>+[4]Resumen!H24*1000</f>
        <v>69460.766036999994</v>
      </c>
      <c r="I24" s="7">
        <f>+[4]Resumen!I24*1000</f>
        <v>70436.847311999998</v>
      </c>
      <c r="J24" s="7">
        <f>+[4]Resumen!J24*1000</f>
        <v>88570.980693000005</v>
      </c>
      <c r="K24" s="7">
        <f>+[4]Resumen!K24*1000</f>
        <v>115658.17871399999</v>
      </c>
      <c r="L24" s="7">
        <f>+[4]Resumen!L24*1000</f>
        <v>163728.83194199999</v>
      </c>
      <c r="M24" s="7">
        <f>+[4]Resumen!M24*1000</f>
        <v>186429.791925</v>
      </c>
      <c r="N24" s="7">
        <f>+[4]Resumen!N24*1000</f>
        <v>217261.91260800001</v>
      </c>
      <c r="O24" s="7">
        <f>+[4]Resumen!O24*1000</f>
        <v>237129.79317300001</v>
      </c>
      <c r="P24" s="7">
        <f>+[4]Resumen!P24*1000</f>
        <v>258579.16566299996</v>
      </c>
      <c r="Q24" s="7">
        <f>+[4]Resumen!Q24*1000</f>
        <v>282142.1421</v>
      </c>
      <c r="R24" s="7">
        <f>+[4]Resumen!R24*1000</f>
        <v>293651.15656500001</v>
      </c>
      <c r="S24" s="7">
        <f>+[4]Resumen!S24*1000</f>
        <v>281719.32001200004</v>
      </c>
      <c r="T24" s="7">
        <f>+[4]Resumen!T24*1000</f>
        <v>277667.24614200002</v>
      </c>
      <c r="U24" s="7">
        <f>+[4]Resumen!U24*1000</f>
        <v>273165.68354399997</v>
      </c>
      <c r="V24" s="7">
        <f>+[4]Resumen!V24*1000</f>
        <v>261791.10617399999</v>
      </c>
      <c r="W24" s="7">
        <f>+[4]Resumen!W24*1000</f>
        <v>260145.06885899999</v>
      </c>
      <c r="X24" s="7">
        <f>+[4]Resumen!X24*1000</f>
        <v>280009.78492499999</v>
      </c>
      <c r="Y24" s="7">
        <f>+[4]Resumen!Y24*1000</f>
        <v>296333.21448900003</v>
      </c>
      <c r="Z24" s="7">
        <f>+[4]Resumen!Z24*1000</f>
        <v>268663.15125</v>
      </c>
      <c r="AA24" s="7">
        <f>+[4]Resumen!AA24*1000</f>
        <v>228627.308169</v>
      </c>
      <c r="AB24" s="7">
        <f>+[4]Resumen!AB24*1000</f>
        <v>175074.49159200001</v>
      </c>
      <c r="AC24" s="7">
        <f>+[4]Resumen!AC24*1000</f>
        <v>127713.01514399999</v>
      </c>
      <c r="AD24" s="5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+[4]Resumen!F25*1000</f>
        <v>98854.360019999993</v>
      </c>
      <c r="G25" s="7">
        <f>+[4]Resumen!G25*1000</f>
        <v>83372.120091000004</v>
      </c>
      <c r="H25" s="7">
        <f>+[4]Resumen!H25*1000</f>
        <v>75768.824664</v>
      </c>
      <c r="I25" s="7">
        <f>+[4]Resumen!I25*1000</f>
        <v>77124.351446999994</v>
      </c>
      <c r="J25" s="7">
        <f>+[4]Resumen!J25*1000</f>
        <v>96702.652215000009</v>
      </c>
      <c r="K25" s="7">
        <f>+[4]Resumen!K25*1000</f>
        <v>125804.82657600001</v>
      </c>
      <c r="L25" s="7">
        <f>+[4]Resumen!L25*1000</f>
        <v>176072.89319099998</v>
      </c>
      <c r="M25" s="7">
        <f>+[4]Resumen!M25*1000</f>
        <v>199821.397581</v>
      </c>
      <c r="N25" s="7">
        <f>+[4]Resumen!N25*1000</f>
        <v>231454.17547200003</v>
      </c>
      <c r="O25" s="7">
        <f>+[4]Resumen!O25*1000</f>
        <v>250267.005144</v>
      </c>
      <c r="P25" s="7">
        <f>+[4]Resumen!P25*1000</f>
        <v>271890.31252500002</v>
      </c>
      <c r="Q25" s="7">
        <f>+[4]Resumen!Q25*1000</f>
        <v>294459.99991200003</v>
      </c>
      <c r="R25" s="7">
        <f>+[4]Resumen!R25*1000</f>
        <v>305143.348536</v>
      </c>
      <c r="S25" s="7">
        <f>+[4]Resumen!S25*1000</f>
        <v>293962.49824500002</v>
      </c>
      <c r="T25" s="7">
        <f>+[4]Resumen!T25*1000</f>
        <v>286384.82183999999</v>
      </c>
      <c r="U25" s="7">
        <f>+[4]Resumen!U25*1000</f>
        <v>280795.69755899999</v>
      </c>
      <c r="V25" s="7">
        <f>+[4]Resumen!V25*1000</f>
        <v>268188.78808799997</v>
      </c>
      <c r="W25" s="7">
        <f>+[4]Resumen!W25*1000</f>
        <v>267353.25645600003</v>
      </c>
      <c r="X25" s="7">
        <f>+[4]Resumen!X25*1000</f>
        <v>289132.54636500002</v>
      </c>
      <c r="Y25" s="7">
        <f>+[4]Resumen!Y25*1000</f>
        <v>305379.95003100001</v>
      </c>
      <c r="Z25" s="7">
        <f>+[4]Resumen!Z25*1000</f>
        <v>274981.54320000001</v>
      </c>
      <c r="AA25" s="7">
        <f>+[4]Resumen!AA25*1000</f>
        <v>235267.55261099999</v>
      </c>
      <c r="AB25" s="7">
        <f>+[4]Resumen!AB25*1000</f>
        <v>184572.65092499999</v>
      </c>
      <c r="AC25" s="7">
        <f>+[4]Resumen!AC25*1000</f>
        <v>135719.92921499998</v>
      </c>
      <c r="AD25" s="5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+[4]Resumen!F26*1000</f>
        <v>103570.623702</v>
      </c>
      <c r="G26" s="7">
        <f>+[4]Resumen!G26*1000</f>
        <v>85478.377724999998</v>
      </c>
      <c r="H26" s="7">
        <f>+[4]Resumen!H26*1000</f>
        <v>75697.742484000002</v>
      </c>
      <c r="I26" s="7">
        <f>+[4]Resumen!I26*1000</f>
        <v>74779.042104000007</v>
      </c>
      <c r="J26" s="7">
        <f>+[4]Resumen!J26*1000</f>
        <v>87694.557327000002</v>
      </c>
      <c r="K26" s="7">
        <f>+[4]Resumen!K26*1000</f>
        <v>104167.73133000001</v>
      </c>
      <c r="L26" s="7">
        <f>+[4]Resumen!L26*1000</f>
        <v>141751.40803200001</v>
      </c>
      <c r="M26" s="7">
        <f>+[4]Resumen!M26*1000</f>
        <v>162540.47382300001</v>
      </c>
      <c r="N26" s="7">
        <f>+[4]Resumen!N26*1000</f>
        <v>191951.71713899999</v>
      </c>
      <c r="O26" s="7">
        <f>+[4]Resumen!O26*1000</f>
        <v>214404.10594199999</v>
      </c>
      <c r="P26" s="7">
        <f>+[4]Resumen!P26*1000</f>
        <v>237815.15612400003</v>
      </c>
      <c r="Q26" s="7">
        <f>+[4]Resumen!Q26*1000</f>
        <v>258378.455907</v>
      </c>
      <c r="R26" s="7">
        <f>+[4]Resumen!R26*1000</f>
        <v>267783.623991</v>
      </c>
      <c r="S26" s="7">
        <f>+[4]Resumen!S26*1000</f>
        <v>256491.11580300002</v>
      </c>
      <c r="T26" s="7">
        <f>+[4]Resumen!T26*1000</f>
        <v>248595.21893700003</v>
      </c>
      <c r="U26" s="7">
        <f>+[4]Resumen!U26*1000</f>
        <v>244519.78145400001</v>
      </c>
      <c r="V26" s="7">
        <f>+[4]Resumen!V26*1000</f>
        <v>232454.15282700001</v>
      </c>
      <c r="W26" s="7">
        <f>+[4]Resumen!W26*1000</f>
        <v>233320.58486099998</v>
      </c>
      <c r="X26" s="7">
        <f>+[4]Resumen!X26*1000</f>
        <v>256563.92525400003</v>
      </c>
      <c r="Y26" s="7">
        <f>+[4]Resumen!Y26*1000</f>
        <v>270611.66878199996</v>
      </c>
      <c r="Z26" s="7">
        <f>+[4]Resumen!Z26*1000</f>
        <v>247118.09054400001</v>
      </c>
      <c r="AA26" s="7">
        <f>+[4]Resumen!AA26*1000</f>
        <v>212773.89978000001</v>
      </c>
      <c r="AB26" s="7">
        <f>+[4]Resumen!AB26*1000</f>
        <v>172157.68065600001</v>
      </c>
      <c r="AC26" s="7">
        <f>+[4]Resumen!AC26*1000</f>
        <v>131475.82956299998</v>
      </c>
      <c r="AD26" s="59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19</v>
      </c>
      <c r="F27" s="7">
        <f>+[4]Resumen!F27*1000</f>
        <v>123470.61246000002</v>
      </c>
      <c r="G27" s="7">
        <f>+[4]Resumen!G27*1000</f>
        <v>107275.91869799999</v>
      </c>
      <c r="H27" s="7">
        <f>+[4]Resumen!H27*1000</f>
        <v>98488.589823000002</v>
      </c>
      <c r="I27" s="7">
        <f>+[4]Resumen!I27*1000</f>
        <v>98709.823368000012</v>
      </c>
      <c r="J27" s="7">
        <f>+[4]Resumen!J27*1000</f>
        <v>114859.75094099999</v>
      </c>
      <c r="K27" s="7">
        <f>+[4]Resumen!K27*1000</f>
        <v>146733.53724900002</v>
      </c>
      <c r="L27" s="7">
        <f>+[4]Resumen!L27*1000</f>
        <v>186307.090749</v>
      </c>
      <c r="M27" s="7">
        <f>+[4]Resumen!M27*1000</f>
        <v>200448.17184600001</v>
      </c>
      <c r="N27" s="7">
        <f>+[4]Resumen!N27*1000</f>
        <v>228676.52457000004</v>
      </c>
      <c r="O27" s="7">
        <f>+[4]Resumen!O27*1000</f>
        <v>245221.69850099998</v>
      </c>
      <c r="P27" s="7">
        <f>+[4]Resumen!P27*1000</f>
        <v>267508.68487200001</v>
      </c>
      <c r="Q27" s="7">
        <f>+[4]Resumen!Q27*1000</f>
        <v>287668.07596800005</v>
      </c>
      <c r="R27" s="7">
        <f>+[4]Resumen!R27*1000</f>
        <v>294127.30760400003</v>
      </c>
      <c r="S27" s="7">
        <f>+[4]Resumen!S27*1000</f>
        <v>287568.53061299998</v>
      </c>
      <c r="T27" s="7">
        <f>+[4]Resumen!T27*1000</f>
        <v>289171.96191000001</v>
      </c>
      <c r="U27" s="7">
        <f>+[4]Resumen!U27*1000</f>
        <v>287772.57802799996</v>
      </c>
      <c r="V27" s="7">
        <f>+[4]Resumen!V27*1000</f>
        <v>277468.441146</v>
      </c>
      <c r="W27" s="7">
        <f>+[4]Resumen!W27*1000</f>
        <v>274362.63905699999</v>
      </c>
      <c r="X27" s="7">
        <f>+[4]Resumen!X27*1000</f>
        <v>282488.42313900002</v>
      </c>
      <c r="Y27" s="7">
        <f>+[4]Resumen!Y27*1000</f>
        <v>295795.07649900002</v>
      </c>
      <c r="Z27" s="7">
        <f>+[4]Resumen!Z27*1000</f>
        <v>273642.25449600001</v>
      </c>
      <c r="AA27" s="7">
        <f>+[4]Resumen!AA27*1000</f>
        <v>239252.63087700002</v>
      </c>
      <c r="AB27" s="7">
        <f>+[4]Resumen!AB27*1000</f>
        <v>194012.36009999999</v>
      </c>
      <c r="AC27" s="7">
        <f>+[4]Resumen!AC27*1000</f>
        <v>156414.25051200003</v>
      </c>
      <c r="AD27" s="57">
        <f t="shared" ref="AD27" si="4">SUM(F27:AC27)*E27+SUM(F28:AC28)*E28+SUM(F29:AC29)*E29+SUM(F30:AC30)*E30</f>
        <v>148059218.39085001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5</v>
      </c>
      <c r="F28" s="7">
        <f>+[4]Resumen!F28*1000</f>
        <v>132926.55538500001</v>
      </c>
      <c r="G28" s="7">
        <f>+[4]Resumen!G28*1000</f>
        <v>114105.33611100001</v>
      </c>
      <c r="H28" s="7">
        <f>+[4]Resumen!H28*1000</f>
        <v>104730.072759</v>
      </c>
      <c r="I28" s="7">
        <f>+[4]Resumen!I28*1000</f>
        <v>101014.453098</v>
      </c>
      <c r="J28" s="7">
        <f>+[4]Resumen!J28*1000</f>
        <v>110940.036246</v>
      </c>
      <c r="K28" s="7">
        <f>+[4]Resumen!K28*1000</f>
        <v>127300.83806699999</v>
      </c>
      <c r="L28" s="7">
        <f>+[4]Resumen!L28*1000</f>
        <v>160731.163944</v>
      </c>
      <c r="M28" s="7">
        <f>+[4]Resumen!M28*1000</f>
        <v>173932.08147900001</v>
      </c>
      <c r="N28" s="7">
        <f>+[4]Resumen!N28*1000</f>
        <v>205490.23173899998</v>
      </c>
      <c r="O28" s="7">
        <f>+[4]Resumen!O28*1000</f>
        <v>227329.30080899998</v>
      </c>
      <c r="P28" s="7">
        <f>+[4]Resumen!P28*1000</f>
        <v>247401.68766299999</v>
      </c>
      <c r="Q28" s="7">
        <f>+[4]Resumen!Q28*1000</f>
        <v>261122.20640999998</v>
      </c>
      <c r="R28" s="7">
        <f>+[4]Resumen!R28*1000</f>
        <v>261570.73409999997</v>
      </c>
      <c r="S28" s="7">
        <f>+[4]Resumen!S28*1000</f>
        <v>249678.59014799999</v>
      </c>
      <c r="T28" s="7">
        <f>+[4]Resumen!T28*1000</f>
        <v>241269.54660899998</v>
      </c>
      <c r="U28" s="7">
        <f>+[4]Resumen!U28*1000</f>
        <v>239234.41011600001</v>
      </c>
      <c r="V28" s="7">
        <f>+[4]Resumen!V28*1000</f>
        <v>233358.84456299999</v>
      </c>
      <c r="W28" s="7">
        <f>+[4]Resumen!W28*1000</f>
        <v>244272.79035899998</v>
      </c>
      <c r="X28" s="7">
        <f>+[4]Resumen!X28*1000</f>
        <v>258249.81101399998</v>
      </c>
      <c r="Y28" s="7">
        <f>+[4]Resumen!Y28*1000</f>
        <v>270642.49992000003</v>
      </c>
      <c r="Z28" s="7">
        <f>+[4]Resumen!Z28*1000</f>
        <v>249257.66416200003</v>
      </c>
      <c r="AA28" s="7">
        <f>+[4]Resumen!AA28*1000</f>
        <v>220276.762407</v>
      </c>
      <c r="AB28" s="7">
        <f>+[4]Resumen!AB28*1000</f>
        <v>187227.50974199999</v>
      </c>
      <c r="AC28" s="7">
        <f>+[4]Resumen!AC28*1000</f>
        <v>155775.021714</v>
      </c>
      <c r="AD28" s="5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+[4]Resumen!F29*1000</f>
        <v>133005.226302</v>
      </c>
      <c r="G29" s="7">
        <f>+[4]Resumen!G29*1000</f>
        <v>114343.768773</v>
      </c>
      <c r="H29" s="7">
        <f>+[4]Resumen!H29*1000</f>
        <v>101642.33125799999</v>
      </c>
      <c r="I29" s="7">
        <f>+[4]Resumen!I29*1000</f>
        <v>95083.168986000004</v>
      </c>
      <c r="J29" s="7">
        <f>+[4]Resumen!J29*1000</f>
        <v>96257.379933000004</v>
      </c>
      <c r="K29" s="7">
        <f>+[4]Resumen!K29*1000</f>
        <v>101117.102346</v>
      </c>
      <c r="L29" s="7">
        <f>+[4]Resumen!L29*1000</f>
        <v>115316.96693400001</v>
      </c>
      <c r="M29" s="7">
        <f>+[4]Resumen!M29*1000</f>
        <v>118500.52652099999</v>
      </c>
      <c r="N29" s="7">
        <f>+[4]Resumen!N29*1000</f>
        <v>143420.731038</v>
      </c>
      <c r="O29" s="7">
        <f>+[4]Resumen!O29*1000</f>
        <v>165062.92151699998</v>
      </c>
      <c r="P29" s="7">
        <f>+[4]Resumen!P29*1000</f>
        <v>181810.822518</v>
      </c>
      <c r="Q29" s="7">
        <f>+[4]Resumen!Q29*1000</f>
        <v>200095.102935</v>
      </c>
      <c r="R29" s="7">
        <f>+[4]Resumen!R29*1000</f>
        <v>212105.78356499999</v>
      </c>
      <c r="S29" s="7">
        <f>+[4]Resumen!S29*1000</f>
        <v>213399.65673000002</v>
      </c>
      <c r="T29" s="7">
        <f>+[4]Resumen!T29*1000</f>
        <v>206381.014398</v>
      </c>
      <c r="U29" s="7">
        <f>+[4]Resumen!U29*1000</f>
        <v>200781.27973799998</v>
      </c>
      <c r="V29" s="7">
        <f>+[4]Resumen!V29*1000</f>
        <v>194406.026373</v>
      </c>
      <c r="W29" s="7">
        <f>+[4]Resumen!W29*1000</f>
        <v>206266.36949099999</v>
      </c>
      <c r="X29" s="7">
        <f>+[4]Resumen!X29*1000</f>
        <v>221665.09435200001</v>
      </c>
      <c r="Y29" s="7">
        <f>+[4]Resumen!Y29*1000</f>
        <v>236645.90188199998</v>
      </c>
      <c r="Z29" s="7">
        <f>+[4]Resumen!Z29*1000</f>
        <v>221512.769829</v>
      </c>
      <c r="AA29" s="7">
        <f>+[4]Resumen!AA29*1000</f>
        <v>199167.88308300002</v>
      </c>
      <c r="AB29" s="7">
        <f>+[4]Resumen!AB29*1000</f>
        <v>169966.11574800001</v>
      </c>
      <c r="AC29" s="7">
        <f>+[4]Resumen!AC29*1000</f>
        <v>137968.48107900002</v>
      </c>
      <c r="AD29" s="5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+[4]Resumen!F30*1000</f>
        <v>121130.13428100001</v>
      </c>
      <c r="G30" s="7">
        <f>+[4]Resumen!G30*1000</f>
        <v>104893.13753100001</v>
      </c>
      <c r="H30" s="7">
        <f>+[4]Resumen!H30*1000</f>
        <v>94166.555183999997</v>
      </c>
      <c r="I30" s="7">
        <f>+[4]Resumen!I30*1000</f>
        <v>89841.745656000014</v>
      </c>
      <c r="J30" s="7">
        <f>+[4]Resumen!J30*1000</f>
        <v>94232.546459999998</v>
      </c>
      <c r="K30" s="7">
        <f>+[4]Resumen!K30*1000</f>
        <v>100594.68295500001</v>
      </c>
      <c r="L30" s="7">
        <f>+[4]Resumen!L30*1000</f>
        <v>116143.51589099999</v>
      </c>
      <c r="M30" s="7">
        <f>+[4]Resumen!M30*1000</f>
        <v>122529.83418000001</v>
      </c>
      <c r="N30" s="7">
        <f>+[4]Resumen!N30*1000</f>
        <v>154247.01458400002</v>
      </c>
      <c r="O30" s="7">
        <f>+[4]Resumen!O30*1000</f>
        <v>173323.19897100001</v>
      </c>
      <c r="P30" s="7">
        <f>+[4]Resumen!P30*1000</f>
        <v>196733.84222700002</v>
      </c>
      <c r="Q30" s="7">
        <f>+[4]Resumen!Q30*1000</f>
        <v>220314.97448999999</v>
      </c>
      <c r="R30" s="7">
        <f>+[4]Resumen!R30*1000</f>
        <v>236251.24859700003</v>
      </c>
      <c r="S30" s="7">
        <f>+[4]Resumen!S30*1000</f>
        <v>230268.17665800001</v>
      </c>
      <c r="T30" s="7">
        <f>+[4]Resumen!T30*1000</f>
        <v>218507.17976100001</v>
      </c>
      <c r="U30" s="7">
        <f>+[4]Resumen!U30*1000</f>
        <v>211573.36851299999</v>
      </c>
      <c r="V30" s="7">
        <f>+[4]Resumen!V30*1000</f>
        <v>204497.76087</v>
      </c>
      <c r="W30" s="7">
        <f>+[4]Resumen!W30*1000</f>
        <v>220347.05670900003</v>
      </c>
      <c r="X30" s="7">
        <f>+[4]Resumen!X30*1000</f>
        <v>244512.86371200002</v>
      </c>
      <c r="Y30" s="7">
        <f>+[4]Resumen!Y30*1000</f>
        <v>259248.66715800005</v>
      </c>
      <c r="Z30" s="7">
        <f>+[4]Resumen!Z30*1000</f>
        <v>240425.53446600001</v>
      </c>
      <c r="AA30" s="7">
        <f>+[4]Resumen!AA30*1000</f>
        <v>205861.64262299999</v>
      </c>
      <c r="AB30" s="7">
        <f>+[4]Resumen!AB30*1000</f>
        <v>171610.785099</v>
      </c>
      <c r="AC30" s="7">
        <f>+[4]Resumen!AC30*1000</f>
        <v>136186.64303400001</v>
      </c>
      <c r="AD30" s="59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20</v>
      </c>
      <c r="F31" s="7">
        <f>+[4]Resumen!F31*1000</f>
        <v>118597.43984399999</v>
      </c>
      <c r="G31" s="7">
        <f>+[4]Resumen!G31*1000</f>
        <v>102500.369361</v>
      </c>
      <c r="H31" s="7">
        <f>+[4]Resumen!H31*1000</f>
        <v>93708.646550999998</v>
      </c>
      <c r="I31" s="7">
        <f>+[4]Resumen!I31*1000</f>
        <v>92544.682346999994</v>
      </c>
      <c r="J31" s="7">
        <f>+[4]Resumen!J31*1000</f>
        <v>108490.84821899999</v>
      </c>
      <c r="K31" s="7">
        <f>+[4]Resumen!K31*1000</f>
        <v>146514.065607</v>
      </c>
      <c r="L31" s="7">
        <f>+[4]Resumen!L31*1000</f>
        <v>182950.16769900001</v>
      </c>
      <c r="M31" s="7">
        <f>+[4]Resumen!M31*1000</f>
        <v>188273.94592500001</v>
      </c>
      <c r="N31" s="7">
        <f>+[4]Resumen!N31*1000</f>
        <v>212584.49304299999</v>
      </c>
      <c r="O31" s="7">
        <f>+[4]Resumen!O31*1000</f>
        <v>229218.23831400002</v>
      </c>
      <c r="P31" s="7">
        <f>+[4]Resumen!P31*1000</f>
        <v>252001.34107200004</v>
      </c>
      <c r="Q31" s="7">
        <f>+[4]Resumen!Q31*1000</f>
        <v>270400.85946900002</v>
      </c>
      <c r="R31" s="7">
        <f>+[4]Resumen!R31*1000</f>
        <v>272898.96086699999</v>
      </c>
      <c r="S31" s="7">
        <f>+[4]Resumen!S31*1000</f>
        <v>267222.83667300001</v>
      </c>
      <c r="T31" s="7">
        <f>+[4]Resumen!T31*1000</f>
        <v>271018.44326700002</v>
      </c>
      <c r="U31" s="7">
        <f>+[4]Resumen!U31*1000</f>
        <v>270435.40056000004</v>
      </c>
      <c r="V31" s="7">
        <f>+[4]Resumen!V31*1000</f>
        <v>260207.64888299999</v>
      </c>
      <c r="W31" s="7">
        <f>+[4]Resumen!W31*1000</f>
        <v>255121.29899100002</v>
      </c>
      <c r="X31" s="7">
        <f>+[4]Resumen!X31*1000</f>
        <v>261607.03276499998</v>
      </c>
      <c r="Y31" s="7">
        <f>+[4]Resumen!Y31*1000</f>
        <v>280329.03568799997</v>
      </c>
      <c r="Z31" s="7">
        <f>+[4]Resumen!Z31*1000</f>
        <v>260444.63998800001</v>
      </c>
      <c r="AA31" s="7">
        <f>+[4]Resumen!AA31*1000</f>
        <v>229263.29454599999</v>
      </c>
      <c r="AB31" s="7">
        <f>+[4]Resumen!AB31*1000</f>
        <v>184911.65924400001</v>
      </c>
      <c r="AC31" s="7">
        <f>+[4]Resumen!AC31*1000</f>
        <v>146911.75784999999</v>
      </c>
      <c r="AD31" s="57">
        <f t="shared" ref="AD31" si="5">SUM(F31:AC31)*E31+SUM(F32:AC32)*E32+SUM(F33:AC33)*E33+SUM(F34:AC34)*E34</f>
        <v>143374559.89802396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4</v>
      </c>
      <c r="F32" s="7">
        <f>+[4]Resumen!F32*1000</f>
        <v>114277.60866599999</v>
      </c>
      <c r="G32" s="7">
        <f>+[4]Resumen!G32*1000</f>
        <v>96575.998661999998</v>
      </c>
      <c r="H32" s="7">
        <f>+[4]Resumen!H32*1000</f>
        <v>87400.622556000002</v>
      </c>
      <c r="I32" s="7">
        <f>+[4]Resumen!I32*1000</f>
        <v>84427.673148000002</v>
      </c>
      <c r="J32" s="7">
        <f>+[4]Resumen!J32*1000</f>
        <v>92974.807457999996</v>
      </c>
      <c r="K32" s="7">
        <f>+[4]Resumen!K32*1000</f>
        <v>108912.652992</v>
      </c>
      <c r="L32" s="7">
        <f>+[4]Resumen!L32*1000</f>
        <v>139854.64802399999</v>
      </c>
      <c r="M32" s="7">
        <f>+[4]Resumen!M32*1000</f>
        <v>156044.60586000001</v>
      </c>
      <c r="N32" s="7">
        <f>+[4]Resumen!N32*1000</f>
        <v>188331.72508799998</v>
      </c>
      <c r="O32" s="7">
        <f>+[4]Resumen!O32*1000</f>
        <v>209587.59993600001</v>
      </c>
      <c r="P32" s="7">
        <f>+[4]Resumen!P32*1000</f>
        <v>230548.483737</v>
      </c>
      <c r="Q32" s="7">
        <f>+[4]Resumen!Q32*1000</f>
        <v>245722.47289199999</v>
      </c>
      <c r="R32" s="7">
        <f>+[4]Resumen!R32*1000</f>
        <v>245836.45979100003</v>
      </c>
      <c r="S32" s="7">
        <f>+[4]Resumen!S32*1000</f>
        <v>236200.57765200001</v>
      </c>
      <c r="T32" s="7">
        <f>+[4]Resumen!T32*1000</f>
        <v>227854.26998100002</v>
      </c>
      <c r="U32" s="7">
        <f>+[4]Resumen!U32*1000</f>
        <v>224363.20853700003</v>
      </c>
      <c r="V32" s="7">
        <f>+[4]Resumen!V32*1000</f>
        <v>220017.191238</v>
      </c>
      <c r="W32" s="7">
        <f>+[4]Resumen!W32*1000</f>
        <v>227556.50404500004</v>
      </c>
      <c r="X32" s="7">
        <f>+[4]Resumen!X32*1000</f>
        <v>235612.76005800001</v>
      </c>
      <c r="Y32" s="7">
        <f>+[4]Resumen!Y32*1000</f>
        <v>253682.30475899999</v>
      </c>
      <c r="Z32" s="7">
        <f>+[4]Resumen!Z32*1000</f>
        <v>234033.17289300001</v>
      </c>
      <c r="AA32" s="7">
        <f>+[4]Resumen!AA32*1000</f>
        <v>207592.62357600001</v>
      </c>
      <c r="AB32" s="7">
        <f>+[4]Resumen!AB32*1000</f>
        <v>175379.21856000001</v>
      </c>
      <c r="AC32" s="7">
        <f>+[4]Resumen!AC32*1000</f>
        <v>144585.543726</v>
      </c>
      <c r="AD32" s="5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5</v>
      </c>
      <c r="F33" s="7">
        <f>+[4]Resumen!F33*1000</f>
        <v>120705.82734599999</v>
      </c>
      <c r="G33" s="7">
        <f>+[4]Resumen!G33*1000</f>
        <v>102528.542493</v>
      </c>
      <c r="H33" s="7">
        <f>+[4]Resumen!H33*1000</f>
        <v>90654.554367000004</v>
      </c>
      <c r="I33" s="7">
        <f>+[4]Resumen!I33*1000</f>
        <v>84418.201295999999</v>
      </c>
      <c r="J33" s="7">
        <f>+[4]Resumen!J33*1000</f>
        <v>86002.476768000008</v>
      </c>
      <c r="K33" s="7">
        <f>+[4]Resumen!K33*1000</f>
        <v>91481.947479000009</v>
      </c>
      <c r="L33" s="7">
        <f>+[4]Resumen!L33*1000</f>
        <v>104137.13395799999</v>
      </c>
      <c r="M33" s="7">
        <f>+[4]Resumen!M33*1000</f>
        <v>106987.29561</v>
      </c>
      <c r="N33" s="7">
        <f>+[4]Resumen!N33*1000</f>
        <v>132795.67672799999</v>
      </c>
      <c r="O33" s="7">
        <f>+[4]Resumen!O33*1000</f>
        <v>154957.00521599999</v>
      </c>
      <c r="P33" s="7">
        <f>+[4]Resumen!P33*1000</f>
        <v>174029.072724</v>
      </c>
      <c r="Q33" s="7">
        <f>+[4]Resumen!Q33*1000</f>
        <v>193702.42967400001</v>
      </c>
      <c r="R33" s="7">
        <f>+[4]Resumen!R33*1000</f>
        <v>204805.60904700001</v>
      </c>
      <c r="S33" s="7">
        <f>+[4]Resumen!S33*1000</f>
        <v>205643.486997</v>
      </c>
      <c r="T33" s="7">
        <f>+[4]Resumen!T33*1000</f>
        <v>200158.349625</v>
      </c>
      <c r="U33" s="7">
        <f>+[4]Resumen!U33*1000</f>
        <v>195614.98620300001</v>
      </c>
      <c r="V33" s="7">
        <f>+[4]Resumen!V33*1000</f>
        <v>191717.05936499999</v>
      </c>
      <c r="W33" s="7">
        <f>+[4]Resumen!W33*1000</f>
        <v>202133.49483600003</v>
      </c>
      <c r="X33" s="7">
        <f>+[4]Resumen!X33*1000</f>
        <v>212689.618479</v>
      </c>
      <c r="Y33" s="7">
        <f>+[4]Resumen!Y33*1000</f>
        <v>231404.73396300001</v>
      </c>
      <c r="Z33" s="7">
        <f>+[4]Resumen!Z33*1000</f>
        <v>216025.286139</v>
      </c>
      <c r="AA33" s="7">
        <f>+[4]Resumen!AA33*1000</f>
        <v>195736.79993400001</v>
      </c>
      <c r="AB33" s="7">
        <f>+[4]Resumen!AB33*1000</f>
        <v>164905.60565700001</v>
      </c>
      <c r="AC33" s="7">
        <f>+[4]Resumen!AC33*1000</f>
        <v>136255.55205600001</v>
      </c>
      <c r="AD33" s="5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+[4]Resumen!F34*1000</f>
        <v>112249.92238199999</v>
      </c>
      <c r="G34" s="7">
        <f>+[4]Resumen!G34*1000</f>
        <v>94387.593924000001</v>
      </c>
      <c r="H34" s="7">
        <f>+[4]Resumen!H34*1000</f>
        <v>80877.57280200001</v>
      </c>
      <c r="I34" s="7">
        <f>+[4]Resumen!I34*1000</f>
        <v>76755.499001999997</v>
      </c>
      <c r="J34" s="7">
        <f>+[4]Resumen!J34*1000</f>
        <v>80207.274770999997</v>
      </c>
      <c r="K34" s="7">
        <f>+[4]Resumen!K34*1000</f>
        <v>88767.214263000002</v>
      </c>
      <c r="L34" s="7">
        <f>+[4]Resumen!L34*1000</f>
        <v>106236.03662099999</v>
      </c>
      <c r="M34" s="7">
        <f>+[4]Resumen!M34*1000</f>
        <v>111267.03159</v>
      </c>
      <c r="N34" s="7">
        <f>+[4]Resumen!N34*1000</f>
        <v>138802.06899</v>
      </c>
      <c r="O34" s="7">
        <f>+[4]Resumen!O34*1000</f>
        <v>161687.730087</v>
      </c>
      <c r="P34" s="7">
        <f>+[4]Resumen!P34*1000</f>
        <v>182667.70477800001</v>
      </c>
      <c r="Q34" s="7">
        <f>+[4]Resumen!Q34*1000</f>
        <v>203029.88787900002</v>
      </c>
      <c r="R34" s="7">
        <f>+[4]Resumen!R34*1000</f>
        <v>212843.41486200001</v>
      </c>
      <c r="S34" s="7">
        <f>+[4]Resumen!S34*1000</f>
        <v>210660.16163400002</v>
      </c>
      <c r="T34" s="7">
        <f>+[4]Resumen!T34*1000</f>
        <v>204948.93790800002</v>
      </c>
      <c r="U34" s="7">
        <f>+[4]Resumen!U34*1000</f>
        <v>202957.576263</v>
      </c>
      <c r="V34" s="7">
        <f>+[4]Resumen!V34*1000</f>
        <v>194450.216805</v>
      </c>
      <c r="W34" s="7">
        <f>+[4]Resumen!W34*1000</f>
        <v>202761.43793100002</v>
      </c>
      <c r="X34" s="7">
        <f>+[4]Resumen!X34*1000</f>
        <v>213792.59573100001</v>
      </c>
      <c r="Y34" s="7">
        <f>+[4]Resumen!Y34*1000</f>
        <v>234177.19872300001</v>
      </c>
      <c r="Z34" s="7">
        <f>+[4]Resumen!Z34*1000</f>
        <v>221078.06896499998</v>
      </c>
      <c r="AA34" s="7">
        <f>+[4]Resumen!AA34*1000</f>
        <v>197251.44344099998</v>
      </c>
      <c r="AB34" s="7">
        <f>+[4]Resumen!AB34*1000</f>
        <v>166173.59573100001</v>
      </c>
      <c r="AC34" s="7">
        <f>+[4]Resumen!AC34*1000</f>
        <v>134206.363629</v>
      </c>
      <c r="AD34" s="59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+[4]Resumen!F35*1000</f>
        <v>114818.01938100001</v>
      </c>
      <c r="G35" s="7">
        <f>+[4]Resumen!G35*1000</f>
        <v>99731.393775000004</v>
      </c>
      <c r="H35" s="7">
        <f>+[4]Resumen!H35*1000</f>
        <v>91826.293455000006</v>
      </c>
      <c r="I35" s="7">
        <f>+[4]Resumen!I35*1000</f>
        <v>91184.471586</v>
      </c>
      <c r="J35" s="7">
        <f>+[4]Resumen!J35*1000</f>
        <v>108819.93446999999</v>
      </c>
      <c r="K35" s="7">
        <f>+[4]Resumen!K35*1000</f>
        <v>150322.802058</v>
      </c>
      <c r="L35" s="7">
        <f>+[4]Resumen!L35*1000</f>
        <v>188493.85912500002</v>
      </c>
      <c r="M35" s="7">
        <f>+[4]Resumen!M35*1000</f>
        <v>191968.388118</v>
      </c>
      <c r="N35" s="7">
        <f>+[4]Resumen!N35*1000</f>
        <v>214551.633933</v>
      </c>
      <c r="O35" s="7">
        <f>+[4]Resumen!O35*1000</f>
        <v>230970.21058799999</v>
      </c>
      <c r="P35" s="7">
        <f>+[4]Resumen!P35*1000</f>
        <v>253553.72912999999</v>
      </c>
      <c r="Q35" s="7">
        <f>+[4]Resumen!Q35*1000</f>
        <v>271497.39084000001</v>
      </c>
      <c r="R35" s="7">
        <f>+[4]Resumen!R35*1000</f>
        <v>273090.41954999999</v>
      </c>
      <c r="S35" s="7">
        <f>+[4]Resumen!S35*1000</f>
        <v>268463.41984799999</v>
      </c>
      <c r="T35" s="7">
        <f>+[4]Resumen!T35*1000</f>
        <v>271972.61547299998</v>
      </c>
      <c r="U35" s="7">
        <f>+[4]Resumen!U35*1000</f>
        <v>271436.84544599999</v>
      </c>
      <c r="V35" s="7">
        <f>+[4]Resumen!V35*1000</f>
        <v>261180.210681</v>
      </c>
      <c r="W35" s="7">
        <f>+[4]Resumen!W35*1000</f>
        <v>257138.98961400002</v>
      </c>
      <c r="X35" s="7">
        <f>+[4]Resumen!X35*1000</f>
        <v>268271.87025600002</v>
      </c>
      <c r="Y35" s="7">
        <f>+[4]Resumen!Y35*1000</f>
        <v>282507.96424500004</v>
      </c>
      <c r="Z35" s="7">
        <f>+[4]Resumen!Z35*1000</f>
        <v>262872.58994100004</v>
      </c>
      <c r="AA35" s="7">
        <f>+[4]Resumen!AA35*1000</f>
        <v>230229.06414300003</v>
      </c>
      <c r="AB35" s="7">
        <f>+[4]Resumen!AB35*1000</f>
        <v>184754.33905500002</v>
      </c>
      <c r="AC35" s="7">
        <f>+[4]Resumen!AC35*1000</f>
        <v>147733.774344</v>
      </c>
      <c r="AD35" s="57">
        <f t="shared" ref="AD35" si="6">SUM(F35:AC35)*E35+SUM(F36:AC36)*E36+SUM(F37:AC37)*E37+SUM(F38:AC38)*E38</f>
        <v>145487696.84549099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4</v>
      </c>
      <c r="F36" s="7">
        <f>+[4]Resumen!F36*1000</f>
        <v>127040.75607600001</v>
      </c>
      <c r="G36" s="7">
        <f>+[4]Resumen!G36*1000</f>
        <v>108870.315372</v>
      </c>
      <c r="H36" s="7">
        <f>+[4]Resumen!H36*1000</f>
        <v>97442.681777999998</v>
      </c>
      <c r="I36" s="7">
        <f>+[4]Resumen!I36*1000</f>
        <v>93554.616402</v>
      </c>
      <c r="J36" s="7">
        <f>+[4]Resumen!J36*1000</f>
        <v>101602.33995600001</v>
      </c>
      <c r="K36" s="7">
        <f>+[4]Resumen!K36*1000</f>
        <v>118562.01130800002</v>
      </c>
      <c r="L36" s="7">
        <f>+[4]Resumen!L36*1000</f>
        <v>148410.51392699999</v>
      </c>
      <c r="M36" s="7">
        <f>+[4]Resumen!M36*1000</f>
        <v>162617.28326999999</v>
      </c>
      <c r="N36" s="7">
        <f>+[4]Resumen!N36*1000</f>
        <v>193626.53797500001</v>
      </c>
      <c r="O36" s="7">
        <f>+[4]Resumen!O36*1000</f>
        <v>214981.32614399999</v>
      </c>
      <c r="P36" s="7">
        <f>+[4]Resumen!P36*1000</f>
        <v>234304.05573900003</v>
      </c>
      <c r="Q36" s="7">
        <f>+[4]Resumen!Q36*1000</f>
        <v>248031.84720600001</v>
      </c>
      <c r="R36" s="7">
        <f>+[4]Resumen!R36*1000</f>
        <v>247939.12435499998</v>
      </c>
      <c r="S36" s="7">
        <f>+[4]Resumen!S36*1000</f>
        <v>239314.65246000001</v>
      </c>
      <c r="T36" s="7">
        <f>+[4]Resumen!T36*1000</f>
        <v>230178.834756</v>
      </c>
      <c r="U36" s="7">
        <f>+[4]Resumen!U36*1000</f>
        <v>224999.67543300003</v>
      </c>
      <c r="V36" s="7">
        <f>+[4]Resumen!V36*1000</f>
        <v>220740.51519000001</v>
      </c>
      <c r="W36" s="7">
        <f>+[4]Resumen!W36*1000</f>
        <v>231797.78984700004</v>
      </c>
      <c r="X36" s="7">
        <f>+[4]Resumen!X36*1000</f>
        <v>245814.09184800001</v>
      </c>
      <c r="Y36" s="7">
        <f>+[4]Resumen!Y36*1000</f>
        <v>255154.80112200003</v>
      </c>
      <c r="Z36" s="7">
        <f>+[4]Resumen!Z36*1000</f>
        <v>235680.44397300002</v>
      </c>
      <c r="AA36" s="7">
        <f>+[4]Resumen!AA36*1000</f>
        <v>206860.80612600001</v>
      </c>
      <c r="AB36" s="7">
        <f>+[4]Resumen!AB36*1000</f>
        <v>173073.10831200003</v>
      </c>
      <c r="AC36" s="7">
        <f>+[4]Resumen!AC36*1000</f>
        <v>142400.368422</v>
      </c>
      <c r="AD36" s="5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+[4]Resumen!F37*1000</f>
        <v>115054.698798</v>
      </c>
      <c r="G37" s="7">
        <f>+[4]Resumen!G37*1000</f>
        <v>97661.867706000005</v>
      </c>
      <c r="H37" s="7">
        <f>+[4]Resumen!H37*1000</f>
        <v>87010.874028000006</v>
      </c>
      <c r="I37" s="7">
        <f>+[4]Resumen!I37*1000</f>
        <v>81450.641493000003</v>
      </c>
      <c r="J37" s="7">
        <f>+[4]Resumen!J37*1000</f>
        <v>83435.280201000001</v>
      </c>
      <c r="K37" s="7">
        <f>+[4]Resumen!K37*1000</f>
        <v>90552.545811000004</v>
      </c>
      <c r="L37" s="7">
        <f>+[4]Resumen!L37*1000</f>
        <v>102813.827922</v>
      </c>
      <c r="M37" s="7">
        <f>+[4]Resumen!M37*1000</f>
        <v>105869.18417399999</v>
      </c>
      <c r="N37" s="7">
        <f>+[4]Resumen!N37*1000</f>
        <v>131344.05047399999</v>
      </c>
      <c r="O37" s="7">
        <f>+[4]Resumen!O37*1000</f>
        <v>153078.89021100002</v>
      </c>
      <c r="P37" s="7">
        <f>+[4]Resumen!P37*1000</f>
        <v>169910.202384</v>
      </c>
      <c r="Q37" s="7">
        <f>+[4]Resumen!Q37*1000</f>
        <v>187750.71268200001</v>
      </c>
      <c r="R37" s="7">
        <f>+[4]Resumen!R37*1000</f>
        <v>198573.89233500001</v>
      </c>
      <c r="S37" s="7">
        <f>+[4]Resumen!S37*1000</f>
        <v>199759.38032699999</v>
      </c>
      <c r="T37" s="7">
        <f>+[4]Resumen!T37*1000</f>
        <v>191352.16795500001</v>
      </c>
      <c r="U37" s="7">
        <f>+[4]Resumen!U37*1000</f>
        <v>187387.51824</v>
      </c>
      <c r="V37" s="7">
        <f>+[4]Resumen!V37*1000</f>
        <v>181233.97461</v>
      </c>
      <c r="W37" s="7">
        <f>+[4]Resumen!W37*1000</f>
        <v>192729.738006</v>
      </c>
      <c r="X37" s="7">
        <f>+[4]Resumen!X37*1000</f>
        <v>210418.49088</v>
      </c>
      <c r="Y37" s="7">
        <f>+[4]Resumen!Y37*1000</f>
        <v>231828.57336600003</v>
      </c>
      <c r="Z37" s="7">
        <f>+[4]Resumen!Z37*1000</f>
        <v>218643.49564199999</v>
      </c>
      <c r="AA37" s="7">
        <f>+[4]Resumen!AA37*1000</f>
        <v>195310.272222</v>
      </c>
      <c r="AB37" s="7">
        <f>+[4]Resumen!AB37*1000</f>
        <v>161283.565989</v>
      </c>
      <c r="AC37" s="7">
        <f>+[4]Resumen!AC37*1000</f>
        <v>127899.595044</v>
      </c>
      <c r="AD37" s="5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+[4]Resumen!F38*1000</f>
        <v>117732.042441</v>
      </c>
      <c r="G38" s="7">
        <f>+[4]Resumen!G38*1000</f>
        <v>101275.548075</v>
      </c>
      <c r="H38" s="7">
        <f>+[4]Resumen!H38*1000</f>
        <v>91221.229124999998</v>
      </c>
      <c r="I38" s="7">
        <f>+[4]Resumen!I38*1000</f>
        <v>86735.194650000005</v>
      </c>
      <c r="J38" s="7">
        <f>+[4]Resumen!J38*1000</f>
        <v>92069.626544999992</v>
      </c>
      <c r="K38" s="7">
        <f>+[4]Resumen!K38*1000</f>
        <v>99566.865801000007</v>
      </c>
      <c r="L38" s="7">
        <f>+[4]Resumen!L38*1000</f>
        <v>114618.97196100002</v>
      </c>
      <c r="M38" s="7">
        <f>+[4]Resumen!M38*1000</f>
        <v>119404.798344</v>
      </c>
      <c r="N38" s="7">
        <f>+[4]Resumen!N38*1000</f>
        <v>145055.6991</v>
      </c>
      <c r="O38" s="7">
        <f>+[4]Resumen!O38*1000</f>
        <v>165013.52329800001</v>
      </c>
      <c r="P38" s="7">
        <f>+[4]Resumen!P38*1000</f>
        <v>187200.561717</v>
      </c>
      <c r="Q38" s="7">
        <f>+[4]Resumen!Q38*1000</f>
        <v>209159.145819</v>
      </c>
      <c r="R38" s="7">
        <f>+[4]Resumen!R38*1000</f>
        <v>223247.83735800002</v>
      </c>
      <c r="S38" s="7">
        <f>+[4]Resumen!S38*1000</f>
        <v>216408.40263899998</v>
      </c>
      <c r="T38" s="7">
        <f>+[4]Resumen!T38*1000</f>
        <v>205568.10179099999</v>
      </c>
      <c r="U38" s="7">
        <f>+[4]Resumen!U38*1000</f>
        <v>199951.626888</v>
      </c>
      <c r="V38" s="7">
        <f>+[4]Resumen!V38*1000</f>
        <v>193757.96208600001</v>
      </c>
      <c r="W38" s="7">
        <f>+[4]Resumen!W38*1000</f>
        <v>205466.097564</v>
      </c>
      <c r="X38" s="7">
        <f>+[4]Resumen!X38*1000</f>
        <v>225450.19879199998</v>
      </c>
      <c r="Y38" s="7">
        <f>+[4]Resumen!Y38*1000</f>
        <v>246835.95662700001</v>
      </c>
      <c r="Z38" s="7">
        <f>+[4]Resumen!Z38*1000</f>
        <v>229657.18592700001</v>
      </c>
      <c r="AA38" s="7">
        <f>+[4]Resumen!AA38*1000</f>
        <v>199611.493029</v>
      </c>
      <c r="AB38" s="7">
        <f>+[4]Resumen!AB38*1000</f>
        <v>162724.91086800001</v>
      </c>
      <c r="AC38" s="7">
        <f>+[4]Resumen!AC38*1000</f>
        <v>127814.16222900001</v>
      </c>
      <c r="AD38" s="5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20</v>
      </c>
      <c r="F39" s="7">
        <f>+[4]Resumen!F39*1000</f>
        <v>126098.84792700001</v>
      </c>
      <c r="G39" s="7">
        <f>+[4]Resumen!G39*1000</f>
        <v>110570.681637</v>
      </c>
      <c r="H39" s="7">
        <f>+[4]Resumen!H39*1000</f>
        <v>102535.018677</v>
      </c>
      <c r="I39" s="7">
        <f>+[4]Resumen!I39*1000</f>
        <v>102185.845866</v>
      </c>
      <c r="J39" s="7">
        <f>+[4]Resumen!J39*1000</f>
        <v>119748.21791399999</v>
      </c>
      <c r="K39" s="7">
        <f>+[4]Resumen!K39*1000</f>
        <v>161413.91217900001</v>
      </c>
      <c r="L39" s="7">
        <f>+[4]Resumen!L39*1000</f>
        <v>200096.276094</v>
      </c>
      <c r="M39" s="7">
        <f>+[4]Resumen!M39*1000</f>
        <v>205568.439453</v>
      </c>
      <c r="N39" s="7">
        <f>+[4]Resumen!N39*1000</f>
        <v>228846.468123</v>
      </c>
      <c r="O39" s="7">
        <f>+[4]Resumen!O39*1000</f>
        <v>245208.18336299999</v>
      </c>
      <c r="P39" s="7">
        <f>+[4]Resumen!P39*1000</f>
        <v>268743.40658100002</v>
      </c>
      <c r="Q39" s="7">
        <f>+[4]Resumen!Q39*1000</f>
        <v>288538.646526</v>
      </c>
      <c r="R39" s="7">
        <f>+[4]Resumen!R39*1000</f>
        <v>291896.38775699999</v>
      </c>
      <c r="S39" s="7">
        <f>+[4]Resumen!S39*1000</f>
        <v>286997.59611899999</v>
      </c>
      <c r="T39" s="7">
        <f>+[4]Resumen!T39*1000</f>
        <v>289419.95300400001</v>
      </c>
      <c r="U39" s="7">
        <f>+[4]Resumen!U39*1000</f>
        <v>289606.08701700001</v>
      </c>
      <c r="V39" s="7">
        <f>+[4]Resumen!V39*1000</f>
        <v>280013.84552700003</v>
      </c>
      <c r="W39" s="7">
        <f>+[4]Resumen!W39*1000</f>
        <v>278388.43589700002</v>
      </c>
      <c r="X39" s="7">
        <f>+[4]Resumen!X39*1000</f>
        <v>297490.14839700004</v>
      </c>
      <c r="Y39" s="7">
        <f>+[4]Resumen!Y39*1000</f>
        <v>300537.24058799999</v>
      </c>
      <c r="Z39" s="7">
        <f>+[4]Resumen!Z39*1000</f>
        <v>279094.478481</v>
      </c>
      <c r="AA39" s="7">
        <f>+[4]Resumen!AA39*1000</f>
        <v>245540.84536800001</v>
      </c>
      <c r="AB39" s="7">
        <f>+[4]Resumen!AB39*1000</f>
        <v>197883.58133700001</v>
      </c>
      <c r="AC39" s="7">
        <f>+[4]Resumen!AC39*1000</f>
        <v>159418.47261599998</v>
      </c>
      <c r="AD39" s="57">
        <f t="shared" ref="AD39" si="7">SUM(F39:AC39)*E39+SUM(F40:AC40)*E40+SUM(F41:AC41)*E41+SUM(F42:AC42)*E42</f>
        <v>151201148.95021498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5</v>
      </c>
      <c r="F40" s="7">
        <f>+[4]Resumen!F40*1000</f>
        <v>135017.83900800001</v>
      </c>
      <c r="G40" s="7">
        <f>+[4]Resumen!G40*1000</f>
        <v>117097.281171</v>
      </c>
      <c r="H40" s="7">
        <f>+[4]Resumen!H40*1000</f>
        <v>106507.09695600001</v>
      </c>
      <c r="I40" s="7">
        <f>+[4]Resumen!I40*1000</f>
        <v>103061.19996899999</v>
      </c>
      <c r="J40" s="7">
        <f>+[4]Resumen!J40*1000</f>
        <v>112437.857259</v>
      </c>
      <c r="K40" s="7">
        <f>+[4]Resumen!K40*1000</f>
        <v>130377.89992500001</v>
      </c>
      <c r="L40" s="7">
        <f>+[4]Resumen!L40*1000</f>
        <v>160645.46273100001</v>
      </c>
      <c r="M40" s="7">
        <f>+[4]Resumen!M40*1000</f>
        <v>176492.581083</v>
      </c>
      <c r="N40" s="7">
        <f>+[4]Resumen!N40*1000</f>
        <v>209552.145426</v>
      </c>
      <c r="O40" s="7">
        <f>+[4]Resumen!O40*1000</f>
        <v>232284.36944700003</v>
      </c>
      <c r="P40" s="7">
        <f>+[4]Resumen!P40*1000</f>
        <v>253414.28771099998</v>
      </c>
      <c r="Q40" s="7">
        <f>+[4]Resumen!Q40*1000</f>
        <v>268314.458958</v>
      </c>
      <c r="R40" s="7">
        <f>+[4]Resumen!R40*1000</f>
        <v>269214.62255999999</v>
      </c>
      <c r="S40" s="7">
        <f>+[4]Resumen!S40*1000</f>
        <v>257340.88118700005</v>
      </c>
      <c r="T40" s="7">
        <f>+[4]Resumen!T40*1000</f>
        <v>244287.01978199999</v>
      </c>
      <c r="U40" s="7">
        <f>+[4]Resumen!U40*1000</f>
        <v>238099.69696499998</v>
      </c>
      <c r="V40" s="7">
        <f>+[4]Resumen!V40*1000</f>
        <v>231581.22296400002</v>
      </c>
      <c r="W40" s="7">
        <f>+[4]Resumen!W40*1000</f>
        <v>246989.96946000002</v>
      </c>
      <c r="X40" s="7">
        <f>+[4]Resumen!X40*1000</f>
        <v>269681.297418</v>
      </c>
      <c r="Y40" s="7">
        <f>+[4]Resumen!Y40*1000</f>
        <v>267329.80626300001</v>
      </c>
      <c r="Z40" s="7">
        <f>+[4]Resumen!Z40*1000</f>
        <v>245935.60687799999</v>
      </c>
      <c r="AA40" s="7">
        <f>+[4]Resumen!AA40*1000</f>
        <v>217064.83055400001</v>
      </c>
      <c r="AB40" s="7">
        <f>+[4]Resumen!AB40*1000</f>
        <v>185226.23468700002</v>
      </c>
      <c r="AC40" s="7">
        <f>+[4]Resumen!AC40*1000</f>
        <v>153191.60871299999</v>
      </c>
      <c r="AD40" s="5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5</v>
      </c>
      <c r="F41" s="7">
        <f>+[4]Resumen!F41*1000</f>
        <v>128829.91878899997</v>
      </c>
      <c r="G41" s="7">
        <f>+[4]Resumen!G41*1000</f>
        <v>110411.279199</v>
      </c>
      <c r="H41" s="7">
        <f>+[4]Resumen!H41*1000</f>
        <v>98305.983945</v>
      </c>
      <c r="I41" s="7">
        <f>+[4]Resumen!I41*1000</f>
        <v>92084.717439</v>
      </c>
      <c r="J41" s="7">
        <f>+[4]Resumen!J41*1000</f>
        <v>93653.512407000002</v>
      </c>
      <c r="K41" s="7">
        <f>+[4]Resumen!K41*1000</f>
        <v>97794.248525999996</v>
      </c>
      <c r="L41" s="7">
        <f>+[4]Resumen!L41*1000</f>
        <v>111552.7023</v>
      </c>
      <c r="M41" s="7">
        <f>+[4]Resumen!M41*1000</f>
        <v>114989.47375500001</v>
      </c>
      <c r="N41" s="7">
        <f>+[4]Resumen!N41*1000</f>
        <v>140982.89797799999</v>
      </c>
      <c r="O41" s="7">
        <f>+[4]Resumen!O41*1000</f>
        <v>162830.93240700001</v>
      </c>
      <c r="P41" s="7">
        <f>+[4]Resumen!P41*1000</f>
        <v>182477.86514099999</v>
      </c>
      <c r="Q41" s="7">
        <f>+[4]Resumen!Q41*1000</f>
        <v>201138.46985700002</v>
      </c>
      <c r="R41" s="7">
        <f>+[4]Resumen!R41*1000</f>
        <v>212372.28546299998</v>
      </c>
      <c r="S41" s="7">
        <f>+[4]Resumen!S41*1000</f>
        <v>211105.195821</v>
      </c>
      <c r="T41" s="7">
        <f>+[4]Resumen!T41*1000</f>
        <v>203694.346089</v>
      </c>
      <c r="U41" s="7">
        <f>+[4]Resumen!U41*1000</f>
        <v>200872.669257</v>
      </c>
      <c r="V41" s="7">
        <f>+[4]Resumen!V41*1000</f>
        <v>197083.40031900001</v>
      </c>
      <c r="W41" s="7">
        <f>+[4]Resumen!W41*1000</f>
        <v>213495.65663400001</v>
      </c>
      <c r="X41" s="7">
        <f>+[4]Resumen!X41*1000</f>
        <v>237923.13870000001</v>
      </c>
      <c r="Y41" s="7">
        <f>+[4]Resumen!Y41*1000</f>
        <v>244264.31850600001</v>
      </c>
      <c r="Z41" s="7">
        <f>+[4]Resumen!Z41*1000</f>
        <v>228528.19138500001</v>
      </c>
      <c r="AA41" s="7">
        <f>+[4]Resumen!AA41*1000</f>
        <v>201410.27045100002</v>
      </c>
      <c r="AB41" s="7">
        <f>+[4]Resumen!AB41*1000</f>
        <v>167029.33946399999</v>
      </c>
      <c r="AC41" s="7">
        <f>+[4]Resumen!AC41*1000</f>
        <v>132889.633344</v>
      </c>
      <c r="AD41" s="5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+[4]Resumen!F42*1000</f>
        <v>0</v>
      </c>
      <c r="G42" s="7">
        <f>+[4]Resumen!G42*1000</f>
        <v>0</v>
      </c>
      <c r="H42" s="7">
        <f>+[4]Resumen!H42*1000</f>
        <v>0</v>
      </c>
      <c r="I42" s="7">
        <f>+[4]Resumen!I42*1000</f>
        <v>0</v>
      </c>
      <c r="J42" s="7">
        <f>+[4]Resumen!J42*1000</f>
        <v>0</v>
      </c>
      <c r="K42" s="7">
        <f>+[4]Resumen!K42*1000</f>
        <v>0</v>
      </c>
      <c r="L42" s="7">
        <f>+[4]Resumen!L42*1000</f>
        <v>0</v>
      </c>
      <c r="M42" s="7">
        <f>+[4]Resumen!M42*1000</f>
        <v>0</v>
      </c>
      <c r="N42" s="7">
        <f>+[4]Resumen!N42*1000</f>
        <v>0</v>
      </c>
      <c r="O42" s="7">
        <f>+[4]Resumen!O42*1000</f>
        <v>0</v>
      </c>
      <c r="P42" s="7">
        <f>+[4]Resumen!P42*1000</f>
        <v>0</v>
      </c>
      <c r="Q42" s="7">
        <f>+[4]Resumen!Q42*1000</f>
        <v>0</v>
      </c>
      <c r="R42" s="7">
        <f>+[4]Resumen!R42*1000</f>
        <v>0</v>
      </c>
      <c r="S42" s="7">
        <f>+[4]Resumen!S42*1000</f>
        <v>0</v>
      </c>
      <c r="T42" s="7">
        <f>+[4]Resumen!T42*1000</f>
        <v>0</v>
      </c>
      <c r="U42" s="7">
        <f>+[4]Resumen!U42*1000</f>
        <v>0</v>
      </c>
      <c r="V42" s="7">
        <f>+[4]Resumen!V42*1000</f>
        <v>0</v>
      </c>
      <c r="W42" s="7">
        <f>+[4]Resumen!W42*1000</f>
        <v>0</v>
      </c>
      <c r="X42" s="7">
        <f>+[4]Resumen!X42*1000</f>
        <v>0</v>
      </c>
      <c r="Y42" s="7">
        <f>+[4]Resumen!Y42*1000</f>
        <v>0</v>
      </c>
      <c r="Z42" s="7">
        <f>+[4]Resumen!Z42*1000</f>
        <v>0</v>
      </c>
      <c r="AA42" s="7">
        <f>+[4]Resumen!AA42*1000</f>
        <v>0</v>
      </c>
      <c r="AB42" s="7">
        <f>+[4]Resumen!AB42*1000</f>
        <v>0</v>
      </c>
      <c r="AC42" s="7">
        <f>+[4]Resumen!AC42*1000</f>
        <v>0</v>
      </c>
      <c r="AD42" s="59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22</v>
      </c>
      <c r="F43" s="7">
        <f>+[4]Resumen!F43*1000</f>
        <v>110065.42673100001</v>
      </c>
      <c r="G43" s="7">
        <f>+[4]Resumen!G43*1000</f>
        <v>94964.961311999999</v>
      </c>
      <c r="H43" s="7">
        <f>+[4]Resumen!H43*1000</f>
        <v>87396.094421999995</v>
      </c>
      <c r="I43" s="7">
        <f>+[4]Resumen!I43*1000</f>
        <v>87618.375585000002</v>
      </c>
      <c r="J43" s="7">
        <f>+[4]Resumen!J43*1000</f>
        <v>105684.755787</v>
      </c>
      <c r="K43" s="7">
        <f>+[4]Resumen!K43*1000</f>
        <v>144481.041666</v>
      </c>
      <c r="L43" s="7">
        <f>+[4]Resumen!L43*1000</f>
        <v>184153.097232</v>
      </c>
      <c r="M43" s="7">
        <f>+[4]Resumen!M43*1000</f>
        <v>190601.999874</v>
      </c>
      <c r="N43" s="7">
        <f>+[4]Resumen!N43*1000</f>
        <v>214092.31404599998</v>
      </c>
      <c r="O43" s="7">
        <f>+[4]Resumen!O43*1000</f>
        <v>229459.33763999998</v>
      </c>
      <c r="P43" s="7">
        <f>+[4]Resumen!P43*1000</f>
        <v>250776.55874700003</v>
      </c>
      <c r="Q43" s="7">
        <f>+[4]Resumen!Q43*1000</f>
        <v>270087.83380800002</v>
      </c>
      <c r="R43" s="7">
        <f>+[4]Resumen!R43*1000</f>
        <v>274171.41846900003</v>
      </c>
      <c r="S43" s="7">
        <f>+[4]Resumen!S43*1000</f>
        <v>269147.06418599997</v>
      </c>
      <c r="T43" s="7">
        <f>+[4]Resumen!T43*1000</f>
        <v>271861.31688300002</v>
      </c>
      <c r="U43" s="7">
        <f>+[4]Resumen!U43*1000</f>
        <v>271488.23500499997</v>
      </c>
      <c r="V43" s="7">
        <f>+[4]Resumen!V43*1000</f>
        <v>262075.52147400004</v>
      </c>
      <c r="W43" s="7">
        <f>+[4]Resumen!W43*1000</f>
        <v>267642.98776800005</v>
      </c>
      <c r="X43" s="7">
        <f>+[4]Resumen!X43*1000</f>
        <v>285394.32066600001</v>
      </c>
      <c r="Y43" s="7">
        <f>+[4]Resumen!Y43*1000</f>
        <v>278259.11135099997</v>
      </c>
      <c r="Z43" s="7">
        <f>+[4]Resumen!Z43*1000</f>
        <v>255360.15156600002</v>
      </c>
      <c r="AA43" s="7">
        <f>+[4]Resumen!AA43*1000</f>
        <v>221902.384158</v>
      </c>
      <c r="AB43" s="7">
        <f>+[4]Resumen!AB43*1000</f>
        <v>178004.21593500001</v>
      </c>
      <c r="AC43" s="7">
        <f>+[4]Resumen!AC43*1000</f>
        <v>142882.40257199999</v>
      </c>
      <c r="AD43" s="57">
        <f t="shared" ref="AD43" si="8">SUM(F43:AC43)*E43+SUM(F44:AC44)*E44+SUM(F45:AC45)*E45+SUM(F46:AC46)*E46</f>
        <v>146694102.20185503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+[4]Resumen!F44*1000</f>
        <v>125319.70152</v>
      </c>
      <c r="G44" s="7">
        <f>+[4]Resumen!G44*1000</f>
        <v>106582.412898</v>
      </c>
      <c r="H44" s="7">
        <f>+[4]Resumen!H44*1000</f>
        <v>96830.444294999994</v>
      </c>
      <c r="I44" s="7">
        <f>+[4]Resumen!I44*1000</f>
        <v>93265.413228000005</v>
      </c>
      <c r="J44" s="7">
        <f>+[4]Resumen!J44*1000</f>
        <v>102954.54639599999</v>
      </c>
      <c r="K44" s="7">
        <f>+[4]Resumen!K44*1000</f>
        <v>119624.720202</v>
      </c>
      <c r="L44" s="7">
        <f>+[4]Resumen!L44*1000</f>
        <v>150558.72390000001</v>
      </c>
      <c r="M44" s="7">
        <f>+[4]Resumen!M44*1000</f>
        <v>164452.04766899999</v>
      </c>
      <c r="N44" s="7">
        <f>+[4]Resumen!N44*1000</f>
        <v>195728.40167399999</v>
      </c>
      <c r="O44" s="7">
        <f>+[4]Resumen!O44*1000</f>
        <v>217354.825935</v>
      </c>
      <c r="P44" s="7">
        <f>+[4]Resumen!P44*1000</f>
        <v>238278.96085499998</v>
      </c>
      <c r="Q44" s="7">
        <f>+[4]Resumen!Q44*1000</f>
        <v>252729.22779</v>
      </c>
      <c r="R44" s="7">
        <f>+[4]Resumen!R44*1000</f>
        <v>254168.45145899997</v>
      </c>
      <c r="S44" s="7">
        <f>+[4]Resumen!S44*1000</f>
        <v>245117.64232799999</v>
      </c>
      <c r="T44" s="7">
        <f>+[4]Resumen!T44*1000</f>
        <v>235971.10169100002</v>
      </c>
      <c r="U44" s="7">
        <f>+[4]Resumen!U44*1000</f>
        <v>232659.46863900003</v>
      </c>
      <c r="V44" s="7">
        <f>+[4]Resumen!V44*1000</f>
        <v>228668.54189399999</v>
      </c>
      <c r="W44" s="7">
        <f>+[4]Resumen!W44*1000</f>
        <v>246764.86578900003</v>
      </c>
      <c r="X44" s="7">
        <f>+[4]Resumen!X44*1000</f>
        <v>268728.27672599995</v>
      </c>
      <c r="Y44" s="7">
        <f>+[4]Resumen!Y44*1000</f>
        <v>259871.70982499997</v>
      </c>
      <c r="Z44" s="7">
        <f>+[4]Resumen!Z44*1000</f>
        <v>238558.12507799998</v>
      </c>
      <c r="AA44" s="7">
        <f>+[4]Resumen!AA44*1000</f>
        <v>210389.58614699999</v>
      </c>
      <c r="AB44" s="7">
        <f>+[4]Resumen!AB44*1000</f>
        <v>178765.340715</v>
      </c>
      <c r="AC44" s="7">
        <f>+[4]Resumen!AC44*1000</f>
        <v>148122.843219</v>
      </c>
      <c r="AD44" s="5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+[4]Resumen!F45*1000</f>
        <v>124169.38665300001</v>
      </c>
      <c r="G45" s="7">
        <f>+[4]Resumen!G45*1000</f>
        <v>105768.41371199999</v>
      </c>
      <c r="H45" s="7">
        <f>+[4]Resumen!H45*1000</f>
        <v>95002.143093000006</v>
      </c>
      <c r="I45" s="7">
        <f>+[4]Resumen!I45*1000</f>
        <v>89086.339485000004</v>
      </c>
      <c r="J45" s="7">
        <f>+[4]Resumen!J45*1000</f>
        <v>90928.138508999997</v>
      </c>
      <c r="K45" s="7">
        <f>+[4]Resumen!K45*1000</f>
        <v>95592.164147999996</v>
      </c>
      <c r="L45" s="7">
        <f>+[4]Resumen!L45*1000</f>
        <v>110267.859429</v>
      </c>
      <c r="M45" s="7">
        <f>+[4]Resumen!M45*1000</f>
        <v>114183.92910600001</v>
      </c>
      <c r="N45" s="7">
        <f>+[4]Resumen!N45*1000</f>
        <v>139775.193558</v>
      </c>
      <c r="O45" s="7">
        <f>+[4]Resumen!O45*1000</f>
        <v>160763.18988600001</v>
      </c>
      <c r="P45" s="7">
        <f>+[4]Resumen!P45*1000</f>
        <v>179493.54345</v>
      </c>
      <c r="Q45" s="7">
        <f>+[4]Resumen!Q45*1000</f>
        <v>199455.38063100001</v>
      </c>
      <c r="R45" s="7">
        <f>+[4]Resumen!R45*1000</f>
        <v>210090.09294</v>
      </c>
      <c r="S45" s="7">
        <f>+[4]Resumen!S45*1000</f>
        <v>207717.02604900001</v>
      </c>
      <c r="T45" s="7">
        <f>+[4]Resumen!T45*1000</f>
        <v>200095.55748000002</v>
      </c>
      <c r="U45" s="7">
        <f>+[4]Resumen!U45*1000</f>
        <v>195588.964584</v>
      </c>
      <c r="V45" s="7">
        <f>+[4]Resumen!V45*1000</f>
        <v>189441.044325</v>
      </c>
      <c r="W45" s="7">
        <f>+[4]Resumen!W45*1000</f>
        <v>208251.60993000001</v>
      </c>
      <c r="X45" s="7">
        <f>+[4]Resumen!X45*1000</f>
        <v>235123.92504900004</v>
      </c>
      <c r="Y45" s="7">
        <f>+[4]Resumen!Y45*1000</f>
        <v>232934.76706499999</v>
      </c>
      <c r="Z45" s="7">
        <f>+[4]Resumen!Z45*1000</f>
        <v>216341.74469699999</v>
      </c>
      <c r="AA45" s="7">
        <f>+[4]Resumen!AA45*1000</f>
        <v>191704.457646</v>
      </c>
      <c r="AB45" s="7">
        <f>+[4]Resumen!AB45*1000</f>
        <v>158927.52072600002</v>
      </c>
      <c r="AC45" s="7">
        <f>+[4]Resumen!AC45*1000</f>
        <v>127281.11947200001</v>
      </c>
      <c r="AD45" s="5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+[4]Resumen!F46*1000</f>
        <v>112302.46778399999</v>
      </c>
      <c r="G46" s="7">
        <f>+[4]Resumen!G46*1000</f>
        <v>96295.566042000006</v>
      </c>
      <c r="H46" s="7">
        <f>+[4]Resumen!H46*1000</f>
        <v>86885.700993000006</v>
      </c>
      <c r="I46" s="7">
        <f>+[4]Resumen!I46*1000</f>
        <v>82146.086685000002</v>
      </c>
      <c r="J46" s="7">
        <f>+[4]Resumen!J46*1000</f>
        <v>87105.016791000002</v>
      </c>
      <c r="K46" s="7">
        <f>+[4]Resumen!K46*1000</f>
        <v>93182.318073000002</v>
      </c>
      <c r="L46" s="7">
        <f>+[4]Resumen!L46*1000</f>
        <v>106855.67236500001</v>
      </c>
      <c r="M46" s="7">
        <f>+[4]Resumen!M46*1000</f>
        <v>110726.70745500001</v>
      </c>
      <c r="N46" s="7">
        <f>+[4]Resumen!N46*1000</f>
        <v>136174.855167</v>
      </c>
      <c r="O46" s="7">
        <f>+[4]Resumen!O46*1000</f>
        <v>155005.81902</v>
      </c>
      <c r="P46" s="7">
        <f>+[4]Resumen!P46*1000</f>
        <v>174855.695274</v>
      </c>
      <c r="Q46" s="7">
        <f>+[4]Resumen!Q46*1000</f>
        <v>200308.236921</v>
      </c>
      <c r="R46" s="7">
        <f>+[4]Resumen!R46*1000</f>
        <v>216728.85253500001</v>
      </c>
      <c r="S46" s="7">
        <f>+[4]Resumen!S46*1000</f>
        <v>216977.09038200002</v>
      </c>
      <c r="T46" s="7">
        <f>+[4]Resumen!T46*1000</f>
        <v>206181.36091799999</v>
      </c>
      <c r="U46" s="7">
        <f>+[4]Resumen!U46*1000</f>
        <v>203469.0606</v>
      </c>
      <c r="V46" s="7">
        <f>+[4]Resumen!V46*1000</f>
        <v>201421.015029</v>
      </c>
      <c r="W46" s="7">
        <f>+[4]Resumen!W46*1000</f>
        <v>218544.74249400001</v>
      </c>
      <c r="X46" s="7">
        <f>+[4]Resumen!X46*1000</f>
        <v>244797.14481299999</v>
      </c>
      <c r="Y46" s="7">
        <f>+[4]Resumen!Y46*1000</f>
        <v>244270.08040499999</v>
      </c>
      <c r="Z46" s="7">
        <f>+[4]Resumen!Z46*1000</f>
        <v>222736.22315100001</v>
      </c>
      <c r="AA46" s="7">
        <f>+[4]Resumen!AA46*1000</f>
        <v>193081.93678799999</v>
      </c>
      <c r="AB46" s="7">
        <f>+[4]Resumen!AB46*1000</f>
        <v>156537.92138400002</v>
      </c>
      <c r="AC46" s="7">
        <f>+[4]Resumen!AC46*1000</f>
        <v>123156.67338000001</v>
      </c>
      <c r="AD46" s="5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+[4]Resumen!F47*1000</f>
        <v>124845.139224</v>
      </c>
      <c r="G47" s="7">
        <f>+[4]Resumen!G47*1000</f>
        <v>108748.133676</v>
      </c>
      <c r="H47" s="7">
        <f>+[4]Resumen!H47*1000</f>
        <v>101122.180263</v>
      </c>
      <c r="I47" s="7">
        <f>+[4]Resumen!I47*1000</f>
        <v>101624.378895</v>
      </c>
      <c r="J47" s="7">
        <f>+[4]Resumen!J47*1000</f>
        <v>119731.38676200001</v>
      </c>
      <c r="K47" s="7">
        <f>+[4]Resumen!K47*1000</f>
        <v>158442.01471799999</v>
      </c>
      <c r="L47" s="7">
        <f>+[4]Resumen!L47*1000</f>
        <v>201251.755458</v>
      </c>
      <c r="M47" s="7">
        <f>+[4]Resumen!M47*1000</f>
        <v>211082.81056200003</v>
      </c>
      <c r="N47" s="7">
        <f>+[4]Resumen!N47*1000</f>
        <v>234467.05124700002</v>
      </c>
      <c r="O47" s="7">
        <f>+[4]Resumen!O47*1000</f>
        <v>249719.43859199999</v>
      </c>
      <c r="P47" s="7">
        <f>+[4]Resumen!P47*1000</f>
        <v>270551.72944800003</v>
      </c>
      <c r="Q47" s="7">
        <f>+[4]Resumen!Q47*1000</f>
        <v>290472.96493800002</v>
      </c>
      <c r="R47" s="7">
        <f>+[4]Resumen!R47*1000</f>
        <v>295484.678541</v>
      </c>
      <c r="S47" s="7">
        <f>+[4]Resumen!S47*1000</f>
        <v>289264.360086</v>
      </c>
      <c r="T47" s="7">
        <f>+[4]Resumen!T47*1000</f>
        <v>289600.61516099999</v>
      </c>
      <c r="U47" s="7">
        <f>+[4]Resumen!U47*1000</f>
        <v>289260.03541499999</v>
      </c>
      <c r="V47" s="7">
        <f>+[4]Resumen!V47*1000</f>
        <v>281652.78761100001</v>
      </c>
      <c r="W47" s="7">
        <f>+[4]Resumen!W47*1000</f>
        <v>293292.040041</v>
      </c>
      <c r="X47" s="7">
        <f>+[4]Resumen!X47*1000</f>
        <v>312919.25417999999</v>
      </c>
      <c r="Y47" s="7">
        <f>+[4]Resumen!Y47*1000</f>
        <v>304152.068142</v>
      </c>
      <c r="Z47" s="7">
        <f>+[4]Resumen!Z47*1000</f>
        <v>278806.32292499999</v>
      </c>
      <c r="AA47" s="7">
        <f>+[4]Resumen!AA47*1000</f>
        <v>241606.130688</v>
      </c>
      <c r="AB47" s="7">
        <f>+[4]Resumen!AB47*1000</f>
        <v>195418.43661599999</v>
      </c>
      <c r="AC47" s="7">
        <f>+[4]Resumen!AC47*1000</f>
        <v>157495.02432299999</v>
      </c>
      <c r="AD47" s="57">
        <f t="shared" ref="AD47" si="9">SUM(F47:AC47)*E47+SUM(F48:AC48)*E48+SUM(F49:AC49)*E49+SUM(F50:AC50)*E50</f>
        <v>151915111.21893603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+[4]Resumen!F48*1000</f>
        <v>131371.81668000002</v>
      </c>
      <c r="G48" s="7">
        <f>+[4]Resumen!G48*1000</f>
        <v>112914.627345</v>
      </c>
      <c r="H48" s="7">
        <f>+[4]Resumen!H48*1000</f>
        <v>102391.49934000001</v>
      </c>
      <c r="I48" s="7">
        <f>+[4]Resumen!I48*1000</f>
        <v>100189.254789</v>
      </c>
      <c r="J48" s="7">
        <f>+[4]Resumen!J48*1000</f>
        <v>111516.520518</v>
      </c>
      <c r="K48" s="7">
        <f>+[4]Resumen!K48*1000</f>
        <v>131029.297542</v>
      </c>
      <c r="L48" s="7">
        <f>+[4]Resumen!L48*1000</f>
        <v>165407.78264399999</v>
      </c>
      <c r="M48" s="7">
        <f>+[4]Resumen!M48*1000</f>
        <v>183707.17992900001</v>
      </c>
      <c r="N48" s="7">
        <f>+[4]Resumen!N48*1000</f>
        <v>217290.70911599998</v>
      </c>
      <c r="O48" s="7">
        <f>+[4]Resumen!O48*1000</f>
        <v>238091.41125899999</v>
      </c>
      <c r="P48" s="7">
        <f>+[4]Resumen!P48*1000</f>
        <v>256329.49691699998</v>
      </c>
      <c r="Q48" s="7">
        <f>+[4]Resumen!Q48*1000</f>
        <v>267366.13956000004</v>
      </c>
      <c r="R48" s="7">
        <f>+[4]Resumen!R48*1000</f>
        <v>268949.13797700003</v>
      </c>
      <c r="S48" s="7">
        <f>+[4]Resumen!S48*1000</f>
        <v>260248.95187200003</v>
      </c>
      <c r="T48" s="7">
        <f>+[4]Resumen!T48*1000</f>
        <v>250649.61947999999</v>
      </c>
      <c r="U48" s="7">
        <f>+[4]Resumen!U48*1000</f>
        <v>244852.880688</v>
      </c>
      <c r="V48" s="7">
        <f>+[4]Resumen!V48*1000</f>
        <v>238367.796264</v>
      </c>
      <c r="W48" s="7">
        <f>+[4]Resumen!W48*1000</f>
        <v>260169.00390000001</v>
      </c>
      <c r="X48" s="7">
        <f>+[4]Resumen!X48*1000</f>
        <v>283523.38747200003</v>
      </c>
      <c r="Y48" s="7">
        <f>+[4]Resumen!Y48*1000</f>
        <v>275083.20976499998</v>
      </c>
      <c r="Z48" s="7">
        <f>+[4]Resumen!Z48*1000</f>
        <v>252356.35370400001</v>
      </c>
      <c r="AA48" s="7">
        <f>+[4]Resumen!AA48*1000</f>
        <v>221681.36706299998</v>
      </c>
      <c r="AB48" s="7">
        <f>+[4]Resumen!AB48*1000</f>
        <v>187642.98118800001</v>
      </c>
      <c r="AC48" s="7">
        <f>+[4]Resumen!AC48*1000</f>
        <v>154400.28715800002</v>
      </c>
      <c r="AD48" s="5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+[4]Resumen!F49*1000</f>
        <v>122451.254172</v>
      </c>
      <c r="G49" s="7">
        <f>+[4]Resumen!G49*1000</f>
        <v>103676.454765</v>
      </c>
      <c r="H49" s="7">
        <f>+[4]Resumen!H49*1000</f>
        <v>92580.725600999998</v>
      </c>
      <c r="I49" s="7">
        <f>+[4]Resumen!I49*1000</f>
        <v>87365.155058999997</v>
      </c>
      <c r="J49" s="7">
        <f>+[4]Resumen!J49*1000</f>
        <v>90016.879680000013</v>
      </c>
      <c r="K49" s="7">
        <f>+[4]Resumen!K49*1000</f>
        <v>97146.13661999999</v>
      </c>
      <c r="L49" s="7">
        <f>+[4]Resumen!L49*1000</f>
        <v>113036.79605400001</v>
      </c>
      <c r="M49" s="7">
        <f>+[4]Resumen!M49*1000</f>
        <v>120375.27789299999</v>
      </c>
      <c r="N49" s="7">
        <f>+[4]Resumen!N49*1000</f>
        <v>147683.787381</v>
      </c>
      <c r="O49" s="7">
        <f>+[4]Resumen!O49*1000</f>
        <v>170505.06758999999</v>
      </c>
      <c r="P49" s="7">
        <f>+[4]Resumen!P49*1000</f>
        <v>188327.629854</v>
      </c>
      <c r="Q49" s="7">
        <f>+[4]Resumen!Q49*1000</f>
        <v>206220.94096499999</v>
      </c>
      <c r="R49" s="7">
        <f>+[4]Resumen!R49*1000</f>
        <v>218560.807413</v>
      </c>
      <c r="S49" s="7">
        <f>+[4]Resumen!S49*1000</f>
        <v>220529.51540100001</v>
      </c>
      <c r="T49" s="7">
        <f>+[4]Resumen!T49*1000</f>
        <v>213695.43998400003</v>
      </c>
      <c r="U49" s="7">
        <f>+[4]Resumen!U49*1000</f>
        <v>207113.86647900002</v>
      </c>
      <c r="V49" s="7">
        <f>+[4]Resumen!V49*1000</f>
        <v>201143.49149700001</v>
      </c>
      <c r="W49" s="7">
        <f>+[4]Resumen!W49*1000</f>
        <v>221107.33733400001</v>
      </c>
      <c r="X49" s="7">
        <f>+[4]Resumen!X49*1000</f>
        <v>248290.63915499998</v>
      </c>
      <c r="Y49" s="7">
        <f>+[4]Resumen!Y49*1000</f>
        <v>244040.942106</v>
      </c>
      <c r="Z49" s="7">
        <f>+[4]Resumen!Z49*1000</f>
        <v>226942.95054600001</v>
      </c>
      <c r="AA49" s="7">
        <f>+[4]Resumen!AA49*1000</f>
        <v>201592.48671900001</v>
      </c>
      <c r="AB49" s="7">
        <f>+[4]Resumen!AB49*1000</f>
        <v>170470.55680200001</v>
      </c>
      <c r="AC49" s="7">
        <f>+[4]Resumen!AC49*1000</f>
        <v>136932.40852200001</v>
      </c>
      <c r="AD49" s="5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+[4]Resumen!F50*1000</f>
        <v>114633.68623200001</v>
      </c>
      <c r="G50" s="7">
        <f>+[4]Resumen!G50*1000</f>
        <v>98067.412755000012</v>
      </c>
      <c r="H50" s="7">
        <f>+[4]Resumen!H50*1000</f>
        <v>88153.154270999992</v>
      </c>
      <c r="I50" s="7">
        <f>+[4]Resumen!I50*1000</f>
        <v>83642.474799000003</v>
      </c>
      <c r="J50" s="7">
        <f>+[4]Resumen!J50*1000</f>
        <v>89096.001812999995</v>
      </c>
      <c r="K50" s="7">
        <f>+[4]Resumen!K50*1000</f>
        <v>99270.515448000006</v>
      </c>
      <c r="L50" s="7">
        <f>+[4]Resumen!L50*1000</f>
        <v>111889.000665</v>
      </c>
      <c r="M50" s="7">
        <f>+[4]Resumen!M50*1000</f>
        <v>113898.28004099999</v>
      </c>
      <c r="N50" s="7">
        <f>+[4]Resumen!N50*1000</f>
        <v>141213.200778</v>
      </c>
      <c r="O50" s="7">
        <f>+[4]Resumen!O50*1000</f>
        <v>162672.04512</v>
      </c>
      <c r="P50" s="7">
        <f>+[4]Resumen!P50*1000</f>
        <v>186224.874381</v>
      </c>
      <c r="Q50" s="7">
        <f>+[4]Resumen!Q50*1000</f>
        <v>208862.66126699999</v>
      </c>
      <c r="R50" s="7">
        <f>+[4]Resumen!R50*1000</f>
        <v>223894.04450400002</v>
      </c>
      <c r="S50" s="7">
        <f>+[4]Resumen!S50*1000</f>
        <v>224378.09596800001</v>
      </c>
      <c r="T50" s="7">
        <f>+[4]Resumen!T50*1000</f>
        <v>214374.945798</v>
      </c>
      <c r="U50" s="7">
        <f>+[4]Resumen!U50*1000</f>
        <v>207111.73228200001</v>
      </c>
      <c r="V50" s="7">
        <f>+[4]Resumen!V50*1000</f>
        <v>204248.258955</v>
      </c>
      <c r="W50" s="7">
        <f>+[4]Resumen!W50*1000</f>
        <v>228459.96201600003</v>
      </c>
      <c r="X50" s="7">
        <f>+[4]Resumen!X50*1000</f>
        <v>254965.49395200002</v>
      </c>
      <c r="Y50" s="7">
        <f>+[4]Resumen!Y50*1000</f>
        <v>252006.033708</v>
      </c>
      <c r="Z50" s="7">
        <f>+[4]Resumen!Z50*1000</f>
        <v>229697.20753199997</v>
      </c>
      <c r="AA50" s="7">
        <f>+[4]Resumen!AA50*1000</f>
        <v>197160.26604300001</v>
      </c>
      <c r="AB50" s="7">
        <f>+[4]Resumen!AB50*1000</f>
        <v>159058.54223999998</v>
      </c>
      <c r="AC50" s="7">
        <f>+[4]Resumen!AC50*1000</f>
        <v>123795.82425600001</v>
      </c>
      <c r="AD50" s="59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20</v>
      </c>
      <c r="F51" s="7">
        <f>+[4]Resumen!F51*1000</f>
        <v>124536.22178400001</v>
      </c>
      <c r="G51" s="7">
        <f>+[4]Resumen!G51*1000</f>
        <v>107031.936258</v>
      </c>
      <c r="H51" s="7">
        <f>+[4]Resumen!H51*1000</f>
        <v>97612.880742000008</v>
      </c>
      <c r="I51" s="7">
        <f>+[4]Resumen!I51*1000</f>
        <v>96330.314924999999</v>
      </c>
      <c r="J51" s="7">
        <f>+[4]Resumen!J51*1000</f>
        <v>109412.886258</v>
      </c>
      <c r="K51" s="7">
        <f>+[4]Resumen!K51*1000</f>
        <v>136466.94145499999</v>
      </c>
      <c r="L51" s="7">
        <f>+[4]Resumen!L51*1000</f>
        <v>171010.62552600002</v>
      </c>
      <c r="M51" s="7">
        <f>+[4]Resumen!M51*1000</f>
        <v>184687.56423000002</v>
      </c>
      <c r="N51" s="7">
        <f>+[4]Resumen!N51*1000</f>
        <v>213657.00279299999</v>
      </c>
      <c r="O51" s="7">
        <f>+[4]Resumen!O51*1000</f>
        <v>230485.14613799998</v>
      </c>
      <c r="P51" s="7">
        <f>+[4]Resumen!P51*1000</f>
        <v>250502.675904</v>
      </c>
      <c r="Q51" s="7">
        <f>+[4]Resumen!Q51*1000</f>
        <v>269583.08972400002</v>
      </c>
      <c r="R51" s="7">
        <f>+[4]Resumen!R51*1000</f>
        <v>277357.90878900001</v>
      </c>
      <c r="S51" s="7">
        <f>+[4]Resumen!S51*1000</f>
        <v>272325.85321500001</v>
      </c>
      <c r="T51" s="7">
        <f>+[4]Resumen!T51*1000</f>
        <v>272706.56712000002</v>
      </c>
      <c r="U51" s="7">
        <f>+[4]Resumen!U51*1000</f>
        <v>271713.66768000001</v>
      </c>
      <c r="V51" s="7">
        <f>+[4]Resumen!V51*1000</f>
        <v>263505.13043399999</v>
      </c>
      <c r="W51" s="7">
        <f>+[4]Resumen!W51*1000</f>
        <v>269852.18902200001</v>
      </c>
      <c r="X51" s="7">
        <f>+[4]Resumen!X51*1000</f>
        <v>293062.525119</v>
      </c>
      <c r="Y51" s="7">
        <f>+[4]Resumen!Y51*1000</f>
        <v>287330.43561300001</v>
      </c>
      <c r="Z51" s="7">
        <f>+[4]Resumen!Z51*1000</f>
        <v>264591.89991000004</v>
      </c>
      <c r="AA51" s="7">
        <f>+[4]Resumen!AA51*1000</f>
        <v>233920.97820000001</v>
      </c>
      <c r="AB51" s="7">
        <f>+[4]Resumen!AB51*1000</f>
        <v>194282.95723200002</v>
      </c>
      <c r="AC51" s="7">
        <f>+[4]Resumen!AC51*1000</f>
        <v>159129.24779699999</v>
      </c>
      <c r="AD51" s="57">
        <f t="shared" ref="AD51" si="10">SUM(F51:AC51)*E51+SUM(F52:AC52)*E52+SUM(F53:AC53)*E53+SUM(F54:AC54)*E54</f>
        <v>146464743.34896302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+[4]Resumen!F52*1000</f>
        <v>133794.79694099998</v>
      </c>
      <c r="G52" s="7">
        <f>+[4]Resumen!G52*1000</f>
        <v>113727.64817700001</v>
      </c>
      <c r="H52" s="7">
        <f>+[4]Resumen!H52*1000</f>
        <v>102771.15696899999</v>
      </c>
      <c r="I52" s="7">
        <f>+[4]Resumen!I52*1000</f>
        <v>98587.957689000003</v>
      </c>
      <c r="J52" s="7">
        <f>+[4]Resumen!J52*1000</f>
        <v>107136.19589399999</v>
      </c>
      <c r="K52" s="7">
        <f>+[4]Resumen!K52*1000</f>
        <v>124092.70707600001</v>
      </c>
      <c r="L52" s="7">
        <f>+[4]Resumen!L52*1000</f>
        <v>152144.08595100002</v>
      </c>
      <c r="M52" s="7">
        <f>+[4]Resumen!M52*1000</f>
        <v>164801.39796899998</v>
      </c>
      <c r="N52" s="7">
        <f>+[4]Resumen!N52*1000</f>
        <v>197154.10587600002</v>
      </c>
      <c r="O52" s="7">
        <f>+[4]Resumen!O52*1000</f>
        <v>218826.131823</v>
      </c>
      <c r="P52" s="7">
        <f>+[4]Resumen!P52*1000</f>
        <v>235793.85511499998</v>
      </c>
      <c r="Q52" s="7">
        <f>+[4]Resumen!Q52*1000</f>
        <v>248096.29302900002</v>
      </c>
      <c r="R52" s="7">
        <f>+[4]Resumen!R52*1000</f>
        <v>250420.87512000001</v>
      </c>
      <c r="S52" s="7">
        <f>+[4]Resumen!S52*1000</f>
        <v>243060.20715600002</v>
      </c>
      <c r="T52" s="7">
        <f>+[4]Resumen!T52*1000</f>
        <v>234423.12488399999</v>
      </c>
      <c r="U52" s="7">
        <f>+[4]Resumen!U52*1000</f>
        <v>228019.96678500003</v>
      </c>
      <c r="V52" s="7">
        <f>+[4]Resumen!V52*1000</f>
        <v>221743.44059399999</v>
      </c>
      <c r="W52" s="7">
        <f>+[4]Resumen!W52*1000</f>
        <v>238070.36366099998</v>
      </c>
      <c r="X52" s="7">
        <f>+[4]Resumen!X52*1000</f>
        <v>267972.79696200002</v>
      </c>
      <c r="Y52" s="7">
        <f>+[4]Resumen!Y52*1000</f>
        <v>260905.07242799998</v>
      </c>
      <c r="Z52" s="7">
        <f>+[4]Resumen!Z52*1000</f>
        <v>236533.55134500001</v>
      </c>
      <c r="AA52" s="7">
        <f>+[4]Resumen!AA52*1000</f>
        <v>209824.12350900003</v>
      </c>
      <c r="AB52" s="7">
        <f>+[4]Resumen!AB52*1000</f>
        <v>180737.01406799999</v>
      </c>
      <c r="AC52" s="7">
        <f>+[4]Resumen!AC52*1000</f>
        <v>153074.90320200002</v>
      </c>
      <c r="AD52" s="5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5</v>
      </c>
      <c r="F53" s="7">
        <f>+[4]Resumen!F53*1000</f>
        <v>133020.74576699999</v>
      </c>
      <c r="G53" s="7">
        <f>+[4]Resumen!G53*1000</f>
        <v>111615.73254</v>
      </c>
      <c r="H53" s="7">
        <f>+[4]Resumen!H53*1000</f>
        <v>99899.428239000001</v>
      </c>
      <c r="I53" s="7">
        <f>+[4]Resumen!I53*1000</f>
        <v>93217.989032999991</v>
      </c>
      <c r="J53" s="7">
        <f>+[4]Resumen!J53*1000</f>
        <v>93032.829044999991</v>
      </c>
      <c r="K53" s="7">
        <f>+[4]Resumen!K53*1000</f>
        <v>99811.181574000002</v>
      </c>
      <c r="L53" s="7">
        <f>+[4]Resumen!L53*1000</f>
        <v>111524.19583500001</v>
      </c>
      <c r="M53" s="7">
        <f>+[4]Resumen!M53*1000</f>
        <v>112040.62389</v>
      </c>
      <c r="N53" s="7">
        <f>+[4]Resumen!N53*1000</f>
        <v>138591.718551</v>
      </c>
      <c r="O53" s="7">
        <f>+[4]Resumen!O53*1000</f>
        <v>160731.86957099999</v>
      </c>
      <c r="P53" s="7">
        <f>+[4]Resumen!P53*1000</f>
        <v>178682.72175</v>
      </c>
      <c r="Q53" s="7">
        <f>+[4]Resumen!Q53*1000</f>
        <v>195753.427623</v>
      </c>
      <c r="R53" s="7">
        <f>+[4]Resumen!R53*1000</f>
        <v>206792.44255800001</v>
      </c>
      <c r="S53" s="7">
        <f>+[4]Resumen!S53*1000</f>
        <v>208786.83450300002</v>
      </c>
      <c r="T53" s="7">
        <f>+[4]Resumen!T53*1000</f>
        <v>202790.00500199999</v>
      </c>
      <c r="U53" s="7">
        <f>+[4]Resumen!U53*1000</f>
        <v>199352.307141</v>
      </c>
      <c r="V53" s="7">
        <f>+[4]Resumen!V53*1000</f>
        <v>194800.341996</v>
      </c>
      <c r="W53" s="7">
        <f>+[4]Resumen!W53*1000</f>
        <v>210180.19241699998</v>
      </c>
      <c r="X53" s="7">
        <f>+[4]Resumen!X53*1000</f>
        <v>237914.29888199997</v>
      </c>
      <c r="Y53" s="7">
        <f>+[4]Resumen!Y53*1000</f>
        <v>238711.71799800001</v>
      </c>
      <c r="Z53" s="7">
        <f>+[4]Resumen!Z53*1000</f>
        <v>226952.82932399999</v>
      </c>
      <c r="AA53" s="7">
        <f>+[4]Resumen!AA53*1000</f>
        <v>205173.25803</v>
      </c>
      <c r="AB53" s="7">
        <f>+[4]Resumen!AB53*1000</f>
        <v>174196.98164700001</v>
      </c>
      <c r="AC53" s="7">
        <f>+[4]Resumen!AC53*1000</f>
        <v>140570.30531699999</v>
      </c>
      <c r="AD53" s="5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+[4]Resumen!F54*1000</f>
        <v>127108.95514199999</v>
      </c>
      <c r="G54" s="7">
        <f>+[4]Resumen!G54*1000</f>
        <v>110995.940952</v>
      </c>
      <c r="H54" s="7">
        <f>+[4]Resumen!H54*1000</f>
        <v>98223.577101000003</v>
      </c>
      <c r="I54" s="7">
        <f>+[4]Resumen!I54*1000</f>
        <v>89409.135699000006</v>
      </c>
      <c r="J54" s="7">
        <f>+[4]Resumen!J54*1000</f>
        <v>87085.497330000013</v>
      </c>
      <c r="K54" s="7">
        <f>+[4]Resumen!K54*1000</f>
        <v>89457.767684999999</v>
      </c>
      <c r="L54" s="7">
        <f>+[4]Resumen!L54*1000</f>
        <v>94258.503144000002</v>
      </c>
      <c r="M54" s="7">
        <f>+[4]Resumen!M54*1000</f>
        <v>87971.474799000003</v>
      </c>
      <c r="N54" s="7">
        <f>+[4]Resumen!N54*1000</f>
        <v>107517.113262</v>
      </c>
      <c r="O54" s="7">
        <f>+[4]Resumen!O54*1000</f>
        <v>127640.106126</v>
      </c>
      <c r="P54" s="7">
        <f>+[4]Resumen!P54*1000</f>
        <v>146896.95699899999</v>
      </c>
      <c r="Q54" s="7">
        <f>+[4]Resumen!Q54*1000</f>
        <v>165238.639956</v>
      </c>
      <c r="R54" s="7">
        <f>+[4]Resumen!R54*1000</f>
        <v>179580.44379600001</v>
      </c>
      <c r="S54" s="7">
        <f>+[4]Resumen!S54*1000</f>
        <v>181945.40679899999</v>
      </c>
      <c r="T54" s="7">
        <f>+[4]Resumen!T54*1000</f>
        <v>176956.57196100001</v>
      </c>
      <c r="U54" s="7">
        <f>+[4]Resumen!U54*1000</f>
        <v>176246.89301699999</v>
      </c>
      <c r="V54" s="7">
        <f>+[4]Resumen!V54*1000</f>
        <v>174583.751823</v>
      </c>
      <c r="W54" s="7">
        <f>+[4]Resumen!W54*1000</f>
        <v>189737.870868</v>
      </c>
      <c r="X54" s="7">
        <f>+[4]Resumen!X54*1000</f>
        <v>223294.28752800002</v>
      </c>
      <c r="Y54" s="7">
        <f>+[4]Resumen!Y54*1000</f>
        <v>223949.221938</v>
      </c>
      <c r="Z54" s="7">
        <f>+[4]Resumen!Z54*1000</f>
        <v>209522.17575900001</v>
      </c>
      <c r="AA54" s="7">
        <f>+[4]Resumen!AA54*1000</f>
        <v>187635.95089199999</v>
      </c>
      <c r="AB54" s="7">
        <f>+[4]Resumen!AB54*1000</f>
        <v>159069.62448</v>
      </c>
      <c r="AC54" s="7">
        <f>+[4]Resumen!AC54*1000</f>
        <v>128295.85871699998</v>
      </c>
      <c r="AD54" s="59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AA55" s="60" t="s">
        <v>46</v>
      </c>
      <c r="AB55" s="61"/>
      <c r="AC55" s="62"/>
      <c r="AD55" s="17">
        <f>SUM(AD7:AD54)</f>
        <v>1762371698.9122529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6">
    <mergeCell ref="AD43:AD46"/>
    <mergeCell ref="AD47:AD50"/>
    <mergeCell ref="AD51:AD54"/>
    <mergeCell ref="AA55:AC55"/>
    <mergeCell ref="AD19:AD22"/>
    <mergeCell ref="AD23:AD26"/>
    <mergeCell ref="AD27:AD30"/>
    <mergeCell ref="AD31:AD34"/>
    <mergeCell ref="AD35:AD38"/>
    <mergeCell ref="AD39:AD42"/>
    <mergeCell ref="AD15:AD18"/>
    <mergeCell ref="C2:AD2"/>
    <mergeCell ref="C3:AD3"/>
    <mergeCell ref="C4:AD4"/>
    <mergeCell ref="AD7:AD10"/>
    <mergeCell ref="AD11:AD14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8FC-5452-48EB-BFE9-0A227EE50D8E}">
  <dimension ref="C1:BD57"/>
  <sheetViews>
    <sheetView showGridLines="0" zoomScale="66" zoomScaleNormal="66" workbookViewId="0">
      <selection activeCell="I24" sqref="I24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81640625" style="1" customWidth="1"/>
    <col min="5" max="5" width="9.1796875" style="1" customWidth="1"/>
    <col min="6" max="29" width="11.54296875" style="1" customWidth="1"/>
    <col min="30" max="30" width="19.54296875" style="1" bestFit="1" customWidth="1"/>
    <col min="31" max="31" width="2.81640625" style="1" customWidth="1"/>
    <col min="32" max="55" width="11.453125" style="1"/>
    <col min="56" max="56" width="15.1796875" style="1" bestFit="1" customWidth="1"/>
    <col min="57" max="258" width="11.453125" style="1"/>
    <col min="259" max="259" width="7" style="1" customWidth="1"/>
    <col min="260" max="260" width="10.81640625" style="1" customWidth="1"/>
    <col min="261" max="261" width="9.1796875" style="1" customWidth="1"/>
    <col min="262" max="285" width="7.1796875" style="1" customWidth="1"/>
    <col min="286" max="286" width="14.1796875" style="1" bestFit="1" customWidth="1"/>
    <col min="287" max="514" width="11.453125" style="1"/>
    <col min="515" max="515" width="7" style="1" customWidth="1"/>
    <col min="516" max="516" width="10.81640625" style="1" customWidth="1"/>
    <col min="517" max="517" width="9.1796875" style="1" customWidth="1"/>
    <col min="518" max="541" width="7.1796875" style="1" customWidth="1"/>
    <col min="542" max="542" width="14.1796875" style="1" bestFit="1" customWidth="1"/>
    <col min="543" max="770" width="11.453125" style="1"/>
    <col min="771" max="771" width="7" style="1" customWidth="1"/>
    <col min="772" max="772" width="10.81640625" style="1" customWidth="1"/>
    <col min="773" max="773" width="9.1796875" style="1" customWidth="1"/>
    <col min="774" max="797" width="7.1796875" style="1" customWidth="1"/>
    <col min="798" max="798" width="14.1796875" style="1" bestFit="1" customWidth="1"/>
    <col min="799" max="1026" width="11.453125" style="1"/>
    <col min="1027" max="1027" width="7" style="1" customWidth="1"/>
    <col min="1028" max="1028" width="10.81640625" style="1" customWidth="1"/>
    <col min="1029" max="1029" width="9.1796875" style="1" customWidth="1"/>
    <col min="1030" max="1053" width="7.1796875" style="1" customWidth="1"/>
    <col min="1054" max="1054" width="14.1796875" style="1" bestFit="1" customWidth="1"/>
    <col min="1055" max="1282" width="11.453125" style="1"/>
    <col min="1283" max="1283" width="7" style="1" customWidth="1"/>
    <col min="1284" max="1284" width="10.81640625" style="1" customWidth="1"/>
    <col min="1285" max="1285" width="9.1796875" style="1" customWidth="1"/>
    <col min="1286" max="1309" width="7.1796875" style="1" customWidth="1"/>
    <col min="1310" max="1310" width="14.1796875" style="1" bestFit="1" customWidth="1"/>
    <col min="1311" max="1538" width="11.453125" style="1"/>
    <col min="1539" max="1539" width="7" style="1" customWidth="1"/>
    <col min="1540" max="1540" width="10.81640625" style="1" customWidth="1"/>
    <col min="1541" max="1541" width="9.1796875" style="1" customWidth="1"/>
    <col min="1542" max="1565" width="7.1796875" style="1" customWidth="1"/>
    <col min="1566" max="1566" width="14.1796875" style="1" bestFit="1" customWidth="1"/>
    <col min="1567" max="1794" width="11.453125" style="1"/>
    <col min="1795" max="1795" width="7" style="1" customWidth="1"/>
    <col min="1796" max="1796" width="10.81640625" style="1" customWidth="1"/>
    <col min="1797" max="1797" width="9.1796875" style="1" customWidth="1"/>
    <col min="1798" max="1821" width="7.1796875" style="1" customWidth="1"/>
    <col min="1822" max="1822" width="14.1796875" style="1" bestFit="1" customWidth="1"/>
    <col min="1823" max="2050" width="11.453125" style="1"/>
    <col min="2051" max="2051" width="7" style="1" customWidth="1"/>
    <col min="2052" max="2052" width="10.81640625" style="1" customWidth="1"/>
    <col min="2053" max="2053" width="9.1796875" style="1" customWidth="1"/>
    <col min="2054" max="2077" width="7.1796875" style="1" customWidth="1"/>
    <col min="2078" max="2078" width="14.1796875" style="1" bestFit="1" customWidth="1"/>
    <col min="2079" max="2306" width="11.453125" style="1"/>
    <col min="2307" max="2307" width="7" style="1" customWidth="1"/>
    <col min="2308" max="2308" width="10.81640625" style="1" customWidth="1"/>
    <col min="2309" max="2309" width="9.1796875" style="1" customWidth="1"/>
    <col min="2310" max="2333" width="7.1796875" style="1" customWidth="1"/>
    <col min="2334" max="2334" width="14.1796875" style="1" bestFit="1" customWidth="1"/>
    <col min="2335" max="2562" width="11.453125" style="1"/>
    <col min="2563" max="2563" width="7" style="1" customWidth="1"/>
    <col min="2564" max="2564" width="10.81640625" style="1" customWidth="1"/>
    <col min="2565" max="2565" width="9.1796875" style="1" customWidth="1"/>
    <col min="2566" max="2589" width="7.1796875" style="1" customWidth="1"/>
    <col min="2590" max="2590" width="14.1796875" style="1" bestFit="1" customWidth="1"/>
    <col min="2591" max="2818" width="11.453125" style="1"/>
    <col min="2819" max="2819" width="7" style="1" customWidth="1"/>
    <col min="2820" max="2820" width="10.81640625" style="1" customWidth="1"/>
    <col min="2821" max="2821" width="9.1796875" style="1" customWidth="1"/>
    <col min="2822" max="2845" width="7.1796875" style="1" customWidth="1"/>
    <col min="2846" max="2846" width="14.1796875" style="1" bestFit="1" customWidth="1"/>
    <col min="2847" max="3074" width="11.453125" style="1"/>
    <col min="3075" max="3075" width="7" style="1" customWidth="1"/>
    <col min="3076" max="3076" width="10.81640625" style="1" customWidth="1"/>
    <col min="3077" max="3077" width="9.1796875" style="1" customWidth="1"/>
    <col min="3078" max="3101" width="7.1796875" style="1" customWidth="1"/>
    <col min="3102" max="3102" width="14.1796875" style="1" bestFit="1" customWidth="1"/>
    <col min="3103" max="3330" width="11.453125" style="1"/>
    <col min="3331" max="3331" width="7" style="1" customWidth="1"/>
    <col min="3332" max="3332" width="10.81640625" style="1" customWidth="1"/>
    <col min="3333" max="3333" width="9.1796875" style="1" customWidth="1"/>
    <col min="3334" max="3357" width="7.1796875" style="1" customWidth="1"/>
    <col min="3358" max="3358" width="14.1796875" style="1" bestFit="1" customWidth="1"/>
    <col min="3359" max="3586" width="11.453125" style="1"/>
    <col min="3587" max="3587" width="7" style="1" customWidth="1"/>
    <col min="3588" max="3588" width="10.81640625" style="1" customWidth="1"/>
    <col min="3589" max="3589" width="9.1796875" style="1" customWidth="1"/>
    <col min="3590" max="3613" width="7.1796875" style="1" customWidth="1"/>
    <col min="3614" max="3614" width="14.1796875" style="1" bestFit="1" customWidth="1"/>
    <col min="3615" max="3842" width="11.453125" style="1"/>
    <col min="3843" max="3843" width="7" style="1" customWidth="1"/>
    <col min="3844" max="3844" width="10.81640625" style="1" customWidth="1"/>
    <col min="3845" max="3845" width="9.1796875" style="1" customWidth="1"/>
    <col min="3846" max="3869" width="7.1796875" style="1" customWidth="1"/>
    <col min="3870" max="3870" width="14.1796875" style="1" bestFit="1" customWidth="1"/>
    <col min="3871" max="4098" width="11.453125" style="1"/>
    <col min="4099" max="4099" width="7" style="1" customWidth="1"/>
    <col min="4100" max="4100" width="10.81640625" style="1" customWidth="1"/>
    <col min="4101" max="4101" width="9.1796875" style="1" customWidth="1"/>
    <col min="4102" max="4125" width="7.1796875" style="1" customWidth="1"/>
    <col min="4126" max="4126" width="14.1796875" style="1" bestFit="1" customWidth="1"/>
    <col min="4127" max="4354" width="11.453125" style="1"/>
    <col min="4355" max="4355" width="7" style="1" customWidth="1"/>
    <col min="4356" max="4356" width="10.81640625" style="1" customWidth="1"/>
    <col min="4357" max="4357" width="9.1796875" style="1" customWidth="1"/>
    <col min="4358" max="4381" width="7.1796875" style="1" customWidth="1"/>
    <col min="4382" max="4382" width="14.1796875" style="1" bestFit="1" customWidth="1"/>
    <col min="4383" max="4610" width="11.453125" style="1"/>
    <col min="4611" max="4611" width="7" style="1" customWidth="1"/>
    <col min="4612" max="4612" width="10.81640625" style="1" customWidth="1"/>
    <col min="4613" max="4613" width="9.1796875" style="1" customWidth="1"/>
    <col min="4614" max="4637" width="7.1796875" style="1" customWidth="1"/>
    <col min="4638" max="4638" width="14.1796875" style="1" bestFit="1" customWidth="1"/>
    <col min="4639" max="4866" width="11.453125" style="1"/>
    <col min="4867" max="4867" width="7" style="1" customWidth="1"/>
    <col min="4868" max="4868" width="10.81640625" style="1" customWidth="1"/>
    <col min="4869" max="4869" width="9.1796875" style="1" customWidth="1"/>
    <col min="4870" max="4893" width="7.1796875" style="1" customWidth="1"/>
    <col min="4894" max="4894" width="14.1796875" style="1" bestFit="1" customWidth="1"/>
    <col min="4895" max="5122" width="11.453125" style="1"/>
    <col min="5123" max="5123" width="7" style="1" customWidth="1"/>
    <col min="5124" max="5124" width="10.81640625" style="1" customWidth="1"/>
    <col min="5125" max="5125" width="9.1796875" style="1" customWidth="1"/>
    <col min="5126" max="5149" width="7.1796875" style="1" customWidth="1"/>
    <col min="5150" max="5150" width="14.1796875" style="1" bestFit="1" customWidth="1"/>
    <col min="5151" max="5378" width="11.453125" style="1"/>
    <col min="5379" max="5379" width="7" style="1" customWidth="1"/>
    <col min="5380" max="5380" width="10.81640625" style="1" customWidth="1"/>
    <col min="5381" max="5381" width="9.1796875" style="1" customWidth="1"/>
    <col min="5382" max="5405" width="7.1796875" style="1" customWidth="1"/>
    <col min="5406" max="5406" width="14.1796875" style="1" bestFit="1" customWidth="1"/>
    <col min="5407" max="5634" width="11.453125" style="1"/>
    <col min="5635" max="5635" width="7" style="1" customWidth="1"/>
    <col min="5636" max="5636" width="10.81640625" style="1" customWidth="1"/>
    <col min="5637" max="5637" width="9.1796875" style="1" customWidth="1"/>
    <col min="5638" max="5661" width="7.1796875" style="1" customWidth="1"/>
    <col min="5662" max="5662" width="14.1796875" style="1" bestFit="1" customWidth="1"/>
    <col min="5663" max="5890" width="11.453125" style="1"/>
    <col min="5891" max="5891" width="7" style="1" customWidth="1"/>
    <col min="5892" max="5892" width="10.81640625" style="1" customWidth="1"/>
    <col min="5893" max="5893" width="9.1796875" style="1" customWidth="1"/>
    <col min="5894" max="5917" width="7.1796875" style="1" customWidth="1"/>
    <col min="5918" max="5918" width="14.1796875" style="1" bestFit="1" customWidth="1"/>
    <col min="5919" max="6146" width="11.453125" style="1"/>
    <col min="6147" max="6147" width="7" style="1" customWidth="1"/>
    <col min="6148" max="6148" width="10.81640625" style="1" customWidth="1"/>
    <col min="6149" max="6149" width="9.1796875" style="1" customWidth="1"/>
    <col min="6150" max="6173" width="7.1796875" style="1" customWidth="1"/>
    <col min="6174" max="6174" width="14.1796875" style="1" bestFit="1" customWidth="1"/>
    <col min="6175" max="6402" width="11.453125" style="1"/>
    <col min="6403" max="6403" width="7" style="1" customWidth="1"/>
    <col min="6404" max="6404" width="10.81640625" style="1" customWidth="1"/>
    <col min="6405" max="6405" width="9.1796875" style="1" customWidth="1"/>
    <col min="6406" max="6429" width="7.1796875" style="1" customWidth="1"/>
    <col min="6430" max="6430" width="14.1796875" style="1" bestFit="1" customWidth="1"/>
    <col min="6431" max="6658" width="11.453125" style="1"/>
    <col min="6659" max="6659" width="7" style="1" customWidth="1"/>
    <col min="6660" max="6660" width="10.81640625" style="1" customWidth="1"/>
    <col min="6661" max="6661" width="9.1796875" style="1" customWidth="1"/>
    <col min="6662" max="6685" width="7.1796875" style="1" customWidth="1"/>
    <col min="6686" max="6686" width="14.1796875" style="1" bestFit="1" customWidth="1"/>
    <col min="6687" max="6914" width="11.453125" style="1"/>
    <col min="6915" max="6915" width="7" style="1" customWidth="1"/>
    <col min="6916" max="6916" width="10.81640625" style="1" customWidth="1"/>
    <col min="6917" max="6917" width="9.1796875" style="1" customWidth="1"/>
    <col min="6918" max="6941" width="7.1796875" style="1" customWidth="1"/>
    <col min="6942" max="6942" width="14.1796875" style="1" bestFit="1" customWidth="1"/>
    <col min="6943" max="7170" width="11.453125" style="1"/>
    <col min="7171" max="7171" width="7" style="1" customWidth="1"/>
    <col min="7172" max="7172" width="10.81640625" style="1" customWidth="1"/>
    <col min="7173" max="7173" width="9.1796875" style="1" customWidth="1"/>
    <col min="7174" max="7197" width="7.1796875" style="1" customWidth="1"/>
    <col min="7198" max="7198" width="14.1796875" style="1" bestFit="1" customWidth="1"/>
    <col min="7199" max="7426" width="11.453125" style="1"/>
    <col min="7427" max="7427" width="7" style="1" customWidth="1"/>
    <col min="7428" max="7428" width="10.81640625" style="1" customWidth="1"/>
    <col min="7429" max="7429" width="9.1796875" style="1" customWidth="1"/>
    <col min="7430" max="7453" width="7.1796875" style="1" customWidth="1"/>
    <col min="7454" max="7454" width="14.1796875" style="1" bestFit="1" customWidth="1"/>
    <col min="7455" max="7682" width="11.453125" style="1"/>
    <col min="7683" max="7683" width="7" style="1" customWidth="1"/>
    <col min="7684" max="7684" width="10.81640625" style="1" customWidth="1"/>
    <col min="7685" max="7685" width="9.1796875" style="1" customWidth="1"/>
    <col min="7686" max="7709" width="7.1796875" style="1" customWidth="1"/>
    <col min="7710" max="7710" width="14.1796875" style="1" bestFit="1" customWidth="1"/>
    <col min="7711" max="7938" width="11.453125" style="1"/>
    <col min="7939" max="7939" width="7" style="1" customWidth="1"/>
    <col min="7940" max="7940" width="10.81640625" style="1" customWidth="1"/>
    <col min="7941" max="7941" width="9.1796875" style="1" customWidth="1"/>
    <col min="7942" max="7965" width="7.1796875" style="1" customWidth="1"/>
    <col min="7966" max="7966" width="14.1796875" style="1" bestFit="1" customWidth="1"/>
    <col min="7967" max="8194" width="11.453125" style="1"/>
    <col min="8195" max="8195" width="7" style="1" customWidth="1"/>
    <col min="8196" max="8196" width="10.81640625" style="1" customWidth="1"/>
    <col min="8197" max="8197" width="9.1796875" style="1" customWidth="1"/>
    <col min="8198" max="8221" width="7.1796875" style="1" customWidth="1"/>
    <col min="8222" max="8222" width="14.1796875" style="1" bestFit="1" customWidth="1"/>
    <col min="8223" max="8450" width="11.453125" style="1"/>
    <col min="8451" max="8451" width="7" style="1" customWidth="1"/>
    <col min="8452" max="8452" width="10.81640625" style="1" customWidth="1"/>
    <col min="8453" max="8453" width="9.1796875" style="1" customWidth="1"/>
    <col min="8454" max="8477" width="7.1796875" style="1" customWidth="1"/>
    <col min="8478" max="8478" width="14.1796875" style="1" bestFit="1" customWidth="1"/>
    <col min="8479" max="8706" width="11.453125" style="1"/>
    <col min="8707" max="8707" width="7" style="1" customWidth="1"/>
    <col min="8708" max="8708" width="10.81640625" style="1" customWidth="1"/>
    <col min="8709" max="8709" width="9.1796875" style="1" customWidth="1"/>
    <col min="8710" max="8733" width="7.1796875" style="1" customWidth="1"/>
    <col min="8734" max="8734" width="14.1796875" style="1" bestFit="1" customWidth="1"/>
    <col min="8735" max="8962" width="11.453125" style="1"/>
    <col min="8963" max="8963" width="7" style="1" customWidth="1"/>
    <col min="8964" max="8964" width="10.81640625" style="1" customWidth="1"/>
    <col min="8965" max="8965" width="9.1796875" style="1" customWidth="1"/>
    <col min="8966" max="8989" width="7.1796875" style="1" customWidth="1"/>
    <col min="8990" max="8990" width="14.1796875" style="1" bestFit="1" customWidth="1"/>
    <col min="8991" max="9218" width="11.453125" style="1"/>
    <col min="9219" max="9219" width="7" style="1" customWidth="1"/>
    <col min="9220" max="9220" width="10.81640625" style="1" customWidth="1"/>
    <col min="9221" max="9221" width="9.1796875" style="1" customWidth="1"/>
    <col min="9222" max="9245" width="7.1796875" style="1" customWidth="1"/>
    <col min="9246" max="9246" width="14.1796875" style="1" bestFit="1" customWidth="1"/>
    <col min="9247" max="9474" width="11.453125" style="1"/>
    <col min="9475" max="9475" width="7" style="1" customWidth="1"/>
    <col min="9476" max="9476" width="10.81640625" style="1" customWidth="1"/>
    <col min="9477" max="9477" width="9.1796875" style="1" customWidth="1"/>
    <col min="9478" max="9501" width="7.1796875" style="1" customWidth="1"/>
    <col min="9502" max="9502" width="14.1796875" style="1" bestFit="1" customWidth="1"/>
    <col min="9503" max="9730" width="11.453125" style="1"/>
    <col min="9731" max="9731" width="7" style="1" customWidth="1"/>
    <col min="9732" max="9732" width="10.81640625" style="1" customWidth="1"/>
    <col min="9733" max="9733" width="9.1796875" style="1" customWidth="1"/>
    <col min="9734" max="9757" width="7.1796875" style="1" customWidth="1"/>
    <col min="9758" max="9758" width="14.1796875" style="1" bestFit="1" customWidth="1"/>
    <col min="9759" max="9986" width="11.453125" style="1"/>
    <col min="9987" max="9987" width="7" style="1" customWidth="1"/>
    <col min="9988" max="9988" width="10.81640625" style="1" customWidth="1"/>
    <col min="9989" max="9989" width="9.1796875" style="1" customWidth="1"/>
    <col min="9990" max="10013" width="7.1796875" style="1" customWidth="1"/>
    <col min="10014" max="10014" width="14.1796875" style="1" bestFit="1" customWidth="1"/>
    <col min="10015" max="10242" width="11.453125" style="1"/>
    <col min="10243" max="10243" width="7" style="1" customWidth="1"/>
    <col min="10244" max="10244" width="10.81640625" style="1" customWidth="1"/>
    <col min="10245" max="10245" width="9.1796875" style="1" customWidth="1"/>
    <col min="10246" max="10269" width="7.1796875" style="1" customWidth="1"/>
    <col min="10270" max="10270" width="14.1796875" style="1" bestFit="1" customWidth="1"/>
    <col min="10271" max="10498" width="11.453125" style="1"/>
    <col min="10499" max="10499" width="7" style="1" customWidth="1"/>
    <col min="10500" max="10500" width="10.81640625" style="1" customWidth="1"/>
    <col min="10501" max="10501" width="9.1796875" style="1" customWidth="1"/>
    <col min="10502" max="10525" width="7.1796875" style="1" customWidth="1"/>
    <col min="10526" max="10526" width="14.1796875" style="1" bestFit="1" customWidth="1"/>
    <col min="10527" max="10754" width="11.453125" style="1"/>
    <col min="10755" max="10755" width="7" style="1" customWidth="1"/>
    <col min="10756" max="10756" width="10.81640625" style="1" customWidth="1"/>
    <col min="10757" max="10757" width="9.1796875" style="1" customWidth="1"/>
    <col min="10758" max="10781" width="7.1796875" style="1" customWidth="1"/>
    <col min="10782" max="10782" width="14.1796875" style="1" bestFit="1" customWidth="1"/>
    <col min="10783" max="11010" width="11.453125" style="1"/>
    <col min="11011" max="11011" width="7" style="1" customWidth="1"/>
    <col min="11012" max="11012" width="10.81640625" style="1" customWidth="1"/>
    <col min="11013" max="11013" width="9.1796875" style="1" customWidth="1"/>
    <col min="11014" max="11037" width="7.1796875" style="1" customWidth="1"/>
    <col min="11038" max="11038" width="14.1796875" style="1" bestFit="1" customWidth="1"/>
    <col min="11039" max="11266" width="11.453125" style="1"/>
    <col min="11267" max="11267" width="7" style="1" customWidth="1"/>
    <col min="11268" max="11268" width="10.81640625" style="1" customWidth="1"/>
    <col min="11269" max="11269" width="9.1796875" style="1" customWidth="1"/>
    <col min="11270" max="11293" width="7.1796875" style="1" customWidth="1"/>
    <col min="11294" max="11294" width="14.1796875" style="1" bestFit="1" customWidth="1"/>
    <col min="11295" max="11522" width="11.453125" style="1"/>
    <col min="11523" max="11523" width="7" style="1" customWidth="1"/>
    <col min="11524" max="11524" width="10.81640625" style="1" customWidth="1"/>
    <col min="11525" max="11525" width="9.1796875" style="1" customWidth="1"/>
    <col min="11526" max="11549" width="7.1796875" style="1" customWidth="1"/>
    <col min="11550" max="11550" width="14.1796875" style="1" bestFit="1" customWidth="1"/>
    <col min="11551" max="11778" width="11.453125" style="1"/>
    <col min="11779" max="11779" width="7" style="1" customWidth="1"/>
    <col min="11780" max="11780" width="10.81640625" style="1" customWidth="1"/>
    <col min="11781" max="11781" width="9.1796875" style="1" customWidth="1"/>
    <col min="11782" max="11805" width="7.1796875" style="1" customWidth="1"/>
    <col min="11806" max="11806" width="14.1796875" style="1" bestFit="1" customWidth="1"/>
    <col min="11807" max="12034" width="11.453125" style="1"/>
    <col min="12035" max="12035" width="7" style="1" customWidth="1"/>
    <col min="12036" max="12036" width="10.81640625" style="1" customWidth="1"/>
    <col min="12037" max="12037" width="9.1796875" style="1" customWidth="1"/>
    <col min="12038" max="12061" width="7.1796875" style="1" customWidth="1"/>
    <col min="12062" max="12062" width="14.1796875" style="1" bestFit="1" customWidth="1"/>
    <col min="12063" max="12290" width="11.453125" style="1"/>
    <col min="12291" max="12291" width="7" style="1" customWidth="1"/>
    <col min="12292" max="12292" width="10.81640625" style="1" customWidth="1"/>
    <col min="12293" max="12293" width="9.1796875" style="1" customWidth="1"/>
    <col min="12294" max="12317" width="7.1796875" style="1" customWidth="1"/>
    <col min="12318" max="12318" width="14.1796875" style="1" bestFit="1" customWidth="1"/>
    <col min="12319" max="12546" width="11.453125" style="1"/>
    <col min="12547" max="12547" width="7" style="1" customWidth="1"/>
    <col min="12548" max="12548" width="10.81640625" style="1" customWidth="1"/>
    <col min="12549" max="12549" width="9.1796875" style="1" customWidth="1"/>
    <col min="12550" max="12573" width="7.1796875" style="1" customWidth="1"/>
    <col min="12574" max="12574" width="14.1796875" style="1" bestFit="1" customWidth="1"/>
    <col min="12575" max="12802" width="11.453125" style="1"/>
    <col min="12803" max="12803" width="7" style="1" customWidth="1"/>
    <col min="12804" max="12804" width="10.81640625" style="1" customWidth="1"/>
    <col min="12805" max="12805" width="9.1796875" style="1" customWidth="1"/>
    <col min="12806" max="12829" width="7.1796875" style="1" customWidth="1"/>
    <col min="12830" max="12830" width="14.1796875" style="1" bestFit="1" customWidth="1"/>
    <col min="12831" max="13058" width="11.453125" style="1"/>
    <col min="13059" max="13059" width="7" style="1" customWidth="1"/>
    <col min="13060" max="13060" width="10.81640625" style="1" customWidth="1"/>
    <col min="13061" max="13061" width="9.1796875" style="1" customWidth="1"/>
    <col min="13062" max="13085" width="7.1796875" style="1" customWidth="1"/>
    <col min="13086" max="13086" width="14.1796875" style="1" bestFit="1" customWidth="1"/>
    <col min="13087" max="13314" width="11.453125" style="1"/>
    <col min="13315" max="13315" width="7" style="1" customWidth="1"/>
    <col min="13316" max="13316" width="10.81640625" style="1" customWidth="1"/>
    <col min="13317" max="13317" width="9.1796875" style="1" customWidth="1"/>
    <col min="13318" max="13341" width="7.1796875" style="1" customWidth="1"/>
    <col min="13342" max="13342" width="14.1796875" style="1" bestFit="1" customWidth="1"/>
    <col min="13343" max="13570" width="11.453125" style="1"/>
    <col min="13571" max="13571" width="7" style="1" customWidth="1"/>
    <col min="13572" max="13572" width="10.81640625" style="1" customWidth="1"/>
    <col min="13573" max="13573" width="9.1796875" style="1" customWidth="1"/>
    <col min="13574" max="13597" width="7.1796875" style="1" customWidth="1"/>
    <col min="13598" max="13598" width="14.1796875" style="1" bestFit="1" customWidth="1"/>
    <col min="13599" max="13826" width="11.453125" style="1"/>
    <col min="13827" max="13827" width="7" style="1" customWidth="1"/>
    <col min="13828" max="13828" width="10.81640625" style="1" customWidth="1"/>
    <col min="13829" max="13829" width="9.1796875" style="1" customWidth="1"/>
    <col min="13830" max="13853" width="7.1796875" style="1" customWidth="1"/>
    <col min="13854" max="13854" width="14.1796875" style="1" bestFit="1" customWidth="1"/>
    <col min="13855" max="14082" width="11.453125" style="1"/>
    <col min="14083" max="14083" width="7" style="1" customWidth="1"/>
    <col min="14084" max="14084" width="10.81640625" style="1" customWidth="1"/>
    <col min="14085" max="14085" width="9.1796875" style="1" customWidth="1"/>
    <col min="14086" max="14109" width="7.1796875" style="1" customWidth="1"/>
    <col min="14110" max="14110" width="14.1796875" style="1" bestFit="1" customWidth="1"/>
    <col min="14111" max="14338" width="11.453125" style="1"/>
    <col min="14339" max="14339" width="7" style="1" customWidth="1"/>
    <col min="14340" max="14340" width="10.81640625" style="1" customWidth="1"/>
    <col min="14341" max="14341" width="9.1796875" style="1" customWidth="1"/>
    <col min="14342" max="14365" width="7.1796875" style="1" customWidth="1"/>
    <col min="14366" max="14366" width="14.1796875" style="1" bestFit="1" customWidth="1"/>
    <col min="14367" max="14594" width="11.453125" style="1"/>
    <col min="14595" max="14595" width="7" style="1" customWidth="1"/>
    <col min="14596" max="14596" width="10.81640625" style="1" customWidth="1"/>
    <col min="14597" max="14597" width="9.1796875" style="1" customWidth="1"/>
    <col min="14598" max="14621" width="7.1796875" style="1" customWidth="1"/>
    <col min="14622" max="14622" width="14.1796875" style="1" bestFit="1" customWidth="1"/>
    <col min="14623" max="14850" width="11.453125" style="1"/>
    <col min="14851" max="14851" width="7" style="1" customWidth="1"/>
    <col min="14852" max="14852" width="10.81640625" style="1" customWidth="1"/>
    <col min="14853" max="14853" width="9.1796875" style="1" customWidth="1"/>
    <col min="14854" max="14877" width="7.1796875" style="1" customWidth="1"/>
    <col min="14878" max="14878" width="14.1796875" style="1" bestFit="1" customWidth="1"/>
    <col min="14879" max="15106" width="11.453125" style="1"/>
    <col min="15107" max="15107" width="7" style="1" customWidth="1"/>
    <col min="15108" max="15108" width="10.81640625" style="1" customWidth="1"/>
    <col min="15109" max="15109" width="9.1796875" style="1" customWidth="1"/>
    <col min="15110" max="15133" width="7.1796875" style="1" customWidth="1"/>
    <col min="15134" max="15134" width="14.1796875" style="1" bestFit="1" customWidth="1"/>
    <col min="15135" max="15362" width="11.453125" style="1"/>
    <col min="15363" max="15363" width="7" style="1" customWidth="1"/>
    <col min="15364" max="15364" width="10.81640625" style="1" customWidth="1"/>
    <col min="15365" max="15365" width="9.1796875" style="1" customWidth="1"/>
    <col min="15366" max="15389" width="7.1796875" style="1" customWidth="1"/>
    <col min="15390" max="15390" width="14.1796875" style="1" bestFit="1" customWidth="1"/>
    <col min="15391" max="15618" width="11.453125" style="1"/>
    <col min="15619" max="15619" width="7" style="1" customWidth="1"/>
    <col min="15620" max="15620" width="10.81640625" style="1" customWidth="1"/>
    <col min="15621" max="15621" width="9.1796875" style="1" customWidth="1"/>
    <col min="15622" max="15645" width="7.1796875" style="1" customWidth="1"/>
    <col min="15646" max="15646" width="14.1796875" style="1" bestFit="1" customWidth="1"/>
    <col min="15647" max="15874" width="11.453125" style="1"/>
    <col min="15875" max="15875" width="7" style="1" customWidth="1"/>
    <col min="15876" max="15876" width="10.81640625" style="1" customWidth="1"/>
    <col min="15877" max="15877" width="9.1796875" style="1" customWidth="1"/>
    <col min="15878" max="15901" width="7.1796875" style="1" customWidth="1"/>
    <col min="15902" max="15902" width="14.1796875" style="1" bestFit="1" customWidth="1"/>
    <col min="15903" max="16130" width="11.453125" style="1"/>
    <col min="16131" max="16131" width="7" style="1" customWidth="1"/>
    <col min="16132" max="16132" width="10.81640625" style="1" customWidth="1"/>
    <col min="16133" max="16133" width="9.1796875" style="1" customWidth="1"/>
    <col min="16134" max="16157" width="7.1796875" style="1" customWidth="1"/>
    <col min="16158" max="16158" width="14.179687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56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56" ht="18.649999999999999" customHeight="1">
      <c r="C4" s="63">
        <v>2030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21</v>
      </c>
      <c r="F7" s="7">
        <f>+[5]Resumen!F7*1000</f>
        <v>179040.83481</v>
      </c>
      <c r="G7" s="7">
        <f>+[5]Resumen!G7*1000</f>
        <v>162911.53201499998</v>
      </c>
      <c r="H7" s="7">
        <f>+[5]Resumen!H7*1000</f>
        <v>153976.374495</v>
      </c>
      <c r="I7" s="7">
        <f>+[5]Resumen!I7*1000</f>
        <v>152828.50040999998</v>
      </c>
      <c r="J7" s="7">
        <f>+[5]Resumen!J7*1000</f>
        <v>168262.97291999997</v>
      </c>
      <c r="K7" s="7">
        <f>+[5]Resumen!K7*1000</f>
        <v>202600.74496499999</v>
      </c>
      <c r="L7" s="7">
        <f>+[5]Resumen!L7*1000</f>
        <v>238614.53242499995</v>
      </c>
      <c r="M7" s="7">
        <f>+[5]Resumen!M7*1000</f>
        <v>241398.73948499997</v>
      </c>
      <c r="N7" s="7">
        <f>+[5]Resumen!N7*1000</f>
        <v>267840.52420499997</v>
      </c>
      <c r="O7" s="7">
        <f>+[5]Resumen!O7*1000</f>
        <v>284830.32442499994</v>
      </c>
      <c r="P7" s="7">
        <f>+[5]Resumen!P7*1000</f>
        <v>307736.04590999999</v>
      </c>
      <c r="Q7" s="7">
        <f>+[5]Resumen!Q7*1000</f>
        <v>327579.84589499998</v>
      </c>
      <c r="R7" s="7">
        <f>+[5]Resumen!R7*1000</f>
        <v>334462.45504499995</v>
      </c>
      <c r="S7" s="7">
        <f>+[5]Resumen!S7*1000</f>
        <v>330695.371575</v>
      </c>
      <c r="T7" s="7">
        <f>+[5]Resumen!T7*1000</f>
        <v>333692.07308999996</v>
      </c>
      <c r="U7" s="7">
        <f>+[5]Resumen!U7*1000</f>
        <v>333270.12221999996</v>
      </c>
      <c r="V7" s="7">
        <f>+[5]Resumen!V7*1000</f>
        <v>323840.99348999996</v>
      </c>
      <c r="W7" s="7">
        <f>+[5]Resumen!W7*1000</f>
        <v>325791.99850499997</v>
      </c>
      <c r="X7" s="7">
        <f>+[5]Resumen!X7*1000</f>
        <v>341598.03974999994</v>
      </c>
      <c r="Y7" s="7">
        <f>+[5]Resumen!Y7*1000</f>
        <v>350408.53975499998</v>
      </c>
      <c r="Z7" s="7">
        <f>+[5]Resumen!Z7*1000</f>
        <v>329757.30233999994</v>
      </c>
      <c r="AA7" s="7">
        <f>+[5]Resumen!AA7*1000</f>
        <v>296532.07933499996</v>
      </c>
      <c r="AB7" s="7">
        <f>+[5]Resumen!AB7*1000</f>
        <v>251535.82940999998</v>
      </c>
      <c r="AC7" s="7">
        <f>+[5]Resumen!AC7*1000</f>
        <v>213542.39087999996</v>
      </c>
      <c r="AD7" s="57">
        <f>SUM(F7:AC7)*E7+SUM(F8:AC8)*E8+SUM(F9:AC9)*E9+SUM(F10:AC10)*E10</f>
        <v>189508124.56153497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+[5]Resumen!F8*1000</f>
        <v>182711.13556499998</v>
      </c>
      <c r="G8" s="7">
        <f>+[5]Resumen!G8*1000</f>
        <v>165086.21272499999</v>
      </c>
      <c r="H8" s="7">
        <f>+[5]Resumen!H8*1000</f>
        <v>154977.12679499999</v>
      </c>
      <c r="I8" s="7">
        <f>+[5]Resumen!I8*1000</f>
        <v>151360.97440499999</v>
      </c>
      <c r="J8" s="7">
        <f>+[5]Resumen!J8*1000</f>
        <v>160460.45230499998</v>
      </c>
      <c r="K8" s="7">
        <f>+[5]Resumen!K8*1000</f>
        <v>177623.42471999998</v>
      </c>
      <c r="L8" s="7">
        <f>+[5]Resumen!L8*1000</f>
        <v>204947.28634499997</v>
      </c>
      <c r="M8" s="7">
        <f>+[5]Resumen!M8*1000</f>
        <v>211218.38424000001</v>
      </c>
      <c r="N8" s="7">
        <f>+[5]Resumen!N8*1000</f>
        <v>241915.49599499998</v>
      </c>
      <c r="O8" s="7">
        <f>+[5]Resumen!O8*1000</f>
        <v>264644.81932499999</v>
      </c>
      <c r="P8" s="7">
        <f>+[5]Resumen!P8*1000</f>
        <v>284074.46711999999</v>
      </c>
      <c r="Q8" s="7">
        <f>+[5]Resumen!Q8*1000</f>
        <v>300382.88507999998</v>
      </c>
      <c r="R8" s="7">
        <f>+[5]Resumen!R8*1000</f>
        <v>303861.87152999995</v>
      </c>
      <c r="S8" s="7">
        <f>+[5]Resumen!S8*1000</f>
        <v>296676.02996999997</v>
      </c>
      <c r="T8" s="7">
        <f>+[5]Resumen!T8*1000</f>
        <v>287845.19153999997</v>
      </c>
      <c r="U8" s="7">
        <f>+[5]Resumen!U8*1000</f>
        <v>283295.85191999999</v>
      </c>
      <c r="V8" s="7">
        <f>+[5]Resumen!V8*1000</f>
        <v>278596.8027</v>
      </c>
      <c r="W8" s="7">
        <f>+[5]Resumen!W8*1000</f>
        <v>292049.09896499995</v>
      </c>
      <c r="X8" s="7">
        <f>+[5]Resumen!X8*1000</f>
        <v>314635.76360999997</v>
      </c>
      <c r="Y8" s="7">
        <f>+[5]Resumen!Y8*1000</f>
        <v>321314.18593499996</v>
      </c>
      <c r="Z8" s="7">
        <f>+[5]Resumen!Z8*1000</f>
        <v>301531.82012999995</v>
      </c>
      <c r="AA8" s="7">
        <f>+[5]Resumen!AA8*1000</f>
        <v>272809.59489000001</v>
      </c>
      <c r="AB8" s="7">
        <f>+[5]Resumen!AB8*1000</f>
        <v>241318.15703999999</v>
      </c>
      <c r="AC8" s="7">
        <f>+[5]Resumen!AC8*1000</f>
        <v>209859.92621999999</v>
      </c>
      <c r="AD8" s="5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+[5]Resumen!F9*1000</f>
        <v>182781.127935</v>
      </c>
      <c r="G9" s="7">
        <f>+[5]Resumen!G9*1000</f>
        <v>163712.08295999997</v>
      </c>
      <c r="H9" s="7">
        <f>+[5]Resumen!H9*1000</f>
        <v>151545.03812999997</v>
      </c>
      <c r="I9" s="7">
        <f>+[5]Resumen!I9*1000</f>
        <v>145182.352725</v>
      </c>
      <c r="J9" s="7">
        <f>+[5]Resumen!J9*1000</f>
        <v>146972.70962999997</v>
      </c>
      <c r="K9" s="7">
        <f>+[5]Resumen!K9*1000</f>
        <v>154252.56208499998</v>
      </c>
      <c r="L9" s="7">
        <f>+[5]Resumen!L9*1000</f>
        <v>166853.32627499997</v>
      </c>
      <c r="M9" s="7">
        <f>+[5]Resumen!M9*1000</f>
        <v>162691.95532499999</v>
      </c>
      <c r="N9" s="7">
        <f>+[5]Resumen!N9*1000</f>
        <v>186649.05788999997</v>
      </c>
      <c r="O9" s="7">
        <f>+[5]Resumen!O9*1000</f>
        <v>208716.16288499997</v>
      </c>
      <c r="P9" s="7">
        <f>+[5]Resumen!P9*1000</f>
        <v>226116.57222</v>
      </c>
      <c r="Q9" s="7">
        <f>+[5]Resumen!Q9*1000</f>
        <v>246174.58925999995</v>
      </c>
      <c r="R9" s="7">
        <f>+[5]Resumen!R9*1000</f>
        <v>259260.27318000002</v>
      </c>
      <c r="S9" s="7">
        <f>+[5]Resumen!S9*1000</f>
        <v>262278.24880499998</v>
      </c>
      <c r="T9" s="7">
        <f>+[5]Resumen!T9*1000</f>
        <v>256538.29112999994</v>
      </c>
      <c r="U9" s="7">
        <f>+[5]Resumen!U9*1000</f>
        <v>251278.74701999998</v>
      </c>
      <c r="V9" s="7">
        <f>+[5]Resumen!V9*1000</f>
        <v>246383.65417499995</v>
      </c>
      <c r="W9" s="7">
        <f>+[5]Resumen!W9*1000</f>
        <v>261820.83195000002</v>
      </c>
      <c r="X9" s="7">
        <f>+[5]Resumen!X9*1000</f>
        <v>285776.43898499996</v>
      </c>
      <c r="Y9" s="7">
        <f>+[5]Resumen!Y9*1000</f>
        <v>299314.60294499993</v>
      </c>
      <c r="Z9" s="7">
        <f>+[5]Resumen!Z9*1000</f>
        <v>284935.78277999995</v>
      </c>
      <c r="AA9" s="7">
        <f>+[5]Resumen!AA9*1000</f>
        <v>260209.20262499998</v>
      </c>
      <c r="AB9" s="7">
        <f>+[5]Resumen!AB9*1000</f>
        <v>227452.85959499999</v>
      </c>
      <c r="AC9" s="7">
        <f>+[5]Resumen!AC9*1000</f>
        <v>192830.25955499997</v>
      </c>
      <c r="AD9" s="5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+[5]Resumen!F10*1000</f>
        <v>176032.54880999998</v>
      </c>
      <c r="G10" s="7">
        <f>+[5]Resumen!G10*1000</f>
        <v>162331.77140999999</v>
      </c>
      <c r="H10" s="7">
        <f>+[5]Resumen!H10*1000</f>
        <v>149318.28400499996</v>
      </c>
      <c r="I10" s="7">
        <f>+[5]Resumen!I10*1000</f>
        <v>141718.63086</v>
      </c>
      <c r="J10" s="7">
        <f>+[5]Resumen!J10*1000</f>
        <v>141481.00210499999</v>
      </c>
      <c r="K10" s="7">
        <f>+[5]Resumen!K10*1000</f>
        <v>146203.57264499998</v>
      </c>
      <c r="L10" s="7">
        <f>+[5]Resumen!L10*1000</f>
        <v>149519.54240999997</v>
      </c>
      <c r="M10" s="7">
        <f>+[5]Resumen!M10*1000</f>
        <v>137439.79424999998</v>
      </c>
      <c r="N10" s="7">
        <f>+[5]Resumen!N10*1000</f>
        <v>154675.98108</v>
      </c>
      <c r="O10" s="7">
        <f>+[5]Resumen!O10*1000</f>
        <v>172864.96145999999</v>
      </c>
      <c r="P10" s="7">
        <f>+[5]Resumen!P10*1000</f>
        <v>192456.87425999998</v>
      </c>
      <c r="Q10" s="7">
        <f>+[5]Resumen!Q10*1000</f>
        <v>213449.538825</v>
      </c>
      <c r="R10" s="7">
        <f>+[5]Resumen!R10*1000</f>
        <v>228809.48539499997</v>
      </c>
      <c r="S10" s="7">
        <f>+[5]Resumen!S10*1000</f>
        <v>231326.98699499998</v>
      </c>
      <c r="T10" s="7">
        <f>+[5]Resumen!T10*1000</f>
        <v>226561.38668999998</v>
      </c>
      <c r="U10" s="7">
        <f>+[5]Resumen!U10*1000</f>
        <v>221406.68236499999</v>
      </c>
      <c r="V10" s="7">
        <f>+[5]Resumen!V10*1000</f>
        <v>217894.52411999999</v>
      </c>
      <c r="W10" s="7">
        <f>+[5]Resumen!W10*1000</f>
        <v>236108.27862</v>
      </c>
      <c r="X10" s="7">
        <f>+[5]Resumen!X10*1000</f>
        <v>266677.00969499996</v>
      </c>
      <c r="Y10" s="7">
        <f>+[5]Resumen!Y10*1000</f>
        <v>277290.31630499999</v>
      </c>
      <c r="Z10" s="7">
        <f>+[5]Resumen!Z10*1000</f>
        <v>262308.28468499996</v>
      </c>
      <c r="AA10" s="7">
        <f>+[5]Resumen!AA10*1000</f>
        <v>238537.17202499998</v>
      </c>
      <c r="AB10" s="7">
        <f>+[5]Resumen!AB10*1000</f>
        <v>209616.56590499997</v>
      </c>
      <c r="AC10" s="7">
        <f>+[5]Resumen!AC10*1000</f>
        <v>180329.95035</v>
      </c>
      <c r="AD10" s="59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+[5]Resumen!F11*1000</f>
        <v>198817.14410999999</v>
      </c>
      <c r="G11" s="7">
        <f>+[5]Resumen!G11*1000</f>
        <v>181888.32392999998</v>
      </c>
      <c r="H11" s="7">
        <f>+[5]Resumen!H11*1000</f>
        <v>173215.19344499998</v>
      </c>
      <c r="I11" s="7">
        <f>+[5]Resumen!I11*1000</f>
        <v>172914.36484499997</v>
      </c>
      <c r="J11" s="7">
        <f>+[5]Resumen!J11*1000</f>
        <v>194545.56982499998</v>
      </c>
      <c r="K11" s="7">
        <f>+[5]Resumen!K11*1000</f>
        <v>244483.642035</v>
      </c>
      <c r="L11" s="7">
        <f>+[5]Resumen!L11*1000</f>
        <v>286092.68093999999</v>
      </c>
      <c r="M11" s="7">
        <f>+[5]Resumen!M11*1000</f>
        <v>285095.61265499995</v>
      </c>
      <c r="N11" s="7">
        <f>+[5]Resumen!N11*1000</f>
        <v>311811.87019499997</v>
      </c>
      <c r="O11" s="7">
        <f>+[5]Resumen!O11*1000</f>
        <v>330149.53835999995</v>
      </c>
      <c r="P11" s="7">
        <f>+[5]Resumen!P11*1000</f>
        <v>355463.02007999999</v>
      </c>
      <c r="Q11" s="7">
        <f>+[5]Resumen!Q11*1000</f>
        <v>374889.98218499997</v>
      </c>
      <c r="R11" s="7">
        <f>+[5]Resumen!R11*1000</f>
        <v>376421.22481499997</v>
      </c>
      <c r="S11" s="7">
        <f>+[5]Resumen!S11*1000</f>
        <v>370803.25462499994</v>
      </c>
      <c r="T11" s="7">
        <f>+[5]Resumen!T11*1000</f>
        <v>374233.92997499998</v>
      </c>
      <c r="U11" s="7">
        <f>+[5]Resumen!U11*1000</f>
        <v>374216.65307999996</v>
      </c>
      <c r="V11" s="7">
        <f>+[5]Resumen!V11*1000</f>
        <v>363721.19971499994</v>
      </c>
      <c r="W11" s="7">
        <f>+[5]Resumen!W11*1000</f>
        <v>360617.810535</v>
      </c>
      <c r="X11" s="7">
        <f>+[5]Resumen!X11*1000</f>
        <v>370124.06476499996</v>
      </c>
      <c r="Y11" s="7">
        <f>+[5]Resumen!Y11*1000</f>
        <v>386343.18940499995</v>
      </c>
      <c r="Z11" s="7">
        <f>+[5]Resumen!Z11*1000</f>
        <v>363861.77170499996</v>
      </c>
      <c r="AA11" s="7">
        <f>+[5]Resumen!AA11*1000</f>
        <v>325141.98322499997</v>
      </c>
      <c r="AB11" s="7">
        <f>+[5]Resumen!AB11*1000</f>
        <v>273873.18293999997</v>
      </c>
      <c r="AC11" s="7">
        <f>+[5]Resumen!AC11*1000</f>
        <v>231681.78778499999</v>
      </c>
      <c r="AD11" s="57">
        <f>SUM(F11:AC11)*E11+SUM(F12:AC12)*E12+SUM(F13:AC13)*E13+SUM(F14:AC14)*E14</f>
        <v>196811466.88733995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+[5]Resumen!F12*1000</f>
        <v>208932.74851499998</v>
      </c>
      <c r="G12" s="7">
        <f>+[5]Resumen!G12*1000</f>
        <v>189550.84414499998</v>
      </c>
      <c r="H12" s="7">
        <f>+[5]Resumen!H12*1000</f>
        <v>177822.06790499997</v>
      </c>
      <c r="I12" s="7">
        <f>+[5]Resumen!I12*1000</f>
        <v>174634.26740999997</v>
      </c>
      <c r="J12" s="7">
        <f>+[5]Resumen!J12*1000</f>
        <v>184627.63376999999</v>
      </c>
      <c r="K12" s="7">
        <f>+[5]Resumen!K12*1000</f>
        <v>205914.00946499995</v>
      </c>
      <c r="L12" s="7">
        <f>+[5]Resumen!L12*1000</f>
        <v>240648.46105499999</v>
      </c>
      <c r="M12" s="7">
        <f>+[5]Resumen!M12*1000</f>
        <v>254122.94362499999</v>
      </c>
      <c r="N12" s="7">
        <f>+[5]Resumen!N12*1000</f>
        <v>291367.01983499998</v>
      </c>
      <c r="O12" s="7">
        <f>+[5]Resumen!O12*1000</f>
        <v>315826.68703500001</v>
      </c>
      <c r="P12" s="7">
        <f>+[5]Resumen!P12*1000</f>
        <v>339122.30728499999</v>
      </c>
      <c r="Q12" s="7">
        <f>+[5]Resumen!Q12*1000</f>
        <v>354520.73047499999</v>
      </c>
      <c r="R12" s="7">
        <f>+[5]Resumen!R12*1000</f>
        <v>356177.08867499995</v>
      </c>
      <c r="S12" s="7">
        <f>+[5]Resumen!S12*1000</f>
        <v>343502.03344499995</v>
      </c>
      <c r="T12" s="7">
        <f>+[5]Resumen!T12*1000</f>
        <v>331524.24754499993</v>
      </c>
      <c r="U12" s="7">
        <f>+[5]Resumen!U12*1000</f>
        <v>325652.65582499997</v>
      </c>
      <c r="V12" s="7">
        <f>+[5]Resumen!V12*1000</f>
        <v>318628.31192999997</v>
      </c>
      <c r="W12" s="7">
        <f>+[5]Resumen!W12*1000</f>
        <v>329613.19118999998</v>
      </c>
      <c r="X12" s="7">
        <f>+[5]Resumen!X12*1000</f>
        <v>346286.36578499997</v>
      </c>
      <c r="Y12" s="7">
        <f>+[5]Resumen!Y12*1000</f>
        <v>358990.36852499994</v>
      </c>
      <c r="Z12" s="7">
        <f>+[5]Resumen!Z12*1000</f>
        <v>336698.50729499996</v>
      </c>
      <c r="AA12" s="7">
        <f>+[5]Resumen!AA12*1000</f>
        <v>305581.65664499998</v>
      </c>
      <c r="AB12" s="7">
        <f>+[5]Resumen!AB12*1000</f>
        <v>270591.82177499996</v>
      </c>
      <c r="AC12" s="7">
        <f>+[5]Resumen!AC12*1000</f>
        <v>236301.16283999995</v>
      </c>
      <c r="AD12" s="5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+[5]Resumen!F13*1000</f>
        <v>207977.973975</v>
      </c>
      <c r="G13" s="7">
        <f>+[5]Resumen!G13*1000</f>
        <v>187464.19612499999</v>
      </c>
      <c r="H13" s="7">
        <f>+[5]Resumen!H13*1000</f>
        <v>174528.01822499998</v>
      </c>
      <c r="I13" s="7">
        <f>+[5]Resumen!I13*1000</f>
        <v>167991.00961499999</v>
      </c>
      <c r="J13" s="7">
        <f>+[5]Resumen!J13*1000</f>
        <v>170056.02725999997</v>
      </c>
      <c r="K13" s="7">
        <f>+[5]Resumen!K13*1000</f>
        <v>178507.94458499999</v>
      </c>
      <c r="L13" s="7">
        <f>+[5]Resumen!L13*1000</f>
        <v>194697.11164499997</v>
      </c>
      <c r="M13" s="7">
        <f>+[5]Resumen!M13*1000</f>
        <v>194159.39813999998</v>
      </c>
      <c r="N13" s="7">
        <f>+[5]Resumen!N13*1000</f>
        <v>223856.149095</v>
      </c>
      <c r="O13" s="7">
        <f>+[5]Resumen!O13*1000</f>
        <v>248339.134035</v>
      </c>
      <c r="P13" s="7">
        <f>+[5]Resumen!P13*1000</f>
        <v>269029.37659499998</v>
      </c>
      <c r="Q13" s="7">
        <f>+[5]Resumen!Q13*1000</f>
        <v>289384.76137499994</v>
      </c>
      <c r="R13" s="7">
        <f>+[5]Resumen!R13*1000</f>
        <v>302421.74269499996</v>
      </c>
      <c r="S13" s="7">
        <f>+[5]Resumen!S13*1000</f>
        <v>299735.25795</v>
      </c>
      <c r="T13" s="7">
        <f>+[5]Resumen!T13*1000</f>
        <v>289477.601685</v>
      </c>
      <c r="U13" s="7">
        <f>+[5]Resumen!U13*1000</f>
        <v>284325.87667499995</v>
      </c>
      <c r="V13" s="7">
        <f>+[5]Resumen!V13*1000</f>
        <v>278968.19917499996</v>
      </c>
      <c r="W13" s="7">
        <f>+[5]Resumen!W13*1000</f>
        <v>291902.72102999996</v>
      </c>
      <c r="X13" s="7">
        <f>+[5]Resumen!X13*1000</f>
        <v>313236.76967999997</v>
      </c>
      <c r="Y13" s="7">
        <f>+[5]Resumen!Y13*1000</f>
        <v>337191.55064999993</v>
      </c>
      <c r="Z13" s="7">
        <f>+[5]Resumen!Z13*1000</f>
        <v>323809.62259499996</v>
      </c>
      <c r="AA13" s="7">
        <f>+[5]Resumen!AA13*1000</f>
        <v>298251.27720000001</v>
      </c>
      <c r="AB13" s="7">
        <f>+[5]Resumen!AB13*1000</f>
        <v>259135.44731999998</v>
      </c>
      <c r="AC13" s="7">
        <f>+[5]Resumen!AC13*1000</f>
        <v>219747.44663999998</v>
      </c>
      <c r="AD13" s="5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+[5]Resumen!F14*1000</f>
        <v>0</v>
      </c>
      <c r="G14" s="7">
        <f>+[5]Resumen!G14*1000</f>
        <v>0</v>
      </c>
      <c r="H14" s="7">
        <f>+[5]Resumen!H14*1000</f>
        <v>0</v>
      </c>
      <c r="I14" s="7">
        <f>+[5]Resumen!I14*1000</f>
        <v>0</v>
      </c>
      <c r="J14" s="7">
        <f>+[5]Resumen!J14*1000</f>
        <v>0</v>
      </c>
      <c r="K14" s="7">
        <f>+[5]Resumen!K14*1000</f>
        <v>0</v>
      </c>
      <c r="L14" s="7">
        <f>+[5]Resumen!L14*1000</f>
        <v>0</v>
      </c>
      <c r="M14" s="7">
        <f>+[5]Resumen!M14*1000</f>
        <v>0</v>
      </c>
      <c r="N14" s="7">
        <f>+[5]Resumen!N14*1000</f>
        <v>0</v>
      </c>
      <c r="O14" s="7">
        <f>+[5]Resumen!O14*1000</f>
        <v>0</v>
      </c>
      <c r="P14" s="7">
        <f>+[5]Resumen!P14*1000</f>
        <v>0</v>
      </c>
      <c r="Q14" s="7">
        <f>+[5]Resumen!Q14*1000</f>
        <v>0</v>
      </c>
      <c r="R14" s="7">
        <f>+[5]Resumen!R14*1000</f>
        <v>0</v>
      </c>
      <c r="S14" s="7">
        <f>+[5]Resumen!S14*1000</f>
        <v>0</v>
      </c>
      <c r="T14" s="7">
        <f>+[5]Resumen!T14*1000</f>
        <v>0</v>
      </c>
      <c r="U14" s="7">
        <f>+[5]Resumen!U14*1000</f>
        <v>0</v>
      </c>
      <c r="V14" s="7">
        <f>+[5]Resumen!V14*1000</f>
        <v>0</v>
      </c>
      <c r="W14" s="7">
        <f>+[5]Resumen!W14*1000</f>
        <v>0</v>
      </c>
      <c r="X14" s="7">
        <f>+[5]Resumen!X14*1000</f>
        <v>0</v>
      </c>
      <c r="Y14" s="7">
        <f>+[5]Resumen!Y14*1000</f>
        <v>0</v>
      </c>
      <c r="Z14" s="7">
        <f>+[5]Resumen!Z14*1000</f>
        <v>0</v>
      </c>
      <c r="AA14" s="7">
        <f>+[5]Resumen!AA14*1000</f>
        <v>0</v>
      </c>
      <c r="AB14" s="7">
        <f>+[5]Resumen!AB14*1000</f>
        <v>0</v>
      </c>
      <c r="AC14" s="7">
        <f>+[5]Resumen!AC14*1000</f>
        <v>0</v>
      </c>
      <c r="AD14" s="59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20</v>
      </c>
      <c r="F15" s="7">
        <f>+[5]Resumen!F15*1000</f>
        <v>180160.14113999996</v>
      </c>
      <c r="G15" s="7">
        <f>+[5]Resumen!G15*1000</f>
        <v>163935.10485</v>
      </c>
      <c r="H15" s="7">
        <f>+[5]Resumen!H15*1000</f>
        <v>155401.88471999997</v>
      </c>
      <c r="I15" s="7">
        <f>+[5]Resumen!I15*1000</f>
        <v>154814.54467499998</v>
      </c>
      <c r="J15" s="7">
        <f>+[5]Resumen!J15*1000</f>
        <v>172201.52164499997</v>
      </c>
      <c r="K15" s="7">
        <f>+[5]Resumen!K15*1000</f>
        <v>214027.86653999999</v>
      </c>
      <c r="L15" s="7">
        <f>+[5]Resumen!L15*1000</f>
        <v>250225.33796999999</v>
      </c>
      <c r="M15" s="7">
        <f>+[5]Resumen!M15*1000</f>
        <v>252404.10985499996</v>
      </c>
      <c r="N15" s="7">
        <f>+[5]Resumen!N15*1000</f>
        <v>276751.18165499996</v>
      </c>
      <c r="O15" s="7">
        <f>+[5]Resumen!O15*1000</f>
        <v>293161.20560999995</v>
      </c>
      <c r="P15" s="7">
        <f>+[5]Resumen!P15*1000</f>
        <v>315112.98253499996</v>
      </c>
      <c r="Q15" s="7">
        <f>+[5]Resumen!Q15*1000</f>
        <v>332590.65439499996</v>
      </c>
      <c r="R15" s="7">
        <f>+[5]Resumen!R15*1000</f>
        <v>334569.46373999998</v>
      </c>
      <c r="S15" s="7">
        <f>+[5]Resumen!S15*1000</f>
        <v>329408.69899499998</v>
      </c>
      <c r="T15" s="7">
        <f>+[5]Resumen!T15*1000</f>
        <v>331991.89037999994</v>
      </c>
      <c r="U15" s="7">
        <f>+[5]Resumen!U15*1000</f>
        <v>332170.90375499998</v>
      </c>
      <c r="V15" s="7">
        <f>+[5]Resumen!V15*1000</f>
        <v>323170.87468499999</v>
      </c>
      <c r="W15" s="7">
        <f>+[5]Resumen!W15*1000</f>
        <v>322191.68228999997</v>
      </c>
      <c r="X15" s="7">
        <f>+[5]Resumen!X15*1000</f>
        <v>331025.08895999996</v>
      </c>
      <c r="Y15" s="7">
        <f>+[5]Resumen!Y15*1000</f>
        <v>344677.76666999998</v>
      </c>
      <c r="Z15" s="7">
        <f>+[5]Resumen!Z15*1000</f>
        <v>325139.99049</v>
      </c>
      <c r="AA15" s="7">
        <f>+[5]Resumen!AA15*1000</f>
        <v>292579.78895999998</v>
      </c>
      <c r="AB15" s="7">
        <f>+[5]Resumen!AB15*1000</f>
        <v>250030.09300499997</v>
      </c>
      <c r="AC15" s="7">
        <f>+[5]Resumen!AC15*1000</f>
        <v>213008.22827999995</v>
      </c>
      <c r="AD15" s="57">
        <f t="shared" ref="AD15" si="0">SUM(F15:AC15)*E15+SUM(F16:AC16)*E16+SUM(F17:AC17)*E17+SUM(F18:AC18)*E18</f>
        <v>190662763.12055993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5</v>
      </c>
      <c r="F16" s="7">
        <f>+[5]Resumen!F16*1000</f>
        <v>185539.77395999999</v>
      </c>
      <c r="G16" s="7">
        <f>+[5]Resumen!G16*1000</f>
        <v>167238.53878499998</v>
      </c>
      <c r="H16" s="7">
        <f>+[5]Resumen!H16*1000</f>
        <v>156929.73695999998</v>
      </c>
      <c r="I16" s="7">
        <f>+[5]Resumen!I16*1000</f>
        <v>153494.25790499998</v>
      </c>
      <c r="J16" s="7">
        <f>+[5]Resumen!J16*1000</f>
        <v>161445.51719999997</v>
      </c>
      <c r="K16" s="7">
        <f>+[5]Resumen!K16*1000</f>
        <v>177835.44545999999</v>
      </c>
      <c r="L16" s="7">
        <f>+[5]Resumen!L16*1000</f>
        <v>206060.41089</v>
      </c>
      <c r="M16" s="7">
        <f>+[5]Resumen!M16*1000</f>
        <v>216749.82509999999</v>
      </c>
      <c r="N16" s="7">
        <f>+[5]Resumen!N16*1000</f>
        <v>249007.01345999996</v>
      </c>
      <c r="O16" s="7">
        <f>+[5]Resumen!O16*1000</f>
        <v>270039.86549999996</v>
      </c>
      <c r="P16" s="7">
        <f>+[5]Resumen!P16*1000</f>
        <v>290693.19352499995</v>
      </c>
      <c r="Q16" s="7">
        <f>+[5]Resumen!Q16*1000</f>
        <v>304518.29566499998</v>
      </c>
      <c r="R16" s="7">
        <f>+[5]Resumen!R16*1000</f>
        <v>306487.74033</v>
      </c>
      <c r="S16" s="7">
        <f>+[5]Resumen!S16*1000</f>
        <v>296748.202995</v>
      </c>
      <c r="T16" s="7">
        <f>+[5]Resumen!T16*1000</f>
        <v>288315.21860999998</v>
      </c>
      <c r="U16" s="7">
        <f>+[5]Resumen!U16*1000</f>
        <v>283155.19771499996</v>
      </c>
      <c r="V16" s="7">
        <f>+[5]Resumen!V16*1000</f>
        <v>277314.35440499993</v>
      </c>
      <c r="W16" s="7">
        <f>+[5]Resumen!W16*1000</f>
        <v>291726.42857999995</v>
      </c>
      <c r="X16" s="7">
        <f>+[5]Resumen!X16*1000</f>
        <v>307917.38870999997</v>
      </c>
      <c r="Y16" s="7">
        <f>+[5]Resumen!Y16*1000</f>
        <v>316228.51871999999</v>
      </c>
      <c r="Z16" s="7">
        <f>+[5]Resumen!Z16*1000</f>
        <v>296596.17962999997</v>
      </c>
      <c r="AA16" s="7">
        <f>+[5]Resumen!AA16*1000</f>
        <v>269863.271595</v>
      </c>
      <c r="AB16" s="7">
        <f>+[5]Resumen!AB16*1000</f>
        <v>239911.45838999999</v>
      </c>
      <c r="AC16" s="7">
        <f>+[5]Resumen!AC16*1000</f>
        <v>209720.72447999998</v>
      </c>
      <c r="AD16" s="5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5</v>
      </c>
      <c r="F17" s="7">
        <f>+[5]Resumen!F17*1000</f>
        <v>184037.85859499997</v>
      </c>
      <c r="G17" s="7">
        <f>+[5]Resumen!G17*1000</f>
        <v>165834.19696499998</v>
      </c>
      <c r="H17" s="7">
        <f>+[5]Resumen!H17*1000</f>
        <v>154151.98181999999</v>
      </c>
      <c r="I17" s="7">
        <f>+[5]Resumen!I17*1000</f>
        <v>148184.26118999999</v>
      </c>
      <c r="J17" s="7">
        <f>+[5]Resumen!J17*1000</f>
        <v>150182.10917999997</v>
      </c>
      <c r="K17" s="7">
        <f>+[5]Resumen!K17*1000</f>
        <v>157088.67812999999</v>
      </c>
      <c r="L17" s="7">
        <f>+[5]Resumen!L17*1000</f>
        <v>169227.93428999998</v>
      </c>
      <c r="M17" s="7">
        <f>+[5]Resumen!M17*1000</f>
        <v>169361.20871999997</v>
      </c>
      <c r="N17" s="7">
        <f>+[5]Resumen!N17*1000</f>
        <v>195192.86809499998</v>
      </c>
      <c r="O17" s="7">
        <f>+[5]Resumen!O17*1000</f>
        <v>216755.86202999996</v>
      </c>
      <c r="P17" s="7">
        <f>+[5]Resumen!P17*1000</f>
        <v>232270.24360499997</v>
      </c>
      <c r="Q17" s="7">
        <f>+[5]Resumen!Q17*1000</f>
        <v>248569.39475999997</v>
      </c>
      <c r="R17" s="7">
        <f>+[5]Resumen!R17*1000</f>
        <v>259437.99460499999</v>
      </c>
      <c r="S17" s="7">
        <f>+[5]Resumen!S17*1000</f>
        <v>258642.78372000001</v>
      </c>
      <c r="T17" s="7">
        <f>+[5]Resumen!T17*1000</f>
        <v>251629.91077499997</v>
      </c>
      <c r="U17" s="7">
        <f>+[5]Resumen!U17*1000</f>
        <v>245641.05305999998</v>
      </c>
      <c r="V17" s="7">
        <f>+[5]Resumen!V17*1000</f>
        <v>241429.27648499995</v>
      </c>
      <c r="W17" s="7">
        <f>+[5]Resumen!W17*1000</f>
        <v>256560.74756999992</v>
      </c>
      <c r="X17" s="7">
        <f>+[5]Resumen!X17*1000</f>
        <v>276415.51347000001</v>
      </c>
      <c r="Y17" s="7">
        <f>+[5]Resumen!Y17*1000</f>
        <v>293669.25516</v>
      </c>
      <c r="Z17" s="7">
        <f>+[5]Resumen!Z17*1000</f>
        <v>280713.05986500002</v>
      </c>
      <c r="AA17" s="7">
        <f>+[5]Resumen!AA17*1000</f>
        <v>258280.63447499994</v>
      </c>
      <c r="AB17" s="7">
        <f>+[5]Resumen!AB17*1000</f>
        <v>225901.94800499995</v>
      </c>
      <c r="AC17" s="7">
        <f>+[5]Resumen!AC17*1000</f>
        <v>191747.84818499998</v>
      </c>
      <c r="AD17" s="5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+[5]Resumen!F18*1000</f>
        <v>174865.49905499996</v>
      </c>
      <c r="G18" s="7">
        <f>+[5]Resumen!G18*1000</f>
        <v>157004.92453499997</v>
      </c>
      <c r="H18" s="7">
        <f>+[5]Resumen!H18*1000</f>
        <v>146974.02507</v>
      </c>
      <c r="I18" s="7">
        <f>+[5]Resumen!I18*1000</f>
        <v>141666.65140499998</v>
      </c>
      <c r="J18" s="7">
        <f>+[5]Resumen!J18*1000</f>
        <v>145323.19093499999</v>
      </c>
      <c r="K18" s="7">
        <f>+[5]Resumen!K18*1000</f>
        <v>153894.958155</v>
      </c>
      <c r="L18" s="7">
        <f>+[5]Resumen!L18*1000</f>
        <v>166949.13023999997</v>
      </c>
      <c r="M18" s="7">
        <f>+[5]Resumen!M18*1000</f>
        <v>168648.42032999999</v>
      </c>
      <c r="N18" s="7">
        <f>+[5]Resumen!N18*1000</f>
        <v>194130.82646999997</v>
      </c>
      <c r="O18" s="7">
        <f>+[5]Resumen!O18*1000</f>
        <v>209575.78334999998</v>
      </c>
      <c r="P18" s="7">
        <f>+[5]Resumen!P18*1000</f>
        <v>221597.12753999999</v>
      </c>
      <c r="Q18" s="7">
        <f>+[5]Resumen!Q18*1000</f>
        <v>239909.18377499995</v>
      </c>
      <c r="R18" s="7">
        <f>+[5]Resumen!R18*1000</f>
        <v>253272.03403499999</v>
      </c>
      <c r="S18" s="7">
        <f>+[5]Resumen!S18*1000</f>
        <v>251703.54800999994</v>
      </c>
      <c r="T18" s="7">
        <f>+[5]Resumen!T18*1000</f>
        <v>244373.93198999998</v>
      </c>
      <c r="U18" s="7">
        <f>+[5]Resumen!U18*1000</f>
        <v>240823.414575</v>
      </c>
      <c r="V18" s="7">
        <f>+[5]Resumen!V18*1000</f>
        <v>236791.13291999997</v>
      </c>
      <c r="W18" s="7">
        <f>+[5]Resumen!W18*1000</f>
        <v>253470.04690499997</v>
      </c>
      <c r="X18" s="7">
        <f>+[5]Resumen!X18*1000</f>
        <v>271177.06337999995</v>
      </c>
      <c r="Y18" s="7">
        <f>+[5]Resumen!Y18*1000</f>
        <v>282007.30796999997</v>
      </c>
      <c r="Z18" s="7">
        <f>+[5]Resumen!Z18*1000</f>
        <v>264179.91307499999</v>
      </c>
      <c r="AA18" s="7">
        <f>+[5]Resumen!AA18*1000</f>
        <v>244192.98460499998</v>
      </c>
      <c r="AB18" s="7">
        <f>+[5]Resumen!AB18*1000</f>
        <v>219620.61238499996</v>
      </c>
      <c r="AC18" s="7">
        <f>+[5]Resumen!AC18*1000</f>
        <v>193275.38722499998</v>
      </c>
      <c r="AD18" s="59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20</v>
      </c>
      <c r="F19" s="7">
        <f>+[5]Resumen!F19*1000</f>
        <v>181148.48288999998</v>
      </c>
      <c r="G19" s="7">
        <f>+[5]Resumen!G19*1000</f>
        <v>165663.00575999997</v>
      </c>
      <c r="H19" s="7">
        <f>+[5]Resumen!H19*1000</f>
        <v>157681.10767499998</v>
      </c>
      <c r="I19" s="7">
        <f>+[5]Resumen!I19*1000</f>
        <v>157845.33409499997</v>
      </c>
      <c r="J19" s="7">
        <f>+[5]Resumen!J19*1000</f>
        <v>177954.60239999997</v>
      </c>
      <c r="K19" s="7">
        <f>+[5]Resumen!K19*1000</f>
        <v>222818.44310999996</v>
      </c>
      <c r="L19" s="7">
        <f>+[5]Resumen!L19*1000</f>
        <v>260851.41530999998</v>
      </c>
      <c r="M19" s="7">
        <f>+[5]Resumen!M19*1000</f>
        <v>263438.25156</v>
      </c>
      <c r="N19" s="7">
        <f>+[5]Resumen!N19*1000</f>
        <v>287137.22642999998</v>
      </c>
      <c r="O19" s="7">
        <f>+[5]Resumen!O19*1000</f>
        <v>303970.43056499999</v>
      </c>
      <c r="P19" s="7">
        <f>+[5]Resumen!P19*1000</f>
        <v>326562.04376999999</v>
      </c>
      <c r="Q19" s="7">
        <f>+[5]Resumen!Q19*1000</f>
        <v>344769.00574499997</v>
      </c>
      <c r="R19" s="7">
        <f>+[5]Resumen!R19*1000</f>
        <v>346443.88189499994</v>
      </c>
      <c r="S19" s="7">
        <f>+[5]Resumen!S19*1000</f>
        <v>340730.47183499997</v>
      </c>
      <c r="T19" s="7">
        <f>+[5]Resumen!T19*1000</f>
        <v>343344.50167499995</v>
      </c>
      <c r="U19" s="7">
        <f>+[5]Resumen!U19*1000</f>
        <v>342422.61313499993</v>
      </c>
      <c r="V19" s="7">
        <f>+[5]Resumen!V19*1000</f>
        <v>331891.17308999994</v>
      </c>
      <c r="W19" s="7">
        <f>+[5]Resumen!W19*1000</f>
        <v>334173.63766499999</v>
      </c>
      <c r="X19" s="7">
        <f>+[5]Resumen!X19*1000</f>
        <v>349105.42417499993</v>
      </c>
      <c r="Y19" s="7">
        <f>+[5]Resumen!Y19*1000</f>
        <v>357730.43930999999</v>
      </c>
      <c r="Z19" s="7">
        <f>+[5]Resumen!Z19*1000</f>
        <v>335517.37136999995</v>
      </c>
      <c r="AA19" s="7">
        <f>+[5]Resumen!AA19*1000</f>
        <v>300557.23568999994</v>
      </c>
      <c r="AB19" s="7">
        <f>+[5]Resumen!AB19*1000</f>
        <v>252706.66496999998</v>
      </c>
      <c r="AC19" s="7">
        <f>+[5]Resumen!AC19*1000</f>
        <v>213633.00747000001</v>
      </c>
      <c r="AD19" s="57">
        <f t="shared" ref="AD19" si="1">SUM(F19:AC19)*E19+SUM(F20:AC20)*E20+SUM(F21:AC21)*E21+SUM(F22:AC22)*E22</f>
        <v>191948395.49288997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+[5]Resumen!F20*1000</f>
        <v>189950.40121499999</v>
      </c>
      <c r="G20" s="7">
        <f>+[5]Resumen!G20*1000</f>
        <v>173576.59100999997</v>
      </c>
      <c r="H20" s="7">
        <f>+[5]Resumen!H20*1000</f>
        <v>161574.41857499999</v>
      </c>
      <c r="I20" s="7">
        <f>+[5]Resumen!I20*1000</f>
        <v>158472.68935499998</v>
      </c>
      <c r="J20" s="7">
        <f>+[5]Resumen!J20*1000</f>
        <v>168801.65342999998</v>
      </c>
      <c r="K20" s="7">
        <f>+[5]Resumen!K20*1000</f>
        <v>187136.11912499997</v>
      </c>
      <c r="L20" s="7">
        <f>+[5]Resumen!L20*1000</f>
        <v>220646.65558499997</v>
      </c>
      <c r="M20" s="7">
        <f>+[5]Resumen!M20*1000</f>
        <v>237152.40128999998</v>
      </c>
      <c r="N20" s="7">
        <f>+[5]Resumen!N20*1000</f>
        <v>270798.01699499995</v>
      </c>
      <c r="O20" s="7">
        <f>+[5]Resumen!O20*1000</f>
        <v>293826.64598999999</v>
      </c>
      <c r="P20" s="7">
        <f>+[5]Resumen!P20*1000</f>
        <v>314451.38668499998</v>
      </c>
      <c r="Q20" s="7">
        <f>+[5]Resumen!Q20*1000</f>
        <v>329848.27519499994</v>
      </c>
      <c r="R20" s="7">
        <f>+[5]Resumen!R20*1000</f>
        <v>332665.26646499994</v>
      </c>
      <c r="S20" s="7">
        <f>+[5]Resumen!S20*1000</f>
        <v>320189.95453499997</v>
      </c>
      <c r="T20" s="7">
        <f>+[5]Resumen!T20*1000</f>
        <v>309175.73626499996</v>
      </c>
      <c r="U20" s="7">
        <f>+[5]Resumen!U20*1000</f>
        <v>301979.58650999994</v>
      </c>
      <c r="V20" s="7">
        <f>+[5]Resumen!V20*1000</f>
        <v>295123.55629499996</v>
      </c>
      <c r="W20" s="7">
        <f>+[5]Resumen!W20*1000</f>
        <v>310185.97460999998</v>
      </c>
      <c r="X20" s="7">
        <f>+[5]Resumen!X20*1000</f>
        <v>329711.25802499993</v>
      </c>
      <c r="Y20" s="7">
        <f>+[5]Resumen!Y20*1000</f>
        <v>334096.50433499995</v>
      </c>
      <c r="Z20" s="7">
        <f>+[5]Resumen!Z20*1000</f>
        <v>311930.94883499999</v>
      </c>
      <c r="AA20" s="7">
        <f>+[5]Resumen!AA20*1000</f>
        <v>282584.17147499998</v>
      </c>
      <c r="AB20" s="7">
        <f>+[5]Resumen!AB20*1000</f>
        <v>248386.58774999998</v>
      </c>
      <c r="AC20" s="7">
        <f>+[5]Resumen!AC20*1000</f>
        <v>214908.97643999997</v>
      </c>
      <c r="AD20" s="5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+[5]Resumen!F21*1000</f>
        <v>189144.23615999997</v>
      </c>
      <c r="G21" s="7">
        <f>+[5]Resumen!G21*1000</f>
        <v>170100.92447999999</v>
      </c>
      <c r="H21" s="7">
        <f>+[5]Resumen!H21*1000</f>
        <v>158002.55658</v>
      </c>
      <c r="I21" s="7">
        <f>+[5]Resumen!I21*1000</f>
        <v>151923.00005999999</v>
      </c>
      <c r="J21" s="7">
        <f>+[5]Resumen!J21*1000</f>
        <v>153735.31228499996</v>
      </c>
      <c r="K21" s="7">
        <f>+[5]Resumen!K21*1000</f>
        <v>160162.78702499997</v>
      </c>
      <c r="L21" s="7">
        <f>+[5]Resumen!L21*1000</f>
        <v>174819.85798499998</v>
      </c>
      <c r="M21" s="7">
        <f>+[5]Resumen!M21*1000</f>
        <v>176576.65942499999</v>
      </c>
      <c r="N21" s="7">
        <f>+[5]Resumen!N21*1000</f>
        <v>203875.17925499997</v>
      </c>
      <c r="O21" s="7">
        <f>+[5]Resumen!O21*1000</f>
        <v>226076.38474499999</v>
      </c>
      <c r="P21" s="7">
        <f>+[5]Resumen!P21*1000</f>
        <v>244508.25563999999</v>
      </c>
      <c r="Q21" s="7">
        <f>+[5]Resumen!Q21*1000</f>
        <v>263406.34039499995</v>
      </c>
      <c r="R21" s="7">
        <f>+[5]Resumen!R21*1000</f>
        <v>274255.306515</v>
      </c>
      <c r="S21" s="7">
        <f>+[5]Resumen!S21*1000</f>
        <v>273594.01994999999</v>
      </c>
      <c r="T21" s="7">
        <f>+[5]Resumen!T21*1000</f>
        <v>264649.63477499998</v>
      </c>
      <c r="U21" s="7">
        <f>+[5]Resumen!U21*1000</f>
        <v>258886.13620500002</v>
      </c>
      <c r="V21" s="7">
        <f>+[5]Resumen!V21*1000</f>
        <v>253524.03083999996</v>
      </c>
      <c r="W21" s="7">
        <f>+[5]Resumen!W21*1000</f>
        <v>269578.25959500001</v>
      </c>
      <c r="X21" s="7">
        <f>+[5]Resumen!X21*1000</f>
        <v>295376.20690499997</v>
      </c>
      <c r="Y21" s="7">
        <f>+[5]Resumen!Y21*1000</f>
        <v>308196.22675499995</v>
      </c>
      <c r="Z21" s="7">
        <f>+[5]Resumen!Z21*1000</f>
        <v>294010.04416499997</v>
      </c>
      <c r="AA21" s="7">
        <f>+[5]Resumen!AA21*1000</f>
        <v>268366.97425499995</v>
      </c>
      <c r="AB21" s="7">
        <f>+[5]Resumen!AB21*1000</f>
        <v>233512.01896499997</v>
      </c>
      <c r="AC21" s="7">
        <f>+[5]Resumen!AC21*1000</f>
        <v>196095.24427499998</v>
      </c>
      <c r="AD21" s="5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+[5]Resumen!F22*1000</f>
        <v>189363.84416999997</v>
      </c>
      <c r="G22" s="7">
        <f>+[5]Resumen!G22*1000</f>
        <v>170389.40908499999</v>
      </c>
      <c r="H22" s="7">
        <f>+[5]Resumen!H22*1000</f>
        <v>158213.95483499998</v>
      </c>
      <c r="I22" s="7">
        <f>+[5]Resumen!I22*1000</f>
        <v>152071.51949999999</v>
      </c>
      <c r="J22" s="7">
        <f>+[5]Resumen!J22*1000</f>
        <v>153752.88280499997</v>
      </c>
      <c r="K22" s="7">
        <f>+[5]Resumen!K22*1000</f>
        <v>160071.246495</v>
      </c>
      <c r="L22" s="7">
        <f>+[5]Resumen!L22*1000</f>
        <v>174899.71223999999</v>
      </c>
      <c r="M22" s="7">
        <f>+[5]Resumen!M22*1000</f>
        <v>176566.19854499996</v>
      </c>
      <c r="N22" s="7">
        <f>+[5]Resumen!N22*1000</f>
        <v>204023.72218499999</v>
      </c>
      <c r="O22" s="7">
        <f>+[5]Resumen!O22*1000</f>
        <v>226434.19616999998</v>
      </c>
      <c r="P22" s="7">
        <f>+[5]Resumen!P22*1000</f>
        <v>245232.33097499999</v>
      </c>
      <c r="Q22" s="7">
        <f>+[5]Resumen!Q22*1000</f>
        <v>264080.29198499996</v>
      </c>
      <c r="R22" s="7">
        <f>+[5]Resumen!R22*1000</f>
        <v>274741.65522000002</v>
      </c>
      <c r="S22" s="7">
        <f>+[5]Resumen!S22*1000</f>
        <v>274163.97739499999</v>
      </c>
      <c r="T22" s="7">
        <f>+[5]Resumen!T22*1000</f>
        <v>265289.28313499998</v>
      </c>
      <c r="U22" s="7">
        <f>+[5]Resumen!U22*1000</f>
        <v>259623.80442</v>
      </c>
      <c r="V22" s="7">
        <f>+[5]Resumen!V22*1000</f>
        <v>254263.46863499994</v>
      </c>
      <c r="W22" s="7">
        <f>+[5]Resumen!W22*1000</f>
        <v>270332.24161500001</v>
      </c>
      <c r="X22" s="7">
        <f>+[5]Resumen!X22*1000</f>
        <v>296209.107495</v>
      </c>
      <c r="Y22" s="7">
        <f>+[5]Resumen!Y22*1000</f>
        <v>309399.25927499996</v>
      </c>
      <c r="Z22" s="7">
        <f>+[5]Resumen!Z22*1000</f>
        <v>295324.14523499995</v>
      </c>
      <c r="AA22" s="7">
        <f>+[5]Resumen!AA22*1000</f>
        <v>269539.140915</v>
      </c>
      <c r="AB22" s="7">
        <f>+[5]Resumen!AB22*1000</f>
        <v>233983.13440499996</v>
      </c>
      <c r="AC22" s="7">
        <f>+[5]Resumen!AC22*1000</f>
        <v>196172.75735999999</v>
      </c>
      <c r="AD22" s="59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22</v>
      </c>
      <c r="F23" s="7">
        <f>+[5]Resumen!F23*1000</f>
        <v>154597.27000499997</v>
      </c>
      <c r="G23" s="7">
        <f>+[5]Resumen!G23*1000</f>
        <v>137003.45183999999</v>
      </c>
      <c r="H23" s="7">
        <f>+[5]Resumen!H23*1000</f>
        <v>127833.46087499999</v>
      </c>
      <c r="I23" s="7">
        <f>+[5]Resumen!I23*1000</f>
        <v>126235.15429499999</v>
      </c>
      <c r="J23" s="7">
        <f>+[5]Resumen!J23*1000</f>
        <v>137035.24946999998</v>
      </c>
      <c r="K23" s="7">
        <f>+[5]Resumen!K23*1000</f>
        <v>154620.66212999998</v>
      </c>
      <c r="L23" s="7">
        <f>+[5]Resumen!L23*1000</f>
        <v>189861.41326499998</v>
      </c>
      <c r="M23" s="7">
        <f>+[5]Resumen!M23*1000</f>
        <v>206642.09375999996</v>
      </c>
      <c r="N23" s="7">
        <f>+[5]Resumen!N23*1000</f>
        <v>240559.12075499995</v>
      </c>
      <c r="O23" s="7">
        <f>+[5]Resumen!O23*1000</f>
        <v>263482.66723499994</v>
      </c>
      <c r="P23" s="7">
        <f>+[5]Resumen!P23*1000</f>
        <v>284048.866935</v>
      </c>
      <c r="Q23" s="7">
        <f>+[5]Resumen!Q23*1000</f>
        <v>304696.32245999994</v>
      </c>
      <c r="R23" s="7">
        <f>+[5]Resumen!R23*1000</f>
        <v>315953.39209499996</v>
      </c>
      <c r="S23" s="7">
        <f>+[5]Resumen!S23*1000</f>
        <v>305472.21281999996</v>
      </c>
      <c r="T23" s="7">
        <f>+[5]Resumen!T23*1000</f>
        <v>294761.72416499996</v>
      </c>
      <c r="U23" s="7">
        <f>+[5]Resumen!U23*1000</f>
        <v>286540.29854999995</v>
      </c>
      <c r="V23" s="7">
        <f>+[5]Resumen!V23*1000</f>
        <v>276679.52149499999</v>
      </c>
      <c r="W23" s="7">
        <f>+[5]Resumen!W23*1000</f>
        <v>287130.83714999998</v>
      </c>
      <c r="X23" s="7">
        <f>+[5]Resumen!X23*1000</f>
        <v>308502.63031499996</v>
      </c>
      <c r="Y23" s="7">
        <f>+[5]Resumen!Y23*1000</f>
        <v>319763.24693999998</v>
      </c>
      <c r="Z23" s="7">
        <f>+[5]Resumen!Z23*1000</f>
        <v>296704.58597999997</v>
      </c>
      <c r="AA23" s="7">
        <f>+[5]Resumen!AA23*1000</f>
        <v>262674.31760999997</v>
      </c>
      <c r="AB23" s="7">
        <f>+[5]Resumen!AB23*1000</f>
        <v>219992.874075</v>
      </c>
      <c r="AC23" s="7">
        <f>+[5]Resumen!AC23*1000</f>
        <v>180978.06685499998</v>
      </c>
      <c r="AD23" s="57">
        <f t="shared" ref="AD23" si="2">SUM(F23:AC23)*E23+SUM(F24:AC24)*E24+SUM(F25:AC25)*E25+SUM(F26:AC26)*E26</f>
        <v>179863416.34478998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+[5]Resumen!F24*1000</f>
        <v>142415.32076999999</v>
      </c>
      <c r="G24" s="7">
        <f>+[5]Resumen!G24*1000</f>
        <v>128200.08104999999</v>
      </c>
      <c r="H24" s="7">
        <f>+[5]Resumen!H24*1000</f>
        <v>120253.46885999999</v>
      </c>
      <c r="I24" s="7">
        <f>+[5]Resumen!I24*1000</f>
        <v>120920.52613499999</v>
      </c>
      <c r="J24" s="7">
        <f>+[5]Resumen!J24*1000</f>
        <v>138934.35724499999</v>
      </c>
      <c r="K24" s="7">
        <f>+[5]Resumen!K24*1000</f>
        <v>166144.45288499998</v>
      </c>
      <c r="L24" s="7">
        <f>+[5]Resumen!L24*1000</f>
        <v>213962.599575</v>
      </c>
      <c r="M24" s="7">
        <f>+[5]Resumen!M24*1000</f>
        <v>234347.67571499996</v>
      </c>
      <c r="N24" s="7">
        <f>+[5]Resumen!N24*1000</f>
        <v>265929.89458499994</v>
      </c>
      <c r="O24" s="7">
        <f>+[5]Resumen!O24*1000</f>
        <v>286328.93944499997</v>
      </c>
      <c r="P24" s="7">
        <f>+[5]Resumen!P24*1000</f>
        <v>308156.512995</v>
      </c>
      <c r="Q24" s="7">
        <f>+[5]Resumen!Q24*1000</f>
        <v>331381.89814499998</v>
      </c>
      <c r="R24" s="7">
        <f>+[5]Resumen!R24*1000</f>
        <v>342183.20697</v>
      </c>
      <c r="S24" s="7">
        <f>+[5]Resumen!S24*1000</f>
        <v>329901.31952999992</v>
      </c>
      <c r="T24" s="7">
        <f>+[5]Resumen!T24*1000</f>
        <v>325146.48155999999</v>
      </c>
      <c r="U24" s="7">
        <f>+[5]Resumen!U24*1000</f>
        <v>320479.10860499996</v>
      </c>
      <c r="V24" s="7">
        <f>+[5]Resumen!V24*1000</f>
        <v>309288.07327499997</v>
      </c>
      <c r="W24" s="7">
        <f>+[5]Resumen!W24*1000</f>
        <v>311829.21364499995</v>
      </c>
      <c r="X24" s="7">
        <f>+[5]Resumen!X24*1000</f>
        <v>331906.25366999995</v>
      </c>
      <c r="Y24" s="7">
        <f>+[5]Resumen!Y24*1000</f>
        <v>347525.61596999998</v>
      </c>
      <c r="Z24" s="7">
        <f>+[5]Resumen!Z24*1000</f>
        <v>319872.44020499999</v>
      </c>
      <c r="AA24" s="7">
        <f>+[5]Resumen!AA24*1000</f>
        <v>279973.954845</v>
      </c>
      <c r="AB24" s="7">
        <f>+[5]Resumen!AB24*1000</f>
        <v>227074.51007999998</v>
      </c>
      <c r="AC24" s="7">
        <f>+[5]Resumen!AC24*1000</f>
        <v>180065.39813999998</v>
      </c>
      <c r="AD24" s="5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+[5]Resumen!F25*1000</f>
        <v>149773.01125499996</v>
      </c>
      <c r="G25" s="7">
        <f>+[5]Resumen!G25*1000</f>
        <v>133655.68052999998</v>
      </c>
      <c r="H25" s="7">
        <f>+[5]Resumen!H25*1000</f>
        <v>125501.54201999999</v>
      </c>
      <c r="I25" s="7">
        <f>+[5]Resumen!I25*1000</f>
        <v>126250.25836499999</v>
      </c>
      <c r="J25" s="7">
        <f>+[5]Resumen!J25*1000</f>
        <v>144737.99239499998</v>
      </c>
      <c r="K25" s="7">
        <f>+[5]Resumen!K25*1000</f>
        <v>172314.53203499998</v>
      </c>
      <c r="L25" s="7">
        <f>+[5]Resumen!L25*1000</f>
        <v>220691.94039</v>
      </c>
      <c r="M25" s="7">
        <f>+[5]Resumen!M25*1000</f>
        <v>241686.25708499996</v>
      </c>
      <c r="N25" s="7">
        <f>+[5]Resumen!N25*1000</f>
        <v>273820.07987999998</v>
      </c>
      <c r="O25" s="7">
        <f>+[5]Resumen!O25*1000</f>
        <v>293556.35047499998</v>
      </c>
      <c r="P25" s="7">
        <f>+[5]Resumen!P25*1000</f>
        <v>315363.94577999995</v>
      </c>
      <c r="Q25" s="7">
        <f>+[5]Resumen!Q25*1000</f>
        <v>337916.83963499992</v>
      </c>
      <c r="R25" s="7">
        <f>+[5]Resumen!R25*1000</f>
        <v>348560.49923999998</v>
      </c>
      <c r="S25" s="7">
        <f>+[5]Resumen!S25*1000</f>
        <v>337678.28693999996</v>
      </c>
      <c r="T25" s="7">
        <f>+[5]Resumen!T25*1000</f>
        <v>329529.62942999997</v>
      </c>
      <c r="U25" s="7">
        <f>+[5]Resumen!U25*1000</f>
        <v>323463.65795999998</v>
      </c>
      <c r="V25" s="7">
        <f>+[5]Resumen!V25*1000</f>
        <v>311275.57783499995</v>
      </c>
      <c r="W25" s="7">
        <f>+[5]Resumen!W25*1000</f>
        <v>314821.90228499996</v>
      </c>
      <c r="X25" s="7">
        <f>+[5]Resumen!X25*1000</f>
        <v>336895.07161499996</v>
      </c>
      <c r="Y25" s="7">
        <f>+[5]Resumen!Y25*1000</f>
        <v>352992.79601999995</v>
      </c>
      <c r="Z25" s="7">
        <f>+[5]Resumen!Z25*1000</f>
        <v>323423.60750999994</v>
      </c>
      <c r="AA25" s="7">
        <f>+[5]Resumen!AA25*1000</f>
        <v>284286.80497499998</v>
      </c>
      <c r="AB25" s="7">
        <f>+[5]Resumen!AB25*1000</f>
        <v>234234.72796499997</v>
      </c>
      <c r="AC25" s="7">
        <f>+[5]Resumen!AC25*1000</f>
        <v>185859.33974999998</v>
      </c>
      <c r="AD25" s="5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1</v>
      </c>
      <c r="F26" s="7">
        <f>+[5]Resumen!F26*1000</f>
        <v>152903.21427</v>
      </c>
      <c r="G26" s="7">
        <f>+[5]Resumen!G26*1000</f>
        <v>134481.23266499999</v>
      </c>
      <c r="H26" s="7">
        <f>+[5]Resumen!H26*1000</f>
        <v>124476.87689999997</v>
      </c>
      <c r="I26" s="7">
        <f>+[5]Resumen!I26*1000</f>
        <v>123251.96736</v>
      </c>
      <c r="J26" s="7">
        <f>+[5]Resumen!J26*1000</f>
        <v>135612.66374999998</v>
      </c>
      <c r="K26" s="7">
        <f>+[5]Resumen!K26*1000</f>
        <v>151389.54215999998</v>
      </c>
      <c r="L26" s="7">
        <f>+[5]Resumen!L26*1000</f>
        <v>187734.20975999997</v>
      </c>
      <c r="M26" s="7">
        <f>+[5]Resumen!M26*1000</f>
        <v>205745.22206999996</v>
      </c>
      <c r="N26" s="7">
        <f>+[5]Resumen!N26*1000</f>
        <v>235694.47094999999</v>
      </c>
      <c r="O26" s="7">
        <f>+[5]Resumen!O26*1000</f>
        <v>259101.29285999996</v>
      </c>
      <c r="P26" s="7">
        <f>+[5]Resumen!P26*1000</f>
        <v>282992.76045</v>
      </c>
      <c r="Q26" s="7">
        <f>+[5]Resumen!Q26*1000</f>
        <v>304244.93470499996</v>
      </c>
      <c r="R26" s="7">
        <f>+[5]Resumen!R26*1000</f>
        <v>314245.716075</v>
      </c>
      <c r="S26" s="7">
        <f>+[5]Resumen!S26*1000</f>
        <v>303357.662595</v>
      </c>
      <c r="T26" s="7">
        <f>+[5]Resumen!T26*1000</f>
        <v>295153.48647</v>
      </c>
      <c r="U26" s="7">
        <f>+[5]Resumen!U26*1000</f>
        <v>290759.85814499995</v>
      </c>
      <c r="V26" s="7">
        <f>+[5]Resumen!V26*1000</f>
        <v>278865.07024500001</v>
      </c>
      <c r="W26" s="7">
        <f>+[5]Resumen!W26*1000</f>
        <v>284039.67842999997</v>
      </c>
      <c r="X26" s="7">
        <f>+[5]Resumen!X26*1000</f>
        <v>307877.24821499997</v>
      </c>
      <c r="Y26" s="7">
        <f>+[5]Resumen!Y26*1000</f>
        <v>322323.77830499999</v>
      </c>
      <c r="Z26" s="7">
        <f>+[5]Resumen!Z26*1000</f>
        <v>298906.97705999995</v>
      </c>
      <c r="AA26" s="7">
        <f>+[5]Resumen!AA26*1000</f>
        <v>264240.95966999995</v>
      </c>
      <c r="AB26" s="7">
        <f>+[5]Resumen!AB26*1000</f>
        <v>223093.45228499998</v>
      </c>
      <c r="AC26" s="7">
        <f>+[5]Resumen!AC26*1000</f>
        <v>181949.82466499999</v>
      </c>
      <c r="AD26" s="59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18</v>
      </c>
      <c r="F27" s="7">
        <f>+[5]Resumen!F27*1000</f>
        <v>173054.83504499999</v>
      </c>
      <c r="G27" s="7">
        <f>+[5]Resumen!G27*1000</f>
        <v>156472.70768999998</v>
      </c>
      <c r="H27" s="7">
        <f>+[5]Resumen!H27*1000</f>
        <v>147454.07062499999</v>
      </c>
      <c r="I27" s="7">
        <f>+[5]Resumen!I27*1000</f>
        <v>147612.40496999997</v>
      </c>
      <c r="J27" s="7">
        <f>+[5]Resumen!J27*1000</f>
        <v>164967.36898499998</v>
      </c>
      <c r="K27" s="7">
        <f>+[5]Resumen!K27*1000</f>
        <v>197710.04083499996</v>
      </c>
      <c r="L27" s="7">
        <f>+[5]Resumen!L27*1000</f>
        <v>238342.51039499999</v>
      </c>
      <c r="M27" s="7">
        <f>+[5]Resumen!M27*1000</f>
        <v>251020.63498499995</v>
      </c>
      <c r="N27" s="7">
        <f>+[5]Resumen!N27*1000</f>
        <v>280000.30670999998</v>
      </c>
      <c r="O27" s="7">
        <f>+[5]Resumen!O27*1000</f>
        <v>297421.285455</v>
      </c>
      <c r="P27" s="7">
        <f>+[5]Resumen!P27*1000</f>
        <v>320437.53130500001</v>
      </c>
      <c r="Q27" s="7">
        <f>+[5]Resumen!Q27*1000</f>
        <v>341209.94188499992</v>
      </c>
      <c r="R27" s="7">
        <f>+[5]Resumen!R27*1000</f>
        <v>347759.88956999994</v>
      </c>
      <c r="S27" s="7">
        <f>+[5]Resumen!S27*1000</f>
        <v>340863.28037999995</v>
      </c>
      <c r="T27" s="7">
        <f>+[5]Resumen!T27*1000</f>
        <v>342233.96885999996</v>
      </c>
      <c r="U27" s="7">
        <f>+[5]Resumen!U27*1000</f>
        <v>340720.77046499995</v>
      </c>
      <c r="V27" s="7">
        <f>+[5]Resumen!V27*1000</f>
        <v>330060.80488499993</v>
      </c>
      <c r="W27" s="7">
        <f>+[5]Resumen!W27*1000</f>
        <v>330293.34414</v>
      </c>
      <c r="X27" s="7">
        <f>+[5]Resumen!X27*1000</f>
        <v>338995.53958499996</v>
      </c>
      <c r="Y27" s="7">
        <f>+[5]Resumen!Y27*1000</f>
        <v>352727.68004999997</v>
      </c>
      <c r="Z27" s="7">
        <f>+[5]Resumen!Z27*1000</f>
        <v>329943.02602499997</v>
      </c>
      <c r="AA27" s="7">
        <f>+[5]Resumen!AA27*1000</f>
        <v>294125.28610499995</v>
      </c>
      <c r="AB27" s="7">
        <f>+[5]Resumen!AB27*1000</f>
        <v>247701.67024499999</v>
      </c>
      <c r="AC27" s="7">
        <f>+[5]Resumen!AC27*1000</f>
        <v>207988.25476499999</v>
      </c>
      <c r="AD27" s="57">
        <f t="shared" ref="AD27:AD35" si="3">SUM(F27:AC27)*E27+SUM(F28:AC28)*E28+SUM(F29:AC29)*E29+SUM(F30:AC30)*E30</f>
        <v>184427916.68483999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5</v>
      </c>
      <c r="F28" s="7">
        <f>+[5]Resumen!F28*1000</f>
        <v>183473.77364999996</v>
      </c>
      <c r="G28" s="7">
        <f>+[5]Resumen!G28*1000</f>
        <v>164200.64363999997</v>
      </c>
      <c r="H28" s="7">
        <f>+[5]Resumen!H28*1000</f>
        <v>154497.37094999998</v>
      </c>
      <c r="I28" s="7">
        <f>+[5]Resumen!I28*1000</f>
        <v>150765.72214499998</v>
      </c>
      <c r="J28" s="7">
        <f>+[5]Resumen!J28*1000</f>
        <v>161117.28751499997</v>
      </c>
      <c r="K28" s="7">
        <f>+[5]Resumen!K28*1000</f>
        <v>178029.68818499998</v>
      </c>
      <c r="L28" s="7">
        <f>+[5]Resumen!L28*1000</f>
        <v>212446.27700999996</v>
      </c>
      <c r="M28" s="7">
        <f>+[5]Resumen!M28*1000</f>
        <v>224330.13422999997</v>
      </c>
      <c r="N28" s="7">
        <f>+[5]Resumen!N28*1000</f>
        <v>257015.36520000003</v>
      </c>
      <c r="O28" s="7">
        <f>+[5]Resumen!O28*1000</f>
        <v>279534.35515499994</v>
      </c>
      <c r="P28" s="7">
        <f>+[5]Resumen!P28*1000</f>
        <v>300221.36783999996</v>
      </c>
      <c r="Q28" s="7">
        <f>+[5]Resumen!Q28*1000</f>
        <v>314457.36880499998</v>
      </c>
      <c r="R28" s="7">
        <f>+[5]Resumen!R28*1000</f>
        <v>315029.92580999999</v>
      </c>
      <c r="S28" s="7">
        <f>+[5]Resumen!S28*1000</f>
        <v>302670.03590999998</v>
      </c>
      <c r="T28" s="7">
        <f>+[5]Resumen!T28*1000</f>
        <v>293655.13766999997</v>
      </c>
      <c r="U28" s="7">
        <f>+[5]Resumen!U28*1000</f>
        <v>291288.86077499995</v>
      </c>
      <c r="V28" s="7">
        <f>+[5]Resumen!V28*1000</f>
        <v>285254.99621999997</v>
      </c>
      <c r="W28" s="7">
        <f>+[5]Resumen!W28*1000</f>
        <v>299728.99003499997</v>
      </c>
      <c r="X28" s="7">
        <f>+[5]Resumen!X28*1000</f>
        <v>314212.97884499998</v>
      </c>
      <c r="Y28" s="7">
        <f>+[5]Resumen!Y28*1000</f>
        <v>326696.91943499999</v>
      </c>
      <c r="Z28" s="7">
        <f>+[5]Resumen!Z28*1000</f>
        <v>304668.77651999996</v>
      </c>
      <c r="AA28" s="7">
        <f>+[5]Resumen!AA28*1000</f>
        <v>274711.64674499998</v>
      </c>
      <c r="AB28" s="7">
        <f>+[5]Resumen!AB28*1000</f>
        <v>240672.61268999998</v>
      </c>
      <c r="AC28" s="7">
        <f>+[5]Resumen!AC28*1000</f>
        <v>208209.69107999999</v>
      </c>
      <c r="AD28" s="5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5</v>
      </c>
      <c r="F29" s="7">
        <f>+[5]Resumen!F29*1000</f>
        <v>183130.87445999996</v>
      </c>
      <c r="G29" s="7">
        <f>+[5]Resumen!G29*1000</f>
        <v>163993.65367499998</v>
      </c>
      <c r="H29" s="7">
        <f>+[5]Resumen!H29*1000</f>
        <v>151019.50810499999</v>
      </c>
      <c r="I29" s="7">
        <f>+[5]Resumen!I29*1000</f>
        <v>144317.552715</v>
      </c>
      <c r="J29" s="7">
        <f>+[5]Resumen!J29*1000</f>
        <v>145604.38580999998</v>
      </c>
      <c r="K29" s="7">
        <f>+[5]Resumen!K29*1000</f>
        <v>150689.82986999999</v>
      </c>
      <c r="L29" s="7">
        <f>+[5]Resumen!L29*1000</f>
        <v>165331.16644499998</v>
      </c>
      <c r="M29" s="7">
        <f>+[5]Resumen!M29*1000</f>
        <v>167041.95880499997</v>
      </c>
      <c r="N29" s="7">
        <f>+[5]Resumen!N29*1000</f>
        <v>192917.71282499997</v>
      </c>
      <c r="O29" s="7">
        <f>+[5]Resumen!O29*1000</f>
        <v>215454.15584999998</v>
      </c>
      <c r="P29" s="7">
        <f>+[5]Resumen!P29*1000</f>
        <v>232828.45604999995</v>
      </c>
      <c r="Q29" s="7">
        <f>+[5]Resumen!Q29*1000</f>
        <v>251883.82592999999</v>
      </c>
      <c r="R29" s="7">
        <f>+[5]Resumen!R29*1000</f>
        <v>264287.87702999997</v>
      </c>
      <c r="S29" s="7">
        <f>+[5]Resumen!S29*1000</f>
        <v>264939.79499999998</v>
      </c>
      <c r="T29" s="7">
        <f>+[5]Resumen!T29*1000</f>
        <v>257410.30648499998</v>
      </c>
      <c r="U29" s="7">
        <f>+[5]Resumen!U29*1000</f>
        <v>251476.73248499996</v>
      </c>
      <c r="V29" s="7">
        <f>+[5]Resumen!V29*1000</f>
        <v>244969.63447499997</v>
      </c>
      <c r="W29" s="7">
        <f>+[5]Resumen!W29*1000</f>
        <v>260522.37913499994</v>
      </c>
      <c r="X29" s="7">
        <f>+[5]Resumen!X29*1000</f>
        <v>276562.86232499999</v>
      </c>
      <c r="Y29" s="7">
        <f>+[5]Resumen!Y29*1000</f>
        <v>292133.161845</v>
      </c>
      <c r="Z29" s="7">
        <f>+[5]Resumen!Z29*1000</f>
        <v>276474.59473499993</v>
      </c>
      <c r="AA29" s="7">
        <f>+[5]Resumen!AA29*1000</f>
        <v>253307.60180999999</v>
      </c>
      <c r="AB29" s="7">
        <f>+[5]Resumen!AB29*1000</f>
        <v>222999.04205999998</v>
      </c>
      <c r="AC29" s="7">
        <f>+[5]Resumen!AC29*1000</f>
        <v>189999.55012499998</v>
      </c>
      <c r="AD29" s="5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+[5]Resumen!F30*1000</f>
        <v>171281.35570499999</v>
      </c>
      <c r="G30" s="7">
        <f>+[5]Resumen!G30*1000</f>
        <v>154561.10323499999</v>
      </c>
      <c r="H30" s="7">
        <f>+[5]Resumen!H30*1000</f>
        <v>143508.45924</v>
      </c>
      <c r="I30" s="7">
        <f>+[5]Resumen!I30*1000</f>
        <v>139055.67917999998</v>
      </c>
      <c r="J30" s="7">
        <f>+[5]Resumen!J30*1000</f>
        <v>143600.99417999998</v>
      </c>
      <c r="K30" s="7">
        <f>+[5]Resumen!K30*1000</f>
        <v>150053.22737999997</v>
      </c>
      <c r="L30" s="7">
        <f>+[5]Resumen!L30*1000</f>
        <v>166111.02661499998</v>
      </c>
      <c r="M30" s="7">
        <f>+[5]Resumen!M30*1000</f>
        <v>170837.85275999998</v>
      </c>
      <c r="N30" s="7">
        <f>+[5]Resumen!N30*1000</f>
        <v>203202.50395499999</v>
      </c>
      <c r="O30" s="7">
        <f>+[5]Resumen!O30*1000</f>
        <v>223232.81062499998</v>
      </c>
      <c r="P30" s="7">
        <f>+[5]Resumen!P30*1000</f>
        <v>247323.55171499995</v>
      </c>
      <c r="Q30" s="7">
        <f>+[5]Resumen!Q30*1000</f>
        <v>271612.41529499996</v>
      </c>
      <c r="R30" s="7">
        <f>+[5]Resumen!R30*1000</f>
        <v>288002.68807500001</v>
      </c>
      <c r="S30" s="7">
        <f>+[5]Resumen!S30*1000</f>
        <v>281981.44939499995</v>
      </c>
      <c r="T30" s="7">
        <f>+[5]Resumen!T30*1000</f>
        <v>269883.35162999993</v>
      </c>
      <c r="U30" s="7">
        <f>+[5]Resumen!U30*1000</f>
        <v>262663.08938999998</v>
      </c>
      <c r="V30" s="7">
        <f>+[5]Resumen!V30*1000</f>
        <v>255469.57834499999</v>
      </c>
      <c r="W30" s="7">
        <f>+[5]Resumen!W30*1000</f>
        <v>274761.52384500002</v>
      </c>
      <c r="X30" s="7">
        <f>+[5]Resumen!X30*1000</f>
        <v>299318.02074000001</v>
      </c>
      <c r="Y30" s="7">
        <f>+[5]Resumen!Y30*1000</f>
        <v>315069.69046499993</v>
      </c>
      <c r="Z30" s="7">
        <f>+[5]Resumen!Z30*1000</f>
        <v>295743.9546</v>
      </c>
      <c r="AA30" s="7">
        <f>+[5]Resumen!AA30*1000</f>
        <v>260526.70129499995</v>
      </c>
      <c r="AB30" s="7">
        <f>+[5]Resumen!AB30*1000</f>
        <v>225049.27274999997</v>
      </c>
      <c r="AC30" s="7">
        <f>+[5]Resumen!AC30*1000</f>
        <v>188587.29608999999</v>
      </c>
      <c r="AD30" s="59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22</v>
      </c>
      <c r="F31" s="7">
        <f>+[5]Resumen!F31*1000</f>
        <v>171311.05489499998</v>
      </c>
      <c r="G31" s="7">
        <f>+[5]Resumen!G31*1000</f>
        <v>155046.25394999998</v>
      </c>
      <c r="H31" s="7">
        <f>+[5]Resumen!H31*1000</f>
        <v>146191.17384</v>
      </c>
      <c r="I31" s="7">
        <f>+[5]Resumen!I31*1000</f>
        <v>145108.85642999999</v>
      </c>
      <c r="J31" s="7">
        <f>+[5]Resumen!J31*1000</f>
        <v>162375.50587499997</v>
      </c>
      <c r="K31" s="7">
        <f>+[5]Resumen!K31*1000</f>
        <v>201467.86924499998</v>
      </c>
      <c r="L31" s="7">
        <f>+[5]Resumen!L31*1000</f>
        <v>238764.53173499997</v>
      </c>
      <c r="M31" s="7">
        <f>+[5]Resumen!M31*1000</f>
        <v>242336.65211999998</v>
      </c>
      <c r="N31" s="7">
        <f>+[5]Resumen!N31*1000</f>
        <v>267073.75970999995</v>
      </c>
      <c r="O31" s="7">
        <f>+[5]Resumen!O31*1000</f>
        <v>284329.97959499998</v>
      </c>
      <c r="P31" s="7">
        <f>+[5]Resumen!P31*1000</f>
        <v>307665.12568499998</v>
      </c>
      <c r="Q31" s="7">
        <f>+[5]Resumen!Q31*1000</f>
        <v>326431.95223499998</v>
      </c>
      <c r="R31" s="7">
        <f>+[5]Resumen!R31*1000</f>
        <v>328846.34056499996</v>
      </c>
      <c r="S31" s="7">
        <f>+[5]Resumen!S31*1000</f>
        <v>322882.20607499999</v>
      </c>
      <c r="T31" s="7">
        <f>+[5]Resumen!T31*1000</f>
        <v>326434.97852999996</v>
      </c>
      <c r="U31" s="7">
        <f>+[5]Resumen!U31*1000</f>
        <v>325805.39563499996</v>
      </c>
      <c r="V31" s="7">
        <f>+[5]Resumen!V31*1000</f>
        <v>315395.48893499997</v>
      </c>
      <c r="W31" s="7">
        <f>+[5]Resumen!W31*1000</f>
        <v>313832.19028499996</v>
      </c>
      <c r="X31" s="7">
        <f>+[5]Resumen!X31*1000</f>
        <v>320578.52220000001</v>
      </c>
      <c r="Y31" s="7">
        <f>+[5]Resumen!Y31*1000</f>
        <v>339652.31606999994</v>
      </c>
      <c r="Z31" s="7">
        <f>+[5]Resumen!Z31*1000</f>
        <v>319296.95086499996</v>
      </c>
      <c r="AA31" s="7">
        <f>+[5]Resumen!AA31*1000</f>
        <v>286813.36196999997</v>
      </c>
      <c r="AB31" s="7">
        <f>+[5]Resumen!AB31*1000</f>
        <v>241475.64182999998</v>
      </c>
      <c r="AC31" s="7">
        <f>+[5]Resumen!AC31*1000</f>
        <v>201682.36034999997</v>
      </c>
      <c r="AD31" s="57">
        <f t="shared" si="3"/>
        <v>186333975.98081997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3</v>
      </c>
      <c r="F32" s="7">
        <f>+[5]Resumen!F32*1000</f>
        <v>169187.62544999999</v>
      </c>
      <c r="G32" s="7">
        <f>+[5]Resumen!G32*1000</f>
        <v>151259.17265999998</v>
      </c>
      <c r="H32" s="7">
        <f>+[5]Resumen!H32*1000</f>
        <v>141778.92968999999</v>
      </c>
      <c r="I32" s="7">
        <f>+[5]Resumen!I32*1000</f>
        <v>138751.62853499997</v>
      </c>
      <c r="J32" s="7">
        <f>+[5]Resumen!J32*1000</f>
        <v>147622.80712499999</v>
      </c>
      <c r="K32" s="7">
        <f>+[5]Resumen!K32*1000</f>
        <v>163953.74807999999</v>
      </c>
      <c r="L32" s="7">
        <f>+[5]Resumen!L32*1000</f>
        <v>195570.21536999999</v>
      </c>
      <c r="M32" s="7">
        <f>+[5]Resumen!M32*1000</f>
        <v>210109.15511999998</v>
      </c>
      <c r="N32" s="7">
        <f>+[5]Resumen!N32*1000</f>
        <v>243163.38266999996</v>
      </c>
      <c r="O32" s="7">
        <f>+[5]Resumen!O32*1000</f>
        <v>264852.98770499998</v>
      </c>
      <c r="P32" s="7">
        <f>+[5]Resumen!P32*1000</f>
        <v>286203.48326999997</v>
      </c>
      <c r="Q32" s="7">
        <f>+[5]Resumen!Q32*1000</f>
        <v>301573.70671499998</v>
      </c>
      <c r="R32" s="7">
        <f>+[5]Resumen!R32*1000</f>
        <v>301732.17416999995</v>
      </c>
      <c r="S32" s="7">
        <f>+[5]Resumen!S32*1000</f>
        <v>291560.47955999995</v>
      </c>
      <c r="T32" s="7">
        <f>+[5]Resumen!T32*1000</f>
        <v>282684.45811499999</v>
      </c>
      <c r="U32" s="7">
        <f>+[5]Resumen!U32*1000</f>
        <v>278876.08314</v>
      </c>
      <c r="V32" s="7">
        <f>+[5]Resumen!V32*1000</f>
        <v>274132.88837999996</v>
      </c>
      <c r="W32" s="7">
        <f>+[5]Resumen!W32*1000</f>
        <v>285437.67794999998</v>
      </c>
      <c r="X32" s="7">
        <f>+[5]Resumen!X32*1000</f>
        <v>294058.1556</v>
      </c>
      <c r="Y32" s="7">
        <f>+[5]Resumen!Y32*1000</f>
        <v>312233.02240499994</v>
      </c>
      <c r="Z32" s="7">
        <f>+[5]Resumen!Z32*1000</f>
        <v>292292.27135999996</v>
      </c>
      <c r="AA32" s="7">
        <f>+[5]Resumen!AA32*1000</f>
        <v>265167.98077499995</v>
      </c>
      <c r="AB32" s="7">
        <f>+[5]Resumen!AB32*1000</f>
        <v>232390.97828999997</v>
      </c>
      <c r="AC32" s="7">
        <f>+[5]Resumen!AC32*1000</f>
        <v>200876.79037499998</v>
      </c>
      <c r="AD32" s="5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+[5]Resumen!F33*1000</f>
        <v>175043.84687999997</v>
      </c>
      <c r="G33" s="7">
        <f>+[5]Resumen!G33*1000</f>
        <v>156504.72456</v>
      </c>
      <c r="H33" s="7">
        <f>+[5]Resumen!H33*1000</f>
        <v>144369.29726999998</v>
      </c>
      <c r="I33" s="7">
        <f>+[5]Resumen!I33*1000</f>
        <v>138059.09243999998</v>
      </c>
      <c r="J33" s="7">
        <f>+[5]Resumen!J33*1000</f>
        <v>139687.01990999997</v>
      </c>
      <c r="K33" s="7">
        <f>+[5]Resumen!K33*1000</f>
        <v>145244.66386499998</v>
      </c>
      <c r="L33" s="7">
        <f>+[5]Resumen!L33*1000</f>
        <v>158306.13742499999</v>
      </c>
      <c r="M33" s="7">
        <f>+[5]Resumen!M33*1000</f>
        <v>159447.54392999999</v>
      </c>
      <c r="N33" s="7">
        <f>+[5]Resumen!N33*1000</f>
        <v>185762.32604999997</v>
      </c>
      <c r="O33" s="7">
        <f>+[5]Resumen!O33*1000</f>
        <v>208480.04923499995</v>
      </c>
      <c r="P33" s="7">
        <f>+[5]Resumen!P33*1000</f>
        <v>227932.09082999997</v>
      </c>
      <c r="Q33" s="7">
        <f>+[5]Resumen!Q33*1000</f>
        <v>247794.03683999996</v>
      </c>
      <c r="R33" s="7">
        <f>+[5]Resumen!R33*1000</f>
        <v>258990.67844999995</v>
      </c>
      <c r="S33" s="7">
        <f>+[5]Resumen!S33*1000</f>
        <v>259560.51452999999</v>
      </c>
      <c r="T33" s="7">
        <f>+[5]Resumen!T33*1000</f>
        <v>253479.34111499999</v>
      </c>
      <c r="U33" s="7">
        <f>+[5]Resumen!U33*1000</f>
        <v>248776.65094499997</v>
      </c>
      <c r="V33" s="7">
        <f>+[5]Resumen!V33*1000</f>
        <v>244473.16157999999</v>
      </c>
      <c r="W33" s="7">
        <f>+[5]Resumen!W33*1000</f>
        <v>258489.51538499995</v>
      </c>
      <c r="X33" s="7">
        <f>+[5]Resumen!X33*1000</f>
        <v>269799.27700499998</v>
      </c>
      <c r="Y33" s="7">
        <f>+[5]Resumen!Y33*1000</f>
        <v>289465.77838499995</v>
      </c>
      <c r="Z33" s="7">
        <f>+[5]Resumen!Z33*1000</f>
        <v>274110.74122500001</v>
      </c>
      <c r="AA33" s="7">
        <f>+[5]Resumen!AA33*1000</f>
        <v>253002.58024499999</v>
      </c>
      <c r="AB33" s="7">
        <f>+[5]Resumen!AB33*1000</f>
        <v>221340.62065499995</v>
      </c>
      <c r="AC33" s="7">
        <f>+[5]Resumen!AC33*1000</f>
        <v>191581.67209499999</v>
      </c>
      <c r="AD33" s="5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+[5]Resumen!F34*1000</f>
        <v>166544.80861499999</v>
      </c>
      <c r="G34" s="7">
        <f>+[5]Resumen!G34*1000</f>
        <v>148471.91581499999</v>
      </c>
      <c r="H34" s="7">
        <f>+[5]Resumen!H34*1000</f>
        <v>135033.02059499998</v>
      </c>
      <c r="I34" s="7">
        <f>+[5]Resumen!I34*1000</f>
        <v>130757.17112999996</v>
      </c>
      <c r="J34" s="7">
        <f>+[5]Resumen!J34*1000</f>
        <v>134498.80710000001</v>
      </c>
      <c r="K34" s="7">
        <f>+[5]Resumen!K34*1000</f>
        <v>143190.16582499997</v>
      </c>
      <c r="L34" s="7">
        <f>+[5]Resumen!L34*1000</f>
        <v>160880.00719499998</v>
      </c>
      <c r="M34" s="7">
        <f>+[5]Resumen!M34*1000</f>
        <v>164268.59237999996</v>
      </c>
      <c r="N34" s="7">
        <f>+[5]Resumen!N34*1000</f>
        <v>192384.98702999999</v>
      </c>
      <c r="O34" s="7">
        <f>+[5]Resumen!O34*1000</f>
        <v>215915.94967499995</v>
      </c>
      <c r="P34" s="7">
        <f>+[5]Resumen!P34*1000</f>
        <v>237620.701845</v>
      </c>
      <c r="Q34" s="7">
        <f>+[5]Resumen!Q34*1000</f>
        <v>258327.01939499998</v>
      </c>
      <c r="R34" s="7">
        <f>+[5]Resumen!R34*1000</f>
        <v>268527.99429</v>
      </c>
      <c r="S34" s="7">
        <f>+[5]Resumen!S34*1000</f>
        <v>265952.53894499998</v>
      </c>
      <c r="T34" s="7">
        <f>+[5]Resumen!T34*1000</f>
        <v>259332.93949499994</v>
      </c>
      <c r="U34" s="7">
        <f>+[5]Resumen!U34*1000</f>
        <v>256797.98482500002</v>
      </c>
      <c r="V34" s="7">
        <f>+[5]Resumen!V34*1000</f>
        <v>248354.77837499997</v>
      </c>
      <c r="W34" s="7">
        <f>+[5]Resumen!W34*1000</f>
        <v>260416.20042000001</v>
      </c>
      <c r="X34" s="7">
        <f>+[5]Resumen!X34*1000</f>
        <v>272281.89595499996</v>
      </c>
      <c r="Y34" s="7">
        <f>+[5]Resumen!Y34*1000</f>
        <v>293522.11379999993</v>
      </c>
      <c r="Z34" s="7">
        <f>+[5]Resumen!Z34*1000</f>
        <v>279799.40848499996</v>
      </c>
      <c r="AA34" s="7">
        <f>+[5]Resumen!AA34*1000</f>
        <v>254946.11543999997</v>
      </c>
      <c r="AB34" s="7">
        <f>+[5]Resumen!AB34*1000</f>
        <v>222817.29209999999</v>
      </c>
      <c r="AC34" s="7">
        <f>+[5]Resumen!AC34*1000</f>
        <v>189955.00133999999</v>
      </c>
      <c r="AD34" s="59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20</v>
      </c>
      <c r="F35" s="7">
        <f>+[5]Resumen!F35*1000</f>
        <v>169946.28589499998</v>
      </c>
      <c r="G35" s="7">
        <f>+[5]Resumen!G35*1000</f>
        <v>154510.43530499999</v>
      </c>
      <c r="H35" s="7">
        <f>+[5]Resumen!H35*1000</f>
        <v>146512.61882999999</v>
      </c>
      <c r="I35" s="7">
        <f>+[5]Resumen!I35*1000</f>
        <v>145911.94820999997</v>
      </c>
      <c r="J35" s="7">
        <f>+[5]Resumen!J35*1000</f>
        <v>164841.893235</v>
      </c>
      <c r="K35" s="7">
        <f>+[5]Resumen!K35*1000</f>
        <v>207452.38913999998</v>
      </c>
      <c r="L35" s="7">
        <f>+[5]Resumen!L35*1000</f>
        <v>246516.48229499997</v>
      </c>
      <c r="M35" s="7">
        <f>+[5]Resumen!M35*1000</f>
        <v>248483.92639499999</v>
      </c>
      <c r="N35" s="7">
        <f>+[5]Resumen!N35*1000</f>
        <v>271623.72181499994</v>
      </c>
      <c r="O35" s="7">
        <f>+[5]Resumen!O35*1000</f>
        <v>288669.24031499994</v>
      </c>
      <c r="P35" s="7">
        <f>+[5]Resumen!P35*1000</f>
        <v>311920.53101999999</v>
      </c>
      <c r="Q35" s="7">
        <f>+[5]Resumen!Q35*1000</f>
        <v>330404.35396499996</v>
      </c>
      <c r="R35" s="7">
        <f>+[5]Resumen!R35*1000</f>
        <v>332106.17705999996</v>
      </c>
      <c r="S35" s="7">
        <f>+[5]Resumen!S35*1000</f>
        <v>327102.57999</v>
      </c>
      <c r="T35" s="7">
        <f>+[5]Resumen!T35*1000</f>
        <v>330522.69266999996</v>
      </c>
      <c r="U35" s="7">
        <f>+[5]Resumen!U35*1000</f>
        <v>329929.46054999996</v>
      </c>
      <c r="V35" s="7">
        <f>+[5]Resumen!V35*1000</f>
        <v>319460.54305499996</v>
      </c>
      <c r="W35" s="7">
        <f>+[5]Resumen!W35*1000</f>
        <v>318361.07402999996</v>
      </c>
      <c r="X35" s="7">
        <f>+[5]Resumen!X35*1000</f>
        <v>329894.46436499996</v>
      </c>
      <c r="Y35" s="7">
        <f>+[5]Resumen!Y35*1000</f>
        <v>344532.52016999997</v>
      </c>
      <c r="Z35" s="7">
        <f>+[5]Resumen!Z35*1000</f>
        <v>324236.36150999996</v>
      </c>
      <c r="AA35" s="7">
        <f>+[5]Resumen!AA35*1000</f>
        <v>290200.00531499996</v>
      </c>
      <c r="AB35" s="7">
        <f>+[5]Resumen!AB35*1000</f>
        <v>243512.07997499997</v>
      </c>
      <c r="AC35" s="7">
        <f>+[5]Resumen!AC35*1000</f>
        <v>204466.68877499996</v>
      </c>
      <c r="AD35" s="57">
        <f t="shared" si="3"/>
        <v>188060012.93582997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5</v>
      </c>
      <c r="F36" s="7">
        <f>+[5]Resumen!F36*1000</f>
        <v>183040.91950499997</v>
      </c>
      <c r="G36" s="7">
        <f>+[5]Resumen!G36*1000</f>
        <v>164446.04366999998</v>
      </c>
      <c r="H36" s="7">
        <f>+[5]Resumen!H36*1000</f>
        <v>153038.07035999998</v>
      </c>
      <c r="I36" s="7">
        <f>+[5]Resumen!I36*1000</f>
        <v>149043.18869999997</v>
      </c>
      <c r="J36" s="7">
        <f>+[5]Resumen!J36*1000</f>
        <v>157592.00227499998</v>
      </c>
      <c r="K36" s="7">
        <f>+[5]Resumen!K36*1000</f>
        <v>175168.950705</v>
      </c>
      <c r="L36" s="7">
        <f>+[5]Resumen!L36*1000</f>
        <v>206164.11532499999</v>
      </c>
      <c r="M36" s="7">
        <f>+[5]Resumen!M36*1000</f>
        <v>219063.22600499997</v>
      </c>
      <c r="N36" s="7">
        <f>+[5]Resumen!N36*1000</f>
        <v>250966.35742499997</v>
      </c>
      <c r="O36" s="7">
        <f>+[5]Resumen!O36*1000</f>
        <v>272862.29861999996</v>
      </c>
      <c r="P36" s="7">
        <f>+[5]Resumen!P36*1000</f>
        <v>292849.72820999997</v>
      </c>
      <c r="Q36" s="7">
        <f>+[5]Resumen!Q36*1000</f>
        <v>306843.92702999996</v>
      </c>
      <c r="R36" s="7">
        <f>+[5]Resumen!R36*1000</f>
        <v>306945.09845999995</v>
      </c>
      <c r="S36" s="7">
        <f>+[5]Resumen!S36*1000</f>
        <v>297580.030875</v>
      </c>
      <c r="T36" s="7">
        <f>+[5]Resumen!T36*1000</f>
        <v>287923.17442499998</v>
      </c>
      <c r="U36" s="7">
        <f>+[5]Resumen!U36*1000</f>
        <v>282604.78786500002</v>
      </c>
      <c r="V36" s="7">
        <f>+[5]Resumen!V36*1000</f>
        <v>277909.23082499998</v>
      </c>
      <c r="W36" s="7">
        <f>+[5]Resumen!W36*1000</f>
        <v>292085.49672</v>
      </c>
      <c r="X36" s="7">
        <f>+[5]Resumen!X36*1000</f>
        <v>306750.72262499999</v>
      </c>
      <c r="Y36" s="7">
        <f>+[5]Resumen!Y36*1000</f>
        <v>316493.08267499995</v>
      </c>
      <c r="Z36" s="7">
        <f>+[5]Resumen!Z36*1000</f>
        <v>296383.55989499995</v>
      </c>
      <c r="AA36" s="7">
        <f>+[5]Resumen!AA36*1000</f>
        <v>267036.31664999994</v>
      </c>
      <c r="AB36" s="7">
        <f>+[5]Resumen!AB36*1000</f>
        <v>232552.94183999996</v>
      </c>
      <c r="AC36" s="7">
        <f>+[5]Resumen!AC36*1000</f>
        <v>200955.95167499999</v>
      </c>
      <c r="AD36" s="5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+[5]Resumen!F37*1000</f>
        <v>172046.44457999998</v>
      </c>
      <c r="G37" s="7">
        <f>+[5]Resumen!G37*1000</f>
        <v>154078.59122999999</v>
      </c>
      <c r="H37" s="7">
        <f>+[5]Resumen!H37*1000</f>
        <v>143018.11723499998</v>
      </c>
      <c r="I37" s="7">
        <f>+[5]Resumen!I37*1000</f>
        <v>137285.80946999998</v>
      </c>
      <c r="J37" s="7">
        <f>+[5]Resumen!J37*1000</f>
        <v>139248.54382499997</v>
      </c>
      <c r="K37" s="7">
        <f>+[5]Resumen!K37*1000</f>
        <v>146603.59168499999</v>
      </c>
      <c r="L37" s="7">
        <f>+[5]Resumen!L37*1000</f>
        <v>159145.763985</v>
      </c>
      <c r="M37" s="7">
        <f>+[5]Resumen!M37*1000</f>
        <v>160597.77092999997</v>
      </c>
      <c r="N37" s="7">
        <f>+[5]Resumen!N37*1000</f>
        <v>186913.05025499998</v>
      </c>
      <c r="O37" s="7">
        <f>+[5]Resumen!O37*1000</f>
        <v>209284.29202499997</v>
      </c>
      <c r="P37" s="7">
        <f>+[5]Resumen!P37*1000</f>
        <v>226736.35587</v>
      </c>
      <c r="Q37" s="7">
        <f>+[5]Resumen!Q37*1000</f>
        <v>245019.82868999997</v>
      </c>
      <c r="R37" s="7">
        <f>+[5]Resumen!R37*1000</f>
        <v>256197.86230499999</v>
      </c>
      <c r="S37" s="7">
        <f>+[5]Resumen!S37*1000</f>
        <v>257061.15503999995</v>
      </c>
      <c r="T37" s="7">
        <f>+[5]Resumen!T37*1000</f>
        <v>248274.97892999998</v>
      </c>
      <c r="U37" s="7">
        <f>+[5]Resumen!U37*1000</f>
        <v>243919.929015</v>
      </c>
      <c r="V37" s="7">
        <f>+[5]Resumen!V37*1000</f>
        <v>237595.13689499997</v>
      </c>
      <c r="W37" s="7">
        <f>+[5]Resumen!W37*1000</f>
        <v>252263.72578499999</v>
      </c>
      <c r="X37" s="7">
        <f>+[5]Resumen!X37*1000</f>
        <v>270742.13819999999</v>
      </c>
      <c r="Y37" s="7">
        <f>+[5]Resumen!Y37*1000</f>
        <v>292148.35595999996</v>
      </c>
      <c r="Z37" s="7">
        <f>+[5]Resumen!Z37*1000</f>
        <v>278393.84518499998</v>
      </c>
      <c r="AA37" s="7">
        <f>+[5]Resumen!AA37*1000</f>
        <v>254541.73900499995</v>
      </c>
      <c r="AB37" s="7">
        <f>+[5]Resumen!AB37*1000</f>
        <v>219977.06138999999</v>
      </c>
      <c r="AC37" s="7">
        <f>+[5]Resumen!AC37*1000</f>
        <v>185705.19445499999</v>
      </c>
      <c r="AD37" s="5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+[5]Resumen!F38*1000</f>
        <v>173493.45598499998</v>
      </c>
      <c r="G38" s="7">
        <f>+[5]Resumen!G38*1000</f>
        <v>156606.56154</v>
      </c>
      <c r="H38" s="7">
        <f>+[5]Resumen!H38*1000</f>
        <v>146218.04639999996</v>
      </c>
      <c r="I38" s="7">
        <f>+[5]Resumen!I38*1000</f>
        <v>141789.86428499999</v>
      </c>
      <c r="J38" s="7">
        <f>+[5]Resumen!J38*1000</f>
        <v>147012.419475</v>
      </c>
      <c r="K38" s="7">
        <f>+[5]Resumen!K38*1000</f>
        <v>154692.40450499998</v>
      </c>
      <c r="L38" s="7">
        <f>+[5]Resumen!L38*1000</f>
        <v>169825.805685</v>
      </c>
      <c r="M38" s="7">
        <f>+[5]Resumen!M38*1000</f>
        <v>173011.94230499998</v>
      </c>
      <c r="N38" s="7">
        <f>+[5]Resumen!N38*1000</f>
        <v>199488.71929499996</v>
      </c>
      <c r="O38" s="7">
        <f>+[5]Resumen!O38*1000</f>
        <v>220408.98376499998</v>
      </c>
      <c r="P38" s="7">
        <f>+[5]Resumen!P38*1000</f>
        <v>243337.50620999996</v>
      </c>
      <c r="Q38" s="7">
        <f>+[5]Resumen!Q38*1000</f>
        <v>265941.66699</v>
      </c>
      <c r="R38" s="7">
        <f>+[5]Resumen!R38*1000</f>
        <v>280111.08554999996</v>
      </c>
      <c r="S38" s="7">
        <f>+[5]Resumen!S38*1000</f>
        <v>273369.35375999997</v>
      </c>
      <c r="T38" s="7">
        <f>+[5]Resumen!T38*1000</f>
        <v>262045.533375</v>
      </c>
      <c r="U38" s="7">
        <f>+[5]Resumen!U38*1000</f>
        <v>256210.70741999996</v>
      </c>
      <c r="V38" s="7">
        <f>+[5]Resumen!V38*1000</f>
        <v>249897.06130499998</v>
      </c>
      <c r="W38" s="7">
        <f>+[5]Resumen!W38*1000</f>
        <v>264827.96693999995</v>
      </c>
      <c r="X38" s="7">
        <f>+[5]Resumen!X38*1000</f>
        <v>285412.23827999993</v>
      </c>
      <c r="Y38" s="7">
        <f>+[5]Resumen!Y38*1000</f>
        <v>306959.93239499995</v>
      </c>
      <c r="Z38" s="7">
        <f>+[5]Resumen!Z38*1000</f>
        <v>289307.04470999999</v>
      </c>
      <c r="AA38" s="7">
        <f>+[5]Resumen!AA38*1000</f>
        <v>258650.94258</v>
      </c>
      <c r="AB38" s="7">
        <f>+[5]Resumen!AB38*1000</f>
        <v>220813.00393499999</v>
      </c>
      <c r="AC38" s="7">
        <f>+[5]Resumen!AC38*1000</f>
        <v>185042.86258499997</v>
      </c>
      <c r="AD38" s="5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21</v>
      </c>
      <c r="F39" s="7">
        <f>+[5]Resumen!F39*1000</f>
        <v>167326.94339999996</v>
      </c>
      <c r="G39" s="7">
        <f>+[5]Resumen!G39*1000</f>
        <v>151505.71586999999</v>
      </c>
      <c r="H39" s="7">
        <f>+[5]Resumen!H39*1000</f>
        <v>143309.78864999997</v>
      </c>
      <c r="I39" s="7">
        <f>+[5]Resumen!I39*1000</f>
        <v>143033.66761499998</v>
      </c>
      <c r="J39" s="7">
        <f>+[5]Resumen!J39*1000</f>
        <v>161938.38046499999</v>
      </c>
      <c r="K39" s="7">
        <f>+[5]Resumen!K39*1000</f>
        <v>204465.04838999998</v>
      </c>
      <c r="L39" s="7">
        <f>+[5]Resumen!L39*1000</f>
        <v>244060.23087</v>
      </c>
      <c r="M39" s="7">
        <f>+[5]Resumen!M39*1000</f>
        <v>247987.668825</v>
      </c>
      <c r="N39" s="7">
        <f>+[5]Resumen!N39*1000</f>
        <v>271747.59632999997</v>
      </c>
      <c r="O39" s="7">
        <f>+[5]Resumen!O39*1000</f>
        <v>288788.60475</v>
      </c>
      <c r="P39" s="7">
        <f>+[5]Resumen!P39*1000</f>
        <v>312908.71616999997</v>
      </c>
      <c r="Q39" s="7">
        <f>+[5]Resumen!Q39*1000</f>
        <v>333022.17743999994</v>
      </c>
      <c r="R39" s="7">
        <f>+[5]Resumen!R39*1000</f>
        <v>336289.91831999994</v>
      </c>
      <c r="S39" s="7">
        <f>+[5]Resumen!S39*1000</f>
        <v>331063.60081499995</v>
      </c>
      <c r="T39" s="7">
        <f>+[5]Resumen!T39*1000</f>
        <v>333478.03612499998</v>
      </c>
      <c r="U39" s="7">
        <f>+[5]Resumen!U39*1000</f>
        <v>333623.11819499993</v>
      </c>
      <c r="V39" s="7">
        <f>+[5]Resumen!V39*1000</f>
        <v>323769.42337499995</v>
      </c>
      <c r="W39" s="7">
        <f>+[5]Resumen!W39*1000</f>
        <v>325137.17951999995</v>
      </c>
      <c r="X39" s="7">
        <f>+[5]Resumen!X39*1000</f>
        <v>344789.33633999992</v>
      </c>
      <c r="Y39" s="7">
        <f>+[5]Resumen!Y39*1000</f>
        <v>347768.389035</v>
      </c>
      <c r="Z39" s="7">
        <f>+[5]Resumen!Z39*1000</f>
        <v>325729.93792499998</v>
      </c>
      <c r="AA39" s="7">
        <f>+[5]Resumen!AA39*1000</f>
        <v>290835.42939</v>
      </c>
      <c r="AB39" s="7">
        <f>+[5]Resumen!AB39*1000</f>
        <v>242380.18691999998</v>
      </c>
      <c r="AC39" s="7">
        <f>+[5]Resumen!AC39*1000</f>
        <v>202116.82355999999</v>
      </c>
      <c r="AD39" s="57">
        <f t="shared" ref="AD39" si="4">SUM(F39:AC39)*E39+SUM(F40:AC40)*E40+SUM(F41:AC41)*E41+SUM(F42:AC42)*E42</f>
        <v>183142265.45786998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+[5]Resumen!F40*1000</f>
        <v>177364.82722499999</v>
      </c>
      <c r="G40" s="7">
        <f>+[5]Resumen!G40*1000</f>
        <v>159140.58443999998</v>
      </c>
      <c r="H40" s="7">
        <f>+[5]Resumen!H40*1000</f>
        <v>148381.612425</v>
      </c>
      <c r="I40" s="7">
        <f>+[5]Resumen!I40*1000</f>
        <v>144913.77980999998</v>
      </c>
      <c r="J40" s="7">
        <f>+[5]Resumen!J40*1000</f>
        <v>154639.15659</v>
      </c>
      <c r="K40" s="7">
        <f>+[5]Resumen!K40*1000</f>
        <v>172881.11474999998</v>
      </c>
      <c r="L40" s="7">
        <f>+[5]Resumen!L40*1000</f>
        <v>204183.94747499999</v>
      </c>
      <c r="M40" s="7">
        <f>+[5]Resumen!M40*1000</f>
        <v>218672.88092999998</v>
      </c>
      <c r="N40" s="7">
        <f>+[5]Resumen!N40*1000</f>
        <v>252482.74654499997</v>
      </c>
      <c r="O40" s="7">
        <f>+[5]Resumen!O40*1000</f>
        <v>275715.26482499996</v>
      </c>
      <c r="P40" s="7">
        <f>+[5]Resumen!P40*1000</f>
        <v>297320.84221499995</v>
      </c>
      <c r="Q40" s="7">
        <f>+[5]Resumen!Q40*1000</f>
        <v>312343.12786499999</v>
      </c>
      <c r="R40" s="7">
        <f>+[5]Resumen!R40*1000</f>
        <v>313035.17458499997</v>
      </c>
      <c r="S40" s="7">
        <f>+[5]Resumen!S40*1000</f>
        <v>300701.94583499996</v>
      </c>
      <c r="T40" s="7">
        <f>+[5]Resumen!T40*1000</f>
        <v>287517.21241499996</v>
      </c>
      <c r="U40" s="7">
        <f>+[5]Resumen!U40*1000</f>
        <v>281236.14301499998</v>
      </c>
      <c r="V40" s="7">
        <f>+[5]Resumen!V40*1000</f>
        <v>274516.32739499997</v>
      </c>
      <c r="W40" s="7">
        <f>+[5]Resumen!W40*1000</f>
        <v>292874.27917499997</v>
      </c>
      <c r="X40" s="7">
        <f>+[5]Resumen!X40*1000</f>
        <v>316138.73993999994</v>
      </c>
      <c r="Y40" s="7">
        <f>+[5]Resumen!Y40*1000</f>
        <v>313805.78360999993</v>
      </c>
      <c r="Z40" s="7">
        <f>+[5]Resumen!Z40*1000</f>
        <v>291864.39709499996</v>
      </c>
      <c r="AA40" s="7">
        <f>+[5]Resumen!AA40*1000</f>
        <v>262240.10887499998</v>
      </c>
      <c r="AB40" s="7">
        <f>+[5]Resumen!AB40*1000</f>
        <v>229803.44908499997</v>
      </c>
      <c r="AC40" s="7">
        <f>+[5]Resumen!AC40*1000</f>
        <v>196932.53357999999</v>
      </c>
      <c r="AD40" s="5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5</v>
      </c>
      <c r="F41" s="7">
        <f>+[5]Resumen!F41*1000</f>
        <v>170935.92742499997</v>
      </c>
      <c r="G41" s="7">
        <f>+[5]Resumen!G41*1000</f>
        <v>152345.36983499999</v>
      </c>
      <c r="H41" s="7">
        <f>+[5]Resumen!H41*1000</f>
        <v>139924.32763499999</v>
      </c>
      <c r="I41" s="7">
        <f>+[5]Resumen!I41*1000</f>
        <v>133612.61552999998</v>
      </c>
      <c r="J41" s="7">
        <f>+[5]Resumen!J41*1000</f>
        <v>135221.21072999999</v>
      </c>
      <c r="K41" s="7">
        <f>+[5]Resumen!K41*1000</f>
        <v>139758.29639999996</v>
      </c>
      <c r="L41" s="7">
        <f>+[5]Resumen!L41*1000</f>
        <v>153709.87652999998</v>
      </c>
      <c r="M41" s="7">
        <f>+[5]Resumen!M41*1000</f>
        <v>155578.77224999998</v>
      </c>
      <c r="N41" s="7">
        <f>+[5]Resumen!N41*1000</f>
        <v>182343.25084499997</v>
      </c>
      <c r="O41" s="7">
        <f>+[5]Resumen!O41*1000</f>
        <v>204834.04496999999</v>
      </c>
      <c r="P41" s="7">
        <f>+[5]Resumen!P41*1000</f>
        <v>224877.38858999996</v>
      </c>
      <c r="Q41" s="7">
        <f>+[5]Resumen!Q41*1000</f>
        <v>243983.75917499996</v>
      </c>
      <c r="R41" s="7">
        <f>+[5]Resumen!R41*1000</f>
        <v>255595.16371499994</v>
      </c>
      <c r="S41" s="7">
        <f>+[5]Resumen!S41*1000</f>
        <v>254296.17845999997</v>
      </c>
      <c r="T41" s="7">
        <f>+[5]Resumen!T41*1000</f>
        <v>246430.26224999997</v>
      </c>
      <c r="U41" s="7">
        <f>+[5]Resumen!U41*1000</f>
        <v>243011.56679999994</v>
      </c>
      <c r="V41" s="7">
        <f>+[5]Resumen!V41*1000</f>
        <v>238964.23588499994</v>
      </c>
      <c r="W41" s="7">
        <f>+[5]Resumen!W41*1000</f>
        <v>258265.05669</v>
      </c>
      <c r="X41" s="7">
        <f>+[5]Resumen!X41*1000</f>
        <v>283573.87564499996</v>
      </c>
      <c r="Y41" s="7">
        <f>+[5]Resumen!Y41*1000</f>
        <v>290223.13904999994</v>
      </c>
      <c r="Z41" s="7">
        <f>+[5]Resumen!Z41*1000</f>
        <v>274134.47787</v>
      </c>
      <c r="AA41" s="7">
        <f>+[5]Resumen!AA41*1000</f>
        <v>246518.30668499999</v>
      </c>
      <c r="AB41" s="7">
        <f>+[5]Resumen!AB41*1000</f>
        <v>211283.3106</v>
      </c>
      <c r="AC41" s="7">
        <f>+[5]Resumen!AC41*1000</f>
        <v>176349.03740999996</v>
      </c>
      <c r="AD41" s="5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+[5]Resumen!F42*1000</f>
        <v>0</v>
      </c>
      <c r="G42" s="7">
        <f>+[5]Resumen!G42*1000</f>
        <v>0</v>
      </c>
      <c r="H42" s="7">
        <f>+[5]Resumen!H42*1000</f>
        <v>0</v>
      </c>
      <c r="I42" s="7">
        <f>+[5]Resumen!I42*1000</f>
        <v>0</v>
      </c>
      <c r="J42" s="7">
        <f>+[5]Resumen!J42*1000</f>
        <v>0</v>
      </c>
      <c r="K42" s="7">
        <f>+[5]Resumen!K42*1000</f>
        <v>0</v>
      </c>
      <c r="L42" s="7">
        <f>+[5]Resumen!L42*1000</f>
        <v>0</v>
      </c>
      <c r="M42" s="7">
        <f>+[5]Resumen!M42*1000</f>
        <v>0</v>
      </c>
      <c r="N42" s="7">
        <f>+[5]Resumen!N42*1000</f>
        <v>0</v>
      </c>
      <c r="O42" s="7">
        <f>+[5]Resumen!O42*1000</f>
        <v>0</v>
      </c>
      <c r="P42" s="7">
        <f>+[5]Resumen!P42*1000</f>
        <v>0</v>
      </c>
      <c r="Q42" s="7">
        <f>+[5]Resumen!Q42*1000</f>
        <v>0</v>
      </c>
      <c r="R42" s="7">
        <f>+[5]Resumen!R42*1000</f>
        <v>0</v>
      </c>
      <c r="S42" s="7">
        <f>+[5]Resumen!S42*1000</f>
        <v>0</v>
      </c>
      <c r="T42" s="7">
        <f>+[5]Resumen!T42*1000</f>
        <v>0</v>
      </c>
      <c r="U42" s="7">
        <f>+[5]Resumen!U42*1000</f>
        <v>0</v>
      </c>
      <c r="V42" s="7">
        <f>+[5]Resumen!V42*1000</f>
        <v>0</v>
      </c>
      <c r="W42" s="7">
        <f>+[5]Resumen!W42*1000</f>
        <v>0</v>
      </c>
      <c r="X42" s="7">
        <f>+[5]Resumen!X42*1000</f>
        <v>0</v>
      </c>
      <c r="Y42" s="7">
        <f>+[5]Resumen!Y42*1000</f>
        <v>0</v>
      </c>
      <c r="Z42" s="7">
        <f>+[5]Resumen!Z42*1000</f>
        <v>0</v>
      </c>
      <c r="AA42" s="7">
        <f>+[5]Resumen!AA42*1000</f>
        <v>0</v>
      </c>
      <c r="AB42" s="7">
        <f>+[5]Resumen!AB42*1000</f>
        <v>0</v>
      </c>
      <c r="AC42" s="7">
        <f>+[5]Resumen!AC42*1000</f>
        <v>0</v>
      </c>
      <c r="AD42" s="59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22</v>
      </c>
      <c r="F43" s="7">
        <f>+[5]Resumen!F43*1000</f>
        <v>152126.32949999999</v>
      </c>
      <c r="G43" s="7">
        <f>+[5]Resumen!G43*1000</f>
        <v>136838.43458999999</v>
      </c>
      <c r="H43" s="7">
        <f>+[5]Resumen!H43*1000</f>
        <v>129132.63013499997</v>
      </c>
      <c r="I43" s="7">
        <f>+[5]Resumen!I43*1000</f>
        <v>129443.03090999997</v>
      </c>
      <c r="J43" s="7">
        <f>+[5]Resumen!J43*1000</f>
        <v>148888.29563999997</v>
      </c>
      <c r="K43" s="7">
        <f>+[5]Resumen!K43*1000</f>
        <v>188627.57360999999</v>
      </c>
      <c r="L43" s="7">
        <f>+[5]Resumen!L43*1000</f>
        <v>229363.64189999996</v>
      </c>
      <c r="M43" s="7">
        <f>+[5]Resumen!M43*1000</f>
        <v>234418.07915999999</v>
      </c>
      <c r="N43" s="7">
        <f>+[5]Resumen!N43*1000</f>
        <v>258429.10693499999</v>
      </c>
      <c r="O43" s="7">
        <f>+[5]Resumen!O43*1000</f>
        <v>274505.76080999995</v>
      </c>
      <c r="P43" s="7">
        <f>+[5]Resumen!P43*1000</f>
        <v>296531.70349499997</v>
      </c>
      <c r="Q43" s="7">
        <f>+[5]Resumen!Q43*1000</f>
        <v>316218.12439499999</v>
      </c>
      <c r="R43" s="7">
        <f>+[5]Resumen!R43*1000</f>
        <v>320301.90004499996</v>
      </c>
      <c r="S43" s="7">
        <f>+[5]Resumen!S43*1000</f>
        <v>314765.68288499996</v>
      </c>
      <c r="T43" s="7">
        <f>+[5]Resumen!T43*1000</f>
        <v>317177.23675499996</v>
      </c>
      <c r="U43" s="7">
        <f>+[5]Resumen!U43*1000</f>
        <v>316633.34929499996</v>
      </c>
      <c r="V43" s="7">
        <f>+[5]Resumen!V43*1000</f>
        <v>307085.45120999997</v>
      </c>
      <c r="W43" s="7">
        <f>+[5]Resumen!W43*1000</f>
        <v>315986.99845499999</v>
      </c>
      <c r="X43" s="7">
        <f>+[5]Resumen!X43*1000</f>
        <v>334377.69920999993</v>
      </c>
      <c r="Y43" s="7">
        <f>+[5]Resumen!Y43*1000</f>
        <v>327031.26826499996</v>
      </c>
      <c r="Z43" s="7">
        <f>+[5]Resumen!Z43*1000</f>
        <v>303318.21896999999</v>
      </c>
      <c r="AA43" s="7">
        <f>+[5]Resumen!AA43*1000</f>
        <v>268404.87536999997</v>
      </c>
      <c r="AB43" s="7">
        <f>+[5]Resumen!AB43*1000</f>
        <v>223319.87630999999</v>
      </c>
      <c r="AC43" s="7">
        <f>+[5]Resumen!AC43*1000</f>
        <v>186192.70199999999</v>
      </c>
      <c r="AD43" s="57">
        <f t="shared" ref="AD43" si="5">SUM(F43:AC43)*E43+SUM(F44:AC44)*E44+SUM(F45:AC45)*E45+SUM(F46:AC46)*E46</f>
        <v>179957651.54188496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+[5]Resumen!F44*1000</f>
        <v>167710.94225999998</v>
      </c>
      <c r="G44" s="7">
        <f>+[5]Resumen!G44*1000</f>
        <v>148735.01556</v>
      </c>
      <c r="H44" s="7">
        <f>+[5]Resumen!H44*1000</f>
        <v>138801.364695</v>
      </c>
      <c r="I44" s="7">
        <f>+[5]Resumen!I44*1000</f>
        <v>135332.61596999998</v>
      </c>
      <c r="J44" s="7">
        <f>+[5]Resumen!J44*1000</f>
        <v>145479.07448999997</v>
      </c>
      <c r="K44" s="7">
        <f>+[5]Resumen!K44*1000</f>
        <v>162722.22218999997</v>
      </c>
      <c r="L44" s="7">
        <f>+[5]Resumen!L44*1000</f>
        <v>194747.92051499998</v>
      </c>
      <c r="M44" s="7">
        <f>+[5]Resumen!M44*1000</f>
        <v>207510.18236999999</v>
      </c>
      <c r="N44" s="7">
        <f>+[5]Resumen!N44*1000</f>
        <v>239746.49986499999</v>
      </c>
      <c r="O44" s="7">
        <f>+[5]Resumen!O44*1000</f>
        <v>261960.85583999997</v>
      </c>
      <c r="P44" s="7">
        <f>+[5]Resumen!P44*1000</f>
        <v>283334.94319499994</v>
      </c>
      <c r="Q44" s="7">
        <f>+[5]Resumen!Q44*1000</f>
        <v>298081.89080999995</v>
      </c>
      <c r="R44" s="7">
        <f>+[5]Resumen!R44*1000</f>
        <v>299519.09513999999</v>
      </c>
      <c r="S44" s="7">
        <f>+[5]Resumen!S44*1000</f>
        <v>289906.17673499993</v>
      </c>
      <c r="T44" s="7">
        <f>+[5]Resumen!T44*1000</f>
        <v>280096.53740999999</v>
      </c>
      <c r="U44" s="7">
        <f>+[5]Resumen!U44*1000</f>
        <v>276242.36868000001</v>
      </c>
      <c r="V44" s="7">
        <f>+[5]Resumen!V44*1000</f>
        <v>271862.19229499996</v>
      </c>
      <c r="W44" s="7">
        <f>+[5]Resumen!W44*1000</f>
        <v>293278.34240999998</v>
      </c>
      <c r="X44" s="7">
        <f>+[5]Resumen!X44*1000</f>
        <v>315757.92005999997</v>
      </c>
      <c r="Y44" s="7">
        <f>+[5]Resumen!Y44*1000</f>
        <v>306626.24911500001</v>
      </c>
      <c r="Z44" s="7">
        <f>+[5]Resumen!Z44*1000</f>
        <v>284653.898865</v>
      </c>
      <c r="AA44" s="7">
        <f>+[5]Resumen!AA44*1000</f>
        <v>255602.21854499995</v>
      </c>
      <c r="AB44" s="7">
        <f>+[5]Resumen!AB44*1000</f>
        <v>223095.00653999997</v>
      </c>
      <c r="AC44" s="7">
        <f>+[5]Resumen!AC44*1000</f>
        <v>191631.27122999998</v>
      </c>
      <c r="AD44" s="5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+[5]Resumen!F45*1000</f>
        <v>166613.36026499997</v>
      </c>
      <c r="G45" s="7">
        <f>+[5]Resumen!G45*1000</f>
        <v>147909.9528</v>
      </c>
      <c r="H45" s="7">
        <f>+[5]Resumen!H45*1000</f>
        <v>136793.67830999999</v>
      </c>
      <c r="I45" s="7">
        <f>+[5]Resumen!I45*1000</f>
        <v>130817.85754499998</v>
      </c>
      <c r="J45" s="7">
        <f>+[5]Resumen!J45*1000</f>
        <v>132744.930165</v>
      </c>
      <c r="K45" s="7">
        <f>+[5]Resumen!K45*1000</f>
        <v>137725.45222499999</v>
      </c>
      <c r="L45" s="7">
        <f>+[5]Resumen!L45*1000</f>
        <v>153057.44960999998</v>
      </c>
      <c r="M45" s="7">
        <f>+[5]Resumen!M45*1000</f>
        <v>155407.70632499998</v>
      </c>
      <c r="N45" s="7">
        <f>+[5]Resumen!N45*1000</f>
        <v>181708.91905499998</v>
      </c>
      <c r="O45" s="7">
        <f>+[5]Resumen!O45*1000</f>
        <v>203343.28343999997</v>
      </c>
      <c r="P45" s="7">
        <f>+[5]Resumen!P45*1000</f>
        <v>222497.30348999999</v>
      </c>
      <c r="Q45" s="7">
        <f>+[5]Resumen!Q45*1000</f>
        <v>242689.601115</v>
      </c>
      <c r="R45" s="7">
        <f>+[5]Resumen!R45*1000</f>
        <v>253504.45192499994</v>
      </c>
      <c r="S45" s="7">
        <f>+[5]Resumen!S45*1000</f>
        <v>251133.88027499997</v>
      </c>
      <c r="T45" s="7">
        <f>+[5]Resumen!T45*1000</f>
        <v>243223.25476499999</v>
      </c>
      <c r="U45" s="7">
        <f>+[5]Resumen!U45*1000</f>
        <v>238456.08845999997</v>
      </c>
      <c r="V45" s="7">
        <f>+[5]Resumen!V45*1000</f>
        <v>232214.26301999998</v>
      </c>
      <c r="W45" s="7">
        <f>+[5]Resumen!W45*1000</f>
        <v>254386.08251999997</v>
      </c>
      <c r="X45" s="7">
        <f>+[5]Resumen!X45*1000</f>
        <v>281900.82779999997</v>
      </c>
      <c r="Y45" s="7">
        <f>+[5]Resumen!Y45*1000</f>
        <v>279913.80478499999</v>
      </c>
      <c r="Z45" s="7">
        <f>+[5]Resumen!Z45*1000</f>
        <v>262866.21916499996</v>
      </c>
      <c r="AA45" s="7">
        <f>+[5]Resumen!AA45*1000</f>
        <v>237539.05843499998</v>
      </c>
      <c r="AB45" s="7">
        <f>+[5]Resumen!AB45*1000</f>
        <v>203947.20742499997</v>
      </c>
      <c r="AC45" s="7">
        <f>+[5]Resumen!AC45*1000</f>
        <v>171483.62809499999</v>
      </c>
      <c r="AD45" s="5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+[5]Resumen!F46*1000</f>
        <v>155145.29170499998</v>
      </c>
      <c r="G46" s="7">
        <f>+[5]Resumen!G46*1000</f>
        <v>138849.89503499996</v>
      </c>
      <c r="H46" s="7">
        <f>+[5]Resumen!H46*1000</f>
        <v>129180.518415</v>
      </c>
      <c r="I46" s="7">
        <f>+[5]Resumen!I46*1000</f>
        <v>124279.03237499998</v>
      </c>
      <c r="J46" s="7">
        <f>+[5]Resumen!J46*1000</f>
        <v>129366.70015499998</v>
      </c>
      <c r="K46" s="7">
        <f>+[5]Resumen!K46*1000</f>
        <v>135663.288615</v>
      </c>
      <c r="L46" s="7">
        <f>+[5]Resumen!L46*1000</f>
        <v>149729.86795499999</v>
      </c>
      <c r="M46" s="7">
        <f>+[5]Resumen!M46*1000</f>
        <v>152176.30447499998</v>
      </c>
      <c r="N46" s="7">
        <f>+[5]Resumen!N46*1000</f>
        <v>178463.92040999996</v>
      </c>
      <c r="O46" s="7">
        <f>+[5]Resumen!O46*1000</f>
        <v>197997.38225999998</v>
      </c>
      <c r="P46" s="7">
        <f>+[5]Resumen!P46*1000</f>
        <v>218515.29043499997</v>
      </c>
      <c r="Q46" s="7">
        <f>+[5]Resumen!Q46*1000</f>
        <v>244235.81078999999</v>
      </c>
      <c r="R46" s="7">
        <f>+[5]Resumen!R46*1000</f>
        <v>260763.31214999993</v>
      </c>
      <c r="S46" s="7">
        <f>+[5]Resumen!S46*1000</f>
        <v>260625.07741499998</v>
      </c>
      <c r="T46" s="7">
        <f>+[5]Resumen!T46*1000</f>
        <v>249612.76183499998</v>
      </c>
      <c r="U46" s="7">
        <f>+[5]Resumen!U46*1000</f>
        <v>246517.67245499999</v>
      </c>
      <c r="V46" s="7">
        <f>+[5]Resumen!V46*1000</f>
        <v>244014.85601999998</v>
      </c>
      <c r="W46" s="7">
        <f>+[5]Resumen!W46*1000</f>
        <v>265293.87151500001</v>
      </c>
      <c r="X46" s="7">
        <f>+[5]Resumen!X46*1000</f>
        <v>291834.63134999998</v>
      </c>
      <c r="Y46" s="7">
        <f>+[5]Resumen!Y46*1000</f>
        <v>291053.52229499997</v>
      </c>
      <c r="Z46" s="7">
        <f>+[5]Resumen!Z46*1000</f>
        <v>269523.67666499998</v>
      </c>
      <c r="AA46" s="7">
        <f>+[5]Resumen!AA46*1000</f>
        <v>238722.98183999996</v>
      </c>
      <c r="AB46" s="7">
        <f>+[5]Resumen!AB46*1000</f>
        <v>201212.89703999998</v>
      </c>
      <c r="AC46" s="7">
        <f>+[5]Resumen!AC46*1000</f>
        <v>167025.37878</v>
      </c>
      <c r="AD46" s="5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19</v>
      </c>
      <c r="F47" s="7">
        <f>+[5]Resumen!F47*1000</f>
        <v>166854.33634499999</v>
      </c>
      <c r="G47" s="7">
        <f>+[5]Resumen!G47*1000</f>
        <v>150451.00312499999</v>
      </c>
      <c r="H47" s="7">
        <f>+[5]Resumen!H47*1000</f>
        <v>142662.90145499998</v>
      </c>
      <c r="I47" s="7">
        <f>+[5]Resumen!I47*1000</f>
        <v>143117.988885</v>
      </c>
      <c r="J47" s="7">
        <f>+[5]Resumen!J47*1000</f>
        <v>162543.52592999997</v>
      </c>
      <c r="K47" s="7">
        <f>+[5]Resumen!K47*1000</f>
        <v>202125.92593499998</v>
      </c>
      <c r="L47" s="7">
        <f>+[5]Resumen!L47*1000</f>
        <v>245988.61109999998</v>
      </c>
      <c r="M47" s="7">
        <f>+[5]Resumen!M47*1000</f>
        <v>254395.23187499997</v>
      </c>
      <c r="N47" s="7">
        <f>+[5]Resumen!N47*1000</f>
        <v>278516.53345499997</v>
      </c>
      <c r="O47" s="7">
        <f>+[5]Resumen!O47*1000</f>
        <v>294505.12331999996</v>
      </c>
      <c r="P47" s="7">
        <f>+[5]Resumen!P47*1000</f>
        <v>315998.08181999996</v>
      </c>
      <c r="Q47" s="7">
        <f>+[5]Resumen!Q47*1000</f>
        <v>336353.45093999995</v>
      </c>
      <c r="R47" s="7">
        <f>+[5]Resumen!R47*1000</f>
        <v>341328.19837499998</v>
      </c>
      <c r="S47" s="7">
        <f>+[5]Resumen!S47*1000</f>
        <v>334827.10988999996</v>
      </c>
      <c r="T47" s="7">
        <f>+[5]Resumen!T47*1000</f>
        <v>335250.10606499994</v>
      </c>
      <c r="U47" s="7">
        <f>+[5]Resumen!U47*1000</f>
        <v>334696.744305</v>
      </c>
      <c r="V47" s="7">
        <f>+[5]Resumen!V47*1000</f>
        <v>326741.24506499997</v>
      </c>
      <c r="W47" s="7">
        <f>+[5]Resumen!W47*1000</f>
        <v>341380.28745</v>
      </c>
      <c r="X47" s="7">
        <f>+[5]Resumen!X47*1000</f>
        <v>361397.17349999998</v>
      </c>
      <c r="Y47" s="7">
        <f>+[5]Resumen!Y47*1000</f>
        <v>352471.21622999996</v>
      </c>
      <c r="Z47" s="7">
        <f>+[5]Resumen!Z47*1000</f>
        <v>326622.40132499998</v>
      </c>
      <c r="AA47" s="7">
        <f>+[5]Resumen!AA47*1000</f>
        <v>288265.67037000001</v>
      </c>
      <c r="AB47" s="7">
        <f>+[5]Resumen!AB47*1000</f>
        <v>240936.44453999997</v>
      </c>
      <c r="AC47" s="7">
        <f>+[5]Resumen!AC47*1000</f>
        <v>201096.43753499998</v>
      </c>
      <c r="AD47" s="57">
        <f t="shared" ref="AD47" si="6">SUM(F47:AC47)*E47+SUM(F48:AC48)*E48+SUM(F49:AC49)*E49+SUM(F50:AC50)*E50</f>
        <v>183596473.84508994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5</v>
      </c>
      <c r="F48" s="7">
        <f>+[5]Resumen!F48*1000</f>
        <v>174270.36033</v>
      </c>
      <c r="G48" s="7">
        <f>+[5]Resumen!G48*1000</f>
        <v>155449.18966499998</v>
      </c>
      <c r="H48" s="7">
        <f>+[5]Resumen!H48*1000</f>
        <v>144930.08578499997</v>
      </c>
      <c r="I48" s="7">
        <f>+[5]Resumen!I48*1000</f>
        <v>142632.78336</v>
      </c>
      <c r="J48" s="7">
        <f>+[5]Resumen!J48*1000</f>
        <v>154308.42913499998</v>
      </c>
      <c r="K48" s="7">
        <f>+[5]Resumen!K48*1000</f>
        <v>174251.43521999998</v>
      </c>
      <c r="L48" s="7">
        <f>+[5]Resumen!L48*1000</f>
        <v>209415.18613499997</v>
      </c>
      <c r="M48" s="7">
        <f>+[5]Resumen!M48*1000</f>
        <v>226471.84672499998</v>
      </c>
      <c r="N48" s="7">
        <f>+[5]Resumen!N48*1000</f>
        <v>260787.73783499998</v>
      </c>
      <c r="O48" s="7">
        <f>+[5]Resumen!O48*1000</f>
        <v>281955.05837999994</v>
      </c>
      <c r="P48" s="7">
        <f>+[5]Resumen!P48*1000</f>
        <v>300786.47459999996</v>
      </c>
      <c r="Q48" s="7">
        <f>+[5]Resumen!Q48*1000</f>
        <v>312387.61400999996</v>
      </c>
      <c r="R48" s="7">
        <f>+[5]Resumen!R48*1000</f>
        <v>313958.50775999995</v>
      </c>
      <c r="S48" s="7">
        <f>+[5]Resumen!S48*1000</f>
        <v>304676.26199999999</v>
      </c>
      <c r="T48" s="7">
        <f>+[5]Resumen!T48*1000</f>
        <v>294661.42969499994</v>
      </c>
      <c r="U48" s="7">
        <f>+[5]Resumen!U48*1000</f>
        <v>288771.81331499998</v>
      </c>
      <c r="V48" s="7">
        <f>+[5]Resumen!V48*1000</f>
        <v>282114.93914999993</v>
      </c>
      <c r="W48" s="7">
        <f>+[5]Resumen!W48*1000</f>
        <v>307285.89529499994</v>
      </c>
      <c r="X48" s="7">
        <f>+[5]Resumen!X48*1000</f>
        <v>331020.614115</v>
      </c>
      <c r="Y48" s="7">
        <f>+[5]Resumen!Y48*1000</f>
        <v>322338.06413999997</v>
      </c>
      <c r="Z48" s="7">
        <f>+[5]Resumen!Z48*1000</f>
        <v>299097.985995</v>
      </c>
      <c r="AA48" s="7">
        <f>+[5]Resumen!AA48*1000</f>
        <v>267722.99590499996</v>
      </c>
      <c r="AB48" s="7">
        <f>+[5]Resumen!AB48*1000</f>
        <v>232887.49033499998</v>
      </c>
      <c r="AC48" s="7">
        <f>+[5]Resumen!AC48*1000</f>
        <v>198893.94858</v>
      </c>
      <c r="AD48" s="5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+[5]Resumen!F49*1000</f>
        <v>165884.91187499999</v>
      </c>
      <c r="G49" s="7">
        <f>+[5]Resumen!G49*1000</f>
        <v>146772.12852</v>
      </c>
      <c r="H49" s="7">
        <f>+[5]Resumen!H49*1000</f>
        <v>135330.95209499999</v>
      </c>
      <c r="I49" s="7">
        <f>+[5]Resumen!I49*1000</f>
        <v>129992.37196499998</v>
      </c>
      <c r="J49" s="7">
        <f>+[5]Resumen!J49*1000</f>
        <v>132747.58844999998</v>
      </c>
      <c r="K49" s="7">
        <f>+[5]Resumen!K49*1000</f>
        <v>140048.51535</v>
      </c>
      <c r="L49" s="7">
        <f>+[5]Resumen!L49*1000</f>
        <v>156417.75674999997</v>
      </c>
      <c r="M49" s="7">
        <f>+[5]Resumen!M49*1000</f>
        <v>162066.51449999999</v>
      </c>
      <c r="N49" s="7">
        <f>+[5]Resumen!N49*1000</f>
        <v>190054.65766499998</v>
      </c>
      <c r="O49" s="7">
        <f>+[5]Resumen!O49*1000</f>
        <v>213637.22392499997</v>
      </c>
      <c r="P49" s="7">
        <f>+[5]Resumen!P49*1000</f>
        <v>231959.28689999998</v>
      </c>
      <c r="Q49" s="7">
        <f>+[5]Resumen!Q49*1000</f>
        <v>250335.48257999998</v>
      </c>
      <c r="R49" s="7">
        <f>+[5]Resumen!R49*1000</f>
        <v>262702.64263499994</v>
      </c>
      <c r="S49" s="7">
        <f>+[5]Resumen!S49*1000</f>
        <v>264326.678595</v>
      </c>
      <c r="T49" s="7">
        <f>+[5]Resumen!T49*1000</f>
        <v>257054.18633999996</v>
      </c>
      <c r="U49" s="7">
        <f>+[5]Resumen!U49*1000</f>
        <v>250230.66628499998</v>
      </c>
      <c r="V49" s="7">
        <f>+[5]Resumen!V49*1000</f>
        <v>243899.38700999995</v>
      </c>
      <c r="W49" s="7">
        <f>+[5]Resumen!W49*1000</f>
        <v>267764.93729999993</v>
      </c>
      <c r="X49" s="7">
        <f>+[5]Resumen!X49*1000</f>
        <v>295302.41306999995</v>
      </c>
      <c r="Y49" s="7">
        <f>+[5]Resumen!Y49*1000</f>
        <v>291153.14729999995</v>
      </c>
      <c r="Z49" s="7">
        <f>+[5]Resumen!Z49*1000</f>
        <v>273586.75762499997</v>
      </c>
      <c r="AA49" s="7">
        <f>+[5]Resumen!AA49*1000</f>
        <v>247542.95222999997</v>
      </c>
      <c r="AB49" s="7">
        <f>+[5]Resumen!AB49*1000</f>
        <v>215503.44569999998</v>
      </c>
      <c r="AC49" s="7">
        <f>+[5]Resumen!AC49*1000</f>
        <v>181367.5428</v>
      </c>
      <c r="AD49" s="5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+[5]Resumen!F50*1000</f>
        <v>157733.87404499998</v>
      </c>
      <c r="G50" s="7">
        <f>+[5]Resumen!G50*1000</f>
        <v>140773.69471499999</v>
      </c>
      <c r="H50" s="7">
        <f>+[5]Resumen!H50*1000</f>
        <v>130620.04825499997</v>
      </c>
      <c r="I50" s="7">
        <f>+[5]Resumen!I50*1000</f>
        <v>126031.17104999999</v>
      </c>
      <c r="J50" s="7">
        <f>+[5]Resumen!J50*1000</f>
        <v>131576.48666999998</v>
      </c>
      <c r="K50" s="7">
        <f>+[5]Resumen!K50*1000</f>
        <v>141716.37973499999</v>
      </c>
      <c r="L50" s="7">
        <f>+[5]Resumen!L50*1000</f>
        <v>154992.15647999998</v>
      </c>
      <c r="M50" s="7">
        <f>+[5]Resumen!M50*1000</f>
        <v>155960.14805999998</v>
      </c>
      <c r="N50" s="7">
        <f>+[5]Resumen!N50*1000</f>
        <v>184313.57638499999</v>
      </c>
      <c r="O50" s="7">
        <f>+[5]Resumen!O50*1000</f>
        <v>206922.57610499999</v>
      </c>
      <c r="P50" s="7">
        <f>+[5]Resumen!P50*1000</f>
        <v>231092.52155999999</v>
      </c>
      <c r="Q50" s="7">
        <f>+[5]Resumen!Q50*1000</f>
        <v>254326.50796499997</v>
      </c>
      <c r="R50" s="7">
        <f>+[5]Resumen!R50*1000</f>
        <v>269676.85887</v>
      </c>
      <c r="S50" s="7">
        <f>+[5]Resumen!S50*1000</f>
        <v>269439.48458999995</v>
      </c>
      <c r="T50" s="7">
        <f>+[5]Resumen!T50*1000</f>
        <v>258941.96802</v>
      </c>
      <c r="U50" s="7">
        <f>+[5]Resumen!U50*1000</f>
        <v>251350.3602</v>
      </c>
      <c r="V50" s="7">
        <f>+[5]Resumen!V50*1000</f>
        <v>248156.79290999999</v>
      </c>
      <c r="W50" s="7">
        <f>+[5]Resumen!W50*1000</f>
        <v>275635.97433</v>
      </c>
      <c r="X50" s="7">
        <f>+[5]Resumen!X50*1000</f>
        <v>303110.55953999999</v>
      </c>
      <c r="Y50" s="7">
        <f>+[5]Resumen!Y50*1000</f>
        <v>300217.433265</v>
      </c>
      <c r="Z50" s="7">
        <f>+[5]Resumen!Z50*1000</f>
        <v>277416.23444999999</v>
      </c>
      <c r="AA50" s="7">
        <f>+[5]Resumen!AA50*1000</f>
        <v>244238.61001499998</v>
      </c>
      <c r="AB50" s="7">
        <f>+[5]Resumen!AB50*1000</f>
        <v>204964.81379999997</v>
      </c>
      <c r="AC50" s="7">
        <f>+[5]Resumen!AC50*1000</f>
        <v>168979.41400499997</v>
      </c>
      <c r="AD50" s="59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21</v>
      </c>
      <c r="F51" s="7">
        <f>+[5]Resumen!F51*1000</f>
        <v>184667.48846999998</v>
      </c>
      <c r="G51" s="7">
        <f>+[5]Resumen!G51*1000</f>
        <v>166885.49583</v>
      </c>
      <c r="H51" s="7">
        <f>+[5]Resumen!H51*1000</f>
        <v>157338.52559999999</v>
      </c>
      <c r="I51" s="7">
        <f>+[5]Resumen!I51*1000</f>
        <v>156039.93575999999</v>
      </c>
      <c r="J51" s="7">
        <f>+[5]Resumen!J51*1000</f>
        <v>170094.58609499998</v>
      </c>
      <c r="K51" s="7">
        <f>+[5]Resumen!K51*1000</f>
        <v>197586.22504499997</v>
      </c>
      <c r="L51" s="7">
        <f>+[5]Resumen!L51*1000</f>
        <v>232905.44060999996</v>
      </c>
      <c r="M51" s="7">
        <f>+[5]Resumen!M51*1000</f>
        <v>245251.81984499999</v>
      </c>
      <c r="N51" s="7">
        <f>+[5]Resumen!N51*1000</f>
        <v>274903.779285</v>
      </c>
      <c r="O51" s="7">
        <f>+[5]Resumen!O51*1000</f>
        <v>292446.81206999993</v>
      </c>
      <c r="P51" s="7">
        <f>+[5]Resumen!P51*1000</f>
        <v>312964.87684499996</v>
      </c>
      <c r="Q51" s="7">
        <f>+[5]Resumen!Q51*1000</f>
        <v>332456.42861999996</v>
      </c>
      <c r="R51" s="7">
        <f>+[5]Resumen!R51*1000</f>
        <v>340380.09499499999</v>
      </c>
      <c r="S51" s="7">
        <f>+[5]Resumen!S51*1000</f>
        <v>335123.917785</v>
      </c>
      <c r="T51" s="7">
        <f>+[5]Resumen!T51*1000</f>
        <v>335397.51364499994</v>
      </c>
      <c r="U51" s="7">
        <f>+[5]Resumen!U51*1000</f>
        <v>334106.60503499996</v>
      </c>
      <c r="V51" s="7">
        <f>+[5]Resumen!V51*1000</f>
        <v>325473.41146499995</v>
      </c>
      <c r="W51" s="7">
        <f>+[5]Resumen!W51*1000</f>
        <v>334824.310665</v>
      </c>
      <c r="X51" s="7">
        <f>+[5]Resumen!X51*1000</f>
        <v>358463.18245499994</v>
      </c>
      <c r="Y51" s="7">
        <f>+[5]Resumen!Y51*1000</f>
        <v>352701.86062499997</v>
      </c>
      <c r="Z51" s="7">
        <f>+[5]Resumen!Z51*1000</f>
        <v>329655.24220499996</v>
      </c>
      <c r="AA51" s="7">
        <f>+[5]Resumen!AA51*1000</f>
        <v>298014.42361499998</v>
      </c>
      <c r="AB51" s="7">
        <f>+[5]Resumen!AB51*1000</f>
        <v>257520.20836499997</v>
      </c>
      <c r="AC51" s="7">
        <f>+[5]Resumen!AC51*1000</f>
        <v>220682.00020499999</v>
      </c>
      <c r="AD51" s="57">
        <f t="shared" ref="AD51" si="7">SUM(F51:AC51)*E51+SUM(F52:AC52)*E52+SUM(F53:AC53)*E53+SUM(F54:AC54)*E54</f>
        <v>193803348.28099495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+[5]Resumen!F52*1000</f>
        <v>194372.10400499997</v>
      </c>
      <c r="G52" s="7">
        <f>+[5]Resumen!G52*1000</f>
        <v>174054.08789999998</v>
      </c>
      <c r="H52" s="7">
        <f>+[5]Resumen!H52*1000</f>
        <v>162923.74289999998</v>
      </c>
      <c r="I52" s="7">
        <f>+[5]Resumen!I52*1000</f>
        <v>158733.25217999998</v>
      </c>
      <c r="J52" s="7">
        <f>+[5]Resumen!J52*1000</f>
        <v>167570.40941999998</v>
      </c>
      <c r="K52" s="7">
        <f>+[5]Resumen!K52*1000</f>
        <v>184819.01854499997</v>
      </c>
      <c r="L52" s="7">
        <f>+[5]Resumen!L52*1000</f>
        <v>213435.74236500001</v>
      </c>
      <c r="M52" s="7">
        <f>+[5]Resumen!M52*1000</f>
        <v>224559.72940499996</v>
      </c>
      <c r="N52" s="7">
        <f>+[5]Resumen!N52*1000</f>
        <v>257482.24069499999</v>
      </c>
      <c r="O52" s="7">
        <f>+[5]Resumen!O52*1000</f>
        <v>279589.54099499999</v>
      </c>
      <c r="P52" s="7">
        <f>+[5]Resumen!P52*1000</f>
        <v>297167.65217999998</v>
      </c>
      <c r="Q52" s="7">
        <f>+[5]Resumen!Q52*1000</f>
        <v>309779.44100999995</v>
      </c>
      <c r="R52" s="7">
        <f>+[5]Resumen!R52*1000</f>
        <v>312176.42324999999</v>
      </c>
      <c r="S52" s="7">
        <f>+[5]Resumen!S52*1000</f>
        <v>304483.63225499995</v>
      </c>
      <c r="T52" s="7">
        <f>+[5]Resumen!T52*1000</f>
        <v>295638.02252999996</v>
      </c>
      <c r="U52" s="7">
        <f>+[5]Resumen!U52*1000</f>
        <v>289245.81410999998</v>
      </c>
      <c r="V52" s="7">
        <f>+[5]Resumen!V52*1000</f>
        <v>282882.43966499995</v>
      </c>
      <c r="W52" s="7">
        <f>+[5]Resumen!W52*1000</f>
        <v>302665.34965499997</v>
      </c>
      <c r="X52" s="7">
        <f>+[5]Resumen!X52*1000</f>
        <v>332741.47585499997</v>
      </c>
      <c r="Y52" s="7">
        <f>+[5]Resumen!Y52*1000</f>
        <v>325678.08374999999</v>
      </c>
      <c r="Z52" s="7">
        <f>+[5]Resumen!Z52*1000</f>
        <v>301258.99552499998</v>
      </c>
      <c r="AA52" s="7">
        <f>+[5]Resumen!AA52*1000</f>
        <v>274091.17405500001</v>
      </c>
      <c r="AB52" s="7">
        <f>+[5]Resumen!AB52*1000</f>
        <v>244292.22985499998</v>
      </c>
      <c r="AC52" s="7">
        <f>+[5]Resumen!AC52*1000</f>
        <v>215729.18851499999</v>
      </c>
      <c r="AD52" s="5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+[5]Resumen!F53*1000</f>
        <v>193578.25553999998</v>
      </c>
      <c r="G53" s="7">
        <f>+[5]Resumen!G53*1000</f>
        <v>172056.85064999998</v>
      </c>
      <c r="H53" s="7">
        <f>+[5]Resumen!H53*1000</f>
        <v>160089.96802499998</v>
      </c>
      <c r="I53" s="7">
        <f>+[5]Resumen!I53*1000</f>
        <v>153333.00296999997</v>
      </c>
      <c r="J53" s="7">
        <f>+[5]Resumen!J53*1000</f>
        <v>153595.78951499998</v>
      </c>
      <c r="K53" s="7">
        <f>+[5]Resumen!K53*1000</f>
        <v>160713.54139499998</v>
      </c>
      <c r="L53" s="7">
        <f>+[5]Resumen!L53*1000</f>
        <v>173209.04297999997</v>
      </c>
      <c r="M53" s="7">
        <f>+[5]Resumen!M53*1000</f>
        <v>172489.99059</v>
      </c>
      <c r="N53" s="7">
        <f>+[5]Resumen!N53*1000</f>
        <v>199672.99834499997</v>
      </c>
      <c r="O53" s="7">
        <f>+[5]Resumen!O53*1000</f>
        <v>222372.512865</v>
      </c>
      <c r="P53" s="7">
        <f>+[5]Resumen!P53*1000</f>
        <v>240730.96184999999</v>
      </c>
      <c r="Q53" s="7">
        <f>+[5]Resumen!Q53*1000</f>
        <v>257933.26826999997</v>
      </c>
      <c r="R53" s="7">
        <f>+[5]Resumen!R53*1000</f>
        <v>268836.01474499999</v>
      </c>
      <c r="S53" s="7">
        <f>+[5]Resumen!S53*1000</f>
        <v>270372.949785</v>
      </c>
      <c r="T53" s="7">
        <f>+[5]Resumen!T53*1000</f>
        <v>264104.98780499998</v>
      </c>
      <c r="U53" s="7">
        <f>+[5]Resumen!U53*1000</f>
        <v>260539.63253999996</v>
      </c>
      <c r="V53" s="7">
        <f>+[5]Resumen!V53*1000</f>
        <v>255815.05751999997</v>
      </c>
      <c r="W53" s="7">
        <f>+[5]Resumen!W53*1000</f>
        <v>274509.56618999998</v>
      </c>
      <c r="X53" s="7">
        <f>+[5]Resumen!X53*1000</f>
        <v>303092.09639999998</v>
      </c>
      <c r="Y53" s="7">
        <f>+[5]Resumen!Y53*1000</f>
        <v>303632.58955500001</v>
      </c>
      <c r="Z53" s="7">
        <f>+[5]Resumen!Z53*1000</f>
        <v>290960.56453500001</v>
      </c>
      <c r="AA53" s="7">
        <f>+[5]Resumen!AA53*1000</f>
        <v>268470.49076999997</v>
      </c>
      <c r="AB53" s="7">
        <f>+[5]Resumen!AB53*1000</f>
        <v>237060.04252499997</v>
      </c>
      <c r="AC53" s="7">
        <f>+[5]Resumen!AC53*1000</f>
        <v>203216.00678999998</v>
      </c>
      <c r="AD53" s="5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+[5]Resumen!F54*1000</f>
        <v>188793.20551499998</v>
      </c>
      <c r="G54" s="7">
        <f>+[5]Resumen!G54*1000</f>
        <v>172378.68713999997</v>
      </c>
      <c r="H54" s="7">
        <f>+[5]Resumen!H54*1000</f>
        <v>159416.93254499999</v>
      </c>
      <c r="I54" s="7">
        <f>+[5]Resumen!I54*1000</f>
        <v>150563.16004499997</v>
      </c>
      <c r="J54" s="7">
        <f>+[5]Resumen!J54*1000</f>
        <v>148468.59197999997</v>
      </c>
      <c r="K54" s="7">
        <f>+[5]Resumen!K54*1000</f>
        <v>151088.81534999999</v>
      </c>
      <c r="L54" s="7">
        <f>+[5]Resumen!L54*1000</f>
        <v>156283.16687999998</v>
      </c>
      <c r="M54" s="7">
        <f>+[5]Resumen!M54*1000</f>
        <v>148452.31340999997</v>
      </c>
      <c r="N54" s="7">
        <f>+[5]Resumen!N54*1000</f>
        <v>168672.33706499997</v>
      </c>
      <c r="O54" s="7">
        <f>+[5]Resumen!O54*1000</f>
        <v>189193.13842499998</v>
      </c>
      <c r="P54" s="7">
        <f>+[5]Resumen!P54*1000</f>
        <v>208862.45077499998</v>
      </c>
      <c r="Q54" s="7">
        <f>+[5]Resumen!Q54*1000</f>
        <v>227598.4467</v>
      </c>
      <c r="R54" s="7">
        <f>+[5]Resumen!R54*1000</f>
        <v>241985.49227999995</v>
      </c>
      <c r="S54" s="7">
        <f>+[5]Resumen!S54*1000</f>
        <v>244198.50475499997</v>
      </c>
      <c r="T54" s="7">
        <f>+[5]Resumen!T54*1000</f>
        <v>238966.30691999997</v>
      </c>
      <c r="U54" s="7">
        <f>+[5]Resumen!U54*1000</f>
        <v>237848.27296499995</v>
      </c>
      <c r="V54" s="7">
        <f>+[5]Resumen!V54*1000</f>
        <v>235793.03107500001</v>
      </c>
      <c r="W54" s="7">
        <f>+[5]Resumen!W54*1000</f>
        <v>254471.28857999999</v>
      </c>
      <c r="X54" s="7">
        <f>+[5]Resumen!X54*1000</f>
        <v>288131.74213499995</v>
      </c>
      <c r="Y54" s="7">
        <f>+[5]Resumen!Y54*1000</f>
        <v>288577.590165</v>
      </c>
      <c r="Z54" s="7">
        <f>+[5]Resumen!Z54*1000</f>
        <v>273642.72254999995</v>
      </c>
      <c r="AA54" s="7">
        <f>+[5]Resumen!AA54*1000</f>
        <v>251241.73852499996</v>
      </c>
      <c r="AB54" s="7">
        <f>+[5]Resumen!AB54*1000</f>
        <v>222415.23334499999</v>
      </c>
      <c r="AC54" s="7">
        <f>+[5]Resumen!AC54*1000</f>
        <v>191335.08190499997</v>
      </c>
      <c r="AD54" s="59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AA55" s="60" t="s">
        <v>46</v>
      </c>
      <c r="AB55" s="61"/>
      <c r="AC55" s="62"/>
      <c r="AD55" s="17">
        <f>SUM(AD7:AD54)</f>
        <v>2248115811.1344447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6">
    <mergeCell ref="AD43:AD46"/>
    <mergeCell ref="AD47:AD50"/>
    <mergeCell ref="AD51:AD54"/>
    <mergeCell ref="AA55:AC55"/>
    <mergeCell ref="AD19:AD22"/>
    <mergeCell ref="AD23:AD26"/>
    <mergeCell ref="AD27:AD30"/>
    <mergeCell ref="AD31:AD34"/>
    <mergeCell ref="AD35:AD38"/>
    <mergeCell ref="AD39:AD42"/>
    <mergeCell ref="AD15:AD18"/>
    <mergeCell ref="C2:AD2"/>
    <mergeCell ref="C3:AD3"/>
    <mergeCell ref="C4:AD4"/>
    <mergeCell ref="AD7:AD10"/>
    <mergeCell ref="AD11:AD14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EEA0-0EA2-408B-AC87-BAB683AF2B22}">
  <sheetPr codeName="Hoja8"/>
  <dimension ref="A1:Y31"/>
  <sheetViews>
    <sheetView showGridLines="0" tabSelected="1" topLeftCell="A11" zoomScale="91" zoomScaleNormal="91" workbookViewId="0">
      <selection activeCell="H23" sqref="H23"/>
    </sheetView>
  </sheetViews>
  <sheetFormatPr baseColWidth="10" defaultColWidth="11.453125" defaultRowHeight="12.5"/>
  <cols>
    <col min="1" max="1" width="11.453125" style="19"/>
    <col min="2" max="2" width="13.81640625" style="19" customWidth="1"/>
    <col min="3" max="3" width="20.453125" style="19" customWidth="1"/>
    <col min="4" max="4" width="15.453125" style="19" bestFit="1" customWidth="1"/>
    <col min="5" max="5" width="14.81640625" style="19" customWidth="1"/>
    <col min="6" max="6" width="12.453125" style="19" customWidth="1"/>
    <col min="7" max="7" width="16.81640625" style="19" bestFit="1" customWidth="1"/>
    <col min="8" max="8" width="17.90625" style="19" bestFit="1" customWidth="1"/>
    <col min="9" max="20" width="14.816406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67" t="s">
        <v>47</v>
      </c>
      <c r="C2" s="67"/>
      <c r="D2" s="67"/>
      <c r="E2" s="67"/>
      <c r="F2" s="67"/>
      <c r="G2" s="20"/>
      <c r="H2" s="20"/>
      <c r="I2" s="20"/>
    </row>
    <row r="3" spans="2:25" ht="13">
      <c r="B3" s="68" t="s">
        <v>48</v>
      </c>
      <c r="C3" s="68"/>
      <c r="D3" s="68"/>
      <c r="E3" s="68"/>
      <c r="F3" s="68"/>
      <c r="G3" s="20"/>
      <c r="H3" s="20"/>
      <c r="I3" s="20"/>
    </row>
    <row r="4" spans="2:25" ht="13">
      <c r="B4" s="68" t="s">
        <v>84</v>
      </c>
      <c r="C4" s="68"/>
      <c r="D4" s="68"/>
      <c r="E4" s="68"/>
      <c r="F4" s="68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69" t="s">
        <v>66</v>
      </c>
      <c r="C6" s="70"/>
      <c r="D6" s="70"/>
      <c r="E6" s="70"/>
      <c r="F6" s="71"/>
      <c r="G6" s="20"/>
      <c r="H6" s="22"/>
      <c r="I6" s="22"/>
      <c r="Y6" s="22"/>
    </row>
    <row r="7" spans="2:25" ht="18.75" customHeight="1" thickBot="1">
      <c r="B7" s="72" t="s">
        <v>49</v>
      </c>
      <c r="C7" s="74" t="s">
        <v>57</v>
      </c>
      <c r="D7" s="74"/>
      <c r="E7" s="74"/>
      <c r="F7" s="75"/>
      <c r="G7" s="22"/>
      <c r="H7" s="22"/>
      <c r="I7" s="22"/>
      <c r="Y7" s="22"/>
    </row>
    <row r="8" spans="2:25" ht="26.5" thickBot="1">
      <c r="B8" s="73"/>
      <c r="C8" s="23" t="s">
        <v>50</v>
      </c>
      <c r="D8" s="24" t="s">
        <v>51</v>
      </c>
      <c r="E8" s="25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46023</v>
      </c>
      <c r="C9" s="29">
        <f>+'Cantidades Producto 1'!AD7</f>
        <v>119622499.57684</v>
      </c>
      <c r="D9" s="52" t="s">
        <v>51</v>
      </c>
      <c r="E9" s="40"/>
      <c r="F9" s="64" t="s">
        <v>54</v>
      </c>
      <c r="G9" s="8"/>
    </row>
    <row r="10" spans="2:25" s="27" customFormat="1" ht="18" customHeight="1">
      <c r="B10" s="28">
        <v>46054</v>
      </c>
      <c r="C10" s="29">
        <f>+'Cantidades Producto 1'!AD11</f>
        <v>145189562.771916</v>
      </c>
      <c r="D10" s="53" t="s">
        <v>51</v>
      </c>
      <c r="E10" s="30"/>
      <c r="F10" s="65"/>
      <c r="G10" s="8"/>
    </row>
    <row r="11" spans="2:25" s="27" customFormat="1" ht="18" customHeight="1">
      <c r="B11" s="28">
        <v>46082</v>
      </c>
      <c r="C11" s="29">
        <f>+'Cantidades Producto 1'!AD15</f>
        <v>115325321.34061101</v>
      </c>
      <c r="D11" s="53" t="s">
        <v>51</v>
      </c>
      <c r="E11" s="30"/>
      <c r="F11" s="65"/>
      <c r="G11" s="8"/>
    </row>
    <row r="12" spans="2:25" s="27" customFormat="1" ht="18" customHeight="1">
      <c r="B12" s="28">
        <v>46113</v>
      </c>
      <c r="C12" s="29">
        <f>+'Cantidades Producto 1'!AD19</f>
        <v>129614333.49563399</v>
      </c>
      <c r="D12" s="53" t="s">
        <v>51</v>
      </c>
      <c r="E12" s="30"/>
      <c r="F12" s="65"/>
      <c r="G12" s="8"/>
    </row>
    <row r="13" spans="2:25" s="27" customFormat="1" ht="18" customHeight="1">
      <c r="B13" s="28">
        <v>46143</v>
      </c>
      <c r="C13" s="29">
        <f>+'Cantidades Producto 1'!AD23</f>
        <v>116745809.07837701</v>
      </c>
      <c r="D13" s="53" t="s">
        <v>51</v>
      </c>
      <c r="E13" s="30"/>
      <c r="F13" s="65"/>
      <c r="G13" s="8"/>
    </row>
    <row r="14" spans="2:25" s="27" customFormat="1" ht="18" customHeight="1">
      <c r="B14" s="28">
        <v>46174</v>
      </c>
      <c r="C14" s="29">
        <f>+'Cantidades Producto 1'!AD27</f>
        <v>128278473.37887201</v>
      </c>
      <c r="D14" s="53" t="s">
        <v>51</v>
      </c>
      <c r="E14" s="30"/>
      <c r="F14" s="65"/>
      <c r="G14" s="8"/>
    </row>
    <row r="15" spans="2:25" s="27" customFormat="1" ht="18" customHeight="1">
      <c r="B15" s="28">
        <v>46204</v>
      </c>
      <c r="C15" s="29">
        <f>+'Cantidades Producto 1'!AD31</f>
        <v>114636397.66685499</v>
      </c>
      <c r="D15" s="53" t="s">
        <v>51</v>
      </c>
      <c r="E15" s="30"/>
      <c r="F15" s="65"/>
      <c r="G15" s="8"/>
    </row>
    <row r="16" spans="2:25" s="27" customFormat="1" ht="18" customHeight="1">
      <c r="B16" s="28">
        <v>46235</v>
      </c>
      <c r="C16" s="29">
        <f>+'Cantidades Producto 1'!AD35</f>
        <v>122306651.45834203</v>
      </c>
      <c r="D16" s="53" t="s">
        <v>51</v>
      </c>
      <c r="E16" s="30"/>
      <c r="F16" s="65"/>
      <c r="G16" s="8"/>
    </row>
    <row r="17" spans="1:8" s="27" customFormat="1" ht="18" customHeight="1">
      <c r="B17" s="28">
        <v>46266</v>
      </c>
      <c r="C17" s="29">
        <f>+'Cantidades Producto 1'!AD39</f>
        <v>127851280.00189799</v>
      </c>
      <c r="D17" s="53" t="s">
        <v>51</v>
      </c>
      <c r="E17" s="30"/>
      <c r="F17" s="65"/>
      <c r="G17" s="8"/>
    </row>
    <row r="18" spans="1:8" s="27" customFormat="1" ht="18" customHeight="1">
      <c r="B18" s="28">
        <v>46296</v>
      </c>
      <c r="C18" s="29">
        <f>+'Cantidades Producto 1'!AD43</f>
        <v>117629238.30064102</v>
      </c>
      <c r="D18" s="53" t="s">
        <v>51</v>
      </c>
      <c r="E18" s="30"/>
      <c r="F18" s="65"/>
      <c r="G18" s="8"/>
    </row>
    <row r="19" spans="1:8" s="27" customFormat="1" ht="18" customHeight="1">
      <c r="B19" s="28">
        <v>46327</v>
      </c>
      <c r="C19" s="29">
        <f>+'Cantidades Producto 1'!AD47</f>
        <v>130926638.06124602</v>
      </c>
      <c r="D19" s="53" t="s">
        <v>51</v>
      </c>
      <c r="E19" s="30"/>
      <c r="F19" s="65"/>
      <c r="G19" s="8"/>
    </row>
    <row r="20" spans="1:8" s="27" customFormat="1" ht="18" customHeight="1">
      <c r="B20" s="28">
        <v>46357</v>
      </c>
      <c r="C20" s="29">
        <f>+'Cantidades Producto 1'!AD51</f>
        <v>120650329.68159702</v>
      </c>
      <c r="D20" s="53" t="s">
        <v>51</v>
      </c>
      <c r="E20" s="30"/>
      <c r="F20" s="65"/>
      <c r="G20" s="8"/>
    </row>
    <row r="21" spans="1:8" s="27" customFormat="1" ht="18" customHeight="1" thickBot="1">
      <c r="B21" s="31" t="s">
        <v>55</v>
      </c>
      <c r="C21" s="50">
        <f>SUM(C9:C20)</f>
        <v>1488776534.812829</v>
      </c>
      <c r="D21" s="54" t="s">
        <v>51</v>
      </c>
      <c r="E21" s="32"/>
      <c r="F21" s="66"/>
      <c r="G21" s="8"/>
    </row>
    <row r="22" spans="1:8">
      <c r="B22" s="27"/>
      <c r="C22" s="2"/>
      <c r="D22" s="27"/>
      <c r="E22" s="27"/>
      <c r="F22" s="27"/>
    </row>
    <row r="23" spans="1:8">
      <c r="B23" s="27"/>
      <c r="C23" s="55">
        <f>+C21/1000</f>
        <v>1488776.534812829</v>
      </c>
      <c r="D23" s="33"/>
      <c r="E23" s="33"/>
      <c r="F23" s="27"/>
      <c r="H23" s="56"/>
    </row>
    <row r="24" spans="1:8" ht="14.5">
      <c r="A24" s="34" t="s">
        <v>56</v>
      </c>
      <c r="B24" s="27"/>
      <c r="C24" s="27"/>
      <c r="D24" s="2"/>
      <c r="E24" s="35"/>
      <c r="F24" s="27"/>
    </row>
    <row r="25" spans="1:8" ht="14.5">
      <c r="A25" s="36" t="s">
        <v>61</v>
      </c>
      <c r="B25" s="27"/>
      <c r="C25" s="27"/>
      <c r="D25" s="27"/>
      <c r="E25" s="27"/>
      <c r="F25" s="27"/>
    </row>
    <row r="26" spans="1:8" ht="14.5">
      <c r="A26" s="36" t="s">
        <v>75</v>
      </c>
      <c r="B26" s="27"/>
      <c r="C26" s="27"/>
      <c r="D26" s="27"/>
      <c r="E26" s="27"/>
      <c r="F26" s="27"/>
    </row>
    <row r="27" spans="1:8" ht="14.5">
      <c r="A27" s="36" t="s">
        <v>74</v>
      </c>
      <c r="B27" s="27"/>
      <c r="C27" s="27"/>
      <c r="D27" s="27"/>
      <c r="E27" s="27"/>
      <c r="F27" s="27"/>
    </row>
    <row r="28" spans="1:8" ht="14.5">
      <c r="A28" s="36" t="s">
        <v>69</v>
      </c>
      <c r="B28" s="27"/>
      <c r="C28" s="27"/>
      <c r="D28" s="27"/>
      <c r="E28" s="27"/>
      <c r="F28" s="27"/>
    </row>
    <row r="29" spans="1:8" ht="14.5">
      <c r="A29" s="36" t="s">
        <v>64</v>
      </c>
      <c r="C29" s="37"/>
    </row>
    <row r="31" spans="1:8">
      <c r="C31" s="38"/>
    </row>
  </sheetData>
  <mergeCells count="7"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20B4-37FE-479A-A93F-66F6F3BB6B0E}">
  <sheetPr codeName="Hoja9"/>
  <dimension ref="A1:Y31"/>
  <sheetViews>
    <sheetView showGridLines="0" topLeftCell="A10" zoomScale="91" zoomScaleNormal="91" workbookViewId="0">
      <selection activeCell="C23" sqref="C23"/>
    </sheetView>
  </sheetViews>
  <sheetFormatPr baseColWidth="10" defaultColWidth="11.453125" defaultRowHeight="12.5"/>
  <cols>
    <col min="1" max="1" width="11.453125" style="19"/>
    <col min="2" max="2" width="13.81640625" style="19" customWidth="1"/>
    <col min="3" max="3" width="20.453125" style="19" customWidth="1"/>
    <col min="4" max="4" width="15.453125" style="19" bestFit="1" customWidth="1"/>
    <col min="5" max="5" width="14.81640625" style="19" customWidth="1"/>
    <col min="6" max="6" width="12.453125" style="19" customWidth="1"/>
    <col min="7" max="7" width="16.81640625" style="19" bestFit="1" customWidth="1"/>
    <col min="8" max="8" width="12.453125" style="19" customWidth="1"/>
    <col min="9" max="20" width="14.816406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67" t="s">
        <v>47</v>
      </c>
      <c r="C2" s="67"/>
      <c r="D2" s="67"/>
      <c r="E2" s="67"/>
      <c r="F2" s="67"/>
      <c r="G2" s="20"/>
      <c r="H2" s="20"/>
      <c r="I2" s="20"/>
    </row>
    <row r="3" spans="2:25" ht="13">
      <c r="B3" s="68" t="s">
        <v>48</v>
      </c>
      <c r="C3" s="68"/>
      <c r="D3" s="68"/>
      <c r="E3" s="68"/>
      <c r="F3" s="68"/>
      <c r="G3" s="20"/>
      <c r="H3" s="20"/>
      <c r="I3" s="20"/>
    </row>
    <row r="4" spans="2:25" ht="13">
      <c r="B4" s="68" t="s">
        <v>84</v>
      </c>
      <c r="C4" s="68"/>
      <c r="D4" s="68"/>
      <c r="E4" s="68"/>
      <c r="F4" s="68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69" t="s">
        <v>62</v>
      </c>
      <c r="C6" s="70"/>
      <c r="D6" s="70"/>
      <c r="E6" s="70"/>
      <c r="F6" s="71"/>
      <c r="G6" s="20"/>
      <c r="H6" s="22"/>
      <c r="I6" s="22"/>
      <c r="Y6" s="22"/>
    </row>
    <row r="7" spans="2:25" ht="18.75" customHeight="1" thickBot="1">
      <c r="B7" s="72" t="s">
        <v>49</v>
      </c>
      <c r="C7" s="74" t="s">
        <v>58</v>
      </c>
      <c r="D7" s="74"/>
      <c r="E7" s="74"/>
      <c r="F7" s="75"/>
      <c r="G7" s="22"/>
      <c r="H7" s="22"/>
      <c r="I7" s="22"/>
      <c r="Y7" s="22"/>
    </row>
    <row r="8" spans="2:25" ht="26.5" thickBot="1">
      <c r="B8" s="73"/>
      <c r="C8" s="23" t="s">
        <v>50</v>
      </c>
      <c r="D8" s="24" t="s">
        <v>51</v>
      </c>
      <c r="E8" s="25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46388</v>
      </c>
      <c r="C9" s="29">
        <f>+'Cantidades Producto 2'!AD7</f>
        <v>113546920.32852</v>
      </c>
      <c r="D9" s="76" t="s">
        <v>51</v>
      </c>
      <c r="E9" s="40"/>
      <c r="F9" s="64" t="s">
        <v>54</v>
      </c>
      <c r="G9" s="8"/>
    </row>
    <row r="10" spans="2:25" s="27" customFormat="1" ht="18" customHeight="1">
      <c r="B10" s="28">
        <v>46419</v>
      </c>
      <c r="C10" s="29">
        <f>+'Cantidades Producto 2'!AD11</f>
        <v>137813340.79201201</v>
      </c>
      <c r="D10" s="77"/>
      <c r="E10" s="30"/>
      <c r="F10" s="65"/>
      <c r="G10" s="8"/>
    </row>
    <row r="11" spans="2:25" s="27" customFormat="1" ht="18" customHeight="1">
      <c r="B11" s="28">
        <v>46447</v>
      </c>
      <c r="C11" s="29">
        <f>+'Cantidades Producto 2'!AD15</f>
        <v>104893002.45035098</v>
      </c>
      <c r="D11" s="77"/>
      <c r="E11" s="30"/>
      <c r="F11" s="65"/>
      <c r="G11" s="8"/>
    </row>
    <row r="12" spans="2:25" s="27" customFormat="1" ht="18" customHeight="1">
      <c r="B12" s="28">
        <v>46478</v>
      </c>
      <c r="C12" s="29">
        <f>+'Cantidades Producto 2'!AD19</f>
        <v>118947062.49398401</v>
      </c>
      <c r="D12" s="77"/>
      <c r="E12" s="30"/>
      <c r="F12" s="65"/>
      <c r="G12" s="8"/>
    </row>
    <row r="13" spans="2:25" s="27" customFormat="1" ht="18" customHeight="1">
      <c r="B13" s="28">
        <v>46508</v>
      </c>
      <c r="C13" s="29">
        <f>+'Cantidades Producto 2'!AD23</f>
        <v>106819398.230406</v>
      </c>
      <c r="D13" s="77"/>
      <c r="E13" s="30"/>
      <c r="F13" s="65"/>
      <c r="G13" s="8"/>
    </row>
    <row r="14" spans="2:25" s="27" customFormat="1" ht="18" customHeight="1">
      <c r="B14" s="28">
        <v>46539</v>
      </c>
      <c r="C14" s="29">
        <f>+'Cantidades Producto 2'!AD27</f>
        <v>118724088.71239199</v>
      </c>
      <c r="D14" s="77"/>
      <c r="E14" s="30"/>
      <c r="F14" s="65"/>
      <c r="G14" s="8"/>
    </row>
    <row r="15" spans="2:25" s="27" customFormat="1" ht="18" customHeight="1">
      <c r="B15" s="28">
        <v>46569</v>
      </c>
      <c r="C15" s="29">
        <f>+'Cantidades Producto 2'!AD31</f>
        <v>85800296.106933013</v>
      </c>
      <c r="D15" s="77"/>
      <c r="E15" s="30"/>
      <c r="F15" s="65"/>
      <c r="G15" s="8"/>
    </row>
    <row r="16" spans="2:25" s="27" customFormat="1" ht="18" customHeight="1">
      <c r="B16" s="28">
        <v>46600</v>
      </c>
      <c r="C16" s="29">
        <f>+'Cantidades Producto 2'!AD35</f>
        <v>86838018.827789992</v>
      </c>
      <c r="D16" s="77"/>
      <c r="E16" s="30"/>
      <c r="F16" s="65"/>
      <c r="G16" s="8"/>
    </row>
    <row r="17" spans="1:7" s="27" customFormat="1" ht="18" customHeight="1">
      <c r="B17" s="28">
        <v>46631</v>
      </c>
      <c r="C17" s="29">
        <f>+'Cantidades Producto 2'!AD39</f>
        <v>100520520.29368198</v>
      </c>
      <c r="D17" s="77"/>
      <c r="E17" s="30"/>
      <c r="F17" s="65"/>
      <c r="G17" s="8"/>
    </row>
    <row r="18" spans="1:7" s="27" customFormat="1" ht="18" customHeight="1">
      <c r="B18" s="28">
        <v>46661</v>
      </c>
      <c r="C18" s="29">
        <f>+'Cantidades Producto 2'!AD43</f>
        <v>93336949.667748004</v>
      </c>
      <c r="D18" s="77"/>
      <c r="E18" s="30"/>
      <c r="F18" s="65"/>
      <c r="G18" s="8"/>
    </row>
    <row r="19" spans="1:7" s="27" customFormat="1" ht="18" customHeight="1">
      <c r="B19" s="28">
        <v>46692</v>
      </c>
      <c r="C19" s="29">
        <f>+'Cantidades Producto 2'!AD47</f>
        <v>106615721.82886802</v>
      </c>
      <c r="D19" s="77"/>
      <c r="E19" s="30"/>
      <c r="F19" s="65"/>
      <c r="G19" s="8"/>
    </row>
    <row r="20" spans="1:7" s="27" customFormat="1" ht="18" customHeight="1">
      <c r="B20" s="28">
        <v>46722</v>
      </c>
      <c r="C20" s="29">
        <f>+'Cantidades Producto 2'!AD51</f>
        <v>94139432.54059501</v>
      </c>
      <c r="D20" s="77"/>
      <c r="E20" s="30"/>
      <c r="F20" s="65"/>
      <c r="G20" s="8"/>
    </row>
    <row r="21" spans="1:7" s="27" customFormat="1" ht="18" customHeight="1" thickBot="1">
      <c r="B21" s="31" t="s">
        <v>55</v>
      </c>
      <c r="C21" s="50">
        <f>SUM(C9:C20)</f>
        <v>1267994752.2732811</v>
      </c>
      <c r="D21" s="78"/>
      <c r="E21" s="32"/>
      <c r="F21" s="66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5">
        <f>+C21/1000</f>
        <v>1267994.7522732811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78</v>
      </c>
      <c r="B25" s="27"/>
      <c r="C25" s="27"/>
      <c r="D25" s="27"/>
      <c r="E25" s="27"/>
      <c r="F25" s="27"/>
    </row>
    <row r="26" spans="1:7" ht="14.5">
      <c r="A26" s="36" t="s">
        <v>79</v>
      </c>
      <c r="B26" s="27"/>
      <c r="C26" s="27"/>
      <c r="D26" s="27"/>
      <c r="E26" s="27"/>
      <c r="F26" s="27"/>
    </row>
    <row r="27" spans="1:7" ht="14.5">
      <c r="A27" s="36" t="s">
        <v>77</v>
      </c>
      <c r="B27" s="27"/>
      <c r="C27" s="27"/>
      <c r="D27" s="27"/>
      <c r="E27" s="27"/>
      <c r="F27" s="27"/>
    </row>
    <row r="28" spans="1:7" ht="14.5">
      <c r="A28" s="36" t="s">
        <v>71</v>
      </c>
      <c r="B28" s="27"/>
      <c r="C28" s="27"/>
      <c r="D28" s="27"/>
      <c r="E28" s="27"/>
      <c r="F28" s="27"/>
    </row>
    <row r="29" spans="1:7" ht="14.5">
      <c r="A29" s="36" t="s">
        <v>73</v>
      </c>
      <c r="C29" s="37"/>
    </row>
    <row r="31" spans="1:7">
      <c r="C31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145D-97BE-414C-88E3-AD6C05BAF144}">
  <sheetPr codeName="Hoja11"/>
  <dimension ref="A1:Y31"/>
  <sheetViews>
    <sheetView showGridLines="0" topLeftCell="A16" zoomScale="91" zoomScaleNormal="91" workbookViewId="0">
      <selection activeCell="C23" sqref="C23"/>
    </sheetView>
  </sheetViews>
  <sheetFormatPr baseColWidth="10" defaultColWidth="11.453125" defaultRowHeight="12.5"/>
  <cols>
    <col min="1" max="1" width="11.453125" style="19"/>
    <col min="2" max="2" width="13.81640625" style="19" customWidth="1"/>
    <col min="3" max="3" width="20.453125" style="19" customWidth="1"/>
    <col min="4" max="4" width="15.453125" style="19" bestFit="1" customWidth="1"/>
    <col min="5" max="5" width="14.81640625" style="19" customWidth="1"/>
    <col min="6" max="6" width="12.453125" style="19" customWidth="1"/>
    <col min="7" max="7" width="16.81640625" style="19" bestFit="1" customWidth="1"/>
    <col min="8" max="8" width="12.453125" style="19" customWidth="1"/>
    <col min="9" max="20" width="14.816406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67" t="s">
        <v>47</v>
      </c>
      <c r="C2" s="67"/>
      <c r="D2" s="67"/>
      <c r="E2" s="67"/>
      <c r="F2" s="67"/>
      <c r="G2" s="20"/>
      <c r="H2" s="20"/>
      <c r="I2" s="20"/>
    </row>
    <row r="3" spans="2:25" ht="13">
      <c r="B3" s="68" t="s">
        <v>48</v>
      </c>
      <c r="C3" s="68"/>
      <c r="D3" s="68"/>
      <c r="E3" s="68"/>
      <c r="F3" s="68"/>
      <c r="G3" s="20"/>
      <c r="H3" s="20"/>
      <c r="I3" s="20"/>
    </row>
    <row r="4" spans="2:25" ht="13">
      <c r="B4" s="68" t="s">
        <v>84</v>
      </c>
      <c r="C4" s="68"/>
      <c r="D4" s="68"/>
      <c r="E4" s="68"/>
      <c r="F4" s="68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69" t="s">
        <v>63</v>
      </c>
      <c r="C6" s="70"/>
      <c r="D6" s="70"/>
      <c r="E6" s="70"/>
      <c r="F6" s="71"/>
      <c r="G6" s="20"/>
      <c r="H6" s="22"/>
      <c r="I6" s="22"/>
      <c r="Y6" s="22"/>
    </row>
    <row r="7" spans="2:25" ht="18.75" customHeight="1" thickBot="1">
      <c r="B7" s="72" t="s">
        <v>49</v>
      </c>
      <c r="C7" s="74" t="s">
        <v>59</v>
      </c>
      <c r="D7" s="74"/>
      <c r="E7" s="74"/>
      <c r="F7" s="75"/>
      <c r="G7" s="22"/>
      <c r="H7" s="22"/>
      <c r="I7" s="22"/>
      <c r="Y7" s="22"/>
    </row>
    <row r="8" spans="2:25" ht="26.5" thickBot="1">
      <c r="B8" s="73"/>
      <c r="C8" s="23" t="s">
        <v>50</v>
      </c>
      <c r="D8" s="24" t="s">
        <v>51</v>
      </c>
      <c r="E8" s="25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46753</v>
      </c>
      <c r="C9" s="29">
        <f>+'Cantidades Producto 3'!AD7</f>
        <v>135256054.85098001</v>
      </c>
      <c r="D9" s="76" t="s">
        <v>51</v>
      </c>
      <c r="E9" s="40"/>
      <c r="F9" s="64" t="s">
        <v>54</v>
      </c>
      <c r="G9" s="8"/>
    </row>
    <row r="10" spans="2:25" s="27" customFormat="1" ht="18" customHeight="1">
      <c r="B10" s="28">
        <v>46784</v>
      </c>
      <c r="C10" s="29">
        <f>+'Cantidades Producto 3'!AD11</f>
        <v>148996734.81391996</v>
      </c>
      <c r="D10" s="77"/>
      <c r="E10" s="30"/>
      <c r="F10" s="65"/>
      <c r="G10" s="8"/>
    </row>
    <row r="11" spans="2:25" s="27" customFormat="1" ht="18" customHeight="1">
      <c r="B11" s="28">
        <v>46813</v>
      </c>
      <c r="C11" s="29">
        <f>+'Cantidades Producto 3'!AD15</f>
        <v>132778332.24093197</v>
      </c>
      <c r="D11" s="77"/>
      <c r="E11" s="30"/>
      <c r="F11" s="65"/>
      <c r="G11" s="8"/>
    </row>
    <row r="12" spans="2:25" s="27" customFormat="1" ht="18" customHeight="1">
      <c r="B12" s="28">
        <v>46844</v>
      </c>
      <c r="C12" s="29">
        <f>+'Cantidades Producto 3'!AD19</f>
        <v>138334782.37012002</v>
      </c>
      <c r="D12" s="77"/>
      <c r="E12" s="30"/>
      <c r="F12" s="65"/>
      <c r="G12" s="8"/>
    </row>
    <row r="13" spans="2:25" s="27" customFormat="1" ht="18" customHeight="1">
      <c r="B13" s="28">
        <v>46874</v>
      </c>
      <c r="C13" s="29">
        <f>+'Cantidades Producto 3'!AD23</f>
        <v>131176647.14683202</v>
      </c>
      <c r="D13" s="77"/>
      <c r="E13" s="30"/>
      <c r="F13" s="65"/>
      <c r="G13" s="8"/>
    </row>
    <row r="14" spans="2:25" s="27" customFormat="1" ht="18" customHeight="1">
      <c r="B14" s="28">
        <v>46905</v>
      </c>
      <c r="C14" s="29">
        <f>+'Cantidades Producto 3'!AD27</f>
        <v>139475655.48845601</v>
      </c>
      <c r="D14" s="77"/>
      <c r="E14" s="30"/>
      <c r="F14" s="65"/>
      <c r="G14" s="8"/>
    </row>
    <row r="15" spans="2:25" s="27" customFormat="1" ht="18" customHeight="1">
      <c r="B15" s="28">
        <v>46935</v>
      </c>
      <c r="C15" s="29">
        <f>+'Cantidades Producto 3'!AD31</f>
        <v>127479809.16846001</v>
      </c>
      <c r="D15" s="77"/>
      <c r="E15" s="30"/>
      <c r="F15" s="65"/>
      <c r="G15" s="8"/>
    </row>
    <row r="16" spans="2:25" s="27" customFormat="1" ht="18" customHeight="1">
      <c r="B16" s="28">
        <v>46966</v>
      </c>
      <c r="C16" s="29">
        <f>+'Cantidades Producto 3'!AD35</f>
        <v>131471706.40158798</v>
      </c>
      <c r="D16" s="77"/>
      <c r="E16" s="30"/>
      <c r="F16" s="65"/>
      <c r="G16" s="8"/>
    </row>
    <row r="17" spans="1:7" s="27" customFormat="1" ht="18" customHeight="1">
      <c r="B17" s="28">
        <v>46997</v>
      </c>
      <c r="C17" s="29">
        <f>+'Cantidades Producto 3'!AD39</f>
        <v>139735443.61789605</v>
      </c>
      <c r="D17" s="77"/>
      <c r="E17" s="30"/>
      <c r="F17" s="65"/>
      <c r="G17" s="8"/>
    </row>
    <row r="18" spans="1:7" s="27" customFormat="1" ht="18" customHeight="1">
      <c r="B18" s="28">
        <v>47027</v>
      </c>
      <c r="C18" s="29">
        <f>+'Cantidades Producto 3'!AD43</f>
        <v>133636429.23066801</v>
      </c>
      <c r="D18" s="77"/>
      <c r="E18" s="30"/>
      <c r="F18" s="65"/>
      <c r="G18" s="8"/>
    </row>
    <row r="19" spans="1:7" s="27" customFormat="1" ht="18" customHeight="1">
      <c r="B19" s="28">
        <v>47058</v>
      </c>
      <c r="C19" s="29">
        <f>+'Cantidades Producto 3'!AD47</f>
        <v>144607401.43847203</v>
      </c>
      <c r="D19" s="77"/>
      <c r="E19" s="30"/>
      <c r="F19" s="65"/>
      <c r="G19" s="8"/>
    </row>
    <row r="20" spans="1:7" s="27" customFormat="1" ht="18" customHeight="1">
      <c r="B20" s="28">
        <v>47088</v>
      </c>
      <c r="C20" s="29">
        <f>+'Cantidades Producto 3'!AD51</f>
        <v>137552102.60632402</v>
      </c>
      <c r="D20" s="77"/>
      <c r="E20" s="30"/>
      <c r="F20" s="65"/>
      <c r="G20" s="8"/>
    </row>
    <row r="21" spans="1:7" s="27" customFormat="1" ht="18" customHeight="1" thickBot="1">
      <c r="B21" s="31" t="s">
        <v>55</v>
      </c>
      <c r="C21" s="50">
        <f>SUM(C9:C20)</f>
        <v>1640501099.3746481</v>
      </c>
      <c r="D21" s="78"/>
      <c r="E21" s="32"/>
      <c r="F21" s="66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5">
        <f>+C21/1000</f>
        <v>1640501.0993746482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81</v>
      </c>
      <c r="B25" s="27"/>
      <c r="C25" s="27"/>
      <c r="D25" s="27"/>
      <c r="E25" s="27"/>
      <c r="F25" s="27"/>
    </row>
    <row r="26" spans="1:7" ht="14.5">
      <c r="A26" s="36" t="s">
        <v>79</v>
      </c>
      <c r="B26" s="27"/>
      <c r="C26" s="27"/>
      <c r="D26" s="27"/>
      <c r="E26" s="27"/>
      <c r="F26" s="27"/>
    </row>
    <row r="27" spans="1:7" ht="14.5">
      <c r="A27" s="36" t="s">
        <v>77</v>
      </c>
      <c r="B27" s="27"/>
      <c r="C27" s="27"/>
      <c r="D27" s="27"/>
      <c r="E27" s="27"/>
      <c r="F27" s="27"/>
    </row>
    <row r="28" spans="1:7" ht="14.5">
      <c r="A28" s="36" t="s">
        <v>71</v>
      </c>
      <c r="B28" s="27"/>
      <c r="C28" s="27"/>
      <c r="D28" s="27"/>
      <c r="E28" s="27"/>
      <c r="F28" s="27"/>
    </row>
    <row r="29" spans="1:7" ht="14.5">
      <c r="A29" s="36" t="s">
        <v>72</v>
      </c>
      <c r="C29" s="37"/>
    </row>
    <row r="31" spans="1:7">
      <c r="C31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ADC6-57AF-448D-8F62-AAA7AF0E5263}">
  <dimension ref="A1:Y31"/>
  <sheetViews>
    <sheetView showGridLines="0" topLeftCell="A14" zoomScale="91" zoomScaleNormal="91" workbookViewId="0">
      <selection activeCell="C23" sqref="C23"/>
    </sheetView>
  </sheetViews>
  <sheetFormatPr baseColWidth="10" defaultColWidth="11.453125" defaultRowHeight="12.5"/>
  <cols>
    <col min="1" max="1" width="11.453125" style="19"/>
    <col min="2" max="2" width="13.81640625" style="19" customWidth="1"/>
    <col min="3" max="3" width="20.453125" style="19" customWidth="1"/>
    <col min="4" max="4" width="15.453125" style="19" bestFit="1" customWidth="1"/>
    <col min="5" max="5" width="14.81640625" style="19" customWidth="1"/>
    <col min="6" max="6" width="12.453125" style="19" customWidth="1"/>
    <col min="7" max="7" width="16.81640625" style="19" bestFit="1" customWidth="1"/>
    <col min="8" max="8" width="18.54296875" style="19" bestFit="1" customWidth="1"/>
    <col min="9" max="20" width="14.816406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67" t="s">
        <v>47</v>
      </c>
      <c r="C2" s="67"/>
      <c r="D2" s="67"/>
      <c r="E2" s="67"/>
      <c r="F2" s="67"/>
      <c r="G2" s="20"/>
      <c r="H2" s="20"/>
      <c r="I2" s="20"/>
    </row>
    <row r="3" spans="2:25" ht="13">
      <c r="B3" s="68" t="s">
        <v>48</v>
      </c>
      <c r="C3" s="68"/>
      <c r="D3" s="68"/>
      <c r="E3" s="68"/>
      <c r="F3" s="68"/>
      <c r="G3" s="20"/>
      <c r="H3" s="20"/>
      <c r="I3" s="20"/>
    </row>
    <row r="4" spans="2:25" ht="13">
      <c r="B4" s="68" t="s">
        <v>84</v>
      </c>
      <c r="C4" s="68"/>
      <c r="D4" s="68"/>
      <c r="E4" s="68"/>
      <c r="F4" s="68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69" t="s">
        <v>65</v>
      </c>
      <c r="C6" s="70"/>
      <c r="D6" s="70"/>
      <c r="E6" s="70"/>
      <c r="F6" s="71"/>
      <c r="G6" s="20"/>
      <c r="H6" s="22"/>
      <c r="I6" s="22"/>
      <c r="Y6" s="22"/>
    </row>
    <row r="7" spans="2:25" ht="18.75" customHeight="1" thickBot="1">
      <c r="B7" s="72" t="s">
        <v>49</v>
      </c>
      <c r="C7" s="74" t="s">
        <v>67</v>
      </c>
      <c r="D7" s="74"/>
      <c r="E7" s="74"/>
      <c r="F7" s="75"/>
      <c r="G7" s="22"/>
      <c r="H7" s="22"/>
      <c r="I7" s="22"/>
      <c r="Y7" s="22"/>
    </row>
    <row r="8" spans="2:25" ht="26.5" thickBot="1">
      <c r="B8" s="79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47119</v>
      </c>
      <c r="C9" s="45">
        <f>+'Cantidades Producto 4'!AD7</f>
        <v>143093768.13119701</v>
      </c>
      <c r="D9" s="76" t="s">
        <v>51</v>
      </c>
      <c r="E9" s="42"/>
      <c r="F9" s="64" t="s">
        <v>54</v>
      </c>
      <c r="G9" s="8"/>
    </row>
    <row r="10" spans="2:25" s="27" customFormat="1" ht="18" customHeight="1">
      <c r="B10" s="28">
        <v>47150</v>
      </c>
      <c r="C10" s="45">
        <f>+'Cantidades Producto 4'!AD11</f>
        <v>155121401.467188</v>
      </c>
      <c r="D10" s="77"/>
      <c r="E10" s="43"/>
      <c r="F10" s="65"/>
      <c r="G10" s="8"/>
    </row>
    <row r="11" spans="2:25" s="27" customFormat="1" ht="18" customHeight="1">
      <c r="B11" s="28">
        <v>47178</v>
      </c>
      <c r="C11" s="45">
        <f>+'Cantidades Producto 4'!AD15</f>
        <v>143151749.090532</v>
      </c>
      <c r="D11" s="77"/>
      <c r="E11" s="43"/>
      <c r="F11" s="65"/>
      <c r="G11" s="8"/>
    </row>
    <row r="12" spans="2:25" s="27" customFormat="1" ht="18" customHeight="1">
      <c r="B12" s="28">
        <v>47209</v>
      </c>
      <c r="C12" s="46">
        <f>+'Cantidades Producto 4'!AD19</f>
        <v>146075740.53883201</v>
      </c>
      <c r="D12" s="77"/>
      <c r="E12" s="43"/>
      <c r="F12" s="65"/>
      <c r="G12" s="8"/>
    </row>
    <row r="13" spans="2:25" s="27" customFormat="1" ht="18" customHeight="1">
      <c r="B13" s="28">
        <v>47239</v>
      </c>
      <c r="C13" s="45">
        <f>+'Cantidades Producto 4'!AD23</f>
        <v>141732458.83017001</v>
      </c>
      <c r="D13" s="77"/>
      <c r="E13" s="43"/>
      <c r="F13" s="65"/>
      <c r="G13" s="8"/>
    </row>
    <row r="14" spans="2:25" s="27" customFormat="1" ht="18" customHeight="1">
      <c r="B14" s="28">
        <v>47270</v>
      </c>
      <c r="C14" s="45">
        <f>+'Cantidades Producto 4'!AD27</f>
        <v>148059218.39085001</v>
      </c>
      <c r="D14" s="77"/>
      <c r="E14" s="43"/>
      <c r="F14" s="65"/>
      <c r="G14" s="8"/>
    </row>
    <row r="15" spans="2:25" s="27" customFormat="1" ht="18" customHeight="1">
      <c r="B15" s="28">
        <v>47300</v>
      </c>
      <c r="C15" s="45">
        <f>+'Cantidades Producto 4'!AD31</f>
        <v>143374559.89802396</v>
      </c>
      <c r="D15" s="77"/>
      <c r="E15" s="43"/>
      <c r="F15" s="65"/>
      <c r="G15" s="8"/>
      <c r="H15" s="48"/>
    </row>
    <row r="16" spans="2:25" s="27" customFormat="1" ht="18" customHeight="1">
      <c r="B16" s="28">
        <v>47331</v>
      </c>
      <c r="C16" s="45">
        <f>+'Cantidades Producto 4'!AD35</f>
        <v>145487696.84549099</v>
      </c>
      <c r="D16" s="77"/>
      <c r="E16" s="43"/>
      <c r="F16" s="65"/>
      <c r="G16" s="8"/>
      <c r="H16" s="18"/>
    </row>
    <row r="17" spans="1:7" s="27" customFormat="1" ht="18" customHeight="1">
      <c r="B17" s="28">
        <v>47362</v>
      </c>
      <c r="C17" s="45">
        <f>+'Cantidades Producto 4'!AD39</f>
        <v>151201148.95021498</v>
      </c>
      <c r="D17" s="77"/>
      <c r="E17" s="43"/>
      <c r="F17" s="65"/>
      <c r="G17" s="8"/>
    </row>
    <row r="18" spans="1:7" s="27" customFormat="1" ht="18" customHeight="1">
      <c r="B18" s="28">
        <v>47392</v>
      </c>
      <c r="C18" s="45">
        <f>+'Cantidades Producto 4'!AD43</f>
        <v>146694102.20185503</v>
      </c>
      <c r="D18" s="77"/>
      <c r="E18" s="43"/>
      <c r="F18" s="65"/>
      <c r="G18" s="8"/>
    </row>
    <row r="19" spans="1:7" s="27" customFormat="1" ht="18" customHeight="1">
      <c r="B19" s="28">
        <v>47423</v>
      </c>
      <c r="C19" s="45">
        <f>+'Cantidades Producto 4'!AD47</f>
        <v>151915111.21893603</v>
      </c>
      <c r="D19" s="77"/>
      <c r="E19" s="43"/>
      <c r="F19" s="65"/>
      <c r="G19" s="8"/>
    </row>
    <row r="20" spans="1:7" s="27" customFormat="1" ht="18" customHeight="1">
      <c r="B20" s="28">
        <v>47453</v>
      </c>
      <c r="C20" s="45">
        <f>+'Cantidades Producto 4'!AD51</f>
        <v>146464743.34896302</v>
      </c>
      <c r="D20" s="77"/>
      <c r="E20" s="43"/>
      <c r="F20" s="65"/>
      <c r="G20" s="8"/>
    </row>
    <row r="21" spans="1:7" s="27" customFormat="1" ht="18" customHeight="1" thickBot="1">
      <c r="B21" s="31" t="s">
        <v>55</v>
      </c>
      <c r="C21" s="49">
        <f>SUM(C9:C20)</f>
        <v>1762371698.9122529</v>
      </c>
      <c r="D21" s="78"/>
      <c r="E21" s="44"/>
      <c r="F21" s="66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5">
        <f>+C21/1000</f>
        <v>1762371.6989122529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80</v>
      </c>
      <c r="B25" s="27"/>
      <c r="C25" s="27"/>
      <c r="D25" s="27"/>
      <c r="E25" s="27"/>
      <c r="F25" s="27"/>
    </row>
    <row r="26" spans="1:7" ht="14.5">
      <c r="A26" s="36" t="s">
        <v>76</v>
      </c>
      <c r="B26" s="27"/>
      <c r="C26" s="27"/>
      <c r="D26" s="27"/>
      <c r="E26" s="27"/>
      <c r="F26" s="27"/>
    </row>
    <row r="27" spans="1:7" ht="14.5">
      <c r="A27" s="36" t="s">
        <v>74</v>
      </c>
      <c r="B27" s="27"/>
      <c r="C27" s="27"/>
      <c r="D27" s="27"/>
      <c r="E27" s="27"/>
      <c r="F27" s="27"/>
    </row>
    <row r="28" spans="1:7" ht="14.5">
      <c r="A28" s="36" t="s">
        <v>82</v>
      </c>
      <c r="B28" s="27"/>
      <c r="C28" s="27"/>
      <c r="D28" s="27"/>
      <c r="E28" s="27"/>
      <c r="F28" s="27"/>
    </row>
    <row r="29" spans="1:7" ht="14.5">
      <c r="A29" s="36"/>
      <c r="C29" s="37"/>
    </row>
    <row r="31" spans="1:7">
      <c r="C31" s="38"/>
    </row>
  </sheetData>
  <mergeCells count="8">
    <mergeCell ref="F9:F21"/>
    <mergeCell ref="B2:F2"/>
    <mergeCell ref="B3:F3"/>
    <mergeCell ref="B4:F4"/>
    <mergeCell ref="B6:F6"/>
    <mergeCell ref="B7:B8"/>
    <mergeCell ref="C7:F7"/>
    <mergeCell ref="D9:D21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9DD6-90C1-45E7-8D8C-D18A7F715AFB}">
  <dimension ref="A1:Y31"/>
  <sheetViews>
    <sheetView showGridLines="0" topLeftCell="A10" zoomScale="91" zoomScaleNormal="91" workbookViewId="0">
      <selection activeCell="C23" sqref="C23"/>
    </sheetView>
  </sheetViews>
  <sheetFormatPr baseColWidth="10" defaultColWidth="11.453125" defaultRowHeight="12.5"/>
  <cols>
    <col min="1" max="1" width="11.453125" style="19"/>
    <col min="2" max="2" width="13.81640625" style="19" customWidth="1"/>
    <col min="3" max="3" width="20.453125" style="19" customWidth="1"/>
    <col min="4" max="4" width="15.453125" style="19" bestFit="1" customWidth="1"/>
    <col min="5" max="5" width="14.81640625" style="19" customWidth="1"/>
    <col min="6" max="6" width="12.453125" style="19" customWidth="1"/>
    <col min="7" max="7" width="16.81640625" style="19" bestFit="1" customWidth="1"/>
    <col min="8" max="8" width="18.54296875" style="19" bestFit="1" customWidth="1"/>
    <col min="9" max="20" width="14.8164062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67" t="s">
        <v>47</v>
      </c>
      <c r="C2" s="67"/>
      <c r="D2" s="67"/>
      <c r="E2" s="67"/>
      <c r="F2" s="67"/>
      <c r="G2" s="20"/>
      <c r="H2" s="20"/>
      <c r="I2" s="20"/>
    </row>
    <row r="3" spans="2:25" ht="13">
      <c r="B3" s="68" t="s">
        <v>48</v>
      </c>
      <c r="C3" s="68"/>
      <c r="D3" s="68"/>
      <c r="E3" s="68"/>
      <c r="F3" s="68"/>
      <c r="G3" s="20"/>
      <c r="H3" s="20"/>
      <c r="I3" s="20"/>
    </row>
    <row r="4" spans="2:25" ht="13">
      <c r="B4" s="68" t="s">
        <v>84</v>
      </c>
      <c r="C4" s="68"/>
      <c r="D4" s="68"/>
      <c r="E4" s="68"/>
      <c r="F4" s="68"/>
      <c r="G4" s="20"/>
      <c r="H4" s="20"/>
      <c r="I4" s="20"/>
    </row>
    <row r="5" spans="2:25" ht="13.5" thickBot="1">
      <c r="B5" s="51"/>
      <c r="C5" s="51"/>
      <c r="D5" s="51"/>
      <c r="E5" s="51"/>
      <c r="F5" s="51"/>
      <c r="G5" s="20"/>
      <c r="H5" s="22"/>
      <c r="I5" s="22"/>
      <c r="Y5" s="22"/>
    </row>
    <row r="6" spans="2:25" ht="18" customHeight="1" thickBot="1">
      <c r="B6" s="69" t="s">
        <v>70</v>
      </c>
      <c r="C6" s="70"/>
      <c r="D6" s="70"/>
      <c r="E6" s="70"/>
      <c r="F6" s="71"/>
      <c r="G6" s="20"/>
      <c r="H6" s="22"/>
      <c r="I6" s="22"/>
      <c r="Y6" s="22"/>
    </row>
    <row r="7" spans="2:25" ht="18.75" customHeight="1" thickBot="1">
      <c r="B7" s="72" t="s">
        <v>49</v>
      </c>
      <c r="C7" s="74" t="s">
        <v>68</v>
      </c>
      <c r="D7" s="74"/>
      <c r="E7" s="74"/>
      <c r="F7" s="75"/>
      <c r="G7" s="22"/>
      <c r="H7" s="22"/>
      <c r="I7" s="22"/>
      <c r="Y7" s="22"/>
    </row>
    <row r="8" spans="2:25" ht="26.5" thickBot="1">
      <c r="B8" s="79"/>
      <c r="C8" s="47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9">
        <v>47484</v>
      </c>
      <c r="C9" s="45">
        <f>+'Cantidades Producto 5'!AD7</f>
        <v>189508124.56153497</v>
      </c>
      <c r="D9" s="76" t="s">
        <v>51</v>
      </c>
      <c r="E9" s="42"/>
      <c r="F9" s="64" t="s">
        <v>54</v>
      </c>
      <c r="G9" s="8"/>
    </row>
    <row r="10" spans="2:25" s="27" customFormat="1" ht="18" customHeight="1">
      <c r="B10" s="28">
        <v>47515</v>
      </c>
      <c r="C10" s="45">
        <f>+'Cantidades Producto 5'!AD11</f>
        <v>196811466.88733995</v>
      </c>
      <c r="D10" s="77"/>
      <c r="E10" s="43"/>
      <c r="F10" s="65"/>
      <c r="G10" s="8"/>
    </row>
    <row r="11" spans="2:25" s="27" customFormat="1" ht="18" customHeight="1">
      <c r="B11" s="28">
        <v>47543</v>
      </c>
      <c r="C11" s="45">
        <f>+'Cantidades Producto 5'!AD15</f>
        <v>190662763.12055993</v>
      </c>
      <c r="D11" s="77"/>
      <c r="E11" s="43"/>
      <c r="F11" s="65"/>
      <c r="G11" s="8"/>
    </row>
    <row r="12" spans="2:25" s="27" customFormat="1" ht="18" customHeight="1">
      <c r="B12" s="28">
        <v>47574</v>
      </c>
      <c r="C12" s="46">
        <f>+'Cantidades Producto 5'!AD19</f>
        <v>191948395.49288997</v>
      </c>
      <c r="D12" s="77"/>
      <c r="E12" s="43"/>
      <c r="F12" s="65"/>
      <c r="G12" s="8"/>
    </row>
    <row r="13" spans="2:25" s="27" customFormat="1" ht="18" customHeight="1">
      <c r="B13" s="28">
        <v>47604</v>
      </c>
      <c r="C13" s="45">
        <f>+'Cantidades Producto 5'!AD23</f>
        <v>179863416.34478998</v>
      </c>
      <c r="D13" s="77"/>
      <c r="E13" s="43"/>
      <c r="F13" s="65"/>
      <c r="G13" s="8"/>
    </row>
    <row r="14" spans="2:25" s="27" customFormat="1" ht="18" customHeight="1">
      <c r="B14" s="28">
        <v>47635</v>
      </c>
      <c r="C14" s="45">
        <f>+'Cantidades Producto 5'!AD27</f>
        <v>184427916.68483999</v>
      </c>
      <c r="D14" s="77"/>
      <c r="E14" s="43"/>
      <c r="F14" s="65"/>
      <c r="G14" s="8"/>
    </row>
    <row r="15" spans="2:25" s="27" customFormat="1" ht="18" customHeight="1">
      <c r="B15" s="28">
        <v>47665</v>
      </c>
      <c r="C15" s="45">
        <f>+'Cantidades Producto 5'!AD31</f>
        <v>186333975.98081997</v>
      </c>
      <c r="D15" s="77"/>
      <c r="E15" s="43"/>
      <c r="F15" s="65"/>
      <c r="G15" s="8"/>
      <c r="H15" s="48"/>
    </row>
    <row r="16" spans="2:25" s="27" customFormat="1" ht="18" customHeight="1">
      <c r="B16" s="28">
        <v>47696</v>
      </c>
      <c r="C16" s="45">
        <f>+'Cantidades Producto 5'!AD35</f>
        <v>188060012.93582997</v>
      </c>
      <c r="D16" s="77"/>
      <c r="E16" s="43"/>
      <c r="F16" s="65"/>
      <c r="G16" s="8"/>
      <c r="H16" s="18"/>
    </row>
    <row r="17" spans="1:7" s="27" customFormat="1" ht="18" customHeight="1">
      <c r="B17" s="28">
        <v>47727</v>
      </c>
      <c r="C17" s="45">
        <f>+'Cantidades Producto 5'!AD39</f>
        <v>183142265.45786998</v>
      </c>
      <c r="D17" s="77"/>
      <c r="E17" s="43"/>
      <c r="F17" s="65"/>
      <c r="G17" s="8"/>
    </row>
    <row r="18" spans="1:7" s="27" customFormat="1" ht="18" customHeight="1">
      <c r="B18" s="28">
        <v>47757</v>
      </c>
      <c r="C18" s="45">
        <f>+'Cantidades Producto 5'!AD43</f>
        <v>179957651.54188496</v>
      </c>
      <c r="D18" s="77"/>
      <c r="E18" s="43"/>
      <c r="F18" s="65"/>
      <c r="G18" s="8"/>
    </row>
    <row r="19" spans="1:7" s="27" customFormat="1" ht="18" customHeight="1">
      <c r="B19" s="28">
        <v>47788</v>
      </c>
      <c r="C19" s="45">
        <f>+'Cantidades Producto 5'!AD47</f>
        <v>183596473.84508994</v>
      </c>
      <c r="D19" s="77"/>
      <c r="E19" s="43"/>
      <c r="F19" s="65"/>
      <c r="G19" s="8"/>
    </row>
    <row r="20" spans="1:7" s="27" customFormat="1" ht="18" customHeight="1">
      <c r="B20" s="28">
        <v>47818</v>
      </c>
      <c r="C20" s="45">
        <f>+'Cantidades Producto 5'!AD51</f>
        <v>193803348.28099495</v>
      </c>
      <c r="D20" s="77"/>
      <c r="E20" s="43"/>
      <c r="F20" s="65"/>
      <c r="G20" s="8"/>
    </row>
    <row r="21" spans="1:7" s="27" customFormat="1" ht="18" customHeight="1" thickBot="1">
      <c r="B21" s="31" t="s">
        <v>55</v>
      </c>
      <c r="C21" s="49">
        <f>SUM(C9:C20)</f>
        <v>2248115811.1344447</v>
      </c>
      <c r="D21" s="78"/>
      <c r="E21" s="44"/>
      <c r="F21" s="66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55">
        <f>+C21/1000</f>
        <v>2248115.8111344445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83</v>
      </c>
      <c r="B25" s="27"/>
      <c r="C25" s="27"/>
      <c r="D25" s="27"/>
      <c r="E25" s="27"/>
      <c r="F25" s="27"/>
    </row>
    <row r="26" spans="1:7" ht="14.5">
      <c r="A26" s="36" t="s">
        <v>76</v>
      </c>
      <c r="B26" s="27"/>
      <c r="C26" s="27"/>
      <c r="D26" s="27"/>
      <c r="E26" s="27"/>
      <c r="F26" s="27"/>
    </row>
    <row r="27" spans="1:7" ht="14.5">
      <c r="A27" s="36" t="s">
        <v>74</v>
      </c>
      <c r="B27" s="27"/>
      <c r="C27" s="27"/>
      <c r="D27" s="27"/>
      <c r="E27" s="27"/>
      <c r="F27" s="27"/>
    </row>
    <row r="28" spans="1:7" ht="14.5">
      <c r="A28" s="36" t="s">
        <v>82</v>
      </c>
      <c r="B28" s="27"/>
      <c r="C28" s="27"/>
      <c r="D28" s="27"/>
      <c r="E28" s="27"/>
      <c r="F28" s="27"/>
    </row>
    <row r="29" spans="1:7" ht="14.5">
      <c r="A29" s="36"/>
      <c r="C29" s="37"/>
    </row>
    <row r="31" spans="1:7">
      <c r="C31" s="38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A101-19D7-4454-8824-90C5A134004E}">
  <sheetPr codeName="Hoja13"/>
  <dimension ref="C1:AD56"/>
  <sheetViews>
    <sheetView showGridLines="0" topLeftCell="A5" zoomScale="57" zoomScaleNormal="57" workbookViewId="0">
      <selection activeCell="T33" sqref="T33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81640625" style="1" customWidth="1"/>
    <col min="5" max="5" width="9.1796875" style="1" customWidth="1"/>
    <col min="6" max="7" width="10.81640625" style="1" bestFit="1" customWidth="1"/>
    <col min="8" max="8" width="10.54296875" style="1" bestFit="1" customWidth="1"/>
    <col min="9" max="12" width="10.81640625" style="1" bestFit="1" customWidth="1"/>
    <col min="13" max="28" width="11.1796875" style="1" bestFit="1" customWidth="1"/>
    <col min="29" max="29" width="10.81640625" style="1" bestFit="1" customWidth="1"/>
    <col min="30" max="30" width="19.54296875" style="1" bestFit="1" customWidth="1"/>
    <col min="31" max="258" width="11.453125" style="1"/>
    <col min="259" max="259" width="7" style="1" customWidth="1"/>
    <col min="260" max="260" width="10.81640625" style="1" customWidth="1"/>
    <col min="261" max="261" width="9.1796875" style="1" customWidth="1"/>
    <col min="262" max="285" width="7.1796875" style="1" customWidth="1"/>
    <col min="286" max="286" width="14.1796875" style="1" bestFit="1" customWidth="1"/>
    <col min="287" max="514" width="11.453125" style="1"/>
    <col min="515" max="515" width="7" style="1" customWidth="1"/>
    <col min="516" max="516" width="10.81640625" style="1" customWidth="1"/>
    <col min="517" max="517" width="9.1796875" style="1" customWidth="1"/>
    <col min="518" max="541" width="7.1796875" style="1" customWidth="1"/>
    <col min="542" max="542" width="14.1796875" style="1" bestFit="1" customWidth="1"/>
    <col min="543" max="770" width="11.453125" style="1"/>
    <col min="771" max="771" width="7" style="1" customWidth="1"/>
    <col min="772" max="772" width="10.81640625" style="1" customWidth="1"/>
    <col min="773" max="773" width="9.1796875" style="1" customWidth="1"/>
    <col min="774" max="797" width="7.1796875" style="1" customWidth="1"/>
    <col min="798" max="798" width="14.1796875" style="1" bestFit="1" customWidth="1"/>
    <col min="799" max="1026" width="11.453125" style="1"/>
    <col min="1027" max="1027" width="7" style="1" customWidth="1"/>
    <col min="1028" max="1028" width="10.81640625" style="1" customWidth="1"/>
    <col min="1029" max="1029" width="9.1796875" style="1" customWidth="1"/>
    <col min="1030" max="1053" width="7.1796875" style="1" customWidth="1"/>
    <col min="1054" max="1054" width="14.1796875" style="1" bestFit="1" customWidth="1"/>
    <col min="1055" max="1282" width="11.453125" style="1"/>
    <col min="1283" max="1283" width="7" style="1" customWidth="1"/>
    <col min="1284" max="1284" width="10.81640625" style="1" customWidth="1"/>
    <col min="1285" max="1285" width="9.1796875" style="1" customWidth="1"/>
    <col min="1286" max="1309" width="7.1796875" style="1" customWidth="1"/>
    <col min="1310" max="1310" width="14.1796875" style="1" bestFit="1" customWidth="1"/>
    <col min="1311" max="1538" width="11.453125" style="1"/>
    <col min="1539" max="1539" width="7" style="1" customWidth="1"/>
    <col min="1540" max="1540" width="10.81640625" style="1" customWidth="1"/>
    <col min="1541" max="1541" width="9.1796875" style="1" customWidth="1"/>
    <col min="1542" max="1565" width="7.1796875" style="1" customWidth="1"/>
    <col min="1566" max="1566" width="14.1796875" style="1" bestFit="1" customWidth="1"/>
    <col min="1567" max="1794" width="11.453125" style="1"/>
    <col min="1795" max="1795" width="7" style="1" customWidth="1"/>
    <col min="1796" max="1796" width="10.81640625" style="1" customWidth="1"/>
    <col min="1797" max="1797" width="9.1796875" style="1" customWidth="1"/>
    <col min="1798" max="1821" width="7.1796875" style="1" customWidth="1"/>
    <col min="1822" max="1822" width="14.1796875" style="1" bestFit="1" customWidth="1"/>
    <col min="1823" max="2050" width="11.453125" style="1"/>
    <col min="2051" max="2051" width="7" style="1" customWidth="1"/>
    <col min="2052" max="2052" width="10.81640625" style="1" customWidth="1"/>
    <col min="2053" max="2053" width="9.1796875" style="1" customWidth="1"/>
    <col min="2054" max="2077" width="7.1796875" style="1" customWidth="1"/>
    <col min="2078" max="2078" width="14.1796875" style="1" bestFit="1" customWidth="1"/>
    <col min="2079" max="2306" width="11.453125" style="1"/>
    <col min="2307" max="2307" width="7" style="1" customWidth="1"/>
    <col min="2308" max="2308" width="10.81640625" style="1" customWidth="1"/>
    <col min="2309" max="2309" width="9.1796875" style="1" customWidth="1"/>
    <col min="2310" max="2333" width="7.1796875" style="1" customWidth="1"/>
    <col min="2334" max="2334" width="14.1796875" style="1" bestFit="1" customWidth="1"/>
    <col min="2335" max="2562" width="11.453125" style="1"/>
    <col min="2563" max="2563" width="7" style="1" customWidth="1"/>
    <col min="2564" max="2564" width="10.81640625" style="1" customWidth="1"/>
    <col min="2565" max="2565" width="9.1796875" style="1" customWidth="1"/>
    <col min="2566" max="2589" width="7.1796875" style="1" customWidth="1"/>
    <col min="2590" max="2590" width="14.1796875" style="1" bestFit="1" customWidth="1"/>
    <col min="2591" max="2818" width="11.453125" style="1"/>
    <col min="2819" max="2819" width="7" style="1" customWidth="1"/>
    <col min="2820" max="2820" width="10.81640625" style="1" customWidth="1"/>
    <col min="2821" max="2821" width="9.1796875" style="1" customWidth="1"/>
    <col min="2822" max="2845" width="7.1796875" style="1" customWidth="1"/>
    <col min="2846" max="2846" width="14.1796875" style="1" bestFit="1" customWidth="1"/>
    <col min="2847" max="3074" width="11.453125" style="1"/>
    <col min="3075" max="3075" width="7" style="1" customWidth="1"/>
    <col min="3076" max="3076" width="10.81640625" style="1" customWidth="1"/>
    <col min="3077" max="3077" width="9.1796875" style="1" customWidth="1"/>
    <col min="3078" max="3101" width="7.1796875" style="1" customWidth="1"/>
    <col min="3102" max="3102" width="14.1796875" style="1" bestFit="1" customWidth="1"/>
    <col min="3103" max="3330" width="11.453125" style="1"/>
    <col min="3331" max="3331" width="7" style="1" customWidth="1"/>
    <col min="3332" max="3332" width="10.81640625" style="1" customWidth="1"/>
    <col min="3333" max="3333" width="9.1796875" style="1" customWidth="1"/>
    <col min="3334" max="3357" width="7.1796875" style="1" customWidth="1"/>
    <col min="3358" max="3358" width="14.1796875" style="1" bestFit="1" customWidth="1"/>
    <col min="3359" max="3586" width="11.453125" style="1"/>
    <col min="3587" max="3587" width="7" style="1" customWidth="1"/>
    <col min="3588" max="3588" width="10.81640625" style="1" customWidth="1"/>
    <col min="3589" max="3589" width="9.1796875" style="1" customWidth="1"/>
    <col min="3590" max="3613" width="7.1796875" style="1" customWidth="1"/>
    <col min="3614" max="3614" width="14.1796875" style="1" bestFit="1" customWidth="1"/>
    <col min="3615" max="3842" width="11.453125" style="1"/>
    <col min="3843" max="3843" width="7" style="1" customWidth="1"/>
    <col min="3844" max="3844" width="10.81640625" style="1" customWidth="1"/>
    <col min="3845" max="3845" width="9.1796875" style="1" customWidth="1"/>
    <col min="3846" max="3869" width="7.1796875" style="1" customWidth="1"/>
    <col min="3870" max="3870" width="14.1796875" style="1" bestFit="1" customWidth="1"/>
    <col min="3871" max="4098" width="11.453125" style="1"/>
    <col min="4099" max="4099" width="7" style="1" customWidth="1"/>
    <col min="4100" max="4100" width="10.81640625" style="1" customWidth="1"/>
    <col min="4101" max="4101" width="9.1796875" style="1" customWidth="1"/>
    <col min="4102" max="4125" width="7.1796875" style="1" customWidth="1"/>
    <col min="4126" max="4126" width="14.1796875" style="1" bestFit="1" customWidth="1"/>
    <col min="4127" max="4354" width="11.453125" style="1"/>
    <col min="4355" max="4355" width="7" style="1" customWidth="1"/>
    <col min="4356" max="4356" width="10.81640625" style="1" customWidth="1"/>
    <col min="4357" max="4357" width="9.1796875" style="1" customWidth="1"/>
    <col min="4358" max="4381" width="7.1796875" style="1" customWidth="1"/>
    <col min="4382" max="4382" width="14.1796875" style="1" bestFit="1" customWidth="1"/>
    <col min="4383" max="4610" width="11.453125" style="1"/>
    <col min="4611" max="4611" width="7" style="1" customWidth="1"/>
    <col min="4612" max="4612" width="10.81640625" style="1" customWidth="1"/>
    <col min="4613" max="4613" width="9.1796875" style="1" customWidth="1"/>
    <col min="4614" max="4637" width="7.1796875" style="1" customWidth="1"/>
    <col min="4638" max="4638" width="14.1796875" style="1" bestFit="1" customWidth="1"/>
    <col min="4639" max="4866" width="11.453125" style="1"/>
    <col min="4867" max="4867" width="7" style="1" customWidth="1"/>
    <col min="4868" max="4868" width="10.81640625" style="1" customWidth="1"/>
    <col min="4869" max="4869" width="9.1796875" style="1" customWidth="1"/>
    <col min="4870" max="4893" width="7.1796875" style="1" customWidth="1"/>
    <col min="4894" max="4894" width="14.1796875" style="1" bestFit="1" customWidth="1"/>
    <col min="4895" max="5122" width="11.453125" style="1"/>
    <col min="5123" max="5123" width="7" style="1" customWidth="1"/>
    <col min="5124" max="5124" width="10.81640625" style="1" customWidth="1"/>
    <col min="5125" max="5125" width="9.1796875" style="1" customWidth="1"/>
    <col min="5126" max="5149" width="7.1796875" style="1" customWidth="1"/>
    <col min="5150" max="5150" width="14.1796875" style="1" bestFit="1" customWidth="1"/>
    <col min="5151" max="5378" width="11.453125" style="1"/>
    <col min="5379" max="5379" width="7" style="1" customWidth="1"/>
    <col min="5380" max="5380" width="10.81640625" style="1" customWidth="1"/>
    <col min="5381" max="5381" width="9.1796875" style="1" customWidth="1"/>
    <col min="5382" max="5405" width="7.1796875" style="1" customWidth="1"/>
    <col min="5406" max="5406" width="14.1796875" style="1" bestFit="1" customWidth="1"/>
    <col min="5407" max="5634" width="11.453125" style="1"/>
    <col min="5635" max="5635" width="7" style="1" customWidth="1"/>
    <col min="5636" max="5636" width="10.81640625" style="1" customWidth="1"/>
    <col min="5637" max="5637" width="9.1796875" style="1" customWidth="1"/>
    <col min="5638" max="5661" width="7.1796875" style="1" customWidth="1"/>
    <col min="5662" max="5662" width="14.1796875" style="1" bestFit="1" customWidth="1"/>
    <col min="5663" max="5890" width="11.453125" style="1"/>
    <col min="5891" max="5891" width="7" style="1" customWidth="1"/>
    <col min="5892" max="5892" width="10.81640625" style="1" customWidth="1"/>
    <col min="5893" max="5893" width="9.1796875" style="1" customWidth="1"/>
    <col min="5894" max="5917" width="7.1796875" style="1" customWidth="1"/>
    <col min="5918" max="5918" width="14.1796875" style="1" bestFit="1" customWidth="1"/>
    <col min="5919" max="6146" width="11.453125" style="1"/>
    <col min="6147" max="6147" width="7" style="1" customWidth="1"/>
    <col min="6148" max="6148" width="10.81640625" style="1" customWidth="1"/>
    <col min="6149" max="6149" width="9.1796875" style="1" customWidth="1"/>
    <col min="6150" max="6173" width="7.1796875" style="1" customWidth="1"/>
    <col min="6174" max="6174" width="14.1796875" style="1" bestFit="1" customWidth="1"/>
    <col min="6175" max="6402" width="11.453125" style="1"/>
    <col min="6403" max="6403" width="7" style="1" customWidth="1"/>
    <col min="6404" max="6404" width="10.81640625" style="1" customWidth="1"/>
    <col min="6405" max="6405" width="9.1796875" style="1" customWidth="1"/>
    <col min="6406" max="6429" width="7.1796875" style="1" customWidth="1"/>
    <col min="6430" max="6430" width="14.1796875" style="1" bestFit="1" customWidth="1"/>
    <col min="6431" max="6658" width="11.453125" style="1"/>
    <col min="6659" max="6659" width="7" style="1" customWidth="1"/>
    <col min="6660" max="6660" width="10.81640625" style="1" customWidth="1"/>
    <col min="6661" max="6661" width="9.1796875" style="1" customWidth="1"/>
    <col min="6662" max="6685" width="7.1796875" style="1" customWidth="1"/>
    <col min="6686" max="6686" width="14.1796875" style="1" bestFit="1" customWidth="1"/>
    <col min="6687" max="6914" width="11.453125" style="1"/>
    <col min="6915" max="6915" width="7" style="1" customWidth="1"/>
    <col min="6916" max="6916" width="10.81640625" style="1" customWidth="1"/>
    <col min="6917" max="6917" width="9.1796875" style="1" customWidth="1"/>
    <col min="6918" max="6941" width="7.1796875" style="1" customWidth="1"/>
    <col min="6942" max="6942" width="14.1796875" style="1" bestFit="1" customWidth="1"/>
    <col min="6943" max="7170" width="11.453125" style="1"/>
    <col min="7171" max="7171" width="7" style="1" customWidth="1"/>
    <col min="7172" max="7172" width="10.81640625" style="1" customWidth="1"/>
    <col min="7173" max="7173" width="9.1796875" style="1" customWidth="1"/>
    <col min="7174" max="7197" width="7.1796875" style="1" customWidth="1"/>
    <col min="7198" max="7198" width="14.1796875" style="1" bestFit="1" customWidth="1"/>
    <col min="7199" max="7426" width="11.453125" style="1"/>
    <col min="7427" max="7427" width="7" style="1" customWidth="1"/>
    <col min="7428" max="7428" width="10.81640625" style="1" customWidth="1"/>
    <col min="7429" max="7429" width="9.1796875" style="1" customWidth="1"/>
    <col min="7430" max="7453" width="7.1796875" style="1" customWidth="1"/>
    <col min="7454" max="7454" width="14.1796875" style="1" bestFit="1" customWidth="1"/>
    <col min="7455" max="7682" width="11.453125" style="1"/>
    <col min="7683" max="7683" width="7" style="1" customWidth="1"/>
    <col min="7684" max="7684" width="10.81640625" style="1" customWidth="1"/>
    <col min="7685" max="7685" width="9.1796875" style="1" customWidth="1"/>
    <col min="7686" max="7709" width="7.1796875" style="1" customWidth="1"/>
    <col min="7710" max="7710" width="14.1796875" style="1" bestFit="1" customWidth="1"/>
    <col min="7711" max="7938" width="11.453125" style="1"/>
    <col min="7939" max="7939" width="7" style="1" customWidth="1"/>
    <col min="7940" max="7940" width="10.81640625" style="1" customWidth="1"/>
    <col min="7941" max="7941" width="9.1796875" style="1" customWidth="1"/>
    <col min="7942" max="7965" width="7.1796875" style="1" customWidth="1"/>
    <col min="7966" max="7966" width="14.1796875" style="1" bestFit="1" customWidth="1"/>
    <col min="7967" max="8194" width="11.453125" style="1"/>
    <col min="8195" max="8195" width="7" style="1" customWidth="1"/>
    <col min="8196" max="8196" width="10.81640625" style="1" customWidth="1"/>
    <col min="8197" max="8197" width="9.1796875" style="1" customWidth="1"/>
    <col min="8198" max="8221" width="7.1796875" style="1" customWidth="1"/>
    <col min="8222" max="8222" width="14.1796875" style="1" bestFit="1" customWidth="1"/>
    <col min="8223" max="8450" width="11.453125" style="1"/>
    <col min="8451" max="8451" width="7" style="1" customWidth="1"/>
    <col min="8452" max="8452" width="10.81640625" style="1" customWidth="1"/>
    <col min="8453" max="8453" width="9.1796875" style="1" customWidth="1"/>
    <col min="8454" max="8477" width="7.1796875" style="1" customWidth="1"/>
    <col min="8478" max="8478" width="14.1796875" style="1" bestFit="1" customWidth="1"/>
    <col min="8479" max="8706" width="11.453125" style="1"/>
    <col min="8707" max="8707" width="7" style="1" customWidth="1"/>
    <col min="8708" max="8708" width="10.81640625" style="1" customWidth="1"/>
    <col min="8709" max="8709" width="9.1796875" style="1" customWidth="1"/>
    <col min="8710" max="8733" width="7.1796875" style="1" customWidth="1"/>
    <col min="8734" max="8734" width="14.1796875" style="1" bestFit="1" customWidth="1"/>
    <col min="8735" max="8962" width="11.453125" style="1"/>
    <col min="8963" max="8963" width="7" style="1" customWidth="1"/>
    <col min="8964" max="8964" width="10.81640625" style="1" customWidth="1"/>
    <col min="8965" max="8965" width="9.1796875" style="1" customWidth="1"/>
    <col min="8966" max="8989" width="7.1796875" style="1" customWidth="1"/>
    <col min="8990" max="8990" width="14.1796875" style="1" bestFit="1" customWidth="1"/>
    <col min="8991" max="9218" width="11.453125" style="1"/>
    <col min="9219" max="9219" width="7" style="1" customWidth="1"/>
    <col min="9220" max="9220" width="10.81640625" style="1" customWidth="1"/>
    <col min="9221" max="9221" width="9.1796875" style="1" customWidth="1"/>
    <col min="9222" max="9245" width="7.1796875" style="1" customWidth="1"/>
    <col min="9246" max="9246" width="14.1796875" style="1" bestFit="1" customWidth="1"/>
    <col min="9247" max="9474" width="11.453125" style="1"/>
    <col min="9475" max="9475" width="7" style="1" customWidth="1"/>
    <col min="9476" max="9476" width="10.81640625" style="1" customWidth="1"/>
    <col min="9477" max="9477" width="9.1796875" style="1" customWidth="1"/>
    <col min="9478" max="9501" width="7.1796875" style="1" customWidth="1"/>
    <col min="9502" max="9502" width="14.1796875" style="1" bestFit="1" customWidth="1"/>
    <col min="9503" max="9730" width="11.453125" style="1"/>
    <col min="9731" max="9731" width="7" style="1" customWidth="1"/>
    <col min="9732" max="9732" width="10.81640625" style="1" customWidth="1"/>
    <col min="9733" max="9733" width="9.1796875" style="1" customWidth="1"/>
    <col min="9734" max="9757" width="7.1796875" style="1" customWidth="1"/>
    <col min="9758" max="9758" width="14.1796875" style="1" bestFit="1" customWidth="1"/>
    <col min="9759" max="9986" width="11.453125" style="1"/>
    <col min="9987" max="9987" width="7" style="1" customWidth="1"/>
    <col min="9988" max="9988" width="10.81640625" style="1" customWidth="1"/>
    <col min="9989" max="9989" width="9.1796875" style="1" customWidth="1"/>
    <col min="9990" max="10013" width="7.1796875" style="1" customWidth="1"/>
    <col min="10014" max="10014" width="14.1796875" style="1" bestFit="1" customWidth="1"/>
    <col min="10015" max="10242" width="11.453125" style="1"/>
    <col min="10243" max="10243" width="7" style="1" customWidth="1"/>
    <col min="10244" max="10244" width="10.81640625" style="1" customWidth="1"/>
    <col min="10245" max="10245" width="9.1796875" style="1" customWidth="1"/>
    <col min="10246" max="10269" width="7.1796875" style="1" customWidth="1"/>
    <col min="10270" max="10270" width="14.1796875" style="1" bestFit="1" customWidth="1"/>
    <col min="10271" max="10498" width="11.453125" style="1"/>
    <col min="10499" max="10499" width="7" style="1" customWidth="1"/>
    <col min="10500" max="10500" width="10.81640625" style="1" customWidth="1"/>
    <col min="10501" max="10501" width="9.1796875" style="1" customWidth="1"/>
    <col min="10502" max="10525" width="7.1796875" style="1" customWidth="1"/>
    <col min="10526" max="10526" width="14.1796875" style="1" bestFit="1" customWidth="1"/>
    <col min="10527" max="10754" width="11.453125" style="1"/>
    <col min="10755" max="10755" width="7" style="1" customWidth="1"/>
    <col min="10756" max="10756" width="10.81640625" style="1" customWidth="1"/>
    <col min="10757" max="10757" width="9.1796875" style="1" customWidth="1"/>
    <col min="10758" max="10781" width="7.1796875" style="1" customWidth="1"/>
    <col min="10782" max="10782" width="14.1796875" style="1" bestFit="1" customWidth="1"/>
    <col min="10783" max="11010" width="11.453125" style="1"/>
    <col min="11011" max="11011" width="7" style="1" customWidth="1"/>
    <col min="11012" max="11012" width="10.81640625" style="1" customWidth="1"/>
    <col min="11013" max="11013" width="9.1796875" style="1" customWidth="1"/>
    <col min="11014" max="11037" width="7.1796875" style="1" customWidth="1"/>
    <col min="11038" max="11038" width="14.1796875" style="1" bestFit="1" customWidth="1"/>
    <col min="11039" max="11266" width="11.453125" style="1"/>
    <col min="11267" max="11267" width="7" style="1" customWidth="1"/>
    <col min="11268" max="11268" width="10.81640625" style="1" customWidth="1"/>
    <col min="11269" max="11269" width="9.1796875" style="1" customWidth="1"/>
    <col min="11270" max="11293" width="7.1796875" style="1" customWidth="1"/>
    <col min="11294" max="11294" width="14.1796875" style="1" bestFit="1" customWidth="1"/>
    <col min="11295" max="11522" width="11.453125" style="1"/>
    <col min="11523" max="11523" width="7" style="1" customWidth="1"/>
    <col min="11524" max="11524" width="10.81640625" style="1" customWidth="1"/>
    <col min="11525" max="11525" width="9.1796875" style="1" customWidth="1"/>
    <col min="11526" max="11549" width="7.1796875" style="1" customWidth="1"/>
    <col min="11550" max="11550" width="14.1796875" style="1" bestFit="1" customWidth="1"/>
    <col min="11551" max="11778" width="11.453125" style="1"/>
    <col min="11779" max="11779" width="7" style="1" customWidth="1"/>
    <col min="11780" max="11780" width="10.81640625" style="1" customWidth="1"/>
    <col min="11781" max="11781" width="9.1796875" style="1" customWidth="1"/>
    <col min="11782" max="11805" width="7.1796875" style="1" customWidth="1"/>
    <col min="11806" max="11806" width="14.1796875" style="1" bestFit="1" customWidth="1"/>
    <col min="11807" max="12034" width="11.453125" style="1"/>
    <col min="12035" max="12035" width="7" style="1" customWidth="1"/>
    <col min="12036" max="12036" width="10.81640625" style="1" customWidth="1"/>
    <col min="12037" max="12037" width="9.1796875" style="1" customWidth="1"/>
    <col min="12038" max="12061" width="7.1796875" style="1" customWidth="1"/>
    <col min="12062" max="12062" width="14.1796875" style="1" bestFit="1" customWidth="1"/>
    <col min="12063" max="12290" width="11.453125" style="1"/>
    <col min="12291" max="12291" width="7" style="1" customWidth="1"/>
    <col min="12292" max="12292" width="10.81640625" style="1" customWidth="1"/>
    <col min="12293" max="12293" width="9.1796875" style="1" customWidth="1"/>
    <col min="12294" max="12317" width="7.1796875" style="1" customWidth="1"/>
    <col min="12318" max="12318" width="14.1796875" style="1" bestFit="1" customWidth="1"/>
    <col min="12319" max="12546" width="11.453125" style="1"/>
    <col min="12547" max="12547" width="7" style="1" customWidth="1"/>
    <col min="12548" max="12548" width="10.81640625" style="1" customWidth="1"/>
    <col min="12549" max="12549" width="9.1796875" style="1" customWidth="1"/>
    <col min="12550" max="12573" width="7.1796875" style="1" customWidth="1"/>
    <col min="12574" max="12574" width="14.1796875" style="1" bestFit="1" customWidth="1"/>
    <col min="12575" max="12802" width="11.453125" style="1"/>
    <col min="12803" max="12803" width="7" style="1" customWidth="1"/>
    <col min="12804" max="12804" width="10.81640625" style="1" customWidth="1"/>
    <col min="12805" max="12805" width="9.1796875" style="1" customWidth="1"/>
    <col min="12806" max="12829" width="7.1796875" style="1" customWidth="1"/>
    <col min="12830" max="12830" width="14.1796875" style="1" bestFit="1" customWidth="1"/>
    <col min="12831" max="13058" width="11.453125" style="1"/>
    <col min="13059" max="13059" width="7" style="1" customWidth="1"/>
    <col min="13060" max="13060" width="10.81640625" style="1" customWidth="1"/>
    <col min="13061" max="13061" width="9.1796875" style="1" customWidth="1"/>
    <col min="13062" max="13085" width="7.1796875" style="1" customWidth="1"/>
    <col min="13086" max="13086" width="14.1796875" style="1" bestFit="1" customWidth="1"/>
    <col min="13087" max="13314" width="11.453125" style="1"/>
    <col min="13315" max="13315" width="7" style="1" customWidth="1"/>
    <col min="13316" max="13316" width="10.81640625" style="1" customWidth="1"/>
    <col min="13317" max="13317" width="9.1796875" style="1" customWidth="1"/>
    <col min="13318" max="13341" width="7.1796875" style="1" customWidth="1"/>
    <col min="13342" max="13342" width="14.1796875" style="1" bestFit="1" customWidth="1"/>
    <col min="13343" max="13570" width="11.453125" style="1"/>
    <col min="13571" max="13571" width="7" style="1" customWidth="1"/>
    <col min="13572" max="13572" width="10.81640625" style="1" customWidth="1"/>
    <col min="13573" max="13573" width="9.1796875" style="1" customWidth="1"/>
    <col min="13574" max="13597" width="7.1796875" style="1" customWidth="1"/>
    <col min="13598" max="13598" width="14.1796875" style="1" bestFit="1" customWidth="1"/>
    <col min="13599" max="13826" width="11.453125" style="1"/>
    <col min="13827" max="13827" width="7" style="1" customWidth="1"/>
    <col min="13828" max="13828" width="10.81640625" style="1" customWidth="1"/>
    <col min="13829" max="13829" width="9.1796875" style="1" customWidth="1"/>
    <col min="13830" max="13853" width="7.1796875" style="1" customWidth="1"/>
    <col min="13854" max="13854" width="14.1796875" style="1" bestFit="1" customWidth="1"/>
    <col min="13855" max="14082" width="11.453125" style="1"/>
    <col min="14083" max="14083" width="7" style="1" customWidth="1"/>
    <col min="14084" max="14084" width="10.81640625" style="1" customWidth="1"/>
    <col min="14085" max="14085" width="9.1796875" style="1" customWidth="1"/>
    <col min="14086" max="14109" width="7.1796875" style="1" customWidth="1"/>
    <col min="14110" max="14110" width="14.1796875" style="1" bestFit="1" customWidth="1"/>
    <col min="14111" max="14338" width="11.453125" style="1"/>
    <col min="14339" max="14339" width="7" style="1" customWidth="1"/>
    <col min="14340" max="14340" width="10.81640625" style="1" customWidth="1"/>
    <col min="14341" max="14341" width="9.1796875" style="1" customWidth="1"/>
    <col min="14342" max="14365" width="7.1796875" style="1" customWidth="1"/>
    <col min="14366" max="14366" width="14.1796875" style="1" bestFit="1" customWidth="1"/>
    <col min="14367" max="14594" width="11.453125" style="1"/>
    <col min="14595" max="14595" width="7" style="1" customWidth="1"/>
    <col min="14596" max="14596" width="10.81640625" style="1" customWidth="1"/>
    <col min="14597" max="14597" width="9.1796875" style="1" customWidth="1"/>
    <col min="14598" max="14621" width="7.1796875" style="1" customWidth="1"/>
    <col min="14622" max="14622" width="14.1796875" style="1" bestFit="1" customWidth="1"/>
    <col min="14623" max="14850" width="11.453125" style="1"/>
    <col min="14851" max="14851" width="7" style="1" customWidth="1"/>
    <col min="14852" max="14852" width="10.81640625" style="1" customWidth="1"/>
    <col min="14853" max="14853" width="9.1796875" style="1" customWidth="1"/>
    <col min="14854" max="14877" width="7.1796875" style="1" customWidth="1"/>
    <col min="14878" max="14878" width="14.1796875" style="1" bestFit="1" customWidth="1"/>
    <col min="14879" max="15106" width="11.453125" style="1"/>
    <col min="15107" max="15107" width="7" style="1" customWidth="1"/>
    <col min="15108" max="15108" width="10.81640625" style="1" customWidth="1"/>
    <col min="15109" max="15109" width="9.1796875" style="1" customWidth="1"/>
    <col min="15110" max="15133" width="7.1796875" style="1" customWidth="1"/>
    <col min="15134" max="15134" width="14.1796875" style="1" bestFit="1" customWidth="1"/>
    <col min="15135" max="15362" width="11.453125" style="1"/>
    <col min="15363" max="15363" width="7" style="1" customWidth="1"/>
    <col min="15364" max="15364" width="10.81640625" style="1" customWidth="1"/>
    <col min="15365" max="15365" width="9.1796875" style="1" customWidth="1"/>
    <col min="15366" max="15389" width="7.1796875" style="1" customWidth="1"/>
    <col min="15390" max="15390" width="14.1796875" style="1" bestFit="1" customWidth="1"/>
    <col min="15391" max="15618" width="11.453125" style="1"/>
    <col min="15619" max="15619" width="7" style="1" customWidth="1"/>
    <col min="15620" max="15620" width="10.81640625" style="1" customWidth="1"/>
    <col min="15621" max="15621" width="9.1796875" style="1" customWidth="1"/>
    <col min="15622" max="15645" width="7.1796875" style="1" customWidth="1"/>
    <col min="15646" max="15646" width="14.1796875" style="1" bestFit="1" customWidth="1"/>
    <col min="15647" max="15874" width="11.453125" style="1"/>
    <col min="15875" max="15875" width="7" style="1" customWidth="1"/>
    <col min="15876" max="15876" width="10.81640625" style="1" customWidth="1"/>
    <col min="15877" max="15877" width="9.1796875" style="1" customWidth="1"/>
    <col min="15878" max="15901" width="7.1796875" style="1" customWidth="1"/>
    <col min="15902" max="15902" width="14.1796875" style="1" bestFit="1" customWidth="1"/>
    <col min="15903" max="16130" width="11.453125" style="1"/>
    <col min="16131" max="16131" width="7" style="1" customWidth="1"/>
    <col min="16132" max="16132" width="10.81640625" style="1" customWidth="1"/>
    <col min="16133" max="16133" width="9.1796875" style="1" customWidth="1"/>
    <col min="16134" max="16157" width="7.1796875" style="1" customWidth="1"/>
    <col min="16158" max="16158" width="14.1796875" style="1" bestFit="1" customWidth="1"/>
    <col min="16159" max="16384" width="11.453125" style="1"/>
  </cols>
  <sheetData>
    <row r="1" spans="3:30" ht="18.649999999999999" customHeight="1"/>
    <row r="2" spans="3:30" ht="18.649999999999999" customHeight="1">
      <c r="C2" s="63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3:30" ht="18.649999999999999" customHeight="1"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3:30" ht="18.649999999999999" customHeight="1">
      <c r="C4" s="63" t="s">
        <v>60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spans="3:30" ht="18.649999999999999" customHeight="1" thickBot="1"/>
    <row r="6" spans="3:30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30" ht="18.649999999999999" customHeight="1">
      <c r="C7" s="14" t="s">
        <v>30</v>
      </c>
      <c r="D7" s="5" t="s">
        <v>31</v>
      </c>
      <c r="E7" s="6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80">
        <f>SUM(F7:AC7)*E7+SUM(F8:AC8)*E8+SUM(F9:AC9)*E9+SUM(F10:AC10)*E10</f>
        <v>0</v>
      </c>
    </row>
    <row r="8" spans="3:30" ht="18.649999999999999" customHeight="1">
      <c r="C8" s="15"/>
      <c r="D8" s="5" t="s">
        <v>32</v>
      </c>
      <c r="E8" s="6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81"/>
    </row>
    <row r="9" spans="3:30" ht="18.649999999999999" customHeight="1">
      <c r="C9" s="15"/>
      <c r="D9" s="5" t="s">
        <v>33</v>
      </c>
      <c r="E9" s="6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81"/>
    </row>
    <row r="10" spans="3:30" ht="18.649999999999999" customHeight="1">
      <c r="C10" s="16"/>
      <c r="D10" s="5" t="s">
        <v>34</v>
      </c>
      <c r="E10" s="6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82"/>
    </row>
    <row r="11" spans="3:30" ht="18.649999999999999" customHeight="1">
      <c r="C11" s="14" t="s">
        <v>35</v>
      </c>
      <c r="D11" s="5" t="s">
        <v>31</v>
      </c>
      <c r="E11" s="6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80">
        <f>SUM(F11:AC11)*E11+SUM(F12:AC12)*E12+SUM(F13:AC13)*E13+SUM(F14:AC14)*E14</f>
        <v>0</v>
      </c>
    </row>
    <row r="12" spans="3:30" ht="18.649999999999999" customHeight="1">
      <c r="C12" s="15"/>
      <c r="D12" s="5" t="s">
        <v>32</v>
      </c>
      <c r="E12" s="6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81"/>
    </row>
    <row r="13" spans="3:30" ht="18.649999999999999" customHeight="1">
      <c r="C13" s="15"/>
      <c r="D13" s="5" t="s">
        <v>33</v>
      </c>
      <c r="E13" s="6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81"/>
    </row>
    <row r="14" spans="3:30" ht="18.649999999999999" customHeight="1">
      <c r="C14" s="16"/>
      <c r="D14" s="5" t="s">
        <v>34</v>
      </c>
      <c r="E14" s="6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82"/>
    </row>
    <row r="15" spans="3:30" ht="18.649999999999999" customHeight="1">
      <c r="C15" s="14" t="s">
        <v>36</v>
      </c>
      <c r="D15" s="5" t="s">
        <v>31</v>
      </c>
      <c r="E15" s="6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80">
        <f t="shared" ref="AD15" si="0">SUM(F15:AC15)*E15+SUM(F16:AC16)*E16+SUM(F17:AC17)*E17+SUM(F18:AC18)*E18</f>
        <v>0</v>
      </c>
    </row>
    <row r="16" spans="3:30" ht="18.649999999999999" customHeight="1">
      <c r="C16" s="15"/>
      <c r="D16" s="5" t="s">
        <v>32</v>
      </c>
      <c r="E16" s="6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81"/>
    </row>
    <row r="17" spans="3:30" ht="18.649999999999999" customHeight="1">
      <c r="C17" s="15"/>
      <c r="D17" s="5" t="s">
        <v>33</v>
      </c>
      <c r="E17" s="6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81"/>
    </row>
    <row r="18" spans="3:30" ht="18.649999999999999" customHeight="1">
      <c r="C18" s="16"/>
      <c r="D18" s="5" t="s">
        <v>34</v>
      </c>
      <c r="E18" s="6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82"/>
    </row>
    <row r="19" spans="3:30" ht="18.649999999999999" customHeight="1">
      <c r="C19" s="14" t="s">
        <v>37</v>
      </c>
      <c r="D19" s="5" t="s">
        <v>31</v>
      </c>
      <c r="E19" s="6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80">
        <f t="shared" ref="AD19" si="1">SUM(F19:AC19)*E19+SUM(F20:AC20)*E20+SUM(F21:AC21)*E21+SUM(F22:AC22)*E22</f>
        <v>0</v>
      </c>
    </row>
    <row r="20" spans="3:30" ht="18.649999999999999" customHeight="1">
      <c r="C20" s="15"/>
      <c r="D20" s="5" t="s">
        <v>32</v>
      </c>
      <c r="E20" s="6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81"/>
    </row>
    <row r="21" spans="3:30" ht="18.649999999999999" customHeight="1">
      <c r="C21" s="15"/>
      <c r="D21" s="5" t="s">
        <v>33</v>
      </c>
      <c r="E21" s="6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81"/>
    </row>
    <row r="22" spans="3:30" ht="18.649999999999999" customHeight="1">
      <c r="C22" s="16"/>
      <c r="D22" s="5" t="s">
        <v>34</v>
      </c>
      <c r="E22" s="6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82"/>
    </row>
    <row r="23" spans="3:30" ht="18.649999999999999" customHeight="1">
      <c r="C23" s="14" t="s">
        <v>38</v>
      </c>
      <c r="D23" s="5" t="s">
        <v>31</v>
      </c>
      <c r="E23" s="6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80">
        <f t="shared" ref="AD23" si="2">SUM(F23:AC23)*E23+SUM(F24:AC24)*E24+SUM(F25:AC25)*E25+SUM(F26:AC26)*E26</f>
        <v>0</v>
      </c>
    </row>
    <row r="24" spans="3:30" ht="18.649999999999999" customHeight="1">
      <c r="C24" s="15"/>
      <c r="D24" s="5" t="s">
        <v>32</v>
      </c>
      <c r="E24" s="6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81"/>
    </row>
    <row r="25" spans="3:30" ht="18.649999999999999" customHeight="1">
      <c r="C25" s="15"/>
      <c r="D25" s="5" t="s">
        <v>33</v>
      </c>
      <c r="E25" s="6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81"/>
    </row>
    <row r="26" spans="3:30" ht="18.649999999999999" customHeight="1">
      <c r="C26" s="16"/>
      <c r="D26" s="5" t="s">
        <v>34</v>
      </c>
      <c r="E26" s="6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82"/>
    </row>
    <row r="27" spans="3:30" ht="18.649999999999999" customHeight="1">
      <c r="C27" s="14" t="s">
        <v>39</v>
      </c>
      <c r="D27" s="5" t="s">
        <v>31</v>
      </c>
      <c r="E27" s="6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80">
        <f t="shared" ref="AD27" si="3">SUM(F27:AC27)*E27+SUM(F28:AC28)*E28+SUM(F29:AC29)*E29+SUM(F30:AC30)*E30</f>
        <v>0</v>
      </c>
    </row>
    <row r="28" spans="3:30" ht="18.649999999999999" customHeight="1">
      <c r="C28" s="15"/>
      <c r="D28" s="5" t="s">
        <v>32</v>
      </c>
      <c r="E28" s="6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81"/>
    </row>
    <row r="29" spans="3:30" ht="18.649999999999999" customHeight="1">
      <c r="C29" s="15"/>
      <c r="D29" s="5" t="s">
        <v>33</v>
      </c>
      <c r="E29" s="6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81"/>
    </row>
    <row r="30" spans="3:30" ht="18.649999999999999" customHeight="1">
      <c r="C30" s="16"/>
      <c r="D30" s="5" t="s">
        <v>34</v>
      </c>
      <c r="E30" s="6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82"/>
    </row>
    <row r="31" spans="3:30" ht="18.649999999999999" customHeight="1">
      <c r="C31" s="14" t="s">
        <v>40</v>
      </c>
      <c r="D31" s="5" t="s">
        <v>31</v>
      </c>
      <c r="E31" s="6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80">
        <f t="shared" ref="AD31" si="4">SUM(F31:AC31)*E31+SUM(F32:AC32)*E32+SUM(F33:AC33)*E33+SUM(F34:AC34)*E34</f>
        <v>0</v>
      </c>
    </row>
    <row r="32" spans="3:30" ht="18.649999999999999" customHeight="1">
      <c r="C32" s="15"/>
      <c r="D32" s="5" t="s">
        <v>32</v>
      </c>
      <c r="E32" s="6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81"/>
    </row>
    <row r="33" spans="3:30" ht="18.649999999999999" customHeight="1">
      <c r="C33" s="15"/>
      <c r="D33" s="5" t="s">
        <v>33</v>
      </c>
      <c r="E33" s="6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81"/>
    </row>
    <row r="34" spans="3:30" ht="18.649999999999999" customHeight="1">
      <c r="C34" s="16"/>
      <c r="D34" s="5" t="s">
        <v>34</v>
      </c>
      <c r="E34" s="6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82"/>
    </row>
    <row r="35" spans="3:30" ht="18.649999999999999" customHeight="1">
      <c r="C35" s="14" t="s">
        <v>41</v>
      </c>
      <c r="D35" s="5" t="s">
        <v>31</v>
      </c>
      <c r="E35" s="6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80">
        <f t="shared" ref="AD35" si="5">SUM(F35:AC35)*E35+SUM(F36:AC36)*E36+SUM(F37:AC37)*E37+SUM(F38:AC38)*E38</f>
        <v>0</v>
      </c>
    </row>
    <row r="36" spans="3:30" ht="18.649999999999999" customHeight="1">
      <c r="C36" s="15"/>
      <c r="D36" s="5" t="s">
        <v>32</v>
      </c>
      <c r="E36" s="6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81"/>
    </row>
    <row r="37" spans="3:30" ht="18.649999999999999" customHeight="1">
      <c r="C37" s="15"/>
      <c r="D37" s="5" t="s">
        <v>33</v>
      </c>
      <c r="E37" s="6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81"/>
    </row>
    <row r="38" spans="3:30" ht="18.649999999999999" customHeight="1">
      <c r="C38" s="16"/>
      <c r="D38" s="5" t="s">
        <v>34</v>
      </c>
      <c r="E38" s="6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82"/>
    </row>
    <row r="39" spans="3:30" ht="18.649999999999999" customHeight="1">
      <c r="C39" s="14" t="s">
        <v>42</v>
      </c>
      <c r="D39" s="5" t="s">
        <v>31</v>
      </c>
      <c r="E39" s="6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80">
        <f t="shared" ref="AD39" si="6">SUM(F39:AC39)*E39+SUM(F40:AC40)*E40+SUM(F41:AC41)*E41+SUM(F42:AC42)*E42</f>
        <v>0</v>
      </c>
    </row>
    <row r="40" spans="3:30" ht="18.649999999999999" customHeight="1">
      <c r="C40" s="15"/>
      <c r="D40" s="5" t="s">
        <v>32</v>
      </c>
      <c r="E40" s="6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81"/>
    </row>
    <row r="41" spans="3:30" ht="18.649999999999999" customHeight="1">
      <c r="C41" s="15"/>
      <c r="D41" s="5" t="s">
        <v>33</v>
      </c>
      <c r="E41" s="6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81"/>
    </row>
    <row r="42" spans="3:30" ht="18.649999999999999" customHeight="1">
      <c r="C42" s="16"/>
      <c r="D42" s="5" t="s">
        <v>34</v>
      </c>
      <c r="E42" s="6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82"/>
    </row>
    <row r="43" spans="3:30" ht="18.649999999999999" customHeight="1">
      <c r="C43" s="14" t="s">
        <v>43</v>
      </c>
      <c r="D43" s="5" t="s">
        <v>31</v>
      </c>
      <c r="E43" s="6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80">
        <f t="shared" ref="AD43" si="7">SUM(F43:AC43)*E43+SUM(F44:AC44)*E44+SUM(F45:AC45)*E45+SUM(F46:AC46)*E46</f>
        <v>0</v>
      </c>
    </row>
    <row r="44" spans="3:30" ht="18.649999999999999" customHeight="1">
      <c r="C44" s="15"/>
      <c r="D44" s="5" t="s">
        <v>32</v>
      </c>
      <c r="E44" s="6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81"/>
    </row>
    <row r="45" spans="3:30" ht="18.649999999999999" customHeight="1">
      <c r="C45" s="15"/>
      <c r="D45" s="5" t="s">
        <v>33</v>
      </c>
      <c r="E45" s="6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81"/>
    </row>
    <row r="46" spans="3:30" ht="18.649999999999999" customHeight="1">
      <c r="C46" s="16"/>
      <c r="D46" s="5" t="s">
        <v>34</v>
      </c>
      <c r="E46" s="6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82"/>
    </row>
    <row r="47" spans="3:30" ht="18.649999999999999" customHeight="1">
      <c r="C47" s="14" t="s">
        <v>44</v>
      </c>
      <c r="D47" s="5" t="s">
        <v>31</v>
      </c>
      <c r="E47" s="6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80">
        <f t="shared" ref="AD47" si="8">SUM(F47:AC47)*E47+SUM(F48:AC48)*E48+SUM(F49:AC49)*E49+SUM(F50:AC50)*E50</f>
        <v>0</v>
      </c>
    </row>
    <row r="48" spans="3:30" ht="18.649999999999999" customHeight="1">
      <c r="C48" s="15"/>
      <c r="D48" s="5" t="s">
        <v>32</v>
      </c>
      <c r="E48" s="6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81"/>
    </row>
    <row r="49" spans="3:30" ht="18.649999999999999" customHeight="1">
      <c r="C49" s="15"/>
      <c r="D49" s="5" t="s">
        <v>33</v>
      </c>
      <c r="E49" s="6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81"/>
    </row>
    <row r="50" spans="3:30" ht="18.649999999999999" customHeight="1">
      <c r="C50" s="16"/>
      <c r="D50" s="5" t="s">
        <v>34</v>
      </c>
      <c r="E50" s="6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82"/>
    </row>
    <row r="51" spans="3:30" ht="18.649999999999999" customHeight="1">
      <c r="C51" s="14" t="s">
        <v>45</v>
      </c>
      <c r="D51" s="5" t="s">
        <v>31</v>
      </c>
      <c r="E51" s="6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80">
        <f t="shared" ref="AD51" si="9">SUM(F51:AC51)*E51+SUM(F52:AC52)*E52+SUM(F53:AC53)*E53+SUM(F54:AC54)*E54</f>
        <v>0</v>
      </c>
    </row>
    <row r="52" spans="3:30" ht="18.649999999999999" customHeight="1">
      <c r="C52" s="15"/>
      <c r="D52" s="5" t="s">
        <v>32</v>
      </c>
      <c r="E52" s="6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81"/>
    </row>
    <row r="53" spans="3:30" ht="18.649999999999999" customHeight="1">
      <c r="C53" s="15"/>
      <c r="D53" s="5" t="s">
        <v>33</v>
      </c>
      <c r="E53" s="6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81"/>
    </row>
    <row r="54" spans="3:30" ht="18.649999999999999" customHeight="1">
      <c r="C54" s="16"/>
      <c r="D54" s="5" t="s">
        <v>34</v>
      </c>
      <c r="E54" s="6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82"/>
    </row>
    <row r="55" spans="3:30" ht="18.649999999999999" customHeight="1">
      <c r="AA55" s="60" t="s">
        <v>46</v>
      </c>
      <c r="AB55" s="61"/>
      <c r="AC55" s="62"/>
      <c r="AD55" s="9">
        <f>SUM(AD7:AD54)</f>
        <v>0</v>
      </c>
    </row>
    <row r="56" spans="3:30" ht="18.649999999999999" customHeight="1"/>
  </sheetData>
  <mergeCells count="16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A55:AC55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9E6A8F4FD75D4F983864B74DB84392" ma:contentTypeVersion="18" ma:contentTypeDescription="Crear nuevo documento." ma:contentTypeScope="" ma:versionID="b663ed35e25caa4112876678f690006e">
  <xsd:schema xmlns:xsd="http://www.w3.org/2001/XMLSchema" xmlns:xs="http://www.w3.org/2001/XMLSchema" xmlns:p="http://schemas.microsoft.com/office/2006/metadata/properties" xmlns:ns2="20f209a7-1359-40c6-86fe-9091c8270b74" xmlns:ns3="82abe3a3-6e4b-4543-a779-2a3e3746bbb7" xmlns:ns4="fde91536-cb6a-48c8-a1c9-f59bb520eba1" targetNamespace="http://schemas.microsoft.com/office/2006/metadata/properties" ma:root="true" ma:fieldsID="8951d5e51ac357b7da24477b0c6d1bf7" ns2:_="" ns3:_="" ns4:_="">
    <xsd:import namespace="20f209a7-1359-40c6-86fe-9091c8270b74"/>
    <xsd:import namespace="82abe3a3-6e4b-4543-a779-2a3e3746bbb7"/>
    <xsd:import namespace="fde91536-cb6a-48c8-a1c9-f59bb520eb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209a7-1359-40c6-86fe-9091c8270b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ca7b523-58f5-4d52-b53c-05f253e3d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be3a3-6e4b-4543-a779-2a3e3746bbb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91536-cb6a-48c8-a1c9-f59bb520eba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694ff3e-b4a5-4b34-b281-d10abf799c64}" ma:internalName="TaxCatchAll" ma:showField="CatchAllData" ma:web="82abe3a3-6e4b-4543-a779-2a3e3746bb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f209a7-1359-40c6-86fe-9091c8270b74">
      <Terms xmlns="http://schemas.microsoft.com/office/infopath/2007/PartnerControls"/>
    </lcf76f155ced4ddcb4097134ff3c332f>
    <TaxCatchAll xmlns="fde91536-cb6a-48c8-a1c9-f59bb520eb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3E03F0-B08F-46F9-A008-6D91FBA05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f209a7-1359-40c6-86fe-9091c8270b74"/>
    <ds:schemaRef ds:uri="82abe3a3-6e4b-4543-a779-2a3e3746bbb7"/>
    <ds:schemaRef ds:uri="fde91536-cb6a-48c8-a1c9-f59bb520eb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335DA5-68F1-4BD9-9A62-5CA5F5498C57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20f209a7-1359-40c6-86fe-9091c8270b74"/>
    <ds:schemaRef ds:uri="82abe3a3-6e4b-4543-a779-2a3e3746bbb7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fde91536-cb6a-48c8-a1c9-f59bb520eba1"/>
  </ds:schemaRefs>
</ds:datastoreItem>
</file>

<file path=customXml/itemProps3.xml><?xml version="1.0" encoding="utf-8"?>
<ds:datastoreItem xmlns:ds="http://schemas.openxmlformats.org/officeDocument/2006/customXml" ds:itemID="{27E0A1FB-D788-4744-96DB-0168C5E344C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5</vt:i4>
      </vt:variant>
    </vt:vector>
  </HeadingPairs>
  <TitlesOfParts>
    <vt:vector size="16" baseType="lpstr">
      <vt:lpstr>Cantidades Producto 1</vt:lpstr>
      <vt:lpstr>Cantidades Producto 2</vt:lpstr>
      <vt:lpstr>Cantidades Producto 3</vt:lpstr>
      <vt:lpstr>Cantidades Producto 4</vt:lpstr>
      <vt:lpstr>Cantidades Producto 5</vt:lpstr>
      <vt:lpstr>Oferta Producto 1</vt:lpstr>
      <vt:lpstr>Oferta Producto 2</vt:lpstr>
      <vt:lpstr>Oferta Producto 3</vt:lpstr>
      <vt:lpstr>Oferta Producto 4</vt:lpstr>
      <vt:lpstr>Oferta Producto 5</vt:lpstr>
      <vt:lpstr>Oferta Horaria Productos 1-5</vt:lpstr>
      <vt:lpstr>'Oferta Producto 1'!Área_de_impresión</vt:lpstr>
      <vt:lpstr>'Oferta Producto 2'!Área_de_impresión</vt:lpstr>
      <vt:lpstr>'Oferta Producto 3'!Área_de_impresión</vt:lpstr>
      <vt:lpstr>'Oferta Producto 4'!Área_de_impresión</vt:lpstr>
      <vt:lpstr>'Oferta Producto 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 DARIO PUERTA LEON</dc:creator>
  <cp:keywords/>
  <dc:description/>
  <cp:lastModifiedBy>ANGELA MARIA ROLDAN ARANGO</cp:lastModifiedBy>
  <cp:revision/>
  <dcterms:created xsi:type="dcterms:W3CDTF">2020-05-05T11:47:09Z</dcterms:created>
  <dcterms:modified xsi:type="dcterms:W3CDTF">2025-04-14T11:19:32Z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0x010100C49E6A8F4FD75D4F983864B74DB84392</vt:lpwstr>
  </property>
  <property fmtid="{D5CDD505-2E9C-101B-9397-08002B2CF9AE}" pid="5" name="MSIP_Label_666bb131-2344-48ed-84db-fe1e84a9fae2_Enabled">
    <vt:lpwstr>true</vt:lpwstr>
  </property>
  <property fmtid="{D5CDD505-2E9C-101B-9397-08002B2CF9AE}" pid="6" name="MSIP_Label_666bb131-2344-48ed-84db-fe1e84a9fae2_SetDate">
    <vt:lpwstr>2021-05-14T12:22:19Z</vt:lpwstr>
  </property>
  <property fmtid="{D5CDD505-2E9C-101B-9397-08002B2CF9AE}" pid="7" name="MSIP_Label_666bb131-2344-48ed-84db-fe1e84a9fae2_Method">
    <vt:lpwstr>Standard</vt:lpwstr>
  </property>
  <property fmtid="{D5CDD505-2E9C-101B-9397-08002B2CF9AE}" pid="8" name="MSIP_Label_666bb131-2344-48ed-84db-fe1e84a9fae2_Name">
    <vt:lpwstr>666bb131-2344-48ed-84db-fe1e84a9fae2</vt:lpwstr>
  </property>
  <property fmtid="{D5CDD505-2E9C-101B-9397-08002B2CF9AE}" pid="9" name="MSIP_Label_666bb131-2344-48ed-84db-fe1e84a9fae2_SiteId">
    <vt:lpwstr>bf1ce8b5-5d39-4bc5-ad6e-07b3e4d7d67a</vt:lpwstr>
  </property>
  <property fmtid="{D5CDD505-2E9C-101B-9397-08002B2CF9AE}" pid="10" name="MSIP_Label_666bb131-2344-48ed-84db-fe1e84a9fae2_ActionId">
    <vt:lpwstr>17af050d-f21b-4d5c-ade0-0a837a2dd3df</vt:lpwstr>
  </property>
  <property fmtid="{D5CDD505-2E9C-101B-9397-08002B2CF9AE}" pid="11" name="MSIP_Label_666bb131-2344-48ed-84db-fe1e84a9fae2_ContentBits">
    <vt:lpwstr>0</vt:lpwstr>
  </property>
  <property fmtid="{D5CDD505-2E9C-101B-9397-08002B2CF9AE}" pid="12" name="MediaServiceImageTags">
    <vt:lpwstr/>
  </property>
</Properties>
</file>