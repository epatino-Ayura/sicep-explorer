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A_O 2025\2. PROCESOS DE CONTRATACIÓN\1. SOLICITUD PUBLICA DE OFERTAS\9. SPO-DG-009-2025 SUMINISTRO DE ENERGÍA\4. Terminos Finales\"/>
    </mc:Choice>
  </mc:AlternateContent>
  <xr:revisionPtr revIDLastSave="0" documentId="13_ncr:1_{00ADA439-CBF3-4AB2-A0E2-09A51E5B74A4}" xr6:coauthVersionLast="47" xr6:coauthVersionMax="47" xr10:uidLastSave="{00000000-0000-0000-0000-000000000000}"/>
  <bookViews>
    <workbookView xWindow="-120" yWindow="-120" windowWidth="24240" windowHeight="13020" tabRatio="931" activeTab="4" xr2:uid="{00000000-000D-0000-FFFF-FFFF00000000}"/>
  </bookViews>
  <sheets>
    <sheet name="Producto No. 1 Plana 2025-2033" sheetId="27" r:id="rId1"/>
    <sheet name="Despacho Horario Producto No. 1" sheetId="28" r:id="rId2"/>
    <sheet name="Producto No. 2 Curva 2026-2033" sheetId="32" r:id="rId3"/>
    <sheet name="Despacho Horario Producto No, 2" sheetId="33" r:id="rId4"/>
    <sheet name="Producto No. 3 Curva 2026-2035" sheetId="34" r:id="rId5"/>
    <sheet name="Despacho Horario Producto No. 3" sheetId="3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6" i="34" l="1"/>
  <c r="AD2" i="28"/>
  <c r="B11" i="27" s="1"/>
  <c r="E11" i="27" s="1"/>
  <c r="F11" i="34"/>
  <c r="G126" i="34"/>
  <c r="F114" i="34"/>
  <c r="E115" i="34"/>
  <c r="E116" i="34"/>
  <c r="E117" i="34"/>
  <c r="E118" i="34"/>
  <c r="E119" i="34"/>
  <c r="E120" i="34"/>
  <c r="E121" i="34"/>
  <c r="E122" i="34"/>
  <c r="E123" i="34"/>
  <c r="E124" i="34"/>
  <c r="E125" i="34"/>
  <c r="E114" i="34"/>
  <c r="E90" i="34"/>
  <c r="E103" i="34"/>
  <c r="E104" i="34"/>
  <c r="E105" i="34"/>
  <c r="E106" i="34"/>
  <c r="E107" i="34"/>
  <c r="E108" i="34"/>
  <c r="E109" i="34"/>
  <c r="E110" i="34"/>
  <c r="E111" i="34"/>
  <c r="E112" i="34"/>
  <c r="E113" i="34"/>
  <c r="E102" i="34"/>
  <c r="E12" i="34"/>
  <c r="E13" i="34"/>
  <c r="E14" i="34"/>
  <c r="E15" i="34"/>
  <c r="E16" i="34"/>
  <c r="E17" i="34"/>
  <c r="E11" i="34"/>
  <c r="C11" i="34"/>
  <c r="B126" i="34"/>
  <c r="B102" i="34"/>
  <c r="B103" i="34"/>
  <c r="B104" i="34"/>
  <c r="B105" i="34"/>
  <c r="B106" i="34"/>
  <c r="B107" i="34"/>
  <c r="B108" i="34"/>
  <c r="B109" i="34"/>
  <c r="B110" i="34"/>
  <c r="B111" i="34"/>
  <c r="B112" i="34"/>
  <c r="B113" i="34"/>
  <c r="B114" i="34"/>
  <c r="B115" i="34"/>
  <c r="B116" i="34"/>
  <c r="B117" i="34"/>
  <c r="B118" i="34"/>
  <c r="B119" i="34"/>
  <c r="B120" i="34"/>
  <c r="B121" i="34"/>
  <c r="B122" i="34"/>
  <c r="B123" i="34"/>
  <c r="B124" i="34"/>
  <c r="B125" i="34"/>
  <c r="B12" i="34"/>
  <c r="B13" i="34"/>
  <c r="B14" i="34"/>
  <c r="B15" i="34"/>
  <c r="B16" i="34"/>
  <c r="B17" i="34"/>
  <c r="B18" i="34"/>
  <c r="E18" i="34" s="1"/>
  <c r="B19" i="34"/>
  <c r="E19" i="34" s="1"/>
  <c r="B20" i="34"/>
  <c r="E20" i="34" s="1"/>
  <c r="B21" i="34"/>
  <c r="E21" i="34" s="1"/>
  <c r="B22" i="34"/>
  <c r="E22" i="34" s="1"/>
  <c r="B23" i="34"/>
  <c r="E23" i="34" s="1"/>
  <c r="B24" i="34"/>
  <c r="E24" i="34" s="1"/>
  <c r="B25" i="34"/>
  <c r="E25" i="34" s="1"/>
  <c r="B26" i="34"/>
  <c r="E26" i="34" s="1"/>
  <c r="B27" i="34"/>
  <c r="E27" i="34" s="1"/>
  <c r="B28" i="34"/>
  <c r="E28" i="34" s="1"/>
  <c r="B29" i="34"/>
  <c r="B30" i="34"/>
  <c r="B31" i="34"/>
  <c r="E31" i="34" s="1"/>
  <c r="B32" i="34"/>
  <c r="E32" i="34" s="1"/>
  <c r="B33" i="34"/>
  <c r="E33" i="34" s="1"/>
  <c r="B34" i="34"/>
  <c r="E34" i="34" s="1"/>
  <c r="B35" i="34"/>
  <c r="E35" i="34" s="1"/>
  <c r="B36" i="34"/>
  <c r="E36" i="34" s="1"/>
  <c r="B37" i="34"/>
  <c r="E37" i="34" s="1"/>
  <c r="B38" i="34"/>
  <c r="E38" i="34" s="1"/>
  <c r="B39" i="34"/>
  <c r="E39" i="34" s="1"/>
  <c r="B40" i="34"/>
  <c r="E40" i="34" s="1"/>
  <c r="B41" i="34"/>
  <c r="E41" i="34" s="1"/>
  <c r="B42" i="34"/>
  <c r="E42" i="34" s="1"/>
  <c r="B43" i="34"/>
  <c r="E43" i="34" s="1"/>
  <c r="B44" i="34"/>
  <c r="E44" i="34" s="1"/>
  <c r="B45" i="34"/>
  <c r="E45" i="34" s="1"/>
  <c r="B46" i="34"/>
  <c r="E46" i="34" s="1"/>
  <c r="B47" i="34"/>
  <c r="E47" i="34" s="1"/>
  <c r="B48" i="34"/>
  <c r="E48" i="34" s="1"/>
  <c r="B49" i="34"/>
  <c r="E49" i="34" s="1"/>
  <c r="B50" i="34"/>
  <c r="E50" i="34" s="1"/>
  <c r="B51" i="34"/>
  <c r="E51" i="34" s="1"/>
  <c r="B52" i="34"/>
  <c r="E52" i="34" s="1"/>
  <c r="B53" i="34"/>
  <c r="E53" i="34" s="1"/>
  <c r="B54" i="34"/>
  <c r="B55" i="34"/>
  <c r="E55" i="34" s="1"/>
  <c r="B56" i="34"/>
  <c r="E56" i="34" s="1"/>
  <c r="B57" i="34"/>
  <c r="E57" i="34" s="1"/>
  <c r="B58" i="34"/>
  <c r="E58" i="34" s="1"/>
  <c r="B59" i="34"/>
  <c r="E59" i="34" s="1"/>
  <c r="B60" i="34"/>
  <c r="E60" i="34" s="1"/>
  <c r="B61" i="34"/>
  <c r="E61" i="34" s="1"/>
  <c r="B62" i="34"/>
  <c r="E62" i="34" s="1"/>
  <c r="B63" i="34"/>
  <c r="E63" i="34" s="1"/>
  <c r="B64" i="34"/>
  <c r="E64" i="34" s="1"/>
  <c r="B65" i="34"/>
  <c r="E65" i="34" s="1"/>
  <c r="B66" i="34"/>
  <c r="E66" i="34" s="1"/>
  <c r="B67" i="34"/>
  <c r="B68" i="34"/>
  <c r="E68" i="34" s="1"/>
  <c r="B69" i="34"/>
  <c r="E69" i="34" s="1"/>
  <c r="B70" i="34"/>
  <c r="E70" i="34" s="1"/>
  <c r="B71" i="34"/>
  <c r="E71" i="34" s="1"/>
  <c r="B72" i="34"/>
  <c r="E72" i="34" s="1"/>
  <c r="B73" i="34"/>
  <c r="E73" i="34" s="1"/>
  <c r="B74" i="34"/>
  <c r="E74" i="34" s="1"/>
  <c r="B75" i="34"/>
  <c r="E75" i="34" s="1"/>
  <c r="B76" i="34"/>
  <c r="E76" i="34" s="1"/>
  <c r="B77" i="34"/>
  <c r="E77" i="34" s="1"/>
  <c r="B78" i="34"/>
  <c r="E78" i="34" s="1"/>
  <c r="B79" i="34"/>
  <c r="E79" i="34" s="1"/>
  <c r="B80" i="34"/>
  <c r="E80" i="34" s="1"/>
  <c r="B81" i="34"/>
  <c r="B82" i="34"/>
  <c r="E82" i="34" s="1"/>
  <c r="B83" i="34"/>
  <c r="E83" i="34" s="1"/>
  <c r="B84" i="34"/>
  <c r="E84" i="34" s="1"/>
  <c r="B85" i="34"/>
  <c r="E85" i="34" s="1"/>
  <c r="B86" i="34"/>
  <c r="E86" i="34" s="1"/>
  <c r="B87" i="34"/>
  <c r="E87" i="34" s="1"/>
  <c r="B88" i="34"/>
  <c r="E88" i="34" s="1"/>
  <c r="B89" i="34"/>
  <c r="E89" i="34" s="1"/>
  <c r="B90" i="34"/>
  <c r="B91" i="34"/>
  <c r="E91" i="34" s="1"/>
  <c r="B92" i="34"/>
  <c r="B93" i="34"/>
  <c r="B94" i="34"/>
  <c r="B95" i="34"/>
  <c r="E95" i="34" s="1"/>
  <c r="B96" i="34"/>
  <c r="E96" i="34" s="1"/>
  <c r="B97" i="34"/>
  <c r="E97" i="34" s="1"/>
  <c r="B98" i="34"/>
  <c r="E98" i="34" s="1"/>
  <c r="B99" i="34"/>
  <c r="E99" i="34" s="1"/>
  <c r="B100" i="34"/>
  <c r="E100" i="34" s="1"/>
  <c r="B101" i="34"/>
  <c r="E101" i="34" s="1"/>
  <c r="B11" i="34"/>
  <c r="C117" i="35"/>
  <c r="AB116" i="35"/>
  <c r="A116" i="35"/>
  <c r="AB115" i="35"/>
  <c r="A115" i="35"/>
  <c r="AB114" i="35"/>
  <c r="A114" i="35"/>
  <c r="AB113" i="35"/>
  <c r="A113" i="35"/>
  <c r="AB112" i="35"/>
  <c r="A112" i="35"/>
  <c r="AB111" i="35"/>
  <c r="A111" i="35"/>
  <c r="AB110" i="35"/>
  <c r="A110" i="35"/>
  <c r="AB109" i="35"/>
  <c r="A109" i="35"/>
  <c r="AB108" i="35"/>
  <c r="A108" i="35"/>
  <c r="AB107" i="35"/>
  <c r="A107" i="35"/>
  <c r="AB106" i="35"/>
  <c r="A106" i="35"/>
  <c r="AB105" i="35"/>
  <c r="A105" i="35"/>
  <c r="AB104" i="35"/>
  <c r="A104" i="35"/>
  <c r="AB103" i="35"/>
  <c r="A103" i="35"/>
  <c r="AB102" i="35"/>
  <c r="A102" i="35"/>
  <c r="AB101" i="35"/>
  <c r="A101" i="35"/>
  <c r="AB100" i="35"/>
  <c r="A100" i="35"/>
  <c r="AB99" i="35"/>
  <c r="A99" i="35"/>
  <c r="AB98" i="35"/>
  <c r="A98" i="35"/>
  <c r="AB97" i="35"/>
  <c r="A97" i="35"/>
  <c r="AB96" i="35"/>
  <c r="A96" i="35"/>
  <c r="AB95" i="35"/>
  <c r="A95" i="35"/>
  <c r="AB94" i="35"/>
  <c r="A94" i="35"/>
  <c r="AB93" i="35"/>
  <c r="A93" i="35"/>
  <c r="AB92" i="35"/>
  <c r="A92" i="35"/>
  <c r="AB91" i="35"/>
  <c r="A91" i="35"/>
  <c r="AB90" i="35"/>
  <c r="A90" i="35"/>
  <c r="AB89" i="35"/>
  <c r="A89" i="35"/>
  <c r="AB88" i="35"/>
  <c r="A88" i="35"/>
  <c r="AB87" i="35"/>
  <c r="A87" i="35"/>
  <c r="AB86" i="35"/>
  <c r="A86" i="35"/>
  <c r="AB85" i="35"/>
  <c r="A85" i="35"/>
  <c r="AB84" i="35"/>
  <c r="A84" i="35"/>
  <c r="AB83" i="35"/>
  <c r="A83" i="35"/>
  <c r="AB82" i="35"/>
  <c r="A82" i="35"/>
  <c r="AB81" i="35"/>
  <c r="A81" i="35"/>
  <c r="AB80" i="35"/>
  <c r="A80" i="35"/>
  <c r="AB79" i="35"/>
  <c r="A79" i="35"/>
  <c r="AB78" i="35"/>
  <c r="A78" i="35"/>
  <c r="AB77" i="35"/>
  <c r="A77" i="35"/>
  <c r="AB76" i="35"/>
  <c r="A76" i="35"/>
  <c r="AB75" i="35"/>
  <c r="A75" i="35"/>
  <c r="AB74" i="35"/>
  <c r="A74" i="35"/>
  <c r="AB73" i="35"/>
  <c r="A73" i="35"/>
  <c r="AB72" i="35"/>
  <c r="A72" i="35"/>
  <c r="AB71" i="35"/>
  <c r="A71" i="35"/>
  <c r="AB70" i="35"/>
  <c r="A70" i="35"/>
  <c r="AB69" i="35"/>
  <c r="A69" i="35"/>
  <c r="AB68" i="35"/>
  <c r="A68" i="35"/>
  <c r="AB67" i="35"/>
  <c r="A67" i="35"/>
  <c r="AB66" i="35"/>
  <c r="A66" i="35"/>
  <c r="AB65" i="35"/>
  <c r="A65" i="35"/>
  <c r="AB64" i="35"/>
  <c r="A64" i="35"/>
  <c r="AB63" i="35"/>
  <c r="A63" i="35"/>
  <c r="AB62" i="35"/>
  <c r="A62" i="35"/>
  <c r="AB61" i="35"/>
  <c r="A61" i="35"/>
  <c r="AB60" i="35"/>
  <c r="A60" i="35"/>
  <c r="AB59" i="35"/>
  <c r="A59" i="35"/>
  <c r="AB58" i="35"/>
  <c r="A58" i="35"/>
  <c r="AB57" i="35"/>
  <c r="A57" i="35"/>
  <c r="AB56" i="35"/>
  <c r="A56" i="35"/>
  <c r="AB55" i="35"/>
  <c r="A55" i="35"/>
  <c r="AB54" i="35"/>
  <c r="A54" i="35"/>
  <c r="AB53" i="35"/>
  <c r="A53" i="35"/>
  <c r="AB52" i="35"/>
  <c r="A52" i="35"/>
  <c r="AB51" i="35"/>
  <c r="A51" i="35"/>
  <c r="AB50" i="35"/>
  <c r="A50" i="35"/>
  <c r="AB49" i="35"/>
  <c r="A49" i="35"/>
  <c r="AB48" i="35"/>
  <c r="A48" i="35"/>
  <c r="AB47" i="35"/>
  <c r="A47" i="35"/>
  <c r="AB46" i="35"/>
  <c r="A46" i="35"/>
  <c r="AB45" i="35"/>
  <c r="A45" i="35"/>
  <c r="AB44" i="35"/>
  <c r="A44" i="35"/>
  <c r="AB43" i="35"/>
  <c r="A43" i="35"/>
  <c r="AB42" i="35"/>
  <c r="A42" i="35"/>
  <c r="AB41" i="35"/>
  <c r="A41" i="35"/>
  <c r="AB40" i="35"/>
  <c r="A40" i="35"/>
  <c r="AB39" i="35"/>
  <c r="A39" i="35"/>
  <c r="AB38" i="35"/>
  <c r="A38" i="35"/>
  <c r="AB37" i="35"/>
  <c r="A37" i="35"/>
  <c r="AB36" i="35"/>
  <c r="A36" i="35"/>
  <c r="AB35" i="35"/>
  <c r="A35" i="35"/>
  <c r="AB34" i="35"/>
  <c r="A34" i="35"/>
  <c r="AB33" i="35"/>
  <c r="A33" i="35"/>
  <c r="AB32" i="35"/>
  <c r="A32" i="35"/>
  <c r="AB31" i="35"/>
  <c r="A31" i="35"/>
  <c r="AB30" i="35"/>
  <c r="A30" i="35"/>
  <c r="AB29" i="35"/>
  <c r="A29" i="35"/>
  <c r="AB28" i="35"/>
  <c r="A28" i="35"/>
  <c r="AB27" i="35"/>
  <c r="A27" i="35"/>
  <c r="AB26" i="35"/>
  <c r="A26" i="35"/>
  <c r="AB25" i="35"/>
  <c r="A25" i="35"/>
  <c r="AB24" i="35"/>
  <c r="A24" i="35"/>
  <c r="AB23" i="35"/>
  <c r="A23" i="35"/>
  <c r="AB22" i="35"/>
  <c r="A22" i="35"/>
  <c r="AB21" i="35"/>
  <c r="A21" i="35"/>
  <c r="AB20" i="35"/>
  <c r="A20" i="35"/>
  <c r="AB19" i="35"/>
  <c r="A19" i="35"/>
  <c r="AB18" i="35"/>
  <c r="A18" i="35"/>
  <c r="AB17" i="35"/>
  <c r="A17" i="35"/>
  <c r="AB16" i="35"/>
  <c r="A16" i="35"/>
  <c r="AB15" i="35"/>
  <c r="A15" i="35"/>
  <c r="AB14" i="35"/>
  <c r="A14" i="35"/>
  <c r="AB13" i="35"/>
  <c r="A13" i="35"/>
  <c r="AB12" i="35"/>
  <c r="A12" i="35"/>
  <c r="AB11" i="35"/>
  <c r="A11" i="35"/>
  <c r="AB10" i="35"/>
  <c r="A10" i="35"/>
  <c r="AB9" i="35"/>
  <c r="A9" i="35"/>
  <c r="AB8" i="35"/>
  <c r="A8" i="35"/>
  <c r="AB7" i="35"/>
  <c r="A7" i="35"/>
  <c r="AB6" i="35"/>
  <c r="A6" i="35"/>
  <c r="AB5" i="35"/>
  <c r="A5" i="35"/>
  <c r="AB4" i="35"/>
  <c r="A4" i="35"/>
  <c r="AB3" i="35"/>
  <c r="A3" i="35"/>
  <c r="AB2" i="35"/>
  <c r="AB117" i="35" s="1"/>
  <c r="A2" i="35"/>
  <c r="E94" i="34"/>
  <c r="E93" i="34"/>
  <c r="E92" i="34"/>
  <c r="E81" i="34"/>
  <c r="E30" i="34"/>
  <c r="E29" i="34"/>
  <c r="G107" i="32"/>
  <c r="E96" i="32"/>
  <c r="E97" i="32"/>
  <c r="E98" i="32"/>
  <c r="E99" i="32"/>
  <c r="E100" i="32"/>
  <c r="E101" i="32"/>
  <c r="E102" i="32"/>
  <c r="E103" i="32"/>
  <c r="E104" i="32"/>
  <c r="E105" i="32"/>
  <c r="E106" i="32"/>
  <c r="E95" i="32"/>
  <c r="E84" i="32"/>
  <c r="E85" i="32"/>
  <c r="E86" i="32"/>
  <c r="E87" i="32"/>
  <c r="E88" i="32"/>
  <c r="E89" i="32"/>
  <c r="E90" i="32"/>
  <c r="E91" i="32"/>
  <c r="E92" i="32"/>
  <c r="E93" i="32"/>
  <c r="E94" i="32"/>
  <c r="E83" i="32"/>
  <c r="E72" i="32"/>
  <c r="E73" i="32"/>
  <c r="E74" i="32"/>
  <c r="E75" i="32"/>
  <c r="E76" i="32"/>
  <c r="E77" i="32"/>
  <c r="E78" i="32"/>
  <c r="E79" i="32"/>
  <c r="E80" i="32"/>
  <c r="E81" i="32"/>
  <c r="E82" i="32"/>
  <c r="E71" i="32"/>
  <c r="E60" i="32"/>
  <c r="E61" i="32"/>
  <c r="E62" i="32"/>
  <c r="E63" i="32"/>
  <c r="E64" i="32"/>
  <c r="E65" i="32"/>
  <c r="E66" i="32"/>
  <c r="E67" i="32"/>
  <c r="E68" i="32"/>
  <c r="E69" i="32"/>
  <c r="E70" i="32"/>
  <c r="E59" i="32"/>
  <c r="E48" i="32"/>
  <c r="E49" i="32"/>
  <c r="E50" i="32"/>
  <c r="E51" i="32"/>
  <c r="E52" i="32"/>
  <c r="E53" i="32"/>
  <c r="E54" i="32"/>
  <c r="E55" i="32"/>
  <c r="E56" i="32"/>
  <c r="E57" i="32"/>
  <c r="E58" i="32"/>
  <c r="E47" i="32"/>
  <c r="E36" i="32"/>
  <c r="E37" i="32"/>
  <c r="E38" i="32"/>
  <c r="E39" i="32"/>
  <c r="E40" i="32"/>
  <c r="E41" i="32"/>
  <c r="E42" i="32"/>
  <c r="E43" i="32"/>
  <c r="E44" i="32"/>
  <c r="E45" i="32"/>
  <c r="E46" i="32"/>
  <c r="E35" i="32"/>
  <c r="E24" i="32"/>
  <c r="E25" i="32"/>
  <c r="E26" i="32"/>
  <c r="E27" i="32"/>
  <c r="E28" i="32"/>
  <c r="E29" i="32"/>
  <c r="E30" i="32"/>
  <c r="E31" i="32"/>
  <c r="E32" i="32"/>
  <c r="E33" i="32"/>
  <c r="E34" i="32"/>
  <c r="E23" i="32"/>
  <c r="E12" i="32"/>
  <c r="E13" i="32"/>
  <c r="E14" i="32"/>
  <c r="E15" i="32"/>
  <c r="E16" i="32"/>
  <c r="E17" i="32"/>
  <c r="E18" i="32"/>
  <c r="E19" i="32"/>
  <c r="E20" i="32"/>
  <c r="E21" i="32"/>
  <c r="E22" i="32"/>
  <c r="E11" i="32"/>
  <c r="AD287" i="33"/>
  <c r="AD281" i="33"/>
  <c r="B104" i="32" s="1"/>
  <c r="AD278" i="33"/>
  <c r="B103" i="32" s="1"/>
  <c r="AD275" i="33"/>
  <c r="B102" i="32" s="1"/>
  <c r="AD269" i="33"/>
  <c r="B100" i="32" s="1"/>
  <c r="AD266" i="33"/>
  <c r="AD263" i="33"/>
  <c r="B98" i="32" s="1"/>
  <c r="AD260" i="33"/>
  <c r="B97" i="32" s="1"/>
  <c r="AD254" i="33"/>
  <c r="AD248" i="33"/>
  <c r="AD245" i="33"/>
  <c r="B92" i="32" s="1"/>
  <c r="AD242" i="33"/>
  <c r="B91" i="32" s="1"/>
  <c r="AD239" i="33"/>
  <c r="AD233" i="33"/>
  <c r="B88" i="32" s="1"/>
  <c r="AD230" i="33"/>
  <c r="B87" i="32" s="1"/>
  <c r="AD227" i="33"/>
  <c r="B86" i="32" s="1"/>
  <c r="AD221" i="33"/>
  <c r="AD218" i="33"/>
  <c r="AD215" i="33"/>
  <c r="AD212" i="33"/>
  <c r="AD206" i="33"/>
  <c r="B79" i="32" s="1"/>
  <c r="AD200" i="33"/>
  <c r="B77" i="32" s="1"/>
  <c r="AD197" i="33"/>
  <c r="B76" i="32" s="1"/>
  <c r="AD194" i="33"/>
  <c r="B75" i="32" s="1"/>
  <c r="AD191" i="33"/>
  <c r="B74" i="32" s="1"/>
  <c r="AD185" i="33"/>
  <c r="B72" i="32" s="1"/>
  <c r="AD182" i="33"/>
  <c r="B71" i="32" s="1"/>
  <c r="AD179" i="33"/>
  <c r="B70" i="32" s="1"/>
  <c r="AD173" i="33"/>
  <c r="B68" i="32" s="1"/>
  <c r="AD170" i="33"/>
  <c r="AD167" i="33"/>
  <c r="B66" i="32" s="1"/>
  <c r="AD164" i="33"/>
  <c r="B65" i="32" s="1"/>
  <c r="AD158" i="33"/>
  <c r="B63" i="32" s="1"/>
  <c r="AD152" i="33"/>
  <c r="B61" i="32" s="1"/>
  <c r="AD149" i="33"/>
  <c r="B60" i="32" s="1"/>
  <c r="AD146" i="33"/>
  <c r="B59" i="32" s="1"/>
  <c r="AD143" i="33"/>
  <c r="AD137" i="33"/>
  <c r="AD134" i="33"/>
  <c r="AD131" i="33"/>
  <c r="B54" i="32" s="1"/>
  <c r="AD125" i="33"/>
  <c r="AD122" i="33"/>
  <c r="B51" i="32" s="1"/>
  <c r="AD119" i="33"/>
  <c r="B50" i="32" s="1"/>
  <c r="AD116" i="33"/>
  <c r="B49" i="32" s="1"/>
  <c r="AD110" i="33"/>
  <c r="B47" i="32" s="1"/>
  <c r="AD104" i="33"/>
  <c r="B45" i="32" s="1"/>
  <c r="AD101" i="33"/>
  <c r="B44" i="32" s="1"/>
  <c r="AD98" i="33"/>
  <c r="B43" i="32" s="1"/>
  <c r="AD95" i="33"/>
  <c r="AD89" i="33"/>
  <c r="AD86" i="33"/>
  <c r="AD83" i="33"/>
  <c r="B38" i="32" s="1"/>
  <c r="AD77" i="33"/>
  <c r="B36" i="32" s="1"/>
  <c r="AD74" i="33"/>
  <c r="AD71" i="33"/>
  <c r="B34" i="32" s="1"/>
  <c r="AD68" i="33"/>
  <c r="B33" i="32" s="1"/>
  <c r="AD62" i="33"/>
  <c r="B31" i="32" s="1"/>
  <c r="AD56" i="33"/>
  <c r="AD53" i="33"/>
  <c r="B28" i="32" s="1"/>
  <c r="AD50" i="33"/>
  <c r="B27" i="32" s="1"/>
  <c r="AD47" i="33"/>
  <c r="B26" i="32" s="1"/>
  <c r="AD41" i="33"/>
  <c r="B24" i="32" s="1"/>
  <c r="AD38" i="33"/>
  <c r="B23" i="32" s="1"/>
  <c r="AD35" i="33"/>
  <c r="B22" i="32" s="1"/>
  <c r="AD29" i="33"/>
  <c r="B20" i="32" s="1"/>
  <c r="AD26" i="33"/>
  <c r="AD23" i="33"/>
  <c r="B18" i="32" s="1"/>
  <c r="AD20" i="33"/>
  <c r="B17" i="32" s="1"/>
  <c r="AD14" i="33"/>
  <c r="AD8" i="33"/>
  <c r="AD5" i="33"/>
  <c r="B12" i="32" s="1"/>
  <c r="AD2" i="33"/>
  <c r="B11" i="32" s="1"/>
  <c r="B106" i="32"/>
  <c r="B99" i="32"/>
  <c r="B95" i="32"/>
  <c r="B93" i="32"/>
  <c r="B90" i="32"/>
  <c r="B84" i="32"/>
  <c r="B83" i="32"/>
  <c r="B82" i="32"/>
  <c r="B81" i="32"/>
  <c r="B67" i="32"/>
  <c r="B58" i="32"/>
  <c r="B56" i="32"/>
  <c r="B55" i="32"/>
  <c r="B52" i="32"/>
  <c r="B42" i="32"/>
  <c r="B40" i="32"/>
  <c r="B39" i="32"/>
  <c r="B35" i="32"/>
  <c r="B29" i="32"/>
  <c r="B19" i="32"/>
  <c r="B15" i="32"/>
  <c r="B13" i="32"/>
  <c r="E16" i="27"/>
  <c r="E17" i="27"/>
  <c r="E28" i="27"/>
  <c r="E29" i="27"/>
  <c r="E40" i="27"/>
  <c r="E41" i="27"/>
  <c r="E52" i="27"/>
  <c r="E53" i="27"/>
  <c r="E64" i="27"/>
  <c r="E65" i="27"/>
  <c r="E76" i="27"/>
  <c r="E77" i="27"/>
  <c r="E88" i="27"/>
  <c r="E89" i="27"/>
  <c r="E100" i="27"/>
  <c r="E101" i="27"/>
  <c r="E12" i="27"/>
  <c r="E13" i="27"/>
  <c r="C52" i="27"/>
  <c r="C16" i="27"/>
  <c r="B16" i="27"/>
  <c r="B17" i="27"/>
  <c r="B18" i="27"/>
  <c r="E18" i="27" s="1"/>
  <c r="B19" i="27"/>
  <c r="E19" i="27" s="1"/>
  <c r="B20" i="27"/>
  <c r="E20" i="27" s="1"/>
  <c r="B21" i="27"/>
  <c r="E21" i="27" s="1"/>
  <c r="B22" i="27"/>
  <c r="E22" i="27" s="1"/>
  <c r="B23" i="27"/>
  <c r="E23" i="27" s="1"/>
  <c r="B24" i="27"/>
  <c r="E24" i="27" s="1"/>
  <c r="B25" i="27"/>
  <c r="E25" i="27" s="1"/>
  <c r="B26" i="27"/>
  <c r="E26" i="27" s="1"/>
  <c r="B27" i="27"/>
  <c r="E27" i="27" s="1"/>
  <c r="B28" i="27"/>
  <c r="C28" i="27" s="1"/>
  <c r="B29" i="27"/>
  <c r="B30" i="27"/>
  <c r="E30" i="27" s="1"/>
  <c r="B31" i="27"/>
  <c r="E31" i="27" s="1"/>
  <c r="B32" i="27"/>
  <c r="E32" i="27" s="1"/>
  <c r="B33" i="27"/>
  <c r="E33" i="27" s="1"/>
  <c r="B34" i="27"/>
  <c r="E34" i="27" s="1"/>
  <c r="B35" i="27"/>
  <c r="E35" i="27" s="1"/>
  <c r="B36" i="27"/>
  <c r="E36" i="27" s="1"/>
  <c r="B37" i="27"/>
  <c r="E37" i="27" s="1"/>
  <c r="B38" i="27"/>
  <c r="E38" i="27" s="1"/>
  <c r="B39" i="27"/>
  <c r="E39" i="27" s="1"/>
  <c r="B40" i="27"/>
  <c r="C40" i="27" s="1"/>
  <c r="B41" i="27"/>
  <c r="B42" i="27"/>
  <c r="E42" i="27" s="1"/>
  <c r="B43" i="27"/>
  <c r="E43" i="27" s="1"/>
  <c r="B44" i="27"/>
  <c r="E44" i="27" s="1"/>
  <c r="B45" i="27"/>
  <c r="E45" i="27" s="1"/>
  <c r="B46" i="27"/>
  <c r="E46" i="27" s="1"/>
  <c r="B47" i="27"/>
  <c r="E47" i="27" s="1"/>
  <c r="B48" i="27"/>
  <c r="E48" i="27" s="1"/>
  <c r="B49" i="27"/>
  <c r="E49" i="27" s="1"/>
  <c r="B50" i="27"/>
  <c r="E50" i="27" s="1"/>
  <c r="B51" i="27"/>
  <c r="E51" i="27" s="1"/>
  <c r="B52" i="27"/>
  <c r="B53" i="27"/>
  <c r="B54" i="27"/>
  <c r="E54" i="27" s="1"/>
  <c r="B55" i="27"/>
  <c r="E55" i="27" s="1"/>
  <c r="B56" i="27"/>
  <c r="E56" i="27" s="1"/>
  <c r="B57" i="27"/>
  <c r="E57" i="27" s="1"/>
  <c r="B58" i="27"/>
  <c r="E58" i="27" s="1"/>
  <c r="B59" i="27"/>
  <c r="E59" i="27" s="1"/>
  <c r="B60" i="27"/>
  <c r="E60" i="27" s="1"/>
  <c r="B61" i="27"/>
  <c r="E61" i="27" s="1"/>
  <c r="B62" i="27"/>
  <c r="E62" i="27" s="1"/>
  <c r="B63" i="27"/>
  <c r="E63" i="27" s="1"/>
  <c r="B64" i="27"/>
  <c r="C64" i="27" s="1"/>
  <c r="B65" i="27"/>
  <c r="B66" i="27"/>
  <c r="E66" i="27" s="1"/>
  <c r="B67" i="27"/>
  <c r="E67" i="27" s="1"/>
  <c r="B68" i="27"/>
  <c r="E68" i="27" s="1"/>
  <c r="B69" i="27"/>
  <c r="E69" i="27" s="1"/>
  <c r="B70" i="27"/>
  <c r="E70" i="27" s="1"/>
  <c r="B71" i="27"/>
  <c r="E71" i="27" s="1"/>
  <c r="B72" i="27"/>
  <c r="E72" i="27" s="1"/>
  <c r="B73" i="27"/>
  <c r="E73" i="27" s="1"/>
  <c r="B74" i="27"/>
  <c r="E74" i="27" s="1"/>
  <c r="B75" i="27"/>
  <c r="E75" i="27" s="1"/>
  <c r="B76" i="27"/>
  <c r="C76" i="27" s="1"/>
  <c r="B77" i="27"/>
  <c r="B78" i="27"/>
  <c r="E78" i="27" s="1"/>
  <c r="B79" i="27"/>
  <c r="E79" i="27" s="1"/>
  <c r="B80" i="27"/>
  <c r="E80" i="27" s="1"/>
  <c r="B81" i="27"/>
  <c r="E81" i="27" s="1"/>
  <c r="B82" i="27"/>
  <c r="E82" i="27" s="1"/>
  <c r="B83" i="27"/>
  <c r="E83" i="27" s="1"/>
  <c r="B84" i="27"/>
  <c r="E84" i="27" s="1"/>
  <c r="B85" i="27"/>
  <c r="E85" i="27" s="1"/>
  <c r="B86" i="27"/>
  <c r="E86" i="27" s="1"/>
  <c r="B87" i="27"/>
  <c r="E87" i="27" s="1"/>
  <c r="B88" i="27"/>
  <c r="C88" i="27" s="1"/>
  <c r="B89" i="27"/>
  <c r="B90" i="27"/>
  <c r="E90" i="27" s="1"/>
  <c r="B91" i="27"/>
  <c r="E91" i="27" s="1"/>
  <c r="B92" i="27"/>
  <c r="E92" i="27" s="1"/>
  <c r="B93" i="27"/>
  <c r="E93" i="27" s="1"/>
  <c r="B94" i="27"/>
  <c r="E94" i="27" s="1"/>
  <c r="B95" i="27"/>
  <c r="E95" i="27" s="1"/>
  <c r="B96" i="27"/>
  <c r="E96" i="27" s="1"/>
  <c r="B97" i="27"/>
  <c r="E97" i="27" s="1"/>
  <c r="B98" i="27"/>
  <c r="E98" i="27" s="1"/>
  <c r="B99" i="27"/>
  <c r="E99" i="27" s="1"/>
  <c r="B100" i="27"/>
  <c r="C100" i="27" s="1"/>
  <c r="B101" i="27"/>
  <c r="B102" i="27"/>
  <c r="E102" i="27" s="1"/>
  <c r="B103" i="27"/>
  <c r="E103" i="27" s="1"/>
  <c r="B104" i="27"/>
  <c r="E104" i="27" s="1"/>
  <c r="B105" i="27"/>
  <c r="E105" i="27" s="1"/>
  <c r="B106" i="27"/>
  <c r="E106" i="27" s="1"/>
  <c r="B107" i="27"/>
  <c r="E107" i="27" s="1"/>
  <c r="B108" i="27"/>
  <c r="E108" i="27" s="1"/>
  <c r="B109" i="27"/>
  <c r="E109" i="27" s="1"/>
  <c r="B110" i="27"/>
  <c r="E110" i="27" s="1"/>
  <c r="B111" i="27"/>
  <c r="E111" i="27" s="1"/>
  <c r="B15" i="27"/>
  <c r="E15" i="27" s="1"/>
  <c r="B14" i="27"/>
  <c r="E14" i="27" s="1"/>
  <c r="B13" i="27"/>
  <c r="B12" i="27"/>
  <c r="AC304" i="28"/>
  <c r="AC303" i="28"/>
  <c r="AD302" i="28" s="1"/>
  <c r="AC302" i="28"/>
  <c r="AC301" i="28"/>
  <c r="AC300" i="28"/>
  <c r="AD299" i="28"/>
  <c r="AC299" i="28"/>
  <c r="AC298" i="28"/>
  <c r="AC297" i="28"/>
  <c r="AC296" i="28"/>
  <c r="AD296" i="28" s="1"/>
  <c r="AC295" i="28"/>
  <c r="AD293" i="28" s="1"/>
  <c r="AC294" i="28"/>
  <c r="AC293" i="28"/>
  <c r="AC292" i="28"/>
  <c r="AC291" i="28"/>
  <c r="AD290" i="28"/>
  <c r="AC290" i="28"/>
  <c r="AC289" i="28"/>
  <c r="AC288" i="28"/>
  <c r="AD287" i="28"/>
  <c r="AC287" i="28"/>
  <c r="AC286" i="28"/>
  <c r="AC285" i="28"/>
  <c r="AD284" i="28"/>
  <c r="AC284" i="28"/>
  <c r="AC283" i="28"/>
  <c r="AC282" i="28"/>
  <c r="AD281" i="28"/>
  <c r="AC281" i="28"/>
  <c r="AC280" i="28"/>
  <c r="AC279" i="28"/>
  <c r="AD278" i="28"/>
  <c r="AC278" i="28"/>
  <c r="AC277" i="28"/>
  <c r="AC276" i="28"/>
  <c r="AD275" i="28"/>
  <c r="AC275" i="28"/>
  <c r="AC274" i="28"/>
  <c r="AC273" i="28"/>
  <c r="AC272" i="28"/>
  <c r="AD272" i="28" s="1"/>
  <c r="AC271" i="28"/>
  <c r="AC270" i="28"/>
  <c r="AD269" i="28"/>
  <c r="AC269" i="28"/>
  <c r="AC268" i="28"/>
  <c r="AC267" i="28"/>
  <c r="AD266" i="28"/>
  <c r="AC266" i="28"/>
  <c r="AC265" i="28"/>
  <c r="AC264" i="28"/>
  <c r="AD263" i="28"/>
  <c r="AC263" i="28"/>
  <c r="AC262" i="28"/>
  <c r="AC261" i="28"/>
  <c r="AC260" i="28"/>
  <c r="AD260" i="28" s="1"/>
  <c r="AC259" i="28"/>
  <c r="AC258" i="28"/>
  <c r="AD257" i="28"/>
  <c r="AC257" i="28"/>
  <c r="AC256" i="28"/>
  <c r="AC255" i="28"/>
  <c r="AD254" i="28"/>
  <c r="AC254" i="28"/>
  <c r="AC253" i="28"/>
  <c r="AC252" i="28"/>
  <c r="AD251" i="28"/>
  <c r="AC251" i="28"/>
  <c r="AC250" i="28"/>
  <c r="AC249" i="28"/>
  <c r="AC248" i="28"/>
  <c r="AD248" i="28" s="1"/>
  <c r="AC247" i="28"/>
  <c r="AC246" i="28"/>
  <c r="AD245" i="28"/>
  <c r="AC245" i="28"/>
  <c r="AC244" i="28"/>
  <c r="AC243" i="28"/>
  <c r="AD242" i="28"/>
  <c r="AC242" i="28"/>
  <c r="AC241" i="28"/>
  <c r="AC240" i="28"/>
  <c r="AD239" i="28"/>
  <c r="AC239" i="28"/>
  <c r="AC238" i="28"/>
  <c r="AC237" i="28"/>
  <c r="AC236" i="28"/>
  <c r="AD236" i="28" s="1"/>
  <c r="AC235" i="28"/>
  <c r="AC234" i="28"/>
  <c r="AD233" i="28"/>
  <c r="AC233" i="28"/>
  <c r="AC232" i="28"/>
  <c r="AC231" i="28"/>
  <c r="AD230" i="28"/>
  <c r="AC230" i="28"/>
  <c r="AC229" i="28"/>
  <c r="AC228" i="28"/>
  <c r="AD227" i="28"/>
  <c r="AC227" i="28"/>
  <c r="AC226" i="28"/>
  <c r="AC225" i="28"/>
  <c r="AC224" i="28"/>
  <c r="AD224" i="28" s="1"/>
  <c r="AC223" i="28"/>
  <c r="AC222" i="28"/>
  <c r="AD221" i="28"/>
  <c r="AC221" i="28"/>
  <c r="AC220" i="28"/>
  <c r="AC219" i="28"/>
  <c r="AD218" i="28"/>
  <c r="AC218" i="28"/>
  <c r="AC217" i="28"/>
  <c r="AC216" i="28"/>
  <c r="AD215" i="28"/>
  <c r="AC215" i="28"/>
  <c r="AC214" i="28"/>
  <c r="AC213" i="28"/>
  <c r="AC212" i="28"/>
  <c r="AD212" i="28" s="1"/>
  <c r="AC211" i="28"/>
  <c r="AC210" i="28"/>
  <c r="AD209" i="28"/>
  <c r="AC209" i="28"/>
  <c r="AC208" i="28"/>
  <c r="AC207" i="28"/>
  <c r="AD206" i="28"/>
  <c r="AC206" i="28"/>
  <c r="AC205" i="28"/>
  <c r="AC204" i="28"/>
  <c r="AD203" i="28"/>
  <c r="AC203" i="28"/>
  <c r="AC202" i="28"/>
  <c r="AC201" i="28"/>
  <c r="AC200" i="28"/>
  <c r="AD200" i="28" s="1"/>
  <c r="AC199" i="28"/>
  <c r="AC198" i="28"/>
  <c r="AD197" i="28"/>
  <c r="AC197" i="28"/>
  <c r="AC196" i="28"/>
  <c r="AC195" i="28"/>
  <c r="AD194" i="28"/>
  <c r="AC194" i="28"/>
  <c r="AC193" i="28"/>
  <c r="AC192" i="28"/>
  <c r="AD191" i="28"/>
  <c r="AC191" i="28"/>
  <c r="AC190" i="28"/>
  <c r="AC189" i="28"/>
  <c r="AC188" i="28"/>
  <c r="AD188" i="28" s="1"/>
  <c r="AC187" i="28"/>
  <c r="AC186" i="28"/>
  <c r="AD185" i="28"/>
  <c r="AC185" i="28"/>
  <c r="AC184" i="28"/>
  <c r="AC183" i="28"/>
  <c r="AD182" i="28"/>
  <c r="AC182" i="28"/>
  <c r="AC181" i="28"/>
  <c r="AC180" i="28"/>
  <c r="AD179" i="28"/>
  <c r="AC179" i="28"/>
  <c r="AC178" i="28"/>
  <c r="AC177" i="28"/>
  <c r="AC176" i="28"/>
  <c r="AD176" i="28" s="1"/>
  <c r="AC175" i="28"/>
  <c r="AC174" i="28"/>
  <c r="AD173" i="28"/>
  <c r="AC173" i="28"/>
  <c r="AC172" i="28"/>
  <c r="AC171" i="28"/>
  <c r="AD170" i="28"/>
  <c r="AC170" i="28"/>
  <c r="AC169" i="28"/>
  <c r="AC168" i="28"/>
  <c r="AD167" i="28"/>
  <c r="AC167" i="28"/>
  <c r="AC166" i="28"/>
  <c r="AC165" i="28"/>
  <c r="AC164" i="28"/>
  <c r="AD164" i="28" s="1"/>
  <c r="AC163" i="28"/>
  <c r="AC162" i="28"/>
  <c r="AD161" i="28"/>
  <c r="AC161" i="28"/>
  <c r="AC160" i="28"/>
  <c r="AC159" i="28"/>
  <c r="AD158" i="28"/>
  <c r="AC158" i="28"/>
  <c r="AC157" i="28"/>
  <c r="AC156" i="28"/>
  <c r="AD155" i="28"/>
  <c r="AC155" i="28"/>
  <c r="AC154" i="28"/>
  <c r="AC153" i="28"/>
  <c r="AC152" i="28"/>
  <c r="AD152" i="28" s="1"/>
  <c r="AC151" i="28"/>
  <c r="AC150" i="28"/>
  <c r="AD149" i="28"/>
  <c r="AC149" i="28"/>
  <c r="AC148" i="28"/>
  <c r="AC147" i="28"/>
  <c r="AD146" i="28"/>
  <c r="AC146" i="28"/>
  <c r="AC145" i="28"/>
  <c r="AC144" i="28"/>
  <c r="AD143" i="28"/>
  <c r="AC143" i="28"/>
  <c r="AC142" i="28"/>
  <c r="AC141" i="28"/>
  <c r="AC140" i="28"/>
  <c r="AD140" i="28" s="1"/>
  <c r="AC139" i="28"/>
  <c r="AC138" i="28"/>
  <c r="AD137" i="28"/>
  <c r="AC137" i="28"/>
  <c r="AC136" i="28"/>
  <c r="AC135" i="28"/>
  <c r="AD134" i="28"/>
  <c r="AC134" i="28"/>
  <c r="AC133" i="28"/>
  <c r="AC132" i="28"/>
  <c r="AD131" i="28"/>
  <c r="AC131" i="28"/>
  <c r="AC130" i="28"/>
  <c r="AC129" i="28"/>
  <c r="AC128" i="28"/>
  <c r="AD128" i="28" s="1"/>
  <c r="AC127" i="28"/>
  <c r="AC126" i="28"/>
  <c r="AD125" i="28"/>
  <c r="AC125" i="28"/>
  <c r="AC124" i="28"/>
  <c r="AC123" i="28"/>
  <c r="AD122" i="28"/>
  <c r="AC122" i="28"/>
  <c r="AC121" i="28"/>
  <c r="AC120" i="28"/>
  <c r="AD119" i="28"/>
  <c r="AC119" i="28"/>
  <c r="AC118" i="28"/>
  <c r="AC117" i="28"/>
  <c r="AC116" i="28"/>
  <c r="AD116" i="28" s="1"/>
  <c r="AC115" i="28"/>
  <c r="AC114" i="28"/>
  <c r="AD113" i="28"/>
  <c r="AC113" i="28"/>
  <c r="AC112" i="28"/>
  <c r="AC111" i="28"/>
  <c r="AD110" i="28"/>
  <c r="AC110" i="28"/>
  <c r="AC109" i="28"/>
  <c r="AC108" i="28"/>
  <c r="AD107" i="28"/>
  <c r="AC107" i="28"/>
  <c r="AC106" i="28"/>
  <c r="AC105" i="28"/>
  <c r="AC104" i="28"/>
  <c r="AD104" i="28" s="1"/>
  <c r="AC103" i="28"/>
  <c r="AC102" i="28"/>
  <c r="AD101" i="28"/>
  <c r="AC101" i="28"/>
  <c r="AC100" i="28"/>
  <c r="AC99" i="28"/>
  <c r="AD98" i="28"/>
  <c r="AC98" i="28"/>
  <c r="AC97" i="28"/>
  <c r="AC96" i="28"/>
  <c r="AD95" i="28"/>
  <c r="AC95" i="28"/>
  <c r="AC94" i="28"/>
  <c r="AC93" i="28"/>
  <c r="AC92" i="28"/>
  <c r="AD92" i="28" s="1"/>
  <c r="AC91" i="28"/>
  <c r="AC90" i="28"/>
  <c r="AD89" i="28"/>
  <c r="AC89" i="28"/>
  <c r="AC88" i="28"/>
  <c r="AC87" i="28"/>
  <c r="AD86" i="28"/>
  <c r="AC86" i="28"/>
  <c r="AC85" i="28"/>
  <c r="AC84" i="28"/>
  <c r="AD83" i="28"/>
  <c r="AC83" i="28"/>
  <c r="AC82" i="28"/>
  <c r="AC81" i="28"/>
  <c r="AC80" i="28"/>
  <c r="AD80" i="28" s="1"/>
  <c r="AC79" i="28"/>
  <c r="AC78" i="28"/>
  <c r="AD77" i="28"/>
  <c r="AC77" i="28"/>
  <c r="AC76" i="28"/>
  <c r="AC75" i="28"/>
  <c r="AD74" i="28"/>
  <c r="AC74" i="28"/>
  <c r="AC73" i="28"/>
  <c r="AC72" i="28"/>
  <c r="AD71" i="28"/>
  <c r="AC71" i="28"/>
  <c r="AC70" i="28"/>
  <c r="AC69" i="28"/>
  <c r="AC68" i="28"/>
  <c r="AD68" i="28" s="1"/>
  <c r="AC67" i="28"/>
  <c r="AC66" i="28"/>
  <c r="AD65" i="28"/>
  <c r="AC65" i="28"/>
  <c r="AC64" i="28"/>
  <c r="AC63" i="28"/>
  <c r="AD62" i="28"/>
  <c r="AC62" i="28"/>
  <c r="AC61" i="28"/>
  <c r="AC60" i="28"/>
  <c r="AD59" i="28"/>
  <c r="AC59" i="28"/>
  <c r="AC58" i="28"/>
  <c r="AC57" i="28"/>
  <c r="AC56" i="28"/>
  <c r="AD56" i="28" s="1"/>
  <c r="AC55" i="28"/>
  <c r="AC54" i="28"/>
  <c r="AD53" i="28"/>
  <c r="AC53" i="28"/>
  <c r="AC52" i="28"/>
  <c r="AC51" i="28"/>
  <c r="AD50" i="28"/>
  <c r="AC50" i="28"/>
  <c r="AC49" i="28"/>
  <c r="AC48" i="28"/>
  <c r="AD47" i="28"/>
  <c r="AC47" i="28"/>
  <c r="AC46" i="28"/>
  <c r="AC45" i="28"/>
  <c r="AC44" i="28"/>
  <c r="AD44" i="28" s="1"/>
  <c r="AC43" i="28"/>
  <c r="AC42" i="28"/>
  <c r="AD41" i="28"/>
  <c r="AC41" i="28"/>
  <c r="AC40" i="28"/>
  <c r="AC39" i="28"/>
  <c r="AD38" i="28"/>
  <c r="AC38" i="28"/>
  <c r="AC37" i="28"/>
  <c r="AC36" i="28"/>
  <c r="AD35" i="28"/>
  <c r="AC35" i="28"/>
  <c r="AC34" i="28"/>
  <c r="AC33" i="28"/>
  <c r="AC32" i="28"/>
  <c r="AD32" i="28" s="1"/>
  <c r="AC31" i="28"/>
  <c r="AC30" i="28"/>
  <c r="AD29" i="28"/>
  <c r="AC29" i="28"/>
  <c r="AC28" i="28"/>
  <c r="AC27" i="28"/>
  <c r="AD26" i="28"/>
  <c r="AC26" i="28"/>
  <c r="AC25" i="28"/>
  <c r="AC24" i="28"/>
  <c r="AD23" i="28"/>
  <c r="AC23" i="28"/>
  <c r="AC22" i="28"/>
  <c r="AC21" i="28"/>
  <c r="AC20" i="28"/>
  <c r="AD20" i="28" s="1"/>
  <c r="AC19" i="28"/>
  <c r="AC18" i="28"/>
  <c r="AD17" i="28"/>
  <c r="AC17" i="28"/>
  <c r="AC16" i="28"/>
  <c r="AC15" i="28"/>
  <c r="AD14" i="28"/>
  <c r="AC14" i="28"/>
  <c r="AC13" i="28"/>
  <c r="AC12" i="28"/>
  <c r="AD11" i="28"/>
  <c r="AC11" i="28"/>
  <c r="AC10" i="28"/>
  <c r="AC9" i="28"/>
  <c r="AC8" i="28"/>
  <c r="AD8" i="28" s="1"/>
  <c r="AC7" i="28"/>
  <c r="AC6" i="28"/>
  <c r="AD5" i="28"/>
  <c r="AC5" i="28"/>
  <c r="AC4" i="28"/>
  <c r="AC3" i="28"/>
  <c r="AC2" i="28"/>
  <c r="F100" i="27" l="1"/>
  <c r="F64" i="27"/>
  <c r="F52" i="27"/>
  <c r="F16" i="27"/>
  <c r="F40" i="27"/>
  <c r="F76" i="27"/>
  <c r="F88" i="27"/>
  <c r="F28" i="27"/>
  <c r="E112" i="27"/>
  <c r="F11" i="27"/>
  <c r="B112" i="27"/>
  <c r="C114" i="34"/>
  <c r="F102" i="34"/>
  <c r="C102" i="34"/>
  <c r="C90" i="34"/>
  <c r="C54" i="34"/>
  <c r="C66" i="34"/>
  <c r="F78" i="34"/>
  <c r="F90" i="34"/>
  <c r="F42" i="34"/>
  <c r="F18" i="34"/>
  <c r="F30" i="34"/>
  <c r="C30" i="34"/>
  <c r="E67" i="34"/>
  <c r="F66" i="34" s="1"/>
  <c r="E54" i="34"/>
  <c r="F54" i="34" s="1"/>
  <c r="C18" i="34"/>
  <c r="C42" i="34"/>
  <c r="C78" i="34"/>
  <c r="F11" i="32"/>
  <c r="F71" i="32"/>
  <c r="AD11" i="33"/>
  <c r="B14" i="32" s="1"/>
  <c r="AD59" i="33"/>
  <c r="B30" i="32" s="1"/>
  <c r="AD107" i="33"/>
  <c r="B46" i="32" s="1"/>
  <c r="AD155" i="33"/>
  <c r="B62" i="32" s="1"/>
  <c r="AD203" i="33"/>
  <c r="B78" i="32" s="1"/>
  <c r="AD251" i="33"/>
  <c r="B94" i="32" s="1"/>
  <c r="AD44" i="33"/>
  <c r="B25" i="32" s="1"/>
  <c r="AD92" i="33"/>
  <c r="B41" i="32" s="1"/>
  <c r="AD140" i="33"/>
  <c r="B57" i="32" s="1"/>
  <c r="AD188" i="33"/>
  <c r="B73" i="32" s="1"/>
  <c r="AD236" i="33"/>
  <c r="B89" i="32" s="1"/>
  <c r="AD284" i="33"/>
  <c r="B105" i="32" s="1"/>
  <c r="AD32" i="33"/>
  <c r="B21" i="32" s="1"/>
  <c r="AD80" i="33"/>
  <c r="B37" i="32" s="1"/>
  <c r="AD128" i="33"/>
  <c r="B53" i="32" s="1"/>
  <c r="AD176" i="33"/>
  <c r="B69" i="32" s="1"/>
  <c r="AD224" i="33"/>
  <c r="B85" i="32" s="1"/>
  <c r="AD272" i="33"/>
  <c r="B101" i="32" s="1"/>
  <c r="AD17" i="33"/>
  <c r="B16" i="32" s="1"/>
  <c r="AD65" i="33"/>
  <c r="B32" i="32" s="1"/>
  <c r="AD113" i="33"/>
  <c r="B48" i="32" s="1"/>
  <c r="AD161" i="33"/>
  <c r="B64" i="32" s="1"/>
  <c r="AD209" i="33"/>
  <c r="B80" i="32" s="1"/>
  <c r="AD257" i="33"/>
  <c r="B96" i="32" s="1"/>
  <c r="C11" i="27"/>
  <c r="C112" i="27" l="1"/>
  <c r="G112" i="27"/>
  <c r="F112" i="27"/>
  <c r="F126" i="34"/>
  <c r="E126" i="34"/>
  <c r="F83" i="32"/>
  <c r="F35" i="32"/>
  <c r="F23" i="32"/>
  <c r="F59" i="32"/>
  <c r="F47" i="32"/>
  <c r="B107" i="32"/>
  <c r="C11" i="32"/>
  <c r="C83" i="32"/>
  <c r="C23" i="32"/>
  <c r="C35" i="32"/>
  <c r="C47" i="32"/>
  <c r="C59" i="32"/>
  <c r="F95" i="32"/>
  <c r="C95" i="32"/>
  <c r="C71" i="32"/>
  <c r="C107" i="32"/>
  <c r="E107" i="32"/>
  <c r="F107" i="32" l="1"/>
</calcChain>
</file>

<file path=xl/sharedStrings.xml><?xml version="1.0" encoding="utf-8"?>
<sst xmlns="http://schemas.openxmlformats.org/spreadsheetml/2006/main" count="1057" uniqueCount="186">
  <si>
    <t>PROPONENTE</t>
  </si>
  <si>
    <t>NOTAS:</t>
  </si>
  <si>
    <t xml:space="preserve"> MES</t>
  </si>
  <si>
    <t>DEMANDA REQUERIDA DISPAC KWh</t>
  </si>
  <si>
    <t xml:space="preserve"> PORCENTAJE (%) OFERTADO DE LA DEMANDA REQUERIDA</t>
  </si>
  <si>
    <t>DEMANDA OFERTADA KWh - MES</t>
  </si>
  <si>
    <t>PRECIO OFERTADO $ kWh (0.00)</t>
  </si>
  <si>
    <t>TOTALES</t>
  </si>
  <si>
    <r>
      <t>(1) Oferta válida para la modalidad</t>
    </r>
    <r>
      <rPr>
        <b/>
        <sz val="12"/>
        <color theme="1"/>
        <rFont val="Verdana"/>
        <family val="2"/>
      </rPr>
      <t xml:space="preserve"> Pague lo Contratado.</t>
    </r>
  </si>
  <si>
    <t>Mes</t>
  </si>
  <si>
    <t>Oferente</t>
  </si>
  <si>
    <t>Nombre de quien suscribe el anexo</t>
  </si>
  <si>
    <t>Calidad del firmante</t>
  </si>
  <si>
    <t>(5) Los precios ofertados incluyen todos los pagos, cargos, impuestos, estampillas, etc., que el Proponente deba realizar ante cualquier entidad gubernamental, o empresa pública, privada o mixta para entregar la energía en la (s) frontera (s) con el Sistema de Transmisión Nacional – STN.</t>
  </si>
  <si>
    <t>DEMANDA PERIODO REQUERIDA DISPAC KWh</t>
  </si>
  <si>
    <t xml:space="preserve">(7) El precio máximo a adjudicar estará por debajo al precio que presente DISPAC S.A. E.S.P. en su oferta de reserva. </t>
  </si>
  <si>
    <t>(2) Las cantidades de energía se despacharan de acuerdo a la curva del Despacho Horario producto  (enero de 2026 a diciembre año 2033)  de los Pliegos de Condiciones Definitivos.</t>
  </si>
  <si>
    <t>ENERO DE 2026</t>
  </si>
  <si>
    <t>FEBRERO DE 2026</t>
  </si>
  <si>
    <t>MARZO DE 2026</t>
  </si>
  <si>
    <t>ABRIL DE 2026</t>
  </si>
  <si>
    <t>MAYO DE 2026</t>
  </si>
  <si>
    <t>JUNIO DE 2026</t>
  </si>
  <si>
    <t>JULIO DE 2026</t>
  </si>
  <si>
    <t>AGOSTO DE 2026</t>
  </si>
  <si>
    <t>SEPTIEMBRE DE 2026</t>
  </si>
  <si>
    <t>OCTUBRE DE 2026</t>
  </si>
  <si>
    <t>NOVIEMBRE DE 2026</t>
  </si>
  <si>
    <t>DICIEMBRE DE 2026</t>
  </si>
  <si>
    <t>ENERO DE 2027</t>
  </si>
  <si>
    <t>FEBRERO DE 2027</t>
  </si>
  <si>
    <t>MARZO DE 2027</t>
  </si>
  <si>
    <t>ABRIL DE 2027</t>
  </si>
  <si>
    <t>MAYO DE 2027</t>
  </si>
  <si>
    <t>JUNIO DE 2027</t>
  </si>
  <si>
    <t>JULIO DE 2027</t>
  </si>
  <si>
    <t>AGOSTO DE 2027</t>
  </si>
  <si>
    <t>SEPTIEMBRE DE 2027</t>
  </si>
  <si>
    <t>OCTUBRE DE 2027</t>
  </si>
  <si>
    <t>NOVIEMBRE DE 2027</t>
  </si>
  <si>
    <t>DICIEMBRE DE 2027</t>
  </si>
  <si>
    <t>ENERO DE 2028</t>
  </si>
  <si>
    <t>FEBRERO DE 2028</t>
  </si>
  <si>
    <t>MARZO DE 2028</t>
  </si>
  <si>
    <t>ABRIL DE 2028</t>
  </si>
  <si>
    <t>MAYO DE 2028</t>
  </si>
  <si>
    <t>JUNIO DE 2028</t>
  </si>
  <si>
    <t>JULIO DE 2028</t>
  </si>
  <si>
    <t>AGOSTO DE 2028</t>
  </si>
  <si>
    <t>SEPTIEMBRE DE 2028</t>
  </si>
  <si>
    <t>OCTUBRE DE 2028</t>
  </si>
  <si>
    <t>NOVIEMBRE DE 2028</t>
  </si>
  <si>
    <t>DICIEMBRE DE 2028</t>
  </si>
  <si>
    <t>ENERO DE 2029</t>
  </si>
  <si>
    <t>FEBRERO DE 2029</t>
  </si>
  <si>
    <t>MARZO DE 2029</t>
  </si>
  <si>
    <t>ABRIL DE 2029</t>
  </si>
  <si>
    <t>MAYO DE 2029</t>
  </si>
  <si>
    <t>JUNIO DE 2029</t>
  </si>
  <si>
    <t>JULIO DE 2029</t>
  </si>
  <si>
    <t>AGOSTO DE 2029</t>
  </si>
  <si>
    <t>SEPTIEMBRE DE 2029</t>
  </si>
  <si>
    <t>OCTUBRE DE 2029</t>
  </si>
  <si>
    <t>NOVIEMBRE DE 2029</t>
  </si>
  <si>
    <t>DICIEMBRE DE 2029</t>
  </si>
  <si>
    <t>ENERO DE 2030</t>
  </si>
  <si>
    <t>FEBRERO DE 2030</t>
  </si>
  <si>
    <t>MARZO DE 2030</t>
  </si>
  <si>
    <t>ABRIL DE 2030</t>
  </si>
  <si>
    <t>MAYO DE 2030</t>
  </si>
  <si>
    <t>JUNIO DE 2030</t>
  </si>
  <si>
    <t>JULIO DE 2030</t>
  </si>
  <si>
    <t>AGOSTO DE 2030</t>
  </si>
  <si>
    <t>SEPTIEMBRE DE 2030</t>
  </si>
  <si>
    <t>OCTUBRE DE 2030</t>
  </si>
  <si>
    <t>NOVIEMBRE DE 2030</t>
  </si>
  <si>
    <t>DICIEMBRE DE 2030</t>
  </si>
  <si>
    <t>ENERO DE 2031</t>
  </si>
  <si>
    <t>FEBRERO DE 2031</t>
  </si>
  <si>
    <t>MARZO DE 2031</t>
  </si>
  <si>
    <t>ABRIL DE 2031</t>
  </si>
  <si>
    <t>MAYO DE 2031</t>
  </si>
  <si>
    <t>JUNIO DE 2031</t>
  </si>
  <si>
    <t>JULIO DE 2031</t>
  </si>
  <si>
    <t>AGOSTO DE 2031</t>
  </si>
  <si>
    <t>SEPTIEMBRE DE 2031</t>
  </si>
  <si>
    <t>OCTUBRE DE 2031</t>
  </si>
  <si>
    <t>NOVIEMBRE DE 2031</t>
  </si>
  <si>
    <t>DICIEMBRE DE 2031</t>
  </si>
  <si>
    <t>ENERO DE 2033</t>
  </si>
  <si>
    <t>FEBRERO DE 2033</t>
  </si>
  <si>
    <t>MARZO DE 2033</t>
  </si>
  <si>
    <t>ABRIL DE 2033</t>
  </si>
  <si>
    <t>MAYO DE 2033</t>
  </si>
  <si>
    <t>JUNIO DE 2033</t>
  </si>
  <si>
    <t>JULIO DE 2033</t>
  </si>
  <si>
    <t>AGOSTO DE 2033</t>
  </si>
  <si>
    <t>SEPTIEMBRE DE 2033</t>
  </si>
  <si>
    <t>OCTUBRE DE 2033</t>
  </si>
  <si>
    <t>NOVIEMBRE DE 2033</t>
  </si>
  <si>
    <t>DICIEMBRE DE 2033</t>
  </si>
  <si>
    <t>DEMANDA PERIODO OFERTADA KWh</t>
  </si>
  <si>
    <t>(4) Esta oferta podrá cubrir  hasta el 100% de cada uno de los meses correspondientes a la demanda requerida por  DISPAC S.A. E.S.P. de acuerdo a la  curva del Despacho Horario producto  (enero 2026 a diciembre año 2033)  de los Pliegos de Condiciones Definitivos.</t>
  </si>
  <si>
    <t>(8)  Las ofertas presentadas y remitidas por el ASIC para cada uno de los productos, serán objeto de evaluación si estás son  inferiores al precio de reserva presentado por DISPAC.</t>
  </si>
  <si>
    <t>ANEXO No. 1. Oferta Producto No. 1 Curva Plana (agosto de 2025 a diciembre año 2033) Convocatoria Pública DISPAC S.A. E.S.P.</t>
  </si>
  <si>
    <t>Año</t>
  </si>
  <si>
    <t># días</t>
  </si>
  <si>
    <t>TPD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</si>
  <si>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</si>
  <si>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</si>
  <si>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</si>
  <si>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</si>
  <si>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</si>
  <si>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</si>
  <si>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</si>
  <si>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</si>
  <si>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</si>
  <si>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</si>
  <si>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</si>
  <si>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</si>
  <si>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</si>
  <si>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</si>
  <si>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</si>
  <si>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</si>
  <si>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</si>
  <si>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</si>
  <si>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</si>
  <si>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</si>
  <si>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</si>
  <si>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</si>
  <si>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</si>
  <si>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</si>
  <si>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kWh/d</t>
  </si>
  <si>
    <t>kWh/mes</t>
  </si>
  <si>
    <t>Festivo</t>
  </si>
  <si>
    <t>Hábil</t>
  </si>
  <si>
    <t>Sábado</t>
  </si>
  <si>
    <t>AGOSTO DE 2025</t>
  </si>
  <si>
    <t>SEPTIEMBRE DE 2025</t>
  </si>
  <si>
    <t>OCTUBRE DE 2025</t>
  </si>
  <si>
    <t>NOVIEMBRE DE 2025</t>
  </si>
  <si>
    <t>DICIEMBRE DE 2025</t>
  </si>
  <si>
    <t>ENERO DE 2032</t>
  </si>
  <si>
    <t>FEBRERO DE 2032</t>
  </si>
  <si>
    <t>MARZO DE 2032</t>
  </si>
  <si>
    <t>ABRIL DE 2032</t>
  </si>
  <si>
    <t>MAYO DE 2032</t>
  </si>
  <si>
    <t>JUNIO DE 2032</t>
  </si>
  <si>
    <t>JULIO DE 2032</t>
  </si>
  <si>
    <t>AGOSTO DE 2032</t>
  </si>
  <si>
    <t>SEPTIEMBRE DE 2032</t>
  </si>
  <si>
    <t>OCTUBRE DE 2032</t>
  </si>
  <si>
    <t>NOVIEMBRE DE 2032</t>
  </si>
  <si>
    <t>DICIEMBRE DE 2032</t>
  </si>
  <si>
    <t>(2) Las cantidades de energía se despacharan de acuerdo a la curva del Despacho Horario producto  (agosto de 2025 a diciembre año 2033)  de los Pliegos de Condiciones Definitivos.</t>
  </si>
  <si>
    <t>(3) El oferente presentará propuesta correspondiente a un porcentaje (%) para el producto que sea de su interés de la curva descrita en el numeral 19 “Cantidad demandada” de los presentes pliegos.</t>
  </si>
  <si>
    <t>(6) Los precios ofertados serán a precios de abril de 2025 y este será indexado mes a mes con el Índice de Precios al Productor Provisional expedido por el DANE.</t>
  </si>
  <si>
    <t>ANEXO No. 1. Oferta Producto No. 2 Curva  (Enero de 2026 a diciembre año 2033) Convocatoria Pública DISPAC S.A. E.S.P.</t>
  </si>
  <si>
    <t>(3) El oferente presentará propuesta correspondiente a un porcentaje (%) por año para el producto que sea de su interés de la curva descrita en el numeral 19 “Cantidad demandada” de los presentes pliegos.</t>
  </si>
  <si>
    <t>Total Mes</t>
  </si>
  <si>
    <t>ENERO DE 2034</t>
  </si>
  <si>
    <t>FEBRERO DE 2034</t>
  </si>
  <si>
    <t>MARZO DE 2034</t>
  </si>
  <si>
    <t>ABRIL DE 2034</t>
  </si>
  <si>
    <t>MAYO DE 2034</t>
  </si>
  <si>
    <t>JUNIO DE 2034</t>
  </si>
  <si>
    <t>JULIO DE 2034</t>
  </si>
  <si>
    <t>AGOSTO DE 2034</t>
  </si>
  <si>
    <t>SEPTIEMBRE DE 2034</t>
  </si>
  <si>
    <t>OCTUBRE DE 2034</t>
  </si>
  <si>
    <t>NOVIEMBRE DE 2034</t>
  </si>
  <si>
    <t>DICIEMBRE DE 2034</t>
  </si>
  <si>
    <t>ENERO DE 2035</t>
  </si>
  <si>
    <t>FEBRERO DE 2035</t>
  </si>
  <si>
    <t>MARZO DE 2035</t>
  </si>
  <si>
    <t>ABRIL DE 2035</t>
  </si>
  <si>
    <t>MAYO DE 2035</t>
  </si>
  <si>
    <t>JUNIO DE 2035</t>
  </si>
  <si>
    <t>JULIO DE 2035</t>
  </si>
  <si>
    <t>AGOSTO DE 2035</t>
  </si>
  <si>
    <t>SEPTIEMBRE DE 2035</t>
  </si>
  <si>
    <t>OCTUBRE DE 2035</t>
  </si>
  <si>
    <t>NOVIEMBRE DE 2035</t>
  </si>
  <si>
    <t>DICIEMBRE DE 2035</t>
  </si>
  <si>
    <t>ANEXO No. 1. Oferta Producto No. 3 Curva  (junio de 2026 a diciembre año 2035) Convocatoria Pública DISPAC S.A. E.S.P.</t>
  </si>
  <si>
    <t>(2) Las cantidades de energía se despacharan de acuerdo a la curva del Despacho Horario producto  (junio de 2026 a diciembre año 2035)  de los Pliegos de Condiciones Definitivos.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</si>
</sst>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.00"/>
    <numFmt numFmtId="165" formatCode="_(&quot;$&quot;\ * #,##0.00_);_(&quot;$&quot;\ * \(#,##0.00\);_(&quot;$&quot;\ * &quot;-&quot;??_);_(@_)"/>
    <numFmt numFmtId="166" formatCode="&quot;$&quot;\ #,##0.00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Verdana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6"/>
      <color theme="1"/>
      <name val="Verdana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2">
    <xf numFmtId="0" fontId="0" fillId="0" borderId="0"/>
    <xf numFmtId="9" fontId="1" fillId="0" borderId="0" applyFont="0" applyFill="0" applyBorder="0" applyAlignment="0" applyProtection="0"/>
    <xf numFmtId="0" fontId="9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9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9" fontId="4" fillId="0" borderId="0" xfId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0" fillId="0" borderId="0" xfId="2" applyFont="1" applyAlignment="1">
      <alignment vertical="justify"/>
    </xf>
    <xf numFmtId="0" fontId="5" fillId="0" borderId="5" xfId="0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9" fontId="5" fillId="0" borderId="0" xfId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3" fontId="5" fillId="0" borderId="22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9" fontId="0" fillId="5" borderId="0" xfId="1" applyFont="1" applyFill="1" applyBorder="1" applyAlignment="1">
      <alignment horizontal="center"/>
    </xf>
    <xf numFmtId="10" fontId="0" fillId="5" borderId="0" xfId="1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 wrapText="1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9" fontId="0" fillId="5" borderId="0" xfId="1" applyFont="1" applyFill="1" applyBorder="1" applyAlignment="1" applyProtection="1">
      <alignment horizontal="center" vertical="center"/>
    </xf>
    <xf numFmtId="0" fontId="8" fillId="5" borderId="0" xfId="0" applyFont="1" applyFill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0" fillId="5" borderId="0" xfId="1" applyFont="1" applyFill="1" applyBorder="1" applyAlignment="1">
      <alignment horizontal="center" vertical="center"/>
    </xf>
    <xf numFmtId="166" fontId="0" fillId="0" borderId="0" xfId="19" applyNumberFormat="1" applyFont="1"/>
    <xf numFmtId="3" fontId="5" fillId="3" borderId="6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top"/>
    </xf>
    <xf numFmtId="0" fontId="2" fillId="0" borderId="28" xfId="0" applyFont="1" applyBorder="1" applyAlignment="1">
      <alignment horizontal="center" vertical="top"/>
    </xf>
    <xf numFmtId="0" fontId="2" fillId="0" borderId="29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top"/>
    </xf>
    <xf numFmtId="0" fontId="2" fillId="0" borderId="31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41" fontId="0" fillId="0" borderId="33" xfId="20" applyFont="1" applyFill="1" applyBorder="1" applyAlignment="1">
      <alignment horizontal="left" indent="1"/>
    </xf>
    <xf numFmtId="41" fontId="0" fillId="0" borderId="9" xfId="2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1" fontId="0" fillId="0" borderId="8" xfId="20" applyFont="1" applyFill="1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41" fontId="0" fillId="0" borderId="18" xfId="20" applyFont="1" applyFill="1" applyBorder="1"/>
    <xf numFmtId="41" fontId="0" fillId="0" borderId="34" xfId="20" applyFont="1" applyFill="1" applyBorder="1"/>
    <xf numFmtId="0" fontId="5" fillId="0" borderId="2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" fontId="0" fillId="0" borderId="16" xfId="0" applyNumberFormat="1" applyBorder="1"/>
    <xf numFmtId="41" fontId="0" fillId="0" borderId="24" xfId="20" applyFont="1" applyBorder="1"/>
    <xf numFmtId="41" fontId="0" fillId="0" borderId="38" xfId="20" applyFont="1" applyBorder="1"/>
    <xf numFmtId="41" fontId="0" fillId="0" borderId="5" xfId="20" applyFont="1" applyFill="1" applyBorder="1"/>
    <xf numFmtId="17" fontId="0" fillId="0" borderId="13" xfId="0" applyNumberFormat="1" applyBorder="1"/>
    <xf numFmtId="41" fontId="0" fillId="0" borderId="14" xfId="20" applyFont="1" applyBorder="1"/>
    <xf numFmtId="41" fontId="0" fillId="0" borderId="6" xfId="20" applyFont="1" applyFill="1" applyBorder="1"/>
    <xf numFmtId="41" fontId="0" fillId="0" borderId="1" xfId="0" applyNumberFormat="1" applyBorder="1"/>
    <xf numFmtId="41" fontId="0" fillId="0" borderId="7" xfId="0" applyNumberFormat="1" applyBorder="1"/>
    <xf numFmtId="44" fontId="0" fillId="0" borderId="0" xfId="19" applyFont="1"/>
    <xf numFmtId="167" fontId="0" fillId="0" borderId="0" xfId="0" applyNumberFormat="1"/>
    <xf numFmtId="44" fontId="0" fillId="5" borderId="0" xfId="19" applyFont="1" applyFill="1" applyAlignment="1">
      <alignment horizontal="center"/>
    </xf>
    <xf numFmtId="43" fontId="0" fillId="0" borderId="0" xfId="21" applyFont="1"/>
    <xf numFmtId="3" fontId="5" fillId="0" borderId="33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3" fontId="5" fillId="0" borderId="35" xfId="0" applyNumberFormat="1" applyFont="1" applyBorder="1" applyAlignment="1">
      <alignment horizontal="center" vertical="center" wrapText="1"/>
    </xf>
    <xf numFmtId="3" fontId="5" fillId="0" borderId="36" xfId="0" applyNumberFormat="1" applyFont="1" applyBorder="1" applyAlignment="1">
      <alignment horizontal="center" vertical="center" wrapText="1"/>
    </xf>
    <xf numFmtId="10" fontId="5" fillId="3" borderId="5" xfId="0" applyNumberFormat="1" applyFont="1" applyFill="1" applyBorder="1" applyAlignment="1">
      <alignment horizontal="center" vertical="center" wrapText="1"/>
    </xf>
    <xf numFmtId="10" fontId="5" fillId="3" borderId="6" xfId="0" applyNumberFormat="1" applyFont="1" applyFill="1" applyBorder="1" applyAlignment="1">
      <alignment horizontal="center" vertical="center" wrapText="1"/>
    </xf>
    <xf numFmtId="10" fontId="5" fillId="3" borderId="7" xfId="0" applyNumberFormat="1" applyFont="1" applyFill="1" applyBorder="1" applyAlignment="1">
      <alignment horizontal="center" vertical="center" wrapText="1"/>
    </xf>
    <xf numFmtId="3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2" fontId="5" fillId="3" borderId="3" xfId="0" applyNumberFormat="1" applyFont="1" applyFill="1" applyBorder="1" applyAlignment="1">
      <alignment horizontal="center" vertical="center" wrapText="1"/>
    </xf>
    <xf numFmtId="2" fontId="5" fillId="3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3" fontId="5" fillId="3" borderId="7" xfId="0" applyNumberFormat="1" applyFont="1" applyFill="1" applyBorder="1" applyAlignment="1">
      <alignment horizontal="center" vertical="center" wrapText="1"/>
    </xf>
    <xf numFmtId="41" fontId="0" fillId="0" borderId="26" xfId="20" applyFont="1" applyFill="1" applyBorder="1" applyAlignment="1">
      <alignment horizontal="center" vertical="center"/>
    </xf>
    <xf numFmtId="41" fontId="0" fillId="0" borderId="23" xfId="20" applyFont="1" applyFill="1" applyBorder="1" applyAlignment="1">
      <alignment horizontal="center" vertical="center"/>
    </xf>
    <xf numFmtId="41" fontId="0" fillId="0" borderId="21" xfId="20" applyFont="1" applyFill="1" applyBorder="1" applyAlignment="1">
      <alignment horizontal="center" vertical="center"/>
    </xf>
  </cellXfs>
  <cellStyles count="22">
    <cellStyle name="Millares" xfId="21" builtinId="3"/>
    <cellStyle name="Millares [0]" xfId="20" builtinId="6"/>
    <cellStyle name="Millares [0] 2" xfId="3" xr:uid="{00000000-0005-0000-0000-000000000000}"/>
    <cellStyle name="Millares [0] 2 2" xfId="4" xr:uid="{00000000-0005-0000-0000-000001000000}"/>
    <cellStyle name="Millares [0] 2 3" xfId="5" xr:uid="{00000000-0005-0000-0000-000002000000}"/>
    <cellStyle name="Millares [0] 3" xfId="6" xr:uid="{00000000-0005-0000-0000-000003000000}"/>
    <cellStyle name="Millares [0] 4" xfId="7" xr:uid="{00000000-0005-0000-0000-000004000000}"/>
    <cellStyle name="Millares 2" xfId="8" xr:uid="{00000000-0005-0000-0000-000005000000}"/>
    <cellStyle name="Millares 3" xfId="9" xr:uid="{00000000-0005-0000-0000-000006000000}"/>
    <cellStyle name="Millares 4" xfId="10" xr:uid="{00000000-0005-0000-0000-000007000000}"/>
    <cellStyle name="Moneda" xfId="19" builtinId="4"/>
    <cellStyle name="Moneda 2" xfId="11" xr:uid="{00000000-0005-0000-0000-000009000000}"/>
    <cellStyle name="Normal" xfId="0" builtinId="0"/>
    <cellStyle name="Normal 2" xfId="12" xr:uid="{00000000-0005-0000-0000-00000B000000}"/>
    <cellStyle name="Normal 2 2" xfId="13" xr:uid="{00000000-0005-0000-0000-00000C000000}"/>
    <cellStyle name="Normal 2 3" xfId="14" xr:uid="{00000000-0005-0000-0000-00000D000000}"/>
    <cellStyle name="Normal 3" xfId="2" xr:uid="{00000000-0005-0000-0000-00000E000000}"/>
    <cellStyle name="Normal 4" xfId="15" xr:uid="{00000000-0005-0000-0000-00000F000000}"/>
    <cellStyle name="Porcentaje" xfId="1" builtinId="5"/>
    <cellStyle name="Porcentaje 2" xfId="16" xr:uid="{00000000-0005-0000-0000-000011000000}"/>
    <cellStyle name="Porcentaje 2 2" xfId="17" xr:uid="{00000000-0005-0000-0000-000012000000}"/>
    <cellStyle name="Porcentaje 3" xfId="18" xr:uid="{00000000-0005-0000-0000-00001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0</xdr:row>
      <xdr:rowOff>0</xdr:rowOff>
    </xdr:from>
    <xdr:to>
      <xdr:col>6</xdr:col>
      <xdr:colOff>1154545</xdr:colOff>
      <xdr:row>3</xdr:row>
      <xdr:rowOff>138544</xdr:rowOff>
    </xdr:to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AC14DAA9-1CA1-47C4-8885-8CFDC3FF4F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100" y="0"/>
          <a:ext cx="1021195" cy="690994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0</xdr:row>
      <xdr:rowOff>0</xdr:rowOff>
    </xdr:from>
    <xdr:to>
      <xdr:col>6</xdr:col>
      <xdr:colOff>1154545</xdr:colOff>
      <xdr:row>3</xdr:row>
      <xdr:rowOff>138544</xdr:rowOff>
    </xdr:to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41D8CCE5-6971-4B91-A6B8-D966F1DF1C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3588" y="0"/>
          <a:ext cx="1021195" cy="68146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0</xdr:row>
      <xdr:rowOff>0</xdr:rowOff>
    </xdr:from>
    <xdr:to>
      <xdr:col>6</xdr:col>
      <xdr:colOff>1154545</xdr:colOff>
      <xdr:row>3</xdr:row>
      <xdr:rowOff>138544</xdr:rowOff>
    </xdr:to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CB6CB2F5-3F8F-48D4-A45E-5484A5880D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3588" y="0"/>
          <a:ext cx="1021195" cy="68146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688F-7B12-4E00-81EF-2AD665D0CCE6}">
  <dimension ref="A5:N134"/>
  <sheetViews>
    <sheetView topLeftCell="A19" zoomScale="85" zoomScaleNormal="85" workbookViewId="0">
      <selection activeCell="C112" sqref="C112"/>
    </sheetView>
  </sheetViews>
  <sheetFormatPr baseColWidth="10" defaultRowHeight="15" x14ac:dyDescent="0.25"/>
  <cols>
    <col min="1" max="1" width="28.28515625" style="3" customWidth="1"/>
    <col min="2" max="3" width="22.140625" style="11" customWidth="1"/>
    <col min="4" max="4" width="20.140625" style="8" customWidth="1"/>
    <col min="5" max="6" width="20.140625" style="11" customWidth="1"/>
    <col min="7" max="7" width="23.42578125" style="12" customWidth="1"/>
    <col min="9" max="9" width="10.42578125" customWidth="1"/>
    <col min="11" max="11" width="21.85546875" customWidth="1"/>
    <col min="12" max="12" width="16.5703125" customWidth="1"/>
    <col min="13" max="13" width="8.140625" customWidth="1"/>
    <col min="14" max="14" width="19.85546875" customWidth="1"/>
  </cols>
  <sheetData>
    <row r="5" spans="1:14" x14ac:dyDescent="0.25">
      <c r="A5" s="98" t="s">
        <v>104</v>
      </c>
      <c r="B5" s="98"/>
      <c r="C5" s="98"/>
      <c r="D5" s="98"/>
      <c r="E5" s="98"/>
      <c r="F5" s="98"/>
      <c r="G5" s="98"/>
    </row>
    <row r="6" spans="1:14" x14ac:dyDescent="0.25">
      <c r="A6" s="98"/>
      <c r="B6" s="98"/>
      <c r="C6" s="98"/>
      <c r="D6" s="98"/>
      <c r="E6" s="98"/>
      <c r="F6" s="98"/>
      <c r="G6" s="98"/>
    </row>
    <row r="7" spans="1:14" ht="15.75" thickBot="1" x14ac:dyDescent="0.3">
      <c r="A7" s="9"/>
      <c r="B7" s="10"/>
      <c r="C7" s="10"/>
    </row>
    <row r="8" spans="1:14" ht="15.75" thickBot="1" x14ac:dyDescent="0.3">
      <c r="A8" s="13" t="s">
        <v>0</v>
      </c>
      <c r="B8" s="99"/>
      <c r="C8" s="100"/>
      <c r="D8" s="100"/>
      <c r="E8" s="100"/>
      <c r="F8" s="100"/>
      <c r="G8" s="101"/>
    </row>
    <row r="9" spans="1:14" ht="25.5" customHeight="1" thickBot="1" x14ac:dyDescent="0.3">
      <c r="A9" s="14"/>
      <c r="B9" s="15"/>
      <c r="C9" s="15"/>
      <c r="D9" s="1"/>
      <c r="E9" s="16"/>
      <c r="F9" s="16"/>
      <c r="G9" s="17"/>
    </row>
    <row r="10" spans="1:14" ht="60.75" thickBot="1" x14ac:dyDescent="0.3">
      <c r="A10" s="2" t="s">
        <v>2</v>
      </c>
      <c r="B10" s="22" t="s">
        <v>3</v>
      </c>
      <c r="C10" s="2" t="s">
        <v>14</v>
      </c>
      <c r="D10" s="7" t="s">
        <v>4</v>
      </c>
      <c r="E10" s="2" t="s">
        <v>5</v>
      </c>
      <c r="F10" s="2" t="s">
        <v>101</v>
      </c>
      <c r="G10" s="2" t="s">
        <v>6</v>
      </c>
    </row>
    <row r="11" spans="1:14" ht="15.75" thickBot="1" x14ac:dyDescent="0.3">
      <c r="A11" s="19" t="s">
        <v>137</v>
      </c>
      <c r="B11" s="23">
        <f>+'Despacho Horario Producto No. 1'!AD2</f>
        <v>550800</v>
      </c>
      <c r="C11" s="87">
        <f>+SUM(B11:B15)</f>
        <v>10213200</v>
      </c>
      <c r="D11" s="92"/>
      <c r="E11" s="63">
        <f>+$D$11*B11</f>
        <v>0</v>
      </c>
      <c r="F11" s="87">
        <f>+SUM(E11:E15)</f>
        <v>0</v>
      </c>
      <c r="G11" s="66"/>
    </row>
    <row r="12" spans="1:14" ht="15.75" thickBot="1" x14ac:dyDescent="0.3">
      <c r="A12" s="19" t="s">
        <v>138</v>
      </c>
      <c r="B12" s="23">
        <f>+'Despacho Horario Producto No. 1'!AD5</f>
        <v>2376000</v>
      </c>
      <c r="C12" s="88"/>
      <c r="D12" s="93"/>
      <c r="E12" s="63">
        <f t="shared" ref="E12:E75" si="0">+$D$11*B12</f>
        <v>0</v>
      </c>
      <c r="F12" s="88"/>
      <c r="G12" s="66"/>
    </row>
    <row r="13" spans="1:14" ht="15.75" thickBot="1" x14ac:dyDescent="0.3">
      <c r="A13" s="19" t="s">
        <v>139</v>
      </c>
      <c r="B13" s="23">
        <f>+'Despacho Horario Producto No. 1'!AD8</f>
        <v>2455200</v>
      </c>
      <c r="C13" s="88"/>
      <c r="D13" s="93"/>
      <c r="E13" s="63">
        <f t="shared" si="0"/>
        <v>0</v>
      </c>
      <c r="F13" s="88"/>
      <c r="G13" s="66"/>
    </row>
    <row r="14" spans="1:14" ht="15.75" thickBot="1" x14ac:dyDescent="0.3">
      <c r="A14" s="19" t="s">
        <v>140</v>
      </c>
      <c r="B14" s="23">
        <f>+'Despacho Horario Producto No. 1'!AD11</f>
        <v>2376000</v>
      </c>
      <c r="C14" s="88"/>
      <c r="D14" s="93"/>
      <c r="E14" s="63">
        <f t="shared" si="0"/>
        <v>0</v>
      </c>
      <c r="F14" s="88"/>
      <c r="G14" s="66"/>
      <c r="K14" s="5"/>
      <c r="L14" s="83"/>
      <c r="N14" s="83"/>
    </row>
    <row r="15" spans="1:14" ht="15.75" thickBot="1" x14ac:dyDescent="0.3">
      <c r="A15" s="20" t="s">
        <v>141</v>
      </c>
      <c r="B15" s="23">
        <f>+'Despacho Horario Producto No. 1'!AD14</f>
        <v>2455200</v>
      </c>
      <c r="C15" s="89"/>
      <c r="D15" s="93"/>
      <c r="E15" s="63">
        <f t="shared" si="0"/>
        <v>0</v>
      </c>
      <c r="F15" s="89"/>
      <c r="G15" s="66"/>
      <c r="K15" s="5"/>
      <c r="L15" s="83"/>
      <c r="M15" s="84"/>
      <c r="N15" s="83"/>
    </row>
    <row r="16" spans="1:14" ht="15.75" thickBot="1" x14ac:dyDescent="0.3">
      <c r="A16" s="7" t="s">
        <v>17</v>
      </c>
      <c r="B16" s="23">
        <f>'Despacho Horario Producto No. 1'!AD17</f>
        <v>9672000</v>
      </c>
      <c r="C16" s="87">
        <f>SUM(B16:B27)</f>
        <v>113880000</v>
      </c>
      <c r="D16" s="93"/>
      <c r="E16" s="63">
        <f t="shared" si="0"/>
        <v>0</v>
      </c>
      <c r="F16" s="87">
        <f>SUM(E16:E27)</f>
        <v>0</v>
      </c>
      <c r="G16" s="103"/>
      <c r="K16" s="5"/>
      <c r="M16" s="84"/>
    </row>
    <row r="17" spans="1:13" ht="15.75" thickBot="1" x14ac:dyDescent="0.3">
      <c r="A17" s="19" t="s">
        <v>18</v>
      </c>
      <c r="B17" s="23">
        <f>'Despacho Horario Producto No. 1'!AD20</f>
        <v>8736000</v>
      </c>
      <c r="C17" s="90"/>
      <c r="D17" s="93"/>
      <c r="E17" s="63">
        <f t="shared" si="0"/>
        <v>0</v>
      </c>
      <c r="F17" s="90"/>
      <c r="G17" s="102"/>
      <c r="K17" s="5"/>
      <c r="M17" s="84"/>
    </row>
    <row r="18" spans="1:13" ht="15.75" thickBot="1" x14ac:dyDescent="0.3">
      <c r="A18" s="19" t="s">
        <v>19</v>
      </c>
      <c r="B18" s="23">
        <f>'Despacho Horario Producto No. 1'!AD23</f>
        <v>9672000</v>
      </c>
      <c r="C18" s="90"/>
      <c r="D18" s="93"/>
      <c r="E18" s="63">
        <f t="shared" si="0"/>
        <v>0</v>
      </c>
      <c r="F18" s="90"/>
      <c r="G18" s="102"/>
      <c r="K18" s="5"/>
      <c r="M18" s="84"/>
    </row>
    <row r="19" spans="1:13" ht="15.75" thickBot="1" x14ac:dyDescent="0.3">
      <c r="A19" s="19" t="s">
        <v>20</v>
      </c>
      <c r="B19" s="23">
        <f>'Despacho Horario Producto No. 1'!AD26</f>
        <v>9360000</v>
      </c>
      <c r="C19" s="90"/>
      <c r="D19" s="93"/>
      <c r="E19" s="63">
        <f t="shared" si="0"/>
        <v>0</v>
      </c>
      <c r="F19" s="90"/>
      <c r="G19" s="102"/>
      <c r="K19" s="5"/>
      <c r="M19" s="84"/>
    </row>
    <row r="20" spans="1:13" ht="15.75" thickBot="1" x14ac:dyDescent="0.3">
      <c r="A20" s="19" t="s">
        <v>21</v>
      </c>
      <c r="B20" s="23">
        <f>'Despacho Horario Producto No. 1'!AD29</f>
        <v>9672000</v>
      </c>
      <c r="C20" s="90"/>
      <c r="D20" s="93"/>
      <c r="E20" s="63">
        <f t="shared" si="0"/>
        <v>0</v>
      </c>
      <c r="F20" s="90"/>
      <c r="G20" s="102"/>
      <c r="K20" s="5"/>
      <c r="M20" s="84"/>
    </row>
    <row r="21" spans="1:13" ht="15.75" thickBot="1" x14ac:dyDescent="0.3">
      <c r="A21" s="19" t="s">
        <v>22</v>
      </c>
      <c r="B21" s="23">
        <f>'Despacho Horario Producto No. 1'!AD32</f>
        <v>9360000</v>
      </c>
      <c r="C21" s="90"/>
      <c r="D21" s="93"/>
      <c r="E21" s="63">
        <f t="shared" si="0"/>
        <v>0</v>
      </c>
      <c r="F21" s="90"/>
      <c r="G21" s="102"/>
      <c r="K21" s="5"/>
      <c r="M21" s="84"/>
    </row>
    <row r="22" spans="1:13" ht="15.75" thickBot="1" x14ac:dyDescent="0.3">
      <c r="A22" s="19" t="s">
        <v>23</v>
      </c>
      <c r="B22" s="23">
        <f>'Despacho Horario Producto No. 1'!AD35</f>
        <v>9672000</v>
      </c>
      <c r="C22" s="90"/>
      <c r="D22" s="93"/>
      <c r="E22" s="63">
        <f t="shared" si="0"/>
        <v>0</v>
      </c>
      <c r="F22" s="90"/>
      <c r="G22" s="102"/>
      <c r="K22" s="5"/>
      <c r="M22" s="84"/>
    </row>
    <row r="23" spans="1:13" ht="15.75" thickBot="1" x14ac:dyDescent="0.3">
      <c r="A23" s="19" t="s">
        <v>24</v>
      </c>
      <c r="B23" s="23">
        <f>'Despacho Horario Producto No. 1'!AD38</f>
        <v>9672000</v>
      </c>
      <c r="C23" s="90"/>
      <c r="D23" s="93"/>
      <c r="E23" s="63">
        <f t="shared" si="0"/>
        <v>0</v>
      </c>
      <c r="F23" s="90"/>
      <c r="G23" s="102"/>
      <c r="M23" s="84"/>
    </row>
    <row r="24" spans="1:13" ht="15.75" thickBot="1" x14ac:dyDescent="0.3">
      <c r="A24" s="19" t="s">
        <v>25</v>
      </c>
      <c r="B24" s="23">
        <f>'Despacho Horario Producto No. 1'!AD41</f>
        <v>9360000</v>
      </c>
      <c r="C24" s="90"/>
      <c r="D24" s="93"/>
      <c r="E24" s="63">
        <f t="shared" si="0"/>
        <v>0</v>
      </c>
      <c r="F24" s="90"/>
      <c r="G24" s="102"/>
      <c r="M24" s="84"/>
    </row>
    <row r="25" spans="1:13" ht="15.75" thickBot="1" x14ac:dyDescent="0.3">
      <c r="A25" s="19" t="s">
        <v>26</v>
      </c>
      <c r="B25" s="23">
        <f>'Despacho Horario Producto No. 1'!AD44</f>
        <v>9672000</v>
      </c>
      <c r="C25" s="90"/>
      <c r="D25" s="93"/>
      <c r="E25" s="63">
        <f t="shared" si="0"/>
        <v>0</v>
      </c>
      <c r="F25" s="90"/>
      <c r="G25" s="102"/>
    </row>
    <row r="26" spans="1:13" ht="15.75" thickBot="1" x14ac:dyDescent="0.3">
      <c r="A26" s="19" t="s">
        <v>27</v>
      </c>
      <c r="B26" s="23">
        <f>'Despacho Horario Producto No. 1'!AD47</f>
        <v>9360000</v>
      </c>
      <c r="C26" s="90"/>
      <c r="D26" s="93"/>
      <c r="E26" s="63">
        <f t="shared" si="0"/>
        <v>0</v>
      </c>
      <c r="F26" s="90"/>
      <c r="G26" s="102"/>
    </row>
    <row r="27" spans="1:13" ht="15.75" thickBot="1" x14ac:dyDescent="0.3">
      <c r="A27" s="20" t="s">
        <v>28</v>
      </c>
      <c r="B27" s="23">
        <f>'Despacho Horario Producto No. 1'!AD50</f>
        <v>9672000</v>
      </c>
      <c r="C27" s="91"/>
      <c r="D27" s="93"/>
      <c r="E27" s="63">
        <f t="shared" si="0"/>
        <v>0</v>
      </c>
      <c r="F27" s="91"/>
      <c r="G27" s="104"/>
    </row>
    <row r="28" spans="1:13" ht="15.75" thickBot="1" x14ac:dyDescent="0.3">
      <c r="A28" s="21" t="s">
        <v>29</v>
      </c>
      <c r="B28" s="23">
        <f>'Despacho Horario Producto No. 1'!AD53</f>
        <v>9672000</v>
      </c>
      <c r="C28" s="87">
        <f t="shared" ref="C28" si="1">SUM(B28:B39)</f>
        <v>113880000</v>
      </c>
      <c r="D28" s="93"/>
      <c r="E28" s="63">
        <f t="shared" si="0"/>
        <v>0</v>
      </c>
      <c r="F28" s="87">
        <f t="shared" ref="F28" si="2">SUM(E28:E39)</f>
        <v>0</v>
      </c>
      <c r="G28" s="102"/>
    </row>
    <row r="29" spans="1:13" ht="15.75" thickBot="1" x14ac:dyDescent="0.3">
      <c r="A29" s="19" t="s">
        <v>30</v>
      </c>
      <c r="B29" s="23">
        <f>'Despacho Horario Producto No. 1'!AD56</f>
        <v>8736000</v>
      </c>
      <c r="C29" s="90"/>
      <c r="D29" s="93"/>
      <c r="E29" s="63">
        <f t="shared" si="0"/>
        <v>0</v>
      </c>
      <c r="F29" s="90"/>
      <c r="G29" s="102"/>
    </row>
    <row r="30" spans="1:13" ht="15.75" thickBot="1" x14ac:dyDescent="0.3">
      <c r="A30" s="19" t="s">
        <v>31</v>
      </c>
      <c r="B30" s="23">
        <f>'Despacho Horario Producto No. 1'!AD59</f>
        <v>9672000</v>
      </c>
      <c r="C30" s="90"/>
      <c r="D30" s="93"/>
      <c r="E30" s="63">
        <f t="shared" si="0"/>
        <v>0</v>
      </c>
      <c r="F30" s="90"/>
      <c r="G30" s="102"/>
    </row>
    <row r="31" spans="1:13" ht="15.75" thickBot="1" x14ac:dyDescent="0.3">
      <c r="A31" s="19" t="s">
        <v>32</v>
      </c>
      <c r="B31" s="23">
        <f>'Despacho Horario Producto No. 1'!AD62</f>
        <v>9360000</v>
      </c>
      <c r="C31" s="90"/>
      <c r="D31" s="93"/>
      <c r="E31" s="63">
        <f t="shared" si="0"/>
        <v>0</v>
      </c>
      <c r="F31" s="90"/>
      <c r="G31" s="102"/>
    </row>
    <row r="32" spans="1:13" ht="15.75" thickBot="1" x14ac:dyDescent="0.3">
      <c r="A32" s="19" t="s">
        <v>33</v>
      </c>
      <c r="B32" s="23">
        <f>'Despacho Horario Producto No. 1'!AD65</f>
        <v>9672000</v>
      </c>
      <c r="C32" s="90"/>
      <c r="D32" s="93"/>
      <c r="E32" s="63">
        <f t="shared" si="0"/>
        <v>0</v>
      </c>
      <c r="F32" s="90"/>
      <c r="G32" s="102"/>
    </row>
    <row r="33" spans="1:7" ht="15.75" thickBot="1" x14ac:dyDescent="0.3">
      <c r="A33" s="19" t="s">
        <v>34</v>
      </c>
      <c r="B33" s="23">
        <f>'Despacho Horario Producto No. 1'!AD68</f>
        <v>9360000</v>
      </c>
      <c r="C33" s="90"/>
      <c r="D33" s="93"/>
      <c r="E33" s="63">
        <f t="shared" si="0"/>
        <v>0</v>
      </c>
      <c r="F33" s="90"/>
      <c r="G33" s="102"/>
    </row>
    <row r="34" spans="1:7" ht="15.75" thickBot="1" x14ac:dyDescent="0.3">
      <c r="A34" s="19" t="s">
        <v>35</v>
      </c>
      <c r="B34" s="23">
        <f>'Despacho Horario Producto No. 1'!AD71</f>
        <v>9672000</v>
      </c>
      <c r="C34" s="90"/>
      <c r="D34" s="93"/>
      <c r="E34" s="63">
        <f t="shared" si="0"/>
        <v>0</v>
      </c>
      <c r="F34" s="90"/>
      <c r="G34" s="102"/>
    </row>
    <row r="35" spans="1:7" ht="15.75" thickBot="1" x14ac:dyDescent="0.3">
      <c r="A35" s="19" t="s">
        <v>36</v>
      </c>
      <c r="B35" s="23">
        <f>'Despacho Horario Producto No. 1'!AD74</f>
        <v>9672000</v>
      </c>
      <c r="C35" s="90"/>
      <c r="D35" s="93"/>
      <c r="E35" s="63">
        <f t="shared" si="0"/>
        <v>0</v>
      </c>
      <c r="F35" s="90"/>
      <c r="G35" s="102"/>
    </row>
    <row r="36" spans="1:7" ht="15.75" thickBot="1" x14ac:dyDescent="0.3">
      <c r="A36" s="19" t="s">
        <v>37</v>
      </c>
      <c r="B36" s="23">
        <f>'Despacho Horario Producto No. 1'!AD77</f>
        <v>9360000</v>
      </c>
      <c r="C36" s="90"/>
      <c r="D36" s="93"/>
      <c r="E36" s="63">
        <f t="shared" si="0"/>
        <v>0</v>
      </c>
      <c r="F36" s="90"/>
      <c r="G36" s="102"/>
    </row>
    <row r="37" spans="1:7" ht="15.75" thickBot="1" x14ac:dyDescent="0.3">
      <c r="A37" s="19" t="s">
        <v>38</v>
      </c>
      <c r="B37" s="23">
        <f>'Despacho Horario Producto No. 1'!AD80</f>
        <v>9672000</v>
      </c>
      <c r="C37" s="90"/>
      <c r="D37" s="93"/>
      <c r="E37" s="63">
        <f t="shared" si="0"/>
        <v>0</v>
      </c>
      <c r="F37" s="90"/>
      <c r="G37" s="102"/>
    </row>
    <row r="38" spans="1:7" ht="15.75" thickBot="1" x14ac:dyDescent="0.3">
      <c r="A38" s="19" t="s">
        <v>39</v>
      </c>
      <c r="B38" s="23">
        <f>'Despacho Horario Producto No. 1'!AD83</f>
        <v>9360000</v>
      </c>
      <c r="C38" s="90"/>
      <c r="D38" s="93"/>
      <c r="E38" s="63">
        <f t="shared" si="0"/>
        <v>0</v>
      </c>
      <c r="F38" s="90"/>
      <c r="G38" s="102"/>
    </row>
    <row r="39" spans="1:7" ht="15.75" thickBot="1" x14ac:dyDescent="0.3">
      <c r="A39" s="24" t="s">
        <v>40</v>
      </c>
      <c r="B39" s="23">
        <f>'Despacho Horario Producto No. 1'!AD86</f>
        <v>9672000</v>
      </c>
      <c r="C39" s="91"/>
      <c r="D39" s="93"/>
      <c r="E39" s="63">
        <f t="shared" si="0"/>
        <v>0</v>
      </c>
      <c r="F39" s="91"/>
      <c r="G39" s="102"/>
    </row>
    <row r="40" spans="1:7" ht="15.75" thickBot="1" x14ac:dyDescent="0.3">
      <c r="A40" s="7" t="s">
        <v>41</v>
      </c>
      <c r="B40" s="23">
        <f>'Despacho Horario Producto No. 1'!AD89</f>
        <v>9672000</v>
      </c>
      <c r="C40" s="87">
        <f t="shared" ref="C40" si="3">SUM(B40:B51)</f>
        <v>114192000</v>
      </c>
      <c r="D40" s="93"/>
      <c r="E40" s="63">
        <f t="shared" si="0"/>
        <v>0</v>
      </c>
      <c r="F40" s="87">
        <f t="shared" ref="F40" si="4">SUM(E40:E51)</f>
        <v>0</v>
      </c>
      <c r="G40" s="103"/>
    </row>
    <row r="41" spans="1:7" ht="15.75" thickBot="1" x14ac:dyDescent="0.3">
      <c r="A41" s="19" t="s">
        <v>42</v>
      </c>
      <c r="B41" s="23">
        <f>'Despacho Horario Producto No. 1'!AD92</f>
        <v>9048000</v>
      </c>
      <c r="C41" s="90"/>
      <c r="D41" s="93"/>
      <c r="E41" s="63">
        <f t="shared" si="0"/>
        <v>0</v>
      </c>
      <c r="F41" s="90"/>
      <c r="G41" s="102"/>
    </row>
    <row r="42" spans="1:7" ht="15.75" thickBot="1" x14ac:dyDescent="0.3">
      <c r="A42" s="19" t="s">
        <v>43</v>
      </c>
      <c r="B42" s="23">
        <f>'Despacho Horario Producto No. 1'!AD95</f>
        <v>9672000</v>
      </c>
      <c r="C42" s="90"/>
      <c r="D42" s="93"/>
      <c r="E42" s="63">
        <f t="shared" si="0"/>
        <v>0</v>
      </c>
      <c r="F42" s="90"/>
      <c r="G42" s="102"/>
    </row>
    <row r="43" spans="1:7" ht="15.75" thickBot="1" x14ac:dyDescent="0.3">
      <c r="A43" s="19" t="s">
        <v>44</v>
      </c>
      <c r="B43" s="23">
        <f>'Despacho Horario Producto No. 1'!AD98</f>
        <v>9360000</v>
      </c>
      <c r="C43" s="90"/>
      <c r="D43" s="93"/>
      <c r="E43" s="63">
        <f t="shared" si="0"/>
        <v>0</v>
      </c>
      <c r="F43" s="90"/>
      <c r="G43" s="102"/>
    </row>
    <row r="44" spans="1:7" ht="15.75" thickBot="1" x14ac:dyDescent="0.3">
      <c r="A44" s="19" t="s">
        <v>45</v>
      </c>
      <c r="B44" s="23">
        <f>'Despacho Horario Producto No. 1'!AD101</f>
        <v>9672000</v>
      </c>
      <c r="C44" s="90"/>
      <c r="D44" s="93"/>
      <c r="E44" s="63">
        <f t="shared" si="0"/>
        <v>0</v>
      </c>
      <c r="F44" s="90"/>
      <c r="G44" s="102"/>
    </row>
    <row r="45" spans="1:7" ht="15.75" thickBot="1" x14ac:dyDescent="0.3">
      <c r="A45" s="19" t="s">
        <v>46</v>
      </c>
      <c r="B45" s="23">
        <f>'Despacho Horario Producto No. 1'!AD104</f>
        <v>9360000</v>
      </c>
      <c r="C45" s="90"/>
      <c r="D45" s="93"/>
      <c r="E45" s="63">
        <f t="shared" si="0"/>
        <v>0</v>
      </c>
      <c r="F45" s="90"/>
      <c r="G45" s="102"/>
    </row>
    <row r="46" spans="1:7" ht="15.75" thickBot="1" x14ac:dyDescent="0.3">
      <c r="A46" s="19" t="s">
        <v>47</v>
      </c>
      <c r="B46" s="23">
        <f>'Despacho Horario Producto No. 1'!AD107</f>
        <v>9672000</v>
      </c>
      <c r="C46" s="90"/>
      <c r="D46" s="93"/>
      <c r="E46" s="63">
        <f t="shared" si="0"/>
        <v>0</v>
      </c>
      <c r="F46" s="90"/>
      <c r="G46" s="102"/>
    </row>
    <row r="47" spans="1:7" ht="15.75" thickBot="1" x14ac:dyDescent="0.3">
      <c r="A47" s="19" t="s">
        <v>48</v>
      </c>
      <c r="B47" s="23">
        <f>'Despacho Horario Producto No. 1'!AD110</f>
        <v>9672000</v>
      </c>
      <c r="C47" s="90"/>
      <c r="D47" s="93"/>
      <c r="E47" s="63">
        <f t="shared" si="0"/>
        <v>0</v>
      </c>
      <c r="F47" s="90"/>
      <c r="G47" s="102"/>
    </row>
    <row r="48" spans="1:7" ht="15.75" thickBot="1" x14ac:dyDescent="0.3">
      <c r="A48" s="19" t="s">
        <v>49</v>
      </c>
      <c r="B48" s="23">
        <f>'Despacho Horario Producto No. 1'!AD113</f>
        <v>9360000</v>
      </c>
      <c r="C48" s="90"/>
      <c r="D48" s="93"/>
      <c r="E48" s="63">
        <f t="shared" si="0"/>
        <v>0</v>
      </c>
      <c r="F48" s="90"/>
      <c r="G48" s="102"/>
    </row>
    <row r="49" spans="1:7" ht="15.75" thickBot="1" x14ac:dyDescent="0.3">
      <c r="A49" s="19" t="s">
        <v>50</v>
      </c>
      <c r="B49" s="23">
        <f>'Despacho Horario Producto No. 1'!AD116</f>
        <v>9672000</v>
      </c>
      <c r="C49" s="90"/>
      <c r="D49" s="93"/>
      <c r="E49" s="63">
        <f t="shared" si="0"/>
        <v>0</v>
      </c>
      <c r="F49" s="90"/>
      <c r="G49" s="102"/>
    </row>
    <row r="50" spans="1:7" ht="15.75" thickBot="1" x14ac:dyDescent="0.3">
      <c r="A50" s="19" t="s">
        <v>51</v>
      </c>
      <c r="B50" s="23">
        <f>'Despacho Horario Producto No. 1'!AD119</f>
        <v>9360000</v>
      </c>
      <c r="C50" s="90"/>
      <c r="D50" s="93"/>
      <c r="E50" s="63">
        <f t="shared" si="0"/>
        <v>0</v>
      </c>
      <c r="F50" s="90"/>
      <c r="G50" s="102"/>
    </row>
    <row r="51" spans="1:7" ht="15.75" thickBot="1" x14ac:dyDescent="0.3">
      <c r="A51" s="20" t="s">
        <v>52</v>
      </c>
      <c r="B51" s="23">
        <f>'Despacho Horario Producto No. 1'!AD122</f>
        <v>9672000</v>
      </c>
      <c r="C51" s="91"/>
      <c r="D51" s="93"/>
      <c r="E51" s="63">
        <f t="shared" si="0"/>
        <v>0</v>
      </c>
      <c r="F51" s="91"/>
      <c r="G51" s="104"/>
    </row>
    <row r="52" spans="1:7" ht="15.75" thickBot="1" x14ac:dyDescent="0.3">
      <c r="A52" s="21" t="s">
        <v>53</v>
      </c>
      <c r="B52" s="23">
        <f>'Despacho Horario Producto No. 1'!AD125</f>
        <v>9672000</v>
      </c>
      <c r="C52" s="87">
        <f t="shared" ref="C52" si="5">SUM(B52:B63)</f>
        <v>113880000</v>
      </c>
      <c r="D52" s="93"/>
      <c r="E52" s="63">
        <f t="shared" si="0"/>
        <v>0</v>
      </c>
      <c r="F52" s="87">
        <f t="shared" ref="F52" si="6">SUM(E52:E63)</f>
        <v>0</v>
      </c>
      <c r="G52" s="102"/>
    </row>
    <row r="53" spans="1:7" ht="15.75" thickBot="1" x14ac:dyDescent="0.3">
      <c r="A53" s="19" t="s">
        <v>54</v>
      </c>
      <c r="B53" s="23">
        <f>'Despacho Horario Producto No. 1'!AD128</f>
        <v>8736000</v>
      </c>
      <c r="C53" s="90"/>
      <c r="D53" s="93"/>
      <c r="E53" s="63">
        <f t="shared" si="0"/>
        <v>0</v>
      </c>
      <c r="F53" s="90"/>
      <c r="G53" s="102"/>
    </row>
    <row r="54" spans="1:7" ht="15.75" thickBot="1" x14ac:dyDescent="0.3">
      <c r="A54" s="19" t="s">
        <v>55</v>
      </c>
      <c r="B54" s="23">
        <f>'Despacho Horario Producto No. 1'!AD131</f>
        <v>9672000</v>
      </c>
      <c r="C54" s="90"/>
      <c r="D54" s="93"/>
      <c r="E54" s="63">
        <f t="shared" si="0"/>
        <v>0</v>
      </c>
      <c r="F54" s="90"/>
      <c r="G54" s="102"/>
    </row>
    <row r="55" spans="1:7" ht="15.75" thickBot="1" x14ac:dyDescent="0.3">
      <c r="A55" s="19" t="s">
        <v>56</v>
      </c>
      <c r="B55" s="23">
        <f>'Despacho Horario Producto No. 1'!AD134</f>
        <v>9360000</v>
      </c>
      <c r="C55" s="90"/>
      <c r="D55" s="93"/>
      <c r="E55" s="63">
        <f t="shared" si="0"/>
        <v>0</v>
      </c>
      <c r="F55" s="90"/>
      <c r="G55" s="102"/>
    </row>
    <row r="56" spans="1:7" ht="15.75" thickBot="1" x14ac:dyDescent="0.3">
      <c r="A56" s="19" t="s">
        <v>57</v>
      </c>
      <c r="B56" s="23">
        <f>'Despacho Horario Producto No. 1'!AD137</f>
        <v>9672000</v>
      </c>
      <c r="C56" s="90"/>
      <c r="D56" s="93"/>
      <c r="E56" s="63">
        <f t="shared" si="0"/>
        <v>0</v>
      </c>
      <c r="F56" s="90"/>
      <c r="G56" s="102"/>
    </row>
    <row r="57" spans="1:7" ht="15.75" thickBot="1" x14ac:dyDescent="0.3">
      <c r="A57" s="19" t="s">
        <v>58</v>
      </c>
      <c r="B57" s="23">
        <f>'Despacho Horario Producto No. 1'!AD140</f>
        <v>9360000</v>
      </c>
      <c r="C57" s="90"/>
      <c r="D57" s="93"/>
      <c r="E57" s="63">
        <f t="shared" si="0"/>
        <v>0</v>
      </c>
      <c r="F57" s="90"/>
      <c r="G57" s="102"/>
    </row>
    <row r="58" spans="1:7" ht="15.75" thickBot="1" x14ac:dyDescent="0.3">
      <c r="A58" s="19" t="s">
        <v>59</v>
      </c>
      <c r="B58" s="23">
        <f>'Despacho Horario Producto No. 1'!AD143</f>
        <v>9672000</v>
      </c>
      <c r="C58" s="90"/>
      <c r="D58" s="93"/>
      <c r="E58" s="63">
        <f t="shared" si="0"/>
        <v>0</v>
      </c>
      <c r="F58" s="90"/>
      <c r="G58" s="102"/>
    </row>
    <row r="59" spans="1:7" ht="15.75" thickBot="1" x14ac:dyDescent="0.3">
      <c r="A59" s="19" t="s">
        <v>60</v>
      </c>
      <c r="B59" s="23">
        <f>'Despacho Horario Producto No. 1'!AD146</f>
        <v>9672000</v>
      </c>
      <c r="C59" s="90"/>
      <c r="D59" s="93"/>
      <c r="E59" s="63">
        <f t="shared" si="0"/>
        <v>0</v>
      </c>
      <c r="F59" s="90"/>
      <c r="G59" s="102"/>
    </row>
    <row r="60" spans="1:7" ht="15.75" thickBot="1" x14ac:dyDescent="0.3">
      <c r="A60" s="19" t="s">
        <v>61</v>
      </c>
      <c r="B60" s="23">
        <f>'Despacho Horario Producto No. 1'!AD149</f>
        <v>9360000</v>
      </c>
      <c r="C60" s="90"/>
      <c r="D60" s="93"/>
      <c r="E60" s="63">
        <f t="shared" si="0"/>
        <v>0</v>
      </c>
      <c r="F60" s="90"/>
      <c r="G60" s="102"/>
    </row>
    <row r="61" spans="1:7" ht="15.75" thickBot="1" x14ac:dyDescent="0.3">
      <c r="A61" s="19" t="s">
        <v>62</v>
      </c>
      <c r="B61" s="23">
        <f>'Despacho Horario Producto No. 1'!AD152</f>
        <v>9672000</v>
      </c>
      <c r="C61" s="90"/>
      <c r="D61" s="93"/>
      <c r="E61" s="63">
        <f t="shared" si="0"/>
        <v>0</v>
      </c>
      <c r="F61" s="90"/>
      <c r="G61" s="102"/>
    </row>
    <row r="62" spans="1:7" ht="15.75" thickBot="1" x14ac:dyDescent="0.3">
      <c r="A62" s="19" t="s">
        <v>63</v>
      </c>
      <c r="B62" s="23">
        <f>'Despacho Horario Producto No. 1'!AD155</f>
        <v>9360000</v>
      </c>
      <c r="C62" s="90"/>
      <c r="D62" s="93"/>
      <c r="E62" s="63">
        <f t="shared" si="0"/>
        <v>0</v>
      </c>
      <c r="F62" s="90"/>
      <c r="G62" s="102"/>
    </row>
    <row r="63" spans="1:7" ht="15.75" thickBot="1" x14ac:dyDescent="0.3">
      <c r="A63" s="24" t="s">
        <v>64</v>
      </c>
      <c r="B63" s="23">
        <f>'Despacho Horario Producto No. 1'!AD158</f>
        <v>9672000</v>
      </c>
      <c r="C63" s="91"/>
      <c r="D63" s="93"/>
      <c r="E63" s="63">
        <f t="shared" si="0"/>
        <v>0</v>
      </c>
      <c r="F63" s="91"/>
      <c r="G63" s="102"/>
    </row>
    <row r="64" spans="1:7" ht="15.75" thickBot="1" x14ac:dyDescent="0.3">
      <c r="A64" s="7" t="s">
        <v>65</v>
      </c>
      <c r="B64" s="23">
        <f>'Despacho Horario Producto No. 1'!AD161</f>
        <v>9672000</v>
      </c>
      <c r="C64" s="87">
        <f t="shared" ref="C64" si="7">SUM(B64:B75)</f>
        <v>113880000</v>
      </c>
      <c r="D64" s="93"/>
      <c r="E64" s="63">
        <f t="shared" si="0"/>
        <v>0</v>
      </c>
      <c r="F64" s="87">
        <f t="shared" ref="F64" si="8">SUM(E64:E75)</f>
        <v>0</v>
      </c>
      <c r="G64" s="103"/>
    </row>
    <row r="65" spans="1:7" ht="15.75" thickBot="1" x14ac:dyDescent="0.3">
      <c r="A65" s="19" t="s">
        <v>66</v>
      </c>
      <c r="B65" s="23">
        <f>'Despacho Horario Producto No. 1'!AD164</f>
        <v>8736000</v>
      </c>
      <c r="C65" s="90"/>
      <c r="D65" s="93"/>
      <c r="E65" s="63">
        <f t="shared" si="0"/>
        <v>0</v>
      </c>
      <c r="F65" s="90"/>
      <c r="G65" s="102"/>
    </row>
    <row r="66" spans="1:7" ht="15.75" thickBot="1" x14ac:dyDescent="0.3">
      <c r="A66" s="19" t="s">
        <v>67</v>
      </c>
      <c r="B66" s="23">
        <f>'Despacho Horario Producto No. 1'!AD167</f>
        <v>9672000</v>
      </c>
      <c r="C66" s="90"/>
      <c r="D66" s="93"/>
      <c r="E66" s="63">
        <f t="shared" si="0"/>
        <v>0</v>
      </c>
      <c r="F66" s="90"/>
      <c r="G66" s="102"/>
    </row>
    <row r="67" spans="1:7" ht="15.75" thickBot="1" x14ac:dyDescent="0.3">
      <c r="A67" s="19" t="s">
        <v>68</v>
      </c>
      <c r="B67" s="23">
        <f>'Despacho Horario Producto No. 1'!AD170</f>
        <v>9360000</v>
      </c>
      <c r="C67" s="90"/>
      <c r="D67" s="93"/>
      <c r="E67" s="63">
        <f t="shared" si="0"/>
        <v>0</v>
      </c>
      <c r="F67" s="90"/>
      <c r="G67" s="102"/>
    </row>
    <row r="68" spans="1:7" ht="15.75" thickBot="1" x14ac:dyDescent="0.3">
      <c r="A68" s="19" t="s">
        <v>69</v>
      </c>
      <c r="B68" s="23">
        <f>'Despacho Horario Producto No. 1'!AD173</f>
        <v>9672000</v>
      </c>
      <c r="C68" s="90"/>
      <c r="D68" s="93"/>
      <c r="E68" s="63">
        <f t="shared" si="0"/>
        <v>0</v>
      </c>
      <c r="F68" s="90"/>
      <c r="G68" s="102"/>
    </row>
    <row r="69" spans="1:7" ht="15.75" thickBot="1" x14ac:dyDescent="0.3">
      <c r="A69" s="19" t="s">
        <v>70</v>
      </c>
      <c r="B69" s="23">
        <f>'Despacho Horario Producto No. 1'!AD176</f>
        <v>9360000</v>
      </c>
      <c r="C69" s="90"/>
      <c r="D69" s="93"/>
      <c r="E69" s="63">
        <f t="shared" si="0"/>
        <v>0</v>
      </c>
      <c r="F69" s="90"/>
      <c r="G69" s="102"/>
    </row>
    <row r="70" spans="1:7" ht="15.75" thickBot="1" x14ac:dyDescent="0.3">
      <c r="A70" s="19" t="s">
        <v>71</v>
      </c>
      <c r="B70" s="23">
        <f>'Despacho Horario Producto No. 1'!AD179</f>
        <v>9672000</v>
      </c>
      <c r="C70" s="90"/>
      <c r="D70" s="93"/>
      <c r="E70" s="63">
        <f t="shared" si="0"/>
        <v>0</v>
      </c>
      <c r="F70" s="90"/>
      <c r="G70" s="102"/>
    </row>
    <row r="71" spans="1:7" ht="15.75" thickBot="1" x14ac:dyDescent="0.3">
      <c r="A71" s="19" t="s">
        <v>72</v>
      </c>
      <c r="B71" s="23">
        <f>'Despacho Horario Producto No. 1'!AD182</f>
        <v>9672000</v>
      </c>
      <c r="C71" s="90"/>
      <c r="D71" s="93"/>
      <c r="E71" s="63">
        <f t="shared" si="0"/>
        <v>0</v>
      </c>
      <c r="F71" s="90"/>
      <c r="G71" s="102"/>
    </row>
    <row r="72" spans="1:7" ht="15.75" thickBot="1" x14ac:dyDescent="0.3">
      <c r="A72" s="19" t="s">
        <v>73</v>
      </c>
      <c r="B72" s="23">
        <f>'Despacho Horario Producto No. 1'!AD185</f>
        <v>9360000</v>
      </c>
      <c r="C72" s="90"/>
      <c r="D72" s="93"/>
      <c r="E72" s="63">
        <f t="shared" si="0"/>
        <v>0</v>
      </c>
      <c r="F72" s="90"/>
      <c r="G72" s="102"/>
    </row>
    <row r="73" spans="1:7" ht="15.75" thickBot="1" x14ac:dyDescent="0.3">
      <c r="A73" s="19" t="s">
        <v>74</v>
      </c>
      <c r="B73" s="23">
        <f>'Despacho Horario Producto No. 1'!AD188</f>
        <v>9672000</v>
      </c>
      <c r="C73" s="90"/>
      <c r="D73" s="93"/>
      <c r="E73" s="63">
        <f t="shared" si="0"/>
        <v>0</v>
      </c>
      <c r="F73" s="90"/>
      <c r="G73" s="102"/>
    </row>
    <row r="74" spans="1:7" ht="15.75" thickBot="1" x14ac:dyDescent="0.3">
      <c r="A74" s="19" t="s">
        <v>75</v>
      </c>
      <c r="B74" s="23">
        <f>'Despacho Horario Producto No. 1'!AD191</f>
        <v>9360000</v>
      </c>
      <c r="C74" s="90"/>
      <c r="D74" s="93"/>
      <c r="E74" s="63">
        <f t="shared" si="0"/>
        <v>0</v>
      </c>
      <c r="F74" s="90"/>
      <c r="G74" s="102"/>
    </row>
    <row r="75" spans="1:7" ht="15.75" thickBot="1" x14ac:dyDescent="0.3">
      <c r="A75" s="20" t="s">
        <v>76</v>
      </c>
      <c r="B75" s="23">
        <f>'Despacho Horario Producto No. 1'!AD194</f>
        <v>9672000</v>
      </c>
      <c r="C75" s="91"/>
      <c r="D75" s="93"/>
      <c r="E75" s="63">
        <f t="shared" si="0"/>
        <v>0</v>
      </c>
      <c r="F75" s="91"/>
      <c r="G75" s="104"/>
    </row>
    <row r="76" spans="1:7" ht="15.75" thickBot="1" x14ac:dyDescent="0.3">
      <c r="A76" s="21" t="s">
        <v>77</v>
      </c>
      <c r="B76" s="23">
        <f>'Despacho Horario Producto No. 1'!AD197</f>
        <v>9672000</v>
      </c>
      <c r="C76" s="87">
        <f t="shared" ref="C76" si="9">SUM(B76:B87)</f>
        <v>113880000</v>
      </c>
      <c r="D76" s="93"/>
      <c r="E76" s="63">
        <f t="shared" ref="E76:E111" si="10">+$D$11*B76</f>
        <v>0</v>
      </c>
      <c r="F76" s="87">
        <f t="shared" ref="F76" si="11">SUM(E76:E87)</f>
        <v>0</v>
      </c>
      <c r="G76" s="102"/>
    </row>
    <row r="77" spans="1:7" ht="15.75" thickBot="1" x14ac:dyDescent="0.3">
      <c r="A77" s="19" t="s">
        <v>78</v>
      </c>
      <c r="B77" s="23">
        <f>'Despacho Horario Producto No. 1'!AD200</f>
        <v>8736000</v>
      </c>
      <c r="C77" s="90"/>
      <c r="D77" s="93"/>
      <c r="E77" s="63">
        <f t="shared" si="10"/>
        <v>0</v>
      </c>
      <c r="F77" s="90"/>
      <c r="G77" s="102"/>
    </row>
    <row r="78" spans="1:7" ht="15.75" thickBot="1" x14ac:dyDescent="0.3">
      <c r="A78" s="19" t="s">
        <v>79</v>
      </c>
      <c r="B78" s="23">
        <f>'Despacho Horario Producto No. 1'!AD203</f>
        <v>9672000</v>
      </c>
      <c r="C78" s="90"/>
      <c r="D78" s="93"/>
      <c r="E78" s="63">
        <f t="shared" si="10"/>
        <v>0</v>
      </c>
      <c r="F78" s="90"/>
      <c r="G78" s="102"/>
    </row>
    <row r="79" spans="1:7" ht="15.75" thickBot="1" x14ac:dyDescent="0.3">
      <c r="A79" s="19" t="s">
        <v>80</v>
      </c>
      <c r="B79" s="23">
        <f>'Despacho Horario Producto No. 1'!AD206</f>
        <v>9360000</v>
      </c>
      <c r="C79" s="90"/>
      <c r="D79" s="93"/>
      <c r="E79" s="63">
        <f t="shared" si="10"/>
        <v>0</v>
      </c>
      <c r="F79" s="90"/>
      <c r="G79" s="102"/>
    </row>
    <row r="80" spans="1:7" ht="15.75" thickBot="1" x14ac:dyDescent="0.3">
      <c r="A80" s="19" t="s">
        <v>81</v>
      </c>
      <c r="B80" s="23">
        <f>'Despacho Horario Producto No. 1'!AD209</f>
        <v>9672000</v>
      </c>
      <c r="C80" s="90"/>
      <c r="D80" s="93"/>
      <c r="E80" s="63">
        <f t="shared" si="10"/>
        <v>0</v>
      </c>
      <c r="F80" s="90"/>
      <c r="G80" s="102"/>
    </row>
    <row r="81" spans="1:7" ht="15.75" thickBot="1" x14ac:dyDescent="0.3">
      <c r="A81" s="19" t="s">
        <v>82</v>
      </c>
      <c r="B81" s="23">
        <f>'Despacho Horario Producto No. 1'!AD212</f>
        <v>9360000</v>
      </c>
      <c r="C81" s="90"/>
      <c r="D81" s="93"/>
      <c r="E81" s="63">
        <f t="shared" si="10"/>
        <v>0</v>
      </c>
      <c r="F81" s="90"/>
      <c r="G81" s="102"/>
    </row>
    <row r="82" spans="1:7" ht="15.75" thickBot="1" x14ac:dyDescent="0.3">
      <c r="A82" s="19" t="s">
        <v>83</v>
      </c>
      <c r="B82" s="23">
        <f>'Despacho Horario Producto No. 1'!AD215</f>
        <v>9672000</v>
      </c>
      <c r="C82" s="90"/>
      <c r="D82" s="93"/>
      <c r="E82" s="63">
        <f t="shared" si="10"/>
        <v>0</v>
      </c>
      <c r="F82" s="90"/>
      <c r="G82" s="102"/>
    </row>
    <row r="83" spans="1:7" ht="15.75" thickBot="1" x14ac:dyDescent="0.3">
      <c r="A83" s="19" t="s">
        <v>84</v>
      </c>
      <c r="B83" s="23">
        <f>'Despacho Horario Producto No. 1'!AD218</f>
        <v>9672000</v>
      </c>
      <c r="C83" s="90"/>
      <c r="D83" s="93"/>
      <c r="E83" s="63">
        <f t="shared" si="10"/>
        <v>0</v>
      </c>
      <c r="F83" s="90"/>
      <c r="G83" s="102"/>
    </row>
    <row r="84" spans="1:7" ht="15.75" thickBot="1" x14ac:dyDescent="0.3">
      <c r="A84" s="19" t="s">
        <v>85</v>
      </c>
      <c r="B84" s="23">
        <f>'Despacho Horario Producto No. 1'!AD221</f>
        <v>9360000</v>
      </c>
      <c r="C84" s="90"/>
      <c r="D84" s="93"/>
      <c r="E84" s="63">
        <f t="shared" si="10"/>
        <v>0</v>
      </c>
      <c r="F84" s="90"/>
      <c r="G84" s="102"/>
    </row>
    <row r="85" spans="1:7" ht="15.75" thickBot="1" x14ac:dyDescent="0.3">
      <c r="A85" s="19" t="s">
        <v>86</v>
      </c>
      <c r="B85" s="23">
        <f>'Despacho Horario Producto No. 1'!AD224</f>
        <v>9672000</v>
      </c>
      <c r="C85" s="90"/>
      <c r="D85" s="93"/>
      <c r="E85" s="63">
        <f t="shared" si="10"/>
        <v>0</v>
      </c>
      <c r="F85" s="90"/>
      <c r="G85" s="102"/>
    </row>
    <row r="86" spans="1:7" ht="15.75" thickBot="1" x14ac:dyDescent="0.3">
      <c r="A86" s="19" t="s">
        <v>87</v>
      </c>
      <c r="B86" s="23">
        <f>'Despacho Horario Producto No. 1'!AD227</f>
        <v>9360000</v>
      </c>
      <c r="C86" s="90"/>
      <c r="D86" s="93"/>
      <c r="E86" s="63">
        <f t="shared" si="10"/>
        <v>0</v>
      </c>
      <c r="F86" s="90"/>
      <c r="G86" s="102"/>
    </row>
    <row r="87" spans="1:7" ht="15.75" thickBot="1" x14ac:dyDescent="0.3">
      <c r="A87" s="24" t="s">
        <v>88</v>
      </c>
      <c r="B87" s="23">
        <f>'Despacho Horario Producto No. 1'!AD230</f>
        <v>9672000</v>
      </c>
      <c r="C87" s="91"/>
      <c r="D87" s="93"/>
      <c r="E87" s="63">
        <f t="shared" si="10"/>
        <v>0</v>
      </c>
      <c r="F87" s="91"/>
      <c r="G87" s="102"/>
    </row>
    <row r="88" spans="1:7" ht="15.75" thickBot="1" x14ac:dyDescent="0.3">
      <c r="A88" s="21" t="s">
        <v>142</v>
      </c>
      <c r="B88" s="23">
        <f>'Despacho Horario Producto No. 1'!AD233</f>
        <v>9672000</v>
      </c>
      <c r="C88" s="87">
        <f t="shared" ref="C88" si="12">SUM(B88:B99)</f>
        <v>114192000</v>
      </c>
      <c r="D88" s="93"/>
      <c r="E88" s="63">
        <f t="shared" si="10"/>
        <v>0</v>
      </c>
      <c r="F88" s="87">
        <f t="shared" ref="F88" si="13">SUM(E88:E99)</f>
        <v>0</v>
      </c>
      <c r="G88" s="41"/>
    </row>
    <row r="89" spans="1:7" ht="15.75" thickBot="1" x14ac:dyDescent="0.3">
      <c r="A89" s="19" t="s">
        <v>143</v>
      </c>
      <c r="B89" s="23">
        <f>'Despacho Horario Producto No. 1'!AD236</f>
        <v>9048000</v>
      </c>
      <c r="C89" s="90"/>
      <c r="D89" s="93"/>
      <c r="E89" s="63">
        <f t="shared" si="10"/>
        <v>0</v>
      </c>
      <c r="F89" s="90"/>
      <c r="G89" s="41"/>
    </row>
    <row r="90" spans="1:7" ht="15.75" thickBot="1" x14ac:dyDescent="0.3">
      <c r="A90" s="19" t="s">
        <v>144</v>
      </c>
      <c r="B90" s="23">
        <f>'Despacho Horario Producto No. 1'!AD239</f>
        <v>9672000</v>
      </c>
      <c r="C90" s="90"/>
      <c r="D90" s="93"/>
      <c r="E90" s="63">
        <f t="shared" si="10"/>
        <v>0</v>
      </c>
      <c r="F90" s="90"/>
      <c r="G90" s="41"/>
    </row>
    <row r="91" spans="1:7" ht="15.75" thickBot="1" x14ac:dyDescent="0.3">
      <c r="A91" s="19" t="s">
        <v>145</v>
      </c>
      <c r="B91" s="23">
        <f>'Despacho Horario Producto No. 1'!AD242</f>
        <v>9360000</v>
      </c>
      <c r="C91" s="90"/>
      <c r="D91" s="93"/>
      <c r="E91" s="63">
        <f t="shared" si="10"/>
        <v>0</v>
      </c>
      <c r="F91" s="90"/>
      <c r="G91" s="41"/>
    </row>
    <row r="92" spans="1:7" ht="15.75" thickBot="1" x14ac:dyDescent="0.3">
      <c r="A92" s="19" t="s">
        <v>146</v>
      </c>
      <c r="B92" s="23">
        <f>'Despacho Horario Producto No. 1'!AD245</f>
        <v>9672000</v>
      </c>
      <c r="C92" s="90"/>
      <c r="D92" s="93"/>
      <c r="E92" s="63">
        <f t="shared" si="10"/>
        <v>0</v>
      </c>
      <c r="F92" s="90"/>
      <c r="G92" s="41"/>
    </row>
    <row r="93" spans="1:7" ht="15.75" thickBot="1" x14ac:dyDescent="0.3">
      <c r="A93" s="19" t="s">
        <v>147</v>
      </c>
      <c r="B93" s="23">
        <f>'Despacho Horario Producto No. 1'!AD248</f>
        <v>9360000</v>
      </c>
      <c r="C93" s="90"/>
      <c r="D93" s="93"/>
      <c r="E93" s="63">
        <f t="shared" si="10"/>
        <v>0</v>
      </c>
      <c r="F93" s="90"/>
      <c r="G93" s="41"/>
    </row>
    <row r="94" spans="1:7" ht="15.75" thickBot="1" x14ac:dyDescent="0.3">
      <c r="A94" s="19" t="s">
        <v>148</v>
      </c>
      <c r="B94" s="23">
        <f>'Despacho Horario Producto No. 1'!AD251</f>
        <v>9672000</v>
      </c>
      <c r="C94" s="90"/>
      <c r="D94" s="93"/>
      <c r="E94" s="63">
        <f t="shared" si="10"/>
        <v>0</v>
      </c>
      <c r="F94" s="90"/>
      <c r="G94" s="41"/>
    </row>
    <row r="95" spans="1:7" ht="15.75" thickBot="1" x14ac:dyDescent="0.3">
      <c r="A95" s="19" t="s">
        <v>149</v>
      </c>
      <c r="B95" s="23">
        <f>'Despacho Horario Producto No. 1'!AD254</f>
        <v>9672000</v>
      </c>
      <c r="C95" s="90"/>
      <c r="D95" s="93"/>
      <c r="E95" s="63">
        <f t="shared" si="10"/>
        <v>0</v>
      </c>
      <c r="F95" s="90"/>
      <c r="G95" s="41"/>
    </row>
    <row r="96" spans="1:7" ht="15.75" thickBot="1" x14ac:dyDescent="0.3">
      <c r="A96" s="19" t="s">
        <v>150</v>
      </c>
      <c r="B96" s="23">
        <f>'Despacho Horario Producto No. 1'!AD257</f>
        <v>9360000</v>
      </c>
      <c r="C96" s="90"/>
      <c r="D96" s="93"/>
      <c r="E96" s="63">
        <f t="shared" si="10"/>
        <v>0</v>
      </c>
      <c r="F96" s="90"/>
      <c r="G96" s="41"/>
    </row>
    <row r="97" spans="1:13" ht="15.75" thickBot="1" x14ac:dyDescent="0.3">
      <c r="A97" s="19" t="s">
        <v>151</v>
      </c>
      <c r="B97" s="23">
        <f>'Despacho Horario Producto No. 1'!AD260</f>
        <v>9672000</v>
      </c>
      <c r="C97" s="90"/>
      <c r="D97" s="93"/>
      <c r="E97" s="63">
        <f t="shared" si="10"/>
        <v>0</v>
      </c>
      <c r="F97" s="90"/>
      <c r="G97" s="41"/>
      <c r="J97" s="5"/>
      <c r="K97" s="5"/>
    </row>
    <row r="98" spans="1:13" ht="15.75" thickBot="1" x14ac:dyDescent="0.3">
      <c r="A98" s="19" t="s">
        <v>152</v>
      </c>
      <c r="B98" s="23">
        <f>'Despacho Horario Producto No. 1'!AD263</f>
        <v>9360000</v>
      </c>
      <c r="C98" s="90"/>
      <c r="D98" s="93"/>
      <c r="E98" s="63">
        <f t="shared" si="10"/>
        <v>0</v>
      </c>
      <c r="F98" s="90"/>
      <c r="G98" s="41"/>
      <c r="J98" s="5"/>
      <c r="K98" s="5"/>
    </row>
    <row r="99" spans="1:13" ht="15.75" thickBot="1" x14ac:dyDescent="0.3">
      <c r="A99" s="24" t="s">
        <v>153</v>
      </c>
      <c r="B99" s="23">
        <f>'Despacho Horario Producto No. 1'!AD266</f>
        <v>9672000</v>
      </c>
      <c r="C99" s="91"/>
      <c r="D99" s="93"/>
      <c r="E99" s="63">
        <f t="shared" si="10"/>
        <v>0</v>
      </c>
      <c r="F99" s="91"/>
      <c r="G99" s="41"/>
    </row>
    <row r="100" spans="1:13" s="3" customFormat="1" ht="15.75" thickBot="1" x14ac:dyDescent="0.3">
      <c r="A100" s="7" t="s">
        <v>89</v>
      </c>
      <c r="B100" s="23">
        <f>'Despacho Horario Producto No. 1'!AD269</f>
        <v>9672000</v>
      </c>
      <c r="C100" s="87">
        <f t="shared" ref="C100" si="14">SUM(B100:B111)</f>
        <v>113880000</v>
      </c>
      <c r="D100" s="93"/>
      <c r="E100" s="63">
        <f t="shared" si="10"/>
        <v>0</v>
      </c>
      <c r="F100" s="87">
        <f t="shared" ref="F100" si="15">SUM(E100:E111)</f>
        <v>0</v>
      </c>
      <c r="G100" s="103"/>
      <c r="J100" s="5"/>
      <c r="K100" s="5"/>
      <c r="L100" s="4"/>
      <c r="M100" s="4"/>
    </row>
    <row r="101" spans="1:13" ht="15.75" thickBot="1" x14ac:dyDescent="0.3">
      <c r="A101" s="19" t="s">
        <v>90</v>
      </c>
      <c r="B101" s="23">
        <f>'Despacho Horario Producto No. 1'!AD272</f>
        <v>8736000</v>
      </c>
      <c r="C101" s="90"/>
      <c r="D101" s="93"/>
      <c r="E101" s="63">
        <f t="shared" si="10"/>
        <v>0</v>
      </c>
      <c r="F101" s="90"/>
      <c r="G101" s="102"/>
      <c r="L101" s="5"/>
    </row>
    <row r="102" spans="1:13" ht="15.75" thickBot="1" x14ac:dyDescent="0.3">
      <c r="A102" s="19" t="s">
        <v>91</v>
      </c>
      <c r="B102" s="23">
        <f>'Despacho Horario Producto No. 1'!AD275</f>
        <v>9672000</v>
      </c>
      <c r="C102" s="90"/>
      <c r="D102" s="93"/>
      <c r="E102" s="63">
        <f t="shared" si="10"/>
        <v>0</v>
      </c>
      <c r="F102" s="90"/>
      <c r="G102" s="102"/>
    </row>
    <row r="103" spans="1:13" ht="20.25" thickBot="1" x14ac:dyDescent="0.3">
      <c r="A103" s="19" t="s">
        <v>92</v>
      </c>
      <c r="B103" s="23">
        <f>'Despacho Horario Producto No. 1'!AD278</f>
        <v>9360000</v>
      </c>
      <c r="C103" s="90"/>
      <c r="D103" s="93"/>
      <c r="E103" s="63">
        <f t="shared" si="10"/>
        <v>0</v>
      </c>
      <c r="F103" s="90"/>
      <c r="G103" s="102"/>
      <c r="H103" s="6"/>
      <c r="J103" s="6"/>
      <c r="K103" s="6"/>
      <c r="L103" s="6"/>
    </row>
    <row r="104" spans="1:13" ht="15.75" thickBot="1" x14ac:dyDescent="0.3">
      <c r="A104" s="19" t="s">
        <v>93</v>
      </c>
      <c r="B104" s="23">
        <f>'Despacho Horario Producto No. 1'!AD281</f>
        <v>9672000</v>
      </c>
      <c r="C104" s="90"/>
      <c r="D104" s="93"/>
      <c r="E104" s="63">
        <f t="shared" si="10"/>
        <v>0</v>
      </c>
      <c r="F104" s="90"/>
      <c r="G104" s="102"/>
    </row>
    <row r="105" spans="1:13" ht="15.75" thickBot="1" x14ac:dyDescent="0.3">
      <c r="A105" s="19" t="s">
        <v>94</v>
      </c>
      <c r="B105" s="23">
        <f>'Despacho Horario Producto No. 1'!AD284</f>
        <v>9360000</v>
      </c>
      <c r="C105" s="90"/>
      <c r="D105" s="93"/>
      <c r="E105" s="63">
        <f t="shared" si="10"/>
        <v>0</v>
      </c>
      <c r="F105" s="90"/>
      <c r="G105" s="102"/>
    </row>
    <row r="106" spans="1:13" ht="15.75" thickBot="1" x14ac:dyDescent="0.3">
      <c r="A106" s="19" t="s">
        <v>95</v>
      </c>
      <c r="B106" s="23">
        <f>'Despacho Horario Producto No. 1'!AD287</f>
        <v>9672000</v>
      </c>
      <c r="C106" s="90"/>
      <c r="D106" s="93"/>
      <c r="E106" s="63">
        <f t="shared" si="10"/>
        <v>0</v>
      </c>
      <c r="F106" s="90"/>
      <c r="G106" s="102"/>
    </row>
    <row r="107" spans="1:13" ht="15.75" thickBot="1" x14ac:dyDescent="0.3">
      <c r="A107" s="19" t="s">
        <v>96</v>
      </c>
      <c r="B107" s="23">
        <f>'Despacho Horario Producto No. 1'!AD290</f>
        <v>9672000</v>
      </c>
      <c r="C107" s="90"/>
      <c r="D107" s="93"/>
      <c r="E107" s="63">
        <f t="shared" si="10"/>
        <v>0</v>
      </c>
      <c r="F107" s="90"/>
      <c r="G107" s="102"/>
    </row>
    <row r="108" spans="1:13" ht="15.75" thickBot="1" x14ac:dyDescent="0.3">
      <c r="A108" s="19" t="s">
        <v>97</v>
      </c>
      <c r="B108" s="23">
        <f>'Despacho Horario Producto No. 1'!AD293</f>
        <v>9360000</v>
      </c>
      <c r="C108" s="90"/>
      <c r="D108" s="93"/>
      <c r="E108" s="63">
        <f t="shared" si="10"/>
        <v>0</v>
      </c>
      <c r="F108" s="90"/>
      <c r="G108" s="102"/>
    </row>
    <row r="109" spans="1:13" ht="15.75" thickBot="1" x14ac:dyDescent="0.3">
      <c r="A109" s="19" t="s">
        <v>98</v>
      </c>
      <c r="B109" s="23">
        <f>'Despacho Horario Producto No. 1'!AD296</f>
        <v>9672000</v>
      </c>
      <c r="C109" s="90"/>
      <c r="D109" s="93"/>
      <c r="E109" s="63">
        <f t="shared" si="10"/>
        <v>0</v>
      </c>
      <c r="F109" s="90"/>
      <c r="G109" s="102"/>
    </row>
    <row r="110" spans="1:13" ht="15.75" thickBot="1" x14ac:dyDescent="0.3">
      <c r="A110" s="19" t="s">
        <v>99</v>
      </c>
      <c r="B110" s="23">
        <f>'Despacho Horario Producto No. 1'!AD299</f>
        <v>9360000</v>
      </c>
      <c r="C110" s="90"/>
      <c r="D110" s="93"/>
      <c r="E110" s="63">
        <f t="shared" si="10"/>
        <v>0</v>
      </c>
      <c r="F110" s="90"/>
      <c r="G110" s="102"/>
    </row>
    <row r="111" spans="1:13" ht="15.75" thickBot="1" x14ac:dyDescent="0.3">
      <c r="A111" s="20" t="s">
        <v>100</v>
      </c>
      <c r="B111" s="23">
        <f>'Despacho Horario Producto No. 1'!AD302</f>
        <v>9672000</v>
      </c>
      <c r="C111" s="91"/>
      <c r="D111" s="94"/>
      <c r="E111" s="63">
        <f t="shared" si="10"/>
        <v>0</v>
      </c>
      <c r="F111" s="91"/>
      <c r="G111" s="104"/>
    </row>
    <row r="112" spans="1:13" ht="15.75" thickBot="1" x14ac:dyDescent="0.3">
      <c r="A112" s="38" t="s">
        <v>7</v>
      </c>
      <c r="B112" s="37">
        <f>SUM(B11:B111)</f>
        <v>921877200</v>
      </c>
      <c r="C112" s="37">
        <f>SUM(C11:C111)</f>
        <v>921877200</v>
      </c>
      <c r="D112" s="18"/>
      <c r="E112" s="37">
        <f>SUM(E11:E111)</f>
        <v>0</v>
      </c>
      <c r="F112" s="37">
        <f>SUM(F11:F111)</f>
        <v>0</v>
      </c>
      <c r="G112" s="37" t="str">
        <f>IFERROR(SUMPRODUCT(F11:F111,G11:G111)/SUM(F11:F111),"")</f>
        <v/>
      </c>
    </row>
    <row r="113" spans="1:7" x14ac:dyDescent="0.25">
      <c r="A113" s="25"/>
      <c r="B113" s="26"/>
      <c r="C113" s="26"/>
      <c r="D113" s="27"/>
      <c r="E113" s="26"/>
      <c r="F113" s="26"/>
      <c r="G113" s="28"/>
    </row>
    <row r="114" spans="1:7" x14ac:dyDescent="0.25">
      <c r="A114" s="29" t="s">
        <v>1</v>
      </c>
      <c r="B114" s="26"/>
      <c r="C114" s="26"/>
      <c r="D114" s="27"/>
      <c r="E114" s="26"/>
      <c r="F114" s="26"/>
      <c r="G114" s="30"/>
    </row>
    <row r="115" spans="1:7" x14ac:dyDescent="0.25">
      <c r="A115" s="97" t="s">
        <v>8</v>
      </c>
      <c r="B115" s="97"/>
      <c r="C115" s="97"/>
      <c r="D115" s="97"/>
      <c r="E115" s="97"/>
      <c r="F115" s="97"/>
      <c r="G115" s="97"/>
    </row>
    <row r="116" spans="1:7" x14ac:dyDescent="0.25">
      <c r="A116" s="97" t="s">
        <v>154</v>
      </c>
      <c r="B116" s="97"/>
      <c r="C116" s="97"/>
      <c r="D116" s="97"/>
      <c r="E116" s="97"/>
      <c r="F116" s="97"/>
      <c r="G116" s="97"/>
    </row>
    <row r="117" spans="1:7" x14ac:dyDescent="0.25">
      <c r="A117" s="97" t="s">
        <v>155</v>
      </c>
      <c r="B117" s="97"/>
      <c r="C117" s="97"/>
      <c r="D117" s="97"/>
      <c r="E117" s="97"/>
      <c r="F117" s="97"/>
      <c r="G117" s="97"/>
    </row>
    <row r="118" spans="1:7" x14ac:dyDescent="0.25">
      <c r="A118" s="97" t="s">
        <v>102</v>
      </c>
      <c r="B118" s="97"/>
      <c r="C118" s="97"/>
      <c r="D118" s="97"/>
      <c r="E118" s="97"/>
      <c r="F118" s="97"/>
      <c r="G118" s="97"/>
    </row>
    <row r="119" spans="1:7" x14ac:dyDescent="0.25">
      <c r="A119" s="97" t="s">
        <v>13</v>
      </c>
      <c r="B119" s="97"/>
      <c r="C119" s="97"/>
      <c r="D119" s="97"/>
      <c r="E119" s="97"/>
      <c r="F119" s="97"/>
      <c r="G119" s="97"/>
    </row>
    <row r="120" spans="1:7" x14ac:dyDescent="0.25">
      <c r="A120" s="97" t="s">
        <v>156</v>
      </c>
      <c r="B120" s="97"/>
      <c r="C120" s="97"/>
      <c r="D120" s="97"/>
      <c r="E120" s="97"/>
      <c r="F120" s="97"/>
      <c r="G120" s="97"/>
    </row>
    <row r="121" spans="1:7" x14ac:dyDescent="0.25">
      <c r="A121" s="31" t="s">
        <v>15</v>
      </c>
      <c r="B121" s="32"/>
      <c r="C121" s="32"/>
      <c r="D121" s="39"/>
      <c r="E121" s="31"/>
      <c r="F121" s="31"/>
      <c r="G121" s="31"/>
    </row>
    <row r="122" spans="1:7" x14ac:dyDescent="0.25">
      <c r="A122" s="97" t="s">
        <v>103</v>
      </c>
      <c r="B122" s="97"/>
      <c r="C122" s="97"/>
      <c r="D122" s="97"/>
      <c r="E122" s="97"/>
      <c r="F122" s="97"/>
      <c r="G122" s="97"/>
    </row>
    <row r="123" spans="1:7" x14ac:dyDescent="0.25">
      <c r="A123" s="25"/>
      <c r="B123" s="26"/>
      <c r="C123" s="26"/>
      <c r="D123" s="27"/>
      <c r="E123" s="26"/>
      <c r="F123" s="26"/>
      <c r="G123" s="30"/>
    </row>
    <row r="124" spans="1:7" x14ac:dyDescent="0.25">
      <c r="A124" s="33" t="s">
        <v>10</v>
      </c>
      <c r="B124" s="34"/>
      <c r="C124" s="34"/>
      <c r="D124" s="35"/>
      <c r="E124" s="34"/>
      <c r="F124" s="34"/>
      <c r="G124" s="30"/>
    </row>
    <row r="125" spans="1:7" x14ac:dyDescent="0.25">
      <c r="A125" s="33"/>
      <c r="B125" s="34"/>
      <c r="C125" s="34"/>
      <c r="D125" s="35"/>
      <c r="E125" s="34"/>
      <c r="F125" s="34"/>
      <c r="G125" s="30"/>
    </row>
    <row r="126" spans="1:7" x14ac:dyDescent="0.25">
      <c r="A126" s="33"/>
      <c r="B126" s="34"/>
      <c r="C126" s="34"/>
      <c r="D126" s="35"/>
      <c r="E126" s="34"/>
      <c r="F126" s="34"/>
      <c r="G126" s="30"/>
    </row>
    <row r="127" spans="1:7" x14ac:dyDescent="0.25">
      <c r="A127" s="96" t="s">
        <v>11</v>
      </c>
      <c r="B127" s="96"/>
      <c r="C127" s="96"/>
      <c r="D127" s="96"/>
      <c r="E127" s="96"/>
      <c r="F127" s="36"/>
      <c r="G127" s="30"/>
    </row>
    <row r="128" spans="1:7" x14ac:dyDescent="0.25">
      <c r="A128" s="95" t="s">
        <v>12</v>
      </c>
      <c r="B128" s="96"/>
      <c r="C128" s="96"/>
      <c r="D128" s="96"/>
      <c r="E128" s="96"/>
      <c r="F128" s="36"/>
      <c r="G128" s="30"/>
    </row>
    <row r="129" spans="2:7" x14ac:dyDescent="0.25">
      <c r="B129" s="3"/>
      <c r="C129" s="3"/>
      <c r="E129" s="3"/>
      <c r="F129" s="3"/>
      <c r="G129" s="3"/>
    </row>
    <row r="130" spans="2:7" x14ac:dyDescent="0.25">
      <c r="B130" s="3"/>
      <c r="C130" s="3"/>
      <c r="E130" s="3"/>
      <c r="F130" s="3"/>
      <c r="G130" s="3"/>
    </row>
    <row r="131" spans="2:7" x14ac:dyDescent="0.25">
      <c r="B131" s="3"/>
      <c r="C131" s="3"/>
      <c r="E131" s="3"/>
      <c r="F131" s="3"/>
      <c r="G131" s="3"/>
    </row>
    <row r="132" spans="2:7" x14ac:dyDescent="0.25">
      <c r="B132" s="3"/>
      <c r="C132" s="3"/>
      <c r="E132" s="3"/>
      <c r="F132" s="3"/>
      <c r="G132" s="3"/>
    </row>
    <row r="133" spans="2:7" x14ac:dyDescent="0.25">
      <c r="B133" s="3"/>
      <c r="C133" s="3"/>
      <c r="E133" s="3"/>
      <c r="F133" s="3"/>
      <c r="G133" s="3"/>
    </row>
    <row r="134" spans="2:7" x14ac:dyDescent="0.25">
      <c r="B134" s="3"/>
      <c r="C134" s="3"/>
      <c r="E134" s="3"/>
      <c r="F134" s="3"/>
      <c r="G134" s="3"/>
    </row>
  </sheetData>
  <protectedRanges>
    <protectedRange sqref="J111:XFD117 A123:G129 B48:B49 H111:H117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slNfYeAD4q8rlj1W28rNOkyHKUlwLL/uTNg4yqt94wgnvDpOR2LJBDarywTJdp/1duoQiwm3FUarr5gO85Ja+g==" saltValue="u83Hy/MGETHjdp1P1pJP5A==" spinCount="100000" sqref="G19 G31 G43 G55 G67 G79 G103" name="Oferta Económica"/>
    <protectedRange algorithmName="SHA-512" hashValue="ZCGCsZBsuti+jNpq0zPDF7TJcNUKSC9UOPfyeHu6/iZZ4KM54hDGjg/wkL+h8IG2Vs+ED/T62OT2avFLotLyFw==" saltValue="/cGMZahkX9SqIv/qJhV3zw==" spinCount="100000" sqref="D23:D27 D38:D39 D51 D62:D63 D74:D75 D110:D111 D86:D99" name="Oferta despacho"/>
  </protectedRanges>
  <mergeCells count="37">
    <mergeCell ref="G76:G87"/>
    <mergeCell ref="G100:G111"/>
    <mergeCell ref="G16:G27"/>
    <mergeCell ref="G28:G39"/>
    <mergeCell ref="G40:G51"/>
    <mergeCell ref="G52:G63"/>
    <mergeCell ref="G64:G75"/>
    <mergeCell ref="A5:G6"/>
    <mergeCell ref="B8:G8"/>
    <mergeCell ref="C16:C27"/>
    <mergeCell ref="F16:F27"/>
    <mergeCell ref="A127:E127"/>
    <mergeCell ref="A115:G115"/>
    <mergeCell ref="C28:C39"/>
    <mergeCell ref="F28:F39"/>
    <mergeCell ref="C40:C51"/>
    <mergeCell ref="F40:F51"/>
    <mergeCell ref="C52:C63"/>
    <mergeCell ref="F52:F63"/>
    <mergeCell ref="C64:C75"/>
    <mergeCell ref="F64:F75"/>
    <mergeCell ref="C76:C87"/>
    <mergeCell ref="F76:F87"/>
    <mergeCell ref="A128:E128"/>
    <mergeCell ref="A116:G116"/>
    <mergeCell ref="A117:G117"/>
    <mergeCell ref="A118:G118"/>
    <mergeCell ref="A119:G119"/>
    <mergeCell ref="A120:G120"/>
    <mergeCell ref="A122:G122"/>
    <mergeCell ref="C11:C15"/>
    <mergeCell ref="C88:C99"/>
    <mergeCell ref="D11:D111"/>
    <mergeCell ref="F11:F15"/>
    <mergeCell ref="F88:F99"/>
    <mergeCell ref="C100:C111"/>
    <mergeCell ref="F100:F111"/>
  </mergeCells>
  <conditionalFormatting sqref="G16:G112">
    <cfRule type="containsText" dxfId="2" priority="1" operator="containsText" text="No cumple con la relación requerida para ofertar">
      <formula>NOT(ISERROR(SEARCH("No cumple con la relación requerida para ofertar",G16)))</formula>
    </cfRule>
  </conditionalFormatting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280C-88F4-4F45-8C85-594F26E75C54}">
  <dimension ref="A1:AD304"/>
  <sheetViews>
    <sheetView topLeftCell="A217" zoomScale="85" zoomScaleNormal="85" workbookViewId="0">
      <selection activeCell="A269" sqref="A269:AD304"/>
    </sheetView>
  </sheetViews>
  <sheetFormatPr baseColWidth="10" defaultColWidth="8.140625" defaultRowHeight="15" x14ac:dyDescent="0.25"/>
  <cols>
    <col min="1" max="1" width="5" bestFit="1" customWidth="1"/>
    <col min="2" max="2" width="4.42578125" bestFit="1" customWidth="1"/>
    <col min="3" max="3" width="5.42578125" bestFit="1" customWidth="1"/>
    <col min="4" max="4" width="10.7109375" customWidth="1"/>
    <col min="5" max="28" width="8" bestFit="1" customWidth="1"/>
    <col min="29" max="29" width="8.7109375" bestFit="1" customWidth="1"/>
    <col min="30" max="30" width="13.85546875" style="65" customWidth="1"/>
  </cols>
  <sheetData>
    <row r="1" spans="1:30" ht="15.75" thickBot="1" x14ac:dyDescent="0.3">
      <c r="A1" s="42" t="s">
        <v>105</v>
      </c>
      <c r="B1" s="43" t="s">
        <v>9</v>
      </c>
      <c r="C1" s="43" t="s">
        <v>106</v>
      </c>
      <c r="D1" s="44" t="s">
        <v>107</v>
      </c>
      <c r="E1" s="45" t="s">
        <v>108</v>
      </c>
      <c r="F1" s="46" t="s">
        <v>109</v>
      </c>
      <c r="G1" s="46" t="s">
        <v>110</v>
      </c>
      <c r="H1" s="46" t="s">
        <v>111</v>
      </c>
      <c r="I1" s="46" t="s">
        <v>112</v>
      </c>
      <c r="J1" s="46" t="s">
        <v>113</v>
      </c>
      <c r="K1" s="46" t="s">
        <v>114</v>
      </c>
      <c r="L1" s="46" t="s">
        <v>115</v>
      </c>
      <c r="M1" s="46" t="s">
        <v>116</v>
      </c>
      <c r="N1" s="46" t="s">
        <v>117</v>
      </c>
      <c r="O1" s="46" t="s">
        <v>118</v>
      </c>
      <c r="P1" s="46" t="s">
        <v>119</v>
      </c>
      <c r="Q1" s="46" t="s">
        <v>120</v>
      </c>
      <c r="R1" s="46" t="s">
        <v>121</v>
      </c>
      <c r="S1" s="46" t="s">
        <v>122</v>
      </c>
      <c r="T1" s="46" t="s">
        <v>123</v>
      </c>
      <c r="U1" s="46" t="s">
        <v>124</v>
      </c>
      <c r="V1" s="46" t="s">
        <v>125</v>
      </c>
      <c r="W1" s="46" t="s">
        <v>126</v>
      </c>
      <c r="X1" s="46" t="s">
        <v>127</v>
      </c>
      <c r="Y1" s="46" t="s">
        <v>128</v>
      </c>
      <c r="Z1" s="46" t="s">
        <v>129</v>
      </c>
      <c r="AA1" s="46" t="s">
        <v>130</v>
      </c>
      <c r="AB1" s="47" t="s">
        <v>131</v>
      </c>
      <c r="AC1" s="48" t="s">
        <v>132</v>
      </c>
      <c r="AD1" s="64" t="s">
        <v>133</v>
      </c>
    </row>
    <row r="2" spans="1:30" ht="15.75" thickBot="1" x14ac:dyDescent="0.3">
      <c r="A2" s="49">
        <v>2025</v>
      </c>
      <c r="B2" s="50">
        <v>8</v>
      </c>
      <c r="C2" s="50">
        <v>4</v>
      </c>
      <c r="D2" s="51" t="s">
        <v>134</v>
      </c>
      <c r="E2" s="52">
        <v>1350</v>
      </c>
      <c r="F2" s="52">
        <v>1350</v>
      </c>
      <c r="G2" s="52">
        <v>1350</v>
      </c>
      <c r="H2" s="52">
        <v>1350</v>
      </c>
      <c r="I2" s="52">
        <v>1350</v>
      </c>
      <c r="J2" s="52">
        <v>1350</v>
      </c>
      <c r="K2" s="52">
        <v>1350</v>
      </c>
      <c r="L2" s="52">
        <v>1350</v>
      </c>
      <c r="M2" s="52">
        <v>1350</v>
      </c>
      <c r="N2" s="52">
        <v>1350</v>
      </c>
      <c r="O2" s="52">
        <v>1350</v>
      </c>
      <c r="P2" s="52">
        <v>1350</v>
      </c>
      <c r="Q2" s="52">
        <v>1350</v>
      </c>
      <c r="R2" s="52">
        <v>1350</v>
      </c>
      <c r="S2" s="52">
        <v>1350</v>
      </c>
      <c r="T2" s="52">
        <v>1350</v>
      </c>
      <c r="U2" s="52">
        <v>1350</v>
      </c>
      <c r="V2" s="52">
        <v>1350</v>
      </c>
      <c r="W2" s="52">
        <v>1350</v>
      </c>
      <c r="X2" s="52">
        <v>1350</v>
      </c>
      <c r="Y2" s="52">
        <v>1350</v>
      </c>
      <c r="Z2" s="52">
        <v>1350</v>
      </c>
      <c r="AA2" s="52">
        <v>1350</v>
      </c>
      <c r="AB2" s="52">
        <v>1350</v>
      </c>
      <c r="AC2" s="53">
        <f t="shared" ref="AC2:AC16" si="0">+SUM(E2:AB2)</f>
        <v>32400</v>
      </c>
      <c r="AD2" s="105">
        <f>+SUMPRODUCT(AC2:AC4,C2:C4)</f>
        <v>550800</v>
      </c>
    </row>
    <row r="3" spans="1:30" ht="15.75" thickBot="1" x14ac:dyDescent="0.3">
      <c r="A3" s="54">
        <v>2025</v>
      </c>
      <c r="B3" s="55">
        <v>8</v>
      </c>
      <c r="C3" s="55">
        <v>10</v>
      </c>
      <c r="D3" s="56" t="s">
        <v>135</v>
      </c>
      <c r="E3" s="52">
        <v>1350</v>
      </c>
      <c r="F3" s="52">
        <v>1350</v>
      </c>
      <c r="G3" s="52">
        <v>1350</v>
      </c>
      <c r="H3" s="52">
        <v>1350</v>
      </c>
      <c r="I3" s="52">
        <v>1350</v>
      </c>
      <c r="J3" s="52">
        <v>1350</v>
      </c>
      <c r="K3" s="52">
        <v>1350</v>
      </c>
      <c r="L3" s="52">
        <v>1350</v>
      </c>
      <c r="M3" s="52">
        <v>1350</v>
      </c>
      <c r="N3" s="52">
        <v>1350</v>
      </c>
      <c r="O3" s="52">
        <v>1350</v>
      </c>
      <c r="P3" s="52">
        <v>1350</v>
      </c>
      <c r="Q3" s="52">
        <v>1350</v>
      </c>
      <c r="R3" s="52">
        <v>1350</v>
      </c>
      <c r="S3" s="52">
        <v>1350</v>
      </c>
      <c r="T3" s="52">
        <v>1350</v>
      </c>
      <c r="U3" s="52">
        <v>1350</v>
      </c>
      <c r="V3" s="52">
        <v>1350</v>
      </c>
      <c r="W3" s="52">
        <v>1350</v>
      </c>
      <c r="X3" s="52">
        <v>1350</v>
      </c>
      <c r="Y3" s="52">
        <v>1350</v>
      </c>
      <c r="Z3" s="52">
        <v>1350</v>
      </c>
      <c r="AA3" s="52">
        <v>1350</v>
      </c>
      <c r="AB3" s="52">
        <v>1350</v>
      </c>
      <c r="AC3" s="57">
        <f t="shared" si="0"/>
        <v>32400</v>
      </c>
      <c r="AD3" s="106"/>
    </row>
    <row r="4" spans="1:30" ht="15.75" thickBot="1" x14ac:dyDescent="0.3">
      <c r="A4" s="58">
        <v>2025</v>
      </c>
      <c r="B4" s="59">
        <v>8</v>
      </c>
      <c r="C4" s="59">
        <v>3</v>
      </c>
      <c r="D4" s="60" t="s">
        <v>136</v>
      </c>
      <c r="E4" s="52">
        <v>1350</v>
      </c>
      <c r="F4" s="52">
        <v>1350</v>
      </c>
      <c r="G4" s="52">
        <v>1350</v>
      </c>
      <c r="H4" s="52">
        <v>1350</v>
      </c>
      <c r="I4" s="52">
        <v>1350</v>
      </c>
      <c r="J4" s="52">
        <v>1350</v>
      </c>
      <c r="K4" s="52">
        <v>1350</v>
      </c>
      <c r="L4" s="52">
        <v>1350</v>
      </c>
      <c r="M4" s="52">
        <v>1350</v>
      </c>
      <c r="N4" s="52">
        <v>1350</v>
      </c>
      <c r="O4" s="52">
        <v>1350</v>
      </c>
      <c r="P4" s="52">
        <v>1350</v>
      </c>
      <c r="Q4" s="52">
        <v>1350</v>
      </c>
      <c r="R4" s="52">
        <v>1350</v>
      </c>
      <c r="S4" s="52">
        <v>1350</v>
      </c>
      <c r="T4" s="52">
        <v>1350</v>
      </c>
      <c r="U4" s="52">
        <v>1350</v>
      </c>
      <c r="V4" s="52">
        <v>1350</v>
      </c>
      <c r="W4" s="52">
        <v>1350</v>
      </c>
      <c r="X4" s="52">
        <v>1350</v>
      </c>
      <c r="Y4" s="52">
        <v>1350</v>
      </c>
      <c r="Z4" s="52">
        <v>1350</v>
      </c>
      <c r="AA4" s="52">
        <v>1350</v>
      </c>
      <c r="AB4" s="52">
        <v>1350</v>
      </c>
      <c r="AC4" s="61">
        <f t="shared" si="0"/>
        <v>32400</v>
      </c>
      <c r="AD4" s="107"/>
    </row>
    <row r="5" spans="1:30" ht="15.75" thickBot="1" x14ac:dyDescent="0.3">
      <c r="A5" s="49">
        <v>2025</v>
      </c>
      <c r="B5" s="50">
        <v>9</v>
      </c>
      <c r="C5" s="50">
        <v>4</v>
      </c>
      <c r="D5" s="51" t="s">
        <v>134</v>
      </c>
      <c r="E5" s="52">
        <v>3300</v>
      </c>
      <c r="F5" s="52">
        <v>3300</v>
      </c>
      <c r="G5" s="52">
        <v>3300</v>
      </c>
      <c r="H5" s="52">
        <v>3300</v>
      </c>
      <c r="I5" s="52">
        <v>3300</v>
      </c>
      <c r="J5" s="52">
        <v>3300</v>
      </c>
      <c r="K5" s="52">
        <v>3300</v>
      </c>
      <c r="L5" s="52">
        <v>3300</v>
      </c>
      <c r="M5" s="52">
        <v>3300</v>
      </c>
      <c r="N5" s="52">
        <v>3300</v>
      </c>
      <c r="O5" s="52">
        <v>3300</v>
      </c>
      <c r="P5" s="52">
        <v>3300</v>
      </c>
      <c r="Q5" s="52">
        <v>3300</v>
      </c>
      <c r="R5" s="52">
        <v>3300</v>
      </c>
      <c r="S5" s="52">
        <v>3300</v>
      </c>
      <c r="T5" s="52">
        <v>3300</v>
      </c>
      <c r="U5" s="52">
        <v>3300</v>
      </c>
      <c r="V5" s="52">
        <v>3300</v>
      </c>
      <c r="W5" s="52">
        <v>3300</v>
      </c>
      <c r="X5" s="52">
        <v>3300</v>
      </c>
      <c r="Y5" s="52">
        <v>3300</v>
      </c>
      <c r="Z5" s="52">
        <v>3300</v>
      </c>
      <c r="AA5" s="52">
        <v>3300</v>
      </c>
      <c r="AB5" s="52">
        <v>3300</v>
      </c>
      <c r="AC5" s="53">
        <f t="shared" si="0"/>
        <v>79200</v>
      </c>
      <c r="AD5" s="105">
        <f>+SUMPRODUCT(AC5:AC7,C5:C7)</f>
        <v>2376000</v>
      </c>
    </row>
    <row r="6" spans="1:30" ht="15.75" thickBot="1" x14ac:dyDescent="0.3">
      <c r="A6" s="54">
        <v>2025</v>
      </c>
      <c r="B6" s="55">
        <v>9</v>
      </c>
      <c r="C6" s="55">
        <v>22</v>
      </c>
      <c r="D6" s="56" t="s">
        <v>135</v>
      </c>
      <c r="E6" s="52">
        <v>3300</v>
      </c>
      <c r="F6" s="52">
        <v>3300</v>
      </c>
      <c r="G6" s="52">
        <v>3300</v>
      </c>
      <c r="H6" s="52">
        <v>3300</v>
      </c>
      <c r="I6" s="52">
        <v>3300</v>
      </c>
      <c r="J6" s="52">
        <v>3300</v>
      </c>
      <c r="K6" s="52">
        <v>3300</v>
      </c>
      <c r="L6" s="52">
        <v>3300</v>
      </c>
      <c r="M6" s="52">
        <v>3300</v>
      </c>
      <c r="N6" s="52">
        <v>3300</v>
      </c>
      <c r="O6" s="52">
        <v>3300</v>
      </c>
      <c r="P6" s="52">
        <v>3300</v>
      </c>
      <c r="Q6" s="52">
        <v>3300</v>
      </c>
      <c r="R6" s="52">
        <v>3300</v>
      </c>
      <c r="S6" s="52">
        <v>3300</v>
      </c>
      <c r="T6" s="52">
        <v>3300</v>
      </c>
      <c r="U6" s="52">
        <v>3300</v>
      </c>
      <c r="V6" s="52">
        <v>3300</v>
      </c>
      <c r="W6" s="52">
        <v>3300</v>
      </c>
      <c r="X6" s="52">
        <v>3300</v>
      </c>
      <c r="Y6" s="52">
        <v>3300</v>
      </c>
      <c r="Z6" s="52">
        <v>3300</v>
      </c>
      <c r="AA6" s="52">
        <v>3300</v>
      </c>
      <c r="AB6" s="52">
        <v>3300</v>
      </c>
      <c r="AC6" s="57">
        <f t="shared" si="0"/>
        <v>79200</v>
      </c>
      <c r="AD6" s="106"/>
    </row>
    <row r="7" spans="1:30" ht="15.75" thickBot="1" x14ac:dyDescent="0.3">
      <c r="A7" s="58">
        <v>2025</v>
      </c>
      <c r="B7" s="59">
        <v>9</v>
      </c>
      <c r="C7" s="59">
        <v>4</v>
      </c>
      <c r="D7" s="60" t="s">
        <v>136</v>
      </c>
      <c r="E7" s="52">
        <v>3300</v>
      </c>
      <c r="F7" s="52">
        <v>3300</v>
      </c>
      <c r="G7" s="52">
        <v>3300</v>
      </c>
      <c r="H7" s="52">
        <v>3300</v>
      </c>
      <c r="I7" s="52">
        <v>3300</v>
      </c>
      <c r="J7" s="52">
        <v>3300</v>
      </c>
      <c r="K7" s="52">
        <v>3300</v>
      </c>
      <c r="L7" s="52">
        <v>3300</v>
      </c>
      <c r="M7" s="52">
        <v>3300</v>
      </c>
      <c r="N7" s="52">
        <v>3300</v>
      </c>
      <c r="O7" s="52">
        <v>3300</v>
      </c>
      <c r="P7" s="52">
        <v>3300</v>
      </c>
      <c r="Q7" s="52">
        <v>3300</v>
      </c>
      <c r="R7" s="52">
        <v>3300</v>
      </c>
      <c r="S7" s="52">
        <v>3300</v>
      </c>
      <c r="T7" s="52">
        <v>3300</v>
      </c>
      <c r="U7" s="52">
        <v>3300</v>
      </c>
      <c r="V7" s="52">
        <v>3300</v>
      </c>
      <c r="W7" s="52">
        <v>3300</v>
      </c>
      <c r="X7" s="52">
        <v>3300</v>
      </c>
      <c r="Y7" s="52">
        <v>3300</v>
      </c>
      <c r="Z7" s="52">
        <v>3300</v>
      </c>
      <c r="AA7" s="52">
        <v>3300</v>
      </c>
      <c r="AB7" s="52">
        <v>3300</v>
      </c>
      <c r="AC7" s="61">
        <f t="shared" si="0"/>
        <v>79200</v>
      </c>
      <c r="AD7" s="107"/>
    </row>
    <row r="8" spans="1:30" ht="15.75" thickBot="1" x14ac:dyDescent="0.3">
      <c r="A8" s="49">
        <v>2025</v>
      </c>
      <c r="B8" s="50">
        <v>10</v>
      </c>
      <c r="C8" s="50">
        <v>5</v>
      </c>
      <c r="D8" s="51" t="s">
        <v>134</v>
      </c>
      <c r="E8" s="52">
        <v>3300</v>
      </c>
      <c r="F8" s="52">
        <v>3300</v>
      </c>
      <c r="G8" s="52">
        <v>3300</v>
      </c>
      <c r="H8" s="52">
        <v>3300</v>
      </c>
      <c r="I8" s="52">
        <v>3300</v>
      </c>
      <c r="J8" s="52">
        <v>3300</v>
      </c>
      <c r="K8" s="52">
        <v>3300</v>
      </c>
      <c r="L8" s="52">
        <v>3300</v>
      </c>
      <c r="M8" s="52">
        <v>3300</v>
      </c>
      <c r="N8" s="52">
        <v>3300</v>
      </c>
      <c r="O8" s="52">
        <v>3300</v>
      </c>
      <c r="P8" s="52">
        <v>3300</v>
      </c>
      <c r="Q8" s="52">
        <v>3300</v>
      </c>
      <c r="R8" s="52">
        <v>3300</v>
      </c>
      <c r="S8" s="52">
        <v>3300</v>
      </c>
      <c r="T8" s="52">
        <v>3300</v>
      </c>
      <c r="U8" s="52">
        <v>3300</v>
      </c>
      <c r="V8" s="52">
        <v>3300</v>
      </c>
      <c r="W8" s="52">
        <v>3300</v>
      </c>
      <c r="X8" s="52">
        <v>3300</v>
      </c>
      <c r="Y8" s="52">
        <v>3300</v>
      </c>
      <c r="Z8" s="52">
        <v>3300</v>
      </c>
      <c r="AA8" s="52">
        <v>3300</v>
      </c>
      <c r="AB8" s="52">
        <v>3300</v>
      </c>
      <c r="AC8" s="53">
        <f t="shared" si="0"/>
        <v>79200</v>
      </c>
      <c r="AD8" s="105">
        <f>+SUMPRODUCT(AC8:AC10,C8:C10)</f>
        <v>2455200</v>
      </c>
    </row>
    <row r="9" spans="1:30" ht="15.75" thickBot="1" x14ac:dyDescent="0.3">
      <c r="A9" s="54">
        <v>2025</v>
      </c>
      <c r="B9" s="55">
        <v>10</v>
      </c>
      <c r="C9" s="55">
        <v>22</v>
      </c>
      <c r="D9" s="56" t="s">
        <v>135</v>
      </c>
      <c r="E9" s="52">
        <v>3300</v>
      </c>
      <c r="F9" s="52">
        <v>3300</v>
      </c>
      <c r="G9" s="52">
        <v>3300</v>
      </c>
      <c r="H9" s="52">
        <v>3300</v>
      </c>
      <c r="I9" s="52">
        <v>3300</v>
      </c>
      <c r="J9" s="52">
        <v>3300</v>
      </c>
      <c r="K9" s="52">
        <v>3300</v>
      </c>
      <c r="L9" s="52">
        <v>3300</v>
      </c>
      <c r="M9" s="52">
        <v>3300</v>
      </c>
      <c r="N9" s="52">
        <v>3300</v>
      </c>
      <c r="O9" s="52">
        <v>3300</v>
      </c>
      <c r="P9" s="52">
        <v>3300</v>
      </c>
      <c r="Q9" s="52">
        <v>3300</v>
      </c>
      <c r="R9" s="52">
        <v>3300</v>
      </c>
      <c r="S9" s="52">
        <v>3300</v>
      </c>
      <c r="T9" s="52">
        <v>3300</v>
      </c>
      <c r="U9" s="52">
        <v>3300</v>
      </c>
      <c r="V9" s="52">
        <v>3300</v>
      </c>
      <c r="W9" s="52">
        <v>3300</v>
      </c>
      <c r="X9" s="52">
        <v>3300</v>
      </c>
      <c r="Y9" s="52">
        <v>3300</v>
      </c>
      <c r="Z9" s="52">
        <v>3300</v>
      </c>
      <c r="AA9" s="52">
        <v>3300</v>
      </c>
      <c r="AB9" s="52">
        <v>3300</v>
      </c>
      <c r="AC9" s="57">
        <f t="shared" si="0"/>
        <v>79200</v>
      </c>
      <c r="AD9" s="106"/>
    </row>
    <row r="10" spans="1:30" ht="15.75" thickBot="1" x14ac:dyDescent="0.3">
      <c r="A10" s="58">
        <v>2025</v>
      </c>
      <c r="B10" s="59">
        <v>10</v>
      </c>
      <c r="C10" s="59">
        <v>4</v>
      </c>
      <c r="D10" s="60" t="s">
        <v>136</v>
      </c>
      <c r="E10" s="52">
        <v>3300</v>
      </c>
      <c r="F10" s="52">
        <v>3300</v>
      </c>
      <c r="G10" s="52">
        <v>3300</v>
      </c>
      <c r="H10" s="52">
        <v>3300</v>
      </c>
      <c r="I10" s="52">
        <v>3300</v>
      </c>
      <c r="J10" s="52">
        <v>3300</v>
      </c>
      <c r="K10" s="52">
        <v>3300</v>
      </c>
      <c r="L10" s="52">
        <v>3300</v>
      </c>
      <c r="M10" s="52">
        <v>3300</v>
      </c>
      <c r="N10" s="52">
        <v>3300</v>
      </c>
      <c r="O10" s="52">
        <v>3300</v>
      </c>
      <c r="P10" s="52">
        <v>3300</v>
      </c>
      <c r="Q10" s="52">
        <v>3300</v>
      </c>
      <c r="R10" s="52">
        <v>3300</v>
      </c>
      <c r="S10" s="52">
        <v>3300</v>
      </c>
      <c r="T10" s="52">
        <v>3300</v>
      </c>
      <c r="U10" s="52">
        <v>3300</v>
      </c>
      <c r="V10" s="52">
        <v>3300</v>
      </c>
      <c r="W10" s="52">
        <v>3300</v>
      </c>
      <c r="X10" s="52">
        <v>3300</v>
      </c>
      <c r="Y10" s="52">
        <v>3300</v>
      </c>
      <c r="Z10" s="52">
        <v>3300</v>
      </c>
      <c r="AA10" s="52">
        <v>3300</v>
      </c>
      <c r="AB10" s="52">
        <v>3300</v>
      </c>
      <c r="AC10" s="61">
        <f t="shared" si="0"/>
        <v>79200</v>
      </c>
      <c r="AD10" s="107"/>
    </row>
    <row r="11" spans="1:30" ht="15.75" thickBot="1" x14ac:dyDescent="0.3">
      <c r="A11" s="49">
        <v>2025</v>
      </c>
      <c r="B11" s="50">
        <v>11</v>
      </c>
      <c r="C11" s="50">
        <v>7</v>
      </c>
      <c r="D11" s="51" t="s">
        <v>134</v>
      </c>
      <c r="E11" s="52">
        <v>3300</v>
      </c>
      <c r="F11" s="52">
        <v>3300</v>
      </c>
      <c r="G11" s="52">
        <v>3300</v>
      </c>
      <c r="H11" s="52">
        <v>3300</v>
      </c>
      <c r="I11" s="52">
        <v>3300</v>
      </c>
      <c r="J11" s="52">
        <v>3300</v>
      </c>
      <c r="K11" s="52">
        <v>3300</v>
      </c>
      <c r="L11" s="52">
        <v>3300</v>
      </c>
      <c r="M11" s="52">
        <v>3300</v>
      </c>
      <c r="N11" s="52">
        <v>3300</v>
      </c>
      <c r="O11" s="52">
        <v>3300</v>
      </c>
      <c r="P11" s="52">
        <v>3300</v>
      </c>
      <c r="Q11" s="52">
        <v>3300</v>
      </c>
      <c r="R11" s="52">
        <v>3300</v>
      </c>
      <c r="S11" s="52">
        <v>3300</v>
      </c>
      <c r="T11" s="52">
        <v>3300</v>
      </c>
      <c r="U11" s="52">
        <v>3300</v>
      </c>
      <c r="V11" s="52">
        <v>3300</v>
      </c>
      <c r="W11" s="52">
        <v>3300</v>
      </c>
      <c r="X11" s="52">
        <v>3300</v>
      </c>
      <c r="Y11" s="52">
        <v>3300</v>
      </c>
      <c r="Z11" s="52">
        <v>3300</v>
      </c>
      <c r="AA11" s="52">
        <v>3300</v>
      </c>
      <c r="AB11" s="52">
        <v>3300</v>
      </c>
      <c r="AC11" s="53">
        <f t="shared" si="0"/>
        <v>79200</v>
      </c>
      <c r="AD11" s="105">
        <f>+SUMPRODUCT(AC11:AC13,C11:C13)</f>
        <v>2376000</v>
      </c>
    </row>
    <row r="12" spans="1:30" ht="15.75" thickBot="1" x14ac:dyDescent="0.3">
      <c r="A12" s="54">
        <v>2025</v>
      </c>
      <c r="B12" s="55">
        <v>11</v>
      </c>
      <c r="C12" s="55">
        <v>18</v>
      </c>
      <c r="D12" s="56" t="s">
        <v>135</v>
      </c>
      <c r="E12" s="52">
        <v>3300</v>
      </c>
      <c r="F12" s="52">
        <v>3300</v>
      </c>
      <c r="G12" s="52">
        <v>3300</v>
      </c>
      <c r="H12" s="52">
        <v>3300</v>
      </c>
      <c r="I12" s="52">
        <v>3300</v>
      </c>
      <c r="J12" s="52">
        <v>3300</v>
      </c>
      <c r="K12" s="52">
        <v>3300</v>
      </c>
      <c r="L12" s="52">
        <v>3300</v>
      </c>
      <c r="M12" s="52">
        <v>3300</v>
      </c>
      <c r="N12" s="52">
        <v>3300</v>
      </c>
      <c r="O12" s="52">
        <v>3300</v>
      </c>
      <c r="P12" s="52">
        <v>3300</v>
      </c>
      <c r="Q12" s="52">
        <v>3300</v>
      </c>
      <c r="R12" s="52">
        <v>3300</v>
      </c>
      <c r="S12" s="52">
        <v>3300</v>
      </c>
      <c r="T12" s="52">
        <v>3300</v>
      </c>
      <c r="U12" s="52">
        <v>3300</v>
      </c>
      <c r="V12" s="52">
        <v>3300</v>
      </c>
      <c r="W12" s="52">
        <v>3300</v>
      </c>
      <c r="X12" s="52">
        <v>3300</v>
      </c>
      <c r="Y12" s="52">
        <v>3300</v>
      </c>
      <c r="Z12" s="52">
        <v>3300</v>
      </c>
      <c r="AA12" s="52">
        <v>3300</v>
      </c>
      <c r="AB12" s="52">
        <v>3300</v>
      </c>
      <c r="AC12" s="57">
        <f t="shared" si="0"/>
        <v>79200</v>
      </c>
      <c r="AD12" s="106"/>
    </row>
    <row r="13" spans="1:30" ht="15.75" thickBot="1" x14ac:dyDescent="0.3">
      <c r="A13" s="58">
        <v>2025</v>
      </c>
      <c r="B13" s="59">
        <v>11</v>
      </c>
      <c r="C13" s="59">
        <v>5</v>
      </c>
      <c r="D13" s="60" t="s">
        <v>136</v>
      </c>
      <c r="E13" s="52">
        <v>3300</v>
      </c>
      <c r="F13" s="52">
        <v>3300</v>
      </c>
      <c r="G13" s="52">
        <v>3300</v>
      </c>
      <c r="H13" s="52">
        <v>3300</v>
      </c>
      <c r="I13" s="52">
        <v>3300</v>
      </c>
      <c r="J13" s="52">
        <v>3300</v>
      </c>
      <c r="K13" s="52">
        <v>3300</v>
      </c>
      <c r="L13" s="52">
        <v>3300</v>
      </c>
      <c r="M13" s="52">
        <v>3300</v>
      </c>
      <c r="N13" s="52">
        <v>3300</v>
      </c>
      <c r="O13" s="52">
        <v>3300</v>
      </c>
      <c r="P13" s="52">
        <v>3300</v>
      </c>
      <c r="Q13" s="52">
        <v>3300</v>
      </c>
      <c r="R13" s="52">
        <v>3300</v>
      </c>
      <c r="S13" s="52">
        <v>3300</v>
      </c>
      <c r="T13" s="52">
        <v>3300</v>
      </c>
      <c r="U13" s="52">
        <v>3300</v>
      </c>
      <c r="V13" s="52">
        <v>3300</v>
      </c>
      <c r="W13" s="52">
        <v>3300</v>
      </c>
      <c r="X13" s="52">
        <v>3300</v>
      </c>
      <c r="Y13" s="52">
        <v>3300</v>
      </c>
      <c r="Z13" s="52">
        <v>3300</v>
      </c>
      <c r="AA13" s="52">
        <v>3300</v>
      </c>
      <c r="AB13" s="52">
        <v>3300</v>
      </c>
      <c r="AC13" s="61">
        <f t="shared" si="0"/>
        <v>79200</v>
      </c>
      <c r="AD13" s="107"/>
    </row>
    <row r="14" spans="1:30" ht="15.75" thickBot="1" x14ac:dyDescent="0.3">
      <c r="A14" s="49">
        <v>2025</v>
      </c>
      <c r="B14" s="50">
        <v>12</v>
      </c>
      <c r="C14" s="50">
        <v>6</v>
      </c>
      <c r="D14" s="51" t="s">
        <v>134</v>
      </c>
      <c r="E14" s="52">
        <v>3300</v>
      </c>
      <c r="F14" s="52">
        <v>3300</v>
      </c>
      <c r="G14" s="52">
        <v>3300</v>
      </c>
      <c r="H14" s="52">
        <v>3300</v>
      </c>
      <c r="I14" s="52">
        <v>3300</v>
      </c>
      <c r="J14" s="52">
        <v>3300</v>
      </c>
      <c r="K14" s="52">
        <v>3300</v>
      </c>
      <c r="L14" s="52">
        <v>3300</v>
      </c>
      <c r="M14" s="52">
        <v>3300</v>
      </c>
      <c r="N14" s="52">
        <v>3300</v>
      </c>
      <c r="O14" s="52">
        <v>3300</v>
      </c>
      <c r="P14" s="52">
        <v>3300</v>
      </c>
      <c r="Q14" s="52">
        <v>3300</v>
      </c>
      <c r="R14" s="52">
        <v>3300</v>
      </c>
      <c r="S14" s="52">
        <v>3300</v>
      </c>
      <c r="T14" s="52">
        <v>3300</v>
      </c>
      <c r="U14" s="52">
        <v>3300</v>
      </c>
      <c r="V14" s="52">
        <v>3300</v>
      </c>
      <c r="W14" s="52">
        <v>3300</v>
      </c>
      <c r="X14" s="52">
        <v>3300</v>
      </c>
      <c r="Y14" s="52">
        <v>3300</v>
      </c>
      <c r="Z14" s="52">
        <v>3300</v>
      </c>
      <c r="AA14" s="52">
        <v>3300</v>
      </c>
      <c r="AB14" s="52">
        <v>3300</v>
      </c>
      <c r="AC14" s="53">
        <f t="shared" si="0"/>
        <v>79200</v>
      </c>
      <c r="AD14" s="105">
        <f>+SUMPRODUCT(AC14:AC16,C14:C16)</f>
        <v>2455200</v>
      </c>
    </row>
    <row r="15" spans="1:30" ht="15.75" thickBot="1" x14ac:dyDescent="0.3">
      <c r="A15" s="54">
        <v>2025</v>
      </c>
      <c r="B15" s="55">
        <v>12</v>
      </c>
      <c r="C15" s="55">
        <v>21</v>
      </c>
      <c r="D15" s="56" t="s">
        <v>135</v>
      </c>
      <c r="E15" s="52">
        <v>3300</v>
      </c>
      <c r="F15" s="52">
        <v>3300</v>
      </c>
      <c r="G15" s="52">
        <v>3300</v>
      </c>
      <c r="H15" s="52">
        <v>3300</v>
      </c>
      <c r="I15" s="52">
        <v>3300</v>
      </c>
      <c r="J15" s="52">
        <v>3300</v>
      </c>
      <c r="K15" s="52">
        <v>3300</v>
      </c>
      <c r="L15" s="52">
        <v>3300</v>
      </c>
      <c r="M15" s="52">
        <v>3300</v>
      </c>
      <c r="N15" s="52">
        <v>3300</v>
      </c>
      <c r="O15" s="52">
        <v>3300</v>
      </c>
      <c r="P15" s="52">
        <v>3300</v>
      </c>
      <c r="Q15" s="52">
        <v>3300</v>
      </c>
      <c r="R15" s="52">
        <v>3300</v>
      </c>
      <c r="S15" s="52">
        <v>3300</v>
      </c>
      <c r="T15" s="52">
        <v>3300</v>
      </c>
      <c r="U15" s="52">
        <v>3300</v>
      </c>
      <c r="V15" s="52">
        <v>3300</v>
      </c>
      <c r="W15" s="52">
        <v>3300</v>
      </c>
      <c r="X15" s="52">
        <v>3300</v>
      </c>
      <c r="Y15" s="52">
        <v>3300</v>
      </c>
      <c r="Z15" s="52">
        <v>3300</v>
      </c>
      <c r="AA15" s="52">
        <v>3300</v>
      </c>
      <c r="AB15" s="52">
        <v>3300</v>
      </c>
      <c r="AC15" s="57">
        <f t="shared" si="0"/>
        <v>79200</v>
      </c>
      <c r="AD15" s="106"/>
    </row>
    <row r="16" spans="1:30" ht="15.75" thickBot="1" x14ac:dyDescent="0.3">
      <c r="A16" s="58">
        <v>2025</v>
      </c>
      <c r="B16" s="59">
        <v>12</v>
      </c>
      <c r="C16" s="59">
        <v>4</v>
      </c>
      <c r="D16" s="60" t="s">
        <v>136</v>
      </c>
      <c r="E16" s="52">
        <v>3300</v>
      </c>
      <c r="F16" s="52">
        <v>3300</v>
      </c>
      <c r="G16" s="52">
        <v>3300</v>
      </c>
      <c r="H16" s="52">
        <v>3300</v>
      </c>
      <c r="I16" s="52">
        <v>3300</v>
      </c>
      <c r="J16" s="52">
        <v>3300</v>
      </c>
      <c r="K16" s="52">
        <v>3300</v>
      </c>
      <c r="L16" s="52">
        <v>3300</v>
      </c>
      <c r="M16" s="52">
        <v>3300</v>
      </c>
      <c r="N16" s="52">
        <v>3300</v>
      </c>
      <c r="O16" s="52">
        <v>3300</v>
      </c>
      <c r="P16" s="52">
        <v>3300</v>
      </c>
      <c r="Q16" s="52">
        <v>3300</v>
      </c>
      <c r="R16" s="52">
        <v>3300</v>
      </c>
      <c r="S16" s="52">
        <v>3300</v>
      </c>
      <c r="T16" s="52">
        <v>3300</v>
      </c>
      <c r="U16" s="52">
        <v>3300</v>
      </c>
      <c r="V16" s="52">
        <v>3300</v>
      </c>
      <c r="W16" s="52">
        <v>3300</v>
      </c>
      <c r="X16" s="52">
        <v>3300</v>
      </c>
      <c r="Y16" s="52">
        <v>3300</v>
      </c>
      <c r="Z16" s="52">
        <v>3300</v>
      </c>
      <c r="AA16" s="52">
        <v>3300</v>
      </c>
      <c r="AB16" s="52">
        <v>3300</v>
      </c>
      <c r="AC16" s="61">
        <f t="shared" si="0"/>
        <v>79200</v>
      </c>
      <c r="AD16" s="107"/>
    </row>
    <row r="17" spans="1:30" ht="15.75" thickBot="1" x14ac:dyDescent="0.3">
      <c r="A17" s="49">
        <v>2026</v>
      </c>
      <c r="B17" s="50">
        <v>1</v>
      </c>
      <c r="C17" s="50">
        <v>6</v>
      </c>
      <c r="D17" s="51" t="s">
        <v>134</v>
      </c>
      <c r="E17" s="62">
        <v>13000</v>
      </c>
      <c r="F17" s="62">
        <v>13000</v>
      </c>
      <c r="G17" s="62">
        <v>13000</v>
      </c>
      <c r="H17" s="62">
        <v>13000</v>
      </c>
      <c r="I17" s="62">
        <v>13000</v>
      </c>
      <c r="J17" s="62">
        <v>13000</v>
      </c>
      <c r="K17" s="62">
        <v>13000</v>
      </c>
      <c r="L17" s="62">
        <v>13000</v>
      </c>
      <c r="M17" s="62">
        <v>13000</v>
      </c>
      <c r="N17" s="62">
        <v>13000</v>
      </c>
      <c r="O17" s="62">
        <v>13000</v>
      </c>
      <c r="P17" s="62">
        <v>13000</v>
      </c>
      <c r="Q17" s="62">
        <v>13000</v>
      </c>
      <c r="R17" s="62">
        <v>13000</v>
      </c>
      <c r="S17" s="62">
        <v>13000</v>
      </c>
      <c r="T17" s="62">
        <v>13000</v>
      </c>
      <c r="U17" s="62">
        <v>13000</v>
      </c>
      <c r="V17" s="62">
        <v>13000</v>
      </c>
      <c r="W17" s="62">
        <v>13000</v>
      </c>
      <c r="X17" s="62">
        <v>13000</v>
      </c>
      <c r="Y17" s="62">
        <v>13000</v>
      </c>
      <c r="Z17" s="62">
        <v>13000</v>
      </c>
      <c r="AA17" s="62">
        <v>13000</v>
      </c>
      <c r="AB17" s="62">
        <v>13000</v>
      </c>
      <c r="AC17" s="53">
        <f>+SUM(E17:AB17)</f>
        <v>312000</v>
      </c>
      <c r="AD17" s="105">
        <f>+SUMPRODUCT(AC17:AC19,C17:C19)</f>
        <v>9672000</v>
      </c>
    </row>
    <row r="18" spans="1:30" ht="15.75" thickBot="1" x14ac:dyDescent="0.3">
      <c r="A18" s="54">
        <v>2026</v>
      </c>
      <c r="B18" s="55">
        <v>1</v>
      </c>
      <c r="C18" s="55">
        <v>20</v>
      </c>
      <c r="D18" s="56" t="s">
        <v>135</v>
      </c>
      <c r="E18" s="62">
        <v>13000</v>
      </c>
      <c r="F18" s="62">
        <v>13000</v>
      </c>
      <c r="G18" s="62">
        <v>13000</v>
      </c>
      <c r="H18" s="62">
        <v>13000</v>
      </c>
      <c r="I18" s="62">
        <v>13000</v>
      </c>
      <c r="J18" s="62">
        <v>13000</v>
      </c>
      <c r="K18" s="62">
        <v>13000</v>
      </c>
      <c r="L18" s="62">
        <v>13000</v>
      </c>
      <c r="M18" s="62">
        <v>13000</v>
      </c>
      <c r="N18" s="62">
        <v>13000</v>
      </c>
      <c r="O18" s="62">
        <v>13000</v>
      </c>
      <c r="P18" s="62">
        <v>13000</v>
      </c>
      <c r="Q18" s="62">
        <v>13000</v>
      </c>
      <c r="R18" s="62">
        <v>13000</v>
      </c>
      <c r="S18" s="62">
        <v>13000</v>
      </c>
      <c r="T18" s="62">
        <v>13000</v>
      </c>
      <c r="U18" s="62">
        <v>13000</v>
      </c>
      <c r="V18" s="62">
        <v>13000</v>
      </c>
      <c r="W18" s="62">
        <v>13000</v>
      </c>
      <c r="X18" s="62">
        <v>13000</v>
      </c>
      <c r="Y18" s="62">
        <v>13000</v>
      </c>
      <c r="Z18" s="62">
        <v>13000</v>
      </c>
      <c r="AA18" s="62">
        <v>13000</v>
      </c>
      <c r="AB18" s="62">
        <v>13000</v>
      </c>
      <c r="AC18" s="57">
        <f>+SUM(E18:AB18)</f>
        <v>312000</v>
      </c>
      <c r="AD18" s="106"/>
    </row>
    <row r="19" spans="1:30" ht="15.75" thickBot="1" x14ac:dyDescent="0.3">
      <c r="A19" s="58">
        <v>2026</v>
      </c>
      <c r="B19" s="59">
        <v>1</v>
      </c>
      <c r="C19" s="59">
        <v>5</v>
      </c>
      <c r="D19" s="60" t="s">
        <v>136</v>
      </c>
      <c r="E19" s="62">
        <v>13000</v>
      </c>
      <c r="F19" s="62">
        <v>13000</v>
      </c>
      <c r="G19" s="62">
        <v>13000</v>
      </c>
      <c r="H19" s="62">
        <v>13000</v>
      </c>
      <c r="I19" s="62">
        <v>13000</v>
      </c>
      <c r="J19" s="62">
        <v>13000</v>
      </c>
      <c r="K19" s="62">
        <v>13000</v>
      </c>
      <c r="L19" s="62">
        <v>13000</v>
      </c>
      <c r="M19" s="62">
        <v>13000</v>
      </c>
      <c r="N19" s="62">
        <v>13000</v>
      </c>
      <c r="O19" s="62">
        <v>13000</v>
      </c>
      <c r="P19" s="62">
        <v>13000</v>
      </c>
      <c r="Q19" s="62">
        <v>13000</v>
      </c>
      <c r="R19" s="62">
        <v>13000</v>
      </c>
      <c r="S19" s="62">
        <v>13000</v>
      </c>
      <c r="T19" s="62">
        <v>13000</v>
      </c>
      <c r="U19" s="62">
        <v>13000</v>
      </c>
      <c r="V19" s="62">
        <v>13000</v>
      </c>
      <c r="W19" s="62">
        <v>13000</v>
      </c>
      <c r="X19" s="62">
        <v>13000</v>
      </c>
      <c r="Y19" s="62">
        <v>13000</v>
      </c>
      <c r="Z19" s="62">
        <v>13000</v>
      </c>
      <c r="AA19" s="62">
        <v>13000</v>
      </c>
      <c r="AB19" s="62">
        <v>13000</v>
      </c>
      <c r="AC19" s="61">
        <f>+SUM(E19:AB19)</f>
        <v>312000</v>
      </c>
      <c r="AD19" s="107"/>
    </row>
    <row r="20" spans="1:30" ht="15.75" thickBot="1" x14ac:dyDescent="0.3">
      <c r="A20" s="49">
        <v>2026</v>
      </c>
      <c r="B20" s="50">
        <v>2</v>
      </c>
      <c r="C20" s="50">
        <v>4</v>
      </c>
      <c r="D20" s="51" t="s">
        <v>134</v>
      </c>
      <c r="E20" s="62">
        <v>13000</v>
      </c>
      <c r="F20" s="62">
        <v>13000</v>
      </c>
      <c r="G20" s="62">
        <v>13000</v>
      </c>
      <c r="H20" s="62">
        <v>13000</v>
      </c>
      <c r="I20" s="62">
        <v>13000</v>
      </c>
      <c r="J20" s="62">
        <v>13000</v>
      </c>
      <c r="K20" s="62">
        <v>13000</v>
      </c>
      <c r="L20" s="62">
        <v>13000</v>
      </c>
      <c r="M20" s="62">
        <v>13000</v>
      </c>
      <c r="N20" s="62">
        <v>13000</v>
      </c>
      <c r="O20" s="62">
        <v>13000</v>
      </c>
      <c r="P20" s="62">
        <v>13000</v>
      </c>
      <c r="Q20" s="62">
        <v>13000</v>
      </c>
      <c r="R20" s="62">
        <v>13000</v>
      </c>
      <c r="S20" s="62">
        <v>13000</v>
      </c>
      <c r="T20" s="62">
        <v>13000</v>
      </c>
      <c r="U20" s="62">
        <v>13000</v>
      </c>
      <c r="V20" s="62">
        <v>13000</v>
      </c>
      <c r="W20" s="62">
        <v>13000</v>
      </c>
      <c r="X20" s="62">
        <v>13000</v>
      </c>
      <c r="Y20" s="62">
        <v>13000</v>
      </c>
      <c r="Z20" s="62">
        <v>13000</v>
      </c>
      <c r="AA20" s="62">
        <v>13000</v>
      </c>
      <c r="AB20" s="62">
        <v>13000</v>
      </c>
      <c r="AC20" s="53">
        <f t="shared" ref="AC20:AC83" si="1">+SUM(E20:AB20)</f>
        <v>312000</v>
      </c>
      <c r="AD20" s="105">
        <f>+SUMPRODUCT(AC20:AC22,C20:C22)</f>
        <v>8736000</v>
      </c>
    </row>
    <row r="21" spans="1:30" ht="15.75" thickBot="1" x14ac:dyDescent="0.3">
      <c r="A21" s="54">
        <v>2026</v>
      </c>
      <c r="B21" s="55">
        <v>2</v>
      </c>
      <c r="C21" s="55">
        <v>20</v>
      </c>
      <c r="D21" s="56" t="s">
        <v>135</v>
      </c>
      <c r="E21" s="62">
        <v>13000</v>
      </c>
      <c r="F21" s="62">
        <v>13000</v>
      </c>
      <c r="G21" s="62">
        <v>13000</v>
      </c>
      <c r="H21" s="62">
        <v>13000</v>
      </c>
      <c r="I21" s="62">
        <v>13000</v>
      </c>
      <c r="J21" s="62">
        <v>13000</v>
      </c>
      <c r="K21" s="62">
        <v>13000</v>
      </c>
      <c r="L21" s="62">
        <v>13000</v>
      </c>
      <c r="M21" s="62">
        <v>13000</v>
      </c>
      <c r="N21" s="62">
        <v>13000</v>
      </c>
      <c r="O21" s="62">
        <v>13000</v>
      </c>
      <c r="P21" s="62">
        <v>13000</v>
      </c>
      <c r="Q21" s="62">
        <v>13000</v>
      </c>
      <c r="R21" s="62">
        <v>13000</v>
      </c>
      <c r="S21" s="62">
        <v>13000</v>
      </c>
      <c r="T21" s="62">
        <v>13000</v>
      </c>
      <c r="U21" s="62">
        <v>13000</v>
      </c>
      <c r="V21" s="62">
        <v>13000</v>
      </c>
      <c r="W21" s="62">
        <v>13000</v>
      </c>
      <c r="X21" s="62">
        <v>13000</v>
      </c>
      <c r="Y21" s="62">
        <v>13000</v>
      </c>
      <c r="Z21" s="62">
        <v>13000</v>
      </c>
      <c r="AA21" s="62">
        <v>13000</v>
      </c>
      <c r="AB21" s="62">
        <v>13000</v>
      </c>
      <c r="AC21" s="57">
        <f t="shared" si="1"/>
        <v>312000</v>
      </c>
      <c r="AD21" s="106"/>
    </row>
    <row r="22" spans="1:30" ht="15.75" thickBot="1" x14ac:dyDescent="0.3">
      <c r="A22" s="58">
        <v>2026</v>
      </c>
      <c r="B22" s="59">
        <v>2</v>
      </c>
      <c r="C22" s="59">
        <v>4</v>
      </c>
      <c r="D22" s="60" t="s">
        <v>136</v>
      </c>
      <c r="E22" s="62">
        <v>13000</v>
      </c>
      <c r="F22" s="62">
        <v>13000</v>
      </c>
      <c r="G22" s="62">
        <v>13000</v>
      </c>
      <c r="H22" s="62">
        <v>13000</v>
      </c>
      <c r="I22" s="62">
        <v>13000</v>
      </c>
      <c r="J22" s="62">
        <v>13000</v>
      </c>
      <c r="K22" s="62">
        <v>13000</v>
      </c>
      <c r="L22" s="62">
        <v>13000</v>
      </c>
      <c r="M22" s="62">
        <v>13000</v>
      </c>
      <c r="N22" s="62">
        <v>13000</v>
      </c>
      <c r="O22" s="62">
        <v>13000</v>
      </c>
      <c r="P22" s="62">
        <v>13000</v>
      </c>
      <c r="Q22" s="62">
        <v>13000</v>
      </c>
      <c r="R22" s="62">
        <v>13000</v>
      </c>
      <c r="S22" s="62">
        <v>13000</v>
      </c>
      <c r="T22" s="62">
        <v>13000</v>
      </c>
      <c r="U22" s="62">
        <v>13000</v>
      </c>
      <c r="V22" s="62">
        <v>13000</v>
      </c>
      <c r="W22" s="62">
        <v>13000</v>
      </c>
      <c r="X22" s="62">
        <v>13000</v>
      </c>
      <c r="Y22" s="62">
        <v>13000</v>
      </c>
      <c r="Z22" s="62">
        <v>13000</v>
      </c>
      <c r="AA22" s="62">
        <v>13000</v>
      </c>
      <c r="AB22" s="62">
        <v>13000</v>
      </c>
      <c r="AC22" s="61">
        <f t="shared" si="1"/>
        <v>312000</v>
      </c>
      <c r="AD22" s="107"/>
    </row>
    <row r="23" spans="1:30" ht="15.75" thickBot="1" x14ac:dyDescent="0.3">
      <c r="A23" s="49">
        <v>2026</v>
      </c>
      <c r="B23" s="50">
        <v>3</v>
      </c>
      <c r="C23" s="50">
        <v>6</v>
      </c>
      <c r="D23" s="51" t="s">
        <v>134</v>
      </c>
      <c r="E23" s="62">
        <v>13000</v>
      </c>
      <c r="F23" s="62">
        <v>13000</v>
      </c>
      <c r="G23" s="62">
        <v>13000</v>
      </c>
      <c r="H23" s="62">
        <v>13000</v>
      </c>
      <c r="I23" s="62">
        <v>13000</v>
      </c>
      <c r="J23" s="62">
        <v>13000</v>
      </c>
      <c r="K23" s="62">
        <v>13000</v>
      </c>
      <c r="L23" s="62">
        <v>13000</v>
      </c>
      <c r="M23" s="62">
        <v>13000</v>
      </c>
      <c r="N23" s="62">
        <v>13000</v>
      </c>
      <c r="O23" s="62">
        <v>13000</v>
      </c>
      <c r="P23" s="62">
        <v>13000</v>
      </c>
      <c r="Q23" s="62">
        <v>13000</v>
      </c>
      <c r="R23" s="62">
        <v>13000</v>
      </c>
      <c r="S23" s="62">
        <v>13000</v>
      </c>
      <c r="T23" s="62">
        <v>13000</v>
      </c>
      <c r="U23" s="62">
        <v>13000</v>
      </c>
      <c r="V23" s="62">
        <v>13000</v>
      </c>
      <c r="W23" s="62">
        <v>13000</v>
      </c>
      <c r="X23" s="62">
        <v>13000</v>
      </c>
      <c r="Y23" s="62">
        <v>13000</v>
      </c>
      <c r="Z23" s="62">
        <v>13000</v>
      </c>
      <c r="AA23" s="62">
        <v>13000</v>
      </c>
      <c r="AB23" s="62">
        <v>13000</v>
      </c>
      <c r="AC23" s="53">
        <f t="shared" si="1"/>
        <v>312000</v>
      </c>
      <c r="AD23" s="105">
        <f>+SUMPRODUCT(AC23:AC25,C23:C25)</f>
        <v>9672000</v>
      </c>
    </row>
    <row r="24" spans="1:30" ht="15.75" thickBot="1" x14ac:dyDescent="0.3">
      <c r="A24" s="54">
        <v>2026</v>
      </c>
      <c r="B24" s="55">
        <v>3</v>
      </c>
      <c r="C24" s="55">
        <v>21</v>
      </c>
      <c r="D24" s="56" t="s">
        <v>135</v>
      </c>
      <c r="E24" s="62">
        <v>13000</v>
      </c>
      <c r="F24" s="62">
        <v>13000</v>
      </c>
      <c r="G24" s="62">
        <v>13000</v>
      </c>
      <c r="H24" s="62">
        <v>13000</v>
      </c>
      <c r="I24" s="62">
        <v>13000</v>
      </c>
      <c r="J24" s="62">
        <v>13000</v>
      </c>
      <c r="K24" s="62">
        <v>13000</v>
      </c>
      <c r="L24" s="62">
        <v>13000</v>
      </c>
      <c r="M24" s="62">
        <v>13000</v>
      </c>
      <c r="N24" s="62">
        <v>13000</v>
      </c>
      <c r="O24" s="62">
        <v>13000</v>
      </c>
      <c r="P24" s="62">
        <v>13000</v>
      </c>
      <c r="Q24" s="62">
        <v>13000</v>
      </c>
      <c r="R24" s="62">
        <v>13000</v>
      </c>
      <c r="S24" s="62">
        <v>13000</v>
      </c>
      <c r="T24" s="62">
        <v>13000</v>
      </c>
      <c r="U24" s="62">
        <v>13000</v>
      </c>
      <c r="V24" s="62">
        <v>13000</v>
      </c>
      <c r="W24" s="62">
        <v>13000</v>
      </c>
      <c r="X24" s="62">
        <v>13000</v>
      </c>
      <c r="Y24" s="62">
        <v>13000</v>
      </c>
      <c r="Z24" s="62">
        <v>13000</v>
      </c>
      <c r="AA24" s="62">
        <v>13000</v>
      </c>
      <c r="AB24" s="62">
        <v>13000</v>
      </c>
      <c r="AC24" s="57">
        <f t="shared" si="1"/>
        <v>312000</v>
      </c>
      <c r="AD24" s="106"/>
    </row>
    <row r="25" spans="1:30" ht="15.75" thickBot="1" x14ac:dyDescent="0.3">
      <c r="A25" s="58">
        <v>2026</v>
      </c>
      <c r="B25" s="59">
        <v>3</v>
      </c>
      <c r="C25" s="59">
        <v>4</v>
      </c>
      <c r="D25" s="60" t="s">
        <v>136</v>
      </c>
      <c r="E25" s="62">
        <v>13000</v>
      </c>
      <c r="F25" s="62">
        <v>13000</v>
      </c>
      <c r="G25" s="62">
        <v>13000</v>
      </c>
      <c r="H25" s="62">
        <v>13000</v>
      </c>
      <c r="I25" s="62">
        <v>13000</v>
      </c>
      <c r="J25" s="62">
        <v>13000</v>
      </c>
      <c r="K25" s="62">
        <v>13000</v>
      </c>
      <c r="L25" s="62">
        <v>13000</v>
      </c>
      <c r="M25" s="62">
        <v>13000</v>
      </c>
      <c r="N25" s="62">
        <v>13000</v>
      </c>
      <c r="O25" s="62">
        <v>13000</v>
      </c>
      <c r="P25" s="62">
        <v>13000</v>
      </c>
      <c r="Q25" s="62">
        <v>13000</v>
      </c>
      <c r="R25" s="62">
        <v>13000</v>
      </c>
      <c r="S25" s="62">
        <v>13000</v>
      </c>
      <c r="T25" s="62">
        <v>13000</v>
      </c>
      <c r="U25" s="62">
        <v>13000</v>
      </c>
      <c r="V25" s="62">
        <v>13000</v>
      </c>
      <c r="W25" s="62">
        <v>13000</v>
      </c>
      <c r="X25" s="62">
        <v>13000</v>
      </c>
      <c r="Y25" s="62">
        <v>13000</v>
      </c>
      <c r="Z25" s="62">
        <v>13000</v>
      </c>
      <c r="AA25" s="62">
        <v>13000</v>
      </c>
      <c r="AB25" s="62">
        <v>13000</v>
      </c>
      <c r="AC25" s="61">
        <f t="shared" si="1"/>
        <v>312000</v>
      </c>
      <c r="AD25" s="107"/>
    </row>
    <row r="26" spans="1:30" ht="15.75" thickBot="1" x14ac:dyDescent="0.3">
      <c r="A26" s="49">
        <v>2026</v>
      </c>
      <c r="B26" s="50">
        <v>4</v>
      </c>
      <c r="C26" s="50">
        <v>6</v>
      </c>
      <c r="D26" s="51" t="s">
        <v>134</v>
      </c>
      <c r="E26" s="62">
        <v>13000</v>
      </c>
      <c r="F26" s="62">
        <v>13000</v>
      </c>
      <c r="G26" s="62">
        <v>13000</v>
      </c>
      <c r="H26" s="62">
        <v>13000</v>
      </c>
      <c r="I26" s="62">
        <v>13000</v>
      </c>
      <c r="J26" s="62">
        <v>13000</v>
      </c>
      <c r="K26" s="62">
        <v>13000</v>
      </c>
      <c r="L26" s="62">
        <v>13000</v>
      </c>
      <c r="M26" s="62">
        <v>13000</v>
      </c>
      <c r="N26" s="62">
        <v>13000</v>
      </c>
      <c r="O26" s="62">
        <v>13000</v>
      </c>
      <c r="P26" s="62">
        <v>13000</v>
      </c>
      <c r="Q26" s="62">
        <v>13000</v>
      </c>
      <c r="R26" s="62">
        <v>13000</v>
      </c>
      <c r="S26" s="62">
        <v>13000</v>
      </c>
      <c r="T26" s="62">
        <v>13000</v>
      </c>
      <c r="U26" s="62">
        <v>13000</v>
      </c>
      <c r="V26" s="62">
        <v>13000</v>
      </c>
      <c r="W26" s="62">
        <v>13000</v>
      </c>
      <c r="X26" s="62">
        <v>13000</v>
      </c>
      <c r="Y26" s="62">
        <v>13000</v>
      </c>
      <c r="Z26" s="62">
        <v>13000</v>
      </c>
      <c r="AA26" s="62">
        <v>13000</v>
      </c>
      <c r="AB26" s="62">
        <v>13000</v>
      </c>
      <c r="AC26" s="53">
        <f t="shared" si="1"/>
        <v>312000</v>
      </c>
      <c r="AD26" s="105">
        <f>+SUMPRODUCT(AC26:AC28,C26:C28)</f>
        <v>9360000</v>
      </c>
    </row>
    <row r="27" spans="1:30" ht="15.75" thickBot="1" x14ac:dyDescent="0.3">
      <c r="A27" s="54">
        <v>2026</v>
      </c>
      <c r="B27" s="55">
        <v>4</v>
      </c>
      <c r="C27" s="55">
        <v>20</v>
      </c>
      <c r="D27" s="56" t="s">
        <v>135</v>
      </c>
      <c r="E27" s="62">
        <v>13000</v>
      </c>
      <c r="F27" s="62">
        <v>13000</v>
      </c>
      <c r="G27" s="62">
        <v>13000</v>
      </c>
      <c r="H27" s="62">
        <v>13000</v>
      </c>
      <c r="I27" s="62">
        <v>13000</v>
      </c>
      <c r="J27" s="62">
        <v>13000</v>
      </c>
      <c r="K27" s="62">
        <v>13000</v>
      </c>
      <c r="L27" s="62">
        <v>13000</v>
      </c>
      <c r="M27" s="62">
        <v>13000</v>
      </c>
      <c r="N27" s="62">
        <v>13000</v>
      </c>
      <c r="O27" s="62">
        <v>13000</v>
      </c>
      <c r="P27" s="62">
        <v>13000</v>
      </c>
      <c r="Q27" s="62">
        <v>13000</v>
      </c>
      <c r="R27" s="62">
        <v>13000</v>
      </c>
      <c r="S27" s="62">
        <v>13000</v>
      </c>
      <c r="T27" s="62">
        <v>13000</v>
      </c>
      <c r="U27" s="62">
        <v>13000</v>
      </c>
      <c r="V27" s="62">
        <v>13000</v>
      </c>
      <c r="W27" s="62">
        <v>13000</v>
      </c>
      <c r="X27" s="62">
        <v>13000</v>
      </c>
      <c r="Y27" s="62">
        <v>13000</v>
      </c>
      <c r="Z27" s="62">
        <v>13000</v>
      </c>
      <c r="AA27" s="62">
        <v>13000</v>
      </c>
      <c r="AB27" s="62">
        <v>13000</v>
      </c>
      <c r="AC27" s="57">
        <f t="shared" si="1"/>
        <v>312000</v>
      </c>
      <c r="AD27" s="106"/>
    </row>
    <row r="28" spans="1:30" ht="15.75" thickBot="1" x14ac:dyDescent="0.3">
      <c r="A28" s="58">
        <v>2026</v>
      </c>
      <c r="B28" s="59">
        <v>4</v>
      </c>
      <c r="C28" s="59">
        <v>4</v>
      </c>
      <c r="D28" s="60" t="s">
        <v>136</v>
      </c>
      <c r="E28" s="62">
        <v>13000</v>
      </c>
      <c r="F28" s="62">
        <v>13000</v>
      </c>
      <c r="G28" s="62">
        <v>13000</v>
      </c>
      <c r="H28" s="62">
        <v>13000</v>
      </c>
      <c r="I28" s="62">
        <v>13000</v>
      </c>
      <c r="J28" s="62">
        <v>13000</v>
      </c>
      <c r="K28" s="62">
        <v>13000</v>
      </c>
      <c r="L28" s="62">
        <v>13000</v>
      </c>
      <c r="M28" s="62">
        <v>13000</v>
      </c>
      <c r="N28" s="62">
        <v>13000</v>
      </c>
      <c r="O28" s="62">
        <v>13000</v>
      </c>
      <c r="P28" s="62">
        <v>13000</v>
      </c>
      <c r="Q28" s="62">
        <v>13000</v>
      </c>
      <c r="R28" s="62">
        <v>13000</v>
      </c>
      <c r="S28" s="62">
        <v>13000</v>
      </c>
      <c r="T28" s="62">
        <v>13000</v>
      </c>
      <c r="U28" s="62">
        <v>13000</v>
      </c>
      <c r="V28" s="62">
        <v>13000</v>
      </c>
      <c r="W28" s="62">
        <v>13000</v>
      </c>
      <c r="X28" s="62">
        <v>13000</v>
      </c>
      <c r="Y28" s="62">
        <v>13000</v>
      </c>
      <c r="Z28" s="62">
        <v>13000</v>
      </c>
      <c r="AA28" s="62">
        <v>13000</v>
      </c>
      <c r="AB28" s="62">
        <v>13000</v>
      </c>
      <c r="AC28" s="61">
        <f t="shared" si="1"/>
        <v>312000</v>
      </c>
      <c r="AD28" s="107"/>
    </row>
    <row r="29" spans="1:30" ht="15.75" thickBot="1" x14ac:dyDescent="0.3">
      <c r="A29" s="49">
        <v>2026</v>
      </c>
      <c r="B29" s="50">
        <v>5</v>
      </c>
      <c r="C29" s="50">
        <v>7</v>
      </c>
      <c r="D29" s="51" t="s">
        <v>134</v>
      </c>
      <c r="E29" s="62">
        <v>13000</v>
      </c>
      <c r="F29" s="62">
        <v>13000</v>
      </c>
      <c r="G29" s="62">
        <v>13000</v>
      </c>
      <c r="H29" s="62">
        <v>13000</v>
      </c>
      <c r="I29" s="62">
        <v>13000</v>
      </c>
      <c r="J29" s="62">
        <v>13000</v>
      </c>
      <c r="K29" s="62">
        <v>13000</v>
      </c>
      <c r="L29" s="62">
        <v>13000</v>
      </c>
      <c r="M29" s="62">
        <v>13000</v>
      </c>
      <c r="N29" s="62">
        <v>13000</v>
      </c>
      <c r="O29" s="62">
        <v>13000</v>
      </c>
      <c r="P29" s="62">
        <v>13000</v>
      </c>
      <c r="Q29" s="62">
        <v>13000</v>
      </c>
      <c r="R29" s="62">
        <v>13000</v>
      </c>
      <c r="S29" s="62">
        <v>13000</v>
      </c>
      <c r="T29" s="62">
        <v>13000</v>
      </c>
      <c r="U29" s="62">
        <v>13000</v>
      </c>
      <c r="V29" s="62">
        <v>13000</v>
      </c>
      <c r="W29" s="62">
        <v>13000</v>
      </c>
      <c r="X29" s="62">
        <v>13000</v>
      </c>
      <c r="Y29" s="62">
        <v>13000</v>
      </c>
      <c r="Z29" s="62">
        <v>13000</v>
      </c>
      <c r="AA29" s="62">
        <v>13000</v>
      </c>
      <c r="AB29" s="62">
        <v>13000</v>
      </c>
      <c r="AC29" s="53">
        <f t="shared" si="1"/>
        <v>312000</v>
      </c>
      <c r="AD29" s="105">
        <f>+SUMPRODUCT(AC29:AC31,C29:C31)</f>
        <v>9672000</v>
      </c>
    </row>
    <row r="30" spans="1:30" ht="15.75" thickBot="1" x14ac:dyDescent="0.3">
      <c r="A30" s="54">
        <v>2026</v>
      </c>
      <c r="B30" s="55">
        <v>5</v>
      </c>
      <c r="C30" s="55">
        <v>19</v>
      </c>
      <c r="D30" s="56" t="s">
        <v>135</v>
      </c>
      <c r="E30" s="62">
        <v>13000</v>
      </c>
      <c r="F30" s="62">
        <v>13000</v>
      </c>
      <c r="G30" s="62">
        <v>13000</v>
      </c>
      <c r="H30" s="62">
        <v>13000</v>
      </c>
      <c r="I30" s="62">
        <v>13000</v>
      </c>
      <c r="J30" s="62">
        <v>13000</v>
      </c>
      <c r="K30" s="62">
        <v>13000</v>
      </c>
      <c r="L30" s="62">
        <v>13000</v>
      </c>
      <c r="M30" s="62">
        <v>13000</v>
      </c>
      <c r="N30" s="62">
        <v>13000</v>
      </c>
      <c r="O30" s="62">
        <v>13000</v>
      </c>
      <c r="P30" s="62">
        <v>13000</v>
      </c>
      <c r="Q30" s="62">
        <v>13000</v>
      </c>
      <c r="R30" s="62">
        <v>13000</v>
      </c>
      <c r="S30" s="62">
        <v>13000</v>
      </c>
      <c r="T30" s="62">
        <v>13000</v>
      </c>
      <c r="U30" s="62">
        <v>13000</v>
      </c>
      <c r="V30" s="62">
        <v>13000</v>
      </c>
      <c r="W30" s="62">
        <v>13000</v>
      </c>
      <c r="X30" s="62">
        <v>13000</v>
      </c>
      <c r="Y30" s="62">
        <v>13000</v>
      </c>
      <c r="Z30" s="62">
        <v>13000</v>
      </c>
      <c r="AA30" s="62">
        <v>13000</v>
      </c>
      <c r="AB30" s="62">
        <v>13000</v>
      </c>
      <c r="AC30" s="57">
        <f t="shared" si="1"/>
        <v>312000</v>
      </c>
      <c r="AD30" s="106"/>
    </row>
    <row r="31" spans="1:30" ht="15.75" thickBot="1" x14ac:dyDescent="0.3">
      <c r="A31" s="58">
        <v>2026</v>
      </c>
      <c r="B31" s="59">
        <v>5</v>
      </c>
      <c r="C31" s="59">
        <v>5</v>
      </c>
      <c r="D31" s="60" t="s">
        <v>136</v>
      </c>
      <c r="E31" s="62">
        <v>13000</v>
      </c>
      <c r="F31" s="62">
        <v>13000</v>
      </c>
      <c r="G31" s="62">
        <v>13000</v>
      </c>
      <c r="H31" s="62">
        <v>13000</v>
      </c>
      <c r="I31" s="62">
        <v>13000</v>
      </c>
      <c r="J31" s="62">
        <v>13000</v>
      </c>
      <c r="K31" s="62">
        <v>13000</v>
      </c>
      <c r="L31" s="62">
        <v>13000</v>
      </c>
      <c r="M31" s="62">
        <v>13000</v>
      </c>
      <c r="N31" s="62">
        <v>13000</v>
      </c>
      <c r="O31" s="62">
        <v>13000</v>
      </c>
      <c r="P31" s="62">
        <v>13000</v>
      </c>
      <c r="Q31" s="62">
        <v>13000</v>
      </c>
      <c r="R31" s="62">
        <v>13000</v>
      </c>
      <c r="S31" s="62">
        <v>13000</v>
      </c>
      <c r="T31" s="62">
        <v>13000</v>
      </c>
      <c r="U31" s="62">
        <v>13000</v>
      </c>
      <c r="V31" s="62">
        <v>13000</v>
      </c>
      <c r="W31" s="62">
        <v>13000</v>
      </c>
      <c r="X31" s="62">
        <v>13000</v>
      </c>
      <c r="Y31" s="62">
        <v>13000</v>
      </c>
      <c r="Z31" s="62">
        <v>13000</v>
      </c>
      <c r="AA31" s="62">
        <v>13000</v>
      </c>
      <c r="AB31" s="62">
        <v>13000</v>
      </c>
      <c r="AC31" s="61">
        <f t="shared" si="1"/>
        <v>312000</v>
      </c>
      <c r="AD31" s="107"/>
    </row>
    <row r="32" spans="1:30" ht="15.75" thickBot="1" x14ac:dyDescent="0.3">
      <c r="A32" s="49">
        <v>2026</v>
      </c>
      <c r="B32" s="50">
        <v>6</v>
      </c>
      <c r="C32" s="50">
        <v>6</v>
      </c>
      <c r="D32" s="51" t="s">
        <v>134</v>
      </c>
      <c r="E32" s="62">
        <v>13000</v>
      </c>
      <c r="F32" s="62">
        <v>13000</v>
      </c>
      <c r="G32" s="62">
        <v>13000</v>
      </c>
      <c r="H32" s="62">
        <v>13000</v>
      </c>
      <c r="I32" s="62">
        <v>13000</v>
      </c>
      <c r="J32" s="62">
        <v>13000</v>
      </c>
      <c r="K32" s="62">
        <v>13000</v>
      </c>
      <c r="L32" s="62">
        <v>13000</v>
      </c>
      <c r="M32" s="62">
        <v>13000</v>
      </c>
      <c r="N32" s="62">
        <v>13000</v>
      </c>
      <c r="O32" s="62">
        <v>13000</v>
      </c>
      <c r="P32" s="62">
        <v>13000</v>
      </c>
      <c r="Q32" s="62">
        <v>13000</v>
      </c>
      <c r="R32" s="62">
        <v>13000</v>
      </c>
      <c r="S32" s="62">
        <v>13000</v>
      </c>
      <c r="T32" s="62">
        <v>13000</v>
      </c>
      <c r="U32" s="62">
        <v>13000</v>
      </c>
      <c r="V32" s="62">
        <v>13000</v>
      </c>
      <c r="W32" s="62">
        <v>13000</v>
      </c>
      <c r="X32" s="62">
        <v>13000</v>
      </c>
      <c r="Y32" s="62">
        <v>13000</v>
      </c>
      <c r="Z32" s="62">
        <v>13000</v>
      </c>
      <c r="AA32" s="62">
        <v>13000</v>
      </c>
      <c r="AB32" s="62">
        <v>13000</v>
      </c>
      <c r="AC32" s="53">
        <f t="shared" si="1"/>
        <v>312000</v>
      </c>
      <c r="AD32" s="105">
        <f>+SUMPRODUCT(AC32:AC34,C32:C34)</f>
        <v>9360000</v>
      </c>
    </row>
    <row r="33" spans="1:30" ht="15.75" thickBot="1" x14ac:dyDescent="0.3">
      <c r="A33" s="54">
        <v>2026</v>
      </c>
      <c r="B33" s="55">
        <v>6</v>
      </c>
      <c r="C33" s="55">
        <v>20</v>
      </c>
      <c r="D33" s="56" t="s">
        <v>135</v>
      </c>
      <c r="E33" s="62">
        <v>13000</v>
      </c>
      <c r="F33" s="62">
        <v>13000</v>
      </c>
      <c r="G33" s="62">
        <v>13000</v>
      </c>
      <c r="H33" s="62">
        <v>13000</v>
      </c>
      <c r="I33" s="62">
        <v>13000</v>
      </c>
      <c r="J33" s="62">
        <v>13000</v>
      </c>
      <c r="K33" s="62">
        <v>13000</v>
      </c>
      <c r="L33" s="62">
        <v>13000</v>
      </c>
      <c r="M33" s="62">
        <v>13000</v>
      </c>
      <c r="N33" s="62">
        <v>13000</v>
      </c>
      <c r="O33" s="62">
        <v>13000</v>
      </c>
      <c r="P33" s="62">
        <v>13000</v>
      </c>
      <c r="Q33" s="62">
        <v>13000</v>
      </c>
      <c r="R33" s="62">
        <v>13000</v>
      </c>
      <c r="S33" s="62">
        <v>13000</v>
      </c>
      <c r="T33" s="62">
        <v>13000</v>
      </c>
      <c r="U33" s="62">
        <v>13000</v>
      </c>
      <c r="V33" s="62">
        <v>13000</v>
      </c>
      <c r="W33" s="62">
        <v>13000</v>
      </c>
      <c r="X33" s="62">
        <v>13000</v>
      </c>
      <c r="Y33" s="62">
        <v>13000</v>
      </c>
      <c r="Z33" s="62">
        <v>13000</v>
      </c>
      <c r="AA33" s="62">
        <v>13000</v>
      </c>
      <c r="AB33" s="62">
        <v>13000</v>
      </c>
      <c r="AC33" s="57">
        <f t="shared" si="1"/>
        <v>312000</v>
      </c>
      <c r="AD33" s="106"/>
    </row>
    <row r="34" spans="1:30" ht="15.75" thickBot="1" x14ac:dyDescent="0.3">
      <c r="A34" s="58">
        <v>2026</v>
      </c>
      <c r="B34" s="59">
        <v>6</v>
      </c>
      <c r="C34" s="59">
        <v>4</v>
      </c>
      <c r="D34" s="60" t="s">
        <v>136</v>
      </c>
      <c r="E34" s="62">
        <v>13000</v>
      </c>
      <c r="F34" s="62">
        <v>13000</v>
      </c>
      <c r="G34" s="62">
        <v>13000</v>
      </c>
      <c r="H34" s="62">
        <v>13000</v>
      </c>
      <c r="I34" s="62">
        <v>13000</v>
      </c>
      <c r="J34" s="62">
        <v>13000</v>
      </c>
      <c r="K34" s="62">
        <v>13000</v>
      </c>
      <c r="L34" s="62">
        <v>13000</v>
      </c>
      <c r="M34" s="62">
        <v>13000</v>
      </c>
      <c r="N34" s="62">
        <v>13000</v>
      </c>
      <c r="O34" s="62">
        <v>13000</v>
      </c>
      <c r="P34" s="62">
        <v>13000</v>
      </c>
      <c r="Q34" s="62">
        <v>13000</v>
      </c>
      <c r="R34" s="62">
        <v>13000</v>
      </c>
      <c r="S34" s="62">
        <v>13000</v>
      </c>
      <c r="T34" s="62">
        <v>13000</v>
      </c>
      <c r="U34" s="62">
        <v>13000</v>
      </c>
      <c r="V34" s="62">
        <v>13000</v>
      </c>
      <c r="W34" s="62">
        <v>13000</v>
      </c>
      <c r="X34" s="62">
        <v>13000</v>
      </c>
      <c r="Y34" s="62">
        <v>13000</v>
      </c>
      <c r="Z34" s="62">
        <v>13000</v>
      </c>
      <c r="AA34" s="62">
        <v>13000</v>
      </c>
      <c r="AB34" s="62">
        <v>13000</v>
      </c>
      <c r="AC34" s="61">
        <f t="shared" si="1"/>
        <v>312000</v>
      </c>
      <c r="AD34" s="107"/>
    </row>
    <row r="35" spans="1:30" ht="15.75" thickBot="1" x14ac:dyDescent="0.3">
      <c r="A35" s="49">
        <v>2026</v>
      </c>
      <c r="B35" s="50">
        <v>7</v>
      </c>
      <c r="C35" s="50">
        <v>6</v>
      </c>
      <c r="D35" s="51" t="s">
        <v>134</v>
      </c>
      <c r="E35" s="62">
        <v>13000</v>
      </c>
      <c r="F35" s="62">
        <v>13000</v>
      </c>
      <c r="G35" s="62">
        <v>13000</v>
      </c>
      <c r="H35" s="62">
        <v>13000</v>
      </c>
      <c r="I35" s="62">
        <v>13000</v>
      </c>
      <c r="J35" s="62">
        <v>13000</v>
      </c>
      <c r="K35" s="62">
        <v>13000</v>
      </c>
      <c r="L35" s="62">
        <v>13000</v>
      </c>
      <c r="M35" s="62">
        <v>13000</v>
      </c>
      <c r="N35" s="62">
        <v>13000</v>
      </c>
      <c r="O35" s="62">
        <v>13000</v>
      </c>
      <c r="P35" s="62">
        <v>13000</v>
      </c>
      <c r="Q35" s="62">
        <v>13000</v>
      </c>
      <c r="R35" s="62">
        <v>13000</v>
      </c>
      <c r="S35" s="62">
        <v>13000</v>
      </c>
      <c r="T35" s="62">
        <v>13000</v>
      </c>
      <c r="U35" s="62">
        <v>13000</v>
      </c>
      <c r="V35" s="62">
        <v>13000</v>
      </c>
      <c r="W35" s="62">
        <v>13000</v>
      </c>
      <c r="X35" s="62">
        <v>13000</v>
      </c>
      <c r="Y35" s="62">
        <v>13000</v>
      </c>
      <c r="Z35" s="62">
        <v>13000</v>
      </c>
      <c r="AA35" s="62">
        <v>13000</v>
      </c>
      <c r="AB35" s="62">
        <v>13000</v>
      </c>
      <c r="AC35" s="53">
        <f t="shared" si="1"/>
        <v>312000</v>
      </c>
      <c r="AD35" s="105">
        <f>+SUMPRODUCT(AC35:AC37,C35:C37)</f>
        <v>9672000</v>
      </c>
    </row>
    <row r="36" spans="1:30" ht="15.75" thickBot="1" x14ac:dyDescent="0.3">
      <c r="A36" s="54">
        <v>2026</v>
      </c>
      <c r="B36" s="55">
        <v>7</v>
      </c>
      <c r="C36" s="55">
        <v>21</v>
      </c>
      <c r="D36" s="56" t="s">
        <v>135</v>
      </c>
      <c r="E36" s="62">
        <v>13000</v>
      </c>
      <c r="F36" s="62">
        <v>13000</v>
      </c>
      <c r="G36" s="62">
        <v>13000</v>
      </c>
      <c r="H36" s="62">
        <v>13000</v>
      </c>
      <c r="I36" s="62">
        <v>13000</v>
      </c>
      <c r="J36" s="62">
        <v>13000</v>
      </c>
      <c r="K36" s="62">
        <v>13000</v>
      </c>
      <c r="L36" s="62">
        <v>13000</v>
      </c>
      <c r="M36" s="62">
        <v>13000</v>
      </c>
      <c r="N36" s="62">
        <v>13000</v>
      </c>
      <c r="O36" s="62">
        <v>13000</v>
      </c>
      <c r="P36" s="62">
        <v>13000</v>
      </c>
      <c r="Q36" s="62">
        <v>13000</v>
      </c>
      <c r="R36" s="62">
        <v>13000</v>
      </c>
      <c r="S36" s="62">
        <v>13000</v>
      </c>
      <c r="T36" s="62">
        <v>13000</v>
      </c>
      <c r="U36" s="62">
        <v>13000</v>
      </c>
      <c r="V36" s="62">
        <v>13000</v>
      </c>
      <c r="W36" s="62">
        <v>13000</v>
      </c>
      <c r="X36" s="62">
        <v>13000</v>
      </c>
      <c r="Y36" s="62">
        <v>13000</v>
      </c>
      <c r="Z36" s="62">
        <v>13000</v>
      </c>
      <c r="AA36" s="62">
        <v>13000</v>
      </c>
      <c r="AB36" s="62">
        <v>13000</v>
      </c>
      <c r="AC36" s="57">
        <f t="shared" si="1"/>
        <v>312000</v>
      </c>
      <c r="AD36" s="106"/>
    </row>
    <row r="37" spans="1:30" ht="15.75" thickBot="1" x14ac:dyDescent="0.3">
      <c r="A37" s="58">
        <v>2026</v>
      </c>
      <c r="B37" s="59">
        <v>7</v>
      </c>
      <c r="C37" s="59">
        <v>4</v>
      </c>
      <c r="D37" s="60" t="s">
        <v>136</v>
      </c>
      <c r="E37" s="62">
        <v>13000</v>
      </c>
      <c r="F37" s="62">
        <v>13000</v>
      </c>
      <c r="G37" s="62">
        <v>13000</v>
      </c>
      <c r="H37" s="62">
        <v>13000</v>
      </c>
      <c r="I37" s="62">
        <v>13000</v>
      </c>
      <c r="J37" s="62">
        <v>13000</v>
      </c>
      <c r="K37" s="62">
        <v>13000</v>
      </c>
      <c r="L37" s="62">
        <v>13000</v>
      </c>
      <c r="M37" s="62">
        <v>13000</v>
      </c>
      <c r="N37" s="62">
        <v>13000</v>
      </c>
      <c r="O37" s="62">
        <v>13000</v>
      </c>
      <c r="P37" s="62">
        <v>13000</v>
      </c>
      <c r="Q37" s="62">
        <v>13000</v>
      </c>
      <c r="R37" s="62">
        <v>13000</v>
      </c>
      <c r="S37" s="62">
        <v>13000</v>
      </c>
      <c r="T37" s="62">
        <v>13000</v>
      </c>
      <c r="U37" s="62">
        <v>13000</v>
      </c>
      <c r="V37" s="62">
        <v>13000</v>
      </c>
      <c r="W37" s="62">
        <v>13000</v>
      </c>
      <c r="X37" s="62">
        <v>13000</v>
      </c>
      <c r="Y37" s="62">
        <v>13000</v>
      </c>
      <c r="Z37" s="62">
        <v>13000</v>
      </c>
      <c r="AA37" s="62">
        <v>13000</v>
      </c>
      <c r="AB37" s="62">
        <v>13000</v>
      </c>
      <c r="AC37" s="61">
        <f t="shared" si="1"/>
        <v>312000</v>
      </c>
      <c r="AD37" s="107"/>
    </row>
    <row r="38" spans="1:30" ht="15.75" thickBot="1" x14ac:dyDescent="0.3">
      <c r="A38" s="49">
        <v>2026</v>
      </c>
      <c r="B38" s="50">
        <v>8</v>
      </c>
      <c r="C38" s="50">
        <v>7</v>
      </c>
      <c r="D38" s="51" t="s">
        <v>134</v>
      </c>
      <c r="E38" s="62">
        <v>13000</v>
      </c>
      <c r="F38" s="62">
        <v>13000</v>
      </c>
      <c r="G38" s="62">
        <v>13000</v>
      </c>
      <c r="H38" s="62">
        <v>13000</v>
      </c>
      <c r="I38" s="62">
        <v>13000</v>
      </c>
      <c r="J38" s="62">
        <v>13000</v>
      </c>
      <c r="K38" s="62">
        <v>13000</v>
      </c>
      <c r="L38" s="62">
        <v>13000</v>
      </c>
      <c r="M38" s="62">
        <v>13000</v>
      </c>
      <c r="N38" s="62">
        <v>13000</v>
      </c>
      <c r="O38" s="62">
        <v>13000</v>
      </c>
      <c r="P38" s="62">
        <v>13000</v>
      </c>
      <c r="Q38" s="62">
        <v>13000</v>
      </c>
      <c r="R38" s="62">
        <v>13000</v>
      </c>
      <c r="S38" s="62">
        <v>13000</v>
      </c>
      <c r="T38" s="62">
        <v>13000</v>
      </c>
      <c r="U38" s="62">
        <v>13000</v>
      </c>
      <c r="V38" s="62">
        <v>13000</v>
      </c>
      <c r="W38" s="62">
        <v>13000</v>
      </c>
      <c r="X38" s="62">
        <v>13000</v>
      </c>
      <c r="Y38" s="62">
        <v>13000</v>
      </c>
      <c r="Z38" s="62">
        <v>13000</v>
      </c>
      <c r="AA38" s="62">
        <v>13000</v>
      </c>
      <c r="AB38" s="62">
        <v>13000</v>
      </c>
      <c r="AC38" s="53">
        <f t="shared" si="1"/>
        <v>312000</v>
      </c>
      <c r="AD38" s="105">
        <f>+SUMPRODUCT(AC38:AC40,C38:C40)</f>
        <v>9672000</v>
      </c>
    </row>
    <row r="39" spans="1:30" ht="15.75" thickBot="1" x14ac:dyDescent="0.3">
      <c r="A39" s="54">
        <v>2026</v>
      </c>
      <c r="B39" s="55">
        <v>8</v>
      </c>
      <c r="C39" s="55">
        <v>19</v>
      </c>
      <c r="D39" s="56" t="s">
        <v>135</v>
      </c>
      <c r="E39" s="62">
        <v>13000</v>
      </c>
      <c r="F39" s="62">
        <v>13000</v>
      </c>
      <c r="G39" s="62">
        <v>13000</v>
      </c>
      <c r="H39" s="62">
        <v>13000</v>
      </c>
      <c r="I39" s="62">
        <v>13000</v>
      </c>
      <c r="J39" s="62">
        <v>13000</v>
      </c>
      <c r="K39" s="62">
        <v>13000</v>
      </c>
      <c r="L39" s="62">
        <v>13000</v>
      </c>
      <c r="M39" s="62">
        <v>13000</v>
      </c>
      <c r="N39" s="62">
        <v>13000</v>
      </c>
      <c r="O39" s="62">
        <v>13000</v>
      </c>
      <c r="P39" s="62">
        <v>13000</v>
      </c>
      <c r="Q39" s="62">
        <v>13000</v>
      </c>
      <c r="R39" s="62">
        <v>13000</v>
      </c>
      <c r="S39" s="62">
        <v>13000</v>
      </c>
      <c r="T39" s="62">
        <v>13000</v>
      </c>
      <c r="U39" s="62">
        <v>13000</v>
      </c>
      <c r="V39" s="62">
        <v>13000</v>
      </c>
      <c r="W39" s="62">
        <v>13000</v>
      </c>
      <c r="X39" s="62">
        <v>13000</v>
      </c>
      <c r="Y39" s="62">
        <v>13000</v>
      </c>
      <c r="Z39" s="62">
        <v>13000</v>
      </c>
      <c r="AA39" s="62">
        <v>13000</v>
      </c>
      <c r="AB39" s="62">
        <v>13000</v>
      </c>
      <c r="AC39" s="57">
        <f t="shared" si="1"/>
        <v>312000</v>
      </c>
      <c r="AD39" s="106"/>
    </row>
    <row r="40" spans="1:30" ht="15.75" thickBot="1" x14ac:dyDescent="0.3">
      <c r="A40" s="58">
        <v>2026</v>
      </c>
      <c r="B40" s="59">
        <v>8</v>
      </c>
      <c r="C40" s="59">
        <v>5</v>
      </c>
      <c r="D40" s="60" t="s">
        <v>136</v>
      </c>
      <c r="E40" s="62">
        <v>13000</v>
      </c>
      <c r="F40" s="62">
        <v>13000</v>
      </c>
      <c r="G40" s="62">
        <v>13000</v>
      </c>
      <c r="H40" s="62">
        <v>13000</v>
      </c>
      <c r="I40" s="62">
        <v>13000</v>
      </c>
      <c r="J40" s="62">
        <v>13000</v>
      </c>
      <c r="K40" s="62">
        <v>13000</v>
      </c>
      <c r="L40" s="62">
        <v>13000</v>
      </c>
      <c r="M40" s="62">
        <v>13000</v>
      </c>
      <c r="N40" s="62">
        <v>13000</v>
      </c>
      <c r="O40" s="62">
        <v>13000</v>
      </c>
      <c r="P40" s="62">
        <v>13000</v>
      </c>
      <c r="Q40" s="62">
        <v>13000</v>
      </c>
      <c r="R40" s="62">
        <v>13000</v>
      </c>
      <c r="S40" s="62">
        <v>13000</v>
      </c>
      <c r="T40" s="62">
        <v>13000</v>
      </c>
      <c r="U40" s="62">
        <v>13000</v>
      </c>
      <c r="V40" s="62">
        <v>13000</v>
      </c>
      <c r="W40" s="62">
        <v>13000</v>
      </c>
      <c r="X40" s="62">
        <v>13000</v>
      </c>
      <c r="Y40" s="62">
        <v>13000</v>
      </c>
      <c r="Z40" s="62">
        <v>13000</v>
      </c>
      <c r="AA40" s="62">
        <v>13000</v>
      </c>
      <c r="AB40" s="62">
        <v>13000</v>
      </c>
      <c r="AC40" s="61">
        <f t="shared" si="1"/>
        <v>312000</v>
      </c>
      <c r="AD40" s="107"/>
    </row>
    <row r="41" spans="1:30" ht="15.75" thickBot="1" x14ac:dyDescent="0.3">
      <c r="A41" s="49">
        <v>2026</v>
      </c>
      <c r="B41" s="50">
        <v>9</v>
      </c>
      <c r="C41" s="50">
        <v>4</v>
      </c>
      <c r="D41" s="51" t="s">
        <v>134</v>
      </c>
      <c r="E41" s="62">
        <v>13000</v>
      </c>
      <c r="F41" s="62">
        <v>13000</v>
      </c>
      <c r="G41" s="62">
        <v>13000</v>
      </c>
      <c r="H41" s="62">
        <v>13000</v>
      </c>
      <c r="I41" s="62">
        <v>13000</v>
      </c>
      <c r="J41" s="62">
        <v>13000</v>
      </c>
      <c r="K41" s="62">
        <v>13000</v>
      </c>
      <c r="L41" s="62">
        <v>13000</v>
      </c>
      <c r="M41" s="62">
        <v>13000</v>
      </c>
      <c r="N41" s="62">
        <v>13000</v>
      </c>
      <c r="O41" s="62">
        <v>13000</v>
      </c>
      <c r="P41" s="62">
        <v>13000</v>
      </c>
      <c r="Q41" s="62">
        <v>13000</v>
      </c>
      <c r="R41" s="62">
        <v>13000</v>
      </c>
      <c r="S41" s="62">
        <v>13000</v>
      </c>
      <c r="T41" s="62">
        <v>13000</v>
      </c>
      <c r="U41" s="62">
        <v>13000</v>
      </c>
      <c r="V41" s="62">
        <v>13000</v>
      </c>
      <c r="W41" s="62">
        <v>13000</v>
      </c>
      <c r="X41" s="62">
        <v>13000</v>
      </c>
      <c r="Y41" s="62">
        <v>13000</v>
      </c>
      <c r="Z41" s="62">
        <v>13000</v>
      </c>
      <c r="AA41" s="62">
        <v>13000</v>
      </c>
      <c r="AB41" s="62">
        <v>13000</v>
      </c>
      <c r="AC41" s="53">
        <f t="shared" si="1"/>
        <v>312000</v>
      </c>
      <c r="AD41" s="105">
        <f>+SUMPRODUCT(AC41:AC43,C41:C43)</f>
        <v>9360000</v>
      </c>
    </row>
    <row r="42" spans="1:30" ht="15.75" thickBot="1" x14ac:dyDescent="0.3">
      <c r="A42" s="54">
        <v>2026</v>
      </c>
      <c r="B42" s="55">
        <v>9</v>
      </c>
      <c r="C42" s="55">
        <v>22</v>
      </c>
      <c r="D42" s="56" t="s">
        <v>135</v>
      </c>
      <c r="E42" s="62">
        <v>13000</v>
      </c>
      <c r="F42" s="62">
        <v>13000</v>
      </c>
      <c r="G42" s="62">
        <v>13000</v>
      </c>
      <c r="H42" s="62">
        <v>13000</v>
      </c>
      <c r="I42" s="62">
        <v>13000</v>
      </c>
      <c r="J42" s="62">
        <v>13000</v>
      </c>
      <c r="K42" s="62">
        <v>13000</v>
      </c>
      <c r="L42" s="62">
        <v>13000</v>
      </c>
      <c r="M42" s="62">
        <v>13000</v>
      </c>
      <c r="N42" s="62">
        <v>13000</v>
      </c>
      <c r="O42" s="62">
        <v>13000</v>
      </c>
      <c r="P42" s="62">
        <v>13000</v>
      </c>
      <c r="Q42" s="62">
        <v>13000</v>
      </c>
      <c r="R42" s="62">
        <v>13000</v>
      </c>
      <c r="S42" s="62">
        <v>13000</v>
      </c>
      <c r="T42" s="62">
        <v>13000</v>
      </c>
      <c r="U42" s="62">
        <v>13000</v>
      </c>
      <c r="V42" s="62">
        <v>13000</v>
      </c>
      <c r="W42" s="62">
        <v>13000</v>
      </c>
      <c r="X42" s="62">
        <v>13000</v>
      </c>
      <c r="Y42" s="62">
        <v>13000</v>
      </c>
      <c r="Z42" s="62">
        <v>13000</v>
      </c>
      <c r="AA42" s="62">
        <v>13000</v>
      </c>
      <c r="AB42" s="62">
        <v>13000</v>
      </c>
      <c r="AC42" s="57">
        <f t="shared" si="1"/>
        <v>312000</v>
      </c>
      <c r="AD42" s="106"/>
    </row>
    <row r="43" spans="1:30" ht="15.75" thickBot="1" x14ac:dyDescent="0.3">
      <c r="A43" s="58">
        <v>2026</v>
      </c>
      <c r="B43" s="59">
        <v>9</v>
      </c>
      <c r="C43" s="59">
        <v>4</v>
      </c>
      <c r="D43" s="60" t="s">
        <v>136</v>
      </c>
      <c r="E43" s="62">
        <v>13000</v>
      </c>
      <c r="F43" s="62">
        <v>13000</v>
      </c>
      <c r="G43" s="62">
        <v>13000</v>
      </c>
      <c r="H43" s="62">
        <v>13000</v>
      </c>
      <c r="I43" s="62">
        <v>13000</v>
      </c>
      <c r="J43" s="62">
        <v>13000</v>
      </c>
      <c r="K43" s="62">
        <v>13000</v>
      </c>
      <c r="L43" s="62">
        <v>13000</v>
      </c>
      <c r="M43" s="62">
        <v>13000</v>
      </c>
      <c r="N43" s="62">
        <v>13000</v>
      </c>
      <c r="O43" s="62">
        <v>13000</v>
      </c>
      <c r="P43" s="62">
        <v>13000</v>
      </c>
      <c r="Q43" s="62">
        <v>13000</v>
      </c>
      <c r="R43" s="62">
        <v>13000</v>
      </c>
      <c r="S43" s="62">
        <v>13000</v>
      </c>
      <c r="T43" s="62">
        <v>13000</v>
      </c>
      <c r="U43" s="62">
        <v>13000</v>
      </c>
      <c r="V43" s="62">
        <v>13000</v>
      </c>
      <c r="W43" s="62">
        <v>13000</v>
      </c>
      <c r="X43" s="62">
        <v>13000</v>
      </c>
      <c r="Y43" s="62">
        <v>13000</v>
      </c>
      <c r="Z43" s="62">
        <v>13000</v>
      </c>
      <c r="AA43" s="62">
        <v>13000</v>
      </c>
      <c r="AB43" s="62">
        <v>13000</v>
      </c>
      <c r="AC43" s="61">
        <f t="shared" si="1"/>
        <v>312000</v>
      </c>
      <c r="AD43" s="107"/>
    </row>
    <row r="44" spans="1:30" ht="15.75" thickBot="1" x14ac:dyDescent="0.3">
      <c r="A44" s="49">
        <v>2026</v>
      </c>
      <c r="B44" s="50">
        <v>10</v>
      </c>
      <c r="C44" s="50">
        <v>5</v>
      </c>
      <c r="D44" s="51" t="s">
        <v>134</v>
      </c>
      <c r="E44" s="62">
        <v>13000</v>
      </c>
      <c r="F44" s="62">
        <v>13000</v>
      </c>
      <c r="G44" s="62">
        <v>13000</v>
      </c>
      <c r="H44" s="62">
        <v>13000</v>
      </c>
      <c r="I44" s="62">
        <v>13000</v>
      </c>
      <c r="J44" s="62">
        <v>13000</v>
      </c>
      <c r="K44" s="62">
        <v>13000</v>
      </c>
      <c r="L44" s="62">
        <v>13000</v>
      </c>
      <c r="M44" s="62">
        <v>13000</v>
      </c>
      <c r="N44" s="62">
        <v>13000</v>
      </c>
      <c r="O44" s="62">
        <v>13000</v>
      </c>
      <c r="P44" s="62">
        <v>13000</v>
      </c>
      <c r="Q44" s="62">
        <v>13000</v>
      </c>
      <c r="R44" s="62">
        <v>13000</v>
      </c>
      <c r="S44" s="62">
        <v>13000</v>
      </c>
      <c r="T44" s="62">
        <v>13000</v>
      </c>
      <c r="U44" s="62">
        <v>13000</v>
      </c>
      <c r="V44" s="62">
        <v>13000</v>
      </c>
      <c r="W44" s="62">
        <v>13000</v>
      </c>
      <c r="X44" s="62">
        <v>13000</v>
      </c>
      <c r="Y44" s="62">
        <v>13000</v>
      </c>
      <c r="Z44" s="62">
        <v>13000</v>
      </c>
      <c r="AA44" s="62">
        <v>13000</v>
      </c>
      <c r="AB44" s="62">
        <v>13000</v>
      </c>
      <c r="AC44" s="53">
        <f t="shared" si="1"/>
        <v>312000</v>
      </c>
      <c r="AD44" s="105">
        <f>+SUMPRODUCT(AC44:AC46,C44:C46)</f>
        <v>9672000</v>
      </c>
    </row>
    <row r="45" spans="1:30" ht="15.75" thickBot="1" x14ac:dyDescent="0.3">
      <c r="A45" s="54">
        <v>2026</v>
      </c>
      <c r="B45" s="55">
        <v>10</v>
      </c>
      <c r="C45" s="55">
        <v>21</v>
      </c>
      <c r="D45" s="56" t="s">
        <v>135</v>
      </c>
      <c r="E45" s="62">
        <v>13000</v>
      </c>
      <c r="F45" s="62">
        <v>13000</v>
      </c>
      <c r="G45" s="62">
        <v>13000</v>
      </c>
      <c r="H45" s="62">
        <v>13000</v>
      </c>
      <c r="I45" s="62">
        <v>13000</v>
      </c>
      <c r="J45" s="62">
        <v>13000</v>
      </c>
      <c r="K45" s="62">
        <v>13000</v>
      </c>
      <c r="L45" s="62">
        <v>13000</v>
      </c>
      <c r="M45" s="62">
        <v>13000</v>
      </c>
      <c r="N45" s="62">
        <v>13000</v>
      </c>
      <c r="O45" s="62">
        <v>13000</v>
      </c>
      <c r="P45" s="62">
        <v>13000</v>
      </c>
      <c r="Q45" s="62">
        <v>13000</v>
      </c>
      <c r="R45" s="62">
        <v>13000</v>
      </c>
      <c r="S45" s="62">
        <v>13000</v>
      </c>
      <c r="T45" s="62">
        <v>13000</v>
      </c>
      <c r="U45" s="62">
        <v>13000</v>
      </c>
      <c r="V45" s="62">
        <v>13000</v>
      </c>
      <c r="W45" s="62">
        <v>13000</v>
      </c>
      <c r="X45" s="62">
        <v>13000</v>
      </c>
      <c r="Y45" s="62">
        <v>13000</v>
      </c>
      <c r="Z45" s="62">
        <v>13000</v>
      </c>
      <c r="AA45" s="62">
        <v>13000</v>
      </c>
      <c r="AB45" s="62">
        <v>13000</v>
      </c>
      <c r="AC45" s="57">
        <f t="shared" si="1"/>
        <v>312000</v>
      </c>
      <c r="AD45" s="106"/>
    </row>
    <row r="46" spans="1:30" ht="15.75" thickBot="1" x14ac:dyDescent="0.3">
      <c r="A46" s="58">
        <v>2026</v>
      </c>
      <c r="B46" s="59">
        <v>10</v>
      </c>
      <c r="C46" s="59">
        <v>5</v>
      </c>
      <c r="D46" s="60" t="s">
        <v>136</v>
      </c>
      <c r="E46" s="62">
        <v>13000</v>
      </c>
      <c r="F46" s="62">
        <v>13000</v>
      </c>
      <c r="G46" s="62">
        <v>13000</v>
      </c>
      <c r="H46" s="62">
        <v>13000</v>
      </c>
      <c r="I46" s="62">
        <v>13000</v>
      </c>
      <c r="J46" s="62">
        <v>13000</v>
      </c>
      <c r="K46" s="62">
        <v>13000</v>
      </c>
      <c r="L46" s="62">
        <v>13000</v>
      </c>
      <c r="M46" s="62">
        <v>13000</v>
      </c>
      <c r="N46" s="62">
        <v>13000</v>
      </c>
      <c r="O46" s="62">
        <v>13000</v>
      </c>
      <c r="P46" s="62">
        <v>13000</v>
      </c>
      <c r="Q46" s="62">
        <v>13000</v>
      </c>
      <c r="R46" s="62">
        <v>13000</v>
      </c>
      <c r="S46" s="62">
        <v>13000</v>
      </c>
      <c r="T46" s="62">
        <v>13000</v>
      </c>
      <c r="U46" s="62">
        <v>13000</v>
      </c>
      <c r="V46" s="62">
        <v>13000</v>
      </c>
      <c r="W46" s="62">
        <v>13000</v>
      </c>
      <c r="X46" s="62">
        <v>13000</v>
      </c>
      <c r="Y46" s="62">
        <v>13000</v>
      </c>
      <c r="Z46" s="62">
        <v>13000</v>
      </c>
      <c r="AA46" s="62">
        <v>13000</v>
      </c>
      <c r="AB46" s="62">
        <v>13000</v>
      </c>
      <c r="AC46" s="61">
        <f t="shared" si="1"/>
        <v>312000</v>
      </c>
      <c r="AD46" s="107"/>
    </row>
    <row r="47" spans="1:30" ht="15.75" thickBot="1" x14ac:dyDescent="0.3">
      <c r="A47" s="49">
        <v>2026</v>
      </c>
      <c r="B47" s="50">
        <v>11</v>
      </c>
      <c r="C47" s="50">
        <v>7</v>
      </c>
      <c r="D47" s="51" t="s">
        <v>134</v>
      </c>
      <c r="E47" s="62">
        <v>13000</v>
      </c>
      <c r="F47" s="62">
        <v>13000</v>
      </c>
      <c r="G47" s="62">
        <v>13000</v>
      </c>
      <c r="H47" s="62">
        <v>13000</v>
      </c>
      <c r="I47" s="62">
        <v>13000</v>
      </c>
      <c r="J47" s="62">
        <v>13000</v>
      </c>
      <c r="K47" s="62">
        <v>13000</v>
      </c>
      <c r="L47" s="62">
        <v>13000</v>
      </c>
      <c r="M47" s="62">
        <v>13000</v>
      </c>
      <c r="N47" s="62">
        <v>13000</v>
      </c>
      <c r="O47" s="62">
        <v>13000</v>
      </c>
      <c r="P47" s="62">
        <v>13000</v>
      </c>
      <c r="Q47" s="62">
        <v>13000</v>
      </c>
      <c r="R47" s="62">
        <v>13000</v>
      </c>
      <c r="S47" s="62">
        <v>13000</v>
      </c>
      <c r="T47" s="62">
        <v>13000</v>
      </c>
      <c r="U47" s="62">
        <v>13000</v>
      </c>
      <c r="V47" s="62">
        <v>13000</v>
      </c>
      <c r="W47" s="62">
        <v>13000</v>
      </c>
      <c r="X47" s="62">
        <v>13000</v>
      </c>
      <c r="Y47" s="62">
        <v>13000</v>
      </c>
      <c r="Z47" s="62">
        <v>13000</v>
      </c>
      <c r="AA47" s="62">
        <v>13000</v>
      </c>
      <c r="AB47" s="62">
        <v>13000</v>
      </c>
      <c r="AC47" s="53">
        <f t="shared" si="1"/>
        <v>312000</v>
      </c>
      <c r="AD47" s="105">
        <f>+SUMPRODUCT(AC47:AC49,C47:C49)</f>
        <v>9360000</v>
      </c>
    </row>
    <row r="48" spans="1:30" ht="15.75" thickBot="1" x14ac:dyDescent="0.3">
      <c r="A48" s="54">
        <v>2026</v>
      </c>
      <c r="B48" s="55">
        <v>11</v>
      </c>
      <c r="C48" s="55">
        <v>19</v>
      </c>
      <c r="D48" s="56" t="s">
        <v>135</v>
      </c>
      <c r="E48" s="62">
        <v>13000</v>
      </c>
      <c r="F48" s="62">
        <v>13000</v>
      </c>
      <c r="G48" s="62">
        <v>13000</v>
      </c>
      <c r="H48" s="62">
        <v>13000</v>
      </c>
      <c r="I48" s="62">
        <v>13000</v>
      </c>
      <c r="J48" s="62">
        <v>13000</v>
      </c>
      <c r="K48" s="62">
        <v>13000</v>
      </c>
      <c r="L48" s="62">
        <v>13000</v>
      </c>
      <c r="M48" s="62">
        <v>13000</v>
      </c>
      <c r="N48" s="62">
        <v>13000</v>
      </c>
      <c r="O48" s="62">
        <v>13000</v>
      </c>
      <c r="P48" s="62">
        <v>13000</v>
      </c>
      <c r="Q48" s="62">
        <v>13000</v>
      </c>
      <c r="R48" s="62">
        <v>13000</v>
      </c>
      <c r="S48" s="62">
        <v>13000</v>
      </c>
      <c r="T48" s="62">
        <v>13000</v>
      </c>
      <c r="U48" s="62">
        <v>13000</v>
      </c>
      <c r="V48" s="62">
        <v>13000</v>
      </c>
      <c r="W48" s="62">
        <v>13000</v>
      </c>
      <c r="X48" s="62">
        <v>13000</v>
      </c>
      <c r="Y48" s="62">
        <v>13000</v>
      </c>
      <c r="Z48" s="62">
        <v>13000</v>
      </c>
      <c r="AA48" s="62">
        <v>13000</v>
      </c>
      <c r="AB48" s="62">
        <v>13000</v>
      </c>
      <c r="AC48" s="57">
        <f t="shared" si="1"/>
        <v>312000</v>
      </c>
      <c r="AD48" s="106"/>
    </row>
    <row r="49" spans="1:30" ht="15.75" thickBot="1" x14ac:dyDescent="0.3">
      <c r="A49" s="58">
        <v>2026</v>
      </c>
      <c r="B49" s="59">
        <v>11</v>
      </c>
      <c r="C49" s="59">
        <v>4</v>
      </c>
      <c r="D49" s="60" t="s">
        <v>136</v>
      </c>
      <c r="E49" s="62">
        <v>13000</v>
      </c>
      <c r="F49" s="62">
        <v>13000</v>
      </c>
      <c r="G49" s="62">
        <v>13000</v>
      </c>
      <c r="H49" s="62">
        <v>13000</v>
      </c>
      <c r="I49" s="62">
        <v>13000</v>
      </c>
      <c r="J49" s="62">
        <v>13000</v>
      </c>
      <c r="K49" s="62">
        <v>13000</v>
      </c>
      <c r="L49" s="62">
        <v>13000</v>
      </c>
      <c r="M49" s="62">
        <v>13000</v>
      </c>
      <c r="N49" s="62">
        <v>13000</v>
      </c>
      <c r="O49" s="62">
        <v>13000</v>
      </c>
      <c r="P49" s="62">
        <v>13000</v>
      </c>
      <c r="Q49" s="62">
        <v>13000</v>
      </c>
      <c r="R49" s="62">
        <v>13000</v>
      </c>
      <c r="S49" s="62">
        <v>13000</v>
      </c>
      <c r="T49" s="62">
        <v>13000</v>
      </c>
      <c r="U49" s="62">
        <v>13000</v>
      </c>
      <c r="V49" s="62">
        <v>13000</v>
      </c>
      <c r="W49" s="62">
        <v>13000</v>
      </c>
      <c r="X49" s="62">
        <v>13000</v>
      </c>
      <c r="Y49" s="62">
        <v>13000</v>
      </c>
      <c r="Z49" s="62">
        <v>13000</v>
      </c>
      <c r="AA49" s="62">
        <v>13000</v>
      </c>
      <c r="AB49" s="62">
        <v>13000</v>
      </c>
      <c r="AC49" s="61">
        <f t="shared" si="1"/>
        <v>312000</v>
      </c>
      <c r="AD49" s="107"/>
    </row>
    <row r="50" spans="1:30" ht="15.75" thickBot="1" x14ac:dyDescent="0.3">
      <c r="A50" s="49">
        <v>2026</v>
      </c>
      <c r="B50" s="50">
        <v>12</v>
      </c>
      <c r="C50" s="50">
        <v>6</v>
      </c>
      <c r="D50" s="51" t="s">
        <v>134</v>
      </c>
      <c r="E50" s="62">
        <v>13000</v>
      </c>
      <c r="F50" s="62">
        <v>13000</v>
      </c>
      <c r="G50" s="62">
        <v>13000</v>
      </c>
      <c r="H50" s="62">
        <v>13000</v>
      </c>
      <c r="I50" s="62">
        <v>13000</v>
      </c>
      <c r="J50" s="62">
        <v>13000</v>
      </c>
      <c r="K50" s="62">
        <v>13000</v>
      </c>
      <c r="L50" s="62">
        <v>13000</v>
      </c>
      <c r="M50" s="62">
        <v>13000</v>
      </c>
      <c r="N50" s="62">
        <v>13000</v>
      </c>
      <c r="O50" s="62">
        <v>13000</v>
      </c>
      <c r="P50" s="62">
        <v>13000</v>
      </c>
      <c r="Q50" s="62">
        <v>13000</v>
      </c>
      <c r="R50" s="62">
        <v>13000</v>
      </c>
      <c r="S50" s="62">
        <v>13000</v>
      </c>
      <c r="T50" s="62">
        <v>13000</v>
      </c>
      <c r="U50" s="62">
        <v>13000</v>
      </c>
      <c r="V50" s="62">
        <v>13000</v>
      </c>
      <c r="W50" s="62">
        <v>13000</v>
      </c>
      <c r="X50" s="62">
        <v>13000</v>
      </c>
      <c r="Y50" s="62">
        <v>13000</v>
      </c>
      <c r="Z50" s="62">
        <v>13000</v>
      </c>
      <c r="AA50" s="62">
        <v>13000</v>
      </c>
      <c r="AB50" s="62">
        <v>13000</v>
      </c>
      <c r="AC50" s="53">
        <f t="shared" si="1"/>
        <v>312000</v>
      </c>
      <c r="AD50" s="105">
        <f>+SUMPRODUCT(AC50:AC52,C50:C52)</f>
        <v>9672000</v>
      </c>
    </row>
    <row r="51" spans="1:30" ht="15.75" thickBot="1" x14ac:dyDescent="0.3">
      <c r="A51" s="54">
        <v>2026</v>
      </c>
      <c r="B51" s="55">
        <v>12</v>
      </c>
      <c r="C51" s="55">
        <v>21</v>
      </c>
      <c r="D51" s="56" t="s">
        <v>135</v>
      </c>
      <c r="E51" s="62">
        <v>13000</v>
      </c>
      <c r="F51" s="62">
        <v>13000</v>
      </c>
      <c r="G51" s="62">
        <v>13000</v>
      </c>
      <c r="H51" s="62">
        <v>13000</v>
      </c>
      <c r="I51" s="62">
        <v>13000</v>
      </c>
      <c r="J51" s="62">
        <v>13000</v>
      </c>
      <c r="K51" s="62">
        <v>13000</v>
      </c>
      <c r="L51" s="62">
        <v>13000</v>
      </c>
      <c r="M51" s="62">
        <v>13000</v>
      </c>
      <c r="N51" s="62">
        <v>13000</v>
      </c>
      <c r="O51" s="62">
        <v>13000</v>
      </c>
      <c r="P51" s="62">
        <v>13000</v>
      </c>
      <c r="Q51" s="62">
        <v>13000</v>
      </c>
      <c r="R51" s="62">
        <v>13000</v>
      </c>
      <c r="S51" s="62">
        <v>13000</v>
      </c>
      <c r="T51" s="62">
        <v>13000</v>
      </c>
      <c r="U51" s="62">
        <v>13000</v>
      </c>
      <c r="V51" s="62">
        <v>13000</v>
      </c>
      <c r="W51" s="62">
        <v>13000</v>
      </c>
      <c r="X51" s="62">
        <v>13000</v>
      </c>
      <c r="Y51" s="62">
        <v>13000</v>
      </c>
      <c r="Z51" s="62">
        <v>13000</v>
      </c>
      <c r="AA51" s="62">
        <v>13000</v>
      </c>
      <c r="AB51" s="62">
        <v>13000</v>
      </c>
      <c r="AC51" s="57">
        <f t="shared" si="1"/>
        <v>312000</v>
      </c>
      <c r="AD51" s="106"/>
    </row>
    <row r="52" spans="1:30" ht="15.75" thickBot="1" x14ac:dyDescent="0.3">
      <c r="A52" s="58">
        <v>2026</v>
      </c>
      <c r="B52" s="59">
        <v>12</v>
      </c>
      <c r="C52" s="59">
        <v>4</v>
      </c>
      <c r="D52" s="60" t="s">
        <v>136</v>
      </c>
      <c r="E52" s="62">
        <v>13000</v>
      </c>
      <c r="F52" s="62">
        <v>13000</v>
      </c>
      <c r="G52" s="62">
        <v>13000</v>
      </c>
      <c r="H52" s="62">
        <v>13000</v>
      </c>
      <c r="I52" s="62">
        <v>13000</v>
      </c>
      <c r="J52" s="62">
        <v>13000</v>
      </c>
      <c r="K52" s="62">
        <v>13000</v>
      </c>
      <c r="L52" s="62">
        <v>13000</v>
      </c>
      <c r="M52" s="62">
        <v>13000</v>
      </c>
      <c r="N52" s="62">
        <v>13000</v>
      </c>
      <c r="O52" s="62">
        <v>13000</v>
      </c>
      <c r="P52" s="62">
        <v>13000</v>
      </c>
      <c r="Q52" s="62">
        <v>13000</v>
      </c>
      <c r="R52" s="62">
        <v>13000</v>
      </c>
      <c r="S52" s="62">
        <v>13000</v>
      </c>
      <c r="T52" s="62">
        <v>13000</v>
      </c>
      <c r="U52" s="62">
        <v>13000</v>
      </c>
      <c r="V52" s="62">
        <v>13000</v>
      </c>
      <c r="W52" s="62">
        <v>13000</v>
      </c>
      <c r="X52" s="62">
        <v>13000</v>
      </c>
      <c r="Y52" s="62">
        <v>13000</v>
      </c>
      <c r="Z52" s="62">
        <v>13000</v>
      </c>
      <c r="AA52" s="62">
        <v>13000</v>
      </c>
      <c r="AB52" s="62">
        <v>13000</v>
      </c>
      <c r="AC52" s="61">
        <f t="shared" si="1"/>
        <v>312000</v>
      </c>
      <c r="AD52" s="107"/>
    </row>
    <row r="53" spans="1:30" ht="15.75" thickBot="1" x14ac:dyDescent="0.3">
      <c r="A53" s="49">
        <v>2027</v>
      </c>
      <c r="B53" s="50">
        <v>1</v>
      </c>
      <c r="C53" s="50">
        <v>7</v>
      </c>
      <c r="D53" s="51" t="s">
        <v>134</v>
      </c>
      <c r="E53" s="62">
        <v>13000</v>
      </c>
      <c r="F53" s="62">
        <v>13000</v>
      </c>
      <c r="G53" s="62">
        <v>13000</v>
      </c>
      <c r="H53" s="62">
        <v>13000</v>
      </c>
      <c r="I53" s="62">
        <v>13000</v>
      </c>
      <c r="J53" s="62">
        <v>13000</v>
      </c>
      <c r="K53" s="62">
        <v>13000</v>
      </c>
      <c r="L53" s="62">
        <v>13000</v>
      </c>
      <c r="M53" s="62">
        <v>13000</v>
      </c>
      <c r="N53" s="62">
        <v>13000</v>
      </c>
      <c r="O53" s="62">
        <v>13000</v>
      </c>
      <c r="P53" s="62">
        <v>13000</v>
      </c>
      <c r="Q53" s="62">
        <v>13000</v>
      </c>
      <c r="R53" s="62">
        <v>13000</v>
      </c>
      <c r="S53" s="62">
        <v>13000</v>
      </c>
      <c r="T53" s="62">
        <v>13000</v>
      </c>
      <c r="U53" s="62">
        <v>13000</v>
      </c>
      <c r="V53" s="62">
        <v>13000</v>
      </c>
      <c r="W53" s="62">
        <v>13000</v>
      </c>
      <c r="X53" s="62">
        <v>13000</v>
      </c>
      <c r="Y53" s="62">
        <v>13000</v>
      </c>
      <c r="Z53" s="62">
        <v>13000</v>
      </c>
      <c r="AA53" s="62">
        <v>13000</v>
      </c>
      <c r="AB53" s="62">
        <v>13000</v>
      </c>
      <c r="AC53" s="53">
        <f t="shared" si="1"/>
        <v>312000</v>
      </c>
      <c r="AD53" s="105">
        <f>+SUMPRODUCT(AC53:AC55,C53:C55)</f>
        <v>9672000</v>
      </c>
    </row>
    <row r="54" spans="1:30" ht="15.75" thickBot="1" x14ac:dyDescent="0.3">
      <c r="A54" s="54">
        <v>2027</v>
      </c>
      <c r="B54" s="55">
        <v>1</v>
      </c>
      <c r="C54" s="55">
        <v>19</v>
      </c>
      <c r="D54" s="56" t="s">
        <v>135</v>
      </c>
      <c r="E54" s="62">
        <v>13000</v>
      </c>
      <c r="F54" s="62">
        <v>13000</v>
      </c>
      <c r="G54" s="62">
        <v>13000</v>
      </c>
      <c r="H54" s="62">
        <v>13000</v>
      </c>
      <c r="I54" s="62">
        <v>13000</v>
      </c>
      <c r="J54" s="62">
        <v>13000</v>
      </c>
      <c r="K54" s="62">
        <v>13000</v>
      </c>
      <c r="L54" s="62">
        <v>13000</v>
      </c>
      <c r="M54" s="62">
        <v>13000</v>
      </c>
      <c r="N54" s="62">
        <v>13000</v>
      </c>
      <c r="O54" s="62">
        <v>13000</v>
      </c>
      <c r="P54" s="62">
        <v>13000</v>
      </c>
      <c r="Q54" s="62">
        <v>13000</v>
      </c>
      <c r="R54" s="62">
        <v>13000</v>
      </c>
      <c r="S54" s="62">
        <v>13000</v>
      </c>
      <c r="T54" s="62">
        <v>13000</v>
      </c>
      <c r="U54" s="62">
        <v>13000</v>
      </c>
      <c r="V54" s="62">
        <v>13000</v>
      </c>
      <c r="W54" s="62">
        <v>13000</v>
      </c>
      <c r="X54" s="62">
        <v>13000</v>
      </c>
      <c r="Y54" s="62">
        <v>13000</v>
      </c>
      <c r="Z54" s="62">
        <v>13000</v>
      </c>
      <c r="AA54" s="62">
        <v>13000</v>
      </c>
      <c r="AB54" s="62">
        <v>13000</v>
      </c>
      <c r="AC54" s="57">
        <f t="shared" si="1"/>
        <v>312000</v>
      </c>
      <c r="AD54" s="106"/>
    </row>
    <row r="55" spans="1:30" ht="15.75" thickBot="1" x14ac:dyDescent="0.3">
      <c r="A55" s="58">
        <v>2027</v>
      </c>
      <c r="B55" s="59">
        <v>1</v>
      </c>
      <c r="C55" s="59">
        <v>5</v>
      </c>
      <c r="D55" s="60" t="s">
        <v>136</v>
      </c>
      <c r="E55" s="62">
        <v>13000</v>
      </c>
      <c r="F55" s="62">
        <v>13000</v>
      </c>
      <c r="G55" s="62">
        <v>13000</v>
      </c>
      <c r="H55" s="62">
        <v>13000</v>
      </c>
      <c r="I55" s="62">
        <v>13000</v>
      </c>
      <c r="J55" s="62">
        <v>13000</v>
      </c>
      <c r="K55" s="62">
        <v>13000</v>
      </c>
      <c r="L55" s="62">
        <v>13000</v>
      </c>
      <c r="M55" s="62">
        <v>13000</v>
      </c>
      <c r="N55" s="62">
        <v>13000</v>
      </c>
      <c r="O55" s="62">
        <v>13000</v>
      </c>
      <c r="P55" s="62">
        <v>13000</v>
      </c>
      <c r="Q55" s="62">
        <v>13000</v>
      </c>
      <c r="R55" s="62">
        <v>13000</v>
      </c>
      <c r="S55" s="62">
        <v>13000</v>
      </c>
      <c r="T55" s="62">
        <v>13000</v>
      </c>
      <c r="U55" s="62">
        <v>13000</v>
      </c>
      <c r="V55" s="62">
        <v>13000</v>
      </c>
      <c r="W55" s="62">
        <v>13000</v>
      </c>
      <c r="X55" s="62">
        <v>13000</v>
      </c>
      <c r="Y55" s="62">
        <v>13000</v>
      </c>
      <c r="Z55" s="62">
        <v>13000</v>
      </c>
      <c r="AA55" s="62">
        <v>13000</v>
      </c>
      <c r="AB55" s="62">
        <v>13000</v>
      </c>
      <c r="AC55" s="61">
        <f t="shared" si="1"/>
        <v>312000</v>
      </c>
      <c r="AD55" s="107"/>
    </row>
    <row r="56" spans="1:30" ht="15.75" thickBot="1" x14ac:dyDescent="0.3">
      <c r="A56" s="49">
        <v>2027</v>
      </c>
      <c r="B56" s="50">
        <v>2</v>
      </c>
      <c r="C56" s="50">
        <v>4</v>
      </c>
      <c r="D56" s="51" t="s">
        <v>134</v>
      </c>
      <c r="E56" s="62">
        <v>13000</v>
      </c>
      <c r="F56" s="62">
        <v>13000</v>
      </c>
      <c r="G56" s="62">
        <v>13000</v>
      </c>
      <c r="H56" s="62">
        <v>13000</v>
      </c>
      <c r="I56" s="62">
        <v>13000</v>
      </c>
      <c r="J56" s="62">
        <v>13000</v>
      </c>
      <c r="K56" s="62">
        <v>13000</v>
      </c>
      <c r="L56" s="62">
        <v>13000</v>
      </c>
      <c r="M56" s="62">
        <v>13000</v>
      </c>
      <c r="N56" s="62">
        <v>13000</v>
      </c>
      <c r="O56" s="62">
        <v>13000</v>
      </c>
      <c r="P56" s="62">
        <v>13000</v>
      </c>
      <c r="Q56" s="62">
        <v>13000</v>
      </c>
      <c r="R56" s="62">
        <v>13000</v>
      </c>
      <c r="S56" s="62">
        <v>13000</v>
      </c>
      <c r="T56" s="62">
        <v>13000</v>
      </c>
      <c r="U56" s="62">
        <v>13000</v>
      </c>
      <c r="V56" s="62">
        <v>13000</v>
      </c>
      <c r="W56" s="62">
        <v>13000</v>
      </c>
      <c r="X56" s="62">
        <v>13000</v>
      </c>
      <c r="Y56" s="62">
        <v>13000</v>
      </c>
      <c r="Z56" s="62">
        <v>13000</v>
      </c>
      <c r="AA56" s="62">
        <v>13000</v>
      </c>
      <c r="AB56" s="62">
        <v>13000</v>
      </c>
      <c r="AC56" s="53">
        <f t="shared" si="1"/>
        <v>312000</v>
      </c>
      <c r="AD56" s="105">
        <f>+SUMPRODUCT(AC56:AC58,C56:C58)</f>
        <v>8736000</v>
      </c>
    </row>
    <row r="57" spans="1:30" ht="15.75" thickBot="1" x14ac:dyDescent="0.3">
      <c r="A57" s="54">
        <v>2027</v>
      </c>
      <c r="B57" s="55">
        <v>2</v>
      </c>
      <c r="C57" s="55">
        <v>20</v>
      </c>
      <c r="D57" s="56" t="s">
        <v>135</v>
      </c>
      <c r="E57" s="62">
        <v>13000</v>
      </c>
      <c r="F57" s="62">
        <v>13000</v>
      </c>
      <c r="G57" s="62">
        <v>13000</v>
      </c>
      <c r="H57" s="62">
        <v>13000</v>
      </c>
      <c r="I57" s="62">
        <v>13000</v>
      </c>
      <c r="J57" s="62">
        <v>13000</v>
      </c>
      <c r="K57" s="62">
        <v>13000</v>
      </c>
      <c r="L57" s="62">
        <v>13000</v>
      </c>
      <c r="M57" s="62">
        <v>13000</v>
      </c>
      <c r="N57" s="62">
        <v>13000</v>
      </c>
      <c r="O57" s="62">
        <v>13000</v>
      </c>
      <c r="P57" s="62">
        <v>13000</v>
      </c>
      <c r="Q57" s="62">
        <v>13000</v>
      </c>
      <c r="R57" s="62">
        <v>13000</v>
      </c>
      <c r="S57" s="62">
        <v>13000</v>
      </c>
      <c r="T57" s="62">
        <v>13000</v>
      </c>
      <c r="U57" s="62">
        <v>13000</v>
      </c>
      <c r="V57" s="62">
        <v>13000</v>
      </c>
      <c r="W57" s="62">
        <v>13000</v>
      </c>
      <c r="X57" s="62">
        <v>13000</v>
      </c>
      <c r="Y57" s="62">
        <v>13000</v>
      </c>
      <c r="Z57" s="62">
        <v>13000</v>
      </c>
      <c r="AA57" s="62">
        <v>13000</v>
      </c>
      <c r="AB57" s="62">
        <v>13000</v>
      </c>
      <c r="AC57" s="57">
        <f t="shared" si="1"/>
        <v>312000</v>
      </c>
      <c r="AD57" s="106"/>
    </row>
    <row r="58" spans="1:30" ht="15.75" thickBot="1" x14ac:dyDescent="0.3">
      <c r="A58" s="58">
        <v>2027</v>
      </c>
      <c r="B58" s="59">
        <v>2</v>
      </c>
      <c r="C58" s="59">
        <v>4</v>
      </c>
      <c r="D58" s="60" t="s">
        <v>136</v>
      </c>
      <c r="E58" s="62">
        <v>13000</v>
      </c>
      <c r="F58" s="62">
        <v>13000</v>
      </c>
      <c r="G58" s="62">
        <v>13000</v>
      </c>
      <c r="H58" s="62">
        <v>13000</v>
      </c>
      <c r="I58" s="62">
        <v>13000</v>
      </c>
      <c r="J58" s="62">
        <v>13000</v>
      </c>
      <c r="K58" s="62">
        <v>13000</v>
      </c>
      <c r="L58" s="62">
        <v>13000</v>
      </c>
      <c r="M58" s="62">
        <v>13000</v>
      </c>
      <c r="N58" s="62">
        <v>13000</v>
      </c>
      <c r="O58" s="62">
        <v>13000</v>
      </c>
      <c r="P58" s="62">
        <v>13000</v>
      </c>
      <c r="Q58" s="62">
        <v>13000</v>
      </c>
      <c r="R58" s="62">
        <v>13000</v>
      </c>
      <c r="S58" s="62">
        <v>13000</v>
      </c>
      <c r="T58" s="62">
        <v>13000</v>
      </c>
      <c r="U58" s="62">
        <v>13000</v>
      </c>
      <c r="V58" s="62">
        <v>13000</v>
      </c>
      <c r="W58" s="62">
        <v>13000</v>
      </c>
      <c r="X58" s="62">
        <v>13000</v>
      </c>
      <c r="Y58" s="62">
        <v>13000</v>
      </c>
      <c r="Z58" s="62">
        <v>13000</v>
      </c>
      <c r="AA58" s="62">
        <v>13000</v>
      </c>
      <c r="AB58" s="62">
        <v>13000</v>
      </c>
      <c r="AC58" s="61">
        <f t="shared" si="1"/>
        <v>312000</v>
      </c>
      <c r="AD58" s="107"/>
    </row>
    <row r="59" spans="1:30" ht="15.75" thickBot="1" x14ac:dyDescent="0.3">
      <c r="A59" s="49">
        <v>2027</v>
      </c>
      <c r="B59" s="50">
        <v>3</v>
      </c>
      <c r="C59" s="50">
        <v>7</v>
      </c>
      <c r="D59" s="51" t="s">
        <v>134</v>
      </c>
      <c r="E59" s="62">
        <v>13000</v>
      </c>
      <c r="F59" s="62">
        <v>13000</v>
      </c>
      <c r="G59" s="62">
        <v>13000</v>
      </c>
      <c r="H59" s="62">
        <v>13000</v>
      </c>
      <c r="I59" s="62">
        <v>13000</v>
      </c>
      <c r="J59" s="62">
        <v>13000</v>
      </c>
      <c r="K59" s="62">
        <v>13000</v>
      </c>
      <c r="L59" s="62">
        <v>13000</v>
      </c>
      <c r="M59" s="62">
        <v>13000</v>
      </c>
      <c r="N59" s="62">
        <v>13000</v>
      </c>
      <c r="O59" s="62">
        <v>13000</v>
      </c>
      <c r="P59" s="62">
        <v>13000</v>
      </c>
      <c r="Q59" s="62">
        <v>13000</v>
      </c>
      <c r="R59" s="62">
        <v>13000</v>
      </c>
      <c r="S59" s="62">
        <v>13000</v>
      </c>
      <c r="T59" s="62">
        <v>13000</v>
      </c>
      <c r="U59" s="62">
        <v>13000</v>
      </c>
      <c r="V59" s="62">
        <v>13000</v>
      </c>
      <c r="W59" s="62">
        <v>13000</v>
      </c>
      <c r="X59" s="62">
        <v>13000</v>
      </c>
      <c r="Y59" s="62">
        <v>13000</v>
      </c>
      <c r="Z59" s="62">
        <v>13000</v>
      </c>
      <c r="AA59" s="62">
        <v>13000</v>
      </c>
      <c r="AB59" s="62">
        <v>13000</v>
      </c>
      <c r="AC59" s="53">
        <f t="shared" si="1"/>
        <v>312000</v>
      </c>
      <c r="AD59" s="105">
        <f>+SUMPRODUCT(AC59:AC61,C59:C61)</f>
        <v>9672000</v>
      </c>
    </row>
    <row r="60" spans="1:30" ht="15.75" thickBot="1" x14ac:dyDescent="0.3">
      <c r="A60" s="54">
        <v>2027</v>
      </c>
      <c r="B60" s="55">
        <v>3</v>
      </c>
      <c r="C60" s="55">
        <v>20</v>
      </c>
      <c r="D60" s="56" t="s">
        <v>135</v>
      </c>
      <c r="E60" s="62">
        <v>13000</v>
      </c>
      <c r="F60" s="62">
        <v>13000</v>
      </c>
      <c r="G60" s="62">
        <v>13000</v>
      </c>
      <c r="H60" s="62">
        <v>13000</v>
      </c>
      <c r="I60" s="62">
        <v>13000</v>
      </c>
      <c r="J60" s="62">
        <v>13000</v>
      </c>
      <c r="K60" s="62">
        <v>13000</v>
      </c>
      <c r="L60" s="62">
        <v>13000</v>
      </c>
      <c r="M60" s="62">
        <v>13000</v>
      </c>
      <c r="N60" s="62">
        <v>13000</v>
      </c>
      <c r="O60" s="62">
        <v>13000</v>
      </c>
      <c r="P60" s="62">
        <v>13000</v>
      </c>
      <c r="Q60" s="62">
        <v>13000</v>
      </c>
      <c r="R60" s="62">
        <v>13000</v>
      </c>
      <c r="S60" s="62">
        <v>13000</v>
      </c>
      <c r="T60" s="62">
        <v>13000</v>
      </c>
      <c r="U60" s="62">
        <v>13000</v>
      </c>
      <c r="V60" s="62">
        <v>13000</v>
      </c>
      <c r="W60" s="62">
        <v>13000</v>
      </c>
      <c r="X60" s="62">
        <v>13000</v>
      </c>
      <c r="Y60" s="62">
        <v>13000</v>
      </c>
      <c r="Z60" s="62">
        <v>13000</v>
      </c>
      <c r="AA60" s="62">
        <v>13000</v>
      </c>
      <c r="AB60" s="62">
        <v>13000</v>
      </c>
      <c r="AC60" s="57">
        <f t="shared" si="1"/>
        <v>312000</v>
      </c>
      <c r="AD60" s="106"/>
    </row>
    <row r="61" spans="1:30" ht="15.75" thickBot="1" x14ac:dyDescent="0.3">
      <c r="A61" s="58">
        <v>2027</v>
      </c>
      <c r="B61" s="59">
        <v>3</v>
      </c>
      <c r="C61" s="59">
        <v>4</v>
      </c>
      <c r="D61" s="60" t="s">
        <v>136</v>
      </c>
      <c r="E61" s="62">
        <v>13000</v>
      </c>
      <c r="F61" s="62">
        <v>13000</v>
      </c>
      <c r="G61" s="62">
        <v>13000</v>
      </c>
      <c r="H61" s="62">
        <v>13000</v>
      </c>
      <c r="I61" s="62">
        <v>13000</v>
      </c>
      <c r="J61" s="62">
        <v>13000</v>
      </c>
      <c r="K61" s="62">
        <v>13000</v>
      </c>
      <c r="L61" s="62">
        <v>13000</v>
      </c>
      <c r="M61" s="62">
        <v>13000</v>
      </c>
      <c r="N61" s="62">
        <v>13000</v>
      </c>
      <c r="O61" s="62">
        <v>13000</v>
      </c>
      <c r="P61" s="62">
        <v>13000</v>
      </c>
      <c r="Q61" s="62">
        <v>13000</v>
      </c>
      <c r="R61" s="62">
        <v>13000</v>
      </c>
      <c r="S61" s="62">
        <v>13000</v>
      </c>
      <c r="T61" s="62">
        <v>13000</v>
      </c>
      <c r="U61" s="62">
        <v>13000</v>
      </c>
      <c r="V61" s="62">
        <v>13000</v>
      </c>
      <c r="W61" s="62">
        <v>13000</v>
      </c>
      <c r="X61" s="62">
        <v>13000</v>
      </c>
      <c r="Y61" s="62">
        <v>13000</v>
      </c>
      <c r="Z61" s="62">
        <v>13000</v>
      </c>
      <c r="AA61" s="62">
        <v>13000</v>
      </c>
      <c r="AB61" s="62">
        <v>13000</v>
      </c>
      <c r="AC61" s="61">
        <f t="shared" si="1"/>
        <v>312000</v>
      </c>
      <c r="AD61" s="107"/>
    </row>
    <row r="62" spans="1:30" ht="15.75" thickBot="1" x14ac:dyDescent="0.3">
      <c r="A62" s="49">
        <v>2027</v>
      </c>
      <c r="B62" s="50">
        <v>4</v>
      </c>
      <c r="C62" s="50">
        <v>4</v>
      </c>
      <c r="D62" s="51" t="s">
        <v>134</v>
      </c>
      <c r="E62" s="62">
        <v>13000</v>
      </c>
      <c r="F62" s="62">
        <v>13000</v>
      </c>
      <c r="G62" s="62">
        <v>13000</v>
      </c>
      <c r="H62" s="62">
        <v>13000</v>
      </c>
      <c r="I62" s="62">
        <v>13000</v>
      </c>
      <c r="J62" s="62">
        <v>13000</v>
      </c>
      <c r="K62" s="62">
        <v>13000</v>
      </c>
      <c r="L62" s="62">
        <v>13000</v>
      </c>
      <c r="M62" s="62">
        <v>13000</v>
      </c>
      <c r="N62" s="62">
        <v>13000</v>
      </c>
      <c r="O62" s="62">
        <v>13000</v>
      </c>
      <c r="P62" s="62">
        <v>13000</v>
      </c>
      <c r="Q62" s="62">
        <v>13000</v>
      </c>
      <c r="R62" s="62">
        <v>13000</v>
      </c>
      <c r="S62" s="62">
        <v>13000</v>
      </c>
      <c r="T62" s="62">
        <v>13000</v>
      </c>
      <c r="U62" s="62">
        <v>13000</v>
      </c>
      <c r="V62" s="62">
        <v>13000</v>
      </c>
      <c r="W62" s="62">
        <v>13000</v>
      </c>
      <c r="X62" s="62">
        <v>13000</v>
      </c>
      <c r="Y62" s="62">
        <v>13000</v>
      </c>
      <c r="Z62" s="62">
        <v>13000</v>
      </c>
      <c r="AA62" s="62">
        <v>13000</v>
      </c>
      <c r="AB62" s="62">
        <v>13000</v>
      </c>
      <c r="AC62" s="53">
        <f t="shared" si="1"/>
        <v>312000</v>
      </c>
      <c r="AD62" s="105">
        <f>+SUMPRODUCT(AC62:AC64,C62:C64)</f>
        <v>9360000</v>
      </c>
    </row>
    <row r="63" spans="1:30" ht="15.75" thickBot="1" x14ac:dyDescent="0.3">
      <c r="A63" s="54">
        <v>2027</v>
      </c>
      <c r="B63" s="55">
        <v>4</v>
      </c>
      <c r="C63" s="55">
        <v>22</v>
      </c>
      <c r="D63" s="56" t="s">
        <v>135</v>
      </c>
      <c r="E63" s="62">
        <v>13000</v>
      </c>
      <c r="F63" s="62">
        <v>13000</v>
      </c>
      <c r="G63" s="62">
        <v>13000</v>
      </c>
      <c r="H63" s="62">
        <v>13000</v>
      </c>
      <c r="I63" s="62">
        <v>13000</v>
      </c>
      <c r="J63" s="62">
        <v>13000</v>
      </c>
      <c r="K63" s="62">
        <v>13000</v>
      </c>
      <c r="L63" s="62">
        <v>13000</v>
      </c>
      <c r="M63" s="62">
        <v>13000</v>
      </c>
      <c r="N63" s="62">
        <v>13000</v>
      </c>
      <c r="O63" s="62">
        <v>13000</v>
      </c>
      <c r="P63" s="62">
        <v>13000</v>
      </c>
      <c r="Q63" s="62">
        <v>13000</v>
      </c>
      <c r="R63" s="62">
        <v>13000</v>
      </c>
      <c r="S63" s="62">
        <v>13000</v>
      </c>
      <c r="T63" s="62">
        <v>13000</v>
      </c>
      <c r="U63" s="62">
        <v>13000</v>
      </c>
      <c r="V63" s="62">
        <v>13000</v>
      </c>
      <c r="W63" s="62">
        <v>13000</v>
      </c>
      <c r="X63" s="62">
        <v>13000</v>
      </c>
      <c r="Y63" s="62">
        <v>13000</v>
      </c>
      <c r="Z63" s="62">
        <v>13000</v>
      </c>
      <c r="AA63" s="62">
        <v>13000</v>
      </c>
      <c r="AB63" s="62">
        <v>13000</v>
      </c>
      <c r="AC63" s="57">
        <f t="shared" si="1"/>
        <v>312000</v>
      </c>
      <c r="AD63" s="106"/>
    </row>
    <row r="64" spans="1:30" ht="15.75" thickBot="1" x14ac:dyDescent="0.3">
      <c r="A64" s="58">
        <v>2027</v>
      </c>
      <c r="B64" s="59">
        <v>4</v>
      </c>
      <c r="C64" s="59">
        <v>4</v>
      </c>
      <c r="D64" s="60" t="s">
        <v>136</v>
      </c>
      <c r="E64" s="62">
        <v>13000</v>
      </c>
      <c r="F64" s="62">
        <v>13000</v>
      </c>
      <c r="G64" s="62">
        <v>13000</v>
      </c>
      <c r="H64" s="62">
        <v>13000</v>
      </c>
      <c r="I64" s="62">
        <v>13000</v>
      </c>
      <c r="J64" s="62">
        <v>13000</v>
      </c>
      <c r="K64" s="62">
        <v>13000</v>
      </c>
      <c r="L64" s="62">
        <v>13000</v>
      </c>
      <c r="M64" s="62">
        <v>13000</v>
      </c>
      <c r="N64" s="62">
        <v>13000</v>
      </c>
      <c r="O64" s="62">
        <v>13000</v>
      </c>
      <c r="P64" s="62">
        <v>13000</v>
      </c>
      <c r="Q64" s="62">
        <v>13000</v>
      </c>
      <c r="R64" s="62">
        <v>13000</v>
      </c>
      <c r="S64" s="62">
        <v>13000</v>
      </c>
      <c r="T64" s="62">
        <v>13000</v>
      </c>
      <c r="U64" s="62">
        <v>13000</v>
      </c>
      <c r="V64" s="62">
        <v>13000</v>
      </c>
      <c r="W64" s="62">
        <v>13000</v>
      </c>
      <c r="X64" s="62">
        <v>13000</v>
      </c>
      <c r="Y64" s="62">
        <v>13000</v>
      </c>
      <c r="Z64" s="62">
        <v>13000</v>
      </c>
      <c r="AA64" s="62">
        <v>13000</v>
      </c>
      <c r="AB64" s="62">
        <v>13000</v>
      </c>
      <c r="AC64" s="61">
        <f t="shared" si="1"/>
        <v>312000</v>
      </c>
      <c r="AD64" s="107"/>
    </row>
    <row r="65" spans="1:30" ht="15.75" thickBot="1" x14ac:dyDescent="0.3">
      <c r="A65" s="49">
        <v>2027</v>
      </c>
      <c r="B65" s="50">
        <v>5</v>
      </c>
      <c r="C65" s="50">
        <v>7</v>
      </c>
      <c r="D65" s="51" t="s">
        <v>134</v>
      </c>
      <c r="E65" s="62">
        <v>13000</v>
      </c>
      <c r="F65" s="62">
        <v>13000</v>
      </c>
      <c r="G65" s="62">
        <v>13000</v>
      </c>
      <c r="H65" s="62">
        <v>13000</v>
      </c>
      <c r="I65" s="62">
        <v>13000</v>
      </c>
      <c r="J65" s="62">
        <v>13000</v>
      </c>
      <c r="K65" s="62">
        <v>13000</v>
      </c>
      <c r="L65" s="62">
        <v>13000</v>
      </c>
      <c r="M65" s="62">
        <v>13000</v>
      </c>
      <c r="N65" s="62">
        <v>13000</v>
      </c>
      <c r="O65" s="62">
        <v>13000</v>
      </c>
      <c r="P65" s="62">
        <v>13000</v>
      </c>
      <c r="Q65" s="62">
        <v>13000</v>
      </c>
      <c r="R65" s="62">
        <v>13000</v>
      </c>
      <c r="S65" s="62">
        <v>13000</v>
      </c>
      <c r="T65" s="62">
        <v>13000</v>
      </c>
      <c r="U65" s="62">
        <v>13000</v>
      </c>
      <c r="V65" s="62">
        <v>13000</v>
      </c>
      <c r="W65" s="62">
        <v>13000</v>
      </c>
      <c r="X65" s="62">
        <v>13000</v>
      </c>
      <c r="Y65" s="62">
        <v>13000</v>
      </c>
      <c r="Z65" s="62">
        <v>13000</v>
      </c>
      <c r="AA65" s="62">
        <v>13000</v>
      </c>
      <c r="AB65" s="62">
        <v>13000</v>
      </c>
      <c r="AC65" s="53">
        <f t="shared" si="1"/>
        <v>312000</v>
      </c>
      <c r="AD65" s="105">
        <f>+SUMPRODUCT(AC65:AC67,C65:C67)</f>
        <v>9672000</v>
      </c>
    </row>
    <row r="66" spans="1:30" ht="15.75" thickBot="1" x14ac:dyDescent="0.3">
      <c r="A66" s="54">
        <v>2027</v>
      </c>
      <c r="B66" s="55">
        <v>5</v>
      </c>
      <c r="C66" s="55">
        <v>20</v>
      </c>
      <c r="D66" s="56" t="s">
        <v>135</v>
      </c>
      <c r="E66" s="62">
        <v>13000</v>
      </c>
      <c r="F66" s="62">
        <v>13000</v>
      </c>
      <c r="G66" s="62">
        <v>13000</v>
      </c>
      <c r="H66" s="62">
        <v>13000</v>
      </c>
      <c r="I66" s="62">
        <v>13000</v>
      </c>
      <c r="J66" s="62">
        <v>13000</v>
      </c>
      <c r="K66" s="62">
        <v>13000</v>
      </c>
      <c r="L66" s="62">
        <v>13000</v>
      </c>
      <c r="M66" s="62">
        <v>13000</v>
      </c>
      <c r="N66" s="62">
        <v>13000</v>
      </c>
      <c r="O66" s="62">
        <v>13000</v>
      </c>
      <c r="P66" s="62">
        <v>13000</v>
      </c>
      <c r="Q66" s="62">
        <v>13000</v>
      </c>
      <c r="R66" s="62">
        <v>13000</v>
      </c>
      <c r="S66" s="62">
        <v>13000</v>
      </c>
      <c r="T66" s="62">
        <v>13000</v>
      </c>
      <c r="U66" s="62">
        <v>13000</v>
      </c>
      <c r="V66" s="62">
        <v>13000</v>
      </c>
      <c r="W66" s="62">
        <v>13000</v>
      </c>
      <c r="X66" s="62">
        <v>13000</v>
      </c>
      <c r="Y66" s="62">
        <v>13000</v>
      </c>
      <c r="Z66" s="62">
        <v>13000</v>
      </c>
      <c r="AA66" s="62">
        <v>13000</v>
      </c>
      <c r="AB66" s="62">
        <v>13000</v>
      </c>
      <c r="AC66" s="57">
        <f t="shared" si="1"/>
        <v>312000</v>
      </c>
      <c r="AD66" s="106"/>
    </row>
    <row r="67" spans="1:30" ht="15.75" thickBot="1" x14ac:dyDescent="0.3">
      <c r="A67" s="58">
        <v>2027</v>
      </c>
      <c r="B67" s="59">
        <v>5</v>
      </c>
      <c r="C67" s="59">
        <v>4</v>
      </c>
      <c r="D67" s="60" t="s">
        <v>136</v>
      </c>
      <c r="E67" s="62">
        <v>13000</v>
      </c>
      <c r="F67" s="62">
        <v>13000</v>
      </c>
      <c r="G67" s="62">
        <v>13000</v>
      </c>
      <c r="H67" s="62">
        <v>13000</v>
      </c>
      <c r="I67" s="62">
        <v>13000</v>
      </c>
      <c r="J67" s="62">
        <v>13000</v>
      </c>
      <c r="K67" s="62">
        <v>13000</v>
      </c>
      <c r="L67" s="62">
        <v>13000</v>
      </c>
      <c r="M67" s="62">
        <v>13000</v>
      </c>
      <c r="N67" s="62">
        <v>13000</v>
      </c>
      <c r="O67" s="62">
        <v>13000</v>
      </c>
      <c r="P67" s="62">
        <v>13000</v>
      </c>
      <c r="Q67" s="62">
        <v>13000</v>
      </c>
      <c r="R67" s="62">
        <v>13000</v>
      </c>
      <c r="S67" s="62">
        <v>13000</v>
      </c>
      <c r="T67" s="62">
        <v>13000</v>
      </c>
      <c r="U67" s="62">
        <v>13000</v>
      </c>
      <c r="V67" s="62">
        <v>13000</v>
      </c>
      <c r="W67" s="62">
        <v>13000</v>
      </c>
      <c r="X67" s="62">
        <v>13000</v>
      </c>
      <c r="Y67" s="62">
        <v>13000</v>
      </c>
      <c r="Z67" s="62">
        <v>13000</v>
      </c>
      <c r="AA67" s="62">
        <v>13000</v>
      </c>
      <c r="AB67" s="62">
        <v>13000</v>
      </c>
      <c r="AC67" s="61">
        <f t="shared" si="1"/>
        <v>312000</v>
      </c>
      <c r="AD67" s="107"/>
    </row>
    <row r="68" spans="1:30" ht="15.75" thickBot="1" x14ac:dyDescent="0.3">
      <c r="A68" s="49">
        <v>2027</v>
      </c>
      <c r="B68" s="50">
        <v>6</v>
      </c>
      <c r="C68" s="50">
        <v>6</v>
      </c>
      <c r="D68" s="51" t="s">
        <v>134</v>
      </c>
      <c r="E68" s="62">
        <v>13000</v>
      </c>
      <c r="F68" s="62">
        <v>13000</v>
      </c>
      <c r="G68" s="62">
        <v>13000</v>
      </c>
      <c r="H68" s="62">
        <v>13000</v>
      </c>
      <c r="I68" s="62">
        <v>13000</v>
      </c>
      <c r="J68" s="62">
        <v>13000</v>
      </c>
      <c r="K68" s="62">
        <v>13000</v>
      </c>
      <c r="L68" s="62">
        <v>13000</v>
      </c>
      <c r="M68" s="62">
        <v>13000</v>
      </c>
      <c r="N68" s="62">
        <v>13000</v>
      </c>
      <c r="O68" s="62">
        <v>13000</v>
      </c>
      <c r="P68" s="62">
        <v>13000</v>
      </c>
      <c r="Q68" s="62">
        <v>13000</v>
      </c>
      <c r="R68" s="62">
        <v>13000</v>
      </c>
      <c r="S68" s="62">
        <v>13000</v>
      </c>
      <c r="T68" s="62">
        <v>13000</v>
      </c>
      <c r="U68" s="62">
        <v>13000</v>
      </c>
      <c r="V68" s="62">
        <v>13000</v>
      </c>
      <c r="W68" s="62">
        <v>13000</v>
      </c>
      <c r="X68" s="62">
        <v>13000</v>
      </c>
      <c r="Y68" s="62">
        <v>13000</v>
      </c>
      <c r="Z68" s="62">
        <v>13000</v>
      </c>
      <c r="AA68" s="62">
        <v>13000</v>
      </c>
      <c r="AB68" s="62">
        <v>13000</v>
      </c>
      <c r="AC68" s="53">
        <f t="shared" si="1"/>
        <v>312000</v>
      </c>
      <c r="AD68" s="105">
        <f>+SUMPRODUCT(AC68:AC70,C68:C70)</f>
        <v>9360000</v>
      </c>
    </row>
    <row r="69" spans="1:30" ht="15.75" thickBot="1" x14ac:dyDescent="0.3">
      <c r="A69" s="54">
        <v>2027</v>
      </c>
      <c r="B69" s="55">
        <v>6</v>
      </c>
      <c r="C69" s="55">
        <v>20</v>
      </c>
      <c r="D69" s="56" t="s">
        <v>135</v>
      </c>
      <c r="E69" s="62">
        <v>13000</v>
      </c>
      <c r="F69" s="62">
        <v>13000</v>
      </c>
      <c r="G69" s="62">
        <v>13000</v>
      </c>
      <c r="H69" s="62">
        <v>13000</v>
      </c>
      <c r="I69" s="62">
        <v>13000</v>
      </c>
      <c r="J69" s="62">
        <v>13000</v>
      </c>
      <c r="K69" s="62">
        <v>13000</v>
      </c>
      <c r="L69" s="62">
        <v>13000</v>
      </c>
      <c r="M69" s="62">
        <v>13000</v>
      </c>
      <c r="N69" s="62">
        <v>13000</v>
      </c>
      <c r="O69" s="62">
        <v>13000</v>
      </c>
      <c r="P69" s="62">
        <v>13000</v>
      </c>
      <c r="Q69" s="62">
        <v>13000</v>
      </c>
      <c r="R69" s="62">
        <v>13000</v>
      </c>
      <c r="S69" s="62">
        <v>13000</v>
      </c>
      <c r="T69" s="62">
        <v>13000</v>
      </c>
      <c r="U69" s="62">
        <v>13000</v>
      </c>
      <c r="V69" s="62">
        <v>13000</v>
      </c>
      <c r="W69" s="62">
        <v>13000</v>
      </c>
      <c r="X69" s="62">
        <v>13000</v>
      </c>
      <c r="Y69" s="62">
        <v>13000</v>
      </c>
      <c r="Z69" s="62">
        <v>13000</v>
      </c>
      <c r="AA69" s="62">
        <v>13000</v>
      </c>
      <c r="AB69" s="62">
        <v>13000</v>
      </c>
      <c r="AC69" s="57">
        <f t="shared" si="1"/>
        <v>312000</v>
      </c>
      <c r="AD69" s="106"/>
    </row>
    <row r="70" spans="1:30" ht="15.75" thickBot="1" x14ac:dyDescent="0.3">
      <c r="A70" s="58">
        <v>2027</v>
      </c>
      <c r="B70" s="59">
        <v>6</v>
      </c>
      <c r="C70" s="59">
        <v>4</v>
      </c>
      <c r="D70" s="60" t="s">
        <v>136</v>
      </c>
      <c r="E70" s="62">
        <v>13000</v>
      </c>
      <c r="F70" s="62">
        <v>13000</v>
      </c>
      <c r="G70" s="62">
        <v>13000</v>
      </c>
      <c r="H70" s="62">
        <v>13000</v>
      </c>
      <c r="I70" s="62">
        <v>13000</v>
      </c>
      <c r="J70" s="62">
        <v>13000</v>
      </c>
      <c r="K70" s="62">
        <v>13000</v>
      </c>
      <c r="L70" s="62">
        <v>13000</v>
      </c>
      <c r="M70" s="62">
        <v>13000</v>
      </c>
      <c r="N70" s="62">
        <v>13000</v>
      </c>
      <c r="O70" s="62">
        <v>13000</v>
      </c>
      <c r="P70" s="62">
        <v>13000</v>
      </c>
      <c r="Q70" s="62">
        <v>13000</v>
      </c>
      <c r="R70" s="62">
        <v>13000</v>
      </c>
      <c r="S70" s="62">
        <v>13000</v>
      </c>
      <c r="T70" s="62">
        <v>13000</v>
      </c>
      <c r="U70" s="62">
        <v>13000</v>
      </c>
      <c r="V70" s="62">
        <v>13000</v>
      </c>
      <c r="W70" s="62">
        <v>13000</v>
      </c>
      <c r="X70" s="62">
        <v>13000</v>
      </c>
      <c r="Y70" s="62">
        <v>13000</v>
      </c>
      <c r="Z70" s="62">
        <v>13000</v>
      </c>
      <c r="AA70" s="62">
        <v>13000</v>
      </c>
      <c r="AB70" s="62">
        <v>13000</v>
      </c>
      <c r="AC70" s="61">
        <f t="shared" si="1"/>
        <v>312000</v>
      </c>
      <c r="AD70" s="107"/>
    </row>
    <row r="71" spans="1:30" ht="15.75" thickBot="1" x14ac:dyDescent="0.3">
      <c r="A71" s="49">
        <v>2027</v>
      </c>
      <c r="B71" s="50">
        <v>7</v>
      </c>
      <c r="C71" s="50">
        <v>6</v>
      </c>
      <c r="D71" s="51" t="s">
        <v>134</v>
      </c>
      <c r="E71" s="62">
        <v>13000</v>
      </c>
      <c r="F71" s="62">
        <v>13000</v>
      </c>
      <c r="G71" s="62">
        <v>13000</v>
      </c>
      <c r="H71" s="62">
        <v>13000</v>
      </c>
      <c r="I71" s="62">
        <v>13000</v>
      </c>
      <c r="J71" s="62">
        <v>13000</v>
      </c>
      <c r="K71" s="62">
        <v>13000</v>
      </c>
      <c r="L71" s="62">
        <v>13000</v>
      </c>
      <c r="M71" s="62">
        <v>13000</v>
      </c>
      <c r="N71" s="62">
        <v>13000</v>
      </c>
      <c r="O71" s="62">
        <v>13000</v>
      </c>
      <c r="P71" s="62">
        <v>13000</v>
      </c>
      <c r="Q71" s="62">
        <v>13000</v>
      </c>
      <c r="R71" s="62">
        <v>13000</v>
      </c>
      <c r="S71" s="62">
        <v>13000</v>
      </c>
      <c r="T71" s="62">
        <v>13000</v>
      </c>
      <c r="U71" s="62">
        <v>13000</v>
      </c>
      <c r="V71" s="62">
        <v>13000</v>
      </c>
      <c r="W71" s="62">
        <v>13000</v>
      </c>
      <c r="X71" s="62">
        <v>13000</v>
      </c>
      <c r="Y71" s="62">
        <v>13000</v>
      </c>
      <c r="Z71" s="62">
        <v>13000</v>
      </c>
      <c r="AA71" s="62">
        <v>13000</v>
      </c>
      <c r="AB71" s="62">
        <v>13000</v>
      </c>
      <c r="AC71" s="53">
        <f t="shared" si="1"/>
        <v>312000</v>
      </c>
      <c r="AD71" s="105">
        <f>+SUMPRODUCT(AC71:AC73,C71:C73)</f>
        <v>9672000</v>
      </c>
    </row>
    <row r="72" spans="1:30" ht="15.75" thickBot="1" x14ac:dyDescent="0.3">
      <c r="A72" s="54">
        <v>2027</v>
      </c>
      <c r="B72" s="55">
        <v>7</v>
      </c>
      <c r="C72" s="55">
        <v>20</v>
      </c>
      <c r="D72" s="56" t="s">
        <v>135</v>
      </c>
      <c r="E72" s="62">
        <v>13000</v>
      </c>
      <c r="F72" s="62">
        <v>13000</v>
      </c>
      <c r="G72" s="62">
        <v>13000</v>
      </c>
      <c r="H72" s="62">
        <v>13000</v>
      </c>
      <c r="I72" s="62">
        <v>13000</v>
      </c>
      <c r="J72" s="62">
        <v>13000</v>
      </c>
      <c r="K72" s="62">
        <v>13000</v>
      </c>
      <c r="L72" s="62">
        <v>13000</v>
      </c>
      <c r="M72" s="62">
        <v>13000</v>
      </c>
      <c r="N72" s="62">
        <v>13000</v>
      </c>
      <c r="O72" s="62">
        <v>13000</v>
      </c>
      <c r="P72" s="62">
        <v>13000</v>
      </c>
      <c r="Q72" s="62">
        <v>13000</v>
      </c>
      <c r="R72" s="62">
        <v>13000</v>
      </c>
      <c r="S72" s="62">
        <v>13000</v>
      </c>
      <c r="T72" s="62">
        <v>13000</v>
      </c>
      <c r="U72" s="62">
        <v>13000</v>
      </c>
      <c r="V72" s="62">
        <v>13000</v>
      </c>
      <c r="W72" s="62">
        <v>13000</v>
      </c>
      <c r="X72" s="62">
        <v>13000</v>
      </c>
      <c r="Y72" s="62">
        <v>13000</v>
      </c>
      <c r="Z72" s="62">
        <v>13000</v>
      </c>
      <c r="AA72" s="62">
        <v>13000</v>
      </c>
      <c r="AB72" s="62">
        <v>13000</v>
      </c>
      <c r="AC72" s="57">
        <f t="shared" si="1"/>
        <v>312000</v>
      </c>
      <c r="AD72" s="106"/>
    </row>
    <row r="73" spans="1:30" ht="15.75" thickBot="1" x14ac:dyDescent="0.3">
      <c r="A73" s="58">
        <v>2027</v>
      </c>
      <c r="B73" s="59">
        <v>7</v>
      </c>
      <c r="C73" s="59">
        <v>5</v>
      </c>
      <c r="D73" s="60" t="s">
        <v>136</v>
      </c>
      <c r="E73" s="62">
        <v>13000</v>
      </c>
      <c r="F73" s="62">
        <v>13000</v>
      </c>
      <c r="G73" s="62">
        <v>13000</v>
      </c>
      <c r="H73" s="62">
        <v>13000</v>
      </c>
      <c r="I73" s="62">
        <v>13000</v>
      </c>
      <c r="J73" s="62">
        <v>13000</v>
      </c>
      <c r="K73" s="62">
        <v>13000</v>
      </c>
      <c r="L73" s="62">
        <v>13000</v>
      </c>
      <c r="M73" s="62">
        <v>13000</v>
      </c>
      <c r="N73" s="62">
        <v>13000</v>
      </c>
      <c r="O73" s="62">
        <v>13000</v>
      </c>
      <c r="P73" s="62">
        <v>13000</v>
      </c>
      <c r="Q73" s="62">
        <v>13000</v>
      </c>
      <c r="R73" s="62">
        <v>13000</v>
      </c>
      <c r="S73" s="62">
        <v>13000</v>
      </c>
      <c r="T73" s="62">
        <v>13000</v>
      </c>
      <c r="U73" s="62">
        <v>13000</v>
      </c>
      <c r="V73" s="62">
        <v>13000</v>
      </c>
      <c r="W73" s="62">
        <v>13000</v>
      </c>
      <c r="X73" s="62">
        <v>13000</v>
      </c>
      <c r="Y73" s="62">
        <v>13000</v>
      </c>
      <c r="Z73" s="62">
        <v>13000</v>
      </c>
      <c r="AA73" s="62">
        <v>13000</v>
      </c>
      <c r="AB73" s="62">
        <v>13000</v>
      </c>
      <c r="AC73" s="61">
        <f t="shared" si="1"/>
        <v>312000</v>
      </c>
      <c r="AD73" s="107"/>
    </row>
    <row r="74" spans="1:30" ht="15.75" thickBot="1" x14ac:dyDescent="0.3">
      <c r="A74" s="49">
        <v>2027</v>
      </c>
      <c r="B74" s="50">
        <v>8</v>
      </c>
      <c r="C74" s="50">
        <v>7</v>
      </c>
      <c r="D74" s="51" t="s">
        <v>134</v>
      </c>
      <c r="E74" s="62">
        <v>13000</v>
      </c>
      <c r="F74" s="62">
        <v>13000</v>
      </c>
      <c r="G74" s="62">
        <v>13000</v>
      </c>
      <c r="H74" s="62">
        <v>13000</v>
      </c>
      <c r="I74" s="62">
        <v>13000</v>
      </c>
      <c r="J74" s="62">
        <v>13000</v>
      </c>
      <c r="K74" s="62">
        <v>13000</v>
      </c>
      <c r="L74" s="62">
        <v>13000</v>
      </c>
      <c r="M74" s="62">
        <v>13000</v>
      </c>
      <c r="N74" s="62">
        <v>13000</v>
      </c>
      <c r="O74" s="62">
        <v>13000</v>
      </c>
      <c r="P74" s="62">
        <v>13000</v>
      </c>
      <c r="Q74" s="62">
        <v>13000</v>
      </c>
      <c r="R74" s="62">
        <v>13000</v>
      </c>
      <c r="S74" s="62">
        <v>13000</v>
      </c>
      <c r="T74" s="62">
        <v>13000</v>
      </c>
      <c r="U74" s="62">
        <v>13000</v>
      </c>
      <c r="V74" s="62">
        <v>13000</v>
      </c>
      <c r="W74" s="62">
        <v>13000</v>
      </c>
      <c r="X74" s="62">
        <v>13000</v>
      </c>
      <c r="Y74" s="62">
        <v>13000</v>
      </c>
      <c r="Z74" s="62">
        <v>13000</v>
      </c>
      <c r="AA74" s="62">
        <v>13000</v>
      </c>
      <c r="AB74" s="62">
        <v>13000</v>
      </c>
      <c r="AC74" s="53">
        <f t="shared" si="1"/>
        <v>312000</v>
      </c>
      <c r="AD74" s="105">
        <f>+SUMPRODUCT(AC74:AC76,C74:C76)</f>
        <v>9672000</v>
      </c>
    </row>
    <row r="75" spans="1:30" ht="15.75" thickBot="1" x14ac:dyDescent="0.3">
      <c r="A75" s="54">
        <v>2027</v>
      </c>
      <c r="B75" s="55">
        <v>8</v>
      </c>
      <c r="C75" s="55">
        <v>21</v>
      </c>
      <c r="D75" s="56" t="s">
        <v>135</v>
      </c>
      <c r="E75" s="62">
        <v>13000</v>
      </c>
      <c r="F75" s="62">
        <v>13000</v>
      </c>
      <c r="G75" s="62">
        <v>13000</v>
      </c>
      <c r="H75" s="62">
        <v>13000</v>
      </c>
      <c r="I75" s="62">
        <v>13000</v>
      </c>
      <c r="J75" s="62">
        <v>13000</v>
      </c>
      <c r="K75" s="62">
        <v>13000</v>
      </c>
      <c r="L75" s="62">
        <v>13000</v>
      </c>
      <c r="M75" s="62">
        <v>13000</v>
      </c>
      <c r="N75" s="62">
        <v>13000</v>
      </c>
      <c r="O75" s="62">
        <v>13000</v>
      </c>
      <c r="P75" s="62">
        <v>13000</v>
      </c>
      <c r="Q75" s="62">
        <v>13000</v>
      </c>
      <c r="R75" s="62">
        <v>13000</v>
      </c>
      <c r="S75" s="62">
        <v>13000</v>
      </c>
      <c r="T75" s="62">
        <v>13000</v>
      </c>
      <c r="U75" s="62">
        <v>13000</v>
      </c>
      <c r="V75" s="62">
        <v>13000</v>
      </c>
      <c r="W75" s="62">
        <v>13000</v>
      </c>
      <c r="X75" s="62">
        <v>13000</v>
      </c>
      <c r="Y75" s="62">
        <v>13000</v>
      </c>
      <c r="Z75" s="62">
        <v>13000</v>
      </c>
      <c r="AA75" s="62">
        <v>13000</v>
      </c>
      <c r="AB75" s="62">
        <v>13000</v>
      </c>
      <c r="AC75" s="57">
        <f t="shared" si="1"/>
        <v>312000</v>
      </c>
      <c r="AD75" s="106"/>
    </row>
    <row r="76" spans="1:30" ht="15.75" thickBot="1" x14ac:dyDescent="0.3">
      <c r="A76" s="58">
        <v>2027</v>
      </c>
      <c r="B76" s="59">
        <v>8</v>
      </c>
      <c r="C76" s="59">
        <v>3</v>
      </c>
      <c r="D76" s="60" t="s">
        <v>136</v>
      </c>
      <c r="E76" s="62">
        <v>13000</v>
      </c>
      <c r="F76" s="62">
        <v>13000</v>
      </c>
      <c r="G76" s="62">
        <v>13000</v>
      </c>
      <c r="H76" s="62">
        <v>13000</v>
      </c>
      <c r="I76" s="62">
        <v>13000</v>
      </c>
      <c r="J76" s="62">
        <v>13000</v>
      </c>
      <c r="K76" s="62">
        <v>13000</v>
      </c>
      <c r="L76" s="62">
        <v>13000</v>
      </c>
      <c r="M76" s="62">
        <v>13000</v>
      </c>
      <c r="N76" s="62">
        <v>13000</v>
      </c>
      <c r="O76" s="62">
        <v>13000</v>
      </c>
      <c r="P76" s="62">
        <v>13000</v>
      </c>
      <c r="Q76" s="62">
        <v>13000</v>
      </c>
      <c r="R76" s="62">
        <v>13000</v>
      </c>
      <c r="S76" s="62">
        <v>13000</v>
      </c>
      <c r="T76" s="62">
        <v>13000</v>
      </c>
      <c r="U76" s="62">
        <v>13000</v>
      </c>
      <c r="V76" s="62">
        <v>13000</v>
      </c>
      <c r="W76" s="62">
        <v>13000</v>
      </c>
      <c r="X76" s="62">
        <v>13000</v>
      </c>
      <c r="Y76" s="62">
        <v>13000</v>
      </c>
      <c r="Z76" s="62">
        <v>13000</v>
      </c>
      <c r="AA76" s="62">
        <v>13000</v>
      </c>
      <c r="AB76" s="62">
        <v>13000</v>
      </c>
      <c r="AC76" s="61">
        <f t="shared" si="1"/>
        <v>312000</v>
      </c>
      <c r="AD76" s="107"/>
    </row>
    <row r="77" spans="1:30" ht="15.75" thickBot="1" x14ac:dyDescent="0.3">
      <c r="A77" s="49">
        <v>2027</v>
      </c>
      <c r="B77" s="50">
        <v>9</v>
      </c>
      <c r="C77" s="50">
        <v>4</v>
      </c>
      <c r="D77" s="51" t="s">
        <v>134</v>
      </c>
      <c r="E77" s="62">
        <v>13000</v>
      </c>
      <c r="F77" s="62">
        <v>13000</v>
      </c>
      <c r="G77" s="62">
        <v>13000</v>
      </c>
      <c r="H77" s="62">
        <v>13000</v>
      </c>
      <c r="I77" s="62">
        <v>13000</v>
      </c>
      <c r="J77" s="62">
        <v>13000</v>
      </c>
      <c r="K77" s="62">
        <v>13000</v>
      </c>
      <c r="L77" s="62">
        <v>13000</v>
      </c>
      <c r="M77" s="62">
        <v>13000</v>
      </c>
      <c r="N77" s="62">
        <v>13000</v>
      </c>
      <c r="O77" s="62">
        <v>13000</v>
      </c>
      <c r="P77" s="62">
        <v>13000</v>
      </c>
      <c r="Q77" s="62">
        <v>13000</v>
      </c>
      <c r="R77" s="62">
        <v>13000</v>
      </c>
      <c r="S77" s="62">
        <v>13000</v>
      </c>
      <c r="T77" s="62">
        <v>13000</v>
      </c>
      <c r="U77" s="62">
        <v>13000</v>
      </c>
      <c r="V77" s="62">
        <v>13000</v>
      </c>
      <c r="W77" s="62">
        <v>13000</v>
      </c>
      <c r="X77" s="62">
        <v>13000</v>
      </c>
      <c r="Y77" s="62">
        <v>13000</v>
      </c>
      <c r="Z77" s="62">
        <v>13000</v>
      </c>
      <c r="AA77" s="62">
        <v>13000</v>
      </c>
      <c r="AB77" s="62">
        <v>13000</v>
      </c>
      <c r="AC77" s="53">
        <f t="shared" si="1"/>
        <v>312000</v>
      </c>
      <c r="AD77" s="105">
        <f>+SUMPRODUCT(AC77:AC79,C77:C79)</f>
        <v>9360000</v>
      </c>
    </row>
    <row r="78" spans="1:30" ht="15.75" thickBot="1" x14ac:dyDescent="0.3">
      <c r="A78" s="54">
        <v>2027</v>
      </c>
      <c r="B78" s="55">
        <v>9</v>
      </c>
      <c r="C78" s="55">
        <v>22</v>
      </c>
      <c r="D78" s="56" t="s">
        <v>135</v>
      </c>
      <c r="E78" s="62">
        <v>13000</v>
      </c>
      <c r="F78" s="62">
        <v>13000</v>
      </c>
      <c r="G78" s="62">
        <v>13000</v>
      </c>
      <c r="H78" s="62">
        <v>13000</v>
      </c>
      <c r="I78" s="62">
        <v>13000</v>
      </c>
      <c r="J78" s="62">
        <v>13000</v>
      </c>
      <c r="K78" s="62">
        <v>13000</v>
      </c>
      <c r="L78" s="62">
        <v>13000</v>
      </c>
      <c r="M78" s="62">
        <v>13000</v>
      </c>
      <c r="N78" s="62">
        <v>13000</v>
      </c>
      <c r="O78" s="62">
        <v>13000</v>
      </c>
      <c r="P78" s="62">
        <v>13000</v>
      </c>
      <c r="Q78" s="62">
        <v>13000</v>
      </c>
      <c r="R78" s="62">
        <v>13000</v>
      </c>
      <c r="S78" s="62">
        <v>13000</v>
      </c>
      <c r="T78" s="62">
        <v>13000</v>
      </c>
      <c r="U78" s="62">
        <v>13000</v>
      </c>
      <c r="V78" s="62">
        <v>13000</v>
      </c>
      <c r="W78" s="62">
        <v>13000</v>
      </c>
      <c r="X78" s="62">
        <v>13000</v>
      </c>
      <c r="Y78" s="62">
        <v>13000</v>
      </c>
      <c r="Z78" s="62">
        <v>13000</v>
      </c>
      <c r="AA78" s="62">
        <v>13000</v>
      </c>
      <c r="AB78" s="62">
        <v>13000</v>
      </c>
      <c r="AC78" s="57">
        <f t="shared" si="1"/>
        <v>312000</v>
      </c>
      <c r="AD78" s="106"/>
    </row>
    <row r="79" spans="1:30" ht="15.75" thickBot="1" x14ac:dyDescent="0.3">
      <c r="A79" s="58">
        <v>2027</v>
      </c>
      <c r="B79" s="59">
        <v>9</v>
      </c>
      <c r="C79" s="59">
        <v>4</v>
      </c>
      <c r="D79" s="60" t="s">
        <v>136</v>
      </c>
      <c r="E79" s="62">
        <v>13000</v>
      </c>
      <c r="F79" s="62">
        <v>13000</v>
      </c>
      <c r="G79" s="62">
        <v>13000</v>
      </c>
      <c r="H79" s="62">
        <v>13000</v>
      </c>
      <c r="I79" s="62">
        <v>13000</v>
      </c>
      <c r="J79" s="62">
        <v>13000</v>
      </c>
      <c r="K79" s="62">
        <v>13000</v>
      </c>
      <c r="L79" s="62">
        <v>13000</v>
      </c>
      <c r="M79" s="62">
        <v>13000</v>
      </c>
      <c r="N79" s="62">
        <v>13000</v>
      </c>
      <c r="O79" s="62">
        <v>13000</v>
      </c>
      <c r="P79" s="62">
        <v>13000</v>
      </c>
      <c r="Q79" s="62">
        <v>13000</v>
      </c>
      <c r="R79" s="62">
        <v>13000</v>
      </c>
      <c r="S79" s="62">
        <v>13000</v>
      </c>
      <c r="T79" s="62">
        <v>13000</v>
      </c>
      <c r="U79" s="62">
        <v>13000</v>
      </c>
      <c r="V79" s="62">
        <v>13000</v>
      </c>
      <c r="W79" s="62">
        <v>13000</v>
      </c>
      <c r="X79" s="62">
        <v>13000</v>
      </c>
      <c r="Y79" s="62">
        <v>13000</v>
      </c>
      <c r="Z79" s="62">
        <v>13000</v>
      </c>
      <c r="AA79" s="62">
        <v>13000</v>
      </c>
      <c r="AB79" s="62">
        <v>13000</v>
      </c>
      <c r="AC79" s="61">
        <f t="shared" si="1"/>
        <v>312000</v>
      </c>
      <c r="AD79" s="107"/>
    </row>
    <row r="80" spans="1:30" ht="15.75" thickBot="1" x14ac:dyDescent="0.3">
      <c r="A80" s="49">
        <v>2027</v>
      </c>
      <c r="B80" s="50">
        <v>10</v>
      </c>
      <c r="C80" s="50">
        <v>6</v>
      </c>
      <c r="D80" s="51" t="s">
        <v>134</v>
      </c>
      <c r="E80" s="62">
        <v>13000</v>
      </c>
      <c r="F80" s="62">
        <v>13000</v>
      </c>
      <c r="G80" s="62">
        <v>13000</v>
      </c>
      <c r="H80" s="62">
        <v>13000</v>
      </c>
      <c r="I80" s="62">
        <v>13000</v>
      </c>
      <c r="J80" s="62">
        <v>13000</v>
      </c>
      <c r="K80" s="62">
        <v>13000</v>
      </c>
      <c r="L80" s="62">
        <v>13000</v>
      </c>
      <c r="M80" s="62">
        <v>13000</v>
      </c>
      <c r="N80" s="62">
        <v>13000</v>
      </c>
      <c r="O80" s="62">
        <v>13000</v>
      </c>
      <c r="P80" s="62">
        <v>13000</v>
      </c>
      <c r="Q80" s="62">
        <v>13000</v>
      </c>
      <c r="R80" s="62">
        <v>13000</v>
      </c>
      <c r="S80" s="62">
        <v>13000</v>
      </c>
      <c r="T80" s="62">
        <v>13000</v>
      </c>
      <c r="U80" s="62">
        <v>13000</v>
      </c>
      <c r="V80" s="62">
        <v>13000</v>
      </c>
      <c r="W80" s="62">
        <v>13000</v>
      </c>
      <c r="X80" s="62">
        <v>13000</v>
      </c>
      <c r="Y80" s="62">
        <v>13000</v>
      </c>
      <c r="Z80" s="62">
        <v>13000</v>
      </c>
      <c r="AA80" s="62">
        <v>13000</v>
      </c>
      <c r="AB80" s="62">
        <v>13000</v>
      </c>
      <c r="AC80" s="53">
        <f t="shared" si="1"/>
        <v>312000</v>
      </c>
      <c r="AD80" s="105">
        <f>+SUMPRODUCT(AC80:AC82,C80:C82)</f>
        <v>9672000</v>
      </c>
    </row>
    <row r="81" spans="1:30" ht="15.75" thickBot="1" x14ac:dyDescent="0.3">
      <c r="A81" s="54">
        <v>2027</v>
      </c>
      <c r="B81" s="55">
        <v>10</v>
      </c>
      <c r="C81" s="55">
        <v>20</v>
      </c>
      <c r="D81" s="56" t="s">
        <v>135</v>
      </c>
      <c r="E81" s="62">
        <v>13000</v>
      </c>
      <c r="F81" s="62">
        <v>13000</v>
      </c>
      <c r="G81" s="62">
        <v>13000</v>
      </c>
      <c r="H81" s="62">
        <v>13000</v>
      </c>
      <c r="I81" s="62">
        <v>13000</v>
      </c>
      <c r="J81" s="62">
        <v>13000</v>
      </c>
      <c r="K81" s="62">
        <v>13000</v>
      </c>
      <c r="L81" s="62">
        <v>13000</v>
      </c>
      <c r="M81" s="62">
        <v>13000</v>
      </c>
      <c r="N81" s="62">
        <v>13000</v>
      </c>
      <c r="O81" s="62">
        <v>13000</v>
      </c>
      <c r="P81" s="62">
        <v>13000</v>
      </c>
      <c r="Q81" s="62">
        <v>13000</v>
      </c>
      <c r="R81" s="62">
        <v>13000</v>
      </c>
      <c r="S81" s="62">
        <v>13000</v>
      </c>
      <c r="T81" s="62">
        <v>13000</v>
      </c>
      <c r="U81" s="62">
        <v>13000</v>
      </c>
      <c r="V81" s="62">
        <v>13000</v>
      </c>
      <c r="W81" s="62">
        <v>13000</v>
      </c>
      <c r="X81" s="62">
        <v>13000</v>
      </c>
      <c r="Y81" s="62">
        <v>13000</v>
      </c>
      <c r="Z81" s="62">
        <v>13000</v>
      </c>
      <c r="AA81" s="62">
        <v>13000</v>
      </c>
      <c r="AB81" s="62">
        <v>13000</v>
      </c>
      <c r="AC81" s="57">
        <f t="shared" si="1"/>
        <v>312000</v>
      </c>
      <c r="AD81" s="106"/>
    </row>
    <row r="82" spans="1:30" ht="15.75" thickBot="1" x14ac:dyDescent="0.3">
      <c r="A82" s="58">
        <v>2027</v>
      </c>
      <c r="B82" s="59">
        <v>10</v>
      </c>
      <c r="C82" s="59">
        <v>5</v>
      </c>
      <c r="D82" s="60" t="s">
        <v>136</v>
      </c>
      <c r="E82" s="62">
        <v>13000</v>
      </c>
      <c r="F82" s="62">
        <v>13000</v>
      </c>
      <c r="G82" s="62">
        <v>13000</v>
      </c>
      <c r="H82" s="62">
        <v>13000</v>
      </c>
      <c r="I82" s="62">
        <v>13000</v>
      </c>
      <c r="J82" s="62">
        <v>13000</v>
      </c>
      <c r="K82" s="62">
        <v>13000</v>
      </c>
      <c r="L82" s="62">
        <v>13000</v>
      </c>
      <c r="M82" s="62">
        <v>13000</v>
      </c>
      <c r="N82" s="62">
        <v>13000</v>
      </c>
      <c r="O82" s="62">
        <v>13000</v>
      </c>
      <c r="P82" s="62">
        <v>13000</v>
      </c>
      <c r="Q82" s="62">
        <v>13000</v>
      </c>
      <c r="R82" s="62">
        <v>13000</v>
      </c>
      <c r="S82" s="62">
        <v>13000</v>
      </c>
      <c r="T82" s="62">
        <v>13000</v>
      </c>
      <c r="U82" s="62">
        <v>13000</v>
      </c>
      <c r="V82" s="62">
        <v>13000</v>
      </c>
      <c r="W82" s="62">
        <v>13000</v>
      </c>
      <c r="X82" s="62">
        <v>13000</v>
      </c>
      <c r="Y82" s="62">
        <v>13000</v>
      </c>
      <c r="Z82" s="62">
        <v>13000</v>
      </c>
      <c r="AA82" s="62">
        <v>13000</v>
      </c>
      <c r="AB82" s="62">
        <v>13000</v>
      </c>
      <c r="AC82" s="61">
        <f t="shared" si="1"/>
        <v>312000</v>
      </c>
      <c r="AD82" s="107"/>
    </row>
    <row r="83" spans="1:30" ht="15.75" thickBot="1" x14ac:dyDescent="0.3">
      <c r="A83" s="49">
        <v>2027</v>
      </c>
      <c r="B83" s="50">
        <v>11</v>
      </c>
      <c r="C83" s="50">
        <v>6</v>
      </c>
      <c r="D83" s="51" t="s">
        <v>134</v>
      </c>
      <c r="E83" s="62">
        <v>13000</v>
      </c>
      <c r="F83" s="62">
        <v>13000</v>
      </c>
      <c r="G83" s="62">
        <v>13000</v>
      </c>
      <c r="H83" s="62">
        <v>13000</v>
      </c>
      <c r="I83" s="62">
        <v>13000</v>
      </c>
      <c r="J83" s="62">
        <v>13000</v>
      </c>
      <c r="K83" s="62">
        <v>13000</v>
      </c>
      <c r="L83" s="62">
        <v>13000</v>
      </c>
      <c r="M83" s="62">
        <v>13000</v>
      </c>
      <c r="N83" s="62">
        <v>13000</v>
      </c>
      <c r="O83" s="62">
        <v>13000</v>
      </c>
      <c r="P83" s="62">
        <v>13000</v>
      </c>
      <c r="Q83" s="62">
        <v>13000</v>
      </c>
      <c r="R83" s="62">
        <v>13000</v>
      </c>
      <c r="S83" s="62">
        <v>13000</v>
      </c>
      <c r="T83" s="62">
        <v>13000</v>
      </c>
      <c r="U83" s="62">
        <v>13000</v>
      </c>
      <c r="V83" s="62">
        <v>13000</v>
      </c>
      <c r="W83" s="62">
        <v>13000</v>
      </c>
      <c r="X83" s="62">
        <v>13000</v>
      </c>
      <c r="Y83" s="62">
        <v>13000</v>
      </c>
      <c r="Z83" s="62">
        <v>13000</v>
      </c>
      <c r="AA83" s="62">
        <v>13000</v>
      </c>
      <c r="AB83" s="62">
        <v>13000</v>
      </c>
      <c r="AC83" s="53">
        <f t="shared" si="1"/>
        <v>312000</v>
      </c>
      <c r="AD83" s="105">
        <f>+SUMPRODUCT(AC83:AC85,C83:C85)</f>
        <v>9360000</v>
      </c>
    </row>
    <row r="84" spans="1:30" ht="15.75" thickBot="1" x14ac:dyDescent="0.3">
      <c r="A84" s="54">
        <v>2027</v>
      </c>
      <c r="B84" s="55">
        <v>11</v>
      </c>
      <c r="C84" s="55">
        <v>20</v>
      </c>
      <c r="D84" s="56" t="s">
        <v>135</v>
      </c>
      <c r="E84" s="62">
        <v>13000</v>
      </c>
      <c r="F84" s="62">
        <v>13000</v>
      </c>
      <c r="G84" s="62">
        <v>13000</v>
      </c>
      <c r="H84" s="62">
        <v>13000</v>
      </c>
      <c r="I84" s="62">
        <v>13000</v>
      </c>
      <c r="J84" s="62">
        <v>13000</v>
      </c>
      <c r="K84" s="62">
        <v>13000</v>
      </c>
      <c r="L84" s="62">
        <v>13000</v>
      </c>
      <c r="M84" s="62">
        <v>13000</v>
      </c>
      <c r="N84" s="62">
        <v>13000</v>
      </c>
      <c r="O84" s="62">
        <v>13000</v>
      </c>
      <c r="P84" s="62">
        <v>13000</v>
      </c>
      <c r="Q84" s="62">
        <v>13000</v>
      </c>
      <c r="R84" s="62">
        <v>13000</v>
      </c>
      <c r="S84" s="62">
        <v>13000</v>
      </c>
      <c r="T84" s="62">
        <v>13000</v>
      </c>
      <c r="U84" s="62">
        <v>13000</v>
      </c>
      <c r="V84" s="62">
        <v>13000</v>
      </c>
      <c r="W84" s="62">
        <v>13000</v>
      </c>
      <c r="X84" s="62">
        <v>13000</v>
      </c>
      <c r="Y84" s="62">
        <v>13000</v>
      </c>
      <c r="Z84" s="62">
        <v>13000</v>
      </c>
      <c r="AA84" s="62">
        <v>13000</v>
      </c>
      <c r="AB84" s="62">
        <v>13000</v>
      </c>
      <c r="AC84" s="57">
        <f t="shared" ref="AC84:AC147" si="2">+SUM(E84:AB84)</f>
        <v>312000</v>
      </c>
      <c r="AD84" s="106"/>
    </row>
    <row r="85" spans="1:30" ht="15.75" thickBot="1" x14ac:dyDescent="0.3">
      <c r="A85" s="58">
        <v>2027</v>
      </c>
      <c r="B85" s="59">
        <v>11</v>
      </c>
      <c r="C85" s="59">
        <v>4</v>
      </c>
      <c r="D85" s="60" t="s">
        <v>136</v>
      </c>
      <c r="E85" s="62">
        <v>13000</v>
      </c>
      <c r="F85" s="62">
        <v>13000</v>
      </c>
      <c r="G85" s="62">
        <v>13000</v>
      </c>
      <c r="H85" s="62">
        <v>13000</v>
      </c>
      <c r="I85" s="62">
        <v>13000</v>
      </c>
      <c r="J85" s="62">
        <v>13000</v>
      </c>
      <c r="K85" s="62">
        <v>13000</v>
      </c>
      <c r="L85" s="62">
        <v>13000</v>
      </c>
      <c r="M85" s="62">
        <v>13000</v>
      </c>
      <c r="N85" s="62">
        <v>13000</v>
      </c>
      <c r="O85" s="62">
        <v>13000</v>
      </c>
      <c r="P85" s="62">
        <v>13000</v>
      </c>
      <c r="Q85" s="62">
        <v>13000</v>
      </c>
      <c r="R85" s="62">
        <v>13000</v>
      </c>
      <c r="S85" s="62">
        <v>13000</v>
      </c>
      <c r="T85" s="62">
        <v>13000</v>
      </c>
      <c r="U85" s="62">
        <v>13000</v>
      </c>
      <c r="V85" s="62">
        <v>13000</v>
      </c>
      <c r="W85" s="62">
        <v>13000</v>
      </c>
      <c r="X85" s="62">
        <v>13000</v>
      </c>
      <c r="Y85" s="62">
        <v>13000</v>
      </c>
      <c r="Z85" s="62">
        <v>13000</v>
      </c>
      <c r="AA85" s="62">
        <v>13000</v>
      </c>
      <c r="AB85" s="62">
        <v>13000</v>
      </c>
      <c r="AC85" s="61">
        <f t="shared" si="2"/>
        <v>312000</v>
      </c>
      <c r="AD85" s="107"/>
    </row>
    <row r="86" spans="1:30" ht="15.75" thickBot="1" x14ac:dyDescent="0.3">
      <c r="A86" s="49">
        <v>2027</v>
      </c>
      <c r="B86" s="50">
        <v>12</v>
      </c>
      <c r="C86" s="50">
        <v>6</v>
      </c>
      <c r="D86" s="51" t="s">
        <v>134</v>
      </c>
      <c r="E86" s="62">
        <v>13000</v>
      </c>
      <c r="F86" s="62">
        <v>13000</v>
      </c>
      <c r="G86" s="62">
        <v>13000</v>
      </c>
      <c r="H86" s="62">
        <v>13000</v>
      </c>
      <c r="I86" s="62">
        <v>13000</v>
      </c>
      <c r="J86" s="62">
        <v>13000</v>
      </c>
      <c r="K86" s="62">
        <v>13000</v>
      </c>
      <c r="L86" s="62">
        <v>13000</v>
      </c>
      <c r="M86" s="62">
        <v>13000</v>
      </c>
      <c r="N86" s="62">
        <v>13000</v>
      </c>
      <c r="O86" s="62">
        <v>13000</v>
      </c>
      <c r="P86" s="62">
        <v>13000</v>
      </c>
      <c r="Q86" s="62">
        <v>13000</v>
      </c>
      <c r="R86" s="62">
        <v>13000</v>
      </c>
      <c r="S86" s="62">
        <v>13000</v>
      </c>
      <c r="T86" s="62">
        <v>13000</v>
      </c>
      <c r="U86" s="62">
        <v>13000</v>
      </c>
      <c r="V86" s="62">
        <v>13000</v>
      </c>
      <c r="W86" s="62">
        <v>13000</v>
      </c>
      <c r="X86" s="62">
        <v>13000</v>
      </c>
      <c r="Y86" s="62">
        <v>13000</v>
      </c>
      <c r="Z86" s="62">
        <v>13000</v>
      </c>
      <c r="AA86" s="62">
        <v>13000</v>
      </c>
      <c r="AB86" s="62">
        <v>13000</v>
      </c>
      <c r="AC86" s="53">
        <f t="shared" si="2"/>
        <v>312000</v>
      </c>
      <c r="AD86" s="105">
        <f>+SUMPRODUCT(AC86:AC88,C86:C88)</f>
        <v>9672000</v>
      </c>
    </row>
    <row r="87" spans="1:30" ht="15.75" thickBot="1" x14ac:dyDescent="0.3">
      <c r="A87" s="54">
        <v>2027</v>
      </c>
      <c r="B87" s="55">
        <v>12</v>
      </c>
      <c r="C87" s="55">
        <v>22</v>
      </c>
      <c r="D87" s="56" t="s">
        <v>135</v>
      </c>
      <c r="E87" s="62">
        <v>13000</v>
      </c>
      <c r="F87" s="62">
        <v>13000</v>
      </c>
      <c r="G87" s="62">
        <v>13000</v>
      </c>
      <c r="H87" s="62">
        <v>13000</v>
      </c>
      <c r="I87" s="62">
        <v>13000</v>
      </c>
      <c r="J87" s="62">
        <v>13000</v>
      </c>
      <c r="K87" s="62">
        <v>13000</v>
      </c>
      <c r="L87" s="62">
        <v>13000</v>
      </c>
      <c r="M87" s="62">
        <v>13000</v>
      </c>
      <c r="N87" s="62">
        <v>13000</v>
      </c>
      <c r="O87" s="62">
        <v>13000</v>
      </c>
      <c r="P87" s="62">
        <v>13000</v>
      </c>
      <c r="Q87" s="62">
        <v>13000</v>
      </c>
      <c r="R87" s="62">
        <v>13000</v>
      </c>
      <c r="S87" s="62">
        <v>13000</v>
      </c>
      <c r="T87" s="62">
        <v>13000</v>
      </c>
      <c r="U87" s="62">
        <v>13000</v>
      </c>
      <c r="V87" s="62">
        <v>13000</v>
      </c>
      <c r="W87" s="62">
        <v>13000</v>
      </c>
      <c r="X87" s="62">
        <v>13000</v>
      </c>
      <c r="Y87" s="62">
        <v>13000</v>
      </c>
      <c r="Z87" s="62">
        <v>13000</v>
      </c>
      <c r="AA87" s="62">
        <v>13000</v>
      </c>
      <c r="AB87" s="62">
        <v>13000</v>
      </c>
      <c r="AC87" s="57">
        <f t="shared" si="2"/>
        <v>312000</v>
      </c>
      <c r="AD87" s="106"/>
    </row>
    <row r="88" spans="1:30" ht="15.75" thickBot="1" x14ac:dyDescent="0.3">
      <c r="A88" s="58">
        <v>2027</v>
      </c>
      <c r="B88" s="59">
        <v>12</v>
      </c>
      <c r="C88" s="59">
        <v>3</v>
      </c>
      <c r="D88" s="60" t="s">
        <v>136</v>
      </c>
      <c r="E88" s="62">
        <v>13000</v>
      </c>
      <c r="F88" s="62">
        <v>13000</v>
      </c>
      <c r="G88" s="62">
        <v>13000</v>
      </c>
      <c r="H88" s="62">
        <v>13000</v>
      </c>
      <c r="I88" s="62">
        <v>13000</v>
      </c>
      <c r="J88" s="62">
        <v>13000</v>
      </c>
      <c r="K88" s="62">
        <v>13000</v>
      </c>
      <c r="L88" s="62">
        <v>13000</v>
      </c>
      <c r="M88" s="62">
        <v>13000</v>
      </c>
      <c r="N88" s="62">
        <v>13000</v>
      </c>
      <c r="O88" s="62">
        <v>13000</v>
      </c>
      <c r="P88" s="62">
        <v>13000</v>
      </c>
      <c r="Q88" s="62">
        <v>13000</v>
      </c>
      <c r="R88" s="62">
        <v>13000</v>
      </c>
      <c r="S88" s="62">
        <v>13000</v>
      </c>
      <c r="T88" s="62">
        <v>13000</v>
      </c>
      <c r="U88" s="62">
        <v>13000</v>
      </c>
      <c r="V88" s="62">
        <v>13000</v>
      </c>
      <c r="W88" s="62">
        <v>13000</v>
      </c>
      <c r="X88" s="62">
        <v>13000</v>
      </c>
      <c r="Y88" s="62">
        <v>13000</v>
      </c>
      <c r="Z88" s="62">
        <v>13000</v>
      </c>
      <c r="AA88" s="62">
        <v>13000</v>
      </c>
      <c r="AB88" s="62">
        <v>13000</v>
      </c>
      <c r="AC88" s="61">
        <f t="shared" si="2"/>
        <v>312000</v>
      </c>
      <c r="AD88" s="107"/>
    </row>
    <row r="89" spans="1:30" ht="15.75" thickBot="1" x14ac:dyDescent="0.3">
      <c r="A89" s="49">
        <v>2028</v>
      </c>
      <c r="B89" s="50">
        <v>1</v>
      </c>
      <c r="C89" s="50">
        <v>7</v>
      </c>
      <c r="D89" s="51" t="s">
        <v>134</v>
      </c>
      <c r="E89" s="62">
        <v>13000</v>
      </c>
      <c r="F89" s="62">
        <v>13000</v>
      </c>
      <c r="G89" s="62">
        <v>13000</v>
      </c>
      <c r="H89" s="62">
        <v>13000</v>
      </c>
      <c r="I89" s="62">
        <v>13000</v>
      </c>
      <c r="J89" s="62">
        <v>13000</v>
      </c>
      <c r="K89" s="62">
        <v>13000</v>
      </c>
      <c r="L89" s="62">
        <v>13000</v>
      </c>
      <c r="M89" s="62">
        <v>13000</v>
      </c>
      <c r="N89" s="62">
        <v>13000</v>
      </c>
      <c r="O89" s="62">
        <v>13000</v>
      </c>
      <c r="P89" s="62">
        <v>13000</v>
      </c>
      <c r="Q89" s="62">
        <v>13000</v>
      </c>
      <c r="R89" s="62">
        <v>13000</v>
      </c>
      <c r="S89" s="62">
        <v>13000</v>
      </c>
      <c r="T89" s="62">
        <v>13000</v>
      </c>
      <c r="U89" s="62">
        <v>13000</v>
      </c>
      <c r="V89" s="62">
        <v>13000</v>
      </c>
      <c r="W89" s="62">
        <v>13000</v>
      </c>
      <c r="X89" s="62">
        <v>13000</v>
      </c>
      <c r="Y89" s="62">
        <v>13000</v>
      </c>
      <c r="Z89" s="62">
        <v>13000</v>
      </c>
      <c r="AA89" s="62">
        <v>13000</v>
      </c>
      <c r="AB89" s="62">
        <v>13000</v>
      </c>
      <c r="AC89" s="53">
        <f t="shared" si="2"/>
        <v>312000</v>
      </c>
      <c r="AD89" s="105">
        <f>+SUMPRODUCT(AC89:AC91,C89:C91)</f>
        <v>9672000</v>
      </c>
    </row>
    <row r="90" spans="1:30" ht="15.75" thickBot="1" x14ac:dyDescent="0.3">
      <c r="A90" s="54">
        <v>2028</v>
      </c>
      <c r="B90" s="55">
        <v>1</v>
      </c>
      <c r="C90" s="55">
        <v>20</v>
      </c>
      <c r="D90" s="56" t="s">
        <v>135</v>
      </c>
      <c r="E90" s="62">
        <v>13000</v>
      </c>
      <c r="F90" s="62">
        <v>13000</v>
      </c>
      <c r="G90" s="62">
        <v>13000</v>
      </c>
      <c r="H90" s="62">
        <v>13000</v>
      </c>
      <c r="I90" s="62">
        <v>13000</v>
      </c>
      <c r="J90" s="62">
        <v>13000</v>
      </c>
      <c r="K90" s="62">
        <v>13000</v>
      </c>
      <c r="L90" s="62">
        <v>13000</v>
      </c>
      <c r="M90" s="62">
        <v>13000</v>
      </c>
      <c r="N90" s="62">
        <v>13000</v>
      </c>
      <c r="O90" s="62">
        <v>13000</v>
      </c>
      <c r="P90" s="62">
        <v>13000</v>
      </c>
      <c r="Q90" s="62">
        <v>13000</v>
      </c>
      <c r="R90" s="62">
        <v>13000</v>
      </c>
      <c r="S90" s="62">
        <v>13000</v>
      </c>
      <c r="T90" s="62">
        <v>13000</v>
      </c>
      <c r="U90" s="62">
        <v>13000</v>
      </c>
      <c r="V90" s="62">
        <v>13000</v>
      </c>
      <c r="W90" s="62">
        <v>13000</v>
      </c>
      <c r="X90" s="62">
        <v>13000</v>
      </c>
      <c r="Y90" s="62">
        <v>13000</v>
      </c>
      <c r="Z90" s="62">
        <v>13000</v>
      </c>
      <c r="AA90" s="62">
        <v>13000</v>
      </c>
      <c r="AB90" s="62">
        <v>13000</v>
      </c>
      <c r="AC90" s="57">
        <f t="shared" si="2"/>
        <v>312000</v>
      </c>
      <c r="AD90" s="106"/>
    </row>
    <row r="91" spans="1:30" ht="15.75" thickBot="1" x14ac:dyDescent="0.3">
      <c r="A91" s="58">
        <v>2028</v>
      </c>
      <c r="B91" s="59">
        <v>1</v>
      </c>
      <c r="C91" s="59">
        <v>4</v>
      </c>
      <c r="D91" s="60" t="s">
        <v>136</v>
      </c>
      <c r="E91" s="62">
        <v>13000</v>
      </c>
      <c r="F91" s="62">
        <v>13000</v>
      </c>
      <c r="G91" s="62">
        <v>13000</v>
      </c>
      <c r="H91" s="62">
        <v>13000</v>
      </c>
      <c r="I91" s="62">
        <v>13000</v>
      </c>
      <c r="J91" s="62">
        <v>13000</v>
      </c>
      <c r="K91" s="62">
        <v>13000</v>
      </c>
      <c r="L91" s="62">
        <v>13000</v>
      </c>
      <c r="M91" s="62">
        <v>13000</v>
      </c>
      <c r="N91" s="62">
        <v>13000</v>
      </c>
      <c r="O91" s="62">
        <v>13000</v>
      </c>
      <c r="P91" s="62">
        <v>13000</v>
      </c>
      <c r="Q91" s="62">
        <v>13000</v>
      </c>
      <c r="R91" s="62">
        <v>13000</v>
      </c>
      <c r="S91" s="62">
        <v>13000</v>
      </c>
      <c r="T91" s="62">
        <v>13000</v>
      </c>
      <c r="U91" s="62">
        <v>13000</v>
      </c>
      <c r="V91" s="62">
        <v>13000</v>
      </c>
      <c r="W91" s="62">
        <v>13000</v>
      </c>
      <c r="X91" s="62">
        <v>13000</v>
      </c>
      <c r="Y91" s="62">
        <v>13000</v>
      </c>
      <c r="Z91" s="62">
        <v>13000</v>
      </c>
      <c r="AA91" s="62">
        <v>13000</v>
      </c>
      <c r="AB91" s="62">
        <v>13000</v>
      </c>
      <c r="AC91" s="61">
        <f t="shared" si="2"/>
        <v>312000</v>
      </c>
      <c r="AD91" s="107"/>
    </row>
    <row r="92" spans="1:30" ht="15.75" thickBot="1" x14ac:dyDescent="0.3">
      <c r="A92" s="49">
        <v>2028</v>
      </c>
      <c r="B92" s="50">
        <v>2</v>
      </c>
      <c r="C92" s="50">
        <v>4</v>
      </c>
      <c r="D92" s="51" t="s">
        <v>134</v>
      </c>
      <c r="E92" s="62">
        <v>13000</v>
      </c>
      <c r="F92" s="62">
        <v>13000</v>
      </c>
      <c r="G92" s="62">
        <v>13000</v>
      </c>
      <c r="H92" s="62">
        <v>13000</v>
      </c>
      <c r="I92" s="62">
        <v>13000</v>
      </c>
      <c r="J92" s="62">
        <v>13000</v>
      </c>
      <c r="K92" s="62">
        <v>13000</v>
      </c>
      <c r="L92" s="62">
        <v>13000</v>
      </c>
      <c r="M92" s="62">
        <v>13000</v>
      </c>
      <c r="N92" s="62">
        <v>13000</v>
      </c>
      <c r="O92" s="62">
        <v>13000</v>
      </c>
      <c r="P92" s="62">
        <v>13000</v>
      </c>
      <c r="Q92" s="62">
        <v>13000</v>
      </c>
      <c r="R92" s="62">
        <v>13000</v>
      </c>
      <c r="S92" s="62">
        <v>13000</v>
      </c>
      <c r="T92" s="62">
        <v>13000</v>
      </c>
      <c r="U92" s="62">
        <v>13000</v>
      </c>
      <c r="V92" s="62">
        <v>13000</v>
      </c>
      <c r="W92" s="62">
        <v>13000</v>
      </c>
      <c r="X92" s="62">
        <v>13000</v>
      </c>
      <c r="Y92" s="62">
        <v>13000</v>
      </c>
      <c r="Z92" s="62">
        <v>13000</v>
      </c>
      <c r="AA92" s="62">
        <v>13000</v>
      </c>
      <c r="AB92" s="62">
        <v>13000</v>
      </c>
      <c r="AC92" s="53">
        <f t="shared" si="2"/>
        <v>312000</v>
      </c>
      <c r="AD92" s="105">
        <f>+SUMPRODUCT(AC92:AC94,C92:C94)</f>
        <v>9048000</v>
      </c>
    </row>
    <row r="93" spans="1:30" ht="15.75" thickBot="1" x14ac:dyDescent="0.3">
      <c r="A93" s="54">
        <v>2028</v>
      </c>
      <c r="B93" s="55">
        <v>2</v>
      </c>
      <c r="C93" s="55">
        <v>21</v>
      </c>
      <c r="D93" s="56" t="s">
        <v>135</v>
      </c>
      <c r="E93" s="62">
        <v>13000</v>
      </c>
      <c r="F93" s="62">
        <v>13000</v>
      </c>
      <c r="G93" s="62">
        <v>13000</v>
      </c>
      <c r="H93" s="62">
        <v>13000</v>
      </c>
      <c r="I93" s="62">
        <v>13000</v>
      </c>
      <c r="J93" s="62">
        <v>13000</v>
      </c>
      <c r="K93" s="62">
        <v>13000</v>
      </c>
      <c r="L93" s="62">
        <v>13000</v>
      </c>
      <c r="M93" s="62">
        <v>13000</v>
      </c>
      <c r="N93" s="62">
        <v>13000</v>
      </c>
      <c r="O93" s="62">
        <v>13000</v>
      </c>
      <c r="P93" s="62">
        <v>13000</v>
      </c>
      <c r="Q93" s="62">
        <v>13000</v>
      </c>
      <c r="R93" s="62">
        <v>13000</v>
      </c>
      <c r="S93" s="62">
        <v>13000</v>
      </c>
      <c r="T93" s="62">
        <v>13000</v>
      </c>
      <c r="U93" s="62">
        <v>13000</v>
      </c>
      <c r="V93" s="62">
        <v>13000</v>
      </c>
      <c r="W93" s="62">
        <v>13000</v>
      </c>
      <c r="X93" s="62">
        <v>13000</v>
      </c>
      <c r="Y93" s="62">
        <v>13000</v>
      </c>
      <c r="Z93" s="62">
        <v>13000</v>
      </c>
      <c r="AA93" s="62">
        <v>13000</v>
      </c>
      <c r="AB93" s="62">
        <v>13000</v>
      </c>
      <c r="AC93" s="57">
        <f t="shared" si="2"/>
        <v>312000</v>
      </c>
      <c r="AD93" s="106"/>
    </row>
    <row r="94" spans="1:30" ht="15.75" thickBot="1" x14ac:dyDescent="0.3">
      <c r="A94" s="58">
        <v>2028</v>
      </c>
      <c r="B94" s="59">
        <v>2</v>
      </c>
      <c r="C94" s="59">
        <v>4</v>
      </c>
      <c r="D94" s="60" t="s">
        <v>136</v>
      </c>
      <c r="E94" s="62">
        <v>13000</v>
      </c>
      <c r="F94" s="62">
        <v>13000</v>
      </c>
      <c r="G94" s="62">
        <v>13000</v>
      </c>
      <c r="H94" s="62">
        <v>13000</v>
      </c>
      <c r="I94" s="62">
        <v>13000</v>
      </c>
      <c r="J94" s="62">
        <v>13000</v>
      </c>
      <c r="K94" s="62">
        <v>13000</v>
      </c>
      <c r="L94" s="62">
        <v>13000</v>
      </c>
      <c r="M94" s="62">
        <v>13000</v>
      </c>
      <c r="N94" s="62">
        <v>13000</v>
      </c>
      <c r="O94" s="62">
        <v>13000</v>
      </c>
      <c r="P94" s="62">
        <v>13000</v>
      </c>
      <c r="Q94" s="62">
        <v>13000</v>
      </c>
      <c r="R94" s="62">
        <v>13000</v>
      </c>
      <c r="S94" s="62">
        <v>13000</v>
      </c>
      <c r="T94" s="62">
        <v>13000</v>
      </c>
      <c r="U94" s="62">
        <v>13000</v>
      </c>
      <c r="V94" s="62">
        <v>13000</v>
      </c>
      <c r="W94" s="62">
        <v>13000</v>
      </c>
      <c r="X94" s="62">
        <v>13000</v>
      </c>
      <c r="Y94" s="62">
        <v>13000</v>
      </c>
      <c r="Z94" s="62">
        <v>13000</v>
      </c>
      <c r="AA94" s="62">
        <v>13000</v>
      </c>
      <c r="AB94" s="62">
        <v>13000</v>
      </c>
      <c r="AC94" s="61">
        <f t="shared" si="2"/>
        <v>312000</v>
      </c>
      <c r="AD94" s="107"/>
    </row>
    <row r="95" spans="1:30" ht="15.75" thickBot="1" x14ac:dyDescent="0.3">
      <c r="A95" s="49">
        <v>2028</v>
      </c>
      <c r="B95" s="50">
        <v>3</v>
      </c>
      <c r="C95" s="50">
        <v>5</v>
      </c>
      <c r="D95" s="51" t="s">
        <v>134</v>
      </c>
      <c r="E95" s="62">
        <v>13000</v>
      </c>
      <c r="F95" s="62">
        <v>13000</v>
      </c>
      <c r="G95" s="62">
        <v>13000</v>
      </c>
      <c r="H95" s="62">
        <v>13000</v>
      </c>
      <c r="I95" s="62">
        <v>13000</v>
      </c>
      <c r="J95" s="62">
        <v>13000</v>
      </c>
      <c r="K95" s="62">
        <v>13000</v>
      </c>
      <c r="L95" s="62">
        <v>13000</v>
      </c>
      <c r="M95" s="62">
        <v>13000</v>
      </c>
      <c r="N95" s="62">
        <v>13000</v>
      </c>
      <c r="O95" s="62">
        <v>13000</v>
      </c>
      <c r="P95" s="62">
        <v>13000</v>
      </c>
      <c r="Q95" s="62">
        <v>13000</v>
      </c>
      <c r="R95" s="62">
        <v>13000</v>
      </c>
      <c r="S95" s="62">
        <v>13000</v>
      </c>
      <c r="T95" s="62">
        <v>13000</v>
      </c>
      <c r="U95" s="62">
        <v>13000</v>
      </c>
      <c r="V95" s="62">
        <v>13000</v>
      </c>
      <c r="W95" s="62">
        <v>13000</v>
      </c>
      <c r="X95" s="62">
        <v>13000</v>
      </c>
      <c r="Y95" s="62">
        <v>13000</v>
      </c>
      <c r="Z95" s="62">
        <v>13000</v>
      </c>
      <c r="AA95" s="62">
        <v>13000</v>
      </c>
      <c r="AB95" s="62">
        <v>13000</v>
      </c>
      <c r="AC95" s="53">
        <f t="shared" si="2"/>
        <v>312000</v>
      </c>
      <c r="AD95" s="105">
        <f>+SUMPRODUCT(AC95:AC97,C95:C97)</f>
        <v>9672000</v>
      </c>
    </row>
    <row r="96" spans="1:30" ht="15.75" thickBot="1" x14ac:dyDescent="0.3">
      <c r="A96" s="54">
        <v>2028</v>
      </c>
      <c r="B96" s="55">
        <v>3</v>
      </c>
      <c r="C96" s="55">
        <v>22</v>
      </c>
      <c r="D96" s="56" t="s">
        <v>135</v>
      </c>
      <c r="E96" s="62">
        <v>13000</v>
      </c>
      <c r="F96" s="62">
        <v>13000</v>
      </c>
      <c r="G96" s="62">
        <v>13000</v>
      </c>
      <c r="H96" s="62">
        <v>13000</v>
      </c>
      <c r="I96" s="62">
        <v>13000</v>
      </c>
      <c r="J96" s="62">
        <v>13000</v>
      </c>
      <c r="K96" s="62">
        <v>13000</v>
      </c>
      <c r="L96" s="62">
        <v>13000</v>
      </c>
      <c r="M96" s="62">
        <v>13000</v>
      </c>
      <c r="N96" s="62">
        <v>13000</v>
      </c>
      <c r="O96" s="62">
        <v>13000</v>
      </c>
      <c r="P96" s="62">
        <v>13000</v>
      </c>
      <c r="Q96" s="62">
        <v>13000</v>
      </c>
      <c r="R96" s="62">
        <v>13000</v>
      </c>
      <c r="S96" s="62">
        <v>13000</v>
      </c>
      <c r="T96" s="62">
        <v>13000</v>
      </c>
      <c r="U96" s="62">
        <v>13000</v>
      </c>
      <c r="V96" s="62">
        <v>13000</v>
      </c>
      <c r="W96" s="62">
        <v>13000</v>
      </c>
      <c r="X96" s="62">
        <v>13000</v>
      </c>
      <c r="Y96" s="62">
        <v>13000</v>
      </c>
      <c r="Z96" s="62">
        <v>13000</v>
      </c>
      <c r="AA96" s="62">
        <v>13000</v>
      </c>
      <c r="AB96" s="62">
        <v>13000</v>
      </c>
      <c r="AC96" s="57">
        <f t="shared" si="2"/>
        <v>312000</v>
      </c>
      <c r="AD96" s="106"/>
    </row>
    <row r="97" spans="1:30" ht="15.75" thickBot="1" x14ac:dyDescent="0.3">
      <c r="A97" s="58">
        <v>2028</v>
      </c>
      <c r="B97" s="59">
        <v>3</v>
      </c>
      <c r="C97" s="59">
        <v>4</v>
      </c>
      <c r="D97" s="60" t="s">
        <v>136</v>
      </c>
      <c r="E97" s="62">
        <v>13000</v>
      </c>
      <c r="F97" s="62">
        <v>13000</v>
      </c>
      <c r="G97" s="62">
        <v>13000</v>
      </c>
      <c r="H97" s="62">
        <v>13000</v>
      </c>
      <c r="I97" s="62">
        <v>13000</v>
      </c>
      <c r="J97" s="62">
        <v>13000</v>
      </c>
      <c r="K97" s="62">
        <v>13000</v>
      </c>
      <c r="L97" s="62">
        <v>13000</v>
      </c>
      <c r="M97" s="62">
        <v>13000</v>
      </c>
      <c r="N97" s="62">
        <v>13000</v>
      </c>
      <c r="O97" s="62">
        <v>13000</v>
      </c>
      <c r="P97" s="62">
        <v>13000</v>
      </c>
      <c r="Q97" s="62">
        <v>13000</v>
      </c>
      <c r="R97" s="62">
        <v>13000</v>
      </c>
      <c r="S97" s="62">
        <v>13000</v>
      </c>
      <c r="T97" s="62">
        <v>13000</v>
      </c>
      <c r="U97" s="62">
        <v>13000</v>
      </c>
      <c r="V97" s="62">
        <v>13000</v>
      </c>
      <c r="W97" s="62">
        <v>13000</v>
      </c>
      <c r="X97" s="62">
        <v>13000</v>
      </c>
      <c r="Y97" s="62">
        <v>13000</v>
      </c>
      <c r="Z97" s="62">
        <v>13000</v>
      </c>
      <c r="AA97" s="62">
        <v>13000</v>
      </c>
      <c r="AB97" s="62">
        <v>13000</v>
      </c>
      <c r="AC97" s="61">
        <f t="shared" si="2"/>
        <v>312000</v>
      </c>
      <c r="AD97" s="107"/>
    </row>
    <row r="98" spans="1:30" ht="15.75" thickBot="1" x14ac:dyDescent="0.3">
      <c r="A98" s="49">
        <v>2028</v>
      </c>
      <c r="B98" s="50">
        <v>4</v>
      </c>
      <c r="C98" s="50">
        <v>7</v>
      </c>
      <c r="D98" s="51" t="s">
        <v>134</v>
      </c>
      <c r="E98" s="62">
        <v>13000</v>
      </c>
      <c r="F98" s="62">
        <v>13000</v>
      </c>
      <c r="G98" s="62">
        <v>13000</v>
      </c>
      <c r="H98" s="62">
        <v>13000</v>
      </c>
      <c r="I98" s="62">
        <v>13000</v>
      </c>
      <c r="J98" s="62">
        <v>13000</v>
      </c>
      <c r="K98" s="62">
        <v>13000</v>
      </c>
      <c r="L98" s="62">
        <v>13000</v>
      </c>
      <c r="M98" s="62">
        <v>13000</v>
      </c>
      <c r="N98" s="62">
        <v>13000</v>
      </c>
      <c r="O98" s="62">
        <v>13000</v>
      </c>
      <c r="P98" s="62">
        <v>13000</v>
      </c>
      <c r="Q98" s="62">
        <v>13000</v>
      </c>
      <c r="R98" s="62">
        <v>13000</v>
      </c>
      <c r="S98" s="62">
        <v>13000</v>
      </c>
      <c r="T98" s="62">
        <v>13000</v>
      </c>
      <c r="U98" s="62">
        <v>13000</v>
      </c>
      <c r="V98" s="62">
        <v>13000</v>
      </c>
      <c r="W98" s="62">
        <v>13000</v>
      </c>
      <c r="X98" s="62">
        <v>13000</v>
      </c>
      <c r="Y98" s="62">
        <v>13000</v>
      </c>
      <c r="Z98" s="62">
        <v>13000</v>
      </c>
      <c r="AA98" s="62">
        <v>13000</v>
      </c>
      <c r="AB98" s="62">
        <v>13000</v>
      </c>
      <c r="AC98" s="53">
        <f t="shared" si="2"/>
        <v>312000</v>
      </c>
      <c r="AD98" s="105">
        <f>+SUMPRODUCT(AC98:AC100,C98:C100)</f>
        <v>9360000</v>
      </c>
    </row>
    <row r="99" spans="1:30" ht="15.75" thickBot="1" x14ac:dyDescent="0.3">
      <c r="A99" s="54">
        <v>2028</v>
      </c>
      <c r="B99" s="55">
        <v>4</v>
      </c>
      <c r="C99" s="55">
        <v>18</v>
      </c>
      <c r="D99" s="56" t="s">
        <v>135</v>
      </c>
      <c r="E99" s="62">
        <v>13000</v>
      </c>
      <c r="F99" s="62">
        <v>13000</v>
      </c>
      <c r="G99" s="62">
        <v>13000</v>
      </c>
      <c r="H99" s="62">
        <v>13000</v>
      </c>
      <c r="I99" s="62">
        <v>13000</v>
      </c>
      <c r="J99" s="62">
        <v>13000</v>
      </c>
      <c r="K99" s="62">
        <v>13000</v>
      </c>
      <c r="L99" s="62">
        <v>13000</v>
      </c>
      <c r="M99" s="62">
        <v>13000</v>
      </c>
      <c r="N99" s="62">
        <v>13000</v>
      </c>
      <c r="O99" s="62">
        <v>13000</v>
      </c>
      <c r="P99" s="62">
        <v>13000</v>
      </c>
      <c r="Q99" s="62">
        <v>13000</v>
      </c>
      <c r="R99" s="62">
        <v>13000</v>
      </c>
      <c r="S99" s="62">
        <v>13000</v>
      </c>
      <c r="T99" s="62">
        <v>13000</v>
      </c>
      <c r="U99" s="62">
        <v>13000</v>
      </c>
      <c r="V99" s="62">
        <v>13000</v>
      </c>
      <c r="W99" s="62">
        <v>13000</v>
      </c>
      <c r="X99" s="62">
        <v>13000</v>
      </c>
      <c r="Y99" s="62">
        <v>13000</v>
      </c>
      <c r="Z99" s="62">
        <v>13000</v>
      </c>
      <c r="AA99" s="62">
        <v>13000</v>
      </c>
      <c r="AB99" s="62">
        <v>13000</v>
      </c>
      <c r="AC99" s="57">
        <f t="shared" si="2"/>
        <v>312000</v>
      </c>
      <c r="AD99" s="106"/>
    </row>
    <row r="100" spans="1:30" ht="15.75" thickBot="1" x14ac:dyDescent="0.3">
      <c r="A100" s="58">
        <v>2028</v>
      </c>
      <c r="B100" s="59">
        <v>4</v>
      </c>
      <c r="C100" s="59">
        <v>5</v>
      </c>
      <c r="D100" s="60" t="s">
        <v>136</v>
      </c>
      <c r="E100" s="62">
        <v>13000</v>
      </c>
      <c r="F100" s="62">
        <v>13000</v>
      </c>
      <c r="G100" s="62">
        <v>13000</v>
      </c>
      <c r="H100" s="62">
        <v>13000</v>
      </c>
      <c r="I100" s="62">
        <v>13000</v>
      </c>
      <c r="J100" s="62">
        <v>13000</v>
      </c>
      <c r="K100" s="62">
        <v>13000</v>
      </c>
      <c r="L100" s="62">
        <v>13000</v>
      </c>
      <c r="M100" s="62">
        <v>13000</v>
      </c>
      <c r="N100" s="62">
        <v>13000</v>
      </c>
      <c r="O100" s="62">
        <v>13000</v>
      </c>
      <c r="P100" s="62">
        <v>13000</v>
      </c>
      <c r="Q100" s="62">
        <v>13000</v>
      </c>
      <c r="R100" s="62">
        <v>13000</v>
      </c>
      <c r="S100" s="62">
        <v>13000</v>
      </c>
      <c r="T100" s="62">
        <v>13000</v>
      </c>
      <c r="U100" s="62">
        <v>13000</v>
      </c>
      <c r="V100" s="62">
        <v>13000</v>
      </c>
      <c r="W100" s="62">
        <v>13000</v>
      </c>
      <c r="X100" s="62">
        <v>13000</v>
      </c>
      <c r="Y100" s="62">
        <v>13000</v>
      </c>
      <c r="Z100" s="62">
        <v>13000</v>
      </c>
      <c r="AA100" s="62">
        <v>13000</v>
      </c>
      <c r="AB100" s="62">
        <v>13000</v>
      </c>
      <c r="AC100" s="61">
        <f t="shared" si="2"/>
        <v>312000</v>
      </c>
      <c r="AD100" s="107"/>
    </row>
    <row r="101" spans="1:30" ht="15.75" thickBot="1" x14ac:dyDescent="0.3">
      <c r="A101" s="49">
        <v>2028</v>
      </c>
      <c r="B101" s="50">
        <v>5</v>
      </c>
      <c r="C101" s="50">
        <v>6</v>
      </c>
      <c r="D101" s="51" t="s">
        <v>134</v>
      </c>
      <c r="E101" s="62">
        <v>13000</v>
      </c>
      <c r="F101" s="62">
        <v>13000</v>
      </c>
      <c r="G101" s="62">
        <v>13000</v>
      </c>
      <c r="H101" s="62">
        <v>13000</v>
      </c>
      <c r="I101" s="62">
        <v>13000</v>
      </c>
      <c r="J101" s="62">
        <v>13000</v>
      </c>
      <c r="K101" s="62">
        <v>13000</v>
      </c>
      <c r="L101" s="62">
        <v>13000</v>
      </c>
      <c r="M101" s="62">
        <v>13000</v>
      </c>
      <c r="N101" s="62">
        <v>13000</v>
      </c>
      <c r="O101" s="62">
        <v>13000</v>
      </c>
      <c r="P101" s="62">
        <v>13000</v>
      </c>
      <c r="Q101" s="62">
        <v>13000</v>
      </c>
      <c r="R101" s="62">
        <v>13000</v>
      </c>
      <c r="S101" s="62">
        <v>13000</v>
      </c>
      <c r="T101" s="62">
        <v>13000</v>
      </c>
      <c r="U101" s="62">
        <v>13000</v>
      </c>
      <c r="V101" s="62">
        <v>13000</v>
      </c>
      <c r="W101" s="62">
        <v>13000</v>
      </c>
      <c r="X101" s="62">
        <v>13000</v>
      </c>
      <c r="Y101" s="62">
        <v>13000</v>
      </c>
      <c r="Z101" s="62">
        <v>13000</v>
      </c>
      <c r="AA101" s="62">
        <v>13000</v>
      </c>
      <c r="AB101" s="62">
        <v>13000</v>
      </c>
      <c r="AC101" s="53">
        <f t="shared" si="2"/>
        <v>312000</v>
      </c>
      <c r="AD101" s="105">
        <f>+SUMPRODUCT(AC101:AC103,C101:C103)</f>
        <v>9672000</v>
      </c>
    </row>
    <row r="102" spans="1:30" ht="15.75" thickBot="1" x14ac:dyDescent="0.3">
      <c r="A102" s="54">
        <v>2028</v>
      </c>
      <c r="B102" s="55">
        <v>5</v>
      </c>
      <c r="C102" s="55">
        <v>21</v>
      </c>
      <c r="D102" s="56" t="s">
        <v>135</v>
      </c>
      <c r="E102" s="62">
        <v>13000</v>
      </c>
      <c r="F102" s="62">
        <v>13000</v>
      </c>
      <c r="G102" s="62">
        <v>13000</v>
      </c>
      <c r="H102" s="62">
        <v>13000</v>
      </c>
      <c r="I102" s="62">
        <v>13000</v>
      </c>
      <c r="J102" s="62">
        <v>13000</v>
      </c>
      <c r="K102" s="62">
        <v>13000</v>
      </c>
      <c r="L102" s="62">
        <v>13000</v>
      </c>
      <c r="M102" s="62">
        <v>13000</v>
      </c>
      <c r="N102" s="62">
        <v>13000</v>
      </c>
      <c r="O102" s="62">
        <v>13000</v>
      </c>
      <c r="P102" s="62">
        <v>13000</v>
      </c>
      <c r="Q102" s="62">
        <v>13000</v>
      </c>
      <c r="R102" s="62">
        <v>13000</v>
      </c>
      <c r="S102" s="62">
        <v>13000</v>
      </c>
      <c r="T102" s="62">
        <v>13000</v>
      </c>
      <c r="U102" s="62">
        <v>13000</v>
      </c>
      <c r="V102" s="62">
        <v>13000</v>
      </c>
      <c r="W102" s="62">
        <v>13000</v>
      </c>
      <c r="X102" s="62">
        <v>13000</v>
      </c>
      <c r="Y102" s="62">
        <v>13000</v>
      </c>
      <c r="Z102" s="62">
        <v>13000</v>
      </c>
      <c r="AA102" s="62">
        <v>13000</v>
      </c>
      <c r="AB102" s="62">
        <v>13000</v>
      </c>
      <c r="AC102" s="57">
        <f t="shared" si="2"/>
        <v>312000</v>
      </c>
      <c r="AD102" s="106"/>
    </row>
    <row r="103" spans="1:30" ht="15.75" thickBot="1" x14ac:dyDescent="0.3">
      <c r="A103" s="58">
        <v>2028</v>
      </c>
      <c r="B103" s="59">
        <v>5</v>
      </c>
      <c r="C103" s="59">
        <v>4</v>
      </c>
      <c r="D103" s="60" t="s">
        <v>136</v>
      </c>
      <c r="E103" s="62">
        <v>13000</v>
      </c>
      <c r="F103" s="62">
        <v>13000</v>
      </c>
      <c r="G103" s="62">
        <v>13000</v>
      </c>
      <c r="H103" s="62">
        <v>13000</v>
      </c>
      <c r="I103" s="62">
        <v>13000</v>
      </c>
      <c r="J103" s="62">
        <v>13000</v>
      </c>
      <c r="K103" s="62">
        <v>13000</v>
      </c>
      <c r="L103" s="62">
        <v>13000</v>
      </c>
      <c r="M103" s="62">
        <v>13000</v>
      </c>
      <c r="N103" s="62">
        <v>13000</v>
      </c>
      <c r="O103" s="62">
        <v>13000</v>
      </c>
      <c r="P103" s="62">
        <v>13000</v>
      </c>
      <c r="Q103" s="62">
        <v>13000</v>
      </c>
      <c r="R103" s="62">
        <v>13000</v>
      </c>
      <c r="S103" s="62">
        <v>13000</v>
      </c>
      <c r="T103" s="62">
        <v>13000</v>
      </c>
      <c r="U103" s="62">
        <v>13000</v>
      </c>
      <c r="V103" s="62">
        <v>13000</v>
      </c>
      <c r="W103" s="62">
        <v>13000</v>
      </c>
      <c r="X103" s="62">
        <v>13000</v>
      </c>
      <c r="Y103" s="62">
        <v>13000</v>
      </c>
      <c r="Z103" s="62">
        <v>13000</v>
      </c>
      <c r="AA103" s="62">
        <v>13000</v>
      </c>
      <c r="AB103" s="62">
        <v>13000</v>
      </c>
      <c r="AC103" s="61">
        <f t="shared" si="2"/>
        <v>312000</v>
      </c>
      <c r="AD103" s="107"/>
    </row>
    <row r="104" spans="1:30" ht="15.75" thickBot="1" x14ac:dyDescent="0.3">
      <c r="A104" s="49">
        <v>2028</v>
      </c>
      <c r="B104" s="50">
        <v>6</v>
      </c>
      <c r="C104" s="50">
        <v>6</v>
      </c>
      <c r="D104" s="51" t="s">
        <v>134</v>
      </c>
      <c r="E104" s="62">
        <v>13000</v>
      </c>
      <c r="F104" s="62">
        <v>13000</v>
      </c>
      <c r="G104" s="62">
        <v>13000</v>
      </c>
      <c r="H104" s="62">
        <v>13000</v>
      </c>
      <c r="I104" s="62">
        <v>13000</v>
      </c>
      <c r="J104" s="62">
        <v>13000</v>
      </c>
      <c r="K104" s="62">
        <v>13000</v>
      </c>
      <c r="L104" s="62">
        <v>13000</v>
      </c>
      <c r="M104" s="62">
        <v>13000</v>
      </c>
      <c r="N104" s="62">
        <v>13000</v>
      </c>
      <c r="O104" s="62">
        <v>13000</v>
      </c>
      <c r="P104" s="62">
        <v>13000</v>
      </c>
      <c r="Q104" s="62">
        <v>13000</v>
      </c>
      <c r="R104" s="62">
        <v>13000</v>
      </c>
      <c r="S104" s="62">
        <v>13000</v>
      </c>
      <c r="T104" s="62">
        <v>13000</v>
      </c>
      <c r="U104" s="62">
        <v>13000</v>
      </c>
      <c r="V104" s="62">
        <v>13000</v>
      </c>
      <c r="W104" s="62">
        <v>13000</v>
      </c>
      <c r="X104" s="62">
        <v>13000</v>
      </c>
      <c r="Y104" s="62">
        <v>13000</v>
      </c>
      <c r="Z104" s="62">
        <v>13000</v>
      </c>
      <c r="AA104" s="62">
        <v>13000</v>
      </c>
      <c r="AB104" s="62">
        <v>13000</v>
      </c>
      <c r="AC104" s="53">
        <f t="shared" si="2"/>
        <v>312000</v>
      </c>
      <c r="AD104" s="105">
        <f>+SUMPRODUCT(AC104:AC106,C104:C106)</f>
        <v>9360000</v>
      </c>
    </row>
    <row r="105" spans="1:30" ht="15.75" thickBot="1" x14ac:dyDescent="0.3">
      <c r="A105" s="54">
        <v>2028</v>
      </c>
      <c r="B105" s="55">
        <v>6</v>
      </c>
      <c r="C105" s="55">
        <v>20</v>
      </c>
      <c r="D105" s="56" t="s">
        <v>135</v>
      </c>
      <c r="E105" s="62">
        <v>13000</v>
      </c>
      <c r="F105" s="62">
        <v>13000</v>
      </c>
      <c r="G105" s="62">
        <v>13000</v>
      </c>
      <c r="H105" s="62">
        <v>13000</v>
      </c>
      <c r="I105" s="62">
        <v>13000</v>
      </c>
      <c r="J105" s="62">
        <v>13000</v>
      </c>
      <c r="K105" s="62">
        <v>13000</v>
      </c>
      <c r="L105" s="62">
        <v>13000</v>
      </c>
      <c r="M105" s="62">
        <v>13000</v>
      </c>
      <c r="N105" s="62">
        <v>13000</v>
      </c>
      <c r="O105" s="62">
        <v>13000</v>
      </c>
      <c r="P105" s="62">
        <v>13000</v>
      </c>
      <c r="Q105" s="62">
        <v>13000</v>
      </c>
      <c r="R105" s="62">
        <v>13000</v>
      </c>
      <c r="S105" s="62">
        <v>13000</v>
      </c>
      <c r="T105" s="62">
        <v>13000</v>
      </c>
      <c r="U105" s="62">
        <v>13000</v>
      </c>
      <c r="V105" s="62">
        <v>13000</v>
      </c>
      <c r="W105" s="62">
        <v>13000</v>
      </c>
      <c r="X105" s="62">
        <v>13000</v>
      </c>
      <c r="Y105" s="62">
        <v>13000</v>
      </c>
      <c r="Z105" s="62">
        <v>13000</v>
      </c>
      <c r="AA105" s="62">
        <v>13000</v>
      </c>
      <c r="AB105" s="62">
        <v>13000</v>
      </c>
      <c r="AC105" s="57">
        <f t="shared" si="2"/>
        <v>312000</v>
      </c>
      <c r="AD105" s="106"/>
    </row>
    <row r="106" spans="1:30" ht="15.75" thickBot="1" x14ac:dyDescent="0.3">
      <c r="A106" s="58">
        <v>2028</v>
      </c>
      <c r="B106" s="59">
        <v>6</v>
      </c>
      <c r="C106" s="59">
        <v>4</v>
      </c>
      <c r="D106" s="60" t="s">
        <v>136</v>
      </c>
      <c r="E106" s="62">
        <v>13000</v>
      </c>
      <c r="F106" s="62">
        <v>13000</v>
      </c>
      <c r="G106" s="62">
        <v>13000</v>
      </c>
      <c r="H106" s="62">
        <v>13000</v>
      </c>
      <c r="I106" s="62">
        <v>13000</v>
      </c>
      <c r="J106" s="62">
        <v>13000</v>
      </c>
      <c r="K106" s="62">
        <v>13000</v>
      </c>
      <c r="L106" s="62">
        <v>13000</v>
      </c>
      <c r="M106" s="62">
        <v>13000</v>
      </c>
      <c r="N106" s="62">
        <v>13000</v>
      </c>
      <c r="O106" s="62">
        <v>13000</v>
      </c>
      <c r="P106" s="62">
        <v>13000</v>
      </c>
      <c r="Q106" s="62">
        <v>13000</v>
      </c>
      <c r="R106" s="62">
        <v>13000</v>
      </c>
      <c r="S106" s="62">
        <v>13000</v>
      </c>
      <c r="T106" s="62">
        <v>13000</v>
      </c>
      <c r="U106" s="62">
        <v>13000</v>
      </c>
      <c r="V106" s="62">
        <v>13000</v>
      </c>
      <c r="W106" s="62">
        <v>13000</v>
      </c>
      <c r="X106" s="62">
        <v>13000</v>
      </c>
      <c r="Y106" s="62">
        <v>13000</v>
      </c>
      <c r="Z106" s="62">
        <v>13000</v>
      </c>
      <c r="AA106" s="62">
        <v>13000</v>
      </c>
      <c r="AB106" s="62">
        <v>13000</v>
      </c>
      <c r="AC106" s="61">
        <f t="shared" si="2"/>
        <v>312000</v>
      </c>
      <c r="AD106" s="107"/>
    </row>
    <row r="107" spans="1:30" ht="15.75" thickBot="1" x14ac:dyDescent="0.3">
      <c r="A107" s="49">
        <v>2028</v>
      </c>
      <c r="B107" s="50">
        <v>7</v>
      </c>
      <c r="C107" s="50">
        <v>7</v>
      </c>
      <c r="D107" s="51" t="s">
        <v>134</v>
      </c>
      <c r="E107" s="62">
        <v>13000</v>
      </c>
      <c r="F107" s="62">
        <v>13000</v>
      </c>
      <c r="G107" s="62">
        <v>13000</v>
      </c>
      <c r="H107" s="62">
        <v>13000</v>
      </c>
      <c r="I107" s="62">
        <v>13000</v>
      </c>
      <c r="J107" s="62">
        <v>13000</v>
      </c>
      <c r="K107" s="62">
        <v>13000</v>
      </c>
      <c r="L107" s="62">
        <v>13000</v>
      </c>
      <c r="M107" s="62">
        <v>13000</v>
      </c>
      <c r="N107" s="62">
        <v>13000</v>
      </c>
      <c r="O107" s="62">
        <v>13000</v>
      </c>
      <c r="P107" s="62">
        <v>13000</v>
      </c>
      <c r="Q107" s="62">
        <v>13000</v>
      </c>
      <c r="R107" s="62">
        <v>13000</v>
      </c>
      <c r="S107" s="62">
        <v>13000</v>
      </c>
      <c r="T107" s="62">
        <v>13000</v>
      </c>
      <c r="U107" s="62">
        <v>13000</v>
      </c>
      <c r="V107" s="62">
        <v>13000</v>
      </c>
      <c r="W107" s="62">
        <v>13000</v>
      </c>
      <c r="X107" s="62">
        <v>13000</v>
      </c>
      <c r="Y107" s="62">
        <v>13000</v>
      </c>
      <c r="Z107" s="62">
        <v>13000</v>
      </c>
      <c r="AA107" s="62">
        <v>13000</v>
      </c>
      <c r="AB107" s="62">
        <v>13000</v>
      </c>
      <c r="AC107" s="53">
        <f t="shared" si="2"/>
        <v>312000</v>
      </c>
      <c r="AD107" s="105">
        <f>+SUMPRODUCT(AC107:AC109,C107:C109)</f>
        <v>9672000</v>
      </c>
    </row>
    <row r="108" spans="1:30" ht="15.75" thickBot="1" x14ac:dyDescent="0.3">
      <c r="A108" s="54">
        <v>2028</v>
      </c>
      <c r="B108" s="55">
        <v>7</v>
      </c>
      <c r="C108" s="55">
        <v>19</v>
      </c>
      <c r="D108" s="56" t="s">
        <v>135</v>
      </c>
      <c r="E108" s="62">
        <v>13000</v>
      </c>
      <c r="F108" s="62">
        <v>13000</v>
      </c>
      <c r="G108" s="62">
        <v>13000</v>
      </c>
      <c r="H108" s="62">
        <v>13000</v>
      </c>
      <c r="I108" s="62">
        <v>13000</v>
      </c>
      <c r="J108" s="62">
        <v>13000</v>
      </c>
      <c r="K108" s="62">
        <v>13000</v>
      </c>
      <c r="L108" s="62">
        <v>13000</v>
      </c>
      <c r="M108" s="62">
        <v>13000</v>
      </c>
      <c r="N108" s="62">
        <v>13000</v>
      </c>
      <c r="O108" s="62">
        <v>13000</v>
      </c>
      <c r="P108" s="62">
        <v>13000</v>
      </c>
      <c r="Q108" s="62">
        <v>13000</v>
      </c>
      <c r="R108" s="62">
        <v>13000</v>
      </c>
      <c r="S108" s="62">
        <v>13000</v>
      </c>
      <c r="T108" s="62">
        <v>13000</v>
      </c>
      <c r="U108" s="62">
        <v>13000</v>
      </c>
      <c r="V108" s="62">
        <v>13000</v>
      </c>
      <c r="W108" s="62">
        <v>13000</v>
      </c>
      <c r="X108" s="62">
        <v>13000</v>
      </c>
      <c r="Y108" s="62">
        <v>13000</v>
      </c>
      <c r="Z108" s="62">
        <v>13000</v>
      </c>
      <c r="AA108" s="62">
        <v>13000</v>
      </c>
      <c r="AB108" s="62">
        <v>13000</v>
      </c>
      <c r="AC108" s="57">
        <f t="shared" si="2"/>
        <v>312000</v>
      </c>
      <c r="AD108" s="106"/>
    </row>
    <row r="109" spans="1:30" ht="15.75" thickBot="1" x14ac:dyDescent="0.3">
      <c r="A109" s="58">
        <v>2028</v>
      </c>
      <c r="B109" s="59">
        <v>7</v>
      </c>
      <c r="C109" s="59">
        <v>5</v>
      </c>
      <c r="D109" s="60" t="s">
        <v>136</v>
      </c>
      <c r="E109" s="62">
        <v>13000</v>
      </c>
      <c r="F109" s="62">
        <v>13000</v>
      </c>
      <c r="G109" s="62">
        <v>13000</v>
      </c>
      <c r="H109" s="62">
        <v>13000</v>
      </c>
      <c r="I109" s="62">
        <v>13000</v>
      </c>
      <c r="J109" s="62">
        <v>13000</v>
      </c>
      <c r="K109" s="62">
        <v>13000</v>
      </c>
      <c r="L109" s="62">
        <v>13000</v>
      </c>
      <c r="M109" s="62">
        <v>13000</v>
      </c>
      <c r="N109" s="62">
        <v>13000</v>
      </c>
      <c r="O109" s="62">
        <v>13000</v>
      </c>
      <c r="P109" s="62">
        <v>13000</v>
      </c>
      <c r="Q109" s="62">
        <v>13000</v>
      </c>
      <c r="R109" s="62">
        <v>13000</v>
      </c>
      <c r="S109" s="62">
        <v>13000</v>
      </c>
      <c r="T109" s="62">
        <v>13000</v>
      </c>
      <c r="U109" s="62">
        <v>13000</v>
      </c>
      <c r="V109" s="62">
        <v>13000</v>
      </c>
      <c r="W109" s="62">
        <v>13000</v>
      </c>
      <c r="X109" s="62">
        <v>13000</v>
      </c>
      <c r="Y109" s="62">
        <v>13000</v>
      </c>
      <c r="Z109" s="62">
        <v>13000</v>
      </c>
      <c r="AA109" s="62">
        <v>13000</v>
      </c>
      <c r="AB109" s="62">
        <v>13000</v>
      </c>
      <c r="AC109" s="61">
        <f t="shared" si="2"/>
        <v>312000</v>
      </c>
      <c r="AD109" s="107"/>
    </row>
    <row r="110" spans="1:30" ht="15.75" thickBot="1" x14ac:dyDescent="0.3">
      <c r="A110" s="49">
        <v>2028</v>
      </c>
      <c r="B110" s="50">
        <v>8</v>
      </c>
      <c r="C110" s="50">
        <v>6</v>
      </c>
      <c r="D110" s="51" t="s">
        <v>134</v>
      </c>
      <c r="E110" s="62">
        <v>13000</v>
      </c>
      <c r="F110" s="62">
        <v>13000</v>
      </c>
      <c r="G110" s="62">
        <v>13000</v>
      </c>
      <c r="H110" s="62">
        <v>13000</v>
      </c>
      <c r="I110" s="62">
        <v>13000</v>
      </c>
      <c r="J110" s="62">
        <v>13000</v>
      </c>
      <c r="K110" s="62">
        <v>13000</v>
      </c>
      <c r="L110" s="62">
        <v>13000</v>
      </c>
      <c r="M110" s="62">
        <v>13000</v>
      </c>
      <c r="N110" s="62">
        <v>13000</v>
      </c>
      <c r="O110" s="62">
        <v>13000</v>
      </c>
      <c r="P110" s="62">
        <v>13000</v>
      </c>
      <c r="Q110" s="62">
        <v>13000</v>
      </c>
      <c r="R110" s="62">
        <v>13000</v>
      </c>
      <c r="S110" s="62">
        <v>13000</v>
      </c>
      <c r="T110" s="62">
        <v>13000</v>
      </c>
      <c r="U110" s="62">
        <v>13000</v>
      </c>
      <c r="V110" s="62">
        <v>13000</v>
      </c>
      <c r="W110" s="62">
        <v>13000</v>
      </c>
      <c r="X110" s="62">
        <v>13000</v>
      </c>
      <c r="Y110" s="62">
        <v>13000</v>
      </c>
      <c r="Z110" s="62">
        <v>13000</v>
      </c>
      <c r="AA110" s="62">
        <v>13000</v>
      </c>
      <c r="AB110" s="62">
        <v>13000</v>
      </c>
      <c r="AC110" s="53">
        <f t="shared" si="2"/>
        <v>312000</v>
      </c>
      <c r="AD110" s="105">
        <f>+SUMPRODUCT(AC110:AC112,C110:C112)</f>
        <v>9672000</v>
      </c>
    </row>
    <row r="111" spans="1:30" ht="15.75" thickBot="1" x14ac:dyDescent="0.3">
      <c r="A111" s="54">
        <v>2028</v>
      </c>
      <c r="B111" s="55">
        <v>8</v>
      </c>
      <c r="C111" s="55">
        <v>21</v>
      </c>
      <c r="D111" s="56" t="s">
        <v>135</v>
      </c>
      <c r="E111" s="62">
        <v>13000</v>
      </c>
      <c r="F111" s="62">
        <v>13000</v>
      </c>
      <c r="G111" s="62">
        <v>13000</v>
      </c>
      <c r="H111" s="62">
        <v>13000</v>
      </c>
      <c r="I111" s="62">
        <v>13000</v>
      </c>
      <c r="J111" s="62">
        <v>13000</v>
      </c>
      <c r="K111" s="62">
        <v>13000</v>
      </c>
      <c r="L111" s="62">
        <v>13000</v>
      </c>
      <c r="M111" s="62">
        <v>13000</v>
      </c>
      <c r="N111" s="62">
        <v>13000</v>
      </c>
      <c r="O111" s="62">
        <v>13000</v>
      </c>
      <c r="P111" s="62">
        <v>13000</v>
      </c>
      <c r="Q111" s="62">
        <v>13000</v>
      </c>
      <c r="R111" s="62">
        <v>13000</v>
      </c>
      <c r="S111" s="62">
        <v>13000</v>
      </c>
      <c r="T111" s="62">
        <v>13000</v>
      </c>
      <c r="U111" s="62">
        <v>13000</v>
      </c>
      <c r="V111" s="62">
        <v>13000</v>
      </c>
      <c r="W111" s="62">
        <v>13000</v>
      </c>
      <c r="X111" s="62">
        <v>13000</v>
      </c>
      <c r="Y111" s="62">
        <v>13000</v>
      </c>
      <c r="Z111" s="62">
        <v>13000</v>
      </c>
      <c r="AA111" s="62">
        <v>13000</v>
      </c>
      <c r="AB111" s="62">
        <v>13000</v>
      </c>
      <c r="AC111" s="57">
        <f t="shared" si="2"/>
        <v>312000</v>
      </c>
      <c r="AD111" s="106"/>
    </row>
    <row r="112" spans="1:30" ht="15.75" thickBot="1" x14ac:dyDescent="0.3">
      <c r="A112" s="58">
        <v>2028</v>
      </c>
      <c r="B112" s="59">
        <v>8</v>
      </c>
      <c r="C112" s="59">
        <v>4</v>
      </c>
      <c r="D112" s="60" t="s">
        <v>136</v>
      </c>
      <c r="E112" s="62">
        <v>13000</v>
      </c>
      <c r="F112" s="62">
        <v>13000</v>
      </c>
      <c r="G112" s="62">
        <v>13000</v>
      </c>
      <c r="H112" s="62">
        <v>13000</v>
      </c>
      <c r="I112" s="62">
        <v>13000</v>
      </c>
      <c r="J112" s="62">
        <v>13000</v>
      </c>
      <c r="K112" s="62">
        <v>13000</v>
      </c>
      <c r="L112" s="62">
        <v>13000</v>
      </c>
      <c r="M112" s="62">
        <v>13000</v>
      </c>
      <c r="N112" s="62">
        <v>13000</v>
      </c>
      <c r="O112" s="62">
        <v>13000</v>
      </c>
      <c r="P112" s="62">
        <v>13000</v>
      </c>
      <c r="Q112" s="62">
        <v>13000</v>
      </c>
      <c r="R112" s="62">
        <v>13000</v>
      </c>
      <c r="S112" s="62">
        <v>13000</v>
      </c>
      <c r="T112" s="62">
        <v>13000</v>
      </c>
      <c r="U112" s="62">
        <v>13000</v>
      </c>
      <c r="V112" s="62">
        <v>13000</v>
      </c>
      <c r="W112" s="62">
        <v>13000</v>
      </c>
      <c r="X112" s="62">
        <v>13000</v>
      </c>
      <c r="Y112" s="62">
        <v>13000</v>
      </c>
      <c r="Z112" s="62">
        <v>13000</v>
      </c>
      <c r="AA112" s="62">
        <v>13000</v>
      </c>
      <c r="AB112" s="62">
        <v>13000</v>
      </c>
      <c r="AC112" s="61">
        <f t="shared" si="2"/>
        <v>312000</v>
      </c>
      <c r="AD112" s="107"/>
    </row>
    <row r="113" spans="1:30" ht="15.75" thickBot="1" x14ac:dyDescent="0.3">
      <c r="A113" s="49">
        <v>2028</v>
      </c>
      <c r="B113" s="50">
        <v>9</v>
      </c>
      <c r="C113" s="50">
        <v>4</v>
      </c>
      <c r="D113" s="51" t="s">
        <v>134</v>
      </c>
      <c r="E113" s="62">
        <v>13000</v>
      </c>
      <c r="F113" s="62">
        <v>13000</v>
      </c>
      <c r="G113" s="62">
        <v>13000</v>
      </c>
      <c r="H113" s="62">
        <v>13000</v>
      </c>
      <c r="I113" s="62">
        <v>13000</v>
      </c>
      <c r="J113" s="62">
        <v>13000</v>
      </c>
      <c r="K113" s="62">
        <v>13000</v>
      </c>
      <c r="L113" s="62">
        <v>13000</v>
      </c>
      <c r="M113" s="62">
        <v>13000</v>
      </c>
      <c r="N113" s="62">
        <v>13000</v>
      </c>
      <c r="O113" s="62">
        <v>13000</v>
      </c>
      <c r="P113" s="62">
        <v>13000</v>
      </c>
      <c r="Q113" s="62">
        <v>13000</v>
      </c>
      <c r="R113" s="62">
        <v>13000</v>
      </c>
      <c r="S113" s="62">
        <v>13000</v>
      </c>
      <c r="T113" s="62">
        <v>13000</v>
      </c>
      <c r="U113" s="62">
        <v>13000</v>
      </c>
      <c r="V113" s="62">
        <v>13000</v>
      </c>
      <c r="W113" s="62">
        <v>13000</v>
      </c>
      <c r="X113" s="62">
        <v>13000</v>
      </c>
      <c r="Y113" s="62">
        <v>13000</v>
      </c>
      <c r="Z113" s="62">
        <v>13000</v>
      </c>
      <c r="AA113" s="62">
        <v>13000</v>
      </c>
      <c r="AB113" s="62">
        <v>13000</v>
      </c>
      <c r="AC113" s="53">
        <f t="shared" si="2"/>
        <v>312000</v>
      </c>
      <c r="AD113" s="105">
        <f>+SUMPRODUCT(AC113:AC115,C113:C115)</f>
        <v>9360000</v>
      </c>
    </row>
    <row r="114" spans="1:30" ht="15.75" thickBot="1" x14ac:dyDescent="0.3">
      <c r="A114" s="54">
        <v>2028</v>
      </c>
      <c r="B114" s="55">
        <v>9</v>
      </c>
      <c r="C114" s="55">
        <v>21</v>
      </c>
      <c r="D114" s="56" t="s">
        <v>135</v>
      </c>
      <c r="E114" s="62">
        <v>13000</v>
      </c>
      <c r="F114" s="62">
        <v>13000</v>
      </c>
      <c r="G114" s="62">
        <v>13000</v>
      </c>
      <c r="H114" s="62">
        <v>13000</v>
      </c>
      <c r="I114" s="62">
        <v>13000</v>
      </c>
      <c r="J114" s="62">
        <v>13000</v>
      </c>
      <c r="K114" s="62">
        <v>13000</v>
      </c>
      <c r="L114" s="62">
        <v>13000</v>
      </c>
      <c r="M114" s="62">
        <v>13000</v>
      </c>
      <c r="N114" s="62">
        <v>13000</v>
      </c>
      <c r="O114" s="62">
        <v>13000</v>
      </c>
      <c r="P114" s="62">
        <v>13000</v>
      </c>
      <c r="Q114" s="62">
        <v>13000</v>
      </c>
      <c r="R114" s="62">
        <v>13000</v>
      </c>
      <c r="S114" s="62">
        <v>13000</v>
      </c>
      <c r="T114" s="62">
        <v>13000</v>
      </c>
      <c r="U114" s="62">
        <v>13000</v>
      </c>
      <c r="V114" s="62">
        <v>13000</v>
      </c>
      <c r="W114" s="62">
        <v>13000</v>
      </c>
      <c r="X114" s="62">
        <v>13000</v>
      </c>
      <c r="Y114" s="62">
        <v>13000</v>
      </c>
      <c r="Z114" s="62">
        <v>13000</v>
      </c>
      <c r="AA114" s="62">
        <v>13000</v>
      </c>
      <c r="AB114" s="62">
        <v>13000</v>
      </c>
      <c r="AC114" s="57">
        <f t="shared" si="2"/>
        <v>312000</v>
      </c>
      <c r="AD114" s="106"/>
    </row>
    <row r="115" spans="1:30" ht="15.75" thickBot="1" x14ac:dyDescent="0.3">
      <c r="A115" s="58">
        <v>2028</v>
      </c>
      <c r="B115" s="59">
        <v>9</v>
      </c>
      <c r="C115" s="59">
        <v>5</v>
      </c>
      <c r="D115" s="60" t="s">
        <v>136</v>
      </c>
      <c r="E115" s="62">
        <v>13000</v>
      </c>
      <c r="F115" s="62">
        <v>13000</v>
      </c>
      <c r="G115" s="62">
        <v>13000</v>
      </c>
      <c r="H115" s="62">
        <v>13000</v>
      </c>
      <c r="I115" s="62">
        <v>13000</v>
      </c>
      <c r="J115" s="62">
        <v>13000</v>
      </c>
      <c r="K115" s="62">
        <v>13000</v>
      </c>
      <c r="L115" s="62">
        <v>13000</v>
      </c>
      <c r="M115" s="62">
        <v>13000</v>
      </c>
      <c r="N115" s="62">
        <v>13000</v>
      </c>
      <c r="O115" s="62">
        <v>13000</v>
      </c>
      <c r="P115" s="62">
        <v>13000</v>
      </c>
      <c r="Q115" s="62">
        <v>13000</v>
      </c>
      <c r="R115" s="62">
        <v>13000</v>
      </c>
      <c r="S115" s="62">
        <v>13000</v>
      </c>
      <c r="T115" s="62">
        <v>13000</v>
      </c>
      <c r="U115" s="62">
        <v>13000</v>
      </c>
      <c r="V115" s="62">
        <v>13000</v>
      </c>
      <c r="W115" s="62">
        <v>13000</v>
      </c>
      <c r="X115" s="62">
        <v>13000</v>
      </c>
      <c r="Y115" s="62">
        <v>13000</v>
      </c>
      <c r="Z115" s="62">
        <v>13000</v>
      </c>
      <c r="AA115" s="62">
        <v>13000</v>
      </c>
      <c r="AB115" s="62">
        <v>13000</v>
      </c>
      <c r="AC115" s="61">
        <f t="shared" si="2"/>
        <v>312000</v>
      </c>
      <c r="AD115" s="107"/>
    </row>
    <row r="116" spans="1:30" ht="15.75" thickBot="1" x14ac:dyDescent="0.3">
      <c r="A116" s="49">
        <v>2028</v>
      </c>
      <c r="B116" s="50">
        <v>10</v>
      </c>
      <c r="C116" s="50">
        <v>6</v>
      </c>
      <c r="D116" s="51" t="s">
        <v>134</v>
      </c>
      <c r="E116" s="62">
        <v>13000</v>
      </c>
      <c r="F116" s="62">
        <v>13000</v>
      </c>
      <c r="G116" s="62">
        <v>13000</v>
      </c>
      <c r="H116" s="62">
        <v>13000</v>
      </c>
      <c r="I116" s="62">
        <v>13000</v>
      </c>
      <c r="J116" s="62">
        <v>13000</v>
      </c>
      <c r="K116" s="62">
        <v>13000</v>
      </c>
      <c r="L116" s="62">
        <v>13000</v>
      </c>
      <c r="M116" s="62">
        <v>13000</v>
      </c>
      <c r="N116" s="62">
        <v>13000</v>
      </c>
      <c r="O116" s="62">
        <v>13000</v>
      </c>
      <c r="P116" s="62">
        <v>13000</v>
      </c>
      <c r="Q116" s="62">
        <v>13000</v>
      </c>
      <c r="R116" s="62">
        <v>13000</v>
      </c>
      <c r="S116" s="62">
        <v>13000</v>
      </c>
      <c r="T116" s="62">
        <v>13000</v>
      </c>
      <c r="U116" s="62">
        <v>13000</v>
      </c>
      <c r="V116" s="62">
        <v>13000</v>
      </c>
      <c r="W116" s="62">
        <v>13000</v>
      </c>
      <c r="X116" s="62">
        <v>13000</v>
      </c>
      <c r="Y116" s="62">
        <v>13000</v>
      </c>
      <c r="Z116" s="62">
        <v>13000</v>
      </c>
      <c r="AA116" s="62">
        <v>13000</v>
      </c>
      <c r="AB116" s="62">
        <v>13000</v>
      </c>
      <c r="AC116" s="53">
        <f t="shared" si="2"/>
        <v>312000</v>
      </c>
      <c r="AD116" s="105">
        <f>+SUMPRODUCT(AC116:AC118,C116:C118)</f>
        <v>9672000</v>
      </c>
    </row>
    <row r="117" spans="1:30" ht="15.75" thickBot="1" x14ac:dyDescent="0.3">
      <c r="A117" s="54">
        <v>2028</v>
      </c>
      <c r="B117" s="55">
        <v>10</v>
      </c>
      <c r="C117" s="55">
        <v>21</v>
      </c>
      <c r="D117" s="56" t="s">
        <v>135</v>
      </c>
      <c r="E117" s="62">
        <v>13000</v>
      </c>
      <c r="F117" s="62">
        <v>13000</v>
      </c>
      <c r="G117" s="62">
        <v>13000</v>
      </c>
      <c r="H117" s="62">
        <v>13000</v>
      </c>
      <c r="I117" s="62">
        <v>13000</v>
      </c>
      <c r="J117" s="62">
        <v>13000</v>
      </c>
      <c r="K117" s="62">
        <v>13000</v>
      </c>
      <c r="L117" s="62">
        <v>13000</v>
      </c>
      <c r="M117" s="62">
        <v>13000</v>
      </c>
      <c r="N117" s="62">
        <v>13000</v>
      </c>
      <c r="O117" s="62">
        <v>13000</v>
      </c>
      <c r="P117" s="62">
        <v>13000</v>
      </c>
      <c r="Q117" s="62">
        <v>13000</v>
      </c>
      <c r="R117" s="62">
        <v>13000</v>
      </c>
      <c r="S117" s="62">
        <v>13000</v>
      </c>
      <c r="T117" s="62">
        <v>13000</v>
      </c>
      <c r="U117" s="62">
        <v>13000</v>
      </c>
      <c r="V117" s="62">
        <v>13000</v>
      </c>
      <c r="W117" s="62">
        <v>13000</v>
      </c>
      <c r="X117" s="62">
        <v>13000</v>
      </c>
      <c r="Y117" s="62">
        <v>13000</v>
      </c>
      <c r="Z117" s="62">
        <v>13000</v>
      </c>
      <c r="AA117" s="62">
        <v>13000</v>
      </c>
      <c r="AB117" s="62">
        <v>13000</v>
      </c>
      <c r="AC117" s="57">
        <f t="shared" si="2"/>
        <v>312000</v>
      </c>
      <c r="AD117" s="106"/>
    </row>
    <row r="118" spans="1:30" ht="15.75" thickBot="1" x14ac:dyDescent="0.3">
      <c r="A118" s="58">
        <v>2028</v>
      </c>
      <c r="B118" s="59">
        <v>10</v>
      </c>
      <c r="C118" s="59">
        <v>4</v>
      </c>
      <c r="D118" s="60" t="s">
        <v>136</v>
      </c>
      <c r="E118" s="62">
        <v>13000</v>
      </c>
      <c r="F118" s="62">
        <v>13000</v>
      </c>
      <c r="G118" s="62">
        <v>13000</v>
      </c>
      <c r="H118" s="62">
        <v>13000</v>
      </c>
      <c r="I118" s="62">
        <v>13000</v>
      </c>
      <c r="J118" s="62">
        <v>13000</v>
      </c>
      <c r="K118" s="62">
        <v>13000</v>
      </c>
      <c r="L118" s="62">
        <v>13000</v>
      </c>
      <c r="M118" s="62">
        <v>13000</v>
      </c>
      <c r="N118" s="62">
        <v>13000</v>
      </c>
      <c r="O118" s="62">
        <v>13000</v>
      </c>
      <c r="P118" s="62">
        <v>13000</v>
      </c>
      <c r="Q118" s="62">
        <v>13000</v>
      </c>
      <c r="R118" s="62">
        <v>13000</v>
      </c>
      <c r="S118" s="62">
        <v>13000</v>
      </c>
      <c r="T118" s="62">
        <v>13000</v>
      </c>
      <c r="U118" s="62">
        <v>13000</v>
      </c>
      <c r="V118" s="62">
        <v>13000</v>
      </c>
      <c r="W118" s="62">
        <v>13000</v>
      </c>
      <c r="X118" s="62">
        <v>13000</v>
      </c>
      <c r="Y118" s="62">
        <v>13000</v>
      </c>
      <c r="Z118" s="62">
        <v>13000</v>
      </c>
      <c r="AA118" s="62">
        <v>13000</v>
      </c>
      <c r="AB118" s="62">
        <v>13000</v>
      </c>
      <c r="AC118" s="61">
        <f t="shared" si="2"/>
        <v>312000</v>
      </c>
      <c r="AD118" s="107"/>
    </row>
    <row r="119" spans="1:30" ht="15.75" thickBot="1" x14ac:dyDescent="0.3">
      <c r="A119" s="49">
        <v>2028</v>
      </c>
      <c r="B119" s="50">
        <v>11</v>
      </c>
      <c r="C119" s="50">
        <v>6</v>
      </c>
      <c r="D119" s="51" t="s">
        <v>134</v>
      </c>
      <c r="E119" s="62">
        <v>13000</v>
      </c>
      <c r="F119" s="62">
        <v>13000</v>
      </c>
      <c r="G119" s="62">
        <v>13000</v>
      </c>
      <c r="H119" s="62">
        <v>13000</v>
      </c>
      <c r="I119" s="62">
        <v>13000</v>
      </c>
      <c r="J119" s="62">
        <v>13000</v>
      </c>
      <c r="K119" s="62">
        <v>13000</v>
      </c>
      <c r="L119" s="62">
        <v>13000</v>
      </c>
      <c r="M119" s="62">
        <v>13000</v>
      </c>
      <c r="N119" s="62">
        <v>13000</v>
      </c>
      <c r="O119" s="62">
        <v>13000</v>
      </c>
      <c r="P119" s="62">
        <v>13000</v>
      </c>
      <c r="Q119" s="62">
        <v>13000</v>
      </c>
      <c r="R119" s="62">
        <v>13000</v>
      </c>
      <c r="S119" s="62">
        <v>13000</v>
      </c>
      <c r="T119" s="62">
        <v>13000</v>
      </c>
      <c r="U119" s="62">
        <v>13000</v>
      </c>
      <c r="V119" s="62">
        <v>13000</v>
      </c>
      <c r="W119" s="62">
        <v>13000</v>
      </c>
      <c r="X119" s="62">
        <v>13000</v>
      </c>
      <c r="Y119" s="62">
        <v>13000</v>
      </c>
      <c r="Z119" s="62">
        <v>13000</v>
      </c>
      <c r="AA119" s="62">
        <v>13000</v>
      </c>
      <c r="AB119" s="62">
        <v>13000</v>
      </c>
      <c r="AC119" s="53">
        <f t="shared" si="2"/>
        <v>312000</v>
      </c>
      <c r="AD119" s="105">
        <f>+SUMPRODUCT(AC119:AC121,C119:C121)</f>
        <v>9360000</v>
      </c>
    </row>
    <row r="120" spans="1:30" ht="15.75" thickBot="1" x14ac:dyDescent="0.3">
      <c r="A120" s="54">
        <v>2028</v>
      </c>
      <c r="B120" s="55">
        <v>11</v>
      </c>
      <c r="C120" s="55">
        <v>20</v>
      </c>
      <c r="D120" s="56" t="s">
        <v>135</v>
      </c>
      <c r="E120" s="62">
        <v>13000</v>
      </c>
      <c r="F120" s="62">
        <v>13000</v>
      </c>
      <c r="G120" s="62">
        <v>13000</v>
      </c>
      <c r="H120" s="62">
        <v>13000</v>
      </c>
      <c r="I120" s="62">
        <v>13000</v>
      </c>
      <c r="J120" s="62">
        <v>13000</v>
      </c>
      <c r="K120" s="62">
        <v>13000</v>
      </c>
      <c r="L120" s="62">
        <v>13000</v>
      </c>
      <c r="M120" s="62">
        <v>13000</v>
      </c>
      <c r="N120" s="62">
        <v>13000</v>
      </c>
      <c r="O120" s="62">
        <v>13000</v>
      </c>
      <c r="P120" s="62">
        <v>13000</v>
      </c>
      <c r="Q120" s="62">
        <v>13000</v>
      </c>
      <c r="R120" s="62">
        <v>13000</v>
      </c>
      <c r="S120" s="62">
        <v>13000</v>
      </c>
      <c r="T120" s="62">
        <v>13000</v>
      </c>
      <c r="U120" s="62">
        <v>13000</v>
      </c>
      <c r="V120" s="62">
        <v>13000</v>
      </c>
      <c r="W120" s="62">
        <v>13000</v>
      </c>
      <c r="X120" s="62">
        <v>13000</v>
      </c>
      <c r="Y120" s="62">
        <v>13000</v>
      </c>
      <c r="Z120" s="62">
        <v>13000</v>
      </c>
      <c r="AA120" s="62">
        <v>13000</v>
      </c>
      <c r="AB120" s="62">
        <v>13000</v>
      </c>
      <c r="AC120" s="57">
        <f t="shared" si="2"/>
        <v>312000</v>
      </c>
      <c r="AD120" s="106"/>
    </row>
    <row r="121" spans="1:30" ht="15.75" thickBot="1" x14ac:dyDescent="0.3">
      <c r="A121" s="58">
        <v>2028</v>
      </c>
      <c r="B121" s="59">
        <v>11</v>
      </c>
      <c r="C121" s="59">
        <v>4</v>
      </c>
      <c r="D121" s="60" t="s">
        <v>136</v>
      </c>
      <c r="E121" s="62">
        <v>13000</v>
      </c>
      <c r="F121" s="62">
        <v>13000</v>
      </c>
      <c r="G121" s="62">
        <v>13000</v>
      </c>
      <c r="H121" s="62">
        <v>13000</v>
      </c>
      <c r="I121" s="62">
        <v>13000</v>
      </c>
      <c r="J121" s="62">
        <v>13000</v>
      </c>
      <c r="K121" s="62">
        <v>13000</v>
      </c>
      <c r="L121" s="62">
        <v>13000</v>
      </c>
      <c r="M121" s="62">
        <v>13000</v>
      </c>
      <c r="N121" s="62">
        <v>13000</v>
      </c>
      <c r="O121" s="62">
        <v>13000</v>
      </c>
      <c r="P121" s="62">
        <v>13000</v>
      </c>
      <c r="Q121" s="62">
        <v>13000</v>
      </c>
      <c r="R121" s="62">
        <v>13000</v>
      </c>
      <c r="S121" s="62">
        <v>13000</v>
      </c>
      <c r="T121" s="62">
        <v>13000</v>
      </c>
      <c r="U121" s="62">
        <v>13000</v>
      </c>
      <c r="V121" s="62">
        <v>13000</v>
      </c>
      <c r="W121" s="62">
        <v>13000</v>
      </c>
      <c r="X121" s="62">
        <v>13000</v>
      </c>
      <c r="Y121" s="62">
        <v>13000</v>
      </c>
      <c r="Z121" s="62">
        <v>13000</v>
      </c>
      <c r="AA121" s="62">
        <v>13000</v>
      </c>
      <c r="AB121" s="62">
        <v>13000</v>
      </c>
      <c r="AC121" s="61">
        <f t="shared" si="2"/>
        <v>312000</v>
      </c>
      <c r="AD121" s="107"/>
    </row>
    <row r="122" spans="1:30" ht="15.75" thickBot="1" x14ac:dyDescent="0.3">
      <c r="A122" s="49">
        <v>2028</v>
      </c>
      <c r="B122" s="50">
        <v>12</v>
      </c>
      <c r="C122" s="50">
        <v>7</v>
      </c>
      <c r="D122" s="51" t="s">
        <v>134</v>
      </c>
      <c r="E122" s="62">
        <v>13000</v>
      </c>
      <c r="F122" s="62">
        <v>13000</v>
      </c>
      <c r="G122" s="62">
        <v>13000</v>
      </c>
      <c r="H122" s="62">
        <v>13000</v>
      </c>
      <c r="I122" s="62">
        <v>13000</v>
      </c>
      <c r="J122" s="62">
        <v>13000</v>
      </c>
      <c r="K122" s="62">
        <v>13000</v>
      </c>
      <c r="L122" s="62">
        <v>13000</v>
      </c>
      <c r="M122" s="62">
        <v>13000</v>
      </c>
      <c r="N122" s="62">
        <v>13000</v>
      </c>
      <c r="O122" s="62">
        <v>13000</v>
      </c>
      <c r="P122" s="62">
        <v>13000</v>
      </c>
      <c r="Q122" s="62">
        <v>13000</v>
      </c>
      <c r="R122" s="62">
        <v>13000</v>
      </c>
      <c r="S122" s="62">
        <v>13000</v>
      </c>
      <c r="T122" s="62">
        <v>13000</v>
      </c>
      <c r="U122" s="62">
        <v>13000</v>
      </c>
      <c r="V122" s="62">
        <v>13000</v>
      </c>
      <c r="W122" s="62">
        <v>13000</v>
      </c>
      <c r="X122" s="62">
        <v>13000</v>
      </c>
      <c r="Y122" s="62">
        <v>13000</v>
      </c>
      <c r="Z122" s="62">
        <v>13000</v>
      </c>
      <c r="AA122" s="62">
        <v>13000</v>
      </c>
      <c r="AB122" s="62">
        <v>13000</v>
      </c>
      <c r="AC122" s="53">
        <f t="shared" si="2"/>
        <v>312000</v>
      </c>
      <c r="AD122" s="105">
        <f>+SUMPRODUCT(AC122:AC124,C122:C124)</f>
        <v>9672000</v>
      </c>
    </row>
    <row r="123" spans="1:30" ht="15.75" thickBot="1" x14ac:dyDescent="0.3">
      <c r="A123" s="54">
        <v>2028</v>
      </c>
      <c r="B123" s="55">
        <v>12</v>
      </c>
      <c r="C123" s="55">
        <v>19</v>
      </c>
      <c r="D123" s="56" t="s">
        <v>135</v>
      </c>
      <c r="E123" s="62">
        <v>13000</v>
      </c>
      <c r="F123" s="62">
        <v>13000</v>
      </c>
      <c r="G123" s="62">
        <v>13000</v>
      </c>
      <c r="H123" s="62">
        <v>13000</v>
      </c>
      <c r="I123" s="62">
        <v>13000</v>
      </c>
      <c r="J123" s="62">
        <v>13000</v>
      </c>
      <c r="K123" s="62">
        <v>13000</v>
      </c>
      <c r="L123" s="62">
        <v>13000</v>
      </c>
      <c r="M123" s="62">
        <v>13000</v>
      </c>
      <c r="N123" s="62">
        <v>13000</v>
      </c>
      <c r="O123" s="62">
        <v>13000</v>
      </c>
      <c r="P123" s="62">
        <v>13000</v>
      </c>
      <c r="Q123" s="62">
        <v>13000</v>
      </c>
      <c r="R123" s="62">
        <v>13000</v>
      </c>
      <c r="S123" s="62">
        <v>13000</v>
      </c>
      <c r="T123" s="62">
        <v>13000</v>
      </c>
      <c r="U123" s="62">
        <v>13000</v>
      </c>
      <c r="V123" s="62">
        <v>13000</v>
      </c>
      <c r="W123" s="62">
        <v>13000</v>
      </c>
      <c r="X123" s="62">
        <v>13000</v>
      </c>
      <c r="Y123" s="62">
        <v>13000</v>
      </c>
      <c r="Z123" s="62">
        <v>13000</v>
      </c>
      <c r="AA123" s="62">
        <v>13000</v>
      </c>
      <c r="AB123" s="62">
        <v>13000</v>
      </c>
      <c r="AC123" s="57">
        <f t="shared" si="2"/>
        <v>312000</v>
      </c>
      <c r="AD123" s="106"/>
    </row>
    <row r="124" spans="1:30" ht="15.75" thickBot="1" x14ac:dyDescent="0.3">
      <c r="A124" s="58">
        <v>2028</v>
      </c>
      <c r="B124" s="59">
        <v>12</v>
      </c>
      <c r="C124" s="59">
        <v>5</v>
      </c>
      <c r="D124" s="60" t="s">
        <v>136</v>
      </c>
      <c r="E124" s="62">
        <v>13000</v>
      </c>
      <c r="F124" s="62">
        <v>13000</v>
      </c>
      <c r="G124" s="62">
        <v>13000</v>
      </c>
      <c r="H124" s="62">
        <v>13000</v>
      </c>
      <c r="I124" s="62">
        <v>13000</v>
      </c>
      <c r="J124" s="62">
        <v>13000</v>
      </c>
      <c r="K124" s="62">
        <v>13000</v>
      </c>
      <c r="L124" s="62">
        <v>13000</v>
      </c>
      <c r="M124" s="62">
        <v>13000</v>
      </c>
      <c r="N124" s="62">
        <v>13000</v>
      </c>
      <c r="O124" s="62">
        <v>13000</v>
      </c>
      <c r="P124" s="62">
        <v>13000</v>
      </c>
      <c r="Q124" s="62">
        <v>13000</v>
      </c>
      <c r="R124" s="62">
        <v>13000</v>
      </c>
      <c r="S124" s="62">
        <v>13000</v>
      </c>
      <c r="T124" s="62">
        <v>13000</v>
      </c>
      <c r="U124" s="62">
        <v>13000</v>
      </c>
      <c r="V124" s="62">
        <v>13000</v>
      </c>
      <c r="W124" s="62">
        <v>13000</v>
      </c>
      <c r="X124" s="62">
        <v>13000</v>
      </c>
      <c r="Y124" s="62">
        <v>13000</v>
      </c>
      <c r="Z124" s="62">
        <v>13000</v>
      </c>
      <c r="AA124" s="62">
        <v>13000</v>
      </c>
      <c r="AB124" s="62">
        <v>13000</v>
      </c>
      <c r="AC124" s="61">
        <f t="shared" si="2"/>
        <v>312000</v>
      </c>
      <c r="AD124" s="107"/>
    </row>
    <row r="125" spans="1:30" ht="15.75" thickBot="1" x14ac:dyDescent="0.3">
      <c r="A125" s="49">
        <v>2029</v>
      </c>
      <c r="B125" s="50">
        <v>1</v>
      </c>
      <c r="C125" s="50">
        <v>6</v>
      </c>
      <c r="D125" s="51" t="s">
        <v>134</v>
      </c>
      <c r="E125" s="62">
        <v>13000</v>
      </c>
      <c r="F125" s="62">
        <v>13000</v>
      </c>
      <c r="G125" s="62">
        <v>13000</v>
      </c>
      <c r="H125" s="62">
        <v>13000</v>
      </c>
      <c r="I125" s="62">
        <v>13000</v>
      </c>
      <c r="J125" s="62">
        <v>13000</v>
      </c>
      <c r="K125" s="62">
        <v>13000</v>
      </c>
      <c r="L125" s="62">
        <v>13000</v>
      </c>
      <c r="M125" s="62">
        <v>13000</v>
      </c>
      <c r="N125" s="62">
        <v>13000</v>
      </c>
      <c r="O125" s="62">
        <v>13000</v>
      </c>
      <c r="P125" s="62">
        <v>13000</v>
      </c>
      <c r="Q125" s="62">
        <v>13000</v>
      </c>
      <c r="R125" s="62">
        <v>13000</v>
      </c>
      <c r="S125" s="62">
        <v>13000</v>
      </c>
      <c r="T125" s="62">
        <v>13000</v>
      </c>
      <c r="U125" s="62">
        <v>13000</v>
      </c>
      <c r="V125" s="62">
        <v>13000</v>
      </c>
      <c r="W125" s="62">
        <v>13000</v>
      </c>
      <c r="X125" s="62">
        <v>13000</v>
      </c>
      <c r="Y125" s="62">
        <v>13000</v>
      </c>
      <c r="Z125" s="62">
        <v>13000</v>
      </c>
      <c r="AA125" s="62">
        <v>13000</v>
      </c>
      <c r="AB125" s="62">
        <v>13000</v>
      </c>
      <c r="AC125" s="53">
        <f t="shared" si="2"/>
        <v>312000</v>
      </c>
      <c r="AD125" s="105">
        <f>+SUMPRODUCT(AC125:AC127,C125:C127)</f>
        <v>9672000</v>
      </c>
    </row>
    <row r="126" spans="1:30" ht="15.75" thickBot="1" x14ac:dyDescent="0.3">
      <c r="A126" s="54">
        <v>2029</v>
      </c>
      <c r="B126" s="55">
        <v>1</v>
      </c>
      <c r="C126" s="55">
        <v>21</v>
      </c>
      <c r="D126" s="56" t="s">
        <v>135</v>
      </c>
      <c r="E126" s="62">
        <v>13000</v>
      </c>
      <c r="F126" s="62">
        <v>13000</v>
      </c>
      <c r="G126" s="62">
        <v>13000</v>
      </c>
      <c r="H126" s="62">
        <v>13000</v>
      </c>
      <c r="I126" s="62">
        <v>13000</v>
      </c>
      <c r="J126" s="62">
        <v>13000</v>
      </c>
      <c r="K126" s="62">
        <v>13000</v>
      </c>
      <c r="L126" s="62">
        <v>13000</v>
      </c>
      <c r="M126" s="62">
        <v>13000</v>
      </c>
      <c r="N126" s="62">
        <v>13000</v>
      </c>
      <c r="O126" s="62">
        <v>13000</v>
      </c>
      <c r="P126" s="62">
        <v>13000</v>
      </c>
      <c r="Q126" s="62">
        <v>13000</v>
      </c>
      <c r="R126" s="62">
        <v>13000</v>
      </c>
      <c r="S126" s="62">
        <v>13000</v>
      </c>
      <c r="T126" s="62">
        <v>13000</v>
      </c>
      <c r="U126" s="62">
        <v>13000</v>
      </c>
      <c r="V126" s="62">
        <v>13000</v>
      </c>
      <c r="W126" s="62">
        <v>13000</v>
      </c>
      <c r="X126" s="62">
        <v>13000</v>
      </c>
      <c r="Y126" s="62">
        <v>13000</v>
      </c>
      <c r="Z126" s="62">
        <v>13000</v>
      </c>
      <c r="AA126" s="62">
        <v>13000</v>
      </c>
      <c r="AB126" s="62">
        <v>13000</v>
      </c>
      <c r="AC126" s="57">
        <f t="shared" si="2"/>
        <v>312000</v>
      </c>
      <c r="AD126" s="106"/>
    </row>
    <row r="127" spans="1:30" ht="15.75" thickBot="1" x14ac:dyDescent="0.3">
      <c r="A127" s="58">
        <v>2029</v>
      </c>
      <c r="B127" s="59">
        <v>1</v>
      </c>
      <c r="C127" s="59">
        <v>4</v>
      </c>
      <c r="D127" s="60" t="s">
        <v>136</v>
      </c>
      <c r="E127" s="62">
        <v>13000</v>
      </c>
      <c r="F127" s="62">
        <v>13000</v>
      </c>
      <c r="G127" s="62">
        <v>13000</v>
      </c>
      <c r="H127" s="62">
        <v>13000</v>
      </c>
      <c r="I127" s="62">
        <v>13000</v>
      </c>
      <c r="J127" s="62">
        <v>13000</v>
      </c>
      <c r="K127" s="62">
        <v>13000</v>
      </c>
      <c r="L127" s="62">
        <v>13000</v>
      </c>
      <c r="M127" s="62">
        <v>13000</v>
      </c>
      <c r="N127" s="62">
        <v>13000</v>
      </c>
      <c r="O127" s="62">
        <v>13000</v>
      </c>
      <c r="P127" s="62">
        <v>13000</v>
      </c>
      <c r="Q127" s="62">
        <v>13000</v>
      </c>
      <c r="R127" s="62">
        <v>13000</v>
      </c>
      <c r="S127" s="62">
        <v>13000</v>
      </c>
      <c r="T127" s="62">
        <v>13000</v>
      </c>
      <c r="U127" s="62">
        <v>13000</v>
      </c>
      <c r="V127" s="62">
        <v>13000</v>
      </c>
      <c r="W127" s="62">
        <v>13000</v>
      </c>
      <c r="X127" s="62">
        <v>13000</v>
      </c>
      <c r="Y127" s="62">
        <v>13000</v>
      </c>
      <c r="Z127" s="62">
        <v>13000</v>
      </c>
      <c r="AA127" s="62">
        <v>13000</v>
      </c>
      <c r="AB127" s="62">
        <v>13000</v>
      </c>
      <c r="AC127" s="61">
        <f t="shared" si="2"/>
        <v>312000</v>
      </c>
      <c r="AD127" s="107"/>
    </row>
    <row r="128" spans="1:30" ht="15.75" thickBot="1" x14ac:dyDescent="0.3">
      <c r="A128" s="49">
        <v>2029</v>
      </c>
      <c r="B128" s="50">
        <v>2</v>
      </c>
      <c r="C128" s="50">
        <v>4</v>
      </c>
      <c r="D128" s="51" t="s">
        <v>134</v>
      </c>
      <c r="E128" s="62">
        <v>13000</v>
      </c>
      <c r="F128" s="62">
        <v>13000</v>
      </c>
      <c r="G128" s="62">
        <v>13000</v>
      </c>
      <c r="H128" s="62">
        <v>13000</v>
      </c>
      <c r="I128" s="62">
        <v>13000</v>
      </c>
      <c r="J128" s="62">
        <v>13000</v>
      </c>
      <c r="K128" s="62">
        <v>13000</v>
      </c>
      <c r="L128" s="62">
        <v>13000</v>
      </c>
      <c r="M128" s="62">
        <v>13000</v>
      </c>
      <c r="N128" s="62">
        <v>13000</v>
      </c>
      <c r="O128" s="62">
        <v>13000</v>
      </c>
      <c r="P128" s="62">
        <v>13000</v>
      </c>
      <c r="Q128" s="62">
        <v>13000</v>
      </c>
      <c r="R128" s="62">
        <v>13000</v>
      </c>
      <c r="S128" s="62">
        <v>13000</v>
      </c>
      <c r="T128" s="62">
        <v>13000</v>
      </c>
      <c r="U128" s="62">
        <v>13000</v>
      </c>
      <c r="V128" s="62">
        <v>13000</v>
      </c>
      <c r="W128" s="62">
        <v>13000</v>
      </c>
      <c r="X128" s="62">
        <v>13000</v>
      </c>
      <c r="Y128" s="62">
        <v>13000</v>
      </c>
      <c r="Z128" s="62">
        <v>13000</v>
      </c>
      <c r="AA128" s="62">
        <v>13000</v>
      </c>
      <c r="AB128" s="62">
        <v>13000</v>
      </c>
      <c r="AC128" s="53">
        <f t="shared" si="2"/>
        <v>312000</v>
      </c>
      <c r="AD128" s="105">
        <f>+SUMPRODUCT(AC128:AC130,C128:C130)</f>
        <v>8736000</v>
      </c>
    </row>
    <row r="129" spans="1:30" ht="15.75" thickBot="1" x14ac:dyDescent="0.3">
      <c r="A129" s="54">
        <v>2029</v>
      </c>
      <c r="B129" s="55">
        <v>2</v>
      </c>
      <c r="C129" s="55">
        <v>20</v>
      </c>
      <c r="D129" s="56" t="s">
        <v>135</v>
      </c>
      <c r="E129" s="62">
        <v>13000</v>
      </c>
      <c r="F129" s="62">
        <v>13000</v>
      </c>
      <c r="G129" s="62">
        <v>13000</v>
      </c>
      <c r="H129" s="62">
        <v>13000</v>
      </c>
      <c r="I129" s="62">
        <v>13000</v>
      </c>
      <c r="J129" s="62">
        <v>13000</v>
      </c>
      <c r="K129" s="62">
        <v>13000</v>
      </c>
      <c r="L129" s="62">
        <v>13000</v>
      </c>
      <c r="M129" s="62">
        <v>13000</v>
      </c>
      <c r="N129" s="62">
        <v>13000</v>
      </c>
      <c r="O129" s="62">
        <v>13000</v>
      </c>
      <c r="P129" s="62">
        <v>13000</v>
      </c>
      <c r="Q129" s="62">
        <v>13000</v>
      </c>
      <c r="R129" s="62">
        <v>13000</v>
      </c>
      <c r="S129" s="62">
        <v>13000</v>
      </c>
      <c r="T129" s="62">
        <v>13000</v>
      </c>
      <c r="U129" s="62">
        <v>13000</v>
      </c>
      <c r="V129" s="62">
        <v>13000</v>
      </c>
      <c r="W129" s="62">
        <v>13000</v>
      </c>
      <c r="X129" s="62">
        <v>13000</v>
      </c>
      <c r="Y129" s="62">
        <v>13000</v>
      </c>
      <c r="Z129" s="62">
        <v>13000</v>
      </c>
      <c r="AA129" s="62">
        <v>13000</v>
      </c>
      <c r="AB129" s="62">
        <v>13000</v>
      </c>
      <c r="AC129" s="57">
        <f t="shared" si="2"/>
        <v>312000</v>
      </c>
      <c r="AD129" s="106"/>
    </row>
    <row r="130" spans="1:30" ht="15.75" thickBot="1" x14ac:dyDescent="0.3">
      <c r="A130" s="58">
        <v>2029</v>
      </c>
      <c r="B130" s="59">
        <v>2</v>
      </c>
      <c r="C130" s="59">
        <v>4</v>
      </c>
      <c r="D130" s="60" t="s">
        <v>136</v>
      </c>
      <c r="E130" s="62">
        <v>13000</v>
      </c>
      <c r="F130" s="62">
        <v>13000</v>
      </c>
      <c r="G130" s="62">
        <v>13000</v>
      </c>
      <c r="H130" s="62">
        <v>13000</v>
      </c>
      <c r="I130" s="62">
        <v>13000</v>
      </c>
      <c r="J130" s="62">
        <v>13000</v>
      </c>
      <c r="K130" s="62">
        <v>13000</v>
      </c>
      <c r="L130" s="62">
        <v>13000</v>
      </c>
      <c r="M130" s="62">
        <v>13000</v>
      </c>
      <c r="N130" s="62">
        <v>13000</v>
      </c>
      <c r="O130" s="62">
        <v>13000</v>
      </c>
      <c r="P130" s="62">
        <v>13000</v>
      </c>
      <c r="Q130" s="62">
        <v>13000</v>
      </c>
      <c r="R130" s="62">
        <v>13000</v>
      </c>
      <c r="S130" s="62">
        <v>13000</v>
      </c>
      <c r="T130" s="62">
        <v>13000</v>
      </c>
      <c r="U130" s="62">
        <v>13000</v>
      </c>
      <c r="V130" s="62">
        <v>13000</v>
      </c>
      <c r="W130" s="62">
        <v>13000</v>
      </c>
      <c r="X130" s="62">
        <v>13000</v>
      </c>
      <c r="Y130" s="62">
        <v>13000</v>
      </c>
      <c r="Z130" s="62">
        <v>13000</v>
      </c>
      <c r="AA130" s="62">
        <v>13000</v>
      </c>
      <c r="AB130" s="62">
        <v>13000</v>
      </c>
      <c r="AC130" s="61">
        <f t="shared" si="2"/>
        <v>312000</v>
      </c>
      <c r="AD130" s="107"/>
    </row>
    <row r="131" spans="1:30" ht="15.75" thickBot="1" x14ac:dyDescent="0.3">
      <c r="A131" s="49">
        <v>2029</v>
      </c>
      <c r="B131" s="50">
        <v>3</v>
      </c>
      <c r="C131" s="50">
        <v>7</v>
      </c>
      <c r="D131" s="51" t="s">
        <v>134</v>
      </c>
      <c r="E131" s="62">
        <v>13000</v>
      </c>
      <c r="F131" s="62">
        <v>13000</v>
      </c>
      <c r="G131" s="62">
        <v>13000</v>
      </c>
      <c r="H131" s="62">
        <v>13000</v>
      </c>
      <c r="I131" s="62">
        <v>13000</v>
      </c>
      <c r="J131" s="62">
        <v>13000</v>
      </c>
      <c r="K131" s="62">
        <v>13000</v>
      </c>
      <c r="L131" s="62">
        <v>13000</v>
      </c>
      <c r="M131" s="62">
        <v>13000</v>
      </c>
      <c r="N131" s="62">
        <v>13000</v>
      </c>
      <c r="O131" s="62">
        <v>13000</v>
      </c>
      <c r="P131" s="62">
        <v>13000</v>
      </c>
      <c r="Q131" s="62">
        <v>13000</v>
      </c>
      <c r="R131" s="62">
        <v>13000</v>
      </c>
      <c r="S131" s="62">
        <v>13000</v>
      </c>
      <c r="T131" s="62">
        <v>13000</v>
      </c>
      <c r="U131" s="62">
        <v>13000</v>
      </c>
      <c r="V131" s="62">
        <v>13000</v>
      </c>
      <c r="W131" s="62">
        <v>13000</v>
      </c>
      <c r="X131" s="62">
        <v>13000</v>
      </c>
      <c r="Y131" s="62">
        <v>13000</v>
      </c>
      <c r="Z131" s="62">
        <v>13000</v>
      </c>
      <c r="AA131" s="62">
        <v>13000</v>
      </c>
      <c r="AB131" s="62">
        <v>13000</v>
      </c>
      <c r="AC131" s="53">
        <f t="shared" si="2"/>
        <v>312000</v>
      </c>
      <c r="AD131" s="105">
        <f>+SUMPRODUCT(AC131:AC133,C131:C133)</f>
        <v>9672000</v>
      </c>
    </row>
    <row r="132" spans="1:30" ht="15.75" thickBot="1" x14ac:dyDescent="0.3">
      <c r="A132" s="54">
        <v>2029</v>
      </c>
      <c r="B132" s="55">
        <v>3</v>
      </c>
      <c r="C132" s="55">
        <v>19</v>
      </c>
      <c r="D132" s="56" t="s">
        <v>135</v>
      </c>
      <c r="E132" s="62">
        <v>13000</v>
      </c>
      <c r="F132" s="62">
        <v>13000</v>
      </c>
      <c r="G132" s="62">
        <v>13000</v>
      </c>
      <c r="H132" s="62">
        <v>13000</v>
      </c>
      <c r="I132" s="62">
        <v>13000</v>
      </c>
      <c r="J132" s="62">
        <v>13000</v>
      </c>
      <c r="K132" s="62">
        <v>13000</v>
      </c>
      <c r="L132" s="62">
        <v>13000</v>
      </c>
      <c r="M132" s="62">
        <v>13000</v>
      </c>
      <c r="N132" s="62">
        <v>13000</v>
      </c>
      <c r="O132" s="62">
        <v>13000</v>
      </c>
      <c r="P132" s="62">
        <v>13000</v>
      </c>
      <c r="Q132" s="62">
        <v>13000</v>
      </c>
      <c r="R132" s="62">
        <v>13000</v>
      </c>
      <c r="S132" s="62">
        <v>13000</v>
      </c>
      <c r="T132" s="62">
        <v>13000</v>
      </c>
      <c r="U132" s="62">
        <v>13000</v>
      </c>
      <c r="V132" s="62">
        <v>13000</v>
      </c>
      <c r="W132" s="62">
        <v>13000</v>
      </c>
      <c r="X132" s="62">
        <v>13000</v>
      </c>
      <c r="Y132" s="62">
        <v>13000</v>
      </c>
      <c r="Z132" s="62">
        <v>13000</v>
      </c>
      <c r="AA132" s="62">
        <v>13000</v>
      </c>
      <c r="AB132" s="62">
        <v>13000</v>
      </c>
      <c r="AC132" s="57">
        <f t="shared" si="2"/>
        <v>312000</v>
      </c>
      <c r="AD132" s="106"/>
    </row>
    <row r="133" spans="1:30" ht="15.75" thickBot="1" x14ac:dyDescent="0.3">
      <c r="A133" s="58">
        <v>2029</v>
      </c>
      <c r="B133" s="59">
        <v>3</v>
      </c>
      <c r="C133" s="59">
        <v>5</v>
      </c>
      <c r="D133" s="60" t="s">
        <v>136</v>
      </c>
      <c r="E133" s="62">
        <v>13000</v>
      </c>
      <c r="F133" s="62">
        <v>13000</v>
      </c>
      <c r="G133" s="62">
        <v>13000</v>
      </c>
      <c r="H133" s="62">
        <v>13000</v>
      </c>
      <c r="I133" s="62">
        <v>13000</v>
      </c>
      <c r="J133" s="62">
        <v>13000</v>
      </c>
      <c r="K133" s="62">
        <v>13000</v>
      </c>
      <c r="L133" s="62">
        <v>13000</v>
      </c>
      <c r="M133" s="62">
        <v>13000</v>
      </c>
      <c r="N133" s="62">
        <v>13000</v>
      </c>
      <c r="O133" s="62">
        <v>13000</v>
      </c>
      <c r="P133" s="62">
        <v>13000</v>
      </c>
      <c r="Q133" s="62">
        <v>13000</v>
      </c>
      <c r="R133" s="62">
        <v>13000</v>
      </c>
      <c r="S133" s="62">
        <v>13000</v>
      </c>
      <c r="T133" s="62">
        <v>13000</v>
      </c>
      <c r="U133" s="62">
        <v>13000</v>
      </c>
      <c r="V133" s="62">
        <v>13000</v>
      </c>
      <c r="W133" s="62">
        <v>13000</v>
      </c>
      <c r="X133" s="62">
        <v>13000</v>
      </c>
      <c r="Y133" s="62">
        <v>13000</v>
      </c>
      <c r="Z133" s="62">
        <v>13000</v>
      </c>
      <c r="AA133" s="62">
        <v>13000</v>
      </c>
      <c r="AB133" s="62">
        <v>13000</v>
      </c>
      <c r="AC133" s="61">
        <f t="shared" si="2"/>
        <v>312000</v>
      </c>
      <c r="AD133" s="107"/>
    </row>
    <row r="134" spans="1:30" ht="15.75" thickBot="1" x14ac:dyDescent="0.3">
      <c r="A134" s="49">
        <v>2029</v>
      </c>
      <c r="B134" s="50">
        <v>4</v>
      </c>
      <c r="C134" s="50">
        <v>5</v>
      </c>
      <c r="D134" s="51" t="s">
        <v>134</v>
      </c>
      <c r="E134" s="62">
        <v>13000</v>
      </c>
      <c r="F134" s="62">
        <v>13000</v>
      </c>
      <c r="G134" s="62">
        <v>13000</v>
      </c>
      <c r="H134" s="62">
        <v>13000</v>
      </c>
      <c r="I134" s="62">
        <v>13000</v>
      </c>
      <c r="J134" s="62">
        <v>13000</v>
      </c>
      <c r="K134" s="62">
        <v>13000</v>
      </c>
      <c r="L134" s="62">
        <v>13000</v>
      </c>
      <c r="M134" s="62">
        <v>13000</v>
      </c>
      <c r="N134" s="62">
        <v>13000</v>
      </c>
      <c r="O134" s="62">
        <v>13000</v>
      </c>
      <c r="P134" s="62">
        <v>13000</v>
      </c>
      <c r="Q134" s="62">
        <v>13000</v>
      </c>
      <c r="R134" s="62">
        <v>13000</v>
      </c>
      <c r="S134" s="62">
        <v>13000</v>
      </c>
      <c r="T134" s="62">
        <v>13000</v>
      </c>
      <c r="U134" s="62">
        <v>13000</v>
      </c>
      <c r="V134" s="62">
        <v>13000</v>
      </c>
      <c r="W134" s="62">
        <v>13000</v>
      </c>
      <c r="X134" s="62">
        <v>13000</v>
      </c>
      <c r="Y134" s="62">
        <v>13000</v>
      </c>
      <c r="Z134" s="62">
        <v>13000</v>
      </c>
      <c r="AA134" s="62">
        <v>13000</v>
      </c>
      <c r="AB134" s="62">
        <v>13000</v>
      </c>
      <c r="AC134" s="53">
        <f t="shared" si="2"/>
        <v>312000</v>
      </c>
      <c r="AD134" s="105">
        <f>+SUMPRODUCT(AC134:AC136,C134:C136)</f>
        <v>9360000</v>
      </c>
    </row>
    <row r="135" spans="1:30" ht="15.75" thickBot="1" x14ac:dyDescent="0.3">
      <c r="A135" s="54">
        <v>2029</v>
      </c>
      <c r="B135" s="55">
        <v>4</v>
      </c>
      <c r="C135" s="55">
        <v>21</v>
      </c>
      <c r="D135" s="56" t="s">
        <v>135</v>
      </c>
      <c r="E135" s="62">
        <v>13000</v>
      </c>
      <c r="F135" s="62">
        <v>13000</v>
      </c>
      <c r="G135" s="62">
        <v>13000</v>
      </c>
      <c r="H135" s="62">
        <v>13000</v>
      </c>
      <c r="I135" s="62">
        <v>13000</v>
      </c>
      <c r="J135" s="62">
        <v>13000</v>
      </c>
      <c r="K135" s="62">
        <v>13000</v>
      </c>
      <c r="L135" s="62">
        <v>13000</v>
      </c>
      <c r="M135" s="62">
        <v>13000</v>
      </c>
      <c r="N135" s="62">
        <v>13000</v>
      </c>
      <c r="O135" s="62">
        <v>13000</v>
      </c>
      <c r="P135" s="62">
        <v>13000</v>
      </c>
      <c r="Q135" s="62">
        <v>13000</v>
      </c>
      <c r="R135" s="62">
        <v>13000</v>
      </c>
      <c r="S135" s="62">
        <v>13000</v>
      </c>
      <c r="T135" s="62">
        <v>13000</v>
      </c>
      <c r="U135" s="62">
        <v>13000</v>
      </c>
      <c r="V135" s="62">
        <v>13000</v>
      </c>
      <c r="W135" s="62">
        <v>13000</v>
      </c>
      <c r="X135" s="62">
        <v>13000</v>
      </c>
      <c r="Y135" s="62">
        <v>13000</v>
      </c>
      <c r="Z135" s="62">
        <v>13000</v>
      </c>
      <c r="AA135" s="62">
        <v>13000</v>
      </c>
      <c r="AB135" s="62">
        <v>13000</v>
      </c>
      <c r="AC135" s="57">
        <f t="shared" si="2"/>
        <v>312000</v>
      </c>
      <c r="AD135" s="106"/>
    </row>
    <row r="136" spans="1:30" ht="15.75" thickBot="1" x14ac:dyDescent="0.3">
      <c r="A136" s="58">
        <v>2029</v>
      </c>
      <c r="B136" s="59">
        <v>4</v>
      </c>
      <c r="C136" s="59">
        <v>4</v>
      </c>
      <c r="D136" s="60" t="s">
        <v>136</v>
      </c>
      <c r="E136" s="62">
        <v>13000</v>
      </c>
      <c r="F136" s="62">
        <v>13000</v>
      </c>
      <c r="G136" s="62">
        <v>13000</v>
      </c>
      <c r="H136" s="62">
        <v>13000</v>
      </c>
      <c r="I136" s="62">
        <v>13000</v>
      </c>
      <c r="J136" s="62">
        <v>13000</v>
      </c>
      <c r="K136" s="62">
        <v>13000</v>
      </c>
      <c r="L136" s="62">
        <v>13000</v>
      </c>
      <c r="M136" s="62">
        <v>13000</v>
      </c>
      <c r="N136" s="62">
        <v>13000</v>
      </c>
      <c r="O136" s="62">
        <v>13000</v>
      </c>
      <c r="P136" s="62">
        <v>13000</v>
      </c>
      <c r="Q136" s="62">
        <v>13000</v>
      </c>
      <c r="R136" s="62">
        <v>13000</v>
      </c>
      <c r="S136" s="62">
        <v>13000</v>
      </c>
      <c r="T136" s="62">
        <v>13000</v>
      </c>
      <c r="U136" s="62">
        <v>13000</v>
      </c>
      <c r="V136" s="62">
        <v>13000</v>
      </c>
      <c r="W136" s="62">
        <v>13000</v>
      </c>
      <c r="X136" s="62">
        <v>13000</v>
      </c>
      <c r="Y136" s="62">
        <v>13000</v>
      </c>
      <c r="Z136" s="62">
        <v>13000</v>
      </c>
      <c r="AA136" s="62">
        <v>13000</v>
      </c>
      <c r="AB136" s="62">
        <v>13000</v>
      </c>
      <c r="AC136" s="61">
        <f t="shared" si="2"/>
        <v>312000</v>
      </c>
      <c r="AD136" s="107"/>
    </row>
    <row r="137" spans="1:30" ht="15.75" thickBot="1" x14ac:dyDescent="0.3">
      <c r="A137" s="49">
        <v>2029</v>
      </c>
      <c r="B137" s="50">
        <v>5</v>
      </c>
      <c r="C137" s="50">
        <v>6</v>
      </c>
      <c r="D137" s="51" t="s">
        <v>134</v>
      </c>
      <c r="E137" s="62">
        <v>13000</v>
      </c>
      <c r="F137" s="62">
        <v>13000</v>
      </c>
      <c r="G137" s="62">
        <v>13000</v>
      </c>
      <c r="H137" s="62">
        <v>13000</v>
      </c>
      <c r="I137" s="62">
        <v>13000</v>
      </c>
      <c r="J137" s="62">
        <v>13000</v>
      </c>
      <c r="K137" s="62">
        <v>13000</v>
      </c>
      <c r="L137" s="62">
        <v>13000</v>
      </c>
      <c r="M137" s="62">
        <v>13000</v>
      </c>
      <c r="N137" s="62">
        <v>13000</v>
      </c>
      <c r="O137" s="62">
        <v>13000</v>
      </c>
      <c r="P137" s="62">
        <v>13000</v>
      </c>
      <c r="Q137" s="62">
        <v>13000</v>
      </c>
      <c r="R137" s="62">
        <v>13000</v>
      </c>
      <c r="S137" s="62">
        <v>13000</v>
      </c>
      <c r="T137" s="62">
        <v>13000</v>
      </c>
      <c r="U137" s="62">
        <v>13000</v>
      </c>
      <c r="V137" s="62">
        <v>13000</v>
      </c>
      <c r="W137" s="62">
        <v>13000</v>
      </c>
      <c r="X137" s="62">
        <v>13000</v>
      </c>
      <c r="Y137" s="62">
        <v>13000</v>
      </c>
      <c r="Z137" s="62">
        <v>13000</v>
      </c>
      <c r="AA137" s="62">
        <v>13000</v>
      </c>
      <c r="AB137" s="62">
        <v>13000</v>
      </c>
      <c r="AC137" s="53">
        <f t="shared" si="2"/>
        <v>312000</v>
      </c>
      <c r="AD137" s="105">
        <f>+SUMPRODUCT(AC137:AC139,C137:C139)</f>
        <v>9672000</v>
      </c>
    </row>
    <row r="138" spans="1:30" ht="15.75" thickBot="1" x14ac:dyDescent="0.3">
      <c r="A138" s="54">
        <v>2029</v>
      </c>
      <c r="B138" s="55">
        <v>5</v>
      </c>
      <c r="C138" s="55">
        <v>21</v>
      </c>
      <c r="D138" s="56" t="s">
        <v>135</v>
      </c>
      <c r="E138" s="62">
        <v>13000</v>
      </c>
      <c r="F138" s="62">
        <v>13000</v>
      </c>
      <c r="G138" s="62">
        <v>13000</v>
      </c>
      <c r="H138" s="62">
        <v>13000</v>
      </c>
      <c r="I138" s="62">
        <v>13000</v>
      </c>
      <c r="J138" s="62">
        <v>13000</v>
      </c>
      <c r="K138" s="62">
        <v>13000</v>
      </c>
      <c r="L138" s="62">
        <v>13000</v>
      </c>
      <c r="M138" s="62">
        <v>13000</v>
      </c>
      <c r="N138" s="62">
        <v>13000</v>
      </c>
      <c r="O138" s="62">
        <v>13000</v>
      </c>
      <c r="P138" s="62">
        <v>13000</v>
      </c>
      <c r="Q138" s="62">
        <v>13000</v>
      </c>
      <c r="R138" s="62">
        <v>13000</v>
      </c>
      <c r="S138" s="62">
        <v>13000</v>
      </c>
      <c r="T138" s="62">
        <v>13000</v>
      </c>
      <c r="U138" s="62">
        <v>13000</v>
      </c>
      <c r="V138" s="62">
        <v>13000</v>
      </c>
      <c r="W138" s="62">
        <v>13000</v>
      </c>
      <c r="X138" s="62">
        <v>13000</v>
      </c>
      <c r="Y138" s="62">
        <v>13000</v>
      </c>
      <c r="Z138" s="62">
        <v>13000</v>
      </c>
      <c r="AA138" s="62">
        <v>13000</v>
      </c>
      <c r="AB138" s="62">
        <v>13000</v>
      </c>
      <c r="AC138" s="57">
        <f t="shared" si="2"/>
        <v>312000</v>
      </c>
      <c r="AD138" s="106"/>
    </row>
    <row r="139" spans="1:30" ht="15.75" thickBot="1" x14ac:dyDescent="0.3">
      <c r="A139" s="58">
        <v>2029</v>
      </c>
      <c r="B139" s="59">
        <v>5</v>
      </c>
      <c r="C139" s="59">
        <v>4</v>
      </c>
      <c r="D139" s="60" t="s">
        <v>136</v>
      </c>
      <c r="E139" s="62">
        <v>13000</v>
      </c>
      <c r="F139" s="62">
        <v>13000</v>
      </c>
      <c r="G139" s="62">
        <v>13000</v>
      </c>
      <c r="H139" s="62">
        <v>13000</v>
      </c>
      <c r="I139" s="62">
        <v>13000</v>
      </c>
      <c r="J139" s="62">
        <v>13000</v>
      </c>
      <c r="K139" s="62">
        <v>13000</v>
      </c>
      <c r="L139" s="62">
        <v>13000</v>
      </c>
      <c r="M139" s="62">
        <v>13000</v>
      </c>
      <c r="N139" s="62">
        <v>13000</v>
      </c>
      <c r="O139" s="62">
        <v>13000</v>
      </c>
      <c r="P139" s="62">
        <v>13000</v>
      </c>
      <c r="Q139" s="62">
        <v>13000</v>
      </c>
      <c r="R139" s="62">
        <v>13000</v>
      </c>
      <c r="S139" s="62">
        <v>13000</v>
      </c>
      <c r="T139" s="62">
        <v>13000</v>
      </c>
      <c r="U139" s="62">
        <v>13000</v>
      </c>
      <c r="V139" s="62">
        <v>13000</v>
      </c>
      <c r="W139" s="62">
        <v>13000</v>
      </c>
      <c r="X139" s="62">
        <v>13000</v>
      </c>
      <c r="Y139" s="62">
        <v>13000</v>
      </c>
      <c r="Z139" s="62">
        <v>13000</v>
      </c>
      <c r="AA139" s="62">
        <v>13000</v>
      </c>
      <c r="AB139" s="62">
        <v>13000</v>
      </c>
      <c r="AC139" s="61">
        <f t="shared" si="2"/>
        <v>312000</v>
      </c>
      <c r="AD139" s="107"/>
    </row>
    <row r="140" spans="1:30" ht="15.75" thickBot="1" x14ac:dyDescent="0.3">
      <c r="A140" s="49">
        <v>2029</v>
      </c>
      <c r="B140" s="50">
        <v>6</v>
      </c>
      <c r="C140" s="50">
        <v>6</v>
      </c>
      <c r="D140" s="51" t="s">
        <v>134</v>
      </c>
      <c r="E140" s="62">
        <v>13000</v>
      </c>
      <c r="F140" s="62">
        <v>13000</v>
      </c>
      <c r="G140" s="62">
        <v>13000</v>
      </c>
      <c r="H140" s="62">
        <v>13000</v>
      </c>
      <c r="I140" s="62">
        <v>13000</v>
      </c>
      <c r="J140" s="62">
        <v>13000</v>
      </c>
      <c r="K140" s="62">
        <v>13000</v>
      </c>
      <c r="L140" s="62">
        <v>13000</v>
      </c>
      <c r="M140" s="62">
        <v>13000</v>
      </c>
      <c r="N140" s="62">
        <v>13000</v>
      </c>
      <c r="O140" s="62">
        <v>13000</v>
      </c>
      <c r="P140" s="62">
        <v>13000</v>
      </c>
      <c r="Q140" s="62">
        <v>13000</v>
      </c>
      <c r="R140" s="62">
        <v>13000</v>
      </c>
      <c r="S140" s="62">
        <v>13000</v>
      </c>
      <c r="T140" s="62">
        <v>13000</v>
      </c>
      <c r="U140" s="62">
        <v>13000</v>
      </c>
      <c r="V140" s="62">
        <v>13000</v>
      </c>
      <c r="W140" s="62">
        <v>13000</v>
      </c>
      <c r="X140" s="62">
        <v>13000</v>
      </c>
      <c r="Y140" s="62">
        <v>13000</v>
      </c>
      <c r="Z140" s="62">
        <v>13000</v>
      </c>
      <c r="AA140" s="62">
        <v>13000</v>
      </c>
      <c r="AB140" s="62">
        <v>13000</v>
      </c>
      <c r="AC140" s="53">
        <f t="shared" si="2"/>
        <v>312000</v>
      </c>
      <c r="AD140" s="105">
        <f>+SUMPRODUCT(AC140:AC142,C140:C142)</f>
        <v>9360000</v>
      </c>
    </row>
    <row r="141" spans="1:30" ht="15.75" thickBot="1" x14ac:dyDescent="0.3">
      <c r="A141" s="54">
        <v>2029</v>
      </c>
      <c r="B141" s="55">
        <v>6</v>
      </c>
      <c r="C141" s="55">
        <v>19</v>
      </c>
      <c r="D141" s="56" t="s">
        <v>135</v>
      </c>
      <c r="E141" s="62">
        <v>13000</v>
      </c>
      <c r="F141" s="62">
        <v>13000</v>
      </c>
      <c r="G141" s="62">
        <v>13000</v>
      </c>
      <c r="H141" s="62">
        <v>13000</v>
      </c>
      <c r="I141" s="62">
        <v>13000</v>
      </c>
      <c r="J141" s="62">
        <v>13000</v>
      </c>
      <c r="K141" s="62">
        <v>13000</v>
      </c>
      <c r="L141" s="62">
        <v>13000</v>
      </c>
      <c r="M141" s="62">
        <v>13000</v>
      </c>
      <c r="N141" s="62">
        <v>13000</v>
      </c>
      <c r="O141" s="62">
        <v>13000</v>
      </c>
      <c r="P141" s="62">
        <v>13000</v>
      </c>
      <c r="Q141" s="62">
        <v>13000</v>
      </c>
      <c r="R141" s="62">
        <v>13000</v>
      </c>
      <c r="S141" s="62">
        <v>13000</v>
      </c>
      <c r="T141" s="62">
        <v>13000</v>
      </c>
      <c r="U141" s="62">
        <v>13000</v>
      </c>
      <c r="V141" s="62">
        <v>13000</v>
      </c>
      <c r="W141" s="62">
        <v>13000</v>
      </c>
      <c r="X141" s="62">
        <v>13000</v>
      </c>
      <c r="Y141" s="62">
        <v>13000</v>
      </c>
      <c r="Z141" s="62">
        <v>13000</v>
      </c>
      <c r="AA141" s="62">
        <v>13000</v>
      </c>
      <c r="AB141" s="62">
        <v>13000</v>
      </c>
      <c r="AC141" s="57">
        <f t="shared" si="2"/>
        <v>312000</v>
      </c>
      <c r="AD141" s="106"/>
    </row>
    <row r="142" spans="1:30" ht="15.75" thickBot="1" x14ac:dyDescent="0.3">
      <c r="A142" s="58">
        <v>2029</v>
      </c>
      <c r="B142" s="59">
        <v>6</v>
      </c>
      <c r="C142" s="59">
        <v>5</v>
      </c>
      <c r="D142" s="60" t="s">
        <v>136</v>
      </c>
      <c r="E142" s="62">
        <v>13000</v>
      </c>
      <c r="F142" s="62">
        <v>13000</v>
      </c>
      <c r="G142" s="62">
        <v>13000</v>
      </c>
      <c r="H142" s="62">
        <v>13000</v>
      </c>
      <c r="I142" s="62">
        <v>13000</v>
      </c>
      <c r="J142" s="62">
        <v>13000</v>
      </c>
      <c r="K142" s="62">
        <v>13000</v>
      </c>
      <c r="L142" s="62">
        <v>13000</v>
      </c>
      <c r="M142" s="62">
        <v>13000</v>
      </c>
      <c r="N142" s="62">
        <v>13000</v>
      </c>
      <c r="O142" s="62">
        <v>13000</v>
      </c>
      <c r="P142" s="62">
        <v>13000</v>
      </c>
      <c r="Q142" s="62">
        <v>13000</v>
      </c>
      <c r="R142" s="62">
        <v>13000</v>
      </c>
      <c r="S142" s="62">
        <v>13000</v>
      </c>
      <c r="T142" s="62">
        <v>13000</v>
      </c>
      <c r="U142" s="62">
        <v>13000</v>
      </c>
      <c r="V142" s="62">
        <v>13000</v>
      </c>
      <c r="W142" s="62">
        <v>13000</v>
      </c>
      <c r="X142" s="62">
        <v>13000</v>
      </c>
      <c r="Y142" s="62">
        <v>13000</v>
      </c>
      <c r="Z142" s="62">
        <v>13000</v>
      </c>
      <c r="AA142" s="62">
        <v>13000</v>
      </c>
      <c r="AB142" s="62">
        <v>13000</v>
      </c>
      <c r="AC142" s="61">
        <f t="shared" si="2"/>
        <v>312000</v>
      </c>
      <c r="AD142" s="107"/>
    </row>
    <row r="143" spans="1:30" ht="15.75" thickBot="1" x14ac:dyDescent="0.3">
      <c r="A143" s="49">
        <v>2029</v>
      </c>
      <c r="B143" s="50">
        <v>7</v>
      </c>
      <c r="C143" s="50">
        <v>7</v>
      </c>
      <c r="D143" s="51" t="s">
        <v>134</v>
      </c>
      <c r="E143" s="62">
        <v>13000</v>
      </c>
      <c r="F143" s="62">
        <v>13000</v>
      </c>
      <c r="G143" s="62">
        <v>13000</v>
      </c>
      <c r="H143" s="62">
        <v>13000</v>
      </c>
      <c r="I143" s="62">
        <v>13000</v>
      </c>
      <c r="J143" s="62">
        <v>13000</v>
      </c>
      <c r="K143" s="62">
        <v>13000</v>
      </c>
      <c r="L143" s="62">
        <v>13000</v>
      </c>
      <c r="M143" s="62">
        <v>13000</v>
      </c>
      <c r="N143" s="62">
        <v>13000</v>
      </c>
      <c r="O143" s="62">
        <v>13000</v>
      </c>
      <c r="P143" s="62">
        <v>13000</v>
      </c>
      <c r="Q143" s="62">
        <v>13000</v>
      </c>
      <c r="R143" s="62">
        <v>13000</v>
      </c>
      <c r="S143" s="62">
        <v>13000</v>
      </c>
      <c r="T143" s="62">
        <v>13000</v>
      </c>
      <c r="U143" s="62">
        <v>13000</v>
      </c>
      <c r="V143" s="62">
        <v>13000</v>
      </c>
      <c r="W143" s="62">
        <v>13000</v>
      </c>
      <c r="X143" s="62">
        <v>13000</v>
      </c>
      <c r="Y143" s="62">
        <v>13000</v>
      </c>
      <c r="Z143" s="62">
        <v>13000</v>
      </c>
      <c r="AA143" s="62">
        <v>13000</v>
      </c>
      <c r="AB143" s="62">
        <v>13000</v>
      </c>
      <c r="AC143" s="53">
        <f t="shared" si="2"/>
        <v>312000</v>
      </c>
      <c r="AD143" s="105">
        <f>+SUMPRODUCT(AC143:AC145,C143:C145)</f>
        <v>9672000</v>
      </c>
    </row>
    <row r="144" spans="1:30" ht="15.75" thickBot="1" x14ac:dyDescent="0.3">
      <c r="A144" s="54">
        <v>2029</v>
      </c>
      <c r="B144" s="55">
        <v>7</v>
      </c>
      <c r="C144" s="55">
        <v>20</v>
      </c>
      <c r="D144" s="56" t="s">
        <v>135</v>
      </c>
      <c r="E144" s="62">
        <v>13000</v>
      </c>
      <c r="F144" s="62">
        <v>13000</v>
      </c>
      <c r="G144" s="62">
        <v>13000</v>
      </c>
      <c r="H144" s="62">
        <v>13000</v>
      </c>
      <c r="I144" s="62">
        <v>13000</v>
      </c>
      <c r="J144" s="62">
        <v>13000</v>
      </c>
      <c r="K144" s="62">
        <v>13000</v>
      </c>
      <c r="L144" s="62">
        <v>13000</v>
      </c>
      <c r="M144" s="62">
        <v>13000</v>
      </c>
      <c r="N144" s="62">
        <v>13000</v>
      </c>
      <c r="O144" s="62">
        <v>13000</v>
      </c>
      <c r="P144" s="62">
        <v>13000</v>
      </c>
      <c r="Q144" s="62">
        <v>13000</v>
      </c>
      <c r="R144" s="62">
        <v>13000</v>
      </c>
      <c r="S144" s="62">
        <v>13000</v>
      </c>
      <c r="T144" s="62">
        <v>13000</v>
      </c>
      <c r="U144" s="62">
        <v>13000</v>
      </c>
      <c r="V144" s="62">
        <v>13000</v>
      </c>
      <c r="W144" s="62">
        <v>13000</v>
      </c>
      <c r="X144" s="62">
        <v>13000</v>
      </c>
      <c r="Y144" s="62">
        <v>13000</v>
      </c>
      <c r="Z144" s="62">
        <v>13000</v>
      </c>
      <c r="AA144" s="62">
        <v>13000</v>
      </c>
      <c r="AB144" s="62">
        <v>13000</v>
      </c>
      <c r="AC144" s="57">
        <f t="shared" si="2"/>
        <v>312000</v>
      </c>
      <c r="AD144" s="106"/>
    </row>
    <row r="145" spans="1:30" ht="15.75" thickBot="1" x14ac:dyDescent="0.3">
      <c r="A145" s="58">
        <v>2029</v>
      </c>
      <c r="B145" s="59">
        <v>7</v>
      </c>
      <c r="C145" s="59">
        <v>4</v>
      </c>
      <c r="D145" s="60" t="s">
        <v>136</v>
      </c>
      <c r="E145" s="62">
        <v>13000</v>
      </c>
      <c r="F145" s="62">
        <v>13000</v>
      </c>
      <c r="G145" s="62">
        <v>13000</v>
      </c>
      <c r="H145" s="62">
        <v>13000</v>
      </c>
      <c r="I145" s="62">
        <v>13000</v>
      </c>
      <c r="J145" s="62">
        <v>13000</v>
      </c>
      <c r="K145" s="62">
        <v>13000</v>
      </c>
      <c r="L145" s="62">
        <v>13000</v>
      </c>
      <c r="M145" s="62">
        <v>13000</v>
      </c>
      <c r="N145" s="62">
        <v>13000</v>
      </c>
      <c r="O145" s="62">
        <v>13000</v>
      </c>
      <c r="P145" s="62">
        <v>13000</v>
      </c>
      <c r="Q145" s="62">
        <v>13000</v>
      </c>
      <c r="R145" s="62">
        <v>13000</v>
      </c>
      <c r="S145" s="62">
        <v>13000</v>
      </c>
      <c r="T145" s="62">
        <v>13000</v>
      </c>
      <c r="U145" s="62">
        <v>13000</v>
      </c>
      <c r="V145" s="62">
        <v>13000</v>
      </c>
      <c r="W145" s="62">
        <v>13000</v>
      </c>
      <c r="X145" s="62">
        <v>13000</v>
      </c>
      <c r="Y145" s="62">
        <v>13000</v>
      </c>
      <c r="Z145" s="62">
        <v>13000</v>
      </c>
      <c r="AA145" s="62">
        <v>13000</v>
      </c>
      <c r="AB145" s="62">
        <v>13000</v>
      </c>
      <c r="AC145" s="61">
        <f t="shared" si="2"/>
        <v>312000</v>
      </c>
      <c r="AD145" s="107"/>
    </row>
    <row r="146" spans="1:30" ht="15.75" thickBot="1" x14ac:dyDescent="0.3">
      <c r="A146" s="49">
        <v>2029</v>
      </c>
      <c r="B146" s="50">
        <v>8</v>
      </c>
      <c r="C146" s="50">
        <v>6</v>
      </c>
      <c r="D146" s="51" t="s">
        <v>134</v>
      </c>
      <c r="E146" s="62">
        <v>13000</v>
      </c>
      <c r="F146" s="62">
        <v>13000</v>
      </c>
      <c r="G146" s="62">
        <v>13000</v>
      </c>
      <c r="H146" s="62">
        <v>13000</v>
      </c>
      <c r="I146" s="62">
        <v>13000</v>
      </c>
      <c r="J146" s="62">
        <v>13000</v>
      </c>
      <c r="K146" s="62">
        <v>13000</v>
      </c>
      <c r="L146" s="62">
        <v>13000</v>
      </c>
      <c r="M146" s="62">
        <v>13000</v>
      </c>
      <c r="N146" s="62">
        <v>13000</v>
      </c>
      <c r="O146" s="62">
        <v>13000</v>
      </c>
      <c r="P146" s="62">
        <v>13000</v>
      </c>
      <c r="Q146" s="62">
        <v>13000</v>
      </c>
      <c r="R146" s="62">
        <v>13000</v>
      </c>
      <c r="S146" s="62">
        <v>13000</v>
      </c>
      <c r="T146" s="62">
        <v>13000</v>
      </c>
      <c r="U146" s="62">
        <v>13000</v>
      </c>
      <c r="V146" s="62">
        <v>13000</v>
      </c>
      <c r="W146" s="62">
        <v>13000</v>
      </c>
      <c r="X146" s="62">
        <v>13000</v>
      </c>
      <c r="Y146" s="62">
        <v>13000</v>
      </c>
      <c r="Z146" s="62">
        <v>13000</v>
      </c>
      <c r="AA146" s="62">
        <v>13000</v>
      </c>
      <c r="AB146" s="62">
        <v>13000</v>
      </c>
      <c r="AC146" s="53">
        <f t="shared" si="2"/>
        <v>312000</v>
      </c>
      <c r="AD146" s="105">
        <f>+SUMPRODUCT(AC146:AC148,C146:C148)</f>
        <v>9672000</v>
      </c>
    </row>
    <row r="147" spans="1:30" ht="15.75" thickBot="1" x14ac:dyDescent="0.3">
      <c r="A147" s="54">
        <v>2029</v>
      </c>
      <c r="B147" s="55">
        <v>8</v>
      </c>
      <c r="C147" s="55">
        <v>21</v>
      </c>
      <c r="D147" s="56" t="s">
        <v>135</v>
      </c>
      <c r="E147" s="62">
        <v>13000</v>
      </c>
      <c r="F147" s="62">
        <v>13000</v>
      </c>
      <c r="G147" s="62">
        <v>13000</v>
      </c>
      <c r="H147" s="62">
        <v>13000</v>
      </c>
      <c r="I147" s="62">
        <v>13000</v>
      </c>
      <c r="J147" s="62">
        <v>13000</v>
      </c>
      <c r="K147" s="62">
        <v>13000</v>
      </c>
      <c r="L147" s="62">
        <v>13000</v>
      </c>
      <c r="M147" s="62">
        <v>13000</v>
      </c>
      <c r="N147" s="62">
        <v>13000</v>
      </c>
      <c r="O147" s="62">
        <v>13000</v>
      </c>
      <c r="P147" s="62">
        <v>13000</v>
      </c>
      <c r="Q147" s="62">
        <v>13000</v>
      </c>
      <c r="R147" s="62">
        <v>13000</v>
      </c>
      <c r="S147" s="62">
        <v>13000</v>
      </c>
      <c r="T147" s="62">
        <v>13000</v>
      </c>
      <c r="U147" s="62">
        <v>13000</v>
      </c>
      <c r="V147" s="62">
        <v>13000</v>
      </c>
      <c r="W147" s="62">
        <v>13000</v>
      </c>
      <c r="X147" s="62">
        <v>13000</v>
      </c>
      <c r="Y147" s="62">
        <v>13000</v>
      </c>
      <c r="Z147" s="62">
        <v>13000</v>
      </c>
      <c r="AA147" s="62">
        <v>13000</v>
      </c>
      <c r="AB147" s="62">
        <v>13000</v>
      </c>
      <c r="AC147" s="57">
        <f t="shared" si="2"/>
        <v>312000</v>
      </c>
      <c r="AD147" s="106"/>
    </row>
    <row r="148" spans="1:30" ht="15.75" thickBot="1" x14ac:dyDescent="0.3">
      <c r="A148" s="58">
        <v>2029</v>
      </c>
      <c r="B148" s="59">
        <v>8</v>
      </c>
      <c r="C148" s="59">
        <v>4</v>
      </c>
      <c r="D148" s="60" t="s">
        <v>136</v>
      </c>
      <c r="E148" s="62">
        <v>13000</v>
      </c>
      <c r="F148" s="62">
        <v>13000</v>
      </c>
      <c r="G148" s="62">
        <v>13000</v>
      </c>
      <c r="H148" s="62">
        <v>13000</v>
      </c>
      <c r="I148" s="62">
        <v>13000</v>
      </c>
      <c r="J148" s="62">
        <v>13000</v>
      </c>
      <c r="K148" s="62">
        <v>13000</v>
      </c>
      <c r="L148" s="62">
        <v>13000</v>
      </c>
      <c r="M148" s="62">
        <v>13000</v>
      </c>
      <c r="N148" s="62">
        <v>13000</v>
      </c>
      <c r="O148" s="62">
        <v>13000</v>
      </c>
      <c r="P148" s="62">
        <v>13000</v>
      </c>
      <c r="Q148" s="62">
        <v>13000</v>
      </c>
      <c r="R148" s="62">
        <v>13000</v>
      </c>
      <c r="S148" s="62">
        <v>13000</v>
      </c>
      <c r="T148" s="62">
        <v>13000</v>
      </c>
      <c r="U148" s="62">
        <v>13000</v>
      </c>
      <c r="V148" s="62">
        <v>13000</v>
      </c>
      <c r="W148" s="62">
        <v>13000</v>
      </c>
      <c r="X148" s="62">
        <v>13000</v>
      </c>
      <c r="Y148" s="62">
        <v>13000</v>
      </c>
      <c r="Z148" s="62">
        <v>13000</v>
      </c>
      <c r="AA148" s="62">
        <v>13000</v>
      </c>
      <c r="AB148" s="62">
        <v>13000</v>
      </c>
      <c r="AC148" s="61">
        <f t="shared" ref="AC148:AC211" si="3">+SUM(E148:AB148)</f>
        <v>312000</v>
      </c>
      <c r="AD148" s="107"/>
    </row>
    <row r="149" spans="1:30" ht="15.75" thickBot="1" x14ac:dyDescent="0.3">
      <c r="A149" s="49">
        <v>2029</v>
      </c>
      <c r="B149" s="50">
        <v>9</v>
      </c>
      <c r="C149" s="50">
        <v>5</v>
      </c>
      <c r="D149" s="51" t="s">
        <v>134</v>
      </c>
      <c r="E149" s="62">
        <v>13000</v>
      </c>
      <c r="F149" s="62">
        <v>13000</v>
      </c>
      <c r="G149" s="62">
        <v>13000</v>
      </c>
      <c r="H149" s="62">
        <v>13000</v>
      </c>
      <c r="I149" s="62">
        <v>13000</v>
      </c>
      <c r="J149" s="62">
        <v>13000</v>
      </c>
      <c r="K149" s="62">
        <v>13000</v>
      </c>
      <c r="L149" s="62">
        <v>13000</v>
      </c>
      <c r="M149" s="62">
        <v>13000</v>
      </c>
      <c r="N149" s="62">
        <v>13000</v>
      </c>
      <c r="O149" s="62">
        <v>13000</v>
      </c>
      <c r="P149" s="62">
        <v>13000</v>
      </c>
      <c r="Q149" s="62">
        <v>13000</v>
      </c>
      <c r="R149" s="62">
        <v>13000</v>
      </c>
      <c r="S149" s="62">
        <v>13000</v>
      </c>
      <c r="T149" s="62">
        <v>13000</v>
      </c>
      <c r="U149" s="62">
        <v>13000</v>
      </c>
      <c r="V149" s="62">
        <v>13000</v>
      </c>
      <c r="W149" s="62">
        <v>13000</v>
      </c>
      <c r="X149" s="62">
        <v>13000</v>
      </c>
      <c r="Y149" s="62">
        <v>13000</v>
      </c>
      <c r="Z149" s="62">
        <v>13000</v>
      </c>
      <c r="AA149" s="62">
        <v>13000</v>
      </c>
      <c r="AB149" s="62">
        <v>13000</v>
      </c>
      <c r="AC149" s="53">
        <f t="shared" si="3"/>
        <v>312000</v>
      </c>
      <c r="AD149" s="105">
        <f>+SUMPRODUCT(AC149:AC151,C149:C151)</f>
        <v>9360000</v>
      </c>
    </row>
    <row r="150" spans="1:30" ht="15.75" thickBot="1" x14ac:dyDescent="0.3">
      <c r="A150" s="54">
        <v>2029</v>
      </c>
      <c r="B150" s="55">
        <v>9</v>
      </c>
      <c r="C150" s="55">
        <v>20</v>
      </c>
      <c r="D150" s="56" t="s">
        <v>135</v>
      </c>
      <c r="E150" s="62">
        <v>13000</v>
      </c>
      <c r="F150" s="62">
        <v>13000</v>
      </c>
      <c r="G150" s="62">
        <v>13000</v>
      </c>
      <c r="H150" s="62">
        <v>13000</v>
      </c>
      <c r="I150" s="62">
        <v>13000</v>
      </c>
      <c r="J150" s="62">
        <v>13000</v>
      </c>
      <c r="K150" s="62">
        <v>13000</v>
      </c>
      <c r="L150" s="62">
        <v>13000</v>
      </c>
      <c r="M150" s="62">
        <v>13000</v>
      </c>
      <c r="N150" s="62">
        <v>13000</v>
      </c>
      <c r="O150" s="62">
        <v>13000</v>
      </c>
      <c r="P150" s="62">
        <v>13000</v>
      </c>
      <c r="Q150" s="62">
        <v>13000</v>
      </c>
      <c r="R150" s="62">
        <v>13000</v>
      </c>
      <c r="S150" s="62">
        <v>13000</v>
      </c>
      <c r="T150" s="62">
        <v>13000</v>
      </c>
      <c r="U150" s="62">
        <v>13000</v>
      </c>
      <c r="V150" s="62">
        <v>13000</v>
      </c>
      <c r="W150" s="62">
        <v>13000</v>
      </c>
      <c r="X150" s="62">
        <v>13000</v>
      </c>
      <c r="Y150" s="62">
        <v>13000</v>
      </c>
      <c r="Z150" s="62">
        <v>13000</v>
      </c>
      <c r="AA150" s="62">
        <v>13000</v>
      </c>
      <c r="AB150" s="62">
        <v>13000</v>
      </c>
      <c r="AC150" s="57">
        <f t="shared" si="3"/>
        <v>312000</v>
      </c>
      <c r="AD150" s="106"/>
    </row>
    <row r="151" spans="1:30" ht="15.75" thickBot="1" x14ac:dyDescent="0.3">
      <c r="A151" s="58">
        <v>2029</v>
      </c>
      <c r="B151" s="59">
        <v>9</v>
      </c>
      <c r="C151" s="59">
        <v>5</v>
      </c>
      <c r="D151" s="60" t="s">
        <v>136</v>
      </c>
      <c r="E151" s="62">
        <v>13000</v>
      </c>
      <c r="F151" s="62">
        <v>13000</v>
      </c>
      <c r="G151" s="62">
        <v>13000</v>
      </c>
      <c r="H151" s="62">
        <v>13000</v>
      </c>
      <c r="I151" s="62">
        <v>13000</v>
      </c>
      <c r="J151" s="62">
        <v>13000</v>
      </c>
      <c r="K151" s="62">
        <v>13000</v>
      </c>
      <c r="L151" s="62">
        <v>13000</v>
      </c>
      <c r="M151" s="62">
        <v>13000</v>
      </c>
      <c r="N151" s="62">
        <v>13000</v>
      </c>
      <c r="O151" s="62">
        <v>13000</v>
      </c>
      <c r="P151" s="62">
        <v>13000</v>
      </c>
      <c r="Q151" s="62">
        <v>13000</v>
      </c>
      <c r="R151" s="62">
        <v>13000</v>
      </c>
      <c r="S151" s="62">
        <v>13000</v>
      </c>
      <c r="T151" s="62">
        <v>13000</v>
      </c>
      <c r="U151" s="62">
        <v>13000</v>
      </c>
      <c r="V151" s="62">
        <v>13000</v>
      </c>
      <c r="W151" s="62">
        <v>13000</v>
      </c>
      <c r="X151" s="62">
        <v>13000</v>
      </c>
      <c r="Y151" s="62">
        <v>13000</v>
      </c>
      <c r="Z151" s="62">
        <v>13000</v>
      </c>
      <c r="AA151" s="62">
        <v>13000</v>
      </c>
      <c r="AB151" s="62">
        <v>13000</v>
      </c>
      <c r="AC151" s="61">
        <f t="shared" si="3"/>
        <v>312000</v>
      </c>
      <c r="AD151" s="107"/>
    </row>
    <row r="152" spans="1:30" ht="15.75" thickBot="1" x14ac:dyDescent="0.3">
      <c r="A152" s="49">
        <v>2029</v>
      </c>
      <c r="B152" s="50">
        <v>10</v>
      </c>
      <c r="C152" s="50">
        <v>5</v>
      </c>
      <c r="D152" s="51" t="s">
        <v>134</v>
      </c>
      <c r="E152" s="62">
        <v>13000</v>
      </c>
      <c r="F152" s="62">
        <v>13000</v>
      </c>
      <c r="G152" s="62">
        <v>13000</v>
      </c>
      <c r="H152" s="62">
        <v>13000</v>
      </c>
      <c r="I152" s="62">
        <v>13000</v>
      </c>
      <c r="J152" s="62">
        <v>13000</v>
      </c>
      <c r="K152" s="62">
        <v>13000</v>
      </c>
      <c r="L152" s="62">
        <v>13000</v>
      </c>
      <c r="M152" s="62">
        <v>13000</v>
      </c>
      <c r="N152" s="62">
        <v>13000</v>
      </c>
      <c r="O152" s="62">
        <v>13000</v>
      </c>
      <c r="P152" s="62">
        <v>13000</v>
      </c>
      <c r="Q152" s="62">
        <v>13000</v>
      </c>
      <c r="R152" s="62">
        <v>13000</v>
      </c>
      <c r="S152" s="62">
        <v>13000</v>
      </c>
      <c r="T152" s="62">
        <v>13000</v>
      </c>
      <c r="U152" s="62">
        <v>13000</v>
      </c>
      <c r="V152" s="62">
        <v>13000</v>
      </c>
      <c r="W152" s="62">
        <v>13000</v>
      </c>
      <c r="X152" s="62">
        <v>13000</v>
      </c>
      <c r="Y152" s="62">
        <v>13000</v>
      </c>
      <c r="Z152" s="62">
        <v>13000</v>
      </c>
      <c r="AA152" s="62">
        <v>13000</v>
      </c>
      <c r="AB152" s="62">
        <v>13000</v>
      </c>
      <c r="AC152" s="53">
        <f t="shared" si="3"/>
        <v>312000</v>
      </c>
      <c r="AD152" s="105">
        <f>+SUMPRODUCT(AC152:AC154,C152:C154)</f>
        <v>9672000</v>
      </c>
    </row>
    <row r="153" spans="1:30" ht="15.75" thickBot="1" x14ac:dyDescent="0.3">
      <c r="A153" s="54">
        <v>2029</v>
      </c>
      <c r="B153" s="55">
        <v>10</v>
      </c>
      <c r="C153" s="55">
        <v>22</v>
      </c>
      <c r="D153" s="56" t="s">
        <v>135</v>
      </c>
      <c r="E153" s="62">
        <v>13000</v>
      </c>
      <c r="F153" s="62">
        <v>13000</v>
      </c>
      <c r="G153" s="62">
        <v>13000</v>
      </c>
      <c r="H153" s="62">
        <v>13000</v>
      </c>
      <c r="I153" s="62">
        <v>13000</v>
      </c>
      <c r="J153" s="62">
        <v>13000</v>
      </c>
      <c r="K153" s="62">
        <v>13000</v>
      </c>
      <c r="L153" s="62">
        <v>13000</v>
      </c>
      <c r="M153" s="62">
        <v>13000</v>
      </c>
      <c r="N153" s="62">
        <v>13000</v>
      </c>
      <c r="O153" s="62">
        <v>13000</v>
      </c>
      <c r="P153" s="62">
        <v>13000</v>
      </c>
      <c r="Q153" s="62">
        <v>13000</v>
      </c>
      <c r="R153" s="62">
        <v>13000</v>
      </c>
      <c r="S153" s="62">
        <v>13000</v>
      </c>
      <c r="T153" s="62">
        <v>13000</v>
      </c>
      <c r="U153" s="62">
        <v>13000</v>
      </c>
      <c r="V153" s="62">
        <v>13000</v>
      </c>
      <c r="W153" s="62">
        <v>13000</v>
      </c>
      <c r="X153" s="62">
        <v>13000</v>
      </c>
      <c r="Y153" s="62">
        <v>13000</v>
      </c>
      <c r="Z153" s="62">
        <v>13000</v>
      </c>
      <c r="AA153" s="62">
        <v>13000</v>
      </c>
      <c r="AB153" s="62">
        <v>13000</v>
      </c>
      <c r="AC153" s="57">
        <f t="shared" si="3"/>
        <v>312000</v>
      </c>
      <c r="AD153" s="106"/>
    </row>
    <row r="154" spans="1:30" ht="15.75" thickBot="1" x14ac:dyDescent="0.3">
      <c r="A154" s="58">
        <v>2029</v>
      </c>
      <c r="B154" s="59">
        <v>10</v>
      </c>
      <c r="C154" s="59">
        <v>4</v>
      </c>
      <c r="D154" s="60" t="s">
        <v>136</v>
      </c>
      <c r="E154" s="62">
        <v>13000</v>
      </c>
      <c r="F154" s="62">
        <v>13000</v>
      </c>
      <c r="G154" s="62">
        <v>13000</v>
      </c>
      <c r="H154" s="62">
        <v>13000</v>
      </c>
      <c r="I154" s="62">
        <v>13000</v>
      </c>
      <c r="J154" s="62">
        <v>13000</v>
      </c>
      <c r="K154" s="62">
        <v>13000</v>
      </c>
      <c r="L154" s="62">
        <v>13000</v>
      </c>
      <c r="M154" s="62">
        <v>13000</v>
      </c>
      <c r="N154" s="62">
        <v>13000</v>
      </c>
      <c r="O154" s="62">
        <v>13000</v>
      </c>
      <c r="P154" s="62">
        <v>13000</v>
      </c>
      <c r="Q154" s="62">
        <v>13000</v>
      </c>
      <c r="R154" s="62">
        <v>13000</v>
      </c>
      <c r="S154" s="62">
        <v>13000</v>
      </c>
      <c r="T154" s="62">
        <v>13000</v>
      </c>
      <c r="U154" s="62">
        <v>13000</v>
      </c>
      <c r="V154" s="62">
        <v>13000</v>
      </c>
      <c r="W154" s="62">
        <v>13000</v>
      </c>
      <c r="X154" s="62">
        <v>13000</v>
      </c>
      <c r="Y154" s="62">
        <v>13000</v>
      </c>
      <c r="Z154" s="62">
        <v>13000</v>
      </c>
      <c r="AA154" s="62">
        <v>13000</v>
      </c>
      <c r="AB154" s="62">
        <v>13000</v>
      </c>
      <c r="AC154" s="61">
        <f t="shared" si="3"/>
        <v>312000</v>
      </c>
      <c r="AD154" s="107"/>
    </row>
    <row r="155" spans="1:30" ht="15.75" thickBot="1" x14ac:dyDescent="0.3">
      <c r="A155" s="49">
        <v>2029</v>
      </c>
      <c r="B155" s="50">
        <v>11</v>
      </c>
      <c r="C155" s="50">
        <v>6</v>
      </c>
      <c r="D155" s="51" t="s">
        <v>134</v>
      </c>
      <c r="E155" s="62">
        <v>13000</v>
      </c>
      <c r="F155" s="62">
        <v>13000</v>
      </c>
      <c r="G155" s="62">
        <v>13000</v>
      </c>
      <c r="H155" s="62">
        <v>13000</v>
      </c>
      <c r="I155" s="62">
        <v>13000</v>
      </c>
      <c r="J155" s="62">
        <v>13000</v>
      </c>
      <c r="K155" s="62">
        <v>13000</v>
      </c>
      <c r="L155" s="62">
        <v>13000</v>
      </c>
      <c r="M155" s="62">
        <v>13000</v>
      </c>
      <c r="N155" s="62">
        <v>13000</v>
      </c>
      <c r="O155" s="62">
        <v>13000</v>
      </c>
      <c r="P155" s="62">
        <v>13000</v>
      </c>
      <c r="Q155" s="62">
        <v>13000</v>
      </c>
      <c r="R155" s="62">
        <v>13000</v>
      </c>
      <c r="S155" s="62">
        <v>13000</v>
      </c>
      <c r="T155" s="62">
        <v>13000</v>
      </c>
      <c r="U155" s="62">
        <v>13000</v>
      </c>
      <c r="V155" s="62">
        <v>13000</v>
      </c>
      <c r="W155" s="62">
        <v>13000</v>
      </c>
      <c r="X155" s="62">
        <v>13000</v>
      </c>
      <c r="Y155" s="62">
        <v>13000</v>
      </c>
      <c r="Z155" s="62">
        <v>13000</v>
      </c>
      <c r="AA155" s="62">
        <v>13000</v>
      </c>
      <c r="AB155" s="62">
        <v>13000</v>
      </c>
      <c r="AC155" s="53">
        <f t="shared" si="3"/>
        <v>312000</v>
      </c>
      <c r="AD155" s="105">
        <f>+SUMPRODUCT(AC155:AC157,C155:C157)</f>
        <v>9360000</v>
      </c>
    </row>
    <row r="156" spans="1:30" ht="15.75" thickBot="1" x14ac:dyDescent="0.3">
      <c r="A156" s="54">
        <v>2029</v>
      </c>
      <c r="B156" s="55">
        <v>11</v>
      </c>
      <c r="C156" s="55">
        <v>20</v>
      </c>
      <c r="D156" s="56" t="s">
        <v>135</v>
      </c>
      <c r="E156" s="62">
        <v>13000</v>
      </c>
      <c r="F156" s="62">
        <v>13000</v>
      </c>
      <c r="G156" s="62">
        <v>13000</v>
      </c>
      <c r="H156" s="62">
        <v>13000</v>
      </c>
      <c r="I156" s="62">
        <v>13000</v>
      </c>
      <c r="J156" s="62">
        <v>13000</v>
      </c>
      <c r="K156" s="62">
        <v>13000</v>
      </c>
      <c r="L156" s="62">
        <v>13000</v>
      </c>
      <c r="M156" s="62">
        <v>13000</v>
      </c>
      <c r="N156" s="62">
        <v>13000</v>
      </c>
      <c r="O156" s="62">
        <v>13000</v>
      </c>
      <c r="P156" s="62">
        <v>13000</v>
      </c>
      <c r="Q156" s="62">
        <v>13000</v>
      </c>
      <c r="R156" s="62">
        <v>13000</v>
      </c>
      <c r="S156" s="62">
        <v>13000</v>
      </c>
      <c r="T156" s="62">
        <v>13000</v>
      </c>
      <c r="U156" s="62">
        <v>13000</v>
      </c>
      <c r="V156" s="62">
        <v>13000</v>
      </c>
      <c r="W156" s="62">
        <v>13000</v>
      </c>
      <c r="X156" s="62">
        <v>13000</v>
      </c>
      <c r="Y156" s="62">
        <v>13000</v>
      </c>
      <c r="Z156" s="62">
        <v>13000</v>
      </c>
      <c r="AA156" s="62">
        <v>13000</v>
      </c>
      <c r="AB156" s="62">
        <v>13000</v>
      </c>
      <c r="AC156" s="57">
        <f t="shared" si="3"/>
        <v>312000</v>
      </c>
      <c r="AD156" s="106"/>
    </row>
    <row r="157" spans="1:30" ht="15.75" thickBot="1" x14ac:dyDescent="0.3">
      <c r="A157" s="58">
        <v>2029</v>
      </c>
      <c r="B157" s="59">
        <v>11</v>
      </c>
      <c r="C157" s="59">
        <v>4</v>
      </c>
      <c r="D157" s="60" t="s">
        <v>136</v>
      </c>
      <c r="E157" s="62">
        <v>13000</v>
      </c>
      <c r="F157" s="62">
        <v>13000</v>
      </c>
      <c r="G157" s="62">
        <v>13000</v>
      </c>
      <c r="H157" s="62">
        <v>13000</v>
      </c>
      <c r="I157" s="62">
        <v>13000</v>
      </c>
      <c r="J157" s="62">
        <v>13000</v>
      </c>
      <c r="K157" s="62">
        <v>13000</v>
      </c>
      <c r="L157" s="62">
        <v>13000</v>
      </c>
      <c r="M157" s="62">
        <v>13000</v>
      </c>
      <c r="N157" s="62">
        <v>13000</v>
      </c>
      <c r="O157" s="62">
        <v>13000</v>
      </c>
      <c r="P157" s="62">
        <v>13000</v>
      </c>
      <c r="Q157" s="62">
        <v>13000</v>
      </c>
      <c r="R157" s="62">
        <v>13000</v>
      </c>
      <c r="S157" s="62">
        <v>13000</v>
      </c>
      <c r="T157" s="62">
        <v>13000</v>
      </c>
      <c r="U157" s="62">
        <v>13000</v>
      </c>
      <c r="V157" s="62">
        <v>13000</v>
      </c>
      <c r="W157" s="62">
        <v>13000</v>
      </c>
      <c r="X157" s="62">
        <v>13000</v>
      </c>
      <c r="Y157" s="62">
        <v>13000</v>
      </c>
      <c r="Z157" s="62">
        <v>13000</v>
      </c>
      <c r="AA157" s="62">
        <v>13000</v>
      </c>
      <c r="AB157" s="62">
        <v>13000</v>
      </c>
      <c r="AC157" s="61">
        <f t="shared" si="3"/>
        <v>312000</v>
      </c>
      <c r="AD157" s="107"/>
    </row>
    <row r="158" spans="1:30" ht="15.75" thickBot="1" x14ac:dyDescent="0.3">
      <c r="A158" s="49">
        <v>2029</v>
      </c>
      <c r="B158" s="50">
        <v>12</v>
      </c>
      <c r="C158" s="50">
        <v>7</v>
      </c>
      <c r="D158" s="51" t="s">
        <v>134</v>
      </c>
      <c r="E158" s="62">
        <v>13000</v>
      </c>
      <c r="F158" s="62">
        <v>13000</v>
      </c>
      <c r="G158" s="62">
        <v>13000</v>
      </c>
      <c r="H158" s="62">
        <v>13000</v>
      </c>
      <c r="I158" s="62">
        <v>13000</v>
      </c>
      <c r="J158" s="62">
        <v>13000</v>
      </c>
      <c r="K158" s="62">
        <v>13000</v>
      </c>
      <c r="L158" s="62">
        <v>13000</v>
      </c>
      <c r="M158" s="62">
        <v>13000</v>
      </c>
      <c r="N158" s="62">
        <v>13000</v>
      </c>
      <c r="O158" s="62">
        <v>13000</v>
      </c>
      <c r="P158" s="62">
        <v>13000</v>
      </c>
      <c r="Q158" s="62">
        <v>13000</v>
      </c>
      <c r="R158" s="62">
        <v>13000</v>
      </c>
      <c r="S158" s="62">
        <v>13000</v>
      </c>
      <c r="T158" s="62">
        <v>13000</v>
      </c>
      <c r="U158" s="62">
        <v>13000</v>
      </c>
      <c r="V158" s="62">
        <v>13000</v>
      </c>
      <c r="W158" s="62">
        <v>13000</v>
      </c>
      <c r="X158" s="62">
        <v>13000</v>
      </c>
      <c r="Y158" s="62">
        <v>13000</v>
      </c>
      <c r="Z158" s="62">
        <v>13000</v>
      </c>
      <c r="AA158" s="62">
        <v>13000</v>
      </c>
      <c r="AB158" s="62">
        <v>13000</v>
      </c>
      <c r="AC158" s="53">
        <f t="shared" si="3"/>
        <v>312000</v>
      </c>
      <c r="AD158" s="105">
        <f>+SUMPRODUCT(AC158:AC160,C158:C160)</f>
        <v>9672000</v>
      </c>
    </row>
    <row r="159" spans="1:30" ht="15.75" thickBot="1" x14ac:dyDescent="0.3">
      <c r="A159" s="54">
        <v>2029</v>
      </c>
      <c r="B159" s="55">
        <v>12</v>
      </c>
      <c r="C159" s="55">
        <v>20</v>
      </c>
      <c r="D159" s="56" t="s">
        <v>135</v>
      </c>
      <c r="E159" s="62">
        <v>13000</v>
      </c>
      <c r="F159" s="62">
        <v>13000</v>
      </c>
      <c r="G159" s="62">
        <v>13000</v>
      </c>
      <c r="H159" s="62">
        <v>13000</v>
      </c>
      <c r="I159" s="62">
        <v>13000</v>
      </c>
      <c r="J159" s="62">
        <v>13000</v>
      </c>
      <c r="K159" s="62">
        <v>13000</v>
      </c>
      <c r="L159" s="62">
        <v>13000</v>
      </c>
      <c r="M159" s="62">
        <v>13000</v>
      </c>
      <c r="N159" s="62">
        <v>13000</v>
      </c>
      <c r="O159" s="62">
        <v>13000</v>
      </c>
      <c r="P159" s="62">
        <v>13000</v>
      </c>
      <c r="Q159" s="62">
        <v>13000</v>
      </c>
      <c r="R159" s="62">
        <v>13000</v>
      </c>
      <c r="S159" s="62">
        <v>13000</v>
      </c>
      <c r="T159" s="62">
        <v>13000</v>
      </c>
      <c r="U159" s="62">
        <v>13000</v>
      </c>
      <c r="V159" s="62">
        <v>13000</v>
      </c>
      <c r="W159" s="62">
        <v>13000</v>
      </c>
      <c r="X159" s="62">
        <v>13000</v>
      </c>
      <c r="Y159" s="62">
        <v>13000</v>
      </c>
      <c r="Z159" s="62">
        <v>13000</v>
      </c>
      <c r="AA159" s="62">
        <v>13000</v>
      </c>
      <c r="AB159" s="62">
        <v>13000</v>
      </c>
      <c r="AC159" s="57">
        <f t="shared" si="3"/>
        <v>312000</v>
      </c>
      <c r="AD159" s="106"/>
    </row>
    <row r="160" spans="1:30" ht="15.75" thickBot="1" x14ac:dyDescent="0.3">
      <c r="A160" s="58">
        <v>2029</v>
      </c>
      <c r="B160" s="59">
        <v>12</v>
      </c>
      <c r="C160" s="59">
        <v>4</v>
      </c>
      <c r="D160" s="60" t="s">
        <v>136</v>
      </c>
      <c r="E160" s="62">
        <v>13000</v>
      </c>
      <c r="F160" s="62">
        <v>13000</v>
      </c>
      <c r="G160" s="62">
        <v>13000</v>
      </c>
      <c r="H160" s="62">
        <v>13000</v>
      </c>
      <c r="I160" s="62">
        <v>13000</v>
      </c>
      <c r="J160" s="62">
        <v>13000</v>
      </c>
      <c r="K160" s="62">
        <v>13000</v>
      </c>
      <c r="L160" s="62">
        <v>13000</v>
      </c>
      <c r="M160" s="62">
        <v>13000</v>
      </c>
      <c r="N160" s="62">
        <v>13000</v>
      </c>
      <c r="O160" s="62">
        <v>13000</v>
      </c>
      <c r="P160" s="62">
        <v>13000</v>
      </c>
      <c r="Q160" s="62">
        <v>13000</v>
      </c>
      <c r="R160" s="62">
        <v>13000</v>
      </c>
      <c r="S160" s="62">
        <v>13000</v>
      </c>
      <c r="T160" s="62">
        <v>13000</v>
      </c>
      <c r="U160" s="62">
        <v>13000</v>
      </c>
      <c r="V160" s="62">
        <v>13000</v>
      </c>
      <c r="W160" s="62">
        <v>13000</v>
      </c>
      <c r="X160" s="62">
        <v>13000</v>
      </c>
      <c r="Y160" s="62">
        <v>13000</v>
      </c>
      <c r="Z160" s="62">
        <v>13000</v>
      </c>
      <c r="AA160" s="62">
        <v>13000</v>
      </c>
      <c r="AB160" s="62">
        <v>13000</v>
      </c>
      <c r="AC160" s="61">
        <f t="shared" si="3"/>
        <v>312000</v>
      </c>
      <c r="AD160" s="107"/>
    </row>
    <row r="161" spans="1:30" ht="15.75" thickBot="1" x14ac:dyDescent="0.3">
      <c r="A161" s="49">
        <v>2030</v>
      </c>
      <c r="B161" s="50">
        <v>1</v>
      </c>
      <c r="C161" s="50">
        <v>6</v>
      </c>
      <c r="D161" s="51" t="s">
        <v>134</v>
      </c>
      <c r="E161" s="62">
        <v>13000</v>
      </c>
      <c r="F161" s="62">
        <v>13000</v>
      </c>
      <c r="G161" s="62">
        <v>13000</v>
      </c>
      <c r="H161" s="62">
        <v>13000</v>
      </c>
      <c r="I161" s="62">
        <v>13000</v>
      </c>
      <c r="J161" s="62">
        <v>13000</v>
      </c>
      <c r="K161" s="62">
        <v>13000</v>
      </c>
      <c r="L161" s="62">
        <v>13000</v>
      </c>
      <c r="M161" s="62">
        <v>13000</v>
      </c>
      <c r="N161" s="62">
        <v>13000</v>
      </c>
      <c r="O161" s="62">
        <v>13000</v>
      </c>
      <c r="P161" s="62">
        <v>13000</v>
      </c>
      <c r="Q161" s="62">
        <v>13000</v>
      </c>
      <c r="R161" s="62">
        <v>13000</v>
      </c>
      <c r="S161" s="62">
        <v>13000</v>
      </c>
      <c r="T161" s="62">
        <v>13000</v>
      </c>
      <c r="U161" s="62">
        <v>13000</v>
      </c>
      <c r="V161" s="62">
        <v>13000</v>
      </c>
      <c r="W161" s="62">
        <v>13000</v>
      </c>
      <c r="X161" s="62">
        <v>13000</v>
      </c>
      <c r="Y161" s="62">
        <v>13000</v>
      </c>
      <c r="Z161" s="62">
        <v>13000</v>
      </c>
      <c r="AA161" s="62">
        <v>13000</v>
      </c>
      <c r="AB161" s="62">
        <v>13000</v>
      </c>
      <c r="AC161" s="53">
        <f t="shared" si="3"/>
        <v>312000</v>
      </c>
      <c r="AD161" s="105">
        <f>+SUMPRODUCT(AC161:AC163,C161:C163)</f>
        <v>9672000</v>
      </c>
    </row>
    <row r="162" spans="1:30" ht="15.75" thickBot="1" x14ac:dyDescent="0.3">
      <c r="A162" s="54">
        <v>2030</v>
      </c>
      <c r="B162" s="55">
        <v>1</v>
      </c>
      <c r="C162" s="55">
        <v>21</v>
      </c>
      <c r="D162" s="56" t="s">
        <v>135</v>
      </c>
      <c r="E162" s="62">
        <v>13000</v>
      </c>
      <c r="F162" s="62">
        <v>13000</v>
      </c>
      <c r="G162" s="62">
        <v>13000</v>
      </c>
      <c r="H162" s="62">
        <v>13000</v>
      </c>
      <c r="I162" s="62">
        <v>13000</v>
      </c>
      <c r="J162" s="62">
        <v>13000</v>
      </c>
      <c r="K162" s="62">
        <v>13000</v>
      </c>
      <c r="L162" s="62">
        <v>13000</v>
      </c>
      <c r="M162" s="62">
        <v>13000</v>
      </c>
      <c r="N162" s="62">
        <v>13000</v>
      </c>
      <c r="O162" s="62">
        <v>13000</v>
      </c>
      <c r="P162" s="62">
        <v>13000</v>
      </c>
      <c r="Q162" s="62">
        <v>13000</v>
      </c>
      <c r="R162" s="62">
        <v>13000</v>
      </c>
      <c r="S162" s="62">
        <v>13000</v>
      </c>
      <c r="T162" s="62">
        <v>13000</v>
      </c>
      <c r="U162" s="62">
        <v>13000</v>
      </c>
      <c r="V162" s="62">
        <v>13000</v>
      </c>
      <c r="W162" s="62">
        <v>13000</v>
      </c>
      <c r="X162" s="62">
        <v>13000</v>
      </c>
      <c r="Y162" s="62">
        <v>13000</v>
      </c>
      <c r="Z162" s="62">
        <v>13000</v>
      </c>
      <c r="AA162" s="62">
        <v>13000</v>
      </c>
      <c r="AB162" s="62">
        <v>13000</v>
      </c>
      <c r="AC162" s="57">
        <f t="shared" si="3"/>
        <v>312000</v>
      </c>
      <c r="AD162" s="106"/>
    </row>
    <row r="163" spans="1:30" ht="15.75" thickBot="1" x14ac:dyDescent="0.3">
      <c r="A163" s="58">
        <v>2030</v>
      </c>
      <c r="B163" s="59">
        <v>1</v>
      </c>
      <c r="C163" s="59">
        <v>4</v>
      </c>
      <c r="D163" s="60" t="s">
        <v>136</v>
      </c>
      <c r="E163" s="62">
        <v>13000</v>
      </c>
      <c r="F163" s="62">
        <v>13000</v>
      </c>
      <c r="G163" s="62">
        <v>13000</v>
      </c>
      <c r="H163" s="62">
        <v>13000</v>
      </c>
      <c r="I163" s="62">
        <v>13000</v>
      </c>
      <c r="J163" s="62">
        <v>13000</v>
      </c>
      <c r="K163" s="62">
        <v>13000</v>
      </c>
      <c r="L163" s="62">
        <v>13000</v>
      </c>
      <c r="M163" s="62">
        <v>13000</v>
      </c>
      <c r="N163" s="62">
        <v>13000</v>
      </c>
      <c r="O163" s="62">
        <v>13000</v>
      </c>
      <c r="P163" s="62">
        <v>13000</v>
      </c>
      <c r="Q163" s="62">
        <v>13000</v>
      </c>
      <c r="R163" s="62">
        <v>13000</v>
      </c>
      <c r="S163" s="62">
        <v>13000</v>
      </c>
      <c r="T163" s="62">
        <v>13000</v>
      </c>
      <c r="U163" s="62">
        <v>13000</v>
      </c>
      <c r="V163" s="62">
        <v>13000</v>
      </c>
      <c r="W163" s="62">
        <v>13000</v>
      </c>
      <c r="X163" s="62">
        <v>13000</v>
      </c>
      <c r="Y163" s="62">
        <v>13000</v>
      </c>
      <c r="Z163" s="62">
        <v>13000</v>
      </c>
      <c r="AA163" s="62">
        <v>13000</v>
      </c>
      <c r="AB163" s="62">
        <v>13000</v>
      </c>
      <c r="AC163" s="61">
        <f t="shared" si="3"/>
        <v>312000</v>
      </c>
      <c r="AD163" s="107"/>
    </row>
    <row r="164" spans="1:30" ht="15.75" thickBot="1" x14ac:dyDescent="0.3">
      <c r="A164" s="49">
        <v>2030</v>
      </c>
      <c r="B164" s="50">
        <v>2</v>
      </c>
      <c r="C164" s="50">
        <v>4</v>
      </c>
      <c r="D164" s="51" t="s">
        <v>134</v>
      </c>
      <c r="E164" s="62">
        <v>13000</v>
      </c>
      <c r="F164" s="62">
        <v>13000</v>
      </c>
      <c r="G164" s="62">
        <v>13000</v>
      </c>
      <c r="H164" s="62">
        <v>13000</v>
      </c>
      <c r="I164" s="62">
        <v>13000</v>
      </c>
      <c r="J164" s="62">
        <v>13000</v>
      </c>
      <c r="K164" s="62">
        <v>13000</v>
      </c>
      <c r="L164" s="62">
        <v>13000</v>
      </c>
      <c r="M164" s="62">
        <v>13000</v>
      </c>
      <c r="N164" s="62">
        <v>13000</v>
      </c>
      <c r="O164" s="62">
        <v>13000</v>
      </c>
      <c r="P164" s="62">
        <v>13000</v>
      </c>
      <c r="Q164" s="62">
        <v>13000</v>
      </c>
      <c r="R164" s="62">
        <v>13000</v>
      </c>
      <c r="S164" s="62">
        <v>13000</v>
      </c>
      <c r="T164" s="62">
        <v>13000</v>
      </c>
      <c r="U164" s="62">
        <v>13000</v>
      </c>
      <c r="V164" s="62">
        <v>13000</v>
      </c>
      <c r="W164" s="62">
        <v>13000</v>
      </c>
      <c r="X164" s="62">
        <v>13000</v>
      </c>
      <c r="Y164" s="62">
        <v>13000</v>
      </c>
      <c r="Z164" s="62">
        <v>13000</v>
      </c>
      <c r="AA164" s="62">
        <v>13000</v>
      </c>
      <c r="AB164" s="62">
        <v>13000</v>
      </c>
      <c r="AC164" s="53">
        <f t="shared" si="3"/>
        <v>312000</v>
      </c>
      <c r="AD164" s="105">
        <f>+SUMPRODUCT(AC164:AC166,C164:C166)</f>
        <v>8736000</v>
      </c>
    </row>
    <row r="165" spans="1:30" ht="15.75" thickBot="1" x14ac:dyDescent="0.3">
      <c r="A165" s="54">
        <v>2030</v>
      </c>
      <c r="B165" s="55">
        <v>2</v>
      </c>
      <c r="C165" s="55">
        <v>20</v>
      </c>
      <c r="D165" s="56" t="s">
        <v>135</v>
      </c>
      <c r="E165" s="62">
        <v>13000</v>
      </c>
      <c r="F165" s="62">
        <v>13000</v>
      </c>
      <c r="G165" s="62">
        <v>13000</v>
      </c>
      <c r="H165" s="62">
        <v>13000</v>
      </c>
      <c r="I165" s="62">
        <v>13000</v>
      </c>
      <c r="J165" s="62">
        <v>13000</v>
      </c>
      <c r="K165" s="62">
        <v>13000</v>
      </c>
      <c r="L165" s="62">
        <v>13000</v>
      </c>
      <c r="M165" s="62">
        <v>13000</v>
      </c>
      <c r="N165" s="62">
        <v>13000</v>
      </c>
      <c r="O165" s="62">
        <v>13000</v>
      </c>
      <c r="P165" s="62">
        <v>13000</v>
      </c>
      <c r="Q165" s="62">
        <v>13000</v>
      </c>
      <c r="R165" s="62">
        <v>13000</v>
      </c>
      <c r="S165" s="62">
        <v>13000</v>
      </c>
      <c r="T165" s="62">
        <v>13000</v>
      </c>
      <c r="U165" s="62">
        <v>13000</v>
      </c>
      <c r="V165" s="62">
        <v>13000</v>
      </c>
      <c r="W165" s="62">
        <v>13000</v>
      </c>
      <c r="X165" s="62">
        <v>13000</v>
      </c>
      <c r="Y165" s="62">
        <v>13000</v>
      </c>
      <c r="Z165" s="62">
        <v>13000</v>
      </c>
      <c r="AA165" s="62">
        <v>13000</v>
      </c>
      <c r="AB165" s="62">
        <v>13000</v>
      </c>
      <c r="AC165" s="57">
        <f t="shared" si="3"/>
        <v>312000</v>
      </c>
      <c r="AD165" s="106"/>
    </row>
    <row r="166" spans="1:30" ht="15.75" thickBot="1" x14ac:dyDescent="0.3">
      <c r="A166" s="58">
        <v>2030</v>
      </c>
      <c r="B166" s="59">
        <v>2</v>
      </c>
      <c r="C166" s="59">
        <v>4</v>
      </c>
      <c r="D166" s="60" t="s">
        <v>136</v>
      </c>
      <c r="E166" s="62">
        <v>13000</v>
      </c>
      <c r="F166" s="62">
        <v>13000</v>
      </c>
      <c r="G166" s="62">
        <v>13000</v>
      </c>
      <c r="H166" s="62">
        <v>13000</v>
      </c>
      <c r="I166" s="62">
        <v>13000</v>
      </c>
      <c r="J166" s="62">
        <v>13000</v>
      </c>
      <c r="K166" s="62">
        <v>13000</v>
      </c>
      <c r="L166" s="62">
        <v>13000</v>
      </c>
      <c r="M166" s="62">
        <v>13000</v>
      </c>
      <c r="N166" s="62">
        <v>13000</v>
      </c>
      <c r="O166" s="62">
        <v>13000</v>
      </c>
      <c r="P166" s="62">
        <v>13000</v>
      </c>
      <c r="Q166" s="62">
        <v>13000</v>
      </c>
      <c r="R166" s="62">
        <v>13000</v>
      </c>
      <c r="S166" s="62">
        <v>13000</v>
      </c>
      <c r="T166" s="62">
        <v>13000</v>
      </c>
      <c r="U166" s="62">
        <v>13000</v>
      </c>
      <c r="V166" s="62">
        <v>13000</v>
      </c>
      <c r="W166" s="62">
        <v>13000</v>
      </c>
      <c r="X166" s="62">
        <v>13000</v>
      </c>
      <c r="Y166" s="62">
        <v>13000</v>
      </c>
      <c r="Z166" s="62">
        <v>13000</v>
      </c>
      <c r="AA166" s="62">
        <v>13000</v>
      </c>
      <c r="AB166" s="62">
        <v>13000</v>
      </c>
      <c r="AC166" s="61">
        <f t="shared" si="3"/>
        <v>312000</v>
      </c>
      <c r="AD166" s="107"/>
    </row>
    <row r="167" spans="1:30" ht="15.75" thickBot="1" x14ac:dyDescent="0.3">
      <c r="A167" s="49">
        <v>2030</v>
      </c>
      <c r="B167" s="50">
        <v>3</v>
      </c>
      <c r="C167" s="50">
        <v>6</v>
      </c>
      <c r="D167" s="51" t="s">
        <v>134</v>
      </c>
      <c r="E167" s="62">
        <v>13000</v>
      </c>
      <c r="F167" s="62">
        <v>13000</v>
      </c>
      <c r="G167" s="62">
        <v>13000</v>
      </c>
      <c r="H167" s="62">
        <v>13000</v>
      </c>
      <c r="I167" s="62">
        <v>13000</v>
      </c>
      <c r="J167" s="62">
        <v>13000</v>
      </c>
      <c r="K167" s="62">
        <v>13000</v>
      </c>
      <c r="L167" s="62">
        <v>13000</v>
      </c>
      <c r="M167" s="62">
        <v>13000</v>
      </c>
      <c r="N167" s="62">
        <v>13000</v>
      </c>
      <c r="O167" s="62">
        <v>13000</v>
      </c>
      <c r="P167" s="62">
        <v>13000</v>
      </c>
      <c r="Q167" s="62">
        <v>13000</v>
      </c>
      <c r="R167" s="62">
        <v>13000</v>
      </c>
      <c r="S167" s="62">
        <v>13000</v>
      </c>
      <c r="T167" s="62">
        <v>13000</v>
      </c>
      <c r="U167" s="62">
        <v>13000</v>
      </c>
      <c r="V167" s="62">
        <v>13000</v>
      </c>
      <c r="W167" s="62">
        <v>13000</v>
      </c>
      <c r="X167" s="62">
        <v>13000</v>
      </c>
      <c r="Y167" s="62">
        <v>13000</v>
      </c>
      <c r="Z167" s="62">
        <v>13000</v>
      </c>
      <c r="AA167" s="62">
        <v>13000</v>
      </c>
      <c r="AB167" s="62">
        <v>13000</v>
      </c>
      <c r="AC167" s="53">
        <f t="shared" si="3"/>
        <v>312000</v>
      </c>
      <c r="AD167" s="105">
        <f>+SUMPRODUCT(AC167:AC169,C167:C169)</f>
        <v>9672000</v>
      </c>
    </row>
    <row r="168" spans="1:30" ht="15.75" thickBot="1" x14ac:dyDescent="0.3">
      <c r="A168" s="54">
        <v>2030</v>
      </c>
      <c r="B168" s="55">
        <v>3</v>
      </c>
      <c r="C168" s="55">
        <v>20</v>
      </c>
      <c r="D168" s="56" t="s">
        <v>135</v>
      </c>
      <c r="E168" s="62">
        <v>13000</v>
      </c>
      <c r="F168" s="62">
        <v>13000</v>
      </c>
      <c r="G168" s="62">
        <v>13000</v>
      </c>
      <c r="H168" s="62">
        <v>13000</v>
      </c>
      <c r="I168" s="62">
        <v>13000</v>
      </c>
      <c r="J168" s="62">
        <v>13000</v>
      </c>
      <c r="K168" s="62">
        <v>13000</v>
      </c>
      <c r="L168" s="62">
        <v>13000</v>
      </c>
      <c r="M168" s="62">
        <v>13000</v>
      </c>
      <c r="N168" s="62">
        <v>13000</v>
      </c>
      <c r="O168" s="62">
        <v>13000</v>
      </c>
      <c r="P168" s="62">
        <v>13000</v>
      </c>
      <c r="Q168" s="62">
        <v>13000</v>
      </c>
      <c r="R168" s="62">
        <v>13000</v>
      </c>
      <c r="S168" s="62">
        <v>13000</v>
      </c>
      <c r="T168" s="62">
        <v>13000</v>
      </c>
      <c r="U168" s="62">
        <v>13000</v>
      </c>
      <c r="V168" s="62">
        <v>13000</v>
      </c>
      <c r="W168" s="62">
        <v>13000</v>
      </c>
      <c r="X168" s="62">
        <v>13000</v>
      </c>
      <c r="Y168" s="62">
        <v>13000</v>
      </c>
      <c r="Z168" s="62">
        <v>13000</v>
      </c>
      <c r="AA168" s="62">
        <v>13000</v>
      </c>
      <c r="AB168" s="62">
        <v>13000</v>
      </c>
      <c r="AC168" s="57">
        <f t="shared" si="3"/>
        <v>312000</v>
      </c>
      <c r="AD168" s="106"/>
    </row>
    <row r="169" spans="1:30" ht="15.75" thickBot="1" x14ac:dyDescent="0.3">
      <c r="A169" s="58">
        <v>2030</v>
      </c>
      <c r="B169" s="59">
        <v>3</v>
      </c>
      <c r="C169" s="59">
        <v>5</v>
      </c>
      <c r="D169" s="60" t="s">
        <v>136</v>
      </c>
      <c r="E169" s="62">
        <v>13000</v>
      </c>
      <c r="F169" s="62">
        <v>13000</v>
      </c>
      <c r="G169" s="62">
        <v>13000</v>
      </c>
      <c r="H169" s="62">
        <v>13000</v>
      </c>
      <c r="I169" s="62">
        <v>13000</v>
      </c>
      <c r="J169" s="62">
        <v>13000</v>
      </c>
      <c r="K169" s="62">
        <v>13000</v>
      </c>
      <c r="L169" s="62">
        <v>13000</v>
      </c>
      <c r="M169" s="62">
        <v>13000</v>
      </c>
      <c r="N169" s="62">
        <v>13000</v>
      </c>
      <c r="O169" s="62">
        <v>13000</v>
      </c>
      <c r="P169" s="62">
        <v>13000</v>
      </c>
      <c r="Q169" s="62">
        <v>13000</v>
      </c>
      <c r="R169" s="62">
        <v>13000</v>
      </c>
      <c r="S169" s="62">
        <v>13000</v>
      </c>
      <c r="T169" s="62">
        <v>13000</v>
      </c>
      <c r="U169" s="62">
        <v>13000</v>
      </c>
      <c r="V169" s="62">
        <v>13000</v>
      </c>
      <c r="W169" s="62">
        <v>13000</v>
      </c>
      <c r="X169" s="62">
        <v>13000</v>
      </c>
      <c r="Y169" s="62">
        <v>13000</v>
      </c>
      <c r="Z169" s="62">
        <v>13000</v>
      </c>
      <c r="AA169" s="62">
        <v>13000</v>
      </c>
      <c r="AB169" s="62">
        <v>13000</v>
      </c>
      <c r="AC169" s="61">
        <f t="shared" si="3"/>
        <v>312000</v>
      </c>
      <c r="AD169" s="107"/>
    </row>
    <row r="170" spans="1:30" ht="15.75" thickBot="1" x14ac:dyDescent="0.3">
      <c r="A170" s="49">
        <v>2030</v>
      </c>
      <c r="B170" s="50">
        <v>4</v>
      </c>
      <c r="C170" s="50">
        <v>6</v>
      </c>
      <c r="D170" s="51" t="s">
        <v>134</v>
      </c>
      <c r="E170" s="62">
        <v>13000</v>
      </c>
      <c r="F170" s="62">
        <v>13000</v>
      </c>
      <c r="G170" s="62">
        <v>13000</v>
      </c>
      <c r="H170" s="62">
        <v>13000</v>
      </c>
      <c r="I170" s="62">
        <v>13000</v>
      </c>
      <c r="J170" s="62">
        <v>13000</v>
      </c>
      <c r="K170" s="62">
        <v>13000</v>
      </c>
      <c r="L170" s="62">
        <v>13000</v>
      </c>
      <c r="M170" s="62">
        <v>13000</v>
      </c>
      <c r="N170" s="62">
        <v>13000</v>
      </c>
      <c r="O170" s="62">
        <v>13000</v>
      </c>
      <c r="P170" s="62">
        <v>13000</v>
      </c>
      <c r="Q170" s="62">
        <v>13000</v>
      </c>
      <c r="R170" s="62">
        <v>13000</v>
      </c>
      <c r="S170" s="62">
        <v>13000</v>
      </c>
      <c r="T170" s="62">
        <v>13000</v>
      </c>
      <c r="U170" s="62">
        <v>13000</v>
      </c>
      <c r="V170" s="62">
        <v>13000</v>
      </c>
      <c r="W170" s="62">
        <v>13000</v>
      </c>
      <c r="X170" s="62">
        <v>13000</v>
      </c>
      <c r="Y170" s="62">
        <v>13000</v>
      </c>
      <c r="Z170" s="62">
        <v>13000</v>
      </c>
      <c r="AA170" s="62">
        <v>13000</v>
      </c>
      <c r="AB170" s="62">
        <v>13000</v>
      </c>
      <c r="AC170" s="53">
        <f t="shared" si="3"/>
        <v>312000</v>
      </c>
      <c r="AD170" s="105">
        <f>+SUMPRODUCT(AC170:AC172,C170:C172)</f>
        <v>9360000</v>
      </c>
    </row>
    <row r="171" spans="1:30" ht="15.75" thickBot="1" x14ac:dyDescent="0.3">
      <c r="A171" s="54">
        <v>2030</v>
      </c>
      <c r="B171" s="55">
        <v>4</v>
      </c>
      <c r="C171" s="55">
        <v>20</v>
      </c>
      <c r="D171" s="56" t="s">
        <v>135</v>
      </c>
      <c r="E171" s="62">
        <v>13000</v>
      </c>
      <c r="F171" s="62">
        <v>13000</v>
      </c>
      <c r="G171" s="62">
        <v>13000</v>
      </c>
      <c r="H171" s="62">
        <v>13000</v>
      </c>
      <c r="I171" s="62">
        <v>13000</v>
      </c>
      <c r="J171" s="62">
        <v>13000</v>
      </c>
      <c r="K171" s="62">
        <v>13000</v>
      </c>
      <c r="L171" s="62">
        <v>13000</v>
      </c>
      <c r="M171" s="62">
        <v>13000</v>
      </c>
      <c r="N171" s="62">
        <v>13000</v>
      </c>
      <c r="O171" s="62">
        <v>13000</v>
      </c>
      <c r="P171" s="62">
        <v>13000</v>
      </c>
      <c r="Q171" s="62">
        <v>13000</v>
      </c>
      <c r="R171" s="62">
        <v>13000</v>
      </c>
      <c r="S171" s="62">
        <v>13000</v>
      </c>
      <c r="T171" s="62">
        <v>13000</v>
      </c>
      <c r="U171" s="62">
        <v>13000</v>
      </c>
      <c r="V171" s="62">
        <v>13000</v>
      </c>
      <c r="W171" s="62">
        <v>13000</v>
      </c>
      <c r="X171" s="62">
        <v>13000</v>
      </c>
      <c r="Y171" s="62">
        <v>13000</v>
      </c>
      <c r="Z171" s="62">
        <v>13000</v>
      </c>
      <c r="AA171" s="62">
        <v>13000</v>
      </c>
      <c r="AB171" s="62">
        <v>13000</v>
      </c>
      <c r="AC171" s="57">
        <f t="shared" si="3"/>
        <v>312000</v>
      </c>
      <c r="AD171" s="106"/>
    </row>
    <row r="172" spans="1:30" ht="15.75" thickBot="1" x14ac:dyDescent="0.3">
      <c r="A172" s="58">
        <v>2030</v>
      </c>
      <c r="B172" s="59">
        <v>4</v>
      </c>
      <c r="C172" s="59">
        <v>4</v>
      </c>
      <c r="D172" s="60" t="s">
        <v>136</v>
      </c>
      <c r="E172" s="62">
        <v>13000</v>
      </c>
      <c r="F172" s="62">
        <v>13000</v>
      </c>
      <c r="G172" s="62">
        <v>13000</v>
      </c>
      <c r="H172" s="62">
        <v>13000</v>
      </c>
      <c r="I172" s="62">
        <v>13000</v>
      </c>
      <c r="J172" s="62">
        <v>13000</v>
      </c>
      <c r="K172" s="62">
        <v>13000</v>
      </c>
      <c r="L172" s="62">
        <v>13000</v>
      </c>
      <c r="M172" s="62">
        <v>13000</v>
      </c>
      <c r="N172" s="62">
        <v>13000</v>
      </c>
      <c r="O172" s="62">
        <v>13000</v>
      </c>
      <c r="P172" s="62">
        <v>13000</v>
      </c>
      <c r="Q172" s="62">
        <v>13000</v>
      </c>
      <c r="R172" s="62">
        <v>13000</v>
      </c>
      <c r="S172" s="62">
        <v>13000</v>
      </c>
      <c r="T172" s="62">
        <v>13000</v>
      </c>
      <c r="U172" s="62">
        <v>13000</v>
      </c>
      <c r="V172" s="62">
        <v>13000</v>
      </c>
      <c r="W172" s="62">
        <v>13000</v>
      </c>
      <c r="X172" s="62">
        <v>13000</v>
      </c>
      <c r="Y172" s="62">
        <v>13000</v>
      </c>
      <c r="Z172" s="62">
        <v>13000</v>
      </c>
      <c r="AA172" s="62">
        <v>13000</v>
      </c>
      <c r="AB172" s="62">
        <v>13000</v>
      </c>
      <c r="AC172" s="61">
        <f t="shared" si="3"/>
        <v>312000</v>
      </c>
      <c r="AD172" s="107"/>
    </row>
    <row r="173" spans="1:30" ht="15.75" thickBot="1" x14ac:dyDescent="0.3">
      <c r="A173" s="49">
        <v>2030</v>
      </c>
      <c r="B173" s="50">
        <v>5</v>
      </c>
      <c r="C173" s="50">
        <v>5</v>
      </c>
      <c r="D173" s="51" t="s">
        <v>134</v>
      </c>
      <c r="E173" s="62">
        <v>13000</v>
      </c>
      <c r="F173" s="62">
        <v>13000</v>
      </c>
      <c r="G173" s="62">
        <v>13000</v>
      </c>
      <c r="H173" s="62">
        <v>13000</v>
      </c>
      <c r="I173" s="62">
        <v>13000</v>
      </c>
      <c r="J173" s="62">
        <v>13000</v>
      </c>
      <c r="K173" s="62">
        <v>13000</v>
      </c>
      <c r="L173" s="62">
        <v>13000</v>
      </c>
      <c r="M173" s="62">
        <v>13000</v>
      </c>
      <c r="N173" s="62">
        <v>13000</v>
      </c>
      <c r="O173" s="62">
        <v>13000</v>
      </c>
      <c r="P173" s="62">
        <v>13000</v>
      </c>
      <c r="Q173" s="62">
        <v>13000</v>
      </c>
      <c r="R173" s="62">
        <v>13000</v>
      </c>
      <c r="S173" s="62">
        <v>13000</v>
      </c>
      <c r="T173" s="62">
        <v>13000</v>
      </c>
      <c r="U173" s="62">
        <v>13000</v>
      </c>
      <c r="V173" s="62">
        <v>13000</v>
      </c>
      <c r="W173" s="62">
        <v>13000</v>
      </c>
      <c r="X173" s="62">
        <v>13000</v>
      </c>
      <c r="Y173" s="62">
        <v>13000</v>
      </c>
      <c r="Z173" s="62">
        <v>13000</v>
      </c>
      <c r="AA173" s="62">
        <v>13000</v>
      </c>
      <c r="AB173" s="62">
        <v>13000</v>
      </c>
      <c r="AC173" s="53">
        <f t="shared" si="3"/>
        <v>312000</v>
      </c>
      <c r="AD173" s="105">
        <f>+SUMPRODUCT(AC173:AC175,C173:C175)</f>
        <v>9672000</v>
      </c>
    </row>
    <row r="174" spans="1:30" ht="15.75" thickBot="1" x14ac:dyDescent="0.3">
      <c r="A174" s="54">
        <v>2030</v>
      </c>
      <c r="B174" s="55">
        <v>5</v>
      </c>
      <c r="C174" s="55">
        <v>22</v>
      </c>
      <c r="D174" s="56" t="s">
        <v>135</v>
      </c>
      <c r="E174" s="62">
        <v>13000</v>
      </c>
      <c r="F174" s="62">
        <v>13000</v>
      </c>
      <c r="G174" s="62">
        <v>13000</v>
      </c>
      <c r="H174" s="62">
        <v>13000</v>
      </c>
      <c r="I174" s="62">
        <v>13000</v>
      </c>
      <c r="J174" s="62">
        <v>13000</v>
      </c>
      <c r="K174" s="62">
        <v>13000</v>
      </c>
      <c r="L174" s="62">
        <v>13000</v>
      </c>
      <c r="M174" s="62">
        <v>13000</v>
      </c>
      <c r="N174" s="62">
        <v>13000</v>
      </c>
      <c r="O174" s="62">
        <v>13000</v>
      </c>
      <c r="P174" s="62">
        <v>13000</v>
      </c>
      <c r="Q174" s="62">
        <v>13000</v>
      </c>
      <c r="R174" s="62">
        <v>13000</v>
      </c>
      <c r="S174" s="62">
        <v>13000</v>
      </c>
      <c r="T174" s="62">
        <v>13000</v>
      </c>
      <c r="U174" s="62">
        <v>13000</v>
      </c>
      <c r="V174" s="62">
        <v>13000</v>
      </c>
      <c r="W174" s="62">
        <v>13000</v>
      </c>
      <c r="X174" s="62">
        <v>13000</v>
      </c>
      <c r="Y174" s="62">
        <v>13000</v>
      </c>
      <c r="Z174" s="62">
        <v>13000</v>
      </c>
      <c r="AA174" s="62">
        <v>13000</v>
      </c>
      <c r="AB174" s="62">
        <v>13000</v>
      </c>
      <c r="AC174" s="57">
        <f t="shared" si="3"/>
        <v>312000</v>
      </c>
      <c r="AD174" s="106"/>
    </row>
    <row r="175" spans="1:30" ht="15.75" thickBot="1" x14ac:dyDescent="0.3">
      <c r="A175" s="58">
        <v>2030</v>
      </c>
      <c r="B175" s="59">
        <v>5</v>
      </c>
      <c r="C175" s="59">
        <v>4</v>
      </c>
      <c r="D175" s="60" t="s">
        <v>136</v>
      </c>
      <c r="E175" s="62">
        <v>13000</v>
      </c>
      <c r="F175" s="62">
        <v>13000</v>
      </c>
      <c r="G175" s="62">
        <v>13000</v>
      </c>
      <c r="H175" s="62">
        <v>13000</v>
      </c>
      <c r="I175" s="62">
        <v>13000</v>
      </c>
      <c r="J175" s="62">
        <v>13000</v>
      </c>
      <c r="K175" s="62">
        <v>13000</v>
      </c>
      <c r="L175" s="62">
        <v>13000</v>
      </c>
      <c r="M175" s="62">
        <v>13000</v>
      </c>
      <c r="N175" s="62">
        <v>13000</v>
      </c>
      <c r="O175" s="62">
        <v>13000</v>
      </c>
      <c r="P175" s="62">
        <v>13000</v>
      </c>
      <c r="Q175" s="62">
        <v>13000</v>
      </c>
      <c r="R175" s="62">
        <v>13000</v>
      </c>
      <c r="S175" s="62">
        <v>13000</v>
      </c>
      <c r="T175" s="62">
        <v>13000</v>
      </c>
      <c r="U175" s="62">
        <v>13000</v>
      </c>
      <c r="V175" s="62">
        <v>13000</v>
      </c>
      <c r="W175" s="62">
        <v>13000</v>
      </c>
      <c r="X175" s="62">
        <v>13000</v>
      </c>
      <c r="Y175" s="62">
        <v>13000</v>
      </c>
      <c r="Z175" s="62">
        <v>13000</v>
      </c>
      <c r="AA175" s="62">
        <v>13000</v>
      </c>
      <c r="AB175" s="62">
        <v>13000</v>
      </c>
      <c r="AC175" s="61">
        <f t="shared" si="3"/>
        <v>312000</v>
      </c>
      <c r="AD175" s="107"/>
    </row>
    <row r="176" spans="1:30" ht="15.75" thickBot="1" x14ac:dyDescent="0.3">
      <c r="A176" s="49">
        <v>2030</v>
      </c>
      <c r="B176" s="50">
        <v>6</v>
      </c>
      <c r="C176" s="50">
        <v>7</v>
      </c>
      <c r="D176" s="51" t="s">
        <v>134</v>
      </c>
      <c r="E176" s="62">
        <v>13000</v>
      </c>
      <c r="F176" s="62">
        <v>13000</v>
      </c>
      <c r="G176" s="62">
        <v>13000</v>
      </c>
      <c r="H176" s="62">
        <v>13000</v>
      </c>
      <c r="I176" s="62">
        <v>13000</v>
      </c>
      <c r="J176" s="62">
        <v>13000</v>
      </c>
      <c r="K176" s="62">
        <v>13000</v>
      </c>
      <c r="L176" s="62">
        <v>13000</v>
      </c>
      <c r="M176" s="62">
        <v>13000</v>
      </c>
      <c r="N176" s="62">
        <v>13000</v>
      </c>
      <c r="O176" s="62">
        <v>13000</v>
      </c>
      <c r="P176" s="62">
        <v>13000</v>
      </c>
      <c r="Q176" s="62">
        <v>13000</v>
      </c>
      <c r="R176" s="62">
        <v>13000</v>
      </c>
      <c r="S176" s="62">
        <v>13000</v>
      </c>
      <c r="T176" s="62">
        <v>13000</v>
      </c>
      <c r="U176" s="62">
        <v>13000</v>
      </c>
      <c r="V176" s="62">
        <v>13000</v>
      </c>
      <c r="W176" s="62">
        <v>13000</v>
      </c>
      <c r="X176" s="62">
        <v>13000</v>
      </c>
      <c r="Y176" s="62">
        <v>13000</v>
      </c>
      <c r="Z176" s="62">
        <v>13000</v>
      </c>
      <c r="AA176" s="62">
        <v>13000</v>
      </c>
      <c r="AB176" s="62">
        <v>13000</v>
      </c>
      <c r="AC176" s="53">
        <f t="shared" si="3"/>
        <v>312000</v>
      </c>
      <c r="AD176" s="105">
        <f>+SUMPRODUCT(AC176:AC178,C176:C178)</f>
        <v>9360000</v>
      </c>
    </row>
    <row r="177" spans="1:30" ht="15.75" thickBot="1" x14ac:dyDescent="0.3">
      <c r="A177" s="54">
        <v>2030</v>
      </c>
      <c r="B177" s="55">
        <v>6</v>
      </c>
      <c r="C177" s="55">
        <v>18</v>
      </c>
      <c r="D177" s="56" t="s">
        <v>135</v>
      </c>
      <c r="E177" s="62">
        <v>13000</v>
      </c>
      <c r="F177" s="62">
        <v>13000</v>
      </c>
      <c r="G177" s="62">
        <v>13000</v>
      </c>
      <c r="H177" s="62">
        <v>13000</v>
      </c>
      <c r="I177" s="62">
        <v>13000</v>
      </c>
      <c r="J177" s="62">
        <v>13000</v>
      </c>
      <c r="K177" s="62">
        <v>13000</v>
      </c>
      <c r="L177" s="62">
        <v>13000</v>
      </c>
      <c r="M177" s="62">
        <v>13000</v>
      </c>
      <c r="N177" s="62">
        <v>13000</v>
      </c>
      <c r="O177" s="62">
        <v>13000</v>
      </c>
      <c r="P177" s="62">
        <v>13000</v>
      </c>
      <c r="Q177" s="62">
        <v>13000</v>
      </c>
      <c r="R177" s="62">
        <v>13000</v>
      </c>
      <c r="S177" s="62">
        <v>13000</v>
      </c>
      <c r="T177" s="62">
        <v>13000</v>
      </c>
      <c r="U177" s="62">
        <v>13000</v>
      </c>
      <c r="V177" s="62">
        <v>13000</v>
      </c>
      <c r="W177" s="62">
        <v>13000</v>
      </c>
      <c r="X177" s="62">
        <v>13000</v>
      </c>
      <c r="Y177" s="62">
        <v>13000</v>
      </c>
      <c r="Z177" s="62">
        <v>13000</v>
      </c>
      <c r="AA177" s="62">
        <v>13000</v>
      </c>
      <c r="AB177" s="62">
        <v>13000</v>
      </c>
      <c r="AC177" s="57">
        <f t="shared" si="3"/>
        <v>312000</v>
      </c>
      <c r="AD177" s="106"/>
    </row>
    <row r="178" spans="1:30" ht="15.75" thickBot="1" x14ac:dyDescent="0.3">
      <c r="A178" s="58">
        <v>2030</v>
      </c>
      <c r="B178" s="59">
        <v>6</v>
      </c>
      <c r="C178" s="59">
        <v>5</v>
      </c>
      <c r="D178" s="60" t="s">
        <v>136</v>
      </c>
      <c r="E178" s="62">
        <v>13000</v>
      </c>
      <c r="F178" s="62">
        <v>13000</v>
      </c>
      <c r="G178" s="62">
        <v>13000</v>
      </c>
      <c r="H178" s="62">
        <v>13000</v>
      </c>
      <c r="I178" s="62">
        <v>13000</v>
      </c>
      <c r="J178" s="62">
        <v>13000</v>
      </c>
      <c r="K178" s="62">
        <v>13000</v>
      </c>
      <c r="L178" s="62">
        <v>13000</v>
      </c>
      <c r="M178" s="62">
        <v>13000</v>
      </c>
      <c r="N178" s="62">
        <v>13000</v>
      </c>
      <c r="O178" s="62">
        <v>13000</v>
      </c>
      <c r="P178" s="62">
        <v>13000</v>
      </c>
      <c r="Q178" s="62">
        <v>13000</v>
      </c>
      <c r="R178" s="62">
        <v>13000</v>
      </c>
      <c r="S178" s="62">
        <v>13000</v>
      </c>
      <c r="T178" s="62">
        <v>13000</v>
      </c>
      <c r="U178" s="62">
        <v>13000</v>
      </c>
      <c r="V178" s="62">
        <v>13000</v>
      </c>
      <c r="W178" s="62">
        <v>13000</v>
      </c>
      <c r="X178" s="62">
        <v>13000</v>
      </c>
      <c r="Y178" s="62">
        <v>13000</v>
      </c>
      <c r="Z178" s="62">
        <v>13000</v>
      </c>
      <c r="AA178" s="62">
        <v>13000</v>
      </c>
      <c r="AB178" s="62">
        <v>13000</v>
      </c>
      <c r="AC178" s="61">
        <f t="shared" si="3"/>
        <v>312000</v>
      </c>
      <c r="AD178" s="107"/>
    </row>
    <row r="179" spans="1:30" ht="15.75" thickBot="1" x14ac:dyDescent="0.3">
      <c r="A179" s="49">
        <v>2030</v>
      </c>
      <c r="B179" s="50">
        <v>7</v>
      </c>
      <c r="C179" s="50">
        <v>6</v>
      </c>
      <c r="D179" s="51" t="s">
        <v>134</v>
      </c>
      <c r="E179" s="62">
        <v>13000</v>
      </c>
      <c r="F179" s="62">
        <v>13000</v>
      </c>
      <c r="G179" s="62">
        <v>13000</v>
      </c>
      <c r="H179" s="62">
        <v>13000</v>
      </c>
      <c r="I179" s="62">
        <v>13000</v>
      </c>
      <c r="J179" s="62">
        <v>13000</v>
      </c>
      <c r="K179" s="62">
        <v>13000</v>
      </c>
      <c r="L179" s="62">
        <v>13000</v>
      </c>
      <c r="M179" s="62">
        <v>13000</v>
      </c>
      <c r="N179" s="62">
        <v>13000</v>
      </c>
      <c r="O179" s="62">
        <v>13000</v>
      </c>
      <c r="P179" s="62">
        <v>13000</v>
      </c>
      <c r="Q179" s="62">
        <v>13000</v>
      </c>
      <c r="R179" s="62">
        <v>13000</v>
      </c>
      <c r="S179" s="62">
        <v>13000</v>
      </c>
      <c r="T179" s="62">
        <v>13000</v>
      </c>
      <c r="U179" s="62">
        <v>13000</v>
      </c>
      <c r="V179" s="62">
        <v>13000</v>
      </c>
      <c r="W179" s="62">
        <v>13000</v>
      </c>
      <c r="X179" s="62">
        <v>13000</v>
      </c>
      <c r="Y179" s="62">
        <v>13000</v>
      </c>
      <c r="Z179" s="62">
        <v>13000</v>
      </c>
      <c r="AA179" s="62">
        <v>13000</v>
      </c>
      <c r="AB179" s="62">
        <v>13000</v>
      </c>
      <c r="AC179" s="53">
        <f t="shared" si="3"/>
        <v>312000</v>
      </c>
      <c r="AD179" s="105">
        <f>+SUMPRODUCT(AC179:AC181,C179:C181)</f>
        <v>9672000</v>
      </c>
    </row>
    <row r="180" spans="1:30" ht="15.75" thickBot="1" x14ac:dyDescent="0.3">
      <c r="A180" s="54">
        <v>2030</v>
      </c>
      <c r="B180" s="55">
        <v>7</v>
      </c>
      <c r="C180" s="55">
        <v>22</v>
      </c>
      <c r="D180" s="56" t="s">
        <v>135</v>
      </c>
      <c r="E180" s="62">
        <v>13000</v>
      </c>
      <c r="F180" s="62">
        <v>13000</v>
      </c>
      <c r="G180" s="62">
        <v>13000</v>
      </c>
      <c r="H180" s="62">
        <v>13000</v>
      </c>
      <c r="I180" s="62">
        <v>13000</v>
      </c>
      <c r="J180" s="62">
        <v>13000</v>
      </c>
      <c r="K180" s="62">
        <v>13000</v>
      </c>
      <c r="L180" s="62">
        <v>13000</v>
      </c>
      <c r="M180" s="62">
        <v>13000</v>
      </c>
      <c r="N180" s="62">
        <v>13000</v>
      </c>
      <c r="O180" s="62">
        <v>13000</v>
      </c>
      <c r="P180" s="62">
        <v>13000</v>
      </c>
      <c r="Q180" s="62">
        <v>13000</v>
      </c>
      <c r="R180" s="62">
        <v>13000</v>
      </c>
      <c r="S180" s="62">
        <v>13000</v>
      </c>
      <c r="T180" s="62">
        <v>13000</v>
      </c>
      <c r="U180" s="62">
        <v>13000</v>
      </c>
      <c r="V180" s="62">
        <v>13000</v>
      </c>
      <c r="W180" s="62">
        <v>13000</v>
      </c>
      <c r="X180" s="62">
        <v>13000</v>
      </c>
      <c r="Y180" s="62">
        <v>13000</v>
      </c>
      <c r="Z180" s="62">
        <v>13000</v>
      </c>
      <c r="AA180" s="62">
        <v>13000</v>
      </c>
      <c r="AB180" s="62">
        <v>13000</v>
      </c>
      <c r="AC180" s="57">
        <f t="shared" si="3"/>
        <v>312000</v>
      </c>
      <c r="AD180" s="106"/>
    </row>
    <row r="181" spans="1:30" ht="15.75" thickBot="1" x14ac:dyDescent="0.3">
      <c r="A181" s="58">
        <v>2030</v>
      </c>
      <c r="B181" s="59">
        <v>7</v>
      </c>
      <c r="C181" s="59">
        <v>3</v>
      </c>
      <c r="D181" s="60" t="s">
        <v>136</v>
      </c>
      <c r="E181" s="62">
        <v>13000</v>
      </c>
      <c r="F181" s="62">
        <v>13000</v>
      </c>
      <c r="G181" s="62">
        <v>13000</v>
      </c>
      <c r="H181" s="62">
        <v>13000</v>
      </c>
      <c r="I181" s="62">
        <v>13000</v>
      </c>
      <c r="J181" s="62">
        <v>13000</v>
      </c>
      <c r="K181" s="62">
        <v>13000</v>
      </c>
      <c r="L181" s="62">
        <v>13000</v>
      </c>
      <c r="M181" s="62">
        <v>13000</v>
      </c>
      <c r="N181" s="62">
        <v>13000</v>
      </c>
      <c r="O181" s="62">
        <v>13000</v>
      </c>
      <c r="P181" s="62">
        <v>13000</v>
      </c>
      <c r="Q181" s="62">
        <v>13000</v>
      </c>
      <c r="R181" s="62">
        <v>13000</v>
      </c>
      <c r="S181" s="62">
        <v>13000</v>
      </c>
      <c r="T181" s="62">
        <v>13000</v>
      </c>
      <c r="U181" s="62">
        <v>13000</v>
      </c>
      <c r="V181" s="62">
        <v>13000</v>
      </c>
      <c r="W181" s="62">
        <v>13000</v>
      </c>
      <c r="X181" s="62">
        <v>13000</v>
      </c>
      <c r="Y181" s="62">
        <v>13000</v>
      </c>
      <c r="Z181" s="62">
        <v>13000</v>
      </c>
      <c r="AA181" s="62">
        <v>13000</v>
      </c>
      <c r="AB181" s="62">
        <v>13000</v>
      </c>
      <c r="AC181" s="61">
        <f t="shared" si="3"/>
        <v>312000</v>
      </c>
      <c r="AD181" s="107"/>
    </row>
    <row r="182" spans="1:30" ht="15.75" thickBot="1" x14ac:dyDescent="0.3">
      <c r="A182" s="49">
        <v>2030</v>
      </c>
      <c r="B182" s="50">
        <v>8</v>
      </c>
      <c r="C182" s="50">
        <v>6</v>
      </c>
      <c r="D182" s="51" t="s">
        <v>134</v>
      </c>
      <c r="E182" s="62">
        <v>13000</v>
      </c>
      <c r="F182" s="62">
        <v>13000</v>
      </c>
      <c r="G182" s="62">
        <v>13000</v>
      </c>
      <c r="H182" s="62">
        <v>13000</v>
      </c>
      <c r="I182" s="62">
        <v>13000</v>
      </c>
      <c r="J182" s="62">
        <v>13000</v>
      </c>
      <c r="K182" s="62">
        <v>13000</v>
      </c>
      <c r="L182" s="62">
        <v>13000</v>
      </c>
      <c r="M182" s="62">
        <v>13000</v>
      </c>
      <c r="N182" s="62">
        <v>13000</v>
      </c>
      <c r="O182" s="62">
        <v>13000</v>
      </c>
      <c r="P182" s="62">
        <v>13000</v>
      </c>
      <c r="Q182" s="62">
        <v>13000</v>
      </c>
      <c r="R182" s="62">
        <v>13000</v>
      </c>
      <c r="S182" s="62">
        <v>13000</v>
      </c>
      <c r="T182" s="62">
        <v>13000</v>
      </c>
      <c r="U182" s="62">
        <v>13000</v>
      </c>
      <c r="V182" s="62">
        <v>13000</v>
      </c>
      <c r="W182" s="62">
        <v>13000</v>
      </c>
      <c r="X182" s="62">
        <v>13000</v>
      </c>
      <c r="Y182" s="62">
        <v>13000</v>
      </c>
      <c r="Z182" s="62">
        <v>13000</v>
      </c>
      <c r="AA182" s="62">
        <v>13000</v>
      </c>
      <c r="AB182" s="62">
        <v>13000</v>
      </c>
      <c r="AC182" s="53">
        <f t="shared" si="3"/>
        <v>312000</v>
      </c>
      <c r="AD182" s="105">
        <f>+SUMPRODUCT(AC182:AC184,C182:C184)</f>
        <v>9672000</v>
      </c>
    </row>
    <row r="183" spans="1:30" ht="15.75" thickBot="1" x14ac:dyDescent="0.3">
      <c r="A183" s="54">
        <v>2030</v>
      </c>
      <c r="B183" s="55">
        <v>8</v>
      </c>
      <c r="C183" s="55">
        <v>20</v>
      </c>
      <c r="D183" s="56" t="s">
        <v>135</v>
      </c>
      <c r="E183" s="62">
        <v>13000</v>
      </c>
      <c r="F183" s="62">
        <v>13000</v>
      </c>
      <c r="G183" s="62">
        <v>13000</v>
      </c>
      <c r="H183" s="62">
        <v>13000</v>
      </c>
      <c r="I183" s="62">
        <v>13000</v>
      </c>
      <c r="J183" s="62">
        <v>13000</v>
      </c>
      <c r="K183" s="62">
        <v>13000</v>
      </c>
      <c r="L183" s="62">
        <v>13000</v>
      </c>
      <c r="M183" s="62">
        <v>13000</v>
      </c>
      <c r="N183" s="62">
        <v>13000</v>
      </c>
      <c r="O183" s="62">
        <v>13000</v>
      </c>
      <c r="P183" s="62">
        <v>13000</v>
      </c>
      <c r="Q183" s="62">
        <v>13000</v>
      </c>
      <c r="R183" s="62">
        <v>13000</v>
      </c>
      <c r="S183" s="62">
        <v>13000</v>
      </c>
      <c r="T183" s="62">
        <v>13000</v>
      </c>
      <c r="U183" s="62">
        <v>13000</v>
      </c>
      <c r="V183" s="62">
        <v>13000</v>
      </c>
      <c r="W183" s="62">
        <v>13000</v>
      </c>
      <c r="X183" s="62">
        <v>13000</v>
      </c>
      <c r="Y183" s="62">
        <v>13000</v>
      </c>
      <c r="Z183" s="62">
        <v>13000</v>
      </c>
      <c r="AA183" s="62">
        <v>13000</v>
      </c>
      <c r="AB183" s="62">
        <v>13000</v>
      </c>
      <c r="AC183" s="57">
        <f t="shared" si="3"/>
        <v>312000</v>
      </c>
      <c r="AD183" s="106"/>
    </row>
    <row r="184" spans="1:30" ht="15.75" thickBot="1" x14ac:dyDescent="0.3">
      <c r="A184" s="58">
        <v>2030</v>
      </c>
      <c r="B184" s="59">
        <v>8</v>
      </c>
      <c r="C184" s="59">
        <v>5</v>
      </c>
      <c r="D184" s="60" t="s">
        <v>136</v>
      </c>
      <c r="E184" s="62">
        <v>13000</v>
      </c>
      <c r="F184" s="62">
        <v>13000</v>
      </c>
      <c r="G184" s="62">
        <v>13000</v>
      </c>
      <c r="H184" s="62">
        <v>13000</v>
      </c>
      <c r="I184" s="62">
        <v>13000</v>
      </c>
      <c r="J184" s="62">
        <v>13000</v>
      </c>
      <c r="K184" s="62">
        <v>13000</v>
      </c>
      <c r="L184" s="62">
        <v>13000</v>
      </c>
      <c r="M184" s="62">
        <v>13000</v>
      </c>
      <c r="N184" s="62">
        <v>13000</v>
      </c>
      <c r="O184" s="62">
        <v>13000</v>
      </c>
      <c r="P184" s="62">
        <v>13000</v>
      </c>
      <c r="Q184" s="62">
        <v>13000</v>
      </c>
      <c r="R184" s="62">
        <v>13000</v>
      </c>
      <c r="S184" s="62">
        <v>13000</v>
      </c>
      <c r="T184" s="62">
        <v>13000</v>
      </c>
      <c r="U184" s="62">
        <v>13000</v>
      </c>
      <c r="V184" s="62">
        <v>13000</v>
      </c>
      <c r="W184" s="62">
        <v>13000</v>
      </c>
      <c r="X184" s="62">
        <v>13000</v>
      </c>
      <c r="Y184" s="62">
        <v>13000</v>
      </c>
      <c r="Z184" s="62">
        <v>13000</v>
      </c>
      <c r="AA184" s="62">
        <v>13000</v>
      </c>
      <c r="AB184" s="62">
        <v>13000</v>
      </c>
      <c r="AC184" s="61">
        <f t="shared" si="3"/>
        <v>312000</v>
      </c>
      <c r="AD184" s="107"/>
    </row>
    <row r="185" spans="1:30" ht="15.75" thickBot="1" x14ac:dyDescent="0.3">
      <c r="A185" s="49">
        <v>2030</v>
      </c>
      <c r="B185" s="50">
        <v>9</v>
      </c>
      <c r="C185" s="50">
        <v>5</v>
      </c>
      <c r="D185" s="51" t="s">
        <v>134</v>
      </c>
      <c r="E185" s="62">
        <v>13000</v>
      </c>
      <c r="F185" s="62">
        <v>13000</v>
      </c>
      <c r="G185" s="62">
        <v>13000</v>
      </c>
      <c r="H185" s="62">
        <v>13000</v>
      </c>
      <c r="I185" s="62">
        <v>13000</v>
      </c>
      <c r="J185" s="62">
        <v>13000</v>
      </c>
      <c r="K185" s="62">
        <v>13000</v>
      </c>
      <c r="L185" s="62">
        <v>13000</v>
      </c>
      <c r="M185" s="62">
        <v>13000</v>
      </c>
      <c r="N185" s="62">
        <v>13000</v>
      </c>
      <c r="O185" s="62">
        <v>13000</v>
      </c>
      <c r="P185" s="62">
        <v>13000</v>
      </c>
      <c r="Q185" s="62">
        <v>13000</v>
      </c>
      <c r="R185" s="62">
        <v>13000</v>
      </c>
      <c r="S185" s="62">
        <v>13000</v>
      </c>
      <c r="T185" s="62">
        <v>13000</v>
      </c>
      <c r="U185" s="62">
        <v>13000</v>
      </c>
      <c r="V185" s="62">
        <v>13000</v>
      </c>
      <c r="W185" s="62">
        <v>13000</v>
      </c>
      <c r="X185" s="62">
        <v>13000</v>
      </c>
      <c r="Y185" s="62">
        <v>13000</v>
      </c>
      <c r="Z185" s="62">
        <v>13000</v>
      </c>
      <c r="AA185" s="62">
        <v>13000</v>
      </c>
      <c r="AB185" s="62">
        <v>13000</v>
      </c>
      <c r="AC185" s="53">
        <f t="shared" si="3"/>
        <v>312000</v>
      </c>
      <c r="AD185" s="105">
        <f>+SUMPRODUCT(AC185:AC187,C185:C187)</f>
        <v>9360000</v>
      </c>
    </row>
    <row r="186" spans="1:30" ht="15.75" thickBot="1" x14ac:dyDescent="0.3">
      <c r="A186" s="54">
        <v>2030</v>
      </c>
      <c r="B186" s="55">
        <v>9</v>
      </c>
      <c r="C186" s="55">
        <v>21</v>
      </c>
      <c r="D186" s="56" t="s">
        <v>135</v>
      </c>
      <c r="E186" s="62">
        <v>13000</v>
      </c>
      <c r="F186" s="62">
        <v>13000</v>
      </c>
      <c r="G186" s="62">
        <v>13000</v>
      </c>
      <c r="H186" s="62">
        <v>13000</v>
      </c>
      <c r="I186" s="62">
        <v>13000</v>
      </c>
      <c r="J186" s="62">
        <v>13000</v>
      </c>
      <c r="K186" s="62">
        <v>13000</v>
      </c>
      <c r="L186" s="62">
        <v>13000</v>
      </c>
      <c r="M186" s="62">
        <v>13000</v>
      </c>
      <c r="N186" s="62">
        <v>13000</v>
      </c>
      <c r="O186" s="62">
        <v>13000</v>
      </c>
      <c r="P186" s="62">
        <v>13000</v>
      </c>
      <c r="Q186" s="62">
        <v>13000</v>
      </c>
      <c r="R186" s="62">
        <v>13000</v>
      </c>
      <c r="S186" s="62">
        <v>13000</v>
      </c>
      <c r="T186" s="62">
        <v>13000</v>
      </c>
      <c r="U186" s="62">
        <v>13000</v>
      </c>
      <c r="V186" s="62">
        <v>13000</v>
      </c>
      <c r="W186" s="62">
        <v>13000</v>
      </c>
      <c r="X186" s="62">
        <v>13000</v>
      </c>
      <c r="Y186" s="62">
        <v>13000</v>
      </c>
      <c r="Z186" s="62">
        <v>13000</v>
      </c>
      <c r="AA186" s="62">
        <v>13000</v>
      </c>
      <c r="AB186" s="62">
        <v>13000</v>
      </c>
      <c r="AC186" s="57">
        <f t="shared" si="3"/>
        <v>312000</v>
      </c>
      <c r="AD186" s="106"/>
    </row>
    <row r="187" spans="1:30" ht="15.75" thickBot="1" x14ac:dyDescent="0.3">
      <c r="A187" s="58">
        <v>2030</v>
      </c>
      <c r="B187" s="59">
        <v>9</v>
      </c>
      <c r="C187" s="59">
        <v>4</v>
      </c>
      <c r="D187" s="60" t="s">
        <v>136</v>
      </c>
      <c r="E187" s="62">
        <v>13000</v>
      </c>
      <c r="F187" s="62">
        <v>13000</v>
      </c>
      <c r="G187" s="62">
        <v>13000</v>
      </c>
      <c r="H187" s="62">
        <v>13000</v>
      </c>
      <c r="I187" s="62">
        <v>13000</v>
      </c>
      <c r="J187" s="62">
        <v>13000</v>
      </c>
      <c r="K187" s="62">
        <v>13000</v>
      </c>
      <c r="L187" s="62">
        <v>13000</v>
      </c>
      <c r="M187" s="62">
        <v>13000</v>
      </c>
      <c r="N187" s="62">
        <v>13000</v>
      </c>
      <c r="O187" s="62">
        <v>13000</v>
      </c>
      <c r="P187" s="62">
        <v>13000</v>
      </c>
      <c r="Q187" s="62">
        <v>13000</v>
      </c>
      <c r="R187" s="62">
        <v>13000</v>
      </c>
      <c r="S187" s="62">
        <v>13000</v>
      </c>
      <c r="T187" s="62">
        <v>13000</v>
      </c>
      <c r="U187" s="62">
        <v>13000</v>
      </c>
      <c r="V187" s="62">
        <v>13000</v>
      </c>
      <c r="W187" s="62">
        <v>13000</v>
      </c>
      <c r="X187" s="62">
        <v>13000</v>
      </c>
      <c r="Y187" s="62">
        <v>13000</v>
      </c>
      <c r="Z187" s="62">
        <v>13000</v>
      </c>
      <c r="AA187" s="62">
        <v>13000</v>
      </c>
      <c r="AB187" s="62">
        <v>13000</v>
      </c>
      <c r="AC187" s="61">
        <f t="shared" si="3"/>
        <v>312000</v>
      </c>
      <c r="AD187" s="107"/>
    </row>
    <row r="188" spans="1:30" ht="15.75" thickBot="1" x14ac:dyDescent="0.3">
      <c r="A188" s="49">
        <v>2030</v>
      </c>
      <c r="B188" s="50">
        <v>10</v>
      </c>
      <c r="C188" s="50">
        <v>5</v>
      </c>
      <c r="D188" s="51" t="s">
        <v>134</v>
      </c>
      <c r="E188" s="62">
        <v>13000</v>
      </c>
      <c r="F188" s="62">
        <v>13000</v>
      </c>
      <c r="G188" s="62">
        <v>13000</v>
      </c>
      <c r="H188" s="62">
        <v>13000</v>
      </c>
      <c r="I188" s="62">
        <v>13000</v>
      </c>
      <c r="J188" s="62">
        <v>13000</v>
      </c>
      <c r="K188" s="62">
        <v>13000</v>
      </c>
      <c r="L188" s="62">
        <v>13000</v>
      </c>
      <c r="M188" s="62">
        <v>13000</v>
      </c>
      <c r="N188" s="62">
        <v>13000</v>
      </c>
      <c r="O188" s="62">
        <v>13000</v>
      </c>
      <c r="P188" s="62">
        <v>13000</v>
      </c>
      <c r="Q188" s="62">
        <v>13000</v>
      </c>
      <c r="R188" s="62">
        <v>13000</v>
      </c>
      <c r="S188" s="62">
        <v>13000</v>
      </c>
      <c r="T188" s="62">
        <v>13000</v>
      </c>
      <c r="U188" s="62">
        <v>13000</v>
      </c>
      <c r="V188" s="62">
        <v>13000</v>
      </c>
      <c r="W188" s="62">
        <v>13000</v>
      </c>
      <c r="X188" s="62">
        <v>13000</v>
      </c>
      <c r="Y188" s="62">
        <v>13000</v>
      </c>
      <c r="Z188" s="62">
        <v>13000</v>
      </c>
      <c r="AA188" s="62">
        <v>13000</v>
      </c>
      <c r="AB188" s="62">
        <v>13000</v>
      </c>
      <c r="AC188" s="53">
        <f t="shared" si="3"/>
        <v>312000</v>
      </c>
      <c r="AD188" s="105">
        <f>+SUMPRODUCT(AC188:AC190,C188:C190)</f>
        <v>9672000</v>
      </c>
    </row>
    <row r="189" spans="1:30" ht="15.75" thickBot="1" x14ac:dyDescent="0.3">
      <c r="A189" s="54">
        <v>2030</v>
      </c>
      <c r="B189" s="55">
        <v>10</v>
      </c>
      <c r="C189" s="55">
        <v>22</v>
      </c>
      <c r="D189" s="56" t="s">
        <v>135</v>
      </c>
      <c r="E189" s="62">
        <v>13000</v>
      </c>
      <c r="F189" s="62">
        <v>13000</v>
      </c>
      <c r="G189" s="62">
        <v>13000</v>
      </c>
      <c r="H189" s="62">
        <v>13000</v>
      </c>
      <c r="I189" s="62">
        <v>13000</v>
      </c>
      <c r="J189" s="62">
        <v>13000</v>
      </c>
      <c r="K189" s="62">
        <v>13000</v>
      </c>
      <c r="L189" s="62">
        <v>13000</v>
      </c>
      <c r="M189" s="62">
        <v>13000</v>
      </c>
      <c r="N189" s="62">
        <v>13000</v>
      </c>
      <c r="O189" s="62">
        <v>13000</v>
      </c>
      <c r="P189" s="62">
        <v>13000</v>
      </c>
      <c r="Q189" s="62">
        <v>13000</v>
      </c>
      <c r="R189" s="62">
        <v>13000</v>
      </c>
      <c r="S189" s="62">
        <v>13000</v>
      </c>
      <c r="T189" s="62">
        <v>13000</v>
      </c>
      <c r="U189" s="62">
        <v>13000</v>
      </c>
      <c r="V189" s="62">
        <v>13000</v>
      </c>
      <c r="W189" s="62">
        <v>13000</v>
      </c>
      <c r="X189" s="62">
        <v>13000</v>
      </c>
      <c r="Y189" s="62">
        <v>13000</v>
      </c>
      <c r="Z189" s="62">
        <v>13000</v>
      </c>
      <c r="AA189" s="62">
        <v>13000</v>
      </c>
      <c r="AB189" s="62">
        <v>13000</v>
      </c>
      <c r="AC189" s="57">
        <f t="shared" si="3"/>
        <v>312000</v>
      </c>
      <c r="AD189" s="106"/>
    </row>
    <row r="190" spans="1:30" ht="15.75" thickBot="1" x14ac:dyDescent="0.3">
      <c r="A190" s="58">
        <v>2030</v>
      </c>
      <c r="B190" s="59">
        <v>10</v>
      </c>
      <c r="C190" s="59">
        <v>4</v>
      </c>
      <c r="D190" s="60" t="s">
        <v>136</v>
      </c>
      <c r="E190" s="62">
        <v>13000</v>
      </c>
      <c r="F190" s="62">
        <v>13000</v>
      </c>
      <c r="G190" s="62">
        <v>13000</v>
      </c>
      <c r="H190" s="62">
        <v>13000</v>
      </c>
      <c r="I190" s="62">
        <v>13000</v>
      </c>
      <c r="J190" s="62">
        <v>13000</v>
      </c>
      <c r="K190" s="62">
        <v>13000</v>
      </c>
      <c r="L190" s="62">
        <v>13000</v>
      </c>
      <c r="M190" s="62">
        <v>13000</v>
      </c>
      <c r="N190" s="62">
        <v>13000</v>
      </c>
      <c r="O190" s="62">
        <v>13000</v>
      </c>
      <c r="P190" s="62">
        <v>13000</v>
      </c>
      <c r="Q190" s="62">
        <v>13000</v>
      </c>
      <c r="R190" s="62">
        <v>13000</v>
      </c>
      <c r="S190" s="62">
        <v>13000</v>
      </c>
      <c r="T190" s="62">
        <v>13000</v>
      </c>
      <c r="U190" s="62">
        <v>13000</v>
      </c>
      <c r="V190" s="62">
        <v>13000</v>
      </c>
      <c r="W190" s="62">
        <v>13000</v>
      </c>
      <c r="X190" s="62">
        <v>13000</v>
      </c>
      <c r="Y190" s="62">
        <v>13000</v>
      </c>
      <c r="Z190" s="62">
        <v>13000</v>
      </c>
      <c r="AA190" s="62">
        <v>13000</v>
      </c>
      <c r="AB190" s="62">
        <v>13000</v>
      </c>
      <c r="AC190" s="61">
        <f t="shared" si="3"/>
        <v>312000</v>
      </c>
      <c r="AD190" s="107"/>
    </row>
    <row r="191" spans="1:30" ht="15.75" thickBot="1" x14ac:dyDescent="0.3">
      <c r="A191" s="49">
        <v>2030</v>
      </c>
      <c r="B191" s="50">
        <v>11</v>
      </c>
      <c r="C191" s="50">
        <v>6</v>
      </c>
      <c r="D191" s="51" t="s">
        <v>134</v>
      </c>
      <c r="E191" s="62">
        <v>13000</v>
      </c>
      <c r="F191" s="62">
        <v>13000</v>
      </c>
      <c r="G191" s="62">
        <v>13000</v>
      </c>
      <c r="H191" s="62">
        <v>13000</v>
      </c>
      <c r="I191" s="62">
        <v>13000</v>
      </c>
      <c r="J191" s="62">
        <v>13000</v>
      </c>
      <c r="K191" s="62">
        <v>13000</v>
      </c>
      <c r="L191" s="62">
        <v>13000</v>
      </c>
      <c r="M191" s="62">
        <v>13000</v>
      </c>
      <c r="N191" s="62">
        <v>13000</v>
      </c>
      <c r="O191" s="62">
        <v>13000</v>
      </c>
      <c r="P191" s="62">
        <v>13000</v>
      </c>
      <c r="Q191" s="62">
        <v>13000</v>
      </c>
      <c r="R191" s="62">
        <v>13000</v>
      </c>
      <c r="S191" s="62">
        <v>13000</v>
      </c>
      <c r="T191" s="62">
        <v>13000</v>
      </c>
      <c r="U191" s="62">
        <v>13000</v>
      </c>
      <c r="V191" s="62">
        <v>13000</v>
      </c>
      <c r="W191" s="62">
        <v>13000</v>
      </c>
      <c r="X191" s="62">
        <v>13000</v>
      </c>
      <c r="Y191" s="62">
        <v>13000</v>
      </c>
      <c r="Z191" s="62">
        <v>13000</v>
      </c>
      <c r="AA191" s="62">
        <v>13000</v>
      </c>
      <c r="AB191" s="62">
        <v>13000</v>
      </c>
      <c r="AC191" s="53">
        <f t="shared" si="3"/>
        <v>312000</v>
      </c>
      <c r="AD191" s="105">
        <f>+SUMPRODUCT(AC191:AC193,C191:C193)</f>
        <v>9360000</v>
      </c>
    </row>
    <row r="192" spans="1:30" ht="15.75" thickBot="1" x14ac:dyDescent="0.3">
      <c r="A192" s="54">
        <v>2030</v>
      </c>
      <c r="B192" s="55">
        <v>11</v>
      </c>
      <c r="C192" s="55">
        <v>19</v>
      </c>
      <c r="D192" s="56" t="s">
        <v>135</v>
      </c>
      <c r="E192" s="62">
        <v>13000</v>
      </c>
      <c r="F192" s="62">
        <v>13000</v>
      </c>
      <c r="G192" s="62">
        <v>13000</v>
      </c>
      <c r="H192" s="62">
        <v>13000</v>
      </c>
      <c r="I192" s="62">
        <v>13000</v>
      </c>
      <c r="J192" s="62">
        <v>13000</v>
      </c>
      <c r="K192" s="62">
        <v>13000</v>
      </c>
      <c r="L192" s="62">
        <v>13000</v>
      </c>
      <c r="M192" s="62">
        <v>13000</v>
      </c>
      <c r="N192" s="62">
        <v>13000</v>
      </c>
      <c r="O192" s="62">
        <v>13000</v>
      </c>
      <c r="P192" s="62">
        <v>13000</v>
      </c>
      <c r="Q192" s="62">
        <v>13000</v>
      </c>
      <c r="R192" s="62">
        <v>13000</v>
      </c>
      <c r="S192" s="62">
        <v>13000</v>
      </c>
      <c r="T192" s="62">
        <v>13000</v>
      </c>
      <c r="U192" s="62">
        <v>13000</v>
      </c>
      <c r="V192" s="62">
        <v>13000</v>
      </c>
      <c r="W192" s="62">
        <v>13000</v>
      </c>
      <c r="X192" s="62">
        <v>13000</v>
      </c>
      <c r="Y192" s="62">
        <v>13000</v>
      </c>
      <c r="Z192" s="62">
        <v>13000</v>
      </c>
      <c r="AA192" s="62">
        <v>13000</v>
      </c>
      <c r="AB192" s="62">
        <v>13000</v>
      </c>
      <c r="AC192" s="57">
        <f t="shared" si="3"/>
        <v>312000</v>
      </c>
      <c r="AD192" s="106"/>
    </row>
    <row r="193" spans="1:30" ht="15.75" thickBot="1" x14ac:dyDescent="0.3">
      <c r="A193" s="58">
        <v>2030</v>
      </c>
      <c r="B193" s="59">
        <v>11</v>
      </c>
      <c r="C193" s="59">
        <v>5</v>
      </c>
      <c r="D193" s="60" t="s">
        <v>136</v>
      </c>
      <c r="E193" s="62">
        <v>13000</v>
      </c>
      <c r="F193" s="62">
        <v>13000</v>
      </c>
      <c r="G193" s="62">
        <v>13000</v>
      </c>
      <c r="H193" s="62">
        <v>13000</v>
      </c>
      <c r="I193" s="62">
        <v>13000</v>
      </c>
      <c r="J193" s="62">
        <v>13000</v>
      </c>
      <c r="K193" s="62">
        <v>13000</v>
      </c>
      <c r="L193" s="62">
        <v>13000</v>
      </c>
      <c r="M193" s="62">
        <v>13000</v>
      </c>
      <c r="N193" s="62">
        <v>13000</v>
      </c>
      <c r="O193" s="62">
        <v>13000</v>
      </c>
      <c r="P193" s="62">
        <v>13000</v>
      </c>
      <c r="Q193" s="62">
        <v>13000</v>
      </c>
      <c r="R193" s="62">
        <v>13000</v>
      </c>
      <c r="S193" s="62">
        <v>13000</v>
      </c>
      <c r="T193" s="62">
        <v>13000</v>
      </c>
      <c r="U193" s="62">
        <v>13000</v>
      </c>
      <c r="V193" s="62">
        <v>13000</v>
      </c>
      <c r="W193" s="62">
        <v>13000</v>
      </c>
      <c r="X193" s="62">
        <v>13000</v>
      </c>
      <c r="Y193" s="62">
        <v>13000</v>
      </c>
      <c r="Z193" s="62">
        <v>13000</v>
      </c>
      <c r="AA193" s="62">
        <v>13000</v>
      </c>
      <c r="AB193" s="62">
        <v>13000</v>
      </c>
      <c r="AC193" s="61">
        <f t="shared" si="3"/>
        <v>312000</v>
      </c>
      <c r="AD193" s="107"/>
    </row>
    <row r="194" spans="1:30" ht="15.75" thickBot="1" x14ac:dyDescent="0.3">
      <c r="A194" s="49">
        <v>2030</v>
      </c>
      <c r="B194" s="50">
        <v>12</v>
      </c>
      <c r="C194" s="50">
        <v>6</v>
      </c>
      <c r="D194" s="51" t="s">
        <v>134</v>
      </c>
      <c r="E194" s="62">
        <v>13000</v>
      </c>
      <c r="F194" s="62">
        <v>13000</v>
      </c>
      <c r="G194" s="62">
        <v>13000</v>
      </c>
      <c r="H194" s="62">
        <v>13000</v>
      </c>
      <c r="I194" s="62">
        <v>13000</v>
      </c>
      <c r="J194" s="62">
        <v>13000</v>
      </c>
      <c r="K194" s="62">
        <v>13000</v>
      </c>
      <c r="L194" s="62">
        <v>13000</v>
      </c>
      <c r="M194" s="62">
        <v>13000</v>
      </c>
      <c r="N194" s="62">
        <v>13000</v>
      </c>
      <c r="O194" s="62">
        <v>13000</v>
      </c>
      <c r="P194" s="62">
        <v>13000</v>
      </c>
      <c r="Q194" s="62">
        <v>13000</v>
      </c>
      <c r="R194" s="62">
        <v>13000</v>
      </c>
      <c r="S194" s="62">
        <v>13000</v>
      </c>
      <c r="T194" s="62">
        <v>13000</v>
      </c>
      <c r="U194" s="62">
        <v>13000</v>
      </c>
      <c r="V194" s="62">
        <v>13000</v>
      </c>
      <c r="W194" s="62">
        <v>13000</v>
      </c>
      <c r="X194" s="62">
        <v>13000</v>
      </c>
      <c r="Y194" s="62">
        <v>13000</v>
      </c>
      <c r="Z194" s="62">
        <v>13000</v>
      </c>
      <c r="AA194" s="62">
        <v>13000</v>
      </c>
      <c r="AB194" s="62">
        <v>13000</v>
      </c>
      <c r="AC194" s="53">
        <f t="shared" si="3"/>
        <v>312000</v>
      </c>
      <c r="AD194" s="105">
        <f>+SUMPRODUCT(AC194:AC196,C194:C196)</f>
        <v>9672000</v>
      </c>
    </row>
    <row r="195" spans="1:30" ht="15.75" thickBot="1" x14ac:dyDescent="0.3">
      <c r="A195" s="54">
        <v>2030</v>
      </c>
      <c r="B195" s="55">
        <v>12</v>
      </c>
      <c r="C195" s="55">
        <v>21</v>
      </c>
      <c r="D195" s="56" t="s">
        <v>135</v>
      </c>
      <c r="E195" s="62">
        <v>13000</v>
      </c>
      <c r="F195" s="62">
        <v>13000</v>
      </c>
      <c r="G195" s="62">
        <v>13000</v>
      </c>
      <c r="H195" s="62">
        <v>13000</v>
      </c>
      <c r="I195" s="62">
        <v>13000</v>
      </c>
      <c r="J195" s="62">
        <v>13000</v>
      </c>
      <c r="K195" s="62">
        <v>13000</v>
      </c>
      <c r="L195" s="62">
        <v>13000</v>
      </c>
      <c r="M195" s="62">
        <v>13000</v>
      </c>
      <c r="N195" s="62">
        <v>13000</v>
      </c>
      <c r="O195" s="62">
        <v>13000</v>
      </c>
      <c r="P195" s="62">
        <v>13000</v>
      </c>
      <c r="Q195" s="62">
        <v>13000</v>
      </c>
      <c r="R195" s="62">
        <v>13000</v>
      </c>
      <c r="S195" s="62">
        <v>13000</v>
      </c>
      <c r="T195" s="62">
        <v>13000</v>
      </c>
      <c r="U195" s="62">
        <v>13000</v>
      </c>
      <c r="V195" s="62">
        <v>13000</v>
      </c>
      <c r="W195" s="62">
        <v>13000</v>
      </c>
      <c r="X195" s="62">
        <v>13000</v>
      </c>
      <c r="Y195" s="62">
        <v>13000</v>
      </c>
      <c r="Z195" s="62">
        <v>13000</v>
      </c>
      <c r="AA195" s="62">
        <v>13000</v>
      </c>
      <c r="AB195" s="62">
        <v>13000</v>
      </c>
      <c r="AC195" s="57">
        <f t="shared" si="3"/>
        <v>312000</v>
      </c>
      <c r="AD195" s="106"/>
    </row>
    <row r="196" spans="1:30" ht="15.75" thickBot="1" x14ac:dyDescent="0.3">
      <c r="A196" s="58">
        <v>2030</v>
      </c>
      <c r="B196" s="59">
        <v>12</v>
      </c>
      <c r="C196" s="59">
        <v>4</v>
      </c>
      <c r="D196" s="60" t="s">
        <v>136</v>
      </c>
      <c r="E196" s="62">
        <v>13000</v>
      </c>
      <c r="F196" s="62">
        <v>13000</v>
      </c>
      <c r="G196" s="62">
        <v>13000</v>
      </c>
      <c r="H196" s="62">
        <v>13000</v>
      </c>
      <c r="I196" s="62">
        <v>13000</v>
      </c>
      <c r="J196" s="62">
        <v>13000</v>
      </c>
      <c r="K196" s="62">
        <v>13000</v>
      </c>
      <c r="L196" s="62">
        <v>13000</v>
      </c>
      <c r="M196" s="62">
        <v>13000</v>
      </c>
      <c r="N196" s="62">
        <v>13000</v>
      </c>
      <c r="O196" s="62">
        <v>13000</v>
      </c>
      <c r="P196" s="62">
        <v>13000</v>
      </c>
      <c r="Q196" s="62">
        <v>13000</v>
      </c>
      <c r="R196" s="62">
        <v>13000</v>
      </c>
      <c r="S196" s="62">
        <v>13000</v>
      </c>
      <c r="T196" s="62">
        <v>13000</v>
      </c>
      <c r="U196" s="62">
        <v>13000</v>
      </c>
      <c r="V196" s="62">
        <v>13000</v>
      </c>
      <c r="W196" s="62">
        <v>13000</v>
      </c>
      <c r="X196" s="62">
        <v>13000</v>
      </c>
      <c r="Y196" s="62">
        <v>13000</v>
      </c>
      <c r="Z196" s="62">
        <v>13000</v>
      </c>
      <c r="AA196" s="62">
        <v>13000</v>
      </c>
      <c r="AB196" s="62">
        <v>13000</v>
      </c>
      <c r="AC196" s="61">
        <f t="shared" si="3"/>
        <v>312000</v>
      </c>
      <c r="AD196" s="107"/>
    </row>
    <row r="197" spans="1:30" ht="15.75" thickBot="1" x14ac:dyDescent="0.3">
      <c r="A197" s="49">
        <v>2031</v>
      </c>
      <c r="B197" s="50">
        <v>1</v>
      </c>
      <c r="C197" s="50">
        <v>6</v>
      </c>
      <c r="D197" s="51" t="s">
        <v>134</v>
      </c>
      <c r="E197" s="62">
        <v>13000</v>
      </c>
      <c r="F197" s="62">
        <v>13000</v>
      </c>
      <c r="G197" s="62">
        <v>13000</v>
      </c>
      <c r="H197" s="62">
        <v>13000</v>
      </c>
      <c r="I197" s="62">
        <v>13000</v>
      </c>
      <c r="J197" s="62">
        <v>13000</v>
      </c>
      <c r="K197" s="62">
        <v>13000</v>
      </c>
      <c r="L197" s="62">
        <v>13000</v>
      </c>
      <c r="M197" s="62">
        <v>13000</v>
      </c>
      <c r="N197" s="62">
        <v>13000</v>
      </c>
      <c r="O197" s="62">
        <v>13000</v>
      </c>
      <c r="P197" s="62">
        <v>13000</v>
      </c>
      <c r="Q197" s="62">
        <v>13000</v>
      </c>
      <c r="R197" s="62">
        <v>13000</v>
      </c>
      <c r="S197" s="62">
        <v>13000</v>
      </c>
      <c r="T197" s="62">
        <v>13000</v>
      </c>
      <c r="U197" s="62">
        <v>13000</v>
      </c>
      <c r="V197" s="62">
        <v>13000</v>
      </c>
      <c r="W197" s="62">
        <v>13000</v>
      </c>
      <c r="X197" s="62">
        <v>13000</v>
      </c>
      <c r="Y197" s="62">
        <v>13000</v>
      </c>
      <c r="Z197" s="62">
        <v>13000</v>
      </c>
      <c r="AA197" s="62">
        <v>13000</v>
      </c>
      <c r="AB197" s="62">
        <v>13000</v>
      </c>
      <c r="AC197" s="53">
        <f t="shared" si="3"/>
        <v>312000</v>
      </c>
      <c r="AD197" s="105">
        <f>+SUMPRODUCT(AC197:AC199,C197:C199)</f>
        <v>9672000</v>
      </c>
    </row>
    <row r="198" spans="1:30" ht="15.75" thickBot="1" x14ac:dyDescent="0.3">
      <c r="A198" s="54">
        <v>2031</v>
      </c>
      <c r="B198" s="55">
        <v>1</v>
      </c>
      <c r="C198" s="55">
        <v>21</v>
      </c>
      <c r="D198" s="56" t="s">
        <v>135</v>
      </c>
      <c r="E198" s="62">
        <v>13000</v>
      </c>
      <c r="F198" s="62">
        <v>13000</v>
      </c>
      <c r="G198" s="62">
        <v>13000</v>
      </c>
      <c r="H198" s="62">
        <v>13000</v>
      </c>
      <c r="I198" s="62">
        <v>13000</v>
      </c>
      <c r="J198" s="62">
        <v>13000</v>
      </c>
      <c r="K198" s="62">
        <v>13000</v>
      </c>
      <c r="L198" s="62">
        <v>13000</v>
      </c>
      <c r="M198" s="62">
        <v>13000</v>
      </c>
      <c r="N198" s="62">
        <v>13000</v>
      </c>
      <c r="O198" s="62">
        <v>13000</v>
      </c>
      <c r="P198" s="62">
        <v>13000</v>
      </c>
      <c r="Q198" s="62">
        <v>13000</v>
      </c>
      <c r="R198" s="62">
        <v>13000</v>
      </c>
      <c r="S198" s="62">
        <v>13000</v>
      </c>
      <c r="T198" s="62">
        <v>13000</v>
      </c>
      <c r="U198" s="62">
        <v>13000</v>
      </c>
      <c r="V198" s="62">
        <v>13000</v>
      </c>
      <c r="W198" s="62">
        <v>13000</v>
      </c>
      <c r="X198" s="62">
        <v>13000</v>
      </c>
      <c r="Y198" s="62">
        <v>13000</v>
      </c>
      <c r="Z198" s="62">
        <v>13000</v>
      </c>
      <c r="AA198" s="62">
        <v>13000</v>
      </c>
      <c r="AB198" s="62">
        <v>13000</v>
      </c>
      <c r="AC198" s="57">
        <f t="shared" si="3"/>
        <v>312000</v>
      </c>
      <c r="AD198" s="106"/>
    </row>
    <row r="199" spans="1:30" ht="15.75" thickBot="1" x14ac:dyDescent="0.3">
      <c r="A199" s="58">
        <v>2031</v>
      </c>
      <c r="B199" s="59">
        <v>1</v>
      </c>
      <c r="C199" s="59">
        <v>4</v>
      </c>
      <c r="D199" s="60" t="s">
        <v>136</v>
      </c>
      <c r="E199" s="62">
        <v>13000</v>
      </c>
      <c r="F199" s="62">
        <v>13000</v>
      </c>
      <c r="G199" s="62">
        <v>13000</v>
      </c>
      <c r="H199" s="62">
        <v>13000</v>
      </c>
      <c r="I199" s="62">
        <v>13000</v>
      </c>
      <c r="J199" s="62">
        <v>13000</v>
      </c>
      <c r="K199" s="62">
        <v>13000</v>
      </c>
      <c r="L199" s="62">
        <v>13000</v>
      </c>
      <c r="M199" s="62">
        <v>13000</v>
      </c>
      <c r="N199" s="62">
        <v>13000</v>
      </c>
      <c r="O199" s="62">
        <v>13000</v>
      </c>
      <c r="P199" s="62">
        <v>13000</v>
      </c>
      <c r="Q199" s="62">
        <v>13000</v>
      </c>
      <c r="R199" s="62">
        <v>13000</v>
      </c>
      <c r="S199" s="62">
        <v>13000</v>
      </c>
      <c r="T199" s="62">
        <v>13000</v>
      </c>
      <c r="U199" s="62">
        <v>13000</v>
      </c>
      <c r="V199" s="62">
        <v>13000</v>
      </c>
      <c r="W199" s="62">
        <v>13000</v>
      </c>
      <c r="X199" s="62">
        <v>13000</v>
      </c>
      <c r="Y199" s="62">
        <v>13000</v>
      </c>
      <c r="Z199" s="62">
        <v>13000</v>
      </c>
      <c r="AA199" s="62">
        <v>13000</v>
      </c>
      <c r="AB199" s="62">
        <v>13000</v>
      </c>
      <c r="AC199" s="61">
        <f t="shared" si="3"/>
        <v>312000</v>
      </c>
      <c r="AD199" s="107"/>
    </row>
    <row r="200" spans="1:30" ht="15.75" thickBot="1" x14ac:dyDescent="0.3">
      <c r="A200" s="49">
        <v>2031</v>
      </c>
      <c r="B200" s="50">
        <v>2</v>
      </c>
      <c r="C200" s="50">
        <v>4</v>
      </c>
      <c r="D200" s="51" t="s">
        <v>134</v>
      </c>
      <c r="E200" s="62">
        <v>13000</v>
      </c>
      <c r="F200" s="62">
        <v>13000</v>
      </c>
      <c r="G200" s="62">
        <v>13000</v>
      </c>
      <c r="H200" s="62">
        <v>13000</v>
      </c>
      <c r="I200" s="62">
        <v>13000</v>
      </c>
      <c r="J200" s="62">
        <v>13000</v>
      </c>
      <c r="K200" s="62">
        <v>13000</v>
      </c>
      <c r="L200" s="62">
        <v>13000</v>
      </c>
      <c r="M200" s="62">
        <v>13000</v>
      </c>
      <c r="N200" s="62">
        <v>13000</v>
      </c>
      <c r="O200" s="62">
        <v>13000</v>
      </c>
      <c r="P200" s="62">
        <v>13000</v>
      </c>
      <c r="Q200" s="62">
        <v>13000</v>
      </c>
      <c r="R200" s="62">
        <v>13000</v>
      </c>
      <c r="S200" s="62">
        <v>13000</v>
      </c>
      <c r="T200" s="62">
        <v>13000</v>
      </c>
      <c r="U200" s="62">
        <v>13000</v>
      </c>
      <c r="V200" s="62">
        <v>13000</v>
      </c>
      <c r="W200" s="62">
        <v>13000</v>
      </c>
      <c r="X200" s="62">
        <v>13000</v>
      </c>
      <c r="Y200" s="62">
        <v>13000</v>
      </c>
      <c r="Z200" s="62">
        <v>13000</v>
      </c>
      <c r="AA200" s="62">
        <v>13000</v>
      </c>
      <c r="AB200" s="62">
        <v>13000</v>
      </c>
      <c r="AC200" s="53">
        <f t="shared" si="3"/>
        <v>312000</v>
      </c>
      <c r="AD200" s="105">
        <f>+SUMPRODUCT(AC200:AC202,C200:C202)</f>
        <v>8736000</v>
      </c>
    </row>
    <row r="201" spans="1:30" ht="15.75" thickBot="1" x14ac:dyDescent="0.3">
      <c r="A201" s="54">
        <v>2031</v>
      </c>
      <c r="B201" s="55">
        <v>2</v>
      </c>
      <c r="C201" s="55">
        <v>20</v>
      </c>
      <c r="D201" s="56" t="s">
        <v>135</v>
      </c>
      <c r="E201" s="62">
        <v>13000</v>
      </c>
      <c r="F201" s="62">
        <v>13000</v>
      </c>
      <c r="G201" s="62">
        <v>13000</v>
      </c>
      <c r="H201" s="62">
        <v>13000</v>
      </c>
      <c r="I201" s="62">
        <v>13000</v>
      </c>
      <c r="J201" s="62">
        <v>13000</v>
      </c>
      <c r="K201" s="62">
        <v>13000</v>
      </c>
      <c r="L201" s="62">
        <v>13000</v>
      </c>
      <c r="M201" s="62">
        <v>13000</v>
      </c>
      <c r="N201" s="62">
        <v>13000</v>
      </c>
      <c r="O201" s="62">
        <v>13000</v>
      </c>
      <c r="P201" s="62">
        <v>13000</v>
      </c>
      <c r="Q201" s="62">
        <v>13000</v>
      </c>
      <c r="R201" s="62">
        <v>13000</v>
      </c>
      <c r="S201" s="62">
        <v>13000</v>
      </c>
      <c r="T201" s="62">
        <v>13000</v>
      </c>
      <c r="U201" s="62">
        <v>13000</v>
      </c>
      <c r="V201" s="62">
        <v>13000</v>
      </c>
      <c r="W201" s="62">
        <v>13000</v>
      </c>
      <c r="X201" s="62">
        <v>13000</v>
      </c>
      <c r="Y201" s="62">
        <v>13000</v>
      </c>
      <c r="Z201" s="62">
        <v>13000</v>
      </c>
      <c r="AA201" s="62">
        <v>13000</v>
      </c>
      <c r="AB201" s="62">
        <v>13000</v>
      </c>
      <c r="AC201" s="57">
        <f t="shared" si="3"/>
        <v>312000</v>
      </c>
      <c r="AD201" s="106"/>
    </row>
    <row r="202" spans="1:30" ht="15.75" thickBot="1" x14ac:dyDescent="0.3">
      <c r="A202" s="58">
        <v>2031</v>
      </c>
      <c r="B202" s="59">
        <v>2</v>
      </c>
      <c r="C202" s="59">
        <v>4</v>
      </c>
      <c r="D202" s="60" t="s">
        <v>136</v>
      </c>
      <c r="E202" s="62">
        <v>13000</v>
      </c>
      <c r="F202" s="62">
        <v>13000</v>
      </c>
      <c r="G202" s="62">
        <v>13000</v>
      </c>
      <c r="H202" s="62">
        <v>13000</v>
      </c>
      <c r="I202" s="62">
        <v>13000</v>
      </c>
      <c r="J202" s="62">
        <v>13000</v>
      </c>
      <c r="K202" s="62">
        <v>13000</v>
      </c>
      <c r="L202" s="62">
        <v>13000</v>
      </c>
      <c r="M202" s="62">
        <v>13000</v>
      </c>
      <c r="N202" s="62">
        <v>13000</v>
      </c>
      <c r="O202" s="62">
        <v>13000</v>
      </c>
      <c r="P202" s="62">
        <v>13000</v>
      </c>
      <c r="Q202" s="62">
        <v>13000</v>
      </c>
      <c r="R202" s="62">
        <v>13000</v>
      </c>
      <c r="S202" s="62">
        <v>13000</v>
      </c>
      <c r="T202" s="62">
        <v>13000</v>
      </c>
      <c r="U202" s="62">
        <v>13000</v>
      </c>
      <c r="V202" s="62">
        <v>13000</v>
      </c>
      <c r="W202" s="62">
        <v>13000</v>
      </c>
      <c r="X202" s="62">
        <v>13000</v>
      </c>
      <c r="Y202" s="62">
        <v>13000</v>
      </c>
      <c r="Z202" s="62">
        <v>13000</v>
      </c>
      <c r="AA202" s="62">
        <v>13000</v>
      </c>
      <c r="AB202" s="62">
        <v>13000</v>
      </c>
      <c r="AC202" s="61">
        <f t="shared" si="3"/>
        <v>312000</v>
      </c>
      <c r="AD202" s="107"/>
    </row>
    <row r="203" spans="1:30" ht="15.75" thickBot="1" x14ac:dyDescent="0.3">
      <c r="A203" s="49">
        <v>2031</v>
      </c>
      <c r="B203" s="50">
        <v>3</v>
      </c>
      <c r="C203" s="50">
        <v>6</v>
      </c>
      <c r="D203" s="51" t="s">
        <v>134</v>
      </c>
      <c r="E203" s="62">
        <v>13000</v>
      </c>
      <c r="F203" s="62">
        <v>13000</v>
      </c>
      <c r="G203" s="62">
        <v>13000</v>
      </c>
      <c r="H203" s="62">
        <v>13000</v>
      </c>
      <c r="I203" s="62">
        <v>13000</v>
      </c>
      <c r="J203" s="62">
        <v>13000</v>
      </c>
      <c r="K203" s="62">
        <v>13000</v>
      </c>
      <c r="L203" s="62">
        <v>13000</v>
      </c>
      <c r="M203" s="62">
        <v>13000</v>
      </c>
      <c r="N203" s="62">
        <v>13000</v>
      </c>
      <c r="O203" s="62">
        <v>13000</v>
      </c>
      <c r="P203" s="62">
        <v>13000</v>
      </c>
      <c r="Q203" s="62">
        <v>13000</v>
      </c>
      <c r="R203" s="62">
        <v>13000</v>
      </c>
      <c r="S203" s="62">
        <v>13000</v>
      </c>
      <c r="T203" s="62">
        <v>13000</v>
      </c>
      <c r="U203" s="62">
        <v>13000</v>
      </c>
      <c r="V203" s="62">
        <v>13000</v>
      </c>
      <c r="W203" s="62">
        <v>13000</v>
      </c>
      <c r="X203" s="62">
        <v>13000</v>
      </c>
      <c r="Y203" s="62">
        <v>13000</v>
      </c>
      <c r="Z203" s="62">
        <v>13000</v>
      </c>
      <c r="AA203" s="62">
        <v>13000</v>
      </c>
      <c r="AB203" s="62">
        <v>13000</v>
      </c>
      <c r="AC203" s="53">
        <f t="shared" si="3"/>
        <v>312000</v>
      </c>
      <c r="AD203" s="105">
        <f>+SUMPRODUCT(AC203:AC205,C203:C205)</f>
        <v>9672000</v>
      </c>
    </row>
    <row r="204" spans="1:30" ht="15.75" thickBot="1" x14ac:dyDescent="0.3">
      <c r="A204" s="54">
        <v>2031</v>
      </c>
      <c r="B204" s="55">
        <v>3</v>
      </c>
      <c r="C204" s="55">
        <v>20</v>
      </c>
      <c r="D204" s="56" t="s">
        <v>135</v>
      </c>
      <c r="E204" s="62">
        <v>13000</v>
      </c>
      <c r="F204" s="62">
        <v>13000</v>
      </c>
      <c r="G204" s="62">
        <v>13000</v>
      </c>
      <c r="H204" s="62">
        <v>13000</v>
      </c>
      <c r="I204" s="62">
        <v>13000</v>
      </c>
      <c r="J204" s="62">
        <v>13000</v>
      </c>
      <c r="K204" s="62">
        <v>13000</v>
      </c>
      <c r="L204" s="62">
        <v>13000</v>
      </c>
      <c r="M204" s="62">
        <v>13000</v>
      </c>
      <c r="N204" s="62">
        <v>13000</v>
      </c>
      <c r="O204" s="62">
        <v>13000</v>
      </c>
      <c r="P204" s="62">
        <v>13000</v>
      </c>
      <c r="Q204" s="62">
        <v>13000</v>
      </c>
      <c r="R204" s="62">
        <v>13000</v>
      </c>
      <c r="S204" s="62">
        <v>13000</v>
      </c>
      <c r="T204" s="62">
        <v>13000</v>
      </c>
      <c r="U204" s="62">
        <v>13000</v>
      </c>
      <c r="V204" s="62">
        <v>13000</v>
      </c>
      <c r="W204" s="62">
        <v>13000</v>
      </c>
      <c r="X204" s="62">
        <v>13000</v>
      </c>
      <c r="Y204" s="62">
        <v>13000</v>
      </c>
      <c r="Z204" s="62">
        <v>13000</v>
      </c>
      <c r="AA204" s="62">
        <v>13000</v>
      </c>
      <c r="AB204" s="62">
        <v>13000</v>
      </c>
      <c r="AC204" s="57">
        <f t="shared" si="3"/>
        <v>312000</v>
      </c>
      <c r="AD204" s="106"/>
    </row>
    <row r="205" spans="1:30" ht="15.75" thickBot="1" x14ac:dyDescent="0.3">
      <c r="A205" s="58">
        <v>2031</v>
      </c>
      <c r="B205" s="59">
        <v>3</v>
      </c>
      <c r="C205" s="59">
        <v>5</v>
      </c>
      <c r="D205" s="60" t="s">
        <v>136</v>
      </c>
      <c r="E205" s="62">
        <v>13000</v>
      </c>
      <c r="F205" s="62">
        <v>13000</v>
      </c>
      <c r="G205" s="62">
        <v>13000</v>
      </c>
      <c r="H205" s="62">
        <v>13000</v>
      </c>
      <c r="I205" s="62">
        <v>13000</v>
      </c>
      <c r="J205" s="62">
        <v>13000</v>
      </c>
      <c r="K205" s="62">
        <v>13000</v>
      </c>
      <c r="L205" s="62">
        <v>13000</v>
      </c>
      <c r="M205" s="62">
        <v>13000</v>
      </c>
      <c r="N205" s="62">
        <v>13000</v>
      </c>
      <c r="O205" s="62">
        <v>13000</v>
      </c>
      <c r="P205" s="62">
        <v>13000</v>
      </c>
      <c r="Q205" s="62">
        <v>13000</v>
      </c>
      <c r="R205" s="62">
        <v>13000</v>
      </c>
      <c r="S205" s="62">
        <v>13000</v>
      </c>
      <c r="T205" s="62">
        <v>13000</v>
      </c>
      <c r="U205" s="62">
        <v>13000</v>
      </c>
      <c r="V205" s="62">
        <v>13000</v>
      </c>
      <c r="W205" s="62">
        <v>13000</v>
      </c>
      <c r="X205" s="62">
        <v>13000</v>
      </c>
      <c r="Y205" s="62">
        <v>13000</v>
      </c>
      <c r="Z205" s="62">
        <v>13000</v>
      </c>
      <c r="AA205" s="62">
        <v>13000</v>
      </c>
      <c r="AB205" s="62">
        <v>13000</v>
      </c>
      <c r="AC205" s="61">
        <f t="shared" si="3"/>
        <v>312000</v>
      </c>
      <c r="AD205" s="107"/>
    </row>
    <row r="206" spans="1:30" ht="15.75" thickBot="1" x14ac:dyDescent="0.3">
      <c r="A206" s="49">
        <v>2031</v>
      </c>
      <c r="B206" s="50">
        <v>4</v>
      </c>
      <c r="C206" s="50">
        <v>6</v>
      </c>
      <c r="D206" s="51" t="s">
        <v>134</v>
      </c>
      <c r="E206" s="62">
        <v>13000</v>
      </c>
      <c r="F206" s="62">
        <v>13000</v>
      </c>
      <c r="G206" s="62">
        <v>13000</v>
      </c>
      <c r="H206" s="62">
        <v>13000</v>
      </c>
      <c r="I206" s="62">
        <v>13000</v>
      </c>
      <c r="J206" s="62">
        <v>13000</v>
      </c>
      <c r="K206" s="62">
        <v>13000</v>
      </c>
      <c r="L206" s="62">
        <v>13000</v>
      </c>
      <c r="M206" s="62">
        <v>13000</v>
      </c>
      <c r="N206" s="62">
        <v>13000</v>
      </c>
      <c r="O206" s="62">
        <v>13000</v>
      </c>
      <c r="P206" s="62">
        <v>13000</v>
      </c>
      <c r="Q206" s="62">
        <v>13000</v>
      </c>
      <c r="R206" s="62">
        <v>13000</v>
      </c>
      <c r="S206" s="62">
        <v>13000</v>
      </c>
      <c r="T206" s="62">
        <v>13000</v>
      </c>
      <c r="U206" s="62">
        <v>13000</v>
      </c>
      <c r="V206" s="62">
        <v>13000</v>
      </c>
      <c r="W206" s="62">
        <v>13000</v>
      </c>
      <c r="X206" s="62">
        <v>13000</v>
      </c>
      <c r="Y206" s="62">
        <v>13000</v>
      </c>
      <c r="Z206" s="62">
        <v>13000</v>
      </c>
      <c r="AA206" s="62">
        <v>13000</v>
      </c>
      <c r="AB206" s="62">
        <v>13000</v>
      </c>
      <c r="AC206" s="53">
        <f t="shared" si="3"/>
        <v>312000</v>
      </c>
      <c r="AD206" s="105">
        <f>+SUMPRODUCT(AC206:AC208,C206:C208)</f>
        <v>9360000</v>
      </c>
    </row>
    <row r="207" spans="1:30" ht="15.75" thickBot="1" x14ac:dyDescent="0.3">
      <c r="A207" s="54">
        <v>2031</v>
      </c>
      <c r="B207" s="55">
        <v>4</v>
      </c>
      <c r="C207" s="55">
        <v>20</v>
      </c>
      <c r="D207" s="56" t="s">
        <v>135</v>
      </c>
      <c r="E207" s="62">
        <v>13000</v>
      </c>
      <c r="F207" s="62">
        <v>13000</v>
      </c>
      <c r="G207" s="62">
        <v>13000</v>
      </c>
      <c r="H207" s="62">
        <v>13000</v>
      </c>
      <c r="I207" s="62">
        <v>13000</v>
      </c>
      <c r="J207" s="62">
        <v>13000</v>
      </c>
      <c r="K207" s="62">
        <v>13000</v>
      </c>
      <c r="L207" s="62">
        <v>13000</v>
      </c>
      <c r="M207" s="62">
        <v>13000</v>
      </c>
      <c r="N207" s="62">
        <v>13000</v>
      </c>
      <c r="O207" s="62">
        <v>13000</v>
      </c>
      <c r="P207" s="62">
        <v>13000</v>
      </c>
      <c r="Q207" s="62">
        <v>13000</v>
      </c>
      <c r="R207" s="62">
        <v>13000</v>
      </c>
      <c r="S207" s="62">
        <v>13000</v>
      </c>
      <c r="T207" s="62">
        <v>13000</v>
      </c>
      <c r="U207" s="62">
        <v>13000</v>
      </c>
      <c r="V207" s="62">
        <v>13000</v>
      </c>
      <c r="W207" s="62">
        <v>13000</v>
      </c>
      <c r="X207" s="62">
        <v>13000</v>
      </c>
      <c r="Y207" s="62">
        <v>13000</v>
      </c>
      <c r="Z207" s="62">
        <v>13000</v>
      </c>
      <c r="AA207" s="62">
        <v>13000</v>
      </c>
      <c r="AB207" s="62">
        <v>13000</v>
      </c>
      <c r="AC207" s="57">
        <f t="shared" si="3"/>
        <v>312000</v>
      </c>
      <c r="AD207" s="106"/>
    </row>
    <row r="208" spans="1:30" ht="15.75" thickBot="1" x14ac:dyDescent="0.3">
      <c r="A208" s="58">
        <v>2031</v>
      </c>
      <c r="B208" s="59">
        <v>4</v>
      </c>
      <c r="C208" s="59">
        <v>4</v>
      </c>
      <c r="D208" s="60" t="s">
        <v>136</v>
      </c>
      <c r="E208" s="62">
        <v>13000</v>
      </c>
      <c r="F208" s="62">
        <v>13000</v>
      </c>
      <c r="G208" s="62">
        <v>13000</v>
      </c>
      <c r="H208" s="62">
        <v>13000</v>
      </c>
      <c r="I208" s="62">
        <v>13000</v>
      </c>
      <c r="J208" s="62">
        <v>13000</v>
      </c>
      <c r="K208" s="62">
        <v>13000</v>
      </c>
      <c r="L208" s="62">
        <v>13000</v>
      </c>
      <c r="M208" s="62">
        <v>13000</v>
      </c>
      <c r="N208" s="62">
        <v>13000</v>
      </c>
      <c r="O208" s="62">
        <v>13000</v>
      </c>
      <c r="P208" s="62">
        <v>13000</v>
      </c>
      <c r="Q208" s="62">
        <v>13000</v>
      </c>
      <c r="R208" s="62">
        <v>13000</v>
      </c>
      <c r="S208" s="62">
        <v>13000</v>
      </c>
      <c r="T208" s="62">
        <v>13000</v>
      </c>
      <c r="U208" s="62">
        <v>13000</v>
      </c>
      <c r="V208" s="62">
        <v>13000</v>
      </c>
      <c r="W208" s="62">
        <v>13000</v>
      </c>
      <c r="X208" s="62">
        <v>13000</v>
      </c>
      <c r="Y208" s="62">
        <v>13000</v>
      </c>
      <c r="Z208" s="62">
        <v>13000</v>
      </c>
      <c r="AA208" s="62">
        <v>13000</v>
      </c>
      <c r="AB208" s="62">
        <v>13000</v>
      </c>
      <c r="AC208" s="61">
        <f t="shared" si="3"/>
        <v>312000</v>
      </c>
      <c r="AD208" s="107"/>
    </row>
    <row r="209" spans="1:30" ht="15.75" thickBot="1" x14ac:dyDescent="0.3">
      <c r="A209" s="49">
        <v>2031</v>
      </c>
      <c r="B209" s="50">
        <v>5</v>
      </c>
      <c r="C209" s="50">
        <v>5</v>
      </c>
      <c r="D209" s="51" t="s">
        <v>134</v>
      </c>
      <c r="E209" s="62">
        <v>13000</v>
      </c>
      <c r="F209" s="62">
        <v>13000</v>
      </c>
      <c r="G209" s="62">
        <v>13000</v>
      </c>
      <c r="H209" s="62">
        <v>13000</v>
      </c>
      <c r="I209" s="62">
        <v>13000</v>
      </c>
      <c r="J209" s="62">
        <v>13000</v>
      </c>
      <c r="K209" s="62">
        <v>13000</v>
      </c>
      <c r="L209" s="62">
        <v>13000</v>
      </c>
      <c r="M209" s="62">
        <v>13000</v>
      </c>
      <c r="N209" s="62">
        <v>13000</v>
      </c>
      <c r="O209" s="62">
        <v>13000</v>
      </c>
      <c r="P209" s="62">
        <v>13000</v>
      </c>
      <c r="Q209" s="62">
        <v>13000</v>
      </c>
      <c r="R209" s="62">
        <v>13000</v>
      </c>
      <c r="S209" s="62">
        <v>13000</v>
      </c>
      <c r="T209" s="62">
        <v>13000</v>
      </c>
      <c r="U209" s="62">
        <v>13000</v>
      </c>
      <c r="V209" s="62">
        <v>13000</v>
      </c>
      <c r="W209" s="62">
        <v>13000</v>
      </c>
      <c r="X209" s="62">
        <v>13000</v>
      </c>
      <c r="Y209" s="62">
        <v>13000</v>
      </c>
      <c r="Z209" s="62">
        <v>13000</v>
      </c>
      <c r="AA209" s="62">
        <v>13000</v>
      </c>
      <c r="AB209" s="62">
        <v>13000</v>
      </c>
      <c r="AC209" s="53">
        <f t="shared" si="3"/>
        <v>312000</v>
      </c>
      <c r="AD209" s="105">
        <f>+SUMPRODUCT(AC209:AC211,C209:C211)</f>
        <v>9672000</v>
      </c>
    </row>
    <row r="210" spans="1:30" ht="15.75" thickBot="1" x14ac:dyDescent="0.3">
      <c r="A210" s="54">
        <v>2031</v>
      </c>
      <c r="B210" s="55">
        <v>5</v>
      </c>
      <c r="C210" s="55">
        <v>21</v>
      </c>
      <c r="D210" s="56" t="s">
        <v>135</v>
      </c>
      <c r="E210" s="62">
        <v>13000</v>
      </c>
      <c r="F210" s="62">
        <v>13000</v>
      </c>
      <c r="G210" s="62">
        <v>13000</v>
      </c>
      <c r="H210" s="62">
        <v>13000</v>
      </c>
      <c r="I210" s="62">
        <v>13000</v>
      </c>
      <c r="J210" s="62">
        <v>13000</v>
      </c>
      <c r="K210" s="62">
        <v>13000</v>
      </c>
      <c r="L210" s="62">
        <v>13000</v>
      </c>
      <c r="M210" s="62">
        <v>13000</v>
      </c>
      <c r="N210" s="62">
        <v>13000</v>
      </c>
      <c r="O210" s="62">
        <v>13000</v>
      </c>
      <c r="P210" s="62">
        <v>13000</v>
      </c>
      <c r="Q210" s="62">
        <v>13000</v>
      </c>
      <c r="R210" s="62">
        <v>13000</v>
      </c>
      <c r="S210" s="62">
        <v>13000</v>
      </c>
      <c r="T210" s="62">
        <v>13000</v>
      </c>
      <c r="U210" s="62">
        <v>13000</v>
      </c>
      <c r="V210" s="62">
        <v>13000</v>
      </c>
      <c r="W210" s="62">
        <v>13000</v>
      </c>
      <c r="X210" s="62">
        <v>13000</v>
      </c>
      <c r="Y210" s="62">
        <v>13000</v>
      </c>
      <c r="Z210" s="62">
        <v>13000</v>
      </c>
      <c r="AA210" s="62">
        <v>13000</v>
      </c>
      <c r="AB210" s="62">
        <v>13000</v>
      </c>
      <c r="AC210" s="57">
        <f t="shared" si="3"/>
        <v>312000</v>
      </c>
      <c r="AD210" s="106"/>
    </row>
    <row r="211" spans="1:30" ht="15.75" thickBot="1" x14ac:dyDescent="0.3">
      <c r="A211" s="58">
        <v>2031</v>
      </c>
      <c r="B211" s="59">
        <v>5</v>
      </c>
      <c r="C211" s="59">
        <v>5</v>
      </c>
      <c r="D211" s="60" t="s">
        <v>136</v>
      </c>
      <c r="E211" s="62">
        <v>13000</v>
      </c>
      <c r="F211" s="62">
        <v>13000</v>
      </c>
      <c r="G211" s="62">
        <v>13000</v>
      </c>
      <c r="H211" s="62">
        <v>13000</v>
      </c>
      <c r="I211" s="62">
        <v>13000</v>
      </c>
      <c r="J211" s="62">
        <v>13000</v>
      </c>
      <c r="K211" s="62">
        <v>13000</v>
      </c>
      <c r="L211" s="62">
        <v>13000</v>
      </c>
      <c r="M211" s="62">
        <v>13000</v>
      </c>
      <c r="N211" s="62">
        <v>13000</v>
      </c>
      <c r="O211" s="62">
        <v>13000</v>
      </c>
      <c r="P211" s="62">
        <v>13000</v>
      </c>
      <c r="Q211" s="62">
        <v>13000</v>
      </c>
      <c r="R211" s="62">
        <v>13000</v>
      </c>
      <c r="S211" s="62">
        <v>13000</v>
      </c>
      <c r="T211" s="62">
        <v>13000</v>
      </c>
      <c r="U211" s="62">
        <v>13000</v>
      </c>
      <c r="V211" s="62">
        <v>13000</v>
      </c>
      <c r="W211" s="62">
        <v>13000</v>
      </c>
      <c r="X211" s="62">
        <v>13000</v>
      </c>
      <c r="Y211" s="62">
        <v>13000</v>
      </c>
      <c r="Z211" s="62">
        <v>13000</v>
      </c>
      <c r="AA211" s="62">
        <v>13000</v>
      </c>
      <c r="AB211" s="62">
        <v>13000</v>
      </c>
      <c r="AC211" s="61">
        <f t="shared" si="3"/>
        <v>312000</v>
      </c>
      <c r="AD211" s="107"/>
    </row>
    <row r="212" spans="1:30" ht="15.75" thickBot="1" x14ac:dyDescent="0.3">
      <c r="A212" s="49">
        <v>2031</v>
      </c>
      <c r="B212" s="50">
        <v>6</v>
      </c>
      <c r="C212" s="50">
        <v>8</v>
      </c>
      <c r="D212" s="51" t="s">
        <v>134</v>
      </c>
      <c r="E212" s="62">
        <v>13000</v>
      </c>
      <c r="F212" s="62">
        <v>13000</v>
      </c>
      <c r="G212" s="62">
        <v>13000</v>
      </c>
      <c r="H212" s="62">
        <v>13000</v>
      </c>
      <c r="I212" s="62">
        <v>13000</v>
      </c>
      <c r="J212" s="62">
        <v>13000</v>
      </c>
      <c r="K212" s="62">
        <v>13000</v>
      </c>
      <c r="L212" s="62">
        <v>13000</v>
      </c>
      <c r="M212" s="62">
        <v>13000</v>
      </c>
      <c r="N212" s="62">
        <v>13000</v>
      </c>
      <c r="O212" s="62">
        <v>13000</v>
      </c>
      <c r="P212" s="62">
        <v>13000</v>
      </c>
      <c r="Q212" s="62">
        <v>13000</v>
      </c>
      <c r="R212" s="62">
        <v>13000</v>
      </c>
      <c r="S212" s="62">
        <v>13000</v>
      </c>
      <c r="T212" s="62">
        <v>13000</v>
      </c>
      <c r="U212" s="62">
        <v>13000</v>
      </c>
      <c r="V212" s="62">
        <v>13000</v>
      </c>
      <c r="W212" s="62">
        <v>13000</v>
      </c>
      <c r="X212" s="62">
        <v>13000</v>
      </c>
      <c r="Y212" s="62">
        <v>13000</v>
      </c>
      <c r="Z212" s="62">
        <v>13000</v>
      </c>
      <c r="AA212" s="62">
        <v>13000</v>
      </c>
      <c r="AB212" s="62">
        <v>13000</v>
      </c>
      <c r="AC212" s="53">
        <f t="shared" ref="AC212:AC275" si="4">+SUM(E212:AB212)</f>
        <v>312000</v>
      </c>
      <c r="AD212" s="105">
        <f>+SUMPRODUCT(AC212:AC214,C212:C214)</f>
        <v>9360000</v>
      </c>
    </row>
    <row r="213" spans="1:30" ht="15.75" thickBot="1" x14ac:dyDescent="0.3">
      <c r="A213" s="54">
        <v>2031</v>
      </c>
      <c r="B213" s="55">
        <v>6</v>
      </c>
      <c r="C213" s="55">
        <v>18</v>
      </c>
      <c r="D213" s="56" t="s">
        <v>135</v>
      </c>
      <c r="E213" s="62">
        <v>13000</v>
      </c>
      <c r="F213" s="62">
        <v>13000</v>
      </c>
      <c r="G213" s="62">
        <v>13000</v>
      </c>
      <c r="H213" s="62">
        <v>13000</v>
      </c>
      <c r="I213" s="62">
        <v>13000</v>
      </c>
      <c r="J213" s="62">
        <v>13000</v>
      </c>
      <c r="K213" s="62">
        <v>13000</v>
      </c>
      <c r="L213" s="62">
        <v>13000</v>
      </c>
      <c r="M213" s="62">
        <v>13000</v>
      </c>
      <c r="N213" s="62">
        <v>13000</v>
      </c>
      <c r="O213" s="62">
        <v>13000</v>
      </c>
      <c r="P213" s="62">
        <v>13000</v>
      </c>
      <c r="Q213" s="62">
        <v>13000</v>
      </c>
      <c r="R213" s="62">
        <v>13000</v>
      </c>
      <c r="S213" s="62">
        <v>13000</v>
      </c>
      <c r="T213" s="62">
        <v>13000</v>
      </c>
      <c r="U213" s="62">
        <v>13000</v>
      </c>
      <c r="V213" s="62">
        <v>13000</v>
      </c>
      <c r="W213" s="62">
        <v>13000</v>
      </c>
      <c r="X213" s="62">
        <v>13000</v>
      </c>
      <c r="Y213" s="62">
        <v>13000</v>
      </c>
      <c r="Z213" s="62">
        <v>13000</v>
      </c>
      <c r="AA213" s="62">
        <v>13000</v>
      </c>
      <c r="AB213" s="62">
        <v>13000</v>
      </c>
      <c r="AC213" s="57">
        <f t="shared" si="4"/>
        <v>312000</v>
      </c>
      <c r="AD213" s="106"/>
    </row>
    <row r="214" spans="1:30" ht="15.75" thickBot="1" x14ac:dyDescent="0.3">
      <c r="A214" s="58">
        <v>2031</v>
      </c>
      <c r="B214" s="59">
        <v>6</v>
      </c>
      <c r="C214" s="59">
        <v>4</v>
      </c>
      <c r="D214" s="60" t="s">
        <v>136</v>
      </c>
      <c r="E214" s="62">
        <v>13000</v>
      </c>
      <c r="F214" s="62">
        <v>13000</v>
      </c>
      <c r="G214" s="62">
        <v>13000</v>
      </c>
      <c r="H214" s="62">
        <v>13000</v>
      </c>
      <c r="I214" s="62">
        <v>13000</v>
      </c>
      <c r="J214" s="62">
        <v>13000</v>
      </c>
      <c r="K214" s="62">
        <v>13000</v>
      </c>
      <c r="L214" s="62">
        <v>13000</v>
      </c>
      <c r="M214" s="62">
        <v>13000</v>
      </c>
      <c r="N214" s="62">
        <v>13000</v>
      </c>
      <c r="O214" s="62">
        <v>13000</v>
      </c>
      <c r="P214" s="62">
        <v>13000</v>
      </c>
      <c r="Q214" s="62">
        <v>13000</v>
      </c>
      <c r="R214" s="62">
        <v>13000</v>
      </c>
      <c r="S214" s="62">
        <v>13000</v>
      </c>
      <c r="T214" s="62">
        <v>13000</v>
      </c>
      <c r="U214" s="62">
        <v>13000</v>
      </c>
      <c r="V214" s="62">
        <v>13000</v>
      </c>
      <c r="W214" s="62">
        <v>13000</v>
      </c>
      <c r="X214" s="62">
        <v>13000</v>
      </c>
      <c r="Y214" s="62">
        <v>13000</v>
      </c>
      <c r="Z214" s="62">
        <v>13000</v>
      </c>
      <c r="AA214" s="62">
        <v>13000</v>
      </c>
      <c r="AB214" s="62">
        <v>13000</v>
      </c>
      <c r="AC214" s="61">
        <f t="shared" si="4"/>
        <v>312000</v>
      </c>
      <c r="AD214" s="107"/>
    </row>
    <row r="215" spans="1:30" ht="15.75" thickBot="1" x14ac:dyDescent="0.3">
      <c r="A215" s="49">
        <v>2031</v>
      </c>
      <c r="B215" s="50">
        <v>7</v>
      </c>
      <c r="C215" s="50">
        <v>4</v>
      </c>
      <c r="D215" s="51" t="s">
        <v>134</v>
      </c>
      <c r="E215" s="62">
        <v>13000</v>
      </c>
      <c r="F215" s="62">
        <v>13000</v>
      </c>
      <c r="G215" s="62">
        <v>13000</v>
      </c>
      <c r="H215" s="62">
        <v>13000</v>
      </c>
      <c r="I215" s="62">
        <v>13000</v>
      </c>
      <c r="J215" s="62">
        <v>13000</v>
      </c>
      <c r="K215" s="62">
        <v>13000</v>
      </c>
      <c r="L215" s="62">
        <v>13000</v>
      </c>
      <c r="M215" s="62">
        <v>13000</v>
      </c>
      <c r="N215" s="62">
        <v>13000</v>
      </c>
      <c r="O215" s="62">
        <v>13000</v>
      </c>
      <c r="P215" s="62">
        <v>13000</v>
      </c>
      <c r="Q215" s="62">
        <v>13000</v>
      </c>
      <c r="R215" s="62">
        <v>13000</v>
      </c>
      <c r="S215" s="62">
        <v>13000</v>
      </c>
      <c r="T215" s="62">
        <v>13000</v>
      </c>
      <c r="U215" s="62">
        <v>13000</v>
      </c>
      <c r="V215" s="62">
        <v>13000</v>
      </c>
      <c r="W215" s="62">
        <v>13000</v>
      </c>
      <c r="X215" s="62">
        <v>13000</v>
      </c>
      <c r="Y215" s="62">
        <v>13000</v>
      </c>
      <c r="Z215" s="62">
        <v>13000</v>
      </c>
      <c r="AA215" s="62">
        <v>13000</v>
      </c>
      <c r="AB215" s="62">
        <v>13000</v>
      </c>
      <c r="AC215" s="53">
        <f t="shared" si="4"/>
        <v>312000</v>
      </c>
      <c r="AD215" s="105">
        <f>+SUMPRODUCT(AC215:AC217,C215:C217)</f>
        <v>9672000</v>
      </c>
    </row>
    <row r="216" spans="1:30" ht="15.75" thickBot="1" x14ac:dyDescent="0.3">
      <c r="A216" s="54">
        <v>2031</v>
      </c>
      <c r="B216" s="55">
        <v>7</v>
      </c>
      <c r="C216" s="55">
        <v>23</v>
      </c>
      <c r="D216" s="56" t="s">
        <v>135</v>
      </c>
      <c r="E216" s="62">
        <v>13000</v>
      </c>
      <c r="F216" s="62">
        <v>13000</v>
      </c>
      <c r="G216" s="62">
        <v>13000</v>
      </c>
      <c r="H216" s="62">
        <v>13000</v>
      </c>
      <c r="I216" s="62">
        <v>13000</v>
      </c>
      <c r="J216" s="62">
        <v>13000</v>
      </c>
      <c r="K216" s="62">
        <v>13000</v>
      </c>
      <c r="L216" s="62">
        <v>13000</v>
      </c>
      <c r="M216" s="62">
        <v>13000</v>
      </c>
      <c r="N216" s="62">
        <v>13000</v>
      </c>
      <c r="O216" s="62">
        <v>13000</v>
      </c>
      <c r="P216" s="62">
        <v>13000</v>
      </c>
      <c r="Q216" s="62">
        <v>13000</v>
      </c>
      <c r="R216" s="62">
        <v>13000</v>
      </c>
      <c r="S216" s="62">
        <v>13000</v>
      </c>
      <c r="T216" s="62">
        <v>13000</v>
      </c>
      <c r="U216" s="62">
        <v>13000</v>
      </c>
      <c r="V216" s="62">
        <v>13000</v>
      </c>
      <c r="W216" s="62">
        <v>13000</v>
      </c>
      <c r="X216" s="62">
        <v>13000</v>
      </c>
      <c r="Y216" s="62">
        <v>13000</v>
      </c>
      <c r="Z216" s="62">
        <v>13000</v>
      </c>
      <c r="AA216" s="62">
        <v>13000</v>
      </c>
      <c r="AB216" s="62">
        <v>13000</v>
      </c>
      <c r="AC216" s="57">
        <f t="shared" si="4"/>
        <v>312000</v>
      </c>
      <c r="AD216" s="106"/>
    </row>
    <row r="217" spans="1:30" ht="15.75" thickBot="1" x14ac:dyDescent="0.3">
      <c r="A217" s="58">
        <v>2031</v>
      </c>
      <c r="B217" s="59">
        <v>7</v>
      </c>
      <c r="C217" s="59">
        <v>4</v>
      </c>
      <c r="D217" s="60" t="s">
        <v>136</v>
      </c>
      <c r="E217" s="62">
        <v>13000</v>
      </c>
      <c r="F217" s="62">
        <v>13000</v>
      </c>
      <c r="G217" s="62">
        <v>13000</v>
      </c>
      <c r="H217" s="62">
        <v>13000</v>
      </c>
      <c r="I217" s="62">
        <v>13000</v>
      </c>
      <c r="J217" s="62">
        <v>13000</v>
      </c>
      <c r="K217" s="62">
        <v>13000</v>
      </c>
      <c r="L217" s="62">
        <v>13000</v>
      </c>
      <c r="M217" s="62">
        <v>13000</v>
      </c>
      <c r="N217" s="62">
        <v>13000</v>
      </c>
      <c r="O217" s="62">
        <v>13000</v>
      </c>
      <c r="P217" s="62">
        <v>13000</v>
      </c>
      <c r="Q217" s="62">
        <v>13000</v>
      </c>
      <c r="R217" s="62">
        <v>13000</v>
      </c>
      <c r="S217" s="62">
        <v>13000</v>
      </c>
      <c r="T217" s="62">
        <v>13000</v>
      </c>
      <c r="U217" s="62">
        <v>13000</v>
      </c>
      <c r="V217" s="62">
        <v>13000</v>
      </c>
      <c r="W217" s="62">
        <v>13000</v>
      </c>
      <c r="X217" s="62">
        <v>13000</v>
      </c>
      <c r="Y217" s="62">
        <v>13000</v>
      </c>
      <c r="Z217" s="62">
        <v>13000</v>
      </c>
      <c r="AA217" s="62">
        <v>13000</v>
      </c>
      <c r="AB217" s="62">
        <v>13000</v>
      </c>
      <c r="AC217" s="61">
        <f t="shared" si="4"/>
        <v>312000</v>
      </c>
      <c r="AD217" s="107"/>
    </row>
    <row r="218" spans="1:30" ht="15.75" thickBot="1" x14ac:dyDescent="0.3">
      <c r="A218" s="49">
        <v>2031</v>
      </c>
      <c r="B218" s="50">
        <v>8</v>
      </c>
      <c r="C218" s="50">
        <v>7</v>
      </c>
      <c r="D218" s="51" t="s">
        <v>134</v>
      </c>
      <c r="E218" s="62">
        <v>13000</v>
      </c>
      <c r="F218" s="62">
        <v>13000</v>
      </c>
      <c r="G218" s="62">
        <v>13000</v>
      </c>
      <c r="H218" s="62">
        <v>13000</v>
      </c>
      <c r="I218" s="62">
        <v>13000</v>
      </c>
      <c r="J218" s="62">
        <v>13000</v>
      </c>
      <c r="K218" s="62">
        <v>13000</v>
      </c>
      <c r="L218" s="62">
        <v>13000</v>
      </c>
      <c r="M218" s="62">
        <v>13000</v>
      </c>
      <c r="N218" s="62">
        <v>13000</v>
      </c>
      <c r="O218" s="62">
        <v>13000</v>
      </c>
      <c r="P218" s="62">
        <v>13000</v>
      </c>
      <c r="Q218" s="62">
        <v>13000</v>
      </c>
      <c r="R218" s="62">
        <v>13000</v>
      </c>
      <c r="S218" s="62">
        <v>13000</v>
      </c>
      <c r="T218" s="62">
        <v>13000</v>
      </c>
      <c r="U218" s="62">
        <v>13000</v>
      </c>
      <c r="V218" s="62">
        <v>13000</v>
      </c>
      <c r="W218" s="62">
        <v>13000</v>
      </c>
      <c r="X218" s="62">
        <v>13000</v>
      </c>
      <c r="Y218" s="62">
        <v>13000</v>
      </c>
      <c r="Z218" s="62">
        <v>13000</v>
      </c>
      <c r="AA218" s="62">
        <v>13000</v>
      </c>
      <c r="AB218" s="62">
        <v>13000</v>
      </c>
      <c r="AC218" s="53">
        <f t="shared" si="4"/>
        <v>312000</v>
      </c>
      <c r="AD218" s="105">
        <f>+SUMPRODUCT(AC218:AC220,C218:C220)</f>
        <v>9672000</v>
      </c>
    </row>
    <row r="219" spans="1:30" ht="15.75" thickBot="1" x14ac:dyDescent="0.3">
      <c r="A219" s="54">
        <v>2031</v>
      </c>
      <c r="B219" s="55">
        <v>8</v>
      </c>
      <c r="C219" s="55">
        <v>19</v>
      </c>
      <c r="D219" s="56" t="s">
        <v>135</v>
      </c>
      <c r="E219" s="62">
        <v>13000</v>
      </c>
      <c r="F219" s="62">
        <v>13000</v>
      </c>
      <c r="G219" s="62">
        <v>13000</v>
      </c>
      <c r="H219" s="62">
        <v>13000</v>
      </c>
      <c r="I219" s="62">
        <v>13000</v>
      </c>
      <c r="J219" s="62">
        <v>13000</v>
      </c>
      <c r="K219" s="62">
        <v>13000</v>
      </c>
      <c r="L219" s="62">
        <v>13000</v>
      </c>
      <c r="M219" s="62">
        <v>13000</v>
      </c>
      <c r="N219" s="62">
        <v>13000</v>
      </c>
      <c r="O219" s="62">
        <v>13000</v>
      </c>
      <c r="P219" s="62">
        <v>13000</v>
      </c>
      <c r="Q219" s="62">
        <v>13000</v>
      </c>
      <c r="R219" s="62">
        <v>13000</v>
      </c>
      <c r="S219" s="62">
        <v>13000</v>
      </c>
      <c r="T219" s="62">
        <v>13000</v>
      </c>
      <c r="U219" s="62">
        <v>13000</v>
      </c>
      <c r="V219" s="62">
        <v>13000</v>
      </c>
      <c r="W219" s="62">
        <v>13000</v>
      </c>
      <c r="X219" s="62">
        <v>13000</v>
      </c>
      <c r="Y219" s="62">
        <v>13000</v>
      </c>
      <c r="Z219" s="62">
        <v>13000</v>
      </c>
      <c r="AA219" s="62">
        <v>13000</v>
      </c>
      <c r="AB219" s="62">
        <v>13000</v>
      </c>
      <c r="AC219" s="57">
        <f t="shared" si="4"/>
        <v>312000</v>
      </c>
      <c r="AD219" s="106"/>
    </row>
    <row r="220" spans="1:30" ht="15.75" thickBot="1" x14ac:dyDescent="0.3">
      <c r="A220" s="58">
        <v>2031</v>
      </c>
      <c r="B220" s="59">
        <v>8</v>
      </c>
      <c r="C220" s="59">
        <v>5</v>
      </c>
      <c r="D220" s="60" t="s">
        <v>136</v>
      </c>
      <c r="E220" s="62">
        <v>13000</v>
      </c>
      <c r="F220" s="62">
        <v>13000</v>
      </c>
      <c r="G220" s="62">
        <v>13000</v>
      </c>
      <c r="H220" s="62">
        <v>13000</v>
      </c>
      <c r="I220" s="62">
        <v>13000</v>
      </c>
      <c r="J220" s="62">
        <v>13000</v>
      </c>
      <c r="K220" s="62">
        <v>13000</v>
      </c>
      <c r="L220" s="62">
        <v>13000</v>
      </c>
      <c r="M220" s="62">
        <v>13000</v>
      </c>
      <c r="N220" s="62">
        <v>13000</v>
      </c>
      <c r="O220" s="62">
        <v>13000</v>
      </c>
      <c r="P220" s="62">
        <v>13000</v>
      </c>
      <c r="Q220" s="62">
        <v>13000</v>
      </c>
      <c r="R220" s="62">
        <v>13000</v>
      </c>
      <c r="S220" s="62">
        <v>13000</v>
      </c>
      <c r="T220" s="62">
        <v>13000</v>
      </c>
      <c r="U220" s="62">
        <v>13000</v>
      </c>
      <c r="V220" s="62">
        <v>13000</v>
      </c>
      <c r="W220" s="62">
        <v>13000</v>
      </c>
      <c r="X220" s="62">
        <v>13000</v>
      </c>
      <c r="Y220" s="62">
        <v>13000</v>
      </c>
      <c r="Z220" s="62">
        <v>13000</v>
      </c>
      <c r="AA220" s="62">
        <v>13000</v>
      </c>
      <c r="AB220" s="62">
        <v>13000</v>
      </c>
      <c r="AC220" s="61">
        <f t="shared" si="4"/>
        <v>312000</v>
      </c>
      <c r="AD220" s="107"/>
    </row>
    <row r="221" spans="1:30" ht="15.75" thickBot="1" x14ac:dyDescent="0.3">
      <c r="A221" s="49">
        <v>2031</v>
      </c>
      <c r="B221" s="50">
        <v>9</v>
      </c>
      <c r="C221" s="50">
        <v>4</v>
      </c>
      <c r="D221" s="51" t="s">
        <v>134</v>
      </c>
      <c r="E221" s="62">
        <v>13000</v>
      </c>
      <c r="F221" s="62">
        <v>13000</v>
      </c>
      <c r="G221" s="62">
        <v>13000</v>
      </c>
      <c r="H221" s="62">
        <v>13000</v>
      </c>
      <c r="I221" s="62">
        <v>13000</v>
      </c>
      <c r="J221" s="62">
        <v>13000</v>
      </c>
      <c r="K221" s="62">
        <v>13000</v>
      </c>
      <c r="L221" s="62">
        <v>13000</v>
      </c>
      <c r="M221" s="62">
        <v>13000</v>
      </c>
      <c r="N221" s="62">
        <v>13000</v>
      </c>
      <c r="O221" s="62">
        <v>13000</v>
      </c>
      <c r="P221" s="62">
        <v>13000</v>
      </c>
      <c r="Q221" s="62">
        <v>13000</v>
      </c>
      <c r="R221" s="62">
        <v>13000</v>
      </c>
      <c r="S221" s="62">
        <v>13000</v>
      </c>
      <c r="T221" s="62">
        <v>13000</v>
      </c>
      <c r="U221" s="62">
        <v>13000</v>
      </c>
      <c r="V221" s="62">
        <v>13000</v>
      </c>
      <c r="W221" s="62">
        <v>13000</v>
      </c>
      <c r="X221" s="62">
        <v>13000</v>
      </c>
      <c r="Y221" s="62">
        <v>13000</v>
      </c>
      <c r="Z221" s="62">
        <v>13000</v>
      </c>
      <c r="AA221" s="62">
        <v>13000</v>
      </c>
      <c r="AB221" s="62">
        <v>13000</v>
      </c>
      <c r="AC221" s="53">
        <f t="shared" si="4"/>
        <v>312000</v>
      </c>
      <c r="AD221" s="105">
        <f>+SUMPRODUCT(AC221:AC223,C221:C223)</f>
        <v>9360000</v>
      </c>
    </row>
    <row r="222" spans="1:30" ht="15.75" thickBot="1" x14ac:dyDescent="0.3">
      <c r="A222" s="54">
        <v>2031</v>
      </c>
      <c r="B222" s="55">
        <v>9</v>
      </c>
      <c r="C222" s="55">
        <v>22</v>
      </c>
      <c r="D222" s="56" t="s">
        <v>135</v>
      </c>
      <c r="E222" s="62">
        <v>13000</v>
      </c>
      <c r="F222" s="62">
        <v>13000</v>
      </c>
      <c r="G222" s="62">
        <v>13000</v>
      </c>
      <c r="H222" s="62">
        <v>13000</v>
      </c>
      <c r="I222" s="62">
        <v>13000</v>
      </c>
      <c r="J222" s="62">
        <v>13000</v>
      </c>
      <c r="K222" s="62">
        <v>13000</v>
      </c>
      <c r="L222" s="62">
        <v>13000</v>
      </c>
      <c r="M222" s="62">
        <v>13000</v>
      </c>
      <c r="N222" s="62">
        <v>13000</v>
      </c>
      <c r="O222" s="62">
        <v>13000</v>
      </c>
      <c r="P222" s="62">
        <v>13000</v>
      </c>
      <c r="Q222" s="62">
        <v>13000</v>
      </c>
      <c r="R222" s="62">
        <v>13000</v>
      </c>
      <c r="S222" s="62">
        <v>13000</v>
      </c>
      <c r="T222" s="62">
        <v>13000</v>
      </c>
      <c r="U222" s="62">
        <v>13000</v>
      </c>
      <c r="V222" s="62">
        <v>13000</v>
      </c>
      <c r="W222" s="62">
        <v>13000</v>
      </c>
      <c r="X222" s="62">
        <v>13000</v>
      </c>
      <c r="Y222" s="62">
        <v>13000</v>
      </c>
      <c r="Z222" s="62">
        <v>13000</v>
      </c>
      <c r="AA222" s="62">
        <v>13000</v>
      </c>
      <c r="AB222" s="62">
        <v>13000</v>
      </c>
      <c r="AC222" s="57">
        <f t="shared" si="4"/>
        <v>312000</v>
      </c>
      <c r="AD222" s="106"/>
    </row>
    <row r="223" spans="1:30" ht="15.75" thickBot="1" x14ac:dyDescent="0.3">
      <c r="A223" s="58">
        <v>2031</v>
      </c>
      <c r="B223" s="59">
        <v>9</v>
      </c>
      <c r="C223" s="59">
        <v>4</v>
      </c>
      <c r="D223" s="60" t="s">
        <v>136</v>
      </c>
      <c r="E223" s="62">
        <v>13000</v>
      </c>
      <c r="F223" s="62">
        <v>13000</v>
      </c>
      <c r="G223" s="62">
        <v>13000</v>
      </c>
      <c r="H223" s="62">
        <v>13000</v>
      </c>
      <c r="I223" s="62">
        <v>13000</v>
      </c>
      <c r="J223" s="62">
        <v>13000</v>
      </c>
      <c r="K223" s="62">
        <v>13000</v>
      </c>
      <c r="L223" s="62">
        <v>13000</v>
      </c>
      <c r="M223" s="62">
        <v>13000</v>
      </c>
      <c r="N223" s="62">
        <v>13000</v>
      </c>
      <c r="O223" s="62">
        <v>13000</v>
      </c>
      <c r="P223" s="62">
        <v>13000</v>
      </c>
      <c r="Q223" s="62">
        <v>13000</v>
      </c>
      <c r="R223" s="62">
        <v>13000</v>
      </c>
      <c r="S223" s="62">
        <v>13000</v>
      </c>
      <c r="T223" s="62">
        <v>13000</v>
      </c>
      <c r="U223" s="62">
        <v>13000</v>
      </c>
      <c r="V223" s="62">
        <v>13000</v>
      </c>
      <c r="W223" s="62">
        <v>13000</v>
      </c>
      <c r="X223" s="62">
        <v>13000</v>
      </c>
      <c r="Y223" s="62">
        <v>13000</v>
      </c>
      <c r="Z223" s="62">
        <v>13000</v>
      </c>
      <c r="AA223" s="62">
        <v>13000</v>
      </c>
      <c r="AB223" s="62">
        <v>13000</v>
      </c>
      <c r="AC223" s="61">
        <f t="shared" si="4"/>
        <v>312000</v>
      </c>
      <c r="AD223" s="107"/>
    </row>
    <row r="224" spans="1:30" ht="15.75" thickBot="1" x14ac:dyDescent="0.3">
      <c r="A224" s="49">
        <v>2031</v>
      </c>
      <c r="B224" s="50">
        <v>10</v>
      </c>
      <c r="C224" s="50">
        <v>5</v>
      </c>
      <c r="D224" s="51" t="s">
        <v>134</v>
      </c>
      <c r="E224" s="62">
        <v>13000</v>
      </c>
      <c r="F224" s="62">
        <v>13000</v>
      </c>
      <c r="G224" s="62">
        <v>13000</v>
      </c>
      <c r="H224" s="62">
        <v>13000</v>
      </c>
      <c r="I224" s="62">
        <v>13000</v>
      </c>
      <c r="J224" s="62">
        <v>13000</v>
      </c>
      <c r="K224" s="62">
        <v>13000</v>
      </c>
      <c r="L224" s="62">
        <v>13000</v>
      </c>
      <c r="M224" s="62">
        <v>13000</v>
      </c>
      <c r="N224" s="62">
        <v>13000</v>
      </c>
      <c r="O224" s="62">
        <v>13000</v>
      </c>
      <c r="P224" s="62">
        <v>13000</v>
      </c>
      <c r="Q224" s="62">
        <v>13000</v>
      </c>
      <c r="R224" s="62">
        <v>13000</v>
      </c>
      <c r="S224" s="62">
        <v>13000</v>
      </c>
      <c r="T224" s="62">
        <v>13000</v>
      </c>
      <c r="U224" s="62">
        <v>13000</v>
      </c>
      <c r="V224" s="62">
        <v>13000</v>
      </c>
      <c r="W224" s="62">
        <v>13000</v>
      </c>
      <c r="X224" s="62">
        <v>13000</v>
      </c>
      <c r="Y224" s="62">
        <v>13000</v>
      </c>
      <c r="Z224" s="62">
        <v>13000</v>
      </c>
      <c r="AA224" s="62">
        <v>13000</v>
      </c>
      <c r="AB224" s="62">
        <v>13000</v>
      </c>
      <c r="AC224" s="53">
        <f t="shared" si="4"/>
        <v>312000</v>
      </c>
      <c r="AD224" s="105">
        <f>+SUMPRODUCT(AC224:AC226,C224:C226)</f>
        <v>9672000</v>
      </c>
    </row>
    <row r="225" spans="1:30" ht="15.75" thickBot="1" x14ac:dyDescent="0.3">
      <c r="A225" s="54">
        <v>2031</v>
      </c>
      <c r="B225" s="55">
        <v>10</v>
      </c>
      <c r="C225" s="55">
        <v>22</v>
      </c>
      <c r="D225" s="56" t="s">
        <v>135</v>
      </c>
      <c r="E225" s="62">
        <v>13000</v>
      </c>
      <c r="F225" s="62">
        <v>13000</v>
      </c>
      <c r="G225" s="62">
        <v>13000</v>
      </c>
      <c r="H225" s="62">
        <v>13000</v>
      </c>
      <c r="I225" s="62">
        <v>13000</v>
      </c>
      <c r="J225" s="62">
        <v>13000</v>
      </c>
      <c r="K225" s="62">
        <v>13000</v>
      </c>
      <c r="L225" s="62">
        <v>13000</v>
      </c>
      <c r="M225" s="62">
        <v>13000</v>
      </c>
      <c r="N225" s="62">
        <v>13000</v>
      </c>
      <c r="O225" s="62">
        <v>13000</v>
      </c>
      <c r="P225" s="62">
        <v>13000</v>
      </c>
      <c r="Q225" s="62">
        <v>13000</v>
      </c>
      <c r="R225" s="62">
        <v>13000</v>
      </c>
      <c r="S225" s="62">
        <v>13000</v>
      </c>
      <c r="T225" s="62">
        <v>13000</v>
      </c>
      <c r="U225" s="62">
        <v>13000</v>
      </c>
      <c r="V225" s="62">
        <v>13000</v>
      </c>
      <c r="W225" s="62">
        <v>13000</v>
      </c>
      <c r="X225" s="62">
        <v>13000</v>
      </c>
      <c r="Y225" s="62">
        <v>13000</v>
      </c>
      <c r="Z225" s="62">
        <v>13000</v>
      </c>
      <c r="AA225" s="62">
        <v>13000</v>
      </c>
      <c r="AB225" s="62">
        <v>13000</v>
      </c>
      <c r="AC225" s="57">
        <f t="shared" si="4"/>
        <v>312000</v>
      </c>
      <c r="AD225" s="106"/>
    </row>
    <row r="226" spans="1:30" ht="15.75" thickBot="1" x14ac:dyDescent="0.3">
      <c r="A226" s="58">
        <v>2031</v>
      </c>
      <c r="B226" s="59">
        <v>10</v>
      </c>
      <c r="C226" s="59">
        <v>4</v>
      </c>
      <c r="D226" s="60" t="s">
        <v>136</v>
      </c>
      <c r="E226" s="62">
        <v>13000</v>
      </c>
      <c r="F226" s="62">
        <v>13000</v>
      </c>
      <c r="G226" s="62">
        <v>13000</v>
      </c>
      <c r="H226" s="62">
        <v>13000</v>
      </c>
      <c r="I226" s="62">
        <v>13000</v>
      </c>
      <c r="J226" s="62">
        <v>13000</v>
      </c>
      <c r="K226" s="62">
        <v>13000</v>
      </c>
      <c r="L226" s="62">
        <v>13000</v>
      </c>
      <c r="M226" s="62">
        <v>13000</v>
      </c>
      <c r="N226" s="62">
        <v>13000</v>
      </c>
      <c r="O226" s="62">
        <v>13000</v>
      </c>
      <c r="P226" s="62">
        <v>13000</v>
      </c>
      <c r="Q226" s="62">
        <v>13000</v>
      </c>
      <c r="R226" s="62">
        <v>13000</v>
      </c>
      <c r="S226" s="62">
        <v>13000</v>
      </c>
      <c r="T226" s="62">
        <v>13000</v>
      </c>
      <c r="U226" s="62">
        <v>13000</v>
      </c>
      <c r="V226" s="62">
        <v>13000</v>
      </c>
      <c r="W226" s="62">
        <v>13000</v>
      </c>
      <c r="X226" s="62">
        <v>13000</v>
      </c>
      <c r="Y226" s="62">
        <v>13000</v>
      </c>
      <c r="Z226" s="62">
        <v>13000</v>
      </c>
      <c r="AA226" s="62">
        <v>13000</v>
      </c>
      <c r="AB226" s="62">
        <v>13000</v>
      </c>
      <c r="AC226" s="61">
        <f t="shared" si="4"/>
        <v>312000</v>
      </c>
      <c r="AD226" s="107"/>
    </row>
    <row r="227" spans="1:30" ht="15.75" thickBot="1" x14ac:dyDescent="0.3">
      <c r="A227" s="49">
        <v>2031</v>
      </c>
      <c r="B227" s="50">
        <v>11</v>
      </c>
      <c r="C227" s="50">
        <v>7</v>
      </c>
      <c r="D227" s="51" t="s">
        <v>134</v>
      </c>
      <c r="E227" s="62">
        <v>13000</v>
      </c>
      <c r="F227" s="62">
        <v>13000</v>
      </c>
      <c r="G227" s="62">
        <v>13000</v>
      </c>
      <c r="H227" s="62">
        <v>13000</v>
      </c>
      <c r="I227" s="62">
        <v>13000</v>
      </c>
      <c r="J227" s="62">
        <v>13000</v>
      </c>
      <c r="K227" s="62">
        <v>13000</v>
      </c>
      <c r="L227" s="62">
        <v>13000</v>
      </c>
      <c r="M227" s="62">
        <v>13000</v>
      </c>
      <c r="N227" s="62">
        <v>13000</v>
      </c>
      <c r="O227" s="62">
        <v>13000</v>
      </c>
      <c r="P227" s="62">
        <v>13000</v>
      </c>
      <c r="Q227" s="62">
        <v>13000</v>
      </c>
      <c r="R227" s="62">
        <v>13000</v>
      </c>
      <c r="S227" s="62">
        <v>13000</v>
      </c>
      <c r="T227" s="62">
        <v>13000</v>
      </c>
      <c r="U227" s="62">
        <v>13000</v>
      </c>
      <c r="V227" s="62">
        <v>13000</v>
      </c>
      <c r="W227" s="62">
        <v>13000</v>
      </c>
      <c r="X227" s="62">
        <v>13000</v>
      </c>
      <c r="Y227" s="62">
        <v>13000</v>
      </c>
      <c r="Z227" s="62">
        <v>13000</v>
      </c>
      <c r="AA227" s="62">
        <v>13000</v>
      </c>
      <c r="AB227" s="62">
        <v>13000</v>
      </c>
      <c r="AC227" s="53">
        <f t="shared" si="4"/>
        <v>312000</v>
      </c>
      <c r="AD227" s="105">
        <f>+SUMPRODUCT(AC227:AC229,C227:C229)</f>
        <v>9360000</v>
      </c>
    </row>
    <row r="228" spans="1:30" ht="15.75" thickBot="1" x14ac:dyDescent="0.3">
      <c r="A228" s="54">
        <v>2031</v>
      </c>
      <c r="B228" s="55">
        <v>11</v>
      </c>
      <c r="C228" s="55">
        <v>18</v>
      </c>
      <c r="D228" s="56" t="s">
        <v>135</v>
      </c>
      <c r="E228" s="62">
        <v>13000</v>
      </c>
      <c r="F228" s="62">
        <v>13000</v>
      </c>
      <c r="G228" s="62">
        <v>13000</v>
      </c>
      <c r="H228" s="62">
        <v>13000</v>
      </c>
      <c r="I228" s="62">
        <v>13000</v>
      </c>
      <c r="J228" s="62">
        <v>13000</v>
      </c>
      <c r="K228" s="62">
        <v>13000</v>
      </c>
      <c r="L228" s="62">
        <v>13000</v>
      </c>
      <c r="M228" s="62">
        <v>13000</v>
      </c>
      <c r="N228" s="62">
        <v>13000</v>
      </c>
      <c r="O228" s="62">
        <v>13000</v>
      </c>
      <c r="P228" s="62">
        <v>13000</v>
      </c>
      <c r="Q228" s="62">
        <v>13000</v>
      </c>
      <c r="R228" s="62">
        <v>13000</v>
      </c>
      <c r="S228" s="62">
        <v>13000</v>
      </c>
      <c r="T228" s="62">
        <v>13000</v>
      </c>
      <c r="U228" s="62">
        <v>13000</v>
      </c>
      <c r="V228" s="62">
        <v>13000</v>
      </c>
      <c r="W228" s="62">
        <v>13000</v>
      </c>
      <c r="X228" s="62">
        <v>13000</v>
      </c>
      <c r="Y228" s="62">
        <v>13000</v>
      </c>
      <c r="Z228" s="62">
        <v>13000</v>
      </c>
      <c r="AA228" s="62">
        <v>13000</v>
      </c>
      <c r="AB228" s="62">
        <v>13000</v>
      </c>
      <c r="AC228" s="57">
        <f t="shared" si="4"/>
        <v>312000</v>
      </c>
      <c r="AD228" s="106"/>
    </row>
    <row r="229" spans="1:30" ht="15.75" thickBot="1" x14ac:dyDescent="0.3">
      <c r="A229" s="58">
        <v>2031</v>
      </c>
      <c r="B229" s="59">
        <v>11</v>
      </c>
      <c r="C229" s="59">
        <v>5</v>
      </c>
      <c r="D229" s="60" t="s">
        <v>136</v>
      </c>
      <c r="E229" s="62">
        <v>13000</v>
      </c>
      <c r="F229" s="62">
        <v>13000</v>
      </c>
      <c r="G229" s="62">
        <v>13000</v>
      </c>
      <c r="H229" s="62">
        <v>13000</v>
      </c>
      <c r="I229" s="62">
        <v>13000</v>
      </c>
      <c r="J229" s="62">
        <v>13000</v>
      </c>
      <c r="K229" s="62">
        <v>13000</v>
      </c>
      <c r="L229" s="62">
        <v>13000</v>
      </c>
      <c r="M229" s="62">
        <v>13000</v>
      </c>
      <c r="N229" s="62">
        <v>13000</v>
      </c>
      <c r="O229" s="62">
        <v>13000</v>
      </c>
      <c r="P229" s="62">
        <v>13000</v>
      </c>
      <c r="Q229" s="62">
        <v>13000</v>
      </c>
      <c r="R229" s="62">
        <v>13000</v>
      </c>
      <c r="S229" s="62">
        <v>13000</v>
      </c>
      <c r="T229" s="62">
        <v>13000</v>
      </c>
      <c r="U229" s="62">
        <v>13000</v>
      </c>
      <c r="V229" s="62">
        <v>13000</v>
      </c>
      <c r="W229" s="62">
        <v>13000</v>
      </c>
      <c r="X229" s="62">
        <v>13000</v>
      </c>
      <c r="Y229" s="62">
        <v>13000</v>
      </c>
      <c r="Z229" s="62">
        <v>13000</v>
      </c>
      <c r="AA229" s="62">
        <v>13000</v>
      </c>
      <c r="AB229" s="62">
        <v>13000</v>
      </c>
      <c r="AC229" s="61">
        <f t="shared" si="4"/>
        <v>312000</v>
      </c>
      <c r="AD229" s="107"/>
    </row>
    <row r="230" spans="1:30" ht="15.75" thickBot="1" x14ac:dyDescent="0.3">
      <c r="A230" s="49">
        <v>2031</v>
      </c>
      <c r="B230" s="50">
        <v>12</v>
      </c>
      <c r="C230" s="50">
        <v>6</v>
      </c>
      <c r="D230" s="51" t="s">
        <v>134</v>
      </c>
      <c r="E230" s="62">
        <v>13000</v>
      </c>
      <c r="F230" s="62">
        <v>13000</v>
      </c>
      <c r="G230" s="62">
        <v>13000</v>
      </c>
      <c r="H230" s="62">
        <v>13000</v>
      </c>
      <c r="I230" s="62">
        <v>13000</v>
      </c>
      <c r="J230" s="62">
        <v>13000</v>
      </c>
      <c r="K230" s="62">
        <v>13000</v>
      </c>
      <c r="L230" s="62">
        <v>13000</v>
      </c>
      <c r="M230" s="62">
        <v>13000</v>
      </c>
      <c r="N230" s="62">
        <v>13000</v>
      </c>
      <c r="O230" s="62">
        <v>13000</v>
      </c>
      <c r="P230" s="62">
        <v>13000</v>
      </c>
      <c r="Q230" s="62">
        <v>13000</v>
      </c>
      <c r="R230" s="62">
        <v>13000</v>
      </c>
      <c r="S230" s="62">
        <v>13000</v>
      </c>
      <c r="T230" s="62">
        <v>13000</v>
      </c>
      <c r="U230" s="62">
        <v>13000</v>
      </c>
      <c r="V230" s="62">
        <v>13000</v>
      </c>
      <c r="W230" s="62">
        <v>13000</v>
      </c>
      <c r="X230" s="62">
        <v>13000</v>
      </c>
      <c r="Y230" s="62">
        <v>13000</v>
      </c>
      <c r="Z230" s="62">
        <v>13000</v>
      </c>
      <c r="AA230" s="62">
        <v>13000</v>
      </c>
      <c r="AB230" s="62">
        <v>13000</v>
      </c>
      <c r="AC230" s="53">
        <f t="shared" si="4"/>
        <v>312000</v>
      </c>
      <c r="AD230" s="105">
        <f>+SUMPRODUCT(AC230:AC232,C230:C232)</f>
        <v>9672000</v>
      </c>
    </row>
    <row r="231" spans="1:30" ht="15.75" thickBot="1" x14ac:dyDescent="0.3">
      <c r="A231" s="54">
        <v>2031</v>
      </c>
      <c r="B231" s="55">
        <v>12</v>
      </c>
      <c r="C231" s="55">
        <v>21</v>
      </c>
      <c r="D231" s="56" t="s">
        <v>135</v>
      </c>
      <c r="E231" s="62">
        <v>13000</v>
      </c>
      <c r="F231" s="62">
        <v>13000</v>
      </c>
      <c r="G231" s="62">
        <v>13000</v>
      </c>
      <c r="H231" s="62">
        <v>13000</v>
      </c>
      <c r="I231" s="62">
        <v>13000</v>
      </c>
      <c r="J231" s="62">
        <v>13000</v>
      </c>
      <c r="K231" s="62">
        <v>13000</v>
      </c>
      <c r="L231" s="62">
        <v>13000</v>
      </c>
      <c r="M231" s="62">
        <v>13000</v>
      </c>
      <c r="N231" s="62">
        <v>13000</v>
      </c>
      <c r="O231" s="62">
        <v>13000</v>
      </c>
      <c r="P231" s="62">
        <v>13000</v>
      </c>
      <c r="Q231" s="62">
        <v>13000</v>
      </c>
      <c r="R231" s="62">
        <v>13000</v>
      </c>
      <c r="S231" s="62">
        <v>13000</v>
      </c>
      <c r="T231" s="62">
        <v>13000</v>
      </c>
      <c r="U231" s="62">
        <v>13000</v>
      </c>
      <c r="V231" s="62">
        <v>13000</v>
      </c>
      <c r="W231" s="62">
        <v>13000</v>
      </c>
      <c r="X231" s="62">
        <v>13000</v>
      </c>
      <c r="Y231" s="62">
        <v>13000</v>
      </c>
      <c r="Z231" s="62">
        <v>13000</v>
      </c>
      <c r="AA231" s="62">
        <v>13000</v>
      </c>
      <c r="AB231" s="62">
        <v>13000</v>
      </c>
      <c r="AC231" s="57">
        <f t="shared" si="4"/>
        <v>312000</v>
      </c>
      <c r="AD231" s="106"/>
    </row>
    <row r="232" spans="1:30" ht="15.75" thickBot="1" x14ac:dyDescent="0.3">
      <c r="A232" s="58">
        <v>2031</v>
      </c>
      <c r="B232" s="59">
        <v>12</v>
      </c>
      <c r="C232" s="59">
        <v>4</v>
      </c>
      <c r="D232" s="60" t="s">
        <v>136</v>
      </c>
      <c r="E232" s="62">
        <v>13000</v>
      </c>
      <c r="F232" s="62">
        <v>13000</v>
      </c>
      <c r="G232" s="62">
        <v>13000</v>
      </c>
      <c r="H232" s="62">
        <v>13000</v>
      </c>
      <c r="I232" s="62">
        <v>13000</v>
      </c>
      <c r="J232" s="62">
        <v>13000</v>
      </c>
      <c r="K232" s="62">
        <v>13000</v>
      </c>
      <c r="L232" s="62">
        <v>13000</v>
      </c>
      <c r="M232" s="62">
        <v>13000</v>
      </c>
      <c r="N232" s="62">
        <v>13000</v>
      </c>
      <c r="O232" s="62">
        <v>13000</v>
      </c>
      <c r="P232" s="62">
        <v>13000</v>
      </c>
      <c r="Q232" s="62">
        <v>13000</v>
      </c>
      <c r="R232" s="62">
        <v>13000</v>
      </c>
      <c r="S232" s="62">
        <v>13000</v>
      </c>
      <c r="T232" s="62">
        <v>13000</v>
      </c>
      <c r="U232" s="62">
        <v>13000</v>
      </c>
      <c r="V232" s="62">
        <v>13000</v>
      </c>
      <c r="W232" s="62">
        <v>13000</v>
      </c>
      <c r="X232" s="62">
        <v>13000</v>
      </c>
      <c r="Y232" s="62">
        <v>13000</v>
      </c>
      <c r="Z232" s="62">
        <v>13000</v>
      </c>
      <c r="AA232" s="62">
        <v>13000</v>
      </c>
      <c r="AB232" s="62">
        <v>13000</v>
      </c>
      <c r="AC232" s="61">
        <f t="shared" si="4"/>
        <v>312000</v>
      </c>
      <c r="AD232" s="107"/>
    </row>
    <row r="233" spans="1:30" ht="15.75" thickBot="1" x14ac:dyDescent="0.3">
      <c r="A233" s="49">
        <v>2032</v>
      </c>
      <c r="B233" s="50">
        <v>1</v>
      </c>
      <c r="C233" s="50">
        <v>6</v>
      </c>
      <c r="D233" s="51" t="s">
        <v>134</v>
      </c>
      <c r="E233" s="62">
        <v>13000</v>
      </c>
      <c r="F233" s="62">
        <v>13000</v>
      </c>
      <c r="G233" s="62">
        <v>13000</v>
      </c>
      <c r="H233" s="62">
        <v>13000</v>
      </c>
      <c r="I233" s="62">
        <v>13000</v>
      </c>
      <c r="J233" s="62">
        <v>13000</v>
      </c>
      <c r="K233" s="62">
        <v>13000</v>
      </c>
      <c r="L233" s="62">
        <v>13000</v>
      </c>
      <c r="M233" s="62">
        <v>13000</v>
      </c>
      <c r="N233" s="62">
        <v>13000</v>
      </c>
      <c r="O233" s="62">
        <v>13000</v>
      </c>
      <c r="P233" s="62">
        <v>13000</v>
      </c>
      <c r="Q233" s="62">
        <v>13000</v>
      </c>
      <c r="R233" s="62">
        <v>13000</v>
      </c>
      <c r="S233" s="62">
        <v>13000</v>
      </c>
      <c r="T233" s="62">
        <v>13000</v>
      </c>
      <c r="U233" s="62">
        <v>13000</v>
      </c>
      <c r="V233" s="62">
        <v>13000</v>
      </c>
      <c r="W233" s="62">
        <v>13000</v>
      </c>
      <c r="X233" s="62">
        <v>13000</v>
      </c>
      <c r="Y233" s="62">
        <v>13000</v>
      </c>
      <c r="Z233" s="62">
        <v>13000</v>
      </c>
      <c r="AA233" s="62">
        <v>13000</v>
      </c>
      <c r="AB233" s="62">
        <v>13000</v>
      </c>
      <c r="AC233" s="53">
        <f t="shared" si="4"/>
        <v>312000</v>
      </c>
      <c r="AD233" s="105">
        <f>+SUMPRODUCT(AC233:AC235,C233:C235)</f>
        <v>9672000</v>
      </c>
    </row>
    <row r="234" spans="1:30" ht="15.75" thickBot="1" x14ac:dyDescent="0.3">
      <c r="A234" s="54">
        <v>2032</v>
      </c>
      <c r="B234" s="55">
        <v>1</v>
      </c>
      <c r="C234" s="55">
        <v>20</v>
      </c>
      <c r="D234" s="56" t="s">
        <v>135</v>
      </c>
      <c r="E234" s="62">
        <v>13000</v>
      </c>
      <c r="F234" s="62">
        <v>13000</v>
      </c>
      <c r="G234" s="62">
        <v>13000</v>
      </c>
      <c r="H234" s="62">
        <v>13000</v>
      </c>
      <c r="I234" s="62">
        <v>13000</v>
      </c>
      <c r="J234" s="62">
        <v>13000</v>
      </c>
      <c r="K234" s="62">
        <v>13000</v>
      </c>
      <c r="L234" s="62">
        <v>13000</v>
      </c>
      <c r="M234" s="62">
        <v>13000</v>
      </c>
      <c r="N234" s="62">
        <v>13000</v>
      </c>
      <c r="O234" s="62">
        <v>13000</v>
      </c>
      <c r="P234" s="62">
        <v>13000</v>
      </c>
      <c r="Q234" s="62">
        <v>13000</v>
      </c>
      <c r="R234" s="62">
        <v>13000</v>
      </c>
      <c r="S234" s="62">
        <v>13000</v>
      </c>
      <c r="T234" s="62">
        <v>13000</v>
      </c>
      <c r="U234" s="62">
        <v>13000</v>
      </c>
      <c r="V234" s="62">
        <v>13000</v>
      </c>
      <c r="W234" s="62">
        <v>13000</v>
      </c>
      <c r="X234" s="62">
        <v>13000</v>
      </c>
      <c r="Y234" s="62">
        <v>13000</v>
      </c>
      <c r="Z234" s="62">
        <v>13000</v>
      </c>
      <c r="AA234" s="62">
        <v>13000</v>
      </c>
      <c r="AB234" s="62">
        <v>13000</v>
      </c>
      <c r="AC234" s="57">
        <f t="shared" si="4"/>
        <v>312000</v>
      </c>
      <c r="AD234" s="106"/>
    </row>
    <row r="235" spans="1:30" ht="15.75" thickBot="1" x14ac:dyDescent="0.3">
      <c r="A235" s="58">
        <v>2032</v>
      </c>
      <c r="B235" s="59">
        <v>1</v>
      </c>
      <c r="C235" s="59">
        <v>5</v>
      </c>
      <c r="D235" s="60" t="s">
        <v>136</v>
      </c>
      <c r="E235" s="62">
        <v>13000</v>
      </c>
      <c r="F235" s="62">
        <v>13000</v>
      </c>
      <c r="G235" s="62">
        <v>13000</v>
      </c>
      <c r="H235" s="62">
        <v>13000</v>
      </c>
      <c r="I235" s="62">
        <v>13000</v>
      </c>
      <c r="J235" s="62">
        <v>13000</v>
      </c>
      <c r="K235" s="62">
        <v>13000</v>
      </c>
      <c r="L235" s="62">
        <v>13000</v>
      </c>
      <c r="M235" s="62">
        <v>13000</v>
      </c>
      <c r="N235" s="62">
        <v>13000</v>
      </c>
      <c r="O235" s="62">
        <v>13000</v>
      </c>
      <c r="P235" s="62">
        <v>13000</v>
      </c>
      <c r="Q235" s="62">
        <v>13000</v>
      </c>
      <c r="R235" s="62">
        <v>13000</v>
      </c>
      <c r="S235" s="62">
        <v>13000</v>
      </c>
      <c r="T235" s="62">
        <v>13000</v>
      </c>
      <c r="U235" s="62">
        <v>13000</v>
      </c>
      <c r="V235" s="62">
        <v>13000</v>
      </c>
      <c r="W235" s="62">
        <v>13000</v>
      </c>
      <c r="X235" s="62">
        <v>13000</v>
      </c>
      <c r="Y235" s="62">
        <v>13000</v>
      </c>
      <c r="Z235" s="62">
        <v>13000</v>
      </c>
      <c r="AA235" s="62">
        <v>13000</v>
      </c>
      <c r="AB235" s="62">
        <v>13000</v>
      </c>
      <c r="AC235" s="61">
        <f t="shared" si="4"/>
        <v>312000</v>
      </c>
      <c r="AD235" s="107"/>
    </row>
    <row r="236" spans="1:30" ht="15.75" thickBot="1" x14ac:dyDescent="0.3">
      <c r="A236" s="49">
        <v>2032</v>
      </c>
      <c r="B236" s="50">
        <v>2</v>
      </c>
      <c r="C236" s="50">
        <v>5</v>
      </c>
      <c r="D236" s="51" t="s">
        <v>134</v>
      </c>
      <c r="E236" s="62">
        <v>13000</v>
      </c>
      <c r="F236" s="62">
        <v>13000</v>
      </c>
      <c r="G236" s="62">
        <v>13000</v>
      </c>
      <c r="H236" s="62">
        <v>13000</v>
      </c>
      <c r="I236" s="62">
        <v>13000</v>
      </c>
      <c r="J236" s="62">
        <v>13000</v>
      </c>
      <c r="K236" s="62">
        <v>13000</v>
      </c>
      <c r="L236" s="62">
        <v>13000</v>
      </c>
      <c r="M236" s="62">
        <v>13000</v>
      </c>
      <c r="N236" s="62">
        <v>13000</v>
      </c>
      <c r="O236" s="62">
        <v>13000</v>
      </c>
      <c r="P236" s="62">
        <v>13000</v>
      </c>
      <c r="Q236" s="62">
        <v>13000</v>
      </c>
      <c r="R236" s="62">
        <v>13000</v>
      </c>
      <c r="S236" s="62">
        <v>13000</v>
      </c>
      <c r="T236" s="62">
        <v>13000</v>
      </c>
      <c r="U236" s="62">
        <v>13000</v>
      </c>
      <c r="V236" s="62">
        <v>13000</v>
      </c>
      <c r="W236" s="62">
        <v>13000</v>
      </c>
      <c r="X236" s="62">
        <v>13000</v>
      </c>
      <c r="Y236" s="62">
        <v>13000</v>
      </c>
      <c r="Z236" s="62">
        <v>13000</v>
      </c>
      <c r="AA236" s="62">
        <v>13000</v>
      </c>
      <c r="AB236" s="62">
        <v>13000</v>
      </c>
      <c r="AC236" s="53">
        <f t="shared" si="4"/>
        <v>312000</v>
      </c>
      <c r="AD236" s="105">
        <f>+SUMPRODUCT(AC236:AC238,C236:C238)</f>
        <v>9048000</v>
      </c>
    </row>
    <row r="237" spans="1:30" ht="15.75" thickBot="1" x14ac:dyDescent="0.3">
      <c r="A237" s="54">
        <v>2032</v>
      </c>
      <c r="B237" s="55">
        <v>2</v>
      </c>
      <c r="C237" s="55">
        <v>20</v>
      </c>
      <c r="D237" s="56" t="s">
        <v>135</v>
      </c>
      <c r="E237" s="62">
        <v>13000</v>
      </c>
      <c r="F237" s="62">
        <v>13000</v>
      </c>
      <c r="G237" s="62">
        <v>13000</v>
      </c>
      <c r="H237" s="62">
        <v>13000</v>
      </c>
      <c r="I237" s="62">
        <v>13000</v>
      </c>
      <c r="J237" s="62">
        <v>13000</v>
      </c>
      <c r="K237" s="62">
        <v>13000</v>
      </c>
      <c r="L237" s="62">
        <v>13000</v>
      </c>
      <c r="M237" s="62">
        <v>13000</v>
      </c>
      <c r="N237" s="62">
        <v>13000</v>
      </c>
      <c r="O237" s="62">
        <v>13000</v>
      </c>
      <c r="P237" s="62">
        <v>13000</v>
      </c>
      <c r="Q237" s="62">
        <v>13000</v>
      </c>
      <c r="R237" s="62">
        <v>13000</v>
      </c>
      <c r="S237" s="62">
        <v>13000</v>
      </c>
      <c r="T237" s="62">
        <v>13000</v>
      </c>
      <c r="U237" s="62">
        <v>13000</v>
      </c>
      <c r="V237" s="62">
        <v>13000</v>
      </c>
      <c r="W237" s="62">
        <v>13000</v>
      </c>
      <c r="X237" s="62">
        <v>13000</v>
      </c>
      <c r="Y237" s="62">
        <v>13000</v>
      </c>
      <c r="Z237" s="62">
        <v>13000</v>
      </c>
      <c r="AA237" s="62">
        <v>13000</v>
      </c>
      <c r="AB237" s="62">
        <v>13000</v>
      </c>
      <c r="AC237" s="57">
        <f t="shared" si="4"/>
        <v>312000</v>
      </c>
      <c r="AD237" s="106"/>
    </row>
    <row r="238" spans="1:30" ht="15.75" thickBot="1" x14ac:dyDescent="0.3">
      <c r="A238" s="58">
        <v>2032</v>
      </c>
      <c r="B238" s="59">
        <v>2</v>
      </c>
      <c r="C238" s="59">
        <v>4</v>
      </c>
      <c r="D238" s="60" t="s">
        <v>136</v>
      </c>
      <c r="E238" s="62">
        <v>13000</v>
      </c>
      <c r="F238" s="62">
        <v>13000</v>
      </c>
      <c r="G238" s="62">
        <v>13000</v>
      </c>
      <c r="H238" s="62">
        <v>13000</v>
      </c>
      <c r="I238" s="62">
        <v>13000</v>
      </c>
      <c r="J238" s="62">
        <v>13000</v>
      </c>
      <c r="K238" s="62">
        <v>13000</v>
      </c>
      <c r="L238" s="62">
        <v>13000</v>
      </c>
      <c r="M238" s="62">
        <v>13000</v>
      </c>
      <c r="N238" s="62">
        <v>13000</v>
      </c>
      <c r="O238" s="62">
        <v>13000</v>
      </c>
      <c r="P238" s="62">
        <v>13000</v>
      </c>
      <c r="Q238" s="62">
        <v>13000</v>
      </c>
      <c r="R238" s="62">
        <v>13000</v>
      </c>
      <c r="S238" s="62">
        <v>13000</v>
      </c>
      <c r="T238" s="62">
        <v>13000</v>
      </c>
      <c r="U238" s="62">
        <v>13000</v>
      </c>
      <c r="V238" s="62">
        <v>13000</v>
      </c>
      <c r="W238" s="62">
        <v>13000</v>
      </c>
      <c r="X238" s="62">
        <v>13000</v>
      </c>
      <c r="Y238" s="62">
        <v>13000</v>
      </c>
      <c r="Z238" s="62">
        <v>13000</v>
      </c>
      <c r="AA238" s="62">
        <v>13000</v>
      </c>
      <c r="AB238" s="62">
        <v>13000</v>
      </c>
      <c r="AC238" s="61">
        <f t="shared" si="4"/>
        <v>312000</v>
      </c>
      <c r="AD238" s="107"/>
    </row>
    <row r="239" spans="1:30" ht="15.75" thickBot="1" x14ac:dyDescent="0.3">
      <c r="A239" s="49">
        <v>2032</v>
      </c>
      <c r="B239" s="50">
        <v>3</v>
      </c>
      <c r="C239" s="50">
        <v>7</v>
      </c>
      <c r="D239" s="51" t="s">
        <v>134</v>
      </c>
      <c r="E239" s="62">
        <v>13000</v>
      </c>
      <c r="F239" s="62">
        <v>13000</v>
      </c>
      <c r="G239" s="62">
        <v>13000</v>
      </c>
      <c r="H239" s="62">
        <v>13000</v>
      </c>
      <c r="I239" s="62">
        <v>13000</v>
      </c>
      <c r="J239" s="62">
        <v>13000</v>
      </c>
      <c r="K239" s="62">
        <v>13000</v>
      </c>
      <c r="L239" s="62">
        <v>13000</v>
      </c>
      <c r="M239" s="62">
        <v>13000</v>
      </c>
      <c r="N239" s="62">
        <v>13000</v>
      </c>
      <c r="O239" s="62">
        <v>13000</v>
      </c>
      <c r="P239" s="62">
        <v>13000</v>
      </c>
      <c r="Q239" s="62">
        <v>13000</v>
      </c>
      <c r="R239" s="62">
        <v>13000</v>
      </c>
      <c r="S239" s="62">
        <v>13000</v>
      </c>
      <c r="T239" s="62">
        <v>13000</v>
      </c>
      <c r="U239" s="62">
        <v>13000</v>
      </c>
      <c r="V239" s="62">
        <v>13000</v>
      </c>
      <c r="W239" s="62">
        <v>13000</v>
      </c>
      <c r="X239" s="62">
        <v>13000</v>
      </c>
      <c r="Y239" s="62">
        <v>13000</v>
      </c>
      <c r="Z239" s="62">
        <v>13000</v>
      </c>
      <c r="AA239" s="62">
        <v>13000</v>
      </c>
      <c r="AB239" s="62">
        <v>13000</v>
      </c>
      <c r="AC239" s="53">
        <f t="shared" si="4"/>
        <v>312000</v>
      </c>
      <c r="AD239" s="105">
        <f>+SUMPRODUCT(AC239:AC241,C239:C241)</f>
        <v>9672000</v>
      </c>
    </row>
    <row r="240" spans="1:30" ht="15.75" thickBot="1" x14ac:dyDescent="0.3">
      <c r="A240" s="54">
        <v>2032</v>
      </c>
      <c r="B240" s="55">
        <v>3</v>
      </c>
      <c r="C240" s="55">
        <v>20</v>
      </c>
      <c r="D240" s="56" t="s">
        <v>135</v>
      </c>
      <c r="E240" s="62">
        <v>13000</v>
      </c>
      <c r="F240" s="62">
        <v>13000</v>
      </c>
      <c r="G240" s="62">
        <v>13000</v>
      </c>
      <c r="H240" s="62">
        <v>13000</v>
      </c>
      <c r="I240" s="62">
        <v>13000</v>
      </c>
      <c r="J240" s="62">
        <v>13000</v>
      </c>
      <c r="K240" s="62">
        <v>13000</v>
      </c>
      <c r="L240" s="62">
        <v>13000</v>
      </c>
      <c r="M240" s="62">
        <v>13000</v>
      </c>
      <c r="N240" s="62">
        <v>13000</v>
      </c>
      <c r="O240" s="62">
        <v>13000</v>
      </c>
      <c r="P240" s="62">
        <v>13000</v>
      </c>
      <c r="Q240" s="62">
        <v>13000</v>
      </c>
      <c r="R240" s="62">
        <v>13000</v>
      </c>
      <c r="S240" s="62">
        <v>13000</v>
      </c>
      <c r="T240" s="62">
        <v>13000</v>
      </c>
      <c r="U240" s="62">
        <v>13000</v>
      </c>
      <c r="V240" s="62">
        <v>13000</v>
      </c>
      <c r="W240" s="62">
        <v>13000</v>
      </c>
      <c r="X240" s="62">
        <v>13000</v>
      </c>
      <c r="Y240" s="62">
        <v>13000</v>
      </c>
      <c r="Z240" s="62">
        <v>13000</v>
      </c>
      <c r="AA240" s="62">
        <v>13000</v>
      </c>
      <c r="AB240" s="62">
        <v>13000</v>
      </c>
      <c r="AC240" s="57">
        <f t="shared" si="4"/>
        <v>312000</v>
      </c>
      <c r="AD240" s="106"/>
    </row>
    <row r="241" spans="1:30" ht="15.75" thickBot="1" x14ac:dyDescent="0.3">
      <c r="A241" s="58">
        <v>2032</v>
      </c>
      <c r="B241" s="59">
        <v>3</v>
      </c>
      <c r="C241" s="59">
        <v>4</v>
      </c>
      <c r="D241" s="60" t="s">
        <v>136</v>
      </c>
      <c r="E241" s="62">
        <v>13000</v>
      </c>
      <c r="F241" s="62">
        <v>13000</v>
      </c>
      <c r="G241" s="62">
        <v>13000</v>
      </c>
      <c r="H241" s="62">
        <v>13000</v>
      </c>
      <c r="I241" s="62">
        <v>13000</v>
      </c>
      <c r="J241" s="62">
        <v>13000</v>
      </c>
      <c r="K241" s="62">
        <v>13000</v>
      </c>
      <c r="L241" s="62">
        <v>13000</v>
      </c>
      <c r="M241" s="62">
        <v>13000</v>
      </c>
      <c r="N241" s="62">
        <v>13000</v>
      </c>
      <c r="O241" s="62">
        <v>13000</v>
      </c>
      <c r="P241" s="62">
        <v>13000</v>
      </c>
      <c r="Q241" s="62">
        <v>13000</v>
      </c>
      <c r="R241" s="62">
        <v>13000</v>
      </c>
      <c r="S241" s="62">
        <v>13000</v>
      </c>
      <c r="T241" s="62">
        <v>13000</v>
      </c>
      <c r="U241" s="62">
        <v>13000</v>
      </c>
      <c r="V241" s="62">
        <v>13000</v>
      </c>
      <c r="W241" s="62">
        <v>13000</v>
      </c>
      <c r="X241" s="62">
        <v>13000</v>
      </c>
      <c r="Y241" s="62">
        <v>13000</v>
      </c>
      <c r="Z241" s="62">
        <v>13000</v>
      </c>
      <c r="AA241" s="62">
        <v>13000</v>
      </c>
      <c r="AB241" s="62">
        <v>13000</v>
      </c>
      <c r="AC241" s="61">
        <f t="shared" si="4"/>
        <v>312000</v>
      </c>
      <c r="AD241" s="107"/>
    </row>
    <row r="242" spans="1:30" ht="15.75" thickBot="1" x14ac:dyDescent="0.3">
      <c r="A242" s="49">
        <v>2032</v>
      </c>
      <c r="B242" s="50">
        <v>4</v>
      </c>
      <c r="C242" s="50">
        <v>4</v>
      </c>
      <c r="D242" s="51" t="s">
        <v>134</v>
      </c>
      <c r="E242" s="62">
        <v>13000</v>
      </c>
      <c r="F242" s="62">
        <v>13000</v>
      </c>
      <c r="G242" s="62">
        <v>13000</v>
      </c>
      <c r="H242" s="62">
        <v>13000</v>
      </c>
      <c r="I242" s="62">
        <v>13000</v>
      </c>
      <c r="J242" s="62">
        <v>13000</v>
      </c>
      <c r="K242" s="62">
        <v>13000</v>
      </c>
      <c r="L242" s="62">
        <v>13000</v>
      </c>
      <c r="M242" s="62">
        <v>13000</v>
      </c>
      <c r="N242" s="62">
        <v>13000</v>
      </c>
      <c r="O242" s="62">
        <v>13000</v>
      </c>
      <c r="P242" s="62">
        <v>13000</v>
      </c>
      <c r="Q242" s="62">
        <v>13000</v>
      </c>
      <c r="R242" s="62">
        <v>13000</v>
      </c>
      <c r="S242" s="62">
        <v>13000</v>
      </c>
      <c r="T242" s="62">
        <v>13000</v>
      </c>
      <c r="U242" s="62">
        <v>13000</v>
      </c>
      <c r="V242" s="62">
        <v>13000</v>
      </c>
      <c r="W242" s="62">
        <v>13000</v>
      </c>
      <c r="X242" s="62">
        <v>13000</v>
      </c>
      <c r="Y242" s="62">
        <v>13000</v>
      </c>
      <c r="Z242" s="62">
        <v>13000</v>
      </c>
      <c r="AA242" s="62">
        <v>13000</v>
      </c>
      <c r="AB242" s="62">
        <v>13000</v>
      </c>
      <c r="AC242" s="53">
        <f t="shared" si="4"/>
        <v>312000</v>
      </c>
      <c r="AD242" s="105">
        <f>+SUMPRODUCT(AC242:AC244,C242:C244)</f>
        <v>9360000</v>
      </c>
    </row>
    <row r="243" spans="1:30" ht="15.75" thickBot="1" x14ac:dyDescent="0.3">
      <c r="A243" s="54">
        <v>2032</v>
      </c>
      <c r="B243" s="55">
        <v>4</v>
      </c>
      <c r="C243" s="55">
        <v>22</v>
      </c>
      <c r="D243" s="56" t="s">
        <v>135</v>
      </c>
      <c r="E243" s="62">
        <v>13000</v>
      </c>
      <c r="F243" s="62">
        <v>13000</v>
      </c>
      <c r="G243" s="62">
        <v>13000</v>
      </c>
      <c r="H243" s="62">
        <v>13000</v>
      </c>
      <c r="I243" s="62">
        <v>13000</v>
      </c>
      <c r="J243" s="62">
        <v>13000</v>
      </c>
      <c r="K243" s="62">
        <v>13000</v>
      </c>
      <c r="L243" s="62">
        <v>13000</v>
      </c>
      <c r="M243" s="62">
        <v>13000</v>
      </c>
      <c r="N243" s="62">
        <v>13000</v>
      </c>
      <c r="O243" s="62">
        <v>13000</v>
      </c>
      <c r="P243" s="62">
        <v>13000</v>
      </c>
      <c r="Q243" s="62">
        <v>13000</v>
      </c>
      <c r="R243" s="62">
        <v>13000</v>
      </c>
      <c r="S243" s="62">
        <v>13000</v>
      </c>
      <c r="T243" s="62">
        <v>13000</v>
      </c>
      <c r="U243" s="62">
        <v>13000</v>
      </c>
      <c r="V243" s="62">
        <v>13000</v>
      </c>
      <c r="W243" s="62">
        <v>13000</v>
      </c>
      <c r="X243" s="62">
        <v>13000</v>
      </c>
      <c r="Y243" s="62">
        <v>13000</v>
      </c>
      <c r="Z243" s="62">
        <v>13000</v>
      </c>
      <c r="AA243" s="62">
        <v>13000</v>
      </c>
      <c r="AB243" s="62">
        <v>13000</v>
      </c>
      <c r="AC243" s="57">
        <f t="shared" si="4"/>
        <v>312000</v>
      </c>
      <c r="AD243" s="106"/>
    </row>
    <row r="244" spans="1:30" ht="15.75" thickBot="1" x14ac:dyDescent="0.3">
      <c r="A244" s="58">
        <v>2032</v>
      </c>
      <c r="B244" s="59">
        <v>4</v>
      </c>
      <c r="C244" s="59">
        <v>4</v>
      </c>
      <c r="D244" s="60" t="s">
        <v>136</v>
      </c>
      <c r="E244" s="62">
        <v>13000</v>
      </c>
      <c r="F244" s="62">
        <v>13000</v>
      </c>
      <c r="G244" s="62">
        <v>13000</v>
      </c>
      <c r="H244" s="62">
        <v>13000</v>
      </c>
      <c r="I244" s="62">
        <v>13000</v>
      </c>
      <c r="J244" s="62">
        <v>13000</v>
      </c>
      <c r="K244" s="62">
        <v>13000</v>
      </c>
      <c r="L244" s="62">
        <v>13000</v>
      </c>
      <c r="M244" s="62">
        <v>13000</v>
      </c>
      <c r="N244" s="62">
        <v>13000</v>
      </c>
      <c r="O244" s="62">
        <v>13000</v>
      </c>
      <c r="P244" s="62">
        <v>13000</v>
      </c>
      <c r="Q244" s="62">
        <v>13000</v>
      </c>
      <c r="R244" s="62">
        <v>13000</v>
      </c>
      <c r="S244" s="62">
        <v>13000</v>
      </c>
      <c r="T244" s="62">
        <v>13000</v>
      </c>
      <c r="U244" s="62">
        <v>13000</v>
      </c>
      <c r="V244" s="62">
        <v>13000</v>
      </c>
      <c r="W244" s="62">
        <v>13000</v>
      </c>
      <c r="X244" s="62">
        <v>13000</v>
      </c>
      <c r="Y244" s="62">
        <v>13000</v>
      </c>
      <c r="Z244" s="62">
        <v>13000</v>
      </c>
      <c r="AA244" s="62">
        <v>13000</v>
      </c>
      <c r="AB244" s="62">
        <v>13000</v>
      </c>
      <c r="AC244" s="61">
        <f t="shared" si="4"/>
        <v>312000</v>
      </c>
      <c r="AD244" s="107"/>
    </row>
    <row r="245" spans="1:30" ht="15.75" thickBot="1" x14ac:dyDescent="0.3">
      <c r="A245" s="49">
        <v>2032</v>
      </c>
      <c r="B245" s="50">
        <v>5</v>
      </c>
      <c r="C245" s="50">
        <v>7</v>
      </c>
      <c r="D245" s="51" t="s">
        <v>134</v>
      </c>
      <c r="E245" s="62">
        <v>13000</v>
      </c>
      <c r="F245" s="62">
        <v>13000</v>
      </c>
      <c r="G245" s="62">
        <v>13000</v>
      </c>
      <c r="H245" s="62">
        <v>13000</v>
      </c>
      <c r="I245" s="62">
        <v>13000</v>
      </c>
      <c r="J245" s="62">
        <v>13000</v>
      </c>
      <c r="K245" s="62">
        <v>13000</v>
      </c>
      <c r="L245" s="62">
        <v>13000</v>
      </c>
      <c r="M245" s="62">
        <v>13000</v>
      </c>
      <c r="N245" s="62">
        <v>13000</v>
      </c>
      <c r="O245" s="62">
        <v>13000</v>
      </c>
      <c r="P245" s="62">
        <v>13000</v>
      </c>
      <c r="Q245" s="62">
        <v>13000</v>
      </c>
      <c r="R245" s="62">
        <v>13000</v>
      </c>
      <c r="S245" s="62">
        <v>13000</v>
      </c>
      <c r="T245" s="62">
        <v>13000</v>
      </c>
      <c r="U245" s="62">
        <v>13000</v>
      </c>
      <c r="V245" s="62">
        <v>13000</v>
      </c>
      <c r="W245" s="62">
        <v>13000</v>
      </c>
      <c r="X245" s="62">
        <v>13000</v>
      </c>
      <c r="Y245" s="62">
        <v>13000</v>
      </c>
      <c r="Z245" s="62">
        <v>13000</v>
      </c>
      <c r="AA245" s="62">
        <v>13000</v>
      </c>
      <c r="AB245" s="62">
        <v>13000</v>
      </c>
      <c r="AC245" s="53">
        <f t="shared" si="4"/>
        <v>312000</v>
      </c>
      <c r="AD245" s="105">
        <f>+SUMPRODUCT(AC245:AC247,C245:C247)</f>
        <v>9672000</v>
      </c>
    </row>
    <row r="246" spans="1:30" ht="15.75" thickBot="1" x14ac:dyDescent="0.3">
      <c r="A246" s="54">
        <v>2032</v>
      </c>
      <c r="B246" s="55">
        <v>5</v>
      </c>
      <c r="C246" s="55">
        <v>20</v>
      </c>
      <c r="D246" s="56" t="s">
        <v>135</v>
      </c>
      <c r="E246" s="62">
        <v>13000</v>
      </c>
      <c r="F246" s="62">
        <v>13000</v>
      </c>
      <c r="G246" s="62">
        <v>13000</v>
      </c>
      <c r="H246" s="62">
        <v>13000</v>
      </c>
      <c r="I246" s="62">
        <v>13000</v>
      </c>
      <c r="J246" s="62">
        <v>13000</v>
      </c>
      <c r="K246" s="62">
        <v>13000</v>
      </c>
      <c r="L246" s="62">
        <v>13000</v>
      </c>
      <c r="M246" s="62">
        <v>13000</v>
      </c>
      <c r="N246" s="62">
        <v>13000</v>
      </c>
      <c r="O246" s="62">
        <v>13000</v>
      </c>
      <c r="P246" s="62">
        <v>13000</v>
      </c>
      <c r="Q246" s="62">
        <v>13000</v>
      </c>
      <c r="R246" s="62">
        <v>13000</v>
      </c>
      <c r="S246" s="62">
        <v>13000</v>
      </c>
      <c r="T246" s="62">
        <v>13000</v>
      </c>
      <c r="U246" s="62">
        <v>13000</v>
      </c>
      <c r="V246" s="62">
        <v>13000</v>
      </c>
      <c r="W246" s="62">
        <v>13000</v>
      </c>
      <c r="X246" s="62">
        <v>13000</v>
      </c>
      <c r="Y246" s="62">
        <v>13000</v>
      </c>
      <c r="Z246" s="62">
        <v>13000</v>
      </c>
      <c r="AA246" s="62">
        <v>13000</v>
      </c>
      <c r="AB246" s="62">
        <v>13000</v>
      </c>
      <c r="AC246" s="57">
        <f t="shared" si="4"/>
        <v>312000</v>
      </c>
      <c r="AD246" s="106"/>
    </row>
    <row r="247" spans="1:30" ht="15.75" thickBot="1" x14ac:dyDescent="0.3">
      <c r="A247" s="58">
        <v>2032</v>
      </c>
      <c r="B247" s="59">
        <v>5</v>
      </c>
      <c r="C247" s="59">
        <v>4</v>
      </c>
      <c r="D247" s="60" t="s">
        <v>136</v>
      </c>
      <c r="E247" s="62">
        <v>13000</v>
      </c>
      <c r="F247" s="62">
        <v>13000</v>
      </c>
      <c r="G247" s="62">
        <v>13000</v>
      </c>
      <c r="H247" s="62">
        <v>13000</v>
      </c>
      <c r="I247" s="62">
        <v>13000</v>
      </c>
      <c r="J247" s="62">
        <v>13000</v>
      </c>
      <c r="K247" s="62">
        <v>13000</v>
      </c>
      <c r="L247" s="62">
        <v>13000</v>
      </c>
      <c r="M247" s="62">
        <v>13000</v>
      </c>
      <c r="N247" s="62">
        <v>13000</v>
      </c>
      <c r="O247" s="62">
        <v>13000</v>
      </c>
      <c r="P247" s="62">
        <v>13000</v>
      </c>
      <c r="Q247" s="62">
        <v>13000</v>
      </c>
      <c r="R247" s="62">
        <v>13000</v>
      </c>
      <c r="S247" s="62">
        <v>13000</v>
      </c>
      <c r="T247" s="62">
        <v>13000</v>
      </c>
      <c r="U247" s="62">
        <v>13000</v>
      </c>
      <c r="V247" s="62">
        <v>13000</v>
      </c>
      <c r="W247" s="62">
        <v>13000</v>
      </c>
      <c r="X247" s="62">
        <v>13000</v>
      </c>
      <c r="Y247" s="62">
        <v>13000</v>
      </c>
      <c r="Z247" s="62">
        <v>13000</v>
      </c>
      <c r="AA247" s="62">
        <v>13000</v>
      </c>
      <c r="AB247" s="62">
        <v>13000</v>
      </c>
      <c r="AC247" s="61">
        <f t="shared" si="4"/>
        <v>312000</v>
      </c>
      <c r="AD247" s="107"/>
    </row>
    <row r="248" spans="1:30" ht="15.75" thickBot="1" x14ac:dyDescent="0.3">
      <c r="A248" s="49">
        <v>2032</v>
      </c>
      <c r="B248" s="50">
        <v>6</v>
      </c>
      <c r="C248" s="50">
        <v>6</v>
      </c>
      <c r="D248" s="51" t="s">
        <v>134</v>
      </c>
      <c r="E248" s="62">
        <v>13000</v>
      </c>
      <c r="F248" s="62">
        <v>13000</v>
      </c>
      <c r="G248" s="62">
        <v>13000</v>
      </c>
      <c r="H248" s="62">
        <v>13000</v>
      </c>
      <c r="I248" s="62">
        <v>13000</v>
      </c>
      <c r="J248" s="62">
        <v>13000</v>
      </c>
      <c r="K248" s="62">
        <v>13000</v>
      </c>
      <c r="L248" s="62">
        <v>13000</v>
      </c>
      <c r="M248" s="62">
        <v>13000</v>
      </c>
      <c r="N248" s="62">
        <v>13000</v>
      </c>
      <c r="O248" s="62">
        <v>13000</v>
      </c>
      <c r="P248" s="62">
        <v>13000</v>
      </c>
      <c r="Q248" s="62">
        <v>13000</v>
      </c>
      <c r="R248" s="62">
        <v>13000</v>
      </c>
      <c r="S248" s="62">
        <v>13000</v>
      </c>
      <c r="T248" s="62">
        <v>13000</v>
      </c>
      <c r="U248" s="62">
        <v>13000</v>
      </c>
      <c r="V248" s="62">
        <v>13000</v>
      </c>
      <c r="W248" s="62">
        <v>13000</v>
      </c>
      <c r="X248" s="62">
        <v>13000</v>
      </c>
      <c r="Y248" s="62">
        <v>13000</v>
      </c>
      <c r="Z248" s="62">
        <v>13000</v>
      </c>
      <c r="AA248" s="62">
        <v>13000</v>
      </c>
      <c r="AB248" s="62">
        <v>13000</v>
      </c>
      <c r="AC248" s="53">
        <f t="shared" si="4"/>
        <v>312000</v>
      </c>
      <c r="AD248" s="105">
        <f>+SUMPRODUCT(AC248:AC250,C248:C250)</f>
        <v>9360000</v>
      </c>
    </row>
    <row r="249" spans="1:30" ht="15.75" thickBot="1" x14ac:dyDescent="0.3">
      <c r="A249" s="54">
        <v>2032</v>
      </c>
      <c r="B249" s="55">
        <v>6</v>
      </c>
      <c r="C249" s="55">
        <v>20</v>
      </c>
      <c r="D249" s="56" t="s">
        <v>135</v>
      </c>
      <c r="E249" s="62">
        <v>13000</v>
      </c>
      <c r="F249" s="62">
        <v>13000</v>
      </c>
      <c r="G249" s="62">
        <v>13000</v>
      </c>
      <c r="H249" s="62">
        <v>13000</v>
      </c>
      <c r="I249" s="62">
        <v>13000</v>
      </c>
      <c r="J249" s="62">
        <v>13000</v>
      </c>
      <c r="K249" s="62">
        <v>13000</v>
      </c>
      <c r="L249" s="62">
        <v>13000</v>
      </c>
      <c r="M249" s="62">
        <v>13000</v>
      </c>
      <c r="N249" s="62">
        <v>13000</v>
      </c>
      <c r="O249" s="62">
        <v>13000</v>
      </c>
      <c r="P249" s="62">
        <v>13000</v>
      </c>
      <c r="Q249" s="62">
        <v>13000</v>
      </c>
      <c r="R249" s="62">
        <v>13000</v>
      </c>
      <c r="S249" s="62">
        <v>13000</v>
      </c>
      <c r="T249" s="62">
        <v>13000</v>
      </c>
      <c r="U249" s="62">
        <v>13000</v>
      </c>
      <c r="V249" s="62">
        <v>13000</v>
      </c>
      <c r="W249" s="62">
        <v>13000</v>
      </c>
      <c r="X249" s="62">
        <v>13000</v>
      </c>
      <c r="Y249" s="62">
        <v>13000</v>
      </c>
      <c r="Z249" s="62">
        <v>13000</v>
      </c>
      <c r="AA249" s="62">
        <v>13000</v>
      </c>
      <c r="AB249" s="62">
        <v>13000</v>
      </c>
      <c r="AC249" s="57">
        <f t="shared" si="4"/>
        <v>312000</v>
      </c>
      <c r="AD249" s="106"/>
    </row>
    <row r="250" spans="1:30" ht="15.75" thickBot="1" x14ac:dyDescent="0.3">
      <c r="A250" s="58">
        <v>2032</v>
      </c>
      <c r="B250" s="59">
        <v>6</v>
      </c>
      <c r="C250" s="59">
        <v>4</v>
      </c>
      <c r="D250" s="60" t="s">
        <v>136</v>
      </c>
      <c r="E250" s="62">
        <v>13000</v>
      </c>
      <c r="F250" s="62">
        <v>13000</v>
      </c>
      <c r="G250" s="62">
        <v>13000</v>
      </c>
      <c r="H250" s="62">
        <v>13000</v>
      </c>
      <c r="I250" s="62">
        <v>13000</v>
      </c>
      <c r="J250" s="62">
        <v>13000</v>
      </c>
      <c r="K250" s="62">
        <v>13000</v>
      </c>
      <c r="L250" s="62">
        <v>13000</v>
      </c>
      <c r="M250" s="62">
        <v>13000</v>
      </c>
      <c r="N250" s="62">
        <v>13000</v>
      </c>
      <c r="O250" s="62">
        <v>13000</v>
      </c>
      <c r="P250" s="62">
        <v>13000</v>
      </c>
      <c r="Q250" s="62">
        <v>13000</v>
      </c>
      <c r="R250" s="62">
        <v>13000</v>
      </c>
      <c r="S250" s="62">
        <v>13000</v>
      </c>
      <c r="T250" s="62">
        <v>13000</v>
      </c>
      <c r="U250" s="62">
        <v>13000</v>
      </c>
      <c r="V250" s="62">
        <v>13000</v>
      </c>
      <c r="W250" s="62">
        <v>13000</v>
      </c>
      <c r="X250" s="62">
        <v>13000</v>
      </c>
      <c r="Y250" s="62">
        <v>13000</v>
      </c>
      <c r="Z250" s="62">
        <v>13000</v>
      </c>
      <c r="AA250" s="62">
        <v>13000</v>
      </c>
      <c r="AB250" s="62">
        <v>13000</v>
      </c>
      <c r="AC250" s="61">
        <f t="shared" si="4"/>
        <v>312000</v>
      </c>
      <c r="AD250" s="107"/>
    </row>
    <row r="251" spans="1:30" ht="15.75" thickBot="1" x14ac:dyDescent="0.3">
      <c r="A251" s="49">
        <v>2032</v>
      </c>
      <c r="B251" s="50">
        <v>7</v>
      </c>
      <c r="C251" s="50">
        <v>6</v>
      </c>
      <c r="D251" s="51" t="s">
        <v>134</v>
      </c>
      <c r="E251" s="62">
        <v>13000</v>
      </c>
      <c r="F251" s="62">
        <v>13000</v>
      </c>
      <c r="G251" s="62">
        <v>13000</v>
      </c>
      <c r="H251" s="62">
        <v>13000</v>
      </c>
      <c r="I251" s="62">
        <v>13000</v>
      </c>
      <c r="J251" s="62">
        <v>13000</v>
      </c>
      <c r="K251" s="62">
        <v>13000</v>
      </c>
      <c r="L251" s="62">
        <v>13000</v>
      </c>
      <c r="M251" s="62">
        <v>13000</v>
      </c>
      <c r="N251" s="62">
        <v>13000</v>
      </c>
      <c r="O251" s="62">
        <v>13000</v>
      </c>
      <c r="P251" s="62">
        <v>13000</v>
      </c>
      <c r="Q251" s="62">
        <v>13000</v>
      </c>
      <c r="R251" s="62">
        <v>13000</v>
      </c>
      <c r="S251" s="62">
        <v>13000</v>
      </c>
      <c r="T251" s="62">
        <v>13000</v>
      </c>
      <c r="U251" s="62">
        <v>13000</v>
      </c>
      <c r="V251" s="62">
        <v>13000</v>
      </c>
      <c r="W251" s="62">
        <v>13000</v>
      </c>
      <c r="X251" s="62">
        <v>13000</v>
      </c>
      <c r="Y251" s="62">
        <v>13000</v>
      </c>
      <c r="Z251" s="62">
        <v>13000</v>
      </c>
      <c r="AA251" s="62">
        <v>13000</v>
      </c>
      <c r="AB251" s="62">
        <v>13000</v>
      </c>
      <c r="AC251" s="53">
        <f t="shared" si="4"/>
        <v>312000</v>
      </c>
      <c r="AD251" s="105">
        <f>+SUMPRODUCT(AC251:AC253,C251:C253)</f>
        <v>9672000</v>
      </c>
    </row>
    <row r="252" spans="1:30" ht="15.75" thickBot="1" x14ac:dyDescent="0.3">
      <c r="A252" s="54">
        <v>2032</v>
      </c>
      <c r="B252" s="55">
        <v>7</v>
      </c>
      <c r="C252" s="55">
        <v>20</v>
      </c>
      <c r="D252" s="56" t="s">
        <v>135</v>
      </c>
      <c r="E252" s="62">
        <v>13000</v>
      </c>
      <c r="F252" s="62">
        <v>13000</v>
      </c>
      <c r="G252" s="62">
        <v>13000</v>
      </c>
      <c r="H252" s="62">
        <v>13000</v>
      </c>
      <c r="I252" s="62">
        <v>13000</v>
      </c>
      <c r="J252" s="62">
        <v>13000</v>
      </c>
      <c r="K252" s="62">
        <v>13000</v>
      </c>
      <c r="L252" s="62">
        <v>13000</v>
      </c>
      <c r="M252" s="62">
        <v>13000</v>
      </c>
      <c r="N252" s="62">
        <v>13000</v>
      </c>
      <c r="O252" s="62">
        <v>13000</v>
      </c>
      <c r="P252" s="62">
        <v>13000</v>
      </c>
      <c r="Q252" s="62">
        <v>13000</v>
      </c>
      <c r="R252" s="62">
        <v>13000</v>
      </c>
      <c r="S252" s="62">
        <v>13000</v>
      </c>
      <c r="T252" s="62">
        <v>13000</v>
      </c>
      <c r="U252" s="62">
        <v>13000</v>
      </c>
      <c r="V252" s="62">
        <v>13000</v>
      </c>
      <c r="W252" s="62">
        <v>13000</v>
      </c>
      <c r="X252" s="62">
        <v>13000</v>
      </c>
      <c r="Y252" s="62">
        <v>13000</v>
      </c>
      <c r="Z252" s="62">
        <v>13000</v>
      </c>
      <c r="AA252" s="62">
        <v>13000</v>
      </c>
      <c r="AB252" s="62">
        <v>13000</v>
      </c>
      <c r="AC252" s="57">
        <f t="shared" si="4"/>
        <v>312000</v>
      </c>
      <c r="AD252" s="106"/>
    </row>
    <row r="253" spans="1:30" ht="15.75" thickBot="1" x14ac:dyDescent="0.3">
      <c r="A253" s="58">
        <v>2032</v>
      </c>
      <c r="B253" s="59">
        <v>7</v>
      </c>
      <c r="C253" s="59">
        <v>5</v>
      </c>
      <c r="D253" s="60" t="s">
        <v>136</v>
      </c>
      <c r="E253" s="62">
        <v>13000</v>
      </c>
      <c r="F253" s="62">
        <v>13000</v>
      </c>
      <c r="G253" s="62">
        <v>13000</v>
      </c>
      <c r="H253" s="62">
        <v>13000</v>
      </c>
      <c r="I253" s="62">
        <v>13000</v>
      </c>
      <c r="J253" s="62">
        <v>13000</v>
      </c>
      <c r="K253" s="62">
        <v>13000</v>
      </c>
      <c r="L253" s="62">
        <v>13000</v>
      </c>
      <c r="M253" s="62">
        <v>13000</v>
      </c>
      <c r="N253" s="62">
        <v>13000</v>
      </c>
      <c r="O253" s="62">
        <v>13000</v>
      </c>
      <c r="P253" s="62">
        <v>13000</v>
      </c>
      <c r="Q253" s="62">
        <v>13000</v>
      </c>
      <c r="R253" s="62">
        <v>13000</v>
      </c>
      <c r="S253" s="62">
        <v>13000</v>
      </c>
      <c r="T253" s="62">
        <v>13000</v>
      </c>
      <c r="U253" s="62">
        <v>13000</v>
      </c>
      <c r="V253" s="62">
        <v>13000</v>
      </c>
      <c r="W253" s="62">
        <v>13000</v>
      </c>
      <c r="X253" s="62">
        <v>13000</v>
      </c>
      <c r="Y253" s="62">
        <v>13000</v>
      </c>
      <c r="Z253" s="62">
        <v>13000</v>
      </c>
      <c r="AA253" s="62">
        <v>13000</v>
      </c>
      <c r="AB253" s="62">
        <v>13000</v>
      </c>
      <c r="AC253" s="61">
        <f t="shared" si="4"/>
        <v>312000</v>
      </c>
      <c r="AD253" s="107"/>
    </row>
    <row r="254" spans="1:30" ht="15.75" thickBot="1" x14ac:dyDescent="0.3">
      <c r="A254" s="49">
        <v>2032</v>
      </c>
      <c r="B254" s="50">
        <v>8</v>
      </c>
      <c r="C254" s="50">
        <v>7</v>
      </c>
      <c r="D254" s="51" t="s">
        <v>134</v>
      </c>
      <c r="E254" s="62">
        <v>13000</v>
      </c>
      <c r="F254" s="62">
        <v>13000</v>
      </c>
      <c r="G254" s="62">
        <v>13000</v>
      </c>
      <c r="H254" s="62">
        <v>13000</v>
      </c>
      <c r="I254" s="62">
        <v>13000</v>
      </c>
      <c r="J254" s="62">
        <v>13000</v>
      </c>
      <c r="K254" s="62">
        <v>13000</v>
      </c>
      <c r="L254" s="62">
        <v>13000</v>
      </c>
      <c r="M254" s="62">
        <v>13000</v>
      </c>
      <c r="N254" s="62">
        <v>13000</v>
      </c>
      <c r="O254" s="62">
        <v>13000</v>
      </c>
      <c r="P254" s="62">
        <v>13000</v>
      </c>
      <c r="Q254" s="62">
        <v>13000</v>
      </c>
      <c r="R254" s="62">
        <v>13000</v>
      </c>
      <c r="S254" s="62">
        <v>13000</v>
      </c>
      <c r="T254" s="62">
        <v>13000</v>
      </c>
      <c r="U254" s="62">
        <v>13000</v>
      </c>
      <c r="V254" s="62">
        <v>13000</v>
      </c>
      <c r="W254" s="62">
        <v>13000</v>
      </c>
      <c r="X254" s="62">
        <v>13000</v>
      </c>
      <c r="Y254" s="62">
        <v>13000</v>
      </c>
      <c r="Z254" s="62">
        <v>13000</v>
      </c>
      <c r="AA254" s="62">
        <v>13000</v>
      </c>
      <c r="AB254" s="62">
        <v>13000</v>
      </c>
      <c r="AC254" s="53">
        <f t="shared" si="4"/>
        <v>312000</v>
      </c>
      <c r="AD254" s="105">
        <f>+SUMPRODUCT(AC254:AC256,C254:C256)</f>
        <v>9672000</v>
      </c>
    </row>
    <row r="255" spans="1:30" ht="15.75" thickBot="1" x14ac:dyDescent="0.3">
      <c r="A255" s="54">
        <v>2032</v>
      </c>
      <c r="B255" s="55">
        <v>8</v>
      </c>
      <c r="C255" s="55">
        <v>21</v>
      </c>
      <c r="D255" s="56" t="s">
        <v>135</v>
      </c>
      <c r="E255" s="62">
        <v>13000</v>
      </c>
      <c r="F255" s="62">
        <v>13000</v>
      </c>
      <c r="G255" s="62">
        <v>13000</v>
      </c>
      <c r="H255" s="62">
        <v>13000</v>
      </c>
      <c r="I255" s="62">
        <v>13000</v>
      </c>
      <c r="J255" s="62">
        <v>13000</v>
      </c>
      <c r="K255" s="62">
        <v>13000</v>
      </c>
      <c r="L255" s="62">
        <v>13000</v>
      </c>
      <c r="M255" s="62">
        <v>13000</v>
      </c>
      <c r="N255" s="62">
        <v>13000</v>
      </c>
      <c r="O255" s="62">
        <v>13000</v>
      </c>
      <c r="P255" s="62">
        <v>13000</v>
      </c>
      <c r="Q255" s="62">
        <v>13000</v>
      </c>
      <c r="R255" s="62">
        <v>13000</v>
      </c>
      <c r="S255" s="62">
        <v>13000</v>
      </c>
      <c r="T255" s="62">
        <v>13000</v>
      </c>
      <c r="U255" s="62">
        <v>13000</v>
      </c>
      <c r="V255" s="62">
        <v>13000</v>
      </c>
      <c r="W255" s="62">
        <v>13000</v>
      </c>
      <c r="X255" s="62">
        <v>13000</v>
      </c>
      <c r="Y255" s="62">
        <v>13000</v>
      </c>
      <c r="Z255" s="62">
        <v>13000</v>
      </c>
      <c r="AA255" s="62">
        <v>13000</v>
      </c>
      <c r="AB255" s="62">
        <v>13000</v>
      </c>
      <c r="AC255" s="57">
        <f t="shared" si="4"/>
        <v>312000</v>
      </c>
      <c r="AD255" s="106"/>
    </row>
    <row r="256" spans="1:30" ht="15.75" thickBot="1" x14ac:dyDescent="0.3">
      <c r="A256" s="58">
        <v>2032</v>
      </c>
      <c r="B256" s="59">
        <v>8</v>
      </c>
      <c r="C256" s="59">
        <v>3</v>
      </c>
      <c r="D256" s="60" t="s">
        <v>136</v>
      </c>
      <c r="E256" s="62">
        <v>13000</v>
      </c>
      <c r="F256" s="62">
        <v>13000</v>
      </c>
      <c r="G256" s="62">
        <v>13000</v>
      </c>
      <c r="H256" s="62">
        <v>13000</v>
      </c>
      <c r="I256" s="62">
        <v>13000</v>
      </c>
      <c r="J256" s="62">
        <v>13000</v>
      </c>
      <c r="K256" s="62">
        <v>13000</v>
      </c>
      <c r="L256" s="62">
        <v>13000</v>
      </c>
      <c r="M256" s="62">
        <v>13000</v>
      </c>
      <c r="N256" s="62">
        <v>13000</v>
      </c>
      <c r="O256" s="62">
        <v>13000</v>
      </c>
      <c r="P256" s="62">
        <v>13000</v>
      </c>
      <c r="Q256" s="62">
        <v>13000</v>
      </c>
      <c r="R256" s="62">
        <v>13000</v>
      </c>
      <c r="S256" s="62">
        <v>13000</v>
      </c>
      <c r="T256" s="62">
        <v>13000</v>
      </c>
      <c r="U256" s="62">
        <v>13000</v>
      </c>
      <c r="V256" s="62">
        <v>13000</v>
      </c>
      <c r="W256" s="62">
        <v>13000</v>
      </c>
      <c r="X256" s="62">
        <v>13000</v>
      </c>
      <c r="Y256" s="62">
        <v>13000</v>
      </c>
      <c r="Z256" s="62">
        <v>13000</v>
      </c>
      <c r="AA256" s="62">
        <v>13000</v>
      </c>
      <c r="AB256" s="62">
        <v>13000</v>
      </c>
      <c r="AC256" s="61">
        <f t="shared" si="4"/>
        <v>312000</v>
      </c>
      <c r="AD256" s="107"/>
    </row>
    <row r="257" spans="1:30" ht="15.75" thickBot="1" x14ac:dyDescent="0.3">
      <c r="A257" s="49">
        <v>2032</v>
      </c>
      <c r="B257" s="50">
        <v>9</v>
      </c>
      <c r="C257" s="50">
        <v>4</v>
      </c>
      <c r="D257" s="51" t="s">
        <v>134</v>
      </c>
      <c r="E257" s="62">
        <v>13000</v>
      </c>
      <c r="F257" s="62">
        <v>13000</v>
      </c>
      <c r="G257" s="62">
        <v>13000</v>
      </c>
      <c r="H257" s="62">
        <v>13000</v>
      </c>
      <c r="I257" s="62">
        <v>13000</v>
      </c>
      <c r="J257" s="62">
        <v>13000</v>
      </c>
      <c r="K257" s="62">
        <v>13000</v>
      </c>
      <c r="L257" s="62">
        <v>13000</v>
      </c>
      <c r="M257" s="62">
        <v>13000</v>
      </c>
      <c r="N257" s="62">
        <v>13000</v>
      </c>
      <c r="O257" s="62">
        <v>13000</v>
      </c>
      <c r="P257" s="62">
        <v>13000</v>
      </c>
      <c r="Q257" s="62">
        <v>13000</v>
      </c>
      <c r="R257" s="62">
        <v>13000</v>
      </c>
      <c r="S257" s="62">
        <v>13000</v>
      </c>
      <c r="T257" s="62">
        <v>13000</v>
      </c>
      <c r="U257" s="62">
        <v>13000</v>
      </c>
      <c r="V257" s="62">
        <v>13000</v>
      </c>
      <c r="W257" s="62">
        <v>13000</v>
      </c>
      <c r="X257" s="62">
        <v>13000</v>
      </c>
      <c r="Y257" s="62">
        <v>13000</v>
      </c>
      <c r="Z257" s="62">
        <v>13000</v>
      </c>
      <c r="AA257" s="62">
        <v>13000</v>
      </c>
      <c r="AB257" s="62">
        <v>13000</v>
      </c>
      <c r="AC257" s="53">
        <f t="shared" si="4"/>
        <v>312000</v>
      </c>
      <c r="AD257" s="105">
        <f>+SUMPRODUCT(AC257:AC259,C257:C259)</f>
        <v>9360000</v>
      </c>
    </row>
    <row r="258" spans="1:30" ht="15.75" thickBot="1" x14ac:dyDescent="0.3">
      <c r="A258" s="54">
        <v>2032</v>
      </c>
      <c r="B258" s="55">
        <v>9</v>
      </c>
      <c r="C258" s="55">
        <v>22</v>
      </c>
      <c r="D258" s="56" t="s">
        <v>135</v>
      </c>
      <c r="E258" s="62">
        <v>13000</v>
      </c>
      <c r="F258" s="62">
        <v>13000</v>
      </c>
      <c r="G258" s="62">
        <v>13000</v>
      </c>
      <c r="H258" s="62">
        <v>13000</v>
      </c>
      <c r="I258" s="62">
        <v>13000</v>
      </c>
      <c r="J258" s="62">
        <v>13000</v>
      </c>
      <c r="K258" s="62">
        <v>13000</v>
      </c>
      <c r="L258" s="62">
        <v>13000</v>
      </c>
      <c r="M258" s="62">
        <v>13000</v>
      </c>
      <c r="N258" s="62">
        <v>13000</v>
      </c>
      <c r="O258" s="62">
        <v>13000</v>
      </c>
      <c r="P258" s="62">
        <v>13000</v>
      </c>
      <c r="Q258" s="62">
        <v>13000</v>
      </c>
      <c r="R258" s="62">
        <v>13000</v>
      </c>
      <c r="S258" s="62">
        <v>13000</v>
      </c>
      <c r="T258" s="62">
        <v>13000</v>
      </c>
      <c r="U258" s="62">
        <v>13000</v>
      </c>
      <c r="V258" s="62">
        <v>13000</v>
      </c>
      <c r="W258" s="62">
        <v>13000</v>
      </c>
      <c r="X258" s="62">
        <v>13000</v>
      </c>
      <c r="Y258" s="62">
        <v>13000</v>
      </c>
      <c r="Z258" s="62">
        <v>13000</v>
      </c>
      <c r="AA258" s="62">
        <v>13000</v>
      </c>
      <c r="AB258" s="62">
        <v>13000</v>
      </c>
      <c r="AC258" s="57">
        <f t="shared" si="4"/>
        <v>312000</v>
      </c>
      <c r="AD258" s="106"/>
    </row>
    <row r="259" spans="1:30" ht="15.75" thickBot="1" x14ac:dyDescent="0.3">
      <c r="A259" s="58">
        <v>2032</v>
      </c>
      <c r="B259" s="59">
        <v>9</v>
      </c>
      <c r="C259" s="59">
        <v>4</v>
      </c>
      <c r="D259" s="60" t="s">
        <v>136</v>
      </c>
      <c r="E259" s="62">
        <v>13000</v>
      </c>
      <c r="F259" s="62">
        <v>13000</v>
      </c>
      <c r="G259" s="62">
        <v>13000</v>
      </c>
      <c r="H259" s="62">
        <v>13000</v>
      </c>
      <c r="I259" s="62">
        <v>13000</v>
      </c>
      <c r="J259" s="62">
        <v>13000</v>
      </c>
      <c r="K259" s="62">
        <v>13000</v>
      </c>
      <c r="L259" s="62">
        <v>13000</v>
      </c>
      <c r="M259" s="62">
        <v>13000</v>
      </c>
      <c r="N259" s="62">
        <v>13000</v>
      </c>
      <c r="O259" s="62">
        <v>13000</v>
      </c>
      <c r="P259" s="62">
        <v>13000</v>
      </c>
      <c r="Q259" s="62">
        <v>13000</v>
      </c>
      <c r="R259" s="62">
        <v>13000</v>
      </c>
      <c r="S259" s="62">
        <v>13000</v>
      </c>
      <c r="T259" s="62">
        <v>13000</v>
      </c>
      <c r="U259" s="62">
        <v>13000</v>
      </c>
      <c r="V259" s="62">
        <v>13000</v>
      </c>
      <c r="W259" s="62">
        <v>13000</v>
      </c>
      <c r="X259" s="62">
        <v>13000</v>
      </c>
      <c r="Y259" s="62">
        <v>13000</v>
      </c>
      <c r="Z259" s="62">
        <v>13000</v>
      </c>
      <c r="AA259" s="62">
        <v>13000</v>
      </c>
      <c r="AB259" s="62">
        <v>13000</v>
      </c>
      <c r="AC259" s="61">
        <f t="shared" si="4"/>
        <v>312000</v>
      </c>
      <c r="AD259" s="107"/>
    </row>
    <row r="260" spans="1:30" ht="15.75" thickBot="1" x14ac:dyDescent="0.3">
      <c r="A260" s="49">
        <v>2032</v>
      </c>
      <c r="B260" s="50">
        <v>10</v>
      </c>
      <c r="C260" s="50">
        <v>6</v>
      </c>
      <c r="D260" s="51" t="s">
        <v>134</v>
      </c>
      <c r="E260" s="62">
        <v>13000</v>
      </c>
      <c r="F260" s="62">
        <v>13000</v>
      </c>
      <c r="G260" s="62">
        <v>13000</v>
      </c>
      <c r="H260" s="62">
        <v>13000</v>
      </c>
      <c r="I260" s="62">
        <v>13000</v>
      </c>
      <c r="J260" s="62">
        <v>13000</v>
      </c>
      <c r="K260" s="62">
        <v>13000</v>
      </c>
      <c r="L260" s="62">
        <v>13000</v>
      </c>
      <c r="M260" s="62">
        <v>13000</v>
      </c>
      <c r="N260" s="62">
        <v>13000</v>
      </c>
      <c r="O260" s="62">
        <v>13000</v>
      </c>
      <c r="P260" s="62">
        <v>13000</v>
      </c>
      <c r="Q260" s="62">
        <v>13000</v>
      </c>
      <c r="R260" s="62">
        <v>13000</v>
      </c>
      <c r="S260" s="62">
        <v>13000</v>
      </c>
      <c r="T260" s="62">
        <v>13000</v>
      </c>
      <c r="U260" s="62">
        <v>13000</v>
      </c>
      <c r="V260" s="62">
        <v>13000</v>
      </c>
      <c r="W260" s="62">
        <v>13000</v>
      </c>
      <c r="X260" s="62">
        <v>13000</v>
      </c>
      <c r="Y260" s="62">
        <v>13000</v>
      </c>
      <c r="Z260" s="62">
        <v>13000</v>
      </c>
      <c r="AA260" s="62">
        <v>13000</v>
      </c>
      <c r="AB260" s="62">
        <v>13000</v>
      </c>
      <c r="AC260" s="53">
        <f t="shared" si="4"/>
        <v>312000</v>
      </c>
      <c r="AD260" s="105">
        <f>+SUMPRODUCT(AC260:AC262,C260:C262)</f>
        <v>9672000</v>
      </c>
    </row>
    <row r="261" spans="1:30" ht="15.75" thickBot="1" x14ac:dyDescent="0.3">
      <c r="A261" s="54">
        <v>2032</v>
      </c>
      <c r="B261" s="55">
        <v>10</v>
      </c>
      <c r="C261" s="55">
        <v>20</v>
      </c>
      <c r="D261" s="56" t="s">
        <v>135</v>
      </c>
      <c r="E261" s="62">
        <v>13000</v>
      </c>
      <c r="F261" s="62">
        <v>13000</v>
      </c>
      <c r="G261" s="62">
        <v>13000</v>
      </c>
      <c r="H261" s="62">
        <v>13000</v>
      </c>
      <c r="I261" s="62">
        <v>13000</v>
      </c>
      <c r="J261" s="62">
        <v>13000</v>
      </c>
      <c r="K261" s="62">
        <v>13000</v>
      </c>
      <c r="L261" s="62">
        <v>13000</v>
      </c>
      <c r="M261" s="62">
        <v>13000</v>
      </c>
      <c r="N261" s="62">
        <v>13000</v>
      </c>
      <c r="O261" s="62">
        <v>13000</v>
      </c>
      <c r="P261" s="62">
        <v>13000</v>
      </c>
      <c r="Q261" s="62">
        <v>13000</v>
      </c>
      <c r="R261" s="62">
        <v>13000</v>
      </c>
      <c r="S261" s="62">
        <v>13000</v>
      </c>
      <c r="T261" s="62">
        <v>13000</v>
      </c>
      <c r="U261" s="62">
        <v>13000</v>
      </c>
      <c r="V261" s="62">
        <v>13000</v>
      </c>
      <c r="W261" s="62">
        <v>13000</v>
      </c>
      <c r="X261" s="62">
        <v>13000</v>
      </c>
      <c r="Y261" s="62">
        <v>13000</v>
      </c>
      <c r="Z261" s="62">
        <v>13000</v>
      </c>
      <c r="AA261" s="62">
        <v>13000</v>
      </c>
      <c r="AB261" s="62">
        <v>13000</v>
      </c>
      <c r="AC261" s="57">
        <f t="shared" si="4"/>
        <v>312000</v>
      </c>
      <c r="AD261" s="106"/>
    </row>
    <row r="262" spans="1:30" ht="15.75" thickBot="1" x14ac:dyDescent="0.3">
      <c r="A262" s="58">
        <v>2032</v>
      </c>
      <c r="B262" s="59">
        <v>10</v>
      </c>
      <c r="C262" s="59">
        <v>5</v>
      </c>
      <c r="D262" s="60" t="s">
        <v>136</v>
      </c>
      <c r="E262" s="62">
        <v>13000</v>
      </c>
      <c r="F262" s="62">
        <v>13000</v>
      </c>
      <c r="G262" s="62">
        <v>13000</v>
      </c>
      <c r="H262" s="62">
        <v>13000</v>
      </c>
      <c r="I262" s="62">
        <v>13000</v>
      </c>
      <c r="J262" s="62">
        <v>13000</v>
      </c>
      <c r="K262" s="62">
        <v>13000</v>
      </c>
      <c r="L262" s="62">
        <v>13000</v>
      </c>
      <c r="M262" s="62">
        <v>13000</v>
      </c>
      <c r="N262" s="62">
        <v>13000</v>
      </c>
      <c r="O262" s="62">
        <v>13000</v>
      </c>
      <c r="P262" s="62">
        <v>13000</v>
      </c>
      <c r="Q262" s="62">
        <v>13000</v>
      </c>
      <c r="R262" s="62">
        <v>13000</v>
      </c>
      <c r="S262" s="62">
        <v>13000</v>
      </c>
      <c r="T262" s="62">
        <v>13000</v>
      </c>
      <c r="U262" s="62">
        <v>13000</v>
      </c>
      <c r="V262" s="62">
        <v>13000</v>
      </c>
      <c r="W262" s="62">
        <v>13000</v>
      </c>
      <c r="X262" s="62">
        <v>13000</v>
      </c>
      <c r="Y262" s="62">
        <v>13000</v>
      </c>
      <c r="Z262" s="62">
        <v>13000</v>
      </c>
      <c r="AA262" s="62">
        <v>13000</v>
      </c>
      <c r="AB262" s="62">
        <v>13000</v>
      </c>
      <c r="AC262" s="61">
        <f t="shared" si="4"/>
        <v>312000</v>
      </c>
      <c r="AD262" s="107"/>
    </row>
    <row r="263" spans="1:30" ht="15.75" thickBot="1" x14ac:dyDescent="0.3">
      <c r="A263" s="49">
        <v>2032</v>
      </c>
      <c r="B263" s="50">
        <v>11</v>
      </c>
      <c r="C263" s="50">
        <v>6</v>
      </c>
      <c r="D263" s="51" t="s">
        <v>134</v>
      </c>
      <c r="E263" s="62">
        <v>13000</v>
      </c>
      <c r="F263" s="62">
        <v>13000</v>
      </c>
      <c r="G263" s="62">
        <v>13000</v>
      </c>
      <c r="H263" s="62">
        <v>13000</v>
      </c>
      <c r="I263" s="62">
        <v>13000</v>
      </c>
      <c r="J263" s="62">
        <v>13000</v>
      </c>
      <c r="K263" s="62">
        <v>13000</v>
      </c>
      <c r="L263" s="62">
        <v>13000</v>
      </c>
      <c r="M263" s="62">
        <v>13000</v>
      </c>
      <c r="N263" s="62">
        <v>13000</v>
      </c>
      <c r="O263" s="62">
        <v>13000</v>
      </c>
      <c r="P263" s="62">
        <v>13000</v>
      </c>
      <c r="Q263" s="62">
        <v>13000</v>
      </c>
      <c r="R263" s="62">
        <v>13000</v>
      </c>
      <c r="S263" s="62">
        <v>13000</v>
      </c>
      <c r="T263" s="62">
        <v>13000</v>
      </c>
      <c r="U263" s="62">
        <v>13000</v>
      </c>
      <c r="V263" s="62">
        <v>13000</v>
      </c>
      <c r="W263" s="62">
        <v>13000</v>
      </c>
      <c r="X263" s="62">
        <v>13000</v>
      </c>
      <c r="Y263" s="62">
        <v>13000</v>
      </c>
      <c r="Z263" s="62">
        <v>13000</v>
      </c>
      <c r="AA263" s="62">
        <v>13000</v>
      </c>
      <c r="AB263" s="62">
        <v>13000</v>
      </c>
      <c r="AC263" s="53">
        <f t="shared" si="4"/>
        <v>312000</v>
      </c>
      <c r="AD263" s="105">
        <f>+SUMPRODUCT(AC263:AC265,C263:C265)</f>
        <v>9360000</v>
      </c>
    </row>
    <row r="264" spans="1:30" ht="15.75" thickBot="1" x14ac:dyDescent="0.3">
      <c r="A264" s="54">
        <v>2032</v>
      </c>
      <c r="B264" s="55">
        <v>11</v>
      </c>
      <c r="C264" s="55">
        <v>20</v>
      </c>
      <c r="D264" s="56" t="s">
        <v>135</v>
      </c>
      <c r="E264" s="62">
        <v>13000</v>
      </c>
      <c r="F264" s="62">
        <v>13000</v>
      </c>
      <c r="G264" s="62">
        <v>13000</v>
      </c>
      <c r="H264" s="62">
        <v>13000</v>
      </c>
      <c r="I264" s="62">
        <v>13000</v>
      </c>
      <c r="J264" s="62">
        <v>13000</v>
      </c>
      <c r="K264" s="62">
        <v>13000</v>
      </c>
      <c r="L264" s="62">
        <v>13000</v>
      </c>
      <c r="M264" s="62">
        <v>13000</v>
      </c>
      <c r="N264" s="62">
        <v>13000</v>
      </c>
      <c r="O264" s="62">
        <v>13000</v>
      </c>
      <c r="P264" s="62">
        <v>13000</v>
      </c>
      <c r="Q264" s="62">
        <v>13000</v>
      </c>
      <c r="R264" s="62">
        <v>13000</v>
      </c>
      <c r="S264" s="62">
        <v>13000</v>
      </c>
      <c r="T264" s="62">
        <v>13000</v>
      </c>
      <c r="U264" s="62">
        <v>13000</v>
      </c>
      <c r="V264" s="62">
        <v>13000</v>
      </c>
      <c r="W264" s="62">
        <v>13000</v>
      </c>
      <c r="X264" s="62">
        <v>13000</v>
      </c>
      <c r="Y264" s="62">
        <v>13000</v>
      </c>
      <c r="Z264" s="62">
        <v>13000</v>
      </c>
      <c r="AA264" s="62">
        <v>13000</v>
      </c>
      <c r="AB264" s="62">
        <v>13000</v>
      </c>
      <c r="AC264" s="57">
        <f t="shared" si="4"/>
        <v>312000</v>
      </c>
      <c r="AD264" s="106"/>
    </row>
    <row r="265" spans="1:30" ht="15.75" thickBot="1" x14ac:dyDescent="0.3">
      <c r="A265" s="58">
        <v>2032</v>
      </c>
      <c r="B265" s="59">
        <v>11</v>
      </c>
      <c r="C265" s="59">
        <v>4</v>
      </c>
      <c r="D265" s="60" t="s">
        <v>136</v>
      </c>
      <c r="E265" s="62">
        <v>13000</v>
      </c>
      <c r="F265" s="62">
        <v>13000</v>
      </c>
      <c r="G265" s="62">
        <v>13000</v>
      </c>
      <c r="H265" s="62">
        <v>13000</v>
      </c>
      <c r="I265" s="62">
        <v>13000</v>
      </c>
      <c r="J265" s="62">
        <v>13000</v>
      </c>
      <c r="K265" s="62">
        <v>13000</v>
      </c>
      <c r="L265" s="62">
        <v>13000</v>
      </c>
      <c r="M265" s="62">
        <v>13000</v>
      </c>
      <c r="N265" s="62">
        <v>13000</v>
      </c>
      <c r="O265" s="62">
        <v>13000</v>
      </c>
      <c r="P265" s="62">
        <v>13000</v>
      </c>
      <c r="Q265" s="62">
        <v>13000</v>
      </c>
      <c r="R265" s="62">
        <v>13000</v>
      </c>
      <c r="S265" s="62">
        <v>13000</v>
      </c>
      <c r="T265" s="62">
        <v>13000</v>
      </c>
      <c r="U265" s="62">
        <v>13000</v>
      </c>
      <c r="V265" s="62">
        <v>13000</v>
      </c>
      <c r="W265" s="62">
        <v>13000</v>
      </c>
      <c r="X265" s="62">
        <v>13000</v>
      </c>
      <c r="Y265" s="62">
        <v>13000</v>
      </c>
      <c r="Z265" s="62">
        <v>13000</v>
      </c>
      <c r="AA265" s="62">
        <v>13000</v>
      </c>
      <c r="AB265" s="62">
        <v>13000</v>
      </c>
      <c r="AC265" s="61">
        <f t="shared" si="4"/>
        <v>312000</v>
      </c>
      <c r="AD265" s="107"/>
    </row>
    <row r="266" spans="1:30" ht="15.75" thickBot="1" x14ac:dyDescent="0.3">
      <c r="A266" s="49">
        <v>2032</v>
      </c>
      <c r="B266" s="50">
        <v>12</v>
      </c>
      <c r="C266" s="50">
        <v>6</v>
      </c>
      <c r="D266" s="51" t="s">
        <v>134</v>
      </c>
      <c r="E266" s="62">
        <v>13000</v>
      </c>
      <c r="F266" s="62">
        <v>13000</v>
      </c>
      <c r="G266" s="62">
        <v>13000</v>
      </c>
      <c r="H266" s="62">
        <v>13000</v>
      </c>
      <c r="I266" s="62">
        <v>13000</v>
      </c>
      <c r="J266" s="62">
        <v>13000</v>
      </c>
      <c r="K266" s="62">
        <v>13000</v>
      </c>
      <c r="L266" s="62">
        <v>13000</v>
      </c>
      <c r="M266" s="62">
        <v>13000</v>
      </c>
      <c r="N266" s="62">
        <v>13000</v>
      </c>
      <c r="O266" s="62">
        <v>13000</v>
      </c>
      <c r="P266" s="62">
        <v>13000</v>
      </c>
      <c r="Q266" s="62">
        <v>13000</v>
      </c>
      <c r="R266" s="62">
        <v>13000</v>
      </c>
      <c r="S266" s="62">
        <v>13000</v>
      </c>
      <c r="T266" s="62">
        <v>13000</v>
      </c>
      <c r="U266" s="62">
        <v>13000</v>
      </c>
      <c r="V266" s="62">
        <v>13000</v>
      </c>
      <c r="W266" s="62">
        <v>13000</v>
      </c>
      <c r="X266" s="62">
        <v>13000</v>
      </c>
      <c r="Y266" s="62">
        <v>13000</v>
      </c>
      <c r="Z266" s="62">
        <v>13000</v>
      </c>
      <c r="AA266" s="62">
        <v>13000</v>
      </c>
      <c r="AB266" s="62">
        <v>13000</v>
      </c>
      <c r="AC266" s="53">
        <f t="shared" si="4"/>
        <v>312000</v>
      </c>
      <c r="AD266" s="105">
        <f>+SUMPRODUCT(AC266:AC268,C266:C268)</f>
        <v>9672000</v>
      </c>
    </row>
    <row r="267" spans="1:30" ht="15.75" thickBot="1" x14ac:dyDescent="0.3">
      <c r="A267" s="54">
        <v>2032</v>
      </c>
      <c r="B267" s="55">
        <v>12</v>
      </c>
      <c r="C267" s="55">
        <v>22</v>
      </c>
      <c r="D267" s="56" t="s">
        <v>135</v>
      </c>
      <c r="E267" s="62">
        <v>13000</v>
      </c>
      <c r="F267" s="62">
        <v>13000</v>
      </c>
      <c r="G267" s="62">
        <v>13000</v>
      </c>
      <c r="H267" s="62">
        <v>13000</v>
      </c>
      <c r="I267" s="62">
        <v>13000</v>
      </c>
      <c r="J267" s="62">
        <v>13000</v>
      </c>
      <c r="K267" s="62">
        <v>13000</v>
      </c>
      <c r="L267" s="62">
        <v>13000</v>
      </c>
      <c r="M267" s="62">
        <v>13000</v>
      </c>
      <c r="N267" s="62">
        <v>13000</v>
      </c>
      <c r="O267" s="62">
        <v>13000</v>
      </c>
      <c r="P267" s="62">
        <v>13000</v>
      </c>
      <c r="Q267" s="62">
        <v>13000</v>
      </c>
      <c r="R267" s="62">
        <v>13000</v>
      </c>
      <c r="S267" s="62">
        <v>13000</v>
      </c>
      <c r="T267" s="62">
        <v>13000</v>
      </c>
      <c r="U267" s="62">
        <v>13000</v>
      </c>
      <c r="V267" s="62">
        <v>13000</v>
      </c>
      <c r="W267" s="62">
        <v>13000</v>
      </c>
      <c r="X267" s="62">
        <v>13000</v>
      </c>
      <c r="Y267" s="62">
        <v>13000</v>
      </c>
      <c r="Z267" s="62">
        <v>13000</v>
      </c>
      <c r="AA267" s="62">
        <v>13000</v>
      </c>
      <c r="AB267" s="62">
        <v>13000</v>
      </c>
      <c r="AC267" s="57">
        <f t="shared" si="4"/>
        <v>312000</v>
      </c>
      <c r="AD267" s="106"/>
    </row>
    <row r="268" spans="1:30" ht="15.75" thickBot="1" x14ac:dyDescent="0.3">
      <c r="A268" s="58">
        <v>2032</v>
      </c>
      <c r="B268" s="59">
        <v>12</v>
      </c>
      <c r="C268" s="59">
        <v>3</v>
      </c>
      <c r="D268" s="60" t="s">
        <v>136</v>
      </c>
      <c r="E268" s="62">
        <v>13000</v>
      </c>
      <c r="F268" s="62">
        <v>13000</v>
      </c>
      <c r="G268" s="62">
        <v>13000</v>
      </c>
      <c r="H268" s="62">
        <v>13000</v>
      </c>
      <c r="I268" s="62">
        <v>13000</v>
      </c>
      <c r="J268" s="62">
        <v>13000</v>
      </c>
      <c r="K268" s="62">
        <v>13000</v>
      </c>
      <c r="L268" s="62">
        <v>13000</v>
      </c>
      <c r="M268" s="62">
        <v>13000</v>
      </c>
      <c r="N268" s="62">
        <v>13000</v>
      </c>
      <c r="O268" s="62">
        <v>13000</v>
      </c>
      <c r="P268" s="62">
        <v>13000</v>
      </c>
      <c r="Q268" s="62">
        <v>13000</v>
      </c>
      <c r="R268" s="62">
        <v>13000</v>
      </c>
      <c r="S268" s="62">
        <v>13000</v>
      </c>
      <c r="T268" s="62">
        <v>13000</v>
      </c>
      <c r="U268" s="62">
        <v>13000</v>
      </c>
      <c r="V268" s="62">
        <v>13000</v>
      </c>
      <c r="W268" s="62">
        <v>13000</v>
      </c>
      <c r="X268" s="62">
        <v>13000</v>
      </c>
      <c r="Y268" s="62">
        <v>13000</v>
      </c>
      <c r="Z268" s="62">
        <v>13000</v>
      </c>
      <c r="AA268" s="62">
        <v>13000</v>
      </c>
      <c r="AB268" s="62">
        <v>13000</v>
      </c>
      <c r="AC268" s="61">
        <f t="shared" si="4"/>
        <v>312000</v>
      </c>
      <c r="AD268" s="107"/>
    </row>
    <row r="269" spans="1:30" ht="15.75" thickBot="1" x14ac:dyDescent="0.3">
      <c r="A269" s="49">
        <v>2033</v>
      </c>
      <c r="B269" s="50">
        <v>1</v>
      </c>
      <c r="C269" s="50">
        <v>7</v>
      </c>
      <c r="D269" s="51" t="s">
        <v>134</v>
      </c>
      <c r="E269" s="62">
        <v>13000</v>
      </c>
      <c r="F269" s="62">
        <v>13000</v>
      </c>
      <c r="G269" s="62">
        <v>13000</v>
      </c>
      <c r="H269" s="62">
        <v>13000</v>
      </c>
      <c r="I269" s="62">
        <v>13000</v>
      </c>
      <c r="J269" s="62">
        <v>13000</v>
      </c>
      <c r="K269" s="62">
        <v>13000</v>
      </c>
      <c r="L269" s="62">
        <v>13000</v>
      </c>
      <c r="M269" s="62">
        <v>13000</v>
      </c>
      <c r="N269" s="62">
        <v>13000</v>
      </c>
      <c r="O269" s="62">
        <v>13000</v>
      </c>
      <c r="P269" s="62">
        <v>13000</v>
      </c>
      <c r="Q269" s="62">
        <v>13000</v>
      </c>
      <c r="R269" s="62">
        <v>13000</v>
      </c>
      <c r="S269" s="62">
        <v>13000</v>
      </c>
      <c r="T269" s="62">
        <v>13000</v>
      </c>
      <c r="U269" s="62">
        <v>13000</v>
      </c>
      <c r="V269" s="62">
        <v>13000</v>
      </c>
      <c r="W269" s="62">
        <v>13000</v>
      </c>
      <c r="X269" s="62">
        <v>13000</v>
      </c>
      <c r="Y269" s="62">
        <v>13000</v>
      </c>
      <c r="Z269" s="62">
        <v>13000</v>
      </c>
      <c r="AA269" s="62">
        <v>13000</v>
      </c>
      <c r="AB269" s="62">
        <v>13000</v>
      </c>
      <c r="AC269" s="53">
        <f t="shared" si="4"/>
        <v>312000</v>
      </c>
      <c r="AD269" s="105">
        <f>+SUMPRODUCT(AC269:AC271,C269:C271)</f>
        <v>9672000</v>
      </c>
    </row>
    <row r="270" spans="1:30" ht="15.75" thickBot="1" x14ac:dyDescent="0.3">
      <c r="A270" s="54">
        <v>2033</v>
      </c>
      <c r="B270" s="55">
        <v>1</v>
      </c>
      <c r="C270" s="55">
        <v>20</v>
      </c>
      <c r="D270" s="56" t="s">
        <v>135</v>
      </c>
      <c r="E270" s="62">
        <v>13000</v>
      </c>
      <c r="F270" s="62">
        <v>13000</v>
      </c>
      <c r="G270" s="62">
        <v>13000</v>
      </c>
      <c r="H270" s="62">
        <v>13000</v>
      </c>
      <c r="I270" s="62">
        <v>13000</v>
      </c>
      <c r="J270" s="62">
        <v>13000</v>
      </c>
      <c r="K270" s="62">
        <v>13000</v>
      </c>
      <c r="L270" s="62">
        <v>13000</v>
      </c>
      <c r="M270" s="62">
        <v>13000</v>
      </c>
      <c r="N270" s="62">
        <v>13000</v>
      </c>
      <c r="O270" s="62">
        <v>13000</v>
      </c>
      <c r="P270" s="62">
        <v>13000</v>
      </c>
      <c r="Q270" s="62">
        <v>13000</v>
      </c>
      <c r="R270" s="62">
        <v>13000</v>
      </c>
      <c r="S270" s="62">
        <v>13000</v>
      </c>
      <c r="T270" s="62">
        <v>13000</v>
      </c>
      <c r="U270" s="62">
        <v>13000</v>
      </c>
      <c r="V270" s="62">
        <v>13000</v>
      </c>
      <c r="W270" s="62">
        <v>13000</v>
      </c>
      <c r="X270" s="62">
        <v>13000</v>
      </c>
      <c r="Y270" s="62">
        <v>13000</v>
      </c>
      <c r="Z270" s="62">
        <v>13000</v>
      </c>
      <c r="AA270" s="62">
        <v>13000</v>
      </c>
      <c r="AB270" s="62">
        <v>13000</v>
      </c>
      <c r="AC270" s="57">
        <f t="shared" si="4"/>
        <v>312000</v>
      </c>
      <c r="AD270" s="106"/>
    </row>
    <row r="271" spans="1:30" ht="15.75" thickBot="1" x14ac:dyDescent="0.3">
      <c r="A271" s="58">
        <v>2033</v>
      </c>
      <c r="B271" s="59">
        <v>1</v>
      </c>
      <c r="C271" s="59">
        <v>4</v>
      </c>
      <c r="D271" s="60" t="s">
        <v>136</v>
      </c>
      <c r="E271" s="62">
        <v>13000</v>
      </c>
      <c r="F271" s="62">
        <v>13000</v>
      </c>
      <c r="G271" s="62">
        <v>13000</v>
      </c>
      <c r="H271" s="62">
        <v>13000</v>
      </c>
      <c r="I271" s="62">
        <v>13000</v>
      </c>
      <c r="J271" s="62">
        <v>13000</v>
      </c>
      <c r="K271" s="62">
        <v>13000</v>
      </c>
      <c r="L271" s="62">
        <v>13000</v>
      </c>
      <c r="M271" s="62">
        <v>13000</v>
      </c>
      <c r="N271" s="62">
        <v>13000</v>
      </c>
      <c r="O271" s="62">
        <v>13000</v>
      </c>
      <c r="P271" s="62">
        <v>13000</v>
      </c>
      <c r="Q271" s="62">
        <v>13000</v>
      </c>
      <c r="R271" s="62">
        <v>13000</v>
      </c>
      <c r="S271" s="62">
        <v>13000</v>
      </c>
      <c r="T271" s="62">
        <v>13000</v>
      </c>
      <c r="U271" s="62">
        <v>13000</v>
      </c>
      <c r="V271" s="62">
        <v>13000</v>
      </c>
      <c r="W271" s="62">
        <v>13000</v>
      </c>
      <c r="X271" s="62">
        <v>13000</v>
      </c>
      <c r="Y271" s="62">
        <v>13000</v>
      </c>
      <c r="Z271" s="62">
        <v>13000</v>
      </c>
      <c r="AA271" s="62">
        <v>13000</v>
      </c>
      <c r="AB271" s="62">
        <v>13000</v>
      </c>
      <c r="AC271" s="61">
        <f t="shared" si="4"/>
        <v>312000</v>
      </c>
      <c r="AD271" s="107"/>
    </row>
    <row r="272" spans="1:30" ht="15.75" thickBot="1" x14ac:dyDescent="0.3">
      <c r="A272" s="49">
        <v>2033</v>
      </c>
      <c r="B272" s="50">
        <v>2</v>
      </c>
      <c r="C272" s="50">
        <v>4</v>
      </c>
      <c r="D272" s="51" t="s">
        <v>134</v>
      </c>
      <c r="E272" s="62">
        <v>13000</v>
      </c>
      <c r="F272" s="62">
        <v>13000</v>
      </c>
      <c r="G272" s="62">
        <v>13000</v>
      </c>
      <c r="H272" s="62">
        <v>13000</v>
      </c>
      <c r="I272" s="62">
        <v>13000</v>
      </c>
      <c r="J272" s="62">
        <v>13000</v>
      </c>
      <c r="K272" s="62">
        <v>13000</v>
      </c>
      <c r="L272" s="62">
        <v>13000</v>
      </c>
      <c r="M272" s="62">
        <v>13000</v>
      </c>
      <c r="N272" s="62">
        <v>13000</v>
      </c>
      <c r="O272" s="62">
        <v>13000</v>
      </c>
      <c r="P272" s="62">
        <v>13000</v>
      </c>
      <c r="Q272" s="62">
        <v>13000</v>
      </c>
      <c r="R272" s="62">
        <v>13000</v>
      </c>
      <c r="S272" s="62">
        <v>13000</v>
      </c>
      <c r="T272" s="62">
        <v>13000</v>
      </c>
      <c r="U272" s="62">
        <v>13000</v>
      </c>
      <c r="V272" s="62">
        <v>13000</v>
      </c>
      <c r="W272" s="62">
        <v>13000</v>
      </c>
      <c r="X272" s="62">
        <v>13000</v>
      </c>
      <c r="Y272" s="62">
        <v>13000</v>
      </c>
      <c r="Z272" s="62">
        <v>13000</v>
      </c>
      <c r="AA272" s="62">
        <v>13000</v>
      </c>
      <c r="AB272" s="62">
        <v>13000</v>
      </c>
      <c r="AC272" s="53">
        <f t="shared" si="4"/>
        <v>312000</v>
      </c>
      <c r="AD272" s="105">
        <f>+SUMPRODUCT(AC272:AC274,C272:C274)</f>
        <v>8736000</v>
      </c>
    </row>
    <row r="273" spans="1:30" ht="15.75" thickBot="1" x14ac:dyDescent="0.3">
      <c r="A273" s="54">
        <v>2033</v>
      </c>
      <c r="B273" s="55">
        <v>2</v>
      </c>
      <c r="C273" s="55">
        <v>20</v>
      </c>
      <c r="D273" s="56" t="s">
        <v>135</v>
      </c>
      <c r="E273" s="62">
        <v>13000</v>
      </c>
      <c r="F273" s="62">
        <v>13000</v>
      </c>
      <c r="G273" s="62">
        <v>13000</v>
      </c>
      <c r="H273" s="62">
        <v>13000</v>
      </c>
      <c r="I273" s="62">
        <v>13000</v>
      </c>
      <c r="J273" s="62">
        <v>13000</v>
      </c>
      <c r="K273" s="62">
        <v>13000</v>
      </c>
      <c r="L273" s="62">
        <v>13000</v>
      </c>
      <c r="M273" s="62">
        <v>13000</v>
      </c>
      <c r="N273" s="62">
        <v>13000</v>
      </c>
      <c r="O273" s="62">
        <v>13000</v>
      </c>
      <c r="P273" s="62">
        <v>13000</v>
      </c>
      <c r="Q273" s="62">
        <v>13000</v>
      </c>
      <c r="R273" s="62">
        <v>13000</v>
      </c>
      <c r="S273" s="62">
        <v>13000</v>
      </c>
      <c r="T273" s="62">
        <v>13000</v>
      </c>
      <c r="U273" s="62">
        <v>13000</v>
      </c>
      <c r="V273" s="62">
        <v>13000</v>
      </c>
      <c r="W273" s="62">
        <v>13000</v>
      </c>
      <c r="X273" s="62">
        <v>13000</v>
      </c>
      <c r="Y273" s="62">
        <v>13000</v>
      </c>
      <c r="Z273" s="62">
        <v>13000</v>
      </c>
      <c r="AA273" s="62">
        <v>13000</v>
      </c>
      <c r="AB273" s="62">
        <v>13000</v>
      </c>
      <c r="AC273" s="57">
        <f t="shared" si="4"/>
        <v>312000</v>
      </c>
      <c r="AD273" s="106"/>
    </row>
    <row r="274" spans="1:30" ht="15.75" thickBot="1" x14ac:dyDescent="0.3">
      <c r="A274" s="58">
        <v>2033</v>
      </c>
      <c r="B274" s="59">
        <v>2</v>
      </c>
      <c r="C274" s="59">
        <v>4</v>
      </c>
      <c r="D274" s="60" t="s">
        <v>136</v>
      </c>
      <c r="E274" s="62">
        <v>13000</v>
      </c>
      <c r="F274" s="62">
        <v>13000</v>
      </c>
      <c r="G274" s="62">
        <v>13000</v>
      </c>
      <c r="H274" s="62">
        <v>13000</v>
      </c>
      <c r="I274" s="62">
        <v>13000</v>
      </c>
      <c r="J274" s="62">
        <v>13000</v>
      </c>
      <c r="K274" s="62">
        <v>13000</v>
      </c>
      <c r="L274" s="62">
        <v>13000</v>
      </c>
      <c r="M274" s="62">
        <v>13000</v>
      </c>
      <c r="N274" s="62">
        <v>13000</v>
      </c>
      <c r="O274" s="62">
        <v>13000</v>
      </c>
      <c r="P274" s="62">
        <v>13000</v>
      </c>
      <c r="Q274" s="62">
        <v>13000</v>
      </c>
      <c r="R274" s="62">
        <v>13000</v>
      </c>
      <c r="S274" s="62">
        <v>13000</v>
      </c>
      <c r="T274" s="62">
        <v>13000</v>
      </c>
      <c r="U274" s="62">
        <v>13000</v>
      </c>
      <c r="V274" s="62">
        <v>13000</v>
      </c>
      <c r="W274" s="62">
        <v>13000</v>
      </c>
      <c r="X274" s="62">
        <v>13000</v>
      </c>
      <c r="Y274" s="62">
        <v>13000</v>
      </c>
      <c r="Z274" s="62">
        <v>13000</v>
      </c>
      <c r="AA274" s="62">
        <v>13000</v>
      </c>
      <c r="AB274" s="62">
        <v>13000</v>
      </c>
      <c r="AC274" s="61">
        <f t="shared" si="4"/>
        <v>312000</v>
      </c>
      <c r="AD274" s="107"/>
    </row>
    <row r="275" spans="1:30" ht="15.75" thickBot="1" x14ac:dyDescent="0.3">
      <c r="A275" s="49">
        <v>2033</v>
      </c>
      <c r="B275" s="50">
        <v>3</v>
      </c>
      <c r="C275" s="50">
        <v>5</v>
      </c>
      <c r="D275" s="51" t="s">
        <v>134</v>
      </c>
      <c r="E275" s="62">
        <v>13000</v>
      </c>
      <c r="F275" s="62">
        <v>13000</v>
      </c>
      <c r="G275" s="62">
        <v>13000</v>
      </c>
      <c r="H275" s="62">
        <v>13000</v>
      </c>
      <c r="I275" s="62">
        <v>13000</v>
      </c>
      <c r="J275" s="62">
        <v>13000</v>
      </c>
      <c r="K275" s="62">
        <v>13000</v>
      </c>
      <c r="L275" s="62">
        <v>13000</v>
      </c>
      <c r="M275" s="62">
        <v>13000</v>
      </c>
      <c r="N275" s="62">
        <v>13000</v>
      </c>
      <c r="O275" s="62">
        <v>13000</v>
      </c>
      <c r="P275" s="62">
        <v>13000</v>
      </c>
      <c r="Q275" s="62">
        <v>13000</v>
      </c>
      <c r="R275" s="62">
        <v>13000</v>
      </c>
      <c r="S275" s="62">
        <v>13000</v>
      </c>
      <c r="T275" s="62">
        <v>13000</v>
      </c>
      <c r="U275" s="62">
        <v>13000</v>
      </c>
      <c r="V275" s="62">
        <v>13000</v>
      </c>
      <c r="W275" s="62">
        <v>13000</v>
      </c>
      <c r="X275" s="62">
        <v>13000</v>
      </c>
      <c r="Y275" s="62">
        <v>13000</v>
      </c>
      <c r="Z275" s="62">
        <v>13000</v>
      </c>
      <c r="AA275" s="62">
        <v>13000</v>
      </c>
      <c r="AB275" s="62">
        <v>13000</v>
      </c>
      <c r="AC275" s="53">
        <f t="shared" si="4"/>
        <v>312000</v>
      </c>
      <c r="AD275" s="105">
        <f>+SUMPRODUCT(AC275:AC277,C275:C277)</f>
        <v>9672000</v>
      </c>
    </row>
    <row r="276" spans="1:30" ht="15.75" thickBot="1" x14ac:dyDescent="0.3">
      <c r="A276" s="54">
        <v>2033</v>
      </c>
      <c r="B276" s="55">
        <v>3</v>
      </c>
      <c r="C276" s="55">
        <v>22</v>
      </c>
      <c r="D276" s="56" t="s">
        <v>135</v>
      </c>
      <c r="E276" s="62">
        <v>13000</v>
      </c>
      <c r="F276" s="62">
        <v>13000</v>
      </c>
      <c r="G276" s="62">
        <v>13000</v>
      </c>
      <c r="H276" s="62">
        <v>13000</v>
      </c>
      <c r="I276" s="62">
        <v>13000</v>
      </c>
      <c r="J276" s="62">
        <v>13000</v>
      </c>
      <c r="K276" s="62">
        <v>13000</v>
      </c>
      <c r="L276" s="62">
        <v>13000</v>
      </c>
      <c r="M276" s="62">
        <v>13000</v>
      </c>
      <c r="N276" s="62">
        <v>13000</v>
      </c>
      <c r="O276" s="62">
        <v>13000</v>
      </c>
      <c r="P276" s="62">
        <v>13000</v>
      </c>
      <c r="Q276" s="62">
        <v>13000</v>
      </c>
      <c r="R276" s="62">
        <v>13000</v>
      </c>
      <c r="S276" s="62">
        <v>13000</v>
      </c>
      <c r="T276" s="62">
        <v>13000</v>
      </c>
      <c r="U276" s="62">
        <v>13000</v>
      </c>
      <c r="V276" s="62">
        <v>13000</v>
      </c>
      <c r="W276" s="62">
        <v>13000</v>
      </c>
      <c r="X276" s="62">
        <v>13000</v>
      </c>
      <c r="Y276" s="62">
        <v>13000</v>
      </c>
      <c r="Z276" s="62">
        <v>13000</v>
      </c>
      <c r="AA276" s="62">
        <v>13000</v>
      </c>
      <c r="AB276" s="62">
        <v>13000</v>
      </c>
      <c r="AC276" s="57">
        <f t="shared" ref="AC276:AC304" si="5">+SUM(E276:AB276)</f>
        <v>312000</v>
      </c>
      <c r="AD276" s="106"/>
    </row>
    <row r="277" spans="1:30" ht="15.75" thickBot="1" x14ac:dyDescent="0.3">
      <c r="A277" s="58">
        <v>2033</v>
      </c>
      <c r="B277" s="59">
        <v>3</v>
      </c>
      <c r="C277" s="59">
        <v>4</v>
      </c>
      <c r="D277" s="60" t="s">
        <v>136</v>
      </c>
      <c r="E277" s="62">
        <v>13000</v>
      </c>
      <c r="F277" s="62">
        <v>13000</v>
      </c>
      <c r="G277" s="62">
        <v>13000</v>
      </c>
      <c r="H277" s="62">
        <v>13000</v>
      </c>
      <c r="I277" s="62">
        <v>13000</v>
      </c>
      <c r="J277" s="62">
        <v>13000</v>
      </c>
      <c r="K277" s="62">
        <v>13000</v>
      </c>
      <c r="L277" s="62">
        <v>13000</v>
      </c>
      <c r="M277" s="62">
        <v>13000</v>
      </c>
      <c r="N277" s="62">
        <v>13000</v>
      </c>
      <c r="O277" s="62">
        <v>13000</v>
      </c>
      <c r="P277" s="62">
        <v>13000</v>
      </c>
      <c r="Q277" s="62">
        <v>13000</v>
      </c>
      <c r="R277" s="62">
        <v>13000</v>
      </c>
      <c r="S277" s="62">
        <v>13000</v>
      </c>
      <c r="T277" s="62">
        <v>13000</v>
      </c>
      <c r="U277" s="62">
        <v>13000</v>
      </c>
      <c r="V277" s="62">
        <v>13000</v>
      </c>
      <c r="W277" s="62">
        <v>13000</v>
      </c>
      <c r="X277" s="62">
        <v>13000</v>
      </c>
      <c r="Y277" s="62">
        <v>13000</v>
      </c>
      <c r="Z277" s="62">
        <v>13000</v>
      </c>
      <c r="AA277" s="62">
        <v>13000</v>
      </c>
      <c r="AB277" s="62">
        <v>13000</v>
      </c>
      <c r="AC277" s="61">
        <f t="shared" si="5"/>
        <v>312000</v>
      </c>
      <c r="AD277" s="107"/>
    </row>
    <row r="278" spans="1:30" ht="15.75" thickBot="1" x14ac:dyDescent="0.3">
      <c r="A278" s="49">
        <v>2033</v>
      </c>
      <c r="B278" s="50">
        <v>4</v>
      </c>
      <c r="C278" s="50">
        <v>6</v>
      </c>
      <c r="D278" s="51" t="s">
        <v>134</v>
      </c>
      <c r="E278" s="62">
        <v>13000</v>
      </c>
      <c r="F278" s="62">
        <v>13000</v>
      </c>
      <c r="G278" s="62">
        <v>13000</v>
      </c>
      <c r="H278" s="62">
        <v>13000</v>
      </c>
      <c r="I278" s="62">
        <v>13000</v>
      </c>
      <c r="J278" s="62">
        <v>13000</v>
      </c>
      <c r="K278" s="62">
        <v>13000</v>
      </c>
      <c r="L278" s="62">
        <v>13000</v>
      </c>
      <c r="M278" s="62">
        <v>13000</v>
      </c>
      <c r="N278" s="62">
        <v>13000</v>
      </c>
      <c r="O278" s="62">
        <v>13000</v>
      </c>
      <c r="P278" s="62">
        <v>13000</v>
      </c>
      <c r="Q278" s="62">
        <v>13000</v>
      </c>
      <c r="R278" s="62">
        <v>13000</v>
      </c>
      <c r="S278" s="62">
        <v>13000</v>
      </c>
      <c r="T278" s="62">
        <v>13000</v>
      </c>
      <c r="U278" s="62">
        <v>13000</v>
      </c>
      <c r="V278" s="62">
        <v>13000</v>
      </c>
      <c r="W278" s="62">
        <v>13000</v>
      </c>
      <c r="X278" s="62">
        <v>13000</v>
      </c>
      <c r="Y278" s="62">
        <v>13000</v>
      </c>
      <c r="Z278" s="62">
        <v>13000</v>
      </c>
      <c r="AA278" s="62">
        <v>13000</v>
      </c>
      <c r="AB278" s="62">
        <v>13000</v>
      </c>
      <c r="AC278" s="53">
        <f t="shared" si="5"/>
        <v>312000</v>
      </c>
      <c r="AD278" s="105">
        <f>+SUMPRODUCT(AC278:AC280,C278:C280)</f>
        <v>9360000</v>
      </c>
    </row>
    <row r="279" spans="1:30" ht="15.75" thickBot="1" x14ac:dyDescent="0.3">
      <c r="A279" s="54">
        <v>2033</v>
      </c>
      <c r="B279" s="55">
        <v>4</v>
      </c>
      <c r="C279" s="55">
        <v>19</v>
      </c>
      <c r="D279" s="56" t="s">
        <v>135</v>
      </c>
      <c r="E279" s="62">
        <v>13000</v>
      </c>
      <c r="F279" s="62">
        <v>13000</v>
      </c>
      <c r="G279" s="62">
        <v>13000</v>
      </c>
      <c r="H279" s="62">
        <v>13000</v>
      </c>
      <c r="I279" s="62">
        <v>13000</v>
      </c>
      <c r="J279" s="62">
        <v>13000</v>
      </c>
      <c r="K279" s="62">
        <v>13000</v>
      </c>
      <c r="L279" s="62">
        <v>13000</v>
      </c>
      <c r="M279" s="62">
        <v>13000</v>
      </c>
      <c r="N279" s="62">
        <v>13000</v>
      </c>
      <c r="O279" s="62">
        <v>13000</v>
      </c>
      <c r="P279" s="62">
        <v>13000</v>
      </c>
      <c r="Q279" s="62">
        <v>13000</v>
      </c>
      <c r="R279" s="62">
        <v>13000</v>
      </c>
      <c r="S279" s="62">
        <v>13000</v>
      </c>
      <c r="T279" s="62">
        <v>13000</v>
      </c>
      <c r="U279" s="62">
        <v>13000</v>
      </c>
      <c r="V279" s="62">
        <v>13000</v>
      </c>
      <c r="W279" s="62">
        <v>13000</v>
      </c>
      <c r="X279" s="62">
        <v>13000</v>
      </c>
      <c r="Y279" s="62">
        <v>13000</v>
      </c>
      <c r="Z279" s="62">
        <v>13000</v>
      </c>
      <c r="AA279" s="62">
        <v>13000</v>
      </c>
      <c r="AB279" s="62">
        <v>13000</v>
      </c>
      <c r="AC279" s="57">
        <f t="shared" si="5"/>
        <v>312000</v>
      </c>
      <c r="AD279" s="106"/>
    </row>
    <row r="280" spans="1:30" ht="15.75" thickBot="1" x14ac:dyDescent="0.3">
      <c r="A280" s="58">
        <v>2033</v>
      </c>
      <c r="B280" s="59">
        <v>4</v>
      </c>
      <c r="C280" s="59">
        <v>5</v>
      </c>
      <c r="D280" s="60" t="s">
        <v>136</v>
      </c>
      <c r="E280" s="62">
        <v>13000</v>
      </c>
      <c r="F280" s="62">
        <v>13000</v>
      </c>
      <c r="G280" s="62">
        <v>13000</v>
      </c>
      <c r="H280" s="62">
        <v>13000</v>
      </c>
      <c r="I280" s="62">
        <v>13000</v>
      </c>
      <c r="J280" s="62">
        <v>13000</v>
      </c>
      <c r="K280" s="62">
        <v>13000</v>
      </c>
      <c r="L280" s="62">
        <v>13000</v>
      </c>
      <c r="M280" s="62">
        <v>13000</v>
      </c>
      <c r="N280" s="62">
        <v>13000</v>
      </c>
      <c r="O280" s="62">
        <v>13000</v>
      </c>
      <c r="P280" s="62">
        <v>13000</v>
      </c>
      <c r="Q280" s="62">
        <v>13000</v>
      </c>
      <c r="R280" s="62">
        <v>13000</v>
      </c>
      <c r="S280" s="62">
        <v>13000</v>
      </c>
      <c r="T280" s="62">
        <v>13000</v>
      </c>
      <c r="U280" s="62">
        <v>13000</v>
      </c>
      <c r="V280" s="62">
        <v>13000</v>
      </c>
      <c r="W280" s="62">
        <v>13000</v>
      </c>
      <c r="X280" s="62">
        <v>13000</v>
      </c>
      <c r="Y280" s="62">
        <v>13000</v>
      </c>
      <c r="Z280" s="62">
        <v>13000</v>
      </c>
      <c r="AA280" s="62">
        <v>13000</v>
      </c>
      <c r="AB280" s="62">
        <v>13000</v>
      </c>
      <c r="AC280" s="61">
        <f t="shared" si="5"/>
        <v>312000</v>
      </c>
      <c r="AD280" s="107"/>
    </row>
    <row r="281" spans="1:30" ht="15.75" thickBot="1" x14ac:dyDescent="0.3">
      <c r="A281" s="49">
        <v>2033</v>
      </c>
      <c r="B281" s="50">
        <v>5</v>
      </c>
      <c r="C281" s="50">
        <v>6</v>
      </c>
      <c r="D281" s="51" t="s">
        <v>134</v>
      </c>
      <c r="E281" s="62">
        <v>13000</v>
      </c>
      <c r="F281" s="62">
        <v>13000</v>
      </c>
      <c r="G281" s="62">
        <v>13000</v>
      </c>
      <c r="H281" s="62">
        <v>13000</v>
      </c>
      <c r="I281" s="62">
        <v>13000</v>
      </c>
      <c r="J281" s="62">
        <v>13000</v>
      </c>
      <c r="K281" s="62">
        <v>13000</v>
      </c>
      <c r="L281" s="62">
        <v>13000</v>
      </c>
      <c r="M281" s="62">
        <v>13000</v>
      </c>
      <c r="N281" s="62">
        <v>13000</v>
      </c>
      <c r="O281" s="62">
        <v>13000</v>
      </c>
      <c r="P281" s="62">
        <v>13000</v>
      </c>
      <c r="Q281" s="62">
        <v>13000</v>
      </c>
      <c r="R281" s="62">
        <v>13000</v>
      </c>
      <c r="S281" s="62">
        <v>13000</v>
      </c>
      <c r="T281" s="62">
        <v>13000</v>
      </c>
      <c r="U281" s="62">
        <v>13000</v>
      </c>
      <c r="V281" s="62">
        <v>13000</v>
      </c>
      <c r="W281" s="62">
        <v>13000</v>
      </c>
      <c r="X281" s="62">
        <v>13000</v>
      </c>
      <c r="Y281" s="62">
        <v>13000</v>
      </c>
      <c r="Z281" s="62">
        <v>13000</v>
      </c>
      <c r="AA281" s="62">
        <v>13000</v>
      </c>
      <c r="AB281" s="62">
        <v>13000</v>
      </c>
      <c r="AC281" s="53">
        <f t="shared" si="5"/>
        <v>312000</v>
      </c>
      <c r="AD281" s="105">
        <f>+SUMPRODUCT(AC281:AC283,C281:C283)</f>
        <v>9672000</v>
      </c>
    </row>
    <row r="282" spans="1:30" ht="15.75" thickBot="1" x14ac:dyDescent="0.3">
      <c r="A282" s="54">
        <v>2033</v>
      </c>
      <c r="B282" s="55">
        <v>5</v>
      </c>
      <c r="C282" s="55">
        <v>21</v>
      </c>
      <c r="D282" s="56" t="s">
        <v>135</v>
      </c>
      <c r="E282" s="62">
        <v>13000</v>
      </c>
      <c r="F282" s="62">
        <v>13000</v>
      </c>
      <c r="G282" s="62">
        <v>13000</v>
      </c>
      <c r="H282" s="62">
        <v>13000</v>
      </c>
      <c r="I282" s="62">
        <v>13000</v>
      </c>
      <c r="J282" s="62">
        <v>13000</v>
      </c>
      <c r="K282" s="62">
        <v>13000</v>
      </c>
      <c r="L282" s="62">
        <v>13000</v>
      </c>
      <c r="M282" s="62">
        <v>13000</v>
      </c>
      <c r="N282" s="62">
        <v>13000</v>
      </c>
      <c r="O282" s="62">
        <v>13000</v>
      </c>
      <c r="P282" s="62">
        <v>13000</v>
      </c>
      <c r="Q282" s="62">
        <v>13000</v>
      </c>
      <c r="R282" s="62">
        <v>13000</v>
      </c>
      <c r="S282" s="62">
        <v>13000</v>
      </c>
      <c r="T282" s="62">
        <v>13000</v>
      </c>
      <c r="U282" s="62">
        <v>13000</v>
      </c>
      <c r="V282" s="62">
        <v>13000</v>
      </c>
      <c r="W282" s="62">
        <v>13000</v>
      </c>
      <c r="X282" s="62">
        <v>13000</v>
      </c>
      <c r="Y282" s="62">
        <v>13000</v>
      </c>
      <c r="Z282" s="62">
        <v>13000</v>
      </c>
      <c r="AA282" s="62">
        <v>13000</v>
      </c>
      <c r="AB282" s="62">
        <v>13000</v>
      </c>
      <c r="AC282" s="57">
        <f t="shared" si="5"/>
        <v>312000</v>
      </c>
      <c r="AD282" s="106"/>
    </row>
    <row r="283" spans="1:30" ht="15.75" thickBot="1" x14ac:dyDescent="0.3">
      <c r="A283" s="58">
        <v>2033</v>
      </c>
      <c r="B283" s="59">
        <v>5</v>
      </c>
      <c r="C283" s="59">
        <v>4</v>
      </c>
      <c r="D283" s="60" t="s">
        <v>136</v>
      </c>
      <c r="E283" s="62">
        <v>13000</v>
      </c>
      <c r="F283" s="62">
        <v>13000</v>
      </c>
      <c r="G283" s="62">
        <v>13000</v>
      </c>
      <c r="H283" s="62">
        <v>13000</v>
      </c>
      <c r="I283" s="62">
        <v>13000</v>
      </c>
      <c r="J283" s="62">
        <v>13000</v>
      </c>
      <c r="K283" s="62">
        <v>13000</v>
      </c>
      <c r="L283" s="62">
        <v>13000</v>
      </c>
      <c r="M283" s="62">
        <v>13000</v>
      </c>
      <c r="N283" s="62">
        <v>13000</v>
      </c>
      <c r="O283" s="62">
        <v>13000</v>
      </c>
      <c r="P283" s="62">
        <v>13000</v>
      </c>
      <c r="Q283" s="62">
        <v>13000</v>
      </c>
      <c r="R283" s="62">
        <v>13000</v>
      </c>
      <c r="S283" s="62">
        <v>13000</v>
      </c>
      <c r="T283" s="62">
        <v>13000</v>
      </c>
      <c r="U283" s="62">
        <v>13000</v>
      </c>
      <c r="V283" s="62">
        <v>13000</v>
      </c>
      <c r="W283" s="62">
        <v>13000</v>
      </c>
      <c r="X283" s="62">
        <v>13000</v>
      </c>
      <c r="Y283" s="62">
        <v>13000</v>
      </c>
      <c r="Z283" s="62">
        <v>13000</v>
      </c>
      <c r="AA283" s="62">
        <v>13000</v>
      </c>
      <c r="AB283" s="62">
        <v>13000</v>
      </c>
      <c r="AC283" s="61">
        <f t="shared" si="5"/>
        <v>312000</v>
      </c>
      <c r="AD283" s="107"/>
    </row>
    <row r="284" spans="1:30" ht="15.75" thickBot="1" x14ac:dyDescent="0.3">
      <c r="A284" s="49">
        <v>2033</v>
      </c>
      <c r="B284" s="50">
        <v>6</v>
      </c>
      <c r="C284" s="50">
        <v>6</v>
      </c>
      <c r="D284" s="51" t="s">
        <v>134</v>
      </c>
      <c r="E284" s="62">
        <v>13000</v>
      </c>
      <c r="F284" s="62">
        <v>13000</v>
      </c>
      <c r="G284" s="62">
        <v>13000</v>
      </c>
      <c r="H284" s="62">
        <v>13000</v>
      </c>
      <c r="I284" s="62">
        <v>13000</v>
      </c>
      <c r="J284" s="62">
        <v>13000</v>
      </c>
      <c r="K284" s="62">
        <v>13000</v>
      </c>
      <c r="L284" s="62">
        <v>13000</v>
      </c>
      <c r="M284" s="62">
        <v>13000</v>
      </c>
      <c r="N284" s="62">
        <v>13000</v>
      </c>
      <c r="O284" s="62">
        <v>13000</v>
      </c>
      <c r="P284" s="62">
        <v>13000</v>
      </c>
      <c r="Q284" s="62">
        <v>13000</v>
      </c>
      <c r="R284" s="62">
        <v>13000</v>
      </c>
      <c r="S284" s="62">
        <v>13000</v>
      </c>
      <c r="T284" s="62">
        <v>13000</v>
      </c>
      <c r="U284" s="62">
        <v>13000</v>
      </c>
      <c r="V284" s="62">
        <v>13000</v>
      </c>
      <c r="W284" s="62">
        <v>13000</v>
      </c>
      <c r="X284" s="62">
        <v>13000</v>
      </c>
      <c r="Y284" s="62">
        <v>13000</v>
      </c>
      <c r="Z284" s="62">
        <v>13000</v>
      </c>
      <c r="AA284" s="62">
        <v>13000</v>
      </c>
      <c r="AB284" s="62">
        <v>13000</v>
      </c>
      <c r="AC284" s="53">
        <f t="shared" si="5"/>
        <v>312000</v>
      </c>
      <c r="AD284" s="105">
        <f>+SUMPRODUCT(AC284:AC286,C284:C286)</f>
        <v>9360000</v>
      </c>
    </row>
    <row r="285" spans="1:30" ht="15.75" thickBot="1" x14ac:dyDescent="0.3">
      <c r="A285" s="54">
        <v>2033</v>
      </c>
      <c r="B285" s="55">
        <v>6</v>
      </c>
      <c r="C285" s="55">
        <v>20</v>
      </c>
      <c r="D285" s="56" t="s">
        <v>135</v>
      </c>
      <c r="E285" s="62">
        <v>13000</v>
      </c>
      <c r="F285" s="62">
        <v>13000</v>
      </c>
      <c r="G285" s="62">
        <v>13000</v>
      </c>
      <c r="H285" s="62">
        <v>13000</v>
      </c>
      <c r="I285" s="62">
        <v>13000</v>
      </c>
      <c r="J285" s="62">
        <v>13000</v>
      </c>
      <c r="K285" s="62">
        <v>13000</v>
      </c>
      <c r="L285" s="62">
        <v>13000</v>
      </c>
      <c r="M285" s="62">
        <v>13000</v>
      </c>
      <c r="N285" s="62">
        <v>13000</v>
      </c>
      <c r="O285" s="62">
        <v>13000</v>
      </c>
      <c r="P285" s="62">
        <v>13000</v>
      </c>
      <c r="Q285" s="62">
        <v>13000</v>
      </c>
      <c r="R285" s="62">
        <v>13000</v>
      </c>
      <c r="S285" s="62">
        <v>13000</v>
      </c>
      <c r="T285" s="62">
        <v>13000</v>
      </c>
      <c r="U285" s="62">
        <v>13000</v>
      </c>
      <c r="V285" s="62">
        <v>13000</v>
      </c>
      <c r="W285" s="62">
        <v>13000</v>
      </c>
      <c r="X285" s="62">
        <v>13000</v>
      </c>
      <c r="Y285" s="62">
        <v>13000</v>
      </c>
      <c r="Z285" s="62">
        <v>13000</v>
      </c>
      <c r="AA285" s="62">
        <v>13000</v>
      </c>
      <c r="AB285" s="62">
        <v>13000</v>
      </c>
      <c r="AC285" s="57">
        <f t="shared" si="5"/>
        <v>312000</v>
      </c>
      <c r="AD285" s="106"/>
    </row>
    <row r="286" spans="1:30" ht="15.75" thickBot="1" x14ac:dyDescent="0.3">
      <c r="A286" s="58">
        <v>2033</v>
      </c>
      <c r="B286" s="59">
        <v>6</v>
      </c>
      <c r="C286" s="59">
        <v>4</v>
      </c>
      <c r="D286" s="60" t="s">
        <v>136</v>
      </c>
      <c r="E286" s="62">
        <v>13000</v>
      </c>
      <c r="F286" s="62">
        <v>13000</v>
      </c>
      <c r="G286" s="62">
        <v>13000</v>
      </c>
      <c r="H286" s="62">
        <v>13000</v>
      </c>
      <c r="I286" s="62">
        <v>13000</v>
      </c>
      <c r="J286" s="62">
        <v>13000</v>
      </c>
      <c r="K286" s="62">
        <v>13000</v>
      </c>
      <c r="L286" s="62">
        <v>13000</v>
      </c>
      <c r="M286" s="62">
        <v>13000</v>
      </c>
      <c r="N286" s="62">
        <v>13000</v>
      </c>
      <c r="O286" s="62">
        <v>13000</v>
      </c>
      <c r="P286" s="62">
        <v>13000</v>
      </c>
      <c r="Q286" s="62">
        <v>13000</v>
      </c>
      <c r="R286" s="62">
        <v>13000</v>
      </c>
      <c r="S286" s="62">
        <v>13000</v>
      </c>
      <c r="T286" s="62">
        <v>13000</v>
      </c>
      <c r="U286" s="62">
        <v>13000</v>
      </c>
      <c r="V286" s="62">
        <v>13000</v>
      </c>
      <c r="W286" s="62">
        <v>13000</v>
      </c>
      <c r="X286" s="62">
        <v>13000</v>
      </c>
      <c r="Y286" s="62">
        <v>13000</v>
      </c>
      <c r="Z286" s="62">
        <v>13000</v>
      </c>
      <c r="AA286" s="62">
        <v>13000</v>
      </c>
      <c r="AB286" s="62">
        <v>13000</v>
      </c>
      <c r="AC286" s="61">
        <f t="shared" si="5"/>
        <v>312000</v>
      </c>
      <c r="AD286" s="107"/>
    </row>
    <row r="287" spans="1:30" ht="15.75" thickBot="1" x14ac:dyDescent="0.3">
      <c r="A287" s="49">
        <v>2033</v>
      </c>
      <c r="B287" s="50">
        <v>7</v>
      </c>
      <c r="C287" s="50">
        <v>7</v>
      </c>
      <c r="D287" s="51" t="s">
        <v>134</v>
      </c>
      <c r="E287" s="62">
        <v>13000</v>
      </c>
      <c r="F287" s="62">
        <v>13000</v>
      </c>
      <c r="G287" s="62">
        <v>13000</v>
      </c>
      <c r="H287" s="62">
        <v>13000</v>
      </c>
      <c r="I287" s="62">
        <v>13000</v>
      </c>
      <c r="J287" s="62">
        <v>13000</v>
      </c>
      <c r="K287" s="62">
        <v>13000</v>
      </c>
      <c r="L287" s="62">
        <v>13000</v>
      </c>
      <c r="M287" s="62">
        <v>13000</v>
      </c>
      <c r="N287" s="62">
        <v>13000</v>
      </c>
      <c r="O287" s="62">
        <v>13000</v>
      </c>
      <c r="P287" s="62">
        <v>13000</v>
      </c>
      <c r="Q287" s="62">
        <v>13000</v>
      </c>
      <c r="R287" s="62">
        <v>13000</v>
      </c>
      <c r="S287" s="62">
        <v>13000</v>
      </c>
      <c r="T287" s="62">
        <v>13000</v>
      </c>
      <c r="U287" s="62">
        <v>13000</v>
      </c>
      <c r="V287" s="62">
        <v>13000</v>
      </c>
      <c r="W287" s="62">
        <v>13000</v>
      </c>
      <c r="X287" s="62">
        <v>13000</v>
      </c>
      <c r="Y287" s="62">
        <v>13000</v>
      </c>
      <c r="Z287" s="62">
        <v>13000</v>
      </c>
      <c r="AA287" s="62">
        <v>13000</v>
      </c>
      <c r="AB287" s="62">
        <v>13000</v>
      </c>
      <c r="AC287" s="53">
        <f t="shared" si="5"/>
        <v>312000</v>
      </c>
      <c r="AD287" s="105">
        <f>+SUMPRODUCT(AC287:AC289,C287:C289)</f>
        <v>9672000</v>
      </c>
    </row>
    <row r="288" spans="1:30" ht="15.75" thickBot="1" x14ac:dyDescent="0.3">
      <c r="A288" s="54">
        <v>2033</v>
      </c>
      <c r="B288" s="55">
        <v>7</v>
      </c>
      <c r="C288" s="55">
        <v>19</v>
      </c>
      <c r="D288" s="56" t="s">
        <v>135</v>
      </c>
      <c r="E288" s="62">
        <v>13000</v>
      </c>
      <c r="F288" s="62">
        <v>13000</v>
      </c>
      <c r="G288" s="62">
        <v>13000</v>
      </c>
      <c r="H288" s="62">
        <v>13000</v>
      </c>
      <c r="I288" s="62">
        <v>13000</v>
      </c>
      <c r="J288" s="62">
        <v>13000</v>
      </c>
      <c r="K288" s="62">
        <v>13000</v>
      </c>
      <c r="L288" s="62">
        <v>13000</v>
      </c>
      <c r="M288" s="62">
        <v>13000</v>
      </c>
      <c r="N288" s="62">
        <v>13000</v>
      </c>
      <c r="O288" s="62">
        <v>13000</v>
      </c>
      <c r="P288" s="62">
        <v>13000</v>
      </c>
      <c r="Q288" s="62">
        <v>13000</v>
      </c>
      <c r="R288" s="62">
        <v>13000</v>
      </c>
      <c r="S288" s="62">
        <v>13000</v>
      </c>
      <c r="T288" s="62">
        <v>13000</v>
      </c>
      <c r="U288" s="62">
        <v>13000</v>
      </c>
      <c r="V288" s="62">
        <v>13000</v>
      </c>
      <c r="W288" s="62">
        <v>13000</v>
      </c>
      <c r="X288" s="62">
        <v>13000</v>
      </c>
      <c r="Y288" s="62">
        <v>13000</v>
      </c>
      <c r="Z288" s="62">
        <v>13000</v>
      </c>
      <c r="AA288" s="62">
        <v>13000</v>
      </c>
      <c r="AB288" s="62">
        <v>13000</v>
      </c>
      <c r="AC288" s="57">
        <f t="shared" si="5"/>
        <v>312000</v>
      </c>
      <c r="AD288" s="106"/>
    </row>
    <row r="289" spans="1:30" ht="15.75" thickBot="1" x14ac:dyDescent="0.3">
      <c r="A289" s="58">
        <v>2033</v>
      </c>
      <c r="B289" s="59">
        <v>7</v>
      </c>
      <c r="C289" s="59">
        <v>5</v>
      </c>
      <c r="D289" s="60" t="s">
        <v>136</v>
      </c>
      <c r="E289" s="62">
        <v>13000</v>
      </c>
      <c r="F289" s="62">
        <v>13000</v>
      </c>
      <c r="G289" s="62">
        <v>13000</v>
      </c>
      <c r="H289" s="62">
        <v>13000</v>
      </c>
      <c r="I289" s="62">
        <v>13000</v>
      </c>
      <c r="J289" s="62">
        <v>13000</v>
      </c>
      <c r="K289" s="62">
        <v>13000</v>
      </c>
      <c r="L289" s="62">
        <v>13000</v>
      </c>
      <c r="M289" s="62">
        <v>13000</v>
      </c>
      <c r="N289" s="62">
        <v>13000</v>
      </c>
      <c r="O289" s="62">
        <v>13000</v>
      </c>
      <c r="P289" s="62">
        <v>13000</v>
      </c>
      <c r="Q289" s="62">
        <v>13000</v>
      </c>
      <c r="R289" s="62">
        <v>13000</v>
      </c>
      <c r="S289" s="62">
        <v>13000</v>
      </c>
      <c r="T289" s="62">
        <v>13000</v>
      </c>
      <c r="U289" s="62">
        <v>13000</v>
      </c>
      <c r="V289" s="62">
        <v>13000</v>
      </c>
      <c r="W289" s="62">
        <v>13000</v>
      </c>
      <c r="X289" s="62">
        <v>13000</v>
      </c>
      <c r="Y289" s="62">
        <v>13000</v>
      </c>
      <c r="Z289" s="62">
        <v>13000</v>
      </c>
      <c r="AA289" s="62">
        <v>13000</v>
      </c>
      <c r="AB289" s="62">
        <v>13000</v>
      </c>
      <c r="AC289" s="61">
        <f t="shared" si="5"/>
        <v>312000</v>
      </c>
      <c r="AD289" s="107"/>
    </row>
    <row r="290" spans="1:30" ht="15.75" thickBot="1" x14ac:dyDescent="0.3">
      <c r="A290" s="49">
        <v>2033</v>
      </c>
      <c r="B290" s="50">
        <v>8</v>
      </c>
      <c r="C290" s="50">
        <v>5</v>
      </c>
      <c r="D290" s="51" t="s">
        <v>134</v>
      </c>
      <c r="E290" s="62">
        <v>13000</v>
      </c>
      <c r="F290" s="62">
        <v>13000</v>
      </c>
      <c r="G290" s="62">
        <v>13000</v>
      </c>
      <c r="H290" s="62">
        <v>13000</v>
      </c>
      <c r="I290" s="62">
        <v>13000</v>
      </c>
      <c r="J290" s="62">
        <v>13000</v>
      </c>
      <c r="K290" s="62">
        <v>13000</v>
      </c>
      <c r="L290" s="62">
        <v>13000</v>
      </c>
      <c r="M290" s="62">
        <v>13000</v>
      </c>
      <c r="N290" s="62">
        <v>13000</v>
      </c>
      <c r="O290" s="62">
        <v>13000</v>
      </c>
      <c r="P290" s="62">
        <v>13000</v>
      </c>
      <c r="Q290" s="62">
        <v>13000</v>
      </c>
      <c r="R290" s="62">
        <v>13000</v>
      </c>
      <c r="S290" s="62">
        <v>13000</v>
      </c>
      <c r="T290" s="62">
        <v>13000</v>
      </c>
      <c r="U290" s="62">
        <v>13000</v>
      </c>
      <c r="V290" s="62">
        <v>13000</v>
      </c>
      <c r="W290" s="62">
        <v>13000</v>
      </c>
      <c r="X290" s="62">
        <v>13000</v>
      </c>
      <c r="Y290" s="62">
        <v>13000</v>
      </c>
      <c r="Z290" s="62">
        <v>13000</v>
      </c>
      <c r="AA290" s="62">
        <v>13000</v>
      </c>
      <c r="AB290" s="62">
        <v>13000</v>
      </c>
      <c r="AC290" s="53">
        <f t="shared" si="5"/>
        <v>312000</v>
      </c>
      <c r="AD290" s="105">
        <f>+SUMPRODUCT(AC290:AC292,C290:C292)</f>
        <v>9672000</v>
      </c>
    </row>
    <row r="291" spans="1:30" ht="15.75" thickBot="1" x14ac:dyDescent="0.3">
      <c r="A291" s="54">
        <v>2033</v>
      </c>
      <c r="B291" s="55">
        <v>8</v>
      </c>
      <c r="C291" s="55">
        <v>22</v>
      </c>
      <c r="D291" s="56" t="s">
        <v>135</v>
      </c>
      <c r="E291" s="62">
        <v>13000</v>
      </c>
      <c r="F291" s="62">
        <v>13000</v>
      </c>
      <c r="G291" s="62">
        <v>13000</v>
      </c>
      <c r="H291" s="62">
        <v>13000</v>
      </c>
      <c r="I291" s="62">
        <v>13000</v>
      </c>
      <c r="J291" s="62">
        <v>13000</v>
      </c>
      <c r="K291" s="62">
        <v>13000</v>
      </c>
      <c r="L291" s="62">
        <v>13000</v>
      </c>
      <c r="M291" s="62">
        <v>13000</v>
      </c>
      <c r="N291" s="62">
        <v>13000</v>
      </c>
      <c r="O291" s="62">
        <v>13000</v>
      </c>
      <c r="P291" s="62">
        <v>13000</v>
      </c>
      <c r="Q291" s="62">
        <v>13000</v>
      </c>
      <c r="R291" s="62">
        <v>13000</v>
      </c>
      <c r="S291" s="62">
        <v>13000</v>
      </c>
      <c r="T291" s="62">
        <v>13000</v>
      </c>
      <c r="U291" s="62">
        <v>13000</v>
      </c>
      <c r="V291" s="62">
        <v>13000</v>
      </c>
      <c r="W291" s="62">
        <v>13000</v>
      </c>
      <c r="X291" s="62">
        <v>13000</v>
      </c>
      <c r="Y291" s="62">
        <v>13000</v>
      </c>
      <c r="Z291" s="62">
        <v>13000</v>
      </c>
      <c r="AA291" s="62">
        <v>13000</v>
      </c>
      <c r="AB291" s="62">
        <v>13000</v>
      </c>
      <c r="AC291" s="57">
        <f t="shared" si="5"/>
        <v>312000</v>
      </c>
      <c r="AD291" s="106"/>
    </row>
    <row r="292" spans="1:30" ht="15.75" thickBot="1" x14ac:dyDescent="0.3">
      <c r="A292" s="58">
        <v>2033</v>
      </c>
      <c r="B292" s="59">
        <v>8</v>
      </c>
      <c r="C292" s="59">
        <v>4</v>
      </c>
      <c r="D292" s="60" t="s">
        <v>136</v>
      </c>
      <c r="E292" s="62">
        <v>13000</v>
      </c>
      <c r="F292" s="62">
        <v>13000</v>
      </c>
      <c r="G292" s="62">
        <v>13000</v>
      </c>
      <c r="H292" s="62">
        <v>13000</v>
      </c>
      <c r="I292" s="62">
        <v>13000</v>
      </c>
      <c r="J292" s="62">
        <v>13000</v>
      </c>
      <c r="K292" s="62">
        <v>13000</v>
      </c>
      <c r="L292" s="62">
        <v>13000</v>
      </c>
      <c r="M292" s="62">
        <v>13000</v>
      </c>
      <c r="N292" s="62">
        <v>13000</v>
      </c>
      <c r="O292" s="62">
        <v>13000</v>
      </c>
      <c r="P292" s="62">
        <v>13000</v>
      </c>
      <c r="Q292" s="62">
        <v>13000</v>
      </c>
      <c r="R292" s="62">
        <v>13000</v>
      </c>
      <c r="S292" s="62">
        <v>13000</v>
      </c>
      <c r="T292" s="62">
        <v>13000</v>
      </c>
      <c r="U292" s="62">
        <v>13000</v>
      </c>
      <c r="V292" s="62">
        <v>13000</v>
      </c>
      <c r="W292" s="62">
        <v>13000</v>
      </c>
      <c r="X292" s="62">
        <v>13000</v>
      </c>
      <c r="Y292" s="62">
        <v>13000</v>
      </c>
      <c r="Z292" s="62">
        <v>13000</v>
      </c>
      <c r="AA292" s="62">
        <v>13000</v>
      </c>
      <c r="AB292" s="62">
        <v>13000</v>
      </c>
      <c r="AC292" s="61">
        <f t="shared" si="5"/>
        <v>312000</v>
      </c>
      <c r="AD292" s="107"/>
    </row>
    <row r="293" spans="1:30" ht="15.75" thickBot="1" x14ac:dyDescent="0.3">
      <c r="A293" s="49">
        <v>2033</v>
      </c>
      <c r="B293" s="50">
        <v>9</v>
      </c>
      <c r="C293" s="50">
        <v>4</v>
      </c>
      <c r="D293" s="51" t="s">
        <v>134</v>
      </c>
      <c r="E293" s="62">
        <v>13000</v>
      </c>
      <c r="F293" s="62">
        <v>13000</v>
      </c>
      <c r="G293" s="62">
        <v>13000</v>
      </c>
      <c r="H293" s="62">
        <v>13000</v>
      </c>
      <c r="I293" s="62">
        <v>13000</v>
      </c>
      <c r="J293" s="62">
        <v>13000</v>
      </c>
      <c r="K293" s="62">
        <v>13000</v>
      </c>
      <c r="L293" s="62">
        <v>13000</v>
      </c>
      <c r="M293" s="62">
        <v>13000</v>
      </c>
      <c r="N293" s="62">
        <v>13000</v>
      </c>
      <c r="O293" s="62">
        <v>13000</v>
      </c>
      <c r="P293" s="62">
        <v>13000</v>
      </c>
      <c r="Q293" s="62">
        <v>13000</v>
      </c>
      <c r="R293" s="62">
        <v>13000</v>
      </c>
      <c r="S293" s="62">
        <v>13000</v>
      </c>
      <c r="T293" s="62">
        <v>13000</v>
      </c>
      <c r="U293" s="62">
        <v>13000</v>
      </c>
      <c r="V293" s="62">
        <v>13000</v>
      </c>
      <c r="W293" s="62">
        <v>13000</v>
      </c>
      <c r="X293" s="62">
        <v>13000</v>
      </c>
      <c r="Y293" s="62">
        <v>13000</v>
      </c>
      <c r="Z293" s="62">
        <v>13000</v>
      </c>
      <c r="AA293" s="62">
        <v>13000</v>
      </c>
      <c r="AB293" s="62">
        <v>13000</v>
      </c>
      <c r="AC293" s="53">
        <f t="shared" si="5"/>
        <v>312000</v>
      </c>
      <c r="AD293" s="105">
        <f>+SUMPRODUCT(AC293:AC295,C293:C295)</f>
        <v>9360000</v>
      </c>
    </row>
    <row r="294" spans="1:30" ht="15.75" thickBot="1" x14ac:dyDescent="0.3">
      <c r="A294" s="54">
        <v>2033</v>
      </c>
      <c r="B294" s="55">
        <v>9</v>
      </c>
      <c r="C294" s="55">
        <v>22</v>
      </c>
      <c r="D294" s="56" t="s">
        <v>135</v>
      </c>
      <c r="E294" s="62">
        <v>13000</v>
      </c>
      <c r="F294" s="62">
        <v>13000</v>
      </c>
      <c r="G294" s="62">
        <v>13000</v>
      </c>
      <c r="H294" s="62">
        <v>13000</v>
      </c>
      <c r="I294" s="62">
        <v>13000</v>
      </c>
      <c r="J294" s="62">
        <v>13000</v>
      </c>
      <c r="K294" s="62">
        <v>13000</v>
      </c>
      <c r="L294" s="62">
        <v>13000</v>
      </c>
      <c r="M294" s="62">
        <v>13000</v>
      </c>
      <c r="N294" s="62">
        <v>13000</v>
      </c>
      <c r="O294" s="62">
        <v>13000</v>
      </c>
      <c r="P294" s="62">
        <v>13000</v>
      </c>
      <c r="Q294" s="62">
        <v>13000</v>
      </c>
      <c r="R294" s="62">
        <v>13000</v>
      </c>
      <c r="S294" s="62">
        <v>13000</v>
      </c>
      <c r="T294" s="62">
        <v>13000</v>
      </c>
      <c r="U294" s="62">
        <v>13000</v>
      </c>
      <c r="V294" s="62">
        <v>13000</v>
      </c>
      <c r="W294" s="62">
        <v>13000</v>
      </c>
      <c r="X294" s="62">
        <v>13000</v>
      </c>
      <c r="Y294" s="62">
        <v>13000</v>
      </c>
      <c r="Z294" s="62">
        <v>13000</v>
      </c>
      <c r="AA294" s="62">
        <v>13000</v>
      </c>
      <c r="AB294" s="62">
        <v>13000</v>
      </c>
      <c r="AC294" s="57">
        <f t="shared" si="5"/>
        <v>312000</v>
      </c>
      <c r="AD294" s="106"/>
    </row>
    <row r="295" spans="1:30" ht="15.75" thickBot="1" x14ac:dyDescent="0.3">
      <c r="A295" s="58">
        <v>2033</v>
      </c>
      <c r="B295" s="59">
        <v>9</v>
      </c>
      <c r="C295" s="59">
        <v>4</v>
      </c>
      <c r="D295" s="60" t="s">
        <v>136</v>
      </c>
      <c r="E295" s="62">
        <v>13000</v>
      </c>
      <c r="F295" s="62">
        <v>13000</v>
      </c>
      <c r="G295" s="62">
        <v>13000</v>
      </c>
      <c r="H295" s="62">
        <v>13000</v>
      </c>
      <c r="I295" s="62">
        <v>13000</v>
      </c>
      <c r="J295" s="62">
        <v>13000</v>
      </c>
      <c r="K295" s="62">
        <v>13000</v>
      </c>
      <c r="L295" s="62">
        <v>13000</v>
      </c>
      <c r="M295" s="62">
        <v>13000</v>
      </c>
      <c r="N295" s="62">
        <v>13000</v>
      </c>
      <c r="O295" s="62">
        <v>13000</v>
      </c>
      <c r="P295" s="62">
        <v>13000</v>
      </c>
      <c r="Q295" s="62">
        <v>13000</v>
      </c>
      <c r="R295" s="62">
        <v>13000</v>
      </c>
      <c r="S295" s="62">
        <v>13000</v>
      </c>
      <c r="T295" s="62">
        <v>13000</v>
      </c>
      <c r="U295" s="62">
        <v>13000</v>
      </c>
      <c r="V295" s="62">
        <v>13000</v>
      </c>
      <c r="W295" s="62">
        <v>13000</v>
      </c>
      <c r="X295" s="62">
        <v>13000</v>
      </c>
      <c r="Y295" s="62">
        <v>13000</v>
      </c>
      <c r="Z295" s="62">
        <v>13000</v>
      </c>
      <c r="AA295" s="62">
        <v>13000</v>
      </c>
      <c r="AB295" s="62">
        <v>13000</v>
      </c>
      <c r="AC295" s="61">
        <f t="shared" si="5"/>
        <v>312000</v>
      </c>
      <c r="AD295" s="107"/>
    </row>
    <row r="296" spans="1:30" ht="15.75" thickBot="1" x14ac:dyDescent="0.3">
      <c r="A296" s="49">
        <v>2033</v>
      </c>
      <c r="B296" s="50">
        <v>10</v>
      </c>
      <c r="C296" s="50">
        <v>6</v>
      </c>
      <c r="D296" s="51" t="s">
        <v>134</v>
      </c>
      <c r="E296" s="62">
        <v>13000</v>
      </c>
      <c r="F296" s="62">
        <v>13000</v>
      </c>
      <c r="G296" s="62">
        <v>13000</v>
      </c>
      <c r="H296" s="62">
        <v>13000</v>
      </c>
      <c r="I296" s="62">
        <v>13000</v>
      </c>
      <c r="J296" s="62">
        <v>13000</v>
      </c>
      <c r="K296" s="62">
        <v>13000</v>
      </c>
      <c r="L296" s="62">
        <v>13000</v>
      </c>
      <c r="M296" s="62">
        <v>13000</v>
      </c>
      <c r="N296" s="62">
        <v>13000</v>
      </c>
      <c r="O296" s="62">
        <v>13000</v>
      </c>
      <c r="P296" s="62">
        <v>13000</v>
      </c>
      <c r="Q296" s="62">
        <v>13000</v>
      </c>
      <c r="R296" s="62">
        <v>13000</v>
      </c>
      <c r="S296" s="62">
        <v>13000</v>
      </c>
      <c r="T296" s="62">
        <v>13000</v>
      </c>
      <c r="U296" s="62">
        <v>13000</v>
      </c>
      <c r="V296" s="62">
        <v>13000</v>
      </c>
      <c r="W296" s="62">
        <v>13000</v>
      </c>
      <c r="X296" s="62">
        <v>13000</v>
      </c>
      <c r="Y296" s="62">
        <v>13000</v>
      </c>
      <c r="Z296" s="62">
        <v>13000</v>
      </c>
      <c r="AA296" s="62">
        <v>13000</v>
      </c>
      <c r="AB296" s="62">
        <v>13000</v>
      </c>
      <c r="AC296" s="53">
        <f t="shared" si="5"/>
        <v>312000</v>
      </c>
      <c r="AD296" s="105">
        <f>+SUMPRODUCT(AC296:AC298,C296:C298)</f>
        <v>9672000</v>
      </c>
    </row>
    <row r="297" spans="1:30" ht="15.75" thickBot="1" x14ac:dyDescent="0.3">
      <c r="A297" s="54">
        <v>2033</v>
      </c>
      <c r="B297" s="55">
        <v>10</v>
      </c>
      <c r="C297" s="55">
        <v>20</v>
      </c>
      <c r="D297" s="56" t="s">
        <v>135</v>
      </c>
      <c r="E297" s="62">
        <v>13000</v>
      </c>
      <c r="F297" s="62">
        <v>13000</v>
      </c>
      <c r="G297" s="62">
        <v>13000</v>
      </c>
      <c r="H297" s="62">
        <v>13000</v>
      </c>
      <c r="I297" s="62">
        <v>13000</v>
      </c>
      <c r="J297" s="62">
        <v>13000</v>
      </c>
      <c r="K297" s="62">
        <v>13000</v>
      </c>
      <c r="L297" s="62">
        <v>13000</v>
      </c>
      <c r="M297" s="62">
        <v>13000</v>
      </c>
      <c r="N297" s="62">
        <v>13000</v>
      </c>
      <c r="O297" s="62">
        <v>13000</v>
      </c>
      <c r="P297" s="62">
        <v>13000</v>
      </c>
      <c r="Q297" s="62">
        <v>13000</v>
      </c>
      <c r="R297" s="62">
        <v>13000</v>
      </c>
      <c r="S297" s="62">
        <v>13000</v>
      </c>
      <c r="T297" s="62">
        <v>13000</v>
      </c>
      <c r="U297" s="62">
        <v>13000</v>
      </c>
      <c r="V297" s="62">
        <v>13000</v>
      </c>
      <c r="W297" s="62">
        <v>13000</v>
      </c>
      <c r="X297" s="62">
        <v>13000</v>
      </c>
      <c r="Y297" s="62">
        <v>13000</v>
      </c>
      <c r="Z297" s="62">
        <v>13000</v>
      </c>
      <c r="AA297" s="62">
        <v>13000</v>
      </c>
      <c r="AB297" s="62">
        <v>13000</v>
      </c>
      <c r="AC297" s="57">
        <f t="shared" si="5"/>
        <v>312000</v>
      </c>
      <c r="AD297" s="106"/>
    </row>
    <row r="298" spans="1:30" ht="15.75" thickBot="1" x14ac:dyDescent="0.3">
      <c r="A298" s="58">
        <v>2033</v>
      </c>
      <c r="B298" s="59">
        <v>10</v>
      </c>
      <c r="C298" s="59">
        <v>5</v>
      </c>
      <c r="D298" s="60" t="s">
        <v>136</v>
      </c>
      <c r="E298" s="62">
        <v>13000</v>
      </c>
      <c r="F298" s="62">
        <v>13000</v>
      </c>
      <c r="G298" s="62">
        <v>13000</v>
      </c>
      <c r="H298" s="62">
        <v>13000</v>
      </c>
      <c r="I298" s="62">
        <v>13000</v>
      </c>
      <c r="J298" s="62">
        <v>13000</v>
      </c>
      <c r="K298" s="62">
        <v>13000</v>
      </c>
      <c r="L298" s="62">
        <v>13000</v>
      </c>
      <c r="M298" s="62">
        <v>13000</v>
      </c>
      <c r="N298" s="62">
        <v>13000</v>
      </c>
      <c r="O298" s="62">
        <v>13000</v>
      </c>
      <c r="P298" s="62">
        <v>13000</v>
      </c>
      <c r="Q298" s="62">
        <v>13000</v>
      </c>
      <c r="R298" s="62">
        <v>13000</v>
      </c>
      <c r="S298" s="62">
        <v>13000</v>
      </c>
      <c r="T298" s="62">
        <v>13000</v>
      </c>
      <c r="U298" s="62">
        <v>13000</v>
      </c>
      <c r="V298" s="62">
        <v>13000</v>
      </c>
      <c r="W298" s="62">
        <v>13000</v>
      </c>
      <c r="X298" s="62">
        <v>13000</v>
      </c>
      <c r="Y298" s="62">
        <v>13000</v>
      </c>
      <c r="Z298" s="62">
        <v>13000</v>
      </c>
      <c r="AA298" s="62">
        <v>13000</v>
      </c>
      <c r="AB298" s="62">
        <v>13000</v>
      </c>
      <c r="AC298" s="61">
        <f t="shared" si="5"/>
        <v>312000</v>
      </c>
      <c r="AD298" s="107"/>
    </row>
    <row r="299" spans="1:30" ht="15.75" thickBot="1" x14ac:dyDescent="0.3">
      <c r="A299" s="49">
        <v>2033</v>
      </c>
      <c r="B299" s="50">
        <v>11</v>
      </c>
      <c r="C299" s="50">
        <v>6</v>
      </c>
      <c r="D299" s="51" t="s">
        <v>134</v>
      </c>
      <c r="E299" s="62">
        <v>13000</v>
      </c>
      <c r="F299" s="62">
        <v>13000</v>
      </c>
      <c r="G299" s="62">
        <v>13000</v>
      </c>
      <c r="H299" s="62">
        <v>13000</v>
      </c>
      <c r="I299" s="62">
        <v>13000</v>
      </c>
      <c r="J299" s="62">
        <v>13000</v>
      </c>
      <c r="K299" s="62">
        <v>13000</v>
      </c>
      <c r="L299" s="62">
        <v>13000</v>
      </c>
      <c r="M299" s="62">
        <v>13000</v>
      </c>
      <c r="N299" s="62">
        <v>13000</v>
      </c>
      <c r="O299" s="62">
        <v>13000</v>
      </c>
      <c r="P299" s="62">
        <v>13000</v>
      </c>
      <c r="Q299" s="62">
        <v>13000</v>
      </c>
      <c r="R299" s="62">
        <v>13000</v>
      </c>
      <c r="S299" s="62">
        <v>13000</v>
      </c>
      <c r="T299" s="62">
        <v>13000</v>
      </c>
      <c r="U299" s="62">
        <v>13000</v>
      </c>
      <c r="V299" s="62">
        <v>13000</v>
      </c>
      <c r="W299" s="62">
        <v>13000</v>
      </c>
      <c r="X299" s="62">
        <v>13000</v>
      </c>
      <c r="Y299" s="62">
        <v>13000</v>
      </c>
      <c r="Z299" s="62">
        <v>13000</v>
      </c>
      <c r="AA299" s="62">
        <v>13000</v>
      </c>
      <c r="AB299" s="62">
        <v>13000</v>
      </c>
      <c r="AC299" s="53">
        <f t="shared" si="5"/>
        <v>312000</v>
      </c>
      <c r="AD299" s="105">
        <f>+SUMPRODUCT(AC299:AC301,C299:C301)</f>
        <v>9360000</v>
      </c>
    </row>
    <row r="300" spans="1:30" ht="15.75" thickBot="1" x14ac:dyDescent="0.3">
      <c r="A300" s="54">
        <v>2033</v>
      </c>
      <c r="B300" s="55">
        <v>11</v>
      </c>
      <c r="C300" s="55">
        <v>20</v>
      </c>
      <c r="D300" s="56" t="s">
        <v>135</v>
      </c>
      <c r="E300" s="62">
        <v>13000</v>
      </c>
      <c r="F300" s="62">
        <v>13000</v>
      </c>
      <c r="G300" s="62">
        <v>13000</v>
      </c>
      <c r="H300" s="62">
        <v>13000</v>
      </c>
      <c r="I300" s="62">
        <v>13000</v>
      </c>
      <c r="J300" s="62">
        <v>13000</v>
      </c>
      <c r="K300" s="62">
        <v>13000</v>
      </c>
      <c r="L300" s="62">
        <v>13000</v>
      </c>
      <c r="M300" s="62">
        <v>13000</v>
      </c>
      <c r="N300" s="62">
        <v>13000</v>
      </c>
      <c r="O300" s="62">
        <v>13000</v>
      </c>
      <c r="P300" s="62">
        <v>13000</v>
      </c>
      <c r="Q300" s="62">
        <v>13000</v>
      </c>
      <c r="R300" s="62">
        <v>13000</v>
      </c>
      <c r="S300" s="62">
        <v>13000</v>
      </c>
      <c r="T300" s="62">
        <v>13000</v>
      </c>
      <c r="U300" s="62">
        <v>13000</v>
      </c>
      <c r="V300" s="62">
        <v>13000</v>
      </c>
      <c r="W300" s="62">
        <v>13000</v>
      </c>
      <c r="X300" s="62">
        <v>13000</v>
      </c>
      <c r="Y300" s="62">
        <v>13000</v>
      </c>
      <c r="Z300" s="62">
        <v>13000</v>
      </c>
      <c r="AA300" s="62">
        <v>13000</v>
      </c>
      <c r="AB300" s="62">
        <v>13000</v>
      </c>
      <c r="AC300" s="57">
        <f t="shared" si="5"/>
        <v>312000</v>
      </c>
      <c r="AD300" s="106"/>
    </row>
    <row r="301" spans="1:30" ht="15.75" thickBot="1" x14ac:dyDescent="0.3">
      <c r="A301" s="58">
        <v>2033</v>
      </c>
      <c r="B301" s="59">
        <v>11</v>
      </c>
      <c r="C301" s="59">
        <v>4</v>
      </c>
      <c r="D301" s="60" t="s">
        <v>136</v>
      </c>
      <c r="E301" s="62">
        <v>13000</v>
      </c>
      <c r="F301" s="62">
        <v>13000</v>
      </c>
      <c r="G301" s="62">
        <v>13000</v>
      </c>
      <c r="H301" s="62">
        <v>13000</v>
      </c>
      <c r="I301" s="62">
        <v>13000</v>
      </c>
      <c r="J301" s="62">
        <v>13000</v>
      </c>
      <c r="K301" s="62">
        <v>13000</v>
      </c>
      <c r="L301" s="62">
        <v>13000</v>
      </c>
      <c r="M301" s="62">
        <v>13000</v>
      </c>
      <c r="N301" s="62">
        <v>13000</v>
      </c>
      <c r="O301" s="62">
        <v>13000</v>
      </c>
      <c r="P301" s="62">
        <v>13000</v>
      </c>
      <c r="Q301" s="62">
        <v>13000</v>
      </c>
      <c r="R301" s="62">
        <v>13000</v>
      </c>
      <c r="S301" s="62">
        <v>13000</v>
      </c>
      <c r="T301" s="62">
        <v>13000</v>
      </c>
      <c r="U301" s="62">
        <v>13000</v>
      </c>
      <c r="V301" s="62">
        <v>13000</v>
      </c>
      <c r="W301" s="62">
        <v>13000</v>
      </c>
      <c r="X301" s="62">
        <v>13000</v>
      </c>
      <c r="Y301" s="62">
        <v>13000</v>
      </c>
      <c r="Z301" s="62">
        <v>13000</v>
      </c>
      <c r="AA301" s="62">
        <v>13000</v>
      </c>
      <c r="AB301" s="62">
        <v>13000</v>
      </c>
      <c r="AC301" s="61">
        <f t="shared" si="5"/>
        <v>312000</v>
      </c>
      <c r="AD301" s="107"/>
    </row>
    <row r="302" spans="1:30" ht="15.75" thickBot="1" x14ac:dyDescent="0.3">
      <c r="A302" s="49">
        <v>2033</v>
      </c>
      <c r="B302" s="50">
        <v>12</v>
      </c>
      <c r="C302" s="50">
        <v>5</v>
      </c>
      <c r="D302" s="51" t="s">
        <v>134</v>
      </c>
      <c r="E302" s="62">
        <v>13000</v>
      </c>
      <c r="F302" s="62">
        <v>13000</v>
      </c>
      <c r="G302" s="62">
        <v>13000</v>
      </c>
      <c r="H302" s="62">
        <v>13000</v>
      </c>
      <c r="I302" s="62">
        <v>13000</v>
      </c>
      <c r="J302" s="62">
        <v>13000</v>
      </c>
      <c r="K302" s="62">
        <v>13000</v>
      </c>
      <c r="L302" s="62">
        <v>13000</v>
      </c>
      <c r="M302" s="62">
        <v>13000</v>
      </c>
      <c r="N302" s="62">
        <v>13000</v>
      </c>
      <c r="O302" s="62">
        <v>13000</v>
      </c>
      <c r="P302" s="62">
        <v>13000</v>
      </c>
      <c r="Q302" s="62">
        <v>13000</v>
      </c>
      <c r="R302" s="62">
        <v>13000</v>
      </c>
      <c r="S302" s="62">
        <v>13000</v>
      </c>
      <c r="T302" s="62">
        <v>13000</v>
      </c>
      <c r="U302" s="62">
        <v>13000</v>
      </c>
      <c r="V302" s="62">
        <v>13000</v>
      </c>
      <c r="W302" s="62">
        <v>13000</v>
      </c>
      <c r="X302" s="62">
        <v>13000</v>
      </c>
      <c r="Y302" s="62">
        <v>13000</v>
      </c>
      <c r="Z302" s="62">
        <v>13000</v>
      </c>
      <c r="AA302" s="62">
        <v>13000</v>
      </c>
      <c r="AB302" s="62">
        <v>13000</v>
      </c>
      <c r="AC302" s="53">
        <f t="shared" si="5"/>
        <v>312000</v>
      </c>
      <c r="AD302" s="105">
        <f>+SUMPRODUCT(AC302:AC304,C302:C304)</f>
        <v>9672000</v>
      </c>
    </row>
    <row r="303" spans="1:30" ht="15.75" thickBot="1" x14ac:dyDescent="0.3">
      <c r="A303" s="54">
        <v>2033</v>
      </c>
      <c r="B303" s="55">
        <v>12</v>
      </c>
      <c r="C303" s="55">
        <v>21</v>
      </c>
      <c r="D303" s="56" t="s">
        <v>135</v>
      </c>
      <c r="E303" s="62">
        <v>13000</v>
      </c>
      <c r="F303" s="62">
        <v>13000</v>
      </c>
      <c r="G303" s="62">
        <v>13000</v>
      </c>
      <c r="H303" s="62">
        <v>13000</v>
      </c>
      <c r="I303" s="62">
        <v>13000</v>
      </c>
      <c r="J303" s="62">
        <v>13000</v>
      </c>
      <c r="K303" s="62">
        <v>13000</v>
      </c>
      <c r="L303" s="62">
        <v>13000</v>
      </c>
      <c r="M303" s="62">
        <v>13000</v>
      </c>
      <c r="N303" s="62">
        <v>13000</v>
      </c>
      <c r="O303" s="62">
        <v>13000</v>
      </c>
      <c r="P303" s="62">
        <v>13000</v>
      </c>
      <c r="Q303" s="62">
        <v>13000</v>
      </c>
      <c r="R303" s="62">
        <v>13000</v>
      </c>
      <c r="S303" s="62">
        <v>13000</v>
      </c>
      <c r="T303" s="62">
        <v>13000</v>
      </c>
      <c r="U303" s="62">
        <v>13000</v>
      </c>
      <c r="V303" s="62">
        <v>13000</v>
      </c>
      <c r="W303" s="62">
        <v>13000</v>
      </c>
      <c r="X303" s="62">
        <v>13000</v>
      </c>
      <c r="Y303" s="62">
        <v>13000</v>
      </c>
      <c r="Z303" s="62">
        <v>13000</v>
      </c>
      <c r="AA303" s="62">
        <v>13000</v>
      </c>
      <c r="AB303" s="62">
        <v>13000</v>
      </c>
      <c r="AC303" s="57">
        <f t="shared" si="5"/>
        <v>312000</v>
      </c>
      <c r="AD303" s="106"/>
    </row>
    <row r="304" spans="1:30" ht="15.75" thickBot="1" x14ac:dyDescent="0.3">
      <c r="A304" s="58">
        <v>2033</v>
      </c>
      <c r="B304" s="59">
        <v>12</v>
      </c>
      <c r="C304" s="59">
        <v>5</v>
      </c>
      <c r="D304" s="60" t="s">
        <v>136</v>
      </c>
      <c r="E304" s="62">
        <v>13000</v>
      </c>
      <c r="F304" s="62">
        <v>13000</v>
      </c>
      <c r="G304" s="62">
        <v>13000</v>
      </c>
      <c r="H304" s="62">
        <v>13000</v>
      </c>
      <c r="I304" s="62">
        <v>13000</v>
      </c>
      <c r="J304" s="62">
        <v>13000</v>
      </c>
      <c r="K304" s="62">
        <v>13000</v>
      </c>
      <c r="L304" s="62">
        <v>13000</v>
      </c>
      <c r="M304" s="62">
        <v>13000</v>
      </c>
      <c r="N304" s="62">
        <v>13000</v>
      </c>
      <c r="O304" s="62">
        <v>13000</v>
      </c>
      <c r="P304" s="62">
        <v>13000</v>
      </c>
      <c r="Q304" s="62">
        <v>13000</v>
      </c>
      <c r="R304" s="62">
        <v>13000</v>
      </c>
      <c r="S304" s="62">
        <v>13000</v>
      </c>
      <c r="T304" s="62">
        <v>13000</v>
      </c>
      <c r="U304" s="62">
        <v>13000</v>
      </c>
      <c r="V304" s="62">
        <v>13000</v>
      </c>
      <c r="W304" s="62">
        <v>13000</v>
      </c>
      <c r="X304" s="62">
        <v>13000</v>
      </c>
      <c r="Y304" s="62">
        <v>13000</v>
      </c>
      <c r="Z304" s="62">
        <v>13000</v>
      </c>
      <c r="AA304" s="62">
        <v>13000</v>
      </c>
      <c r="AB304" s="62">
        <v>13000</v>
      </c>
      <c r="AC304" s="61">
        <f t="shared" si="5"/>
        <v>312000</v>
      </c>
      <c r="AD304" s="107"/>
    </row>
  </sheetData>
  <mergeCells count="101">
    <mergeCell ref="AD29:AD31"/>
    <mergeCell ref="AD2:AD4"/>
    <mergeCell ref="AD5:AD7"/>
    <mergeCell ref="AD8:AD10"/>
    <mergeCell ref="AD11:AD13"/>
    <mergeCell ref="AD14:AD16"/>
    <mergeCell ref="AD17:AD19"/>
    <mergeCell ref="AD20:AD22"/>
    <mergeCell ref="AD23:AD25"/>
    <mergeCell ref="AD26:AD28"/>
    <mergeCell ref="AD32:AD34"/>
    <mergeCell ref="AD35:AD37"/>
    <mergeCell ref="AD38:AD40"/>
    <mergeCell ref="AD41:AD43"/>
    <mergeCell ref="AD44:AD46"/>
    <mergeCell ref="AD47:AD49"/>
    <mergeCell ref="AD50:AD52"/>
    <mergeCell ref="AD53:AD55"/>
    <mergeCell ref="AD56:AD58"/>
    <mergeCell ref="AD59:AD61"/>
    <mergeCell ref="AD62:AD64"/>
    <mergeCell ref="AD65:AD67"/>
    <mergeCell ref="AD68:AD70"/>
    <mergeCell ref="AD71:AD73"/>
    <mergeCell ref="AD74:AD76"/>
    <mergeCell ref="AD77:AD79"/>
    <mergeCell ref="AD80:AD82"/>
    <mergeCell ref="AD83:AD85"/>
    <mergeCell ref="AD86:AD88"/>
    <mergeCell ref="AD89:AD91"/>
    <mergeCell ref="AD92:AD94"/>
    <mergeCell ref="AD95:AD97"/>
    <mergeCell ref="AD98:AD100"/>
    <mergeCell ref="AD101:AD103"/>
    <mergeCell ref="AD104:AD106"/>
    <mergeCell ref="AD107:AD109"/>
    <mergeCell ref="AD110:AD112"/>
    <mergeCell ref="AD113:AD115"/>
    <mergeCell ref="AD116:AD118"/>
    <mergeCell ref="AD119:AD121"/>
    <mergeCell ref="AD122:AD124"/>
    <mergeCell ref="AD125:AD127"/>
    <mergeCell ref="AD128:AD130"/>
    <mergeCell ref="AD131:AD133"/>
    <mergeCell ref="AD134:AD136"/>
    <mergeCell ref="AD137:AD139"/>
    <mergeCell ref="AD140:AD142"/>
    <mergeCell ref="AD143:AD145"/>
    <mergeCell ref="AD146:AD148"/>
    <mergeCell ref="AD149:AD151"/>
    <mergeCell ref="AD152:AD154"/>
    <mergeCell ref="AD155:AD157"/>
    <mergeCell ref="AD158:AD160"/>
    <mergeCell ref="AD161:AD163"/>
    <mergeCell ref="AD164:AD166"/>
    <mergeCell ref="AD167:AD169"/>
    <mergeCell ref="AD170:AD172"/>
    <mergeCell ref="AD173:AD175"/>
    <mergeCell ref="AD176:AD178"/>
    <mergeCell ref="AD179:AD181"/>
    <mergeCell ref="AD182:AD184"/>
    <mergeCell ref="AD185:AD187"/>
    <mergeCell ref="AD188:AD190"/>
    <mergeCell ref="AD191:AD193"/>
    <mergeCell ref="AD194:AD196"/>
    <mergeCell ref="AD197:AD199"/>
    <mergeCell ref="AD200:AD202"/>
    <mergeCell ref="AD203:AD205"/>
    <mergeCell ref="AD206:AD208"/>
    <mergeCell ref="AD209:AD211"/>
    <mergeCell ref="AD212:AD214"/>
    <mergeCell ref="AD215:AD217"/>
    <mergeCell ref="AD218:AD220"/>
    <mergeCell ref="AD221:AD223"/>
    <mergeCell ref="AD224:AD226"/>
    <mergeCell ref="AD227:AD229"/>
    <mergeCell ref="AD230:AD232"/>
    <mergeCell ref="AD233:AD235"/>
    <mergeCell ref="AD236:AD238"/>
    <mergeCell ref="AD239:AD241"/>
    <mergeCell ref="AD242:AD244"/>
    <mergeCell ref="AD245:AD247"/>
    <mergeCell ref="AD248:AD250"/>
    <mergeCell ref="AD251:AD253"/>
    <mergeCell ref="AD254:AD256"/>
    <mergeCell ref="AD257:AD259"/>
    <mergeCell ref="AD260:AD262"/>
    <mergeCell ref="AD263:AD265"/>
    <mergeCell ref="AD266:AD268"/>
    <mergeCell ref="AD269:AD271"/>
    <mergeCell ref="AD272:AD274"/>
    <mergeCell ref="AD302:AD304"/>
    <mergeCell ref="AD275:AD277"/>
    <mergeCell ref="AD278:AD280"/>
    <mergeCell ref="AD281:AD283"/>
    <mergeCell ref="AD284:AD286"/>
    <mergeCell ref="AD287:AD289"/>
    <mergeCell ref="AD290:AD292"/>
    <mergeCell ref="AD293:AD295"/>
    <mergeCell ref="AD296:AD298"/>
    <mergeCell ref="AD299:AD3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85C7-A556-4702-86C4-FEEEAE0B4EBC}">
  <dimension ref="A5:L129"/>
  <sheetViews>
    <sheetView topLeftCell="A95" zoomScale="85" zoomScaleNormal="85" workbookViewId="0">
      <selection activeCell="C11" sqref="C11:C106"/>
    </sheetView>
  </sheetViews>
  <sheetFormatPr baseColWidth="10" defaultRowHeight="15" x14ac:dyDescent="0.25"/>
  <cols>
    <col min="1" max="1" width="28.28515625" style="3" customWidth="1"/>
    <col min="2" max="3" width="22.140625" style="11" customWidth="1"/>
    <col min="4" max="4" width="20.140625" style="8" customWidth="1"/>
    <col min="5" max="6" width="20.140625" style="11" customWidth="1"/>
    <col min="7" max="7" width="23.42578125" style="12" customWidth="1"/>
    <col min="9" max="9" width="18" bestFit="1" customWidth="1"/>
    <col min="11" max="11" width="24.28515625" customWidth="1"/>
    <col min="12" max="12" width="19" bestFit="1" customWidth="1"/>
  </cols>
  <sheetData>
    <row r="5" spans="1:12" x14ac:dyDescent="0.25">
      <c r="A5" s="98" t="s">
        <v>157</v>
      </c>
      <c r="B5" s="98"/>
      <c r="C5" s="98"/>
      <c r="D5" s="98"/>
      <c r="E5" s="98"/>
      <c r="F5" s="98"/>
      <c r="G5" s="98"/>
    </row>
    <row r="6" spans="1:12" x14ac:dyDescent="0.25">
      <c r="A6" s="98"/>
      <c r="B6" s="98"/>
      <c r="C6" s="98"/>
      <c r="D6" s="98"/>
      <c r="E6" s="98"/>
      <c r="F6" s="98"/>
      <c r="G6" s="98"/>
    </row>
    <row r="7" spans="1:12" ht="15.75" thickBot="1" x14ac:dyDescent="0.3">
      <c r="A7" s="9"/>
      <c r="B7" s="10"/>
      <c r="C7" s="10"/>
    </row>
    <row r="8" spans="1:12" ht="15.75" thickBot="1" x14ac:dyDescent="0.3">
      <c r="A8" s="13" t="s">
        <v>0</v>
      </c>
      <c r="B8" s="99"/>
      <c r="C8" s="100"/>
      <c r="D8" s="100"/>
      <c r="E8" s="100"/>
      <c r="F8" s="100"/>
      <c r="G8" s="101"/>
    </row>
    <row r="9" spans="1:12" ht="25.5" customHeight="1" thickBot="1" x14ac:dyDescent="0.3">
      <c r="A9" s="14"/>
      <c r="B9" s="15"/>
      <c r="C9" s="15"/>
      <c r="D9" s="1"/>
      <c r="E9" s="16"/>
      <c r="F9" s="16"/>
      <c r="G9" s="17"/>
    </row>
    <row r="10" spans="1:12" ht="60.75" thickBot="1" x14ac:dyDescent="0.3">
      <c r="A10" s="2" t="s">
        <v>2</v>
      </c>
      <c r="B10" s="22" t="s">
        <v>3</v>
      </c>
      <c r="C10" s="2" t="s">
        <v>14</v>
      </c>
      <c r="D10" s="7" t="s">
        <v>4</v>
      </c>
      <c r="E10" s="2" t="s">
        <v>5</v>
      </c>
      <c r="F10" s="2" t="s">
        <v>101</v>
      </c>
      <c r="G10" s="2" t="s">
        <v>6</v>
      </c>
    </row>
    <row r="11" spans="1:12" ht="15.75" thickBot="1" x14ac:dyDescent="0.3">
      <c r="A11" s="7" t="s">
        <v>17</v>
      </c>
      <c r="B11" s="23">
        <f>'Despacho Horario Producto No, 2'!AD2</f>
        <v>4166701.9934963477</v>
      </c>
      <c r="C11" s="87">
        <f>SUM(B11:B22)</f>
        <v>38713629.746079922</v>
      </c>
      <c r="D11" s="92"/>
      <c r="E11" s="63">
        <f>+$D$11*B11</f>
        <v>0</v>
      </c>
      <c r="F11" s="87">
        <f>SUM(E11:E22)</f>
        <v>0</v>
      </c>
      <c r="G11" s="103"/>
      <c r="L11" s="40"/>
    </row>
    <row r="12" spans="1:12" ht="15.75" thickBot="1" x14ac:dyDescent="0.3">
      <c r="A12" s="19" t="s">
        <v>18</v>
      </c>
      <c r="B12" s="23">
        <f>'Despacho Horario Producto No, 2'!AD5</f>
        <v>4120884.3972877068</v>
      </c>
      <c r="C12" s="90"/>
      <c r="D12" s="93"/>
      <c r="E12" s="63">
        <f t="shared" ref="E12:E22" si="0">+$D$11*B12</f>
        <v>0</v>
      </c>
      <c r="F12" s="90"/>
      <c r="G12" s="102"/>
    </row>
    <row r="13" spans="1:12" ht="15.75" thickBot="1" x14ac:dyDescent="0.3">
      <c r="A13" s="19" t="s">
        <v>19</v>
      </c>
      <c r="B13" s="23">
        <f>'Despacho Horario Producto No, 2'!AD8</f>
        <v>4663890.7657280136</v>
      </c>
      <c r="C13" s="90"/>
      <c r="D13" s="93"/>
      <c r="E13" s="63">
        <f t="shared" si="0"/>
        <v>0</v>
      </c>
      <c r="F13" s="90"/>
      <c r="G13" s="102"/>
    </row>
    <row r="14" spans="1:12" ht="15.75" thickBot="1" x14ac:dyDescent="0.3">
      <c r="A14" s="19" t="s">
        <v>20</v>
      </c>
      <c r="B14" s="23">
        <f>'Despacho Horario Producto No, 2'!AD11</f>
        <v>4125328.1534747034</v>
      </c>
      <c r="C14" s="90"/>
      <c r="D14" s="93"/>
      <c r="E14" s="63">
        <f t="shared" si="0"/>
        <v>0</v>
      </c>
      <c r="F14" s="90"/>
      <c r="G14" s="102"/>
    </row>
    <row r="15" spans="1:12" ht="15.75" thickBot="1" x14ac:dyDescent="0.3">
      <c r="A15" s="19" t="s">
        <v>21</v>
      </c>
      <c r="B15" s="23">
        <f>'Despacho Horario Producto No, 2'!AD14</f>
        <v>4694989.0273895562</v>
      </c>
      <c r="C15" s="90"/>
      <c r="D15" s="93"/>
      <c r="E15" s="63">
        <f t="shared" si="0"/>
        <v>0</v>
      </c>
      <c r="F15" s="90"/>
      <c r="G15" s="102"/>
    </row>
    <row r="16" spans="1:12" ht="15.75" thickBot="1" x14ac:dyDescent="0.3">
      <c r="A16" s="19" t="s">
        <v>22</v>
      </c>
      <c r="B16" s="23">
        <f>'Despacho Horario Producto No, 2'!AD17</f>
        <v>4033377.7500967942</v>
      </c>
      <c r="C16" s="90"/>
      <c r="D16" s="93"/>
      <c r="E16" s="63">
        <f t="shared" si="0"/>
        <v>0</v>
      </c>
      <c r="F16" s="90"/>
      <c r="G16" s="102"/>
    </row>
    <row r="17" spans="1:7" ht="15.75" thickBot="1" x14ac:dyDescent="0.3">
      <c r="A17" s="19" t="s">
        <v>23</v>
      </c>
      <c r="B17" s="23">
        <f>'Despacho Horario Producto No, 2'!AD20</f>
        <v>4425238.2172257602</v>
      </c>
      <c r="C17" s="90"/>
      <c r="D17" s="93"/>
      <c r="E17" s="63">
        <f t="shared" si="0"/>
        <v>0</v>
      </c>
      <c r="F17" s="90"/>
      <c r="G17" s="102"/>
    </row>
    <row r="18" spans="1:7" ht="15.75" thickBot="1" x14ac:dyDescent="0.3">
      <c r="A18" s="19" t="s">
        <v>24</v>
      </c>
      <c r="B18" s="23">
        <f>'Despacho Horario Producto No, 2'!AD23</f>
        <v>0</v>
      </c>
      <c r="C18" s="90"/>
      <c r="D18" s="93"/>
      <c r="E18" s="63">
        <f t="shared" si="0"/>
        <v>0</v>
      </c>
      <c r="F18" s="90"/>
      <c r="G18" s="102"/>
    </row>
    <row r="19" spans="1:7" ht="15.75" thickBot="1" x14ac:dyDescent="0.3">
      <c r="A19" s="19" t="s">
        <v>25</v>
      </c>
      <c r="B19" s="23">
        <f>'Despacho Horario Producto No, 2'!AD26</f>
        <v>0</v>
      </c>
      <c r="C19" s="90"/>
      <c r="D19" s="93"/>
      <c r="E19" s="63">
        <f t="shared" si="0"/>
        <v>0</v>
      </c>
      <c r="F19" s="90"/>
      <c r="G19" s="102"/>
    </row>
    <row r="20" spans="1:7" ht="15.75" thickBot="1" x14ac:dyDescent="0.3">
      <c r="A20" s="19" t="s">
        <v>26</v>
      </c>
      <c r="B20" s="23">
        <f>'Despacho Horario Producto No, 2'!AD29</f>
        <v>0</v>
      </c>
      <c r="C20" s="90"/>
      <c r="D20" s="93"/>
      <c r="E20" s="63">
        <f t="shared" si="0"/>
        <v>0</v>
      </c>
      <c r="F20" s="90"/>
      <c r="G20" s="102"/>
    </row>
    <row r="21" spans="1:7" ht="15.75" thickBot="1" x14ac:dyDescent="0.3">
      <c r="A21" s="19" t="s">
        <v>27</v>
      </c>
      <c r="B21" s="23">
        <f>'Despacho Horario Producto No, 2'!AD32</f>
        <v>4072572.1516091167</v>
      </c>
      <c r="C21" s="90"/>
      <c r="D21" s="93"/>
      <c r="E21" s="63">
        <f t="shared" si="0"/>
        <v>0</v>
      </c>
      <c r="F21" s="90"/>
      <c r="G21" s="102"/>
    </row>
    <row r="22" spans="1:7" ht="15.75" thickBot="1" x14ac:dyDescent="0.3">
      <c r="A22" s="20" t="s">
        <v>28</v>
      </c>
      <c r="B22" s="23">
        <f>'Despacho Horario Producto No, 2'!AD35</f>
        <v>4410647.2897719238</v>
      </c>
      <c r="C22" s="91"/>
      <c r="D22" s="94"/>
      <c r="E22" s="63">
        <f t="shared" si="0"/>
        <v>0</v>
      </c>
      <c r="F22" s="91"/>
      <c r="G22" s="104"/>
    </row>
    <row r="23" spans="1:7" ht="15.75" thickBot="1" x14ac:dyDescent="0.3">
      <c r="A23" s="21" t="s">
        <v>29</v>
      </c>
      <c r="B23" s="23">
        <f>'Despacho Horario Producto No, 2'!AD38</f>
        <v>4309001.101585024</v>
      </c>
      <c r="C23" s="87">
        <f t="shared" ref="C23" si="1">SUM(B23:B34)</f>
        <v>33291869.098630738</v>
      </c>
      <c r="D23" s="92"/>
      <c r="E23" s="63">
        <f>+$D$23*B23</f>
        <v>0</v>
      </c>
      <c r="F23" s="87">
        <f t="shared" ref="F23" si="2">SUM(E23:E34)</f>
        <v>0</v>
      </c>
      <c r="G23" s="102"/>
    </row>
    <row r="24" spans="1:7" ht="15.75" thickBot="1" x14ac:dyDescent="0.3">
      <c r="A24" s="19" t="s">
        <v>30</v>
      </c>
      <c r="B24" s="23">
        <f>'Despacho Horario Producto No, 2'!AD41</f>
        <v>3102795.7730818316</v>
      </c>
      <c r="C24" s="90"/>
      <c r="D24" s="93"/>
      <c r="E24" s="63">
        <f t="shared" ref="E24:E34" si="3">+$D$23*B24</f>
        <v>0</v>
      </c>
      <c r="F24" s="90"/>
      <c r="G24" s="102"/>
    </row>
    <row r="25" spans="1:7" ht="15.75" thickBot="1" x14ac:dyDescent="0.3">
      <c r="A25" s="19" t="s">
        <v>31</v>
      </c>
      <c r="B25" s="23">
        <f>'Despacho Horario Producto No, 2'!AD44</f>
        <v>3909486.3633220205</v>
      </c>
      <c r="C25" s="90"/>
      <c r="D25" s="93"/>
      <c r="E25" s="63">
        <f t="shared" si="3"/>
        <v>0</v>
      </c>
      <c r="F25" s="90"/>
      <c r="G25" s="102"/>
    </row>
    <row r="26" spans="1:7" ht="15.75" thickBot="1" x14ac:dyDescent="0.3">
      <c r="A26" s="19" t="s">
        <v>32</v>
      </c>
      <c r="B26" s="23">
        <f>'Despacho Horario Producto No, 2'!AD47</f>
        <v>3499668.6838984527</v>
      </c>
      <c r="C26" s="90"/>
      <c r="D26" s="93"/>
      <c r="E26" s="63">
        <f t="shared" si="3"/>
        <v>0</v>
      </c>
      <c r="F26" s="90"/>
      <c r="G26" s="102"/>
    </row>
    <row r="27" spans="1:7" ht="15.75" thickBot="1" x14ac:dyDescent="0.3">
      <c r="A27" s="19" t="s">
        <v>33</v>
      </c>
      <c r="B27" s="23">
        <f>'Despacho Horario Producto No, 2'!AD50</f>
        <v>3990561.0859683068</v>
      </c>
      <c r="C27" s="90"/>
      <c r="D27" s="93"/>
      <c r="E27" s="63">
        <f t="shared" si="3"/>
        <v>0</v>
      </c>
      <c r="F27" s="90"/>
      <c r="G27" s="102"/>
    </row>
    <row r="28" spans="1:7" ht="15.75" thickBot="1" x14ac:dyDescent="0.3">
      <c r="A28" s="19" t="s">
        <v>34</v>
      </c>
      <c r="B28" s="23">
        <f>'Despacho Horario Producto No, 2'!AD53</f>
        <v>3355721.8040381884</v>
      </c>
      <c r="C28" s="90"/>
      <c r="D28" s="93"/>
      <c r="E28" s="63">
        <f t="shared" si="3"/>
        <v>0</v>
      </c>
      <c r="F28" s="90"/>
      <c r="G28" s="102"/>
    </row>
    <row r="29" spans="1:7" ht="15.75" thickBot="1" x14ac:dyDescent="0.3">
      <c r="A29" s="19" t="s">
        <v>35</v>
      </c>
      <c r="B29" s="23">
        <f>'Despacho Horario Producto No, 2'!AD56</f>
        <v>3719326.7748227506</v>
      </c>
      <c r="C29" s="90"/>
      <c r="D29" s="93"/>
      <c r="E29" s="63">
        <f t="shared" si="3"/>
        <v>0</v>
      </c>
      <c r="F29" s="90"/>
      <c r="G29" s="102"/>
    </row>
    <row r="30" spans="1:7" ht="15.75" thickBot="1" x14ac:dyDescent="0.3">
      <c r="A30" s="19" t="s">
        <v>36</v>
      </c>
      <c r="B30" s="23">
        <f>'Despacho Horario Producto No, 2'!AD59</f>
        <v>0</v>
      </c>
      <c r="C30" s="90"/>
      <c r="D30" s="93"/>
      <c r="E30" s="63">
        <f t="shared" si="3"/>
        <v>0</v>
      </c>
      <c r="F30" s="90"/>
      <c r="G30" s="102"/>
    </row>
    <row r="31" spans="1:7" ht="15.75" thickBot="1" x14ac:dyDescent="0.3">
      <c r="A31" s="19" t="s">
        <v>37</v>
      </c>
      <c r="B31" s="23">
        <f>'Despacho Horario Producto No, 2'!AD62</f>
        <v>0</v>
      </c>
      <c r="C31" s="90"/>
      <c r="D31" s="93"/>
      <c r="E31" s="63">
        <f t="shared" si="3"/>
        <v>0</v>
      </c>
      <c r="F31" s="90"/>
      <c r="G31" s="102"/>
    </row>
    <row r="32" spans="1:7" ht="15.75" thickBot="1" x14ac:dyDescent="0.3">
      <c r="A32" s="19" t="s">
        <v>38</v>
      </c>
      <c r="B32" s="23">
        <f>'Despacho Horario Producto No, 2'!AD65</f>
        <v>0</v>
      </c>
      <c r="C32" s="90"/>
      <c r="D32" s="93"/>
      <c r="E32" s="63">
        <f t="shared" si="3"/>
        <v>0</v>
      </c>
      <c r="F32" s="90"/>
      <c r="G32" s="102"/>
    </row>
    <row r="33" spans="1:7" ht="15.75" thickBot="1" x14ac:dyDescent="0.3">
      <c r="A33" s="19" t="s">
        <v>39</v>
      </c>
      <c r="B33" s="23">
        <f>'Despacho Horario Producto No, 2'!AD68</f>
        <v>3389657.2640533163</v>
      </c>
      <c r="C33" s="90"/>
      <c r="D33" s="93"/>
      <c r="E33" s="63">
        <f t="shared" si="3"/>
        <v>0</v>
      </c>
      <c r="F33" s="90"/>
      <c r="G33" s="102"/>
    </row>
    <row r="34" spans="1:7" ht="15.75" thickBot="1" x14ac:dyDescent="0.3">
      <c r="A34" s="24" t="s">
        <v>40</v>
      </c>
      <c r="B34" s="23">
        <f>'Despacho Horario Producto No, 2'!AD71</f>
        <v>4015650.2478608494</v>
      </c>
      <c r="C34" s="91"/>
      <c r="D34" s="94"/>
      <c r="E34" s="63">
        <f t="shared" si="3"/>
        <v>0</v>
      </c>
      <c r="F34" s="91"/>
      <c r="G34" s="102"/>
    </row>
    <row r="35" spans="1:7" ht="15.75" thickBot="1" x14ac:dyDescent="0.3">
      <c r="A35" s="7" t="s">
        <v>41</v>
      </c>
      <c r="B35" s="23">
        <f>'Despacho Horario Producto No, 2'!AD74</f>
        <v>4664065.9704523366</v>
      </c>
      <c r="C35" s="87">
        <f t="shared" ref="C35" si="4">SUM(B35:B46)</f>
        <v>49336294.95529379</v>
      </c>
      <c r="D35" s="92"/>
      <c r="E35" s="63">
        <f>+$D$35*B35</f>
        <v>0</v>
      </c>
      <c r="F35" s="87">
        <f t="shared" ref="F35" si="5">SUM(E35:E46)</f>
        <v>0</v>
      </c>
      <c r="G35" s="103"/>
    </row>
    <row r="36" spans="1:7" ht="15.75" thickBot="1" x14ac:dyDescent="0.3">
      <c r="A36" s="19" t="s">
        <v>42</v>
      </c>
      <c r="B36" s="23">
        <f>'Despacho Horario Producto No, 2'!AD77</f>
        <v>3763314.2327505234</v>
      </c>
      <c r="C36" s="90"/>
      <c r="D36" s="93"/>
      <c r="E36" s="63">
        <f t="shared" ref="E36:E46" si="6">+$D$35*B36</f>
        <v>0</v>
      </c>
      <c r="F36" s="90"/>
      <c r="G36" s="102"/>
    </row>
    <row r="37" spans="1:7" ht="15.75" thickBot="1" x14ac:dyDescent="0.3">
      <c r="A37" s="19" t="s">
        <v>43</v>
      </c>
      <c r="B37" s="23">
        <f>'Despacho Horario Producto No, 2'!AD80</f>
        <v>4349346.6968441047</v>
      </c>
      <c r="C37" s="90"/>
      <c r="D37" s="93"/>
      <c r="E37" s="63">
        <f t="shared" si="6"/>
        <v>0</v>
      </c>
      <c r="F37" s="90"/>
      <c r="G37" s="102"/>
    </row>
    <row r="38" spans="1:7" ht="15.75" thickBot="1" x14ac:dyDescent="0.3">
      <c r="A38" s="19" t="s">
        <v>44</v>
      </c>
      <c r="B38" s="23">
        <f>'Despacho Horario Producto No, 2'!AD83</f>
        <v>3815278.571247864</v>
      </c>
      <c r="C38" s="90"/>
      <c r="D38" s="93"/>
      <c r="E38" s="63">
        <f t="shared" si="6"/>
        <v>0</v>
      </c>
      <c r="F38" s="90"/>
      <c r="G38" s="102"/>
    </row>
    <row r="39" spans="1:7" ht="15.75" thickBot="1" x14ac:dyDescent="0.3">
      <c r="A39" s="19" t="s">
        <v>45</v>
      </c>
      <c r="B39" s="23">
        <f>'Despacho Horario Producto No, 2'!AD86</f>
        <v>4368914.2188662188</v>
      </c>
      <c r="C39" s="90"/>
      <c r="D39" s="93"/>
      <c r="E39" s="63">
        <f t="shared" si="6"/>
        <v>0</v>
      </c>
      <c r="F39" s="90"/>
      <c r="G39" s="102"/>
    </row>
    <row r="40" spans="1:7" ht="15.75" thickBot="1" x14ac:dyDescent="0.3">
      <c r="A40" s="19" t="s">
        <v>46</v>
      </c>
      <c r="B40" s="23">
        <f>'Despacho Horario Producto No, 2'!AD89</f>
        <v>3724343.2450044039</v>
      </c>
      <c r="C40" s="90"/>
      <c r="D40" s="93"/>
      <c r="E40" s="63">
        <f t="shared" si="6"/>
        <v>0</v>
      </c>
      <c r="F40" s="90"/>
      <c r="G40" s="102"/>
    </row>
    <row r="41" spans="1:7" ht="15.75" thickBot="1" x14ac:dyDescent="0.3">
      <c r="A41" s="19" t="s">
        <v>47</v>
      </c>
      <c r="B41" s="23">
        <f>'Despacho Horario Producto No, 2'!AD92</f>
        <v>4100617.0562813058</v>
      </c>
      <c r="C41" s="90"/>
      <c r="D41" s="93"/>
      <c r="E41" s="63">
        <f t="shared" si="6"/>
        <v>0</v>
      </c>
      <c r="F41" s="90"/>
      <c r="G41" s="102"/>
    </row>
    <row r="42" spans="1:7" ht="15.75" thickBot="1" x14ac:dyDescent="0.3">
      <c r="A42" s="19" t="s">
        <v>48</v>
      </c>
      <c r="B42" s="23">
        <f>'Despacho Horario Producto No, 2'!AD95</f>
        <v>4242356.1845386643</v>
      </c>
      <c r="C42" s="90"/>
      <c r="D42" s="93"/>
      <c r="E42" s="63">
        <f t="shared" si="6"/>
        <v>0</v>
      </c>
      <c r="F42" s="90"/>
      <c r="G42" s="102"/>
    </row>
    <row r="43" spans="1:7" ht="15.75" thickBot="1" x14ac:dyDescent="0.3">
      <c r="A43" s="19" t="s">
        <v>49</v>
      </c>
      <c r="B43" s="23">
        <f>'Despacho Horario Producto No, 2'!AD98</f>
        <v>3958090.5340116527</v>
      </c>
      <c r="C43" s="90"/>
      <c r="D43" s="93"/>
      <c r="E43" s="63">
        <f t="shared" si="6"/>
        <v>0</v>
      </c>
      <c r="F43" s="90"/>
      <c r="G43" s="102"/>
    </row>
    <row r="44" spans="1:7" ht="15.75" thickBot="1" x14ac:dyDescent="0.3">
      <c r="A44" s="19" t="s">
        <v>50</v>
      </c>
      <c r="B44" s="23">
        <f>'Despacho Horario Producto No, 2'!AD101</f>
        <v>4205647.149688866</v>
      </c>
      <c r="C44" s="90"/>
      <c r="D44" s="93"/>
      <c r="E44" s="63">
        <f t="shared" si="6"/>
        <v>0</v>
      </c>
      <c r="F44" s="90"/>
      <c r="G44" s="102"/>
    </row>
    <row r="45" spans="1:7" ht="15.75" thickBot="1" x14ac:dyDescent="0.3">
      <c r="A45" s="19" t="s">
        <v>51</v>
      </c>
      <c r="B45" s="23">
        <f>'Despacho Horario Producto No, 2'!AD104</f>
        <v>3758464.9588205433</v>
      </c>
      <c r="C45" s="90"/>
      <c r="D45" s="93"/>
      <c r="E45" s="63">
        <f t="shared" si="6"/>
        <v>0</v>
      </c>
      <c r="F45" s="90"/>
      <c r="G45" s="102"/>
    </row>
    <row r="46" spans="1:7" ht="15.75" thickBot="1" x14ac:dyDescent="0.3">
      <c r="A46" s="20" t="s">
        <v>52</v>
      </c>
      <c r="B46" s="23">
        <f>'Despacho Horario Producto No, 2'!AD107</f>
        <v>4385856.1367873</v>
      </c>
      <c r="C46" s="91"/>
      <c r="D46" s="94"/>
      <c r="E46" s="63">
        <f t="shared" si="6"/>
        <v>0</v>
      </c>
      <c r="F46" s="91"/>
      <c r="G46" s="104"/>
    </row>
    <row r="47" spans="1:7" ht="15.75" thickBot="1" x14ac:dyDescent="0.3">
      <c r="A47" s="21" t="s">
        <v>53</v>
      </c>
      <c r="B47" s="23">
        <f>'Despacho Horario Producto No, 2'!AD110</f>
        <v>5070005.7970028995</v>
      </c>
      <c r="C47" s="87">
        <f t="shared" ref="C47" si="7">SUM(B47:B58)</f>
        <v>53544167.12825001</v>
      </c>
      <c r="D47" s="92"/>
      <c r="E47" s="63">
        <f>+$D$47*B47</f>
        <v>0</v>
      </c>
      <c r="F47" s="87">
        <f t="shared" ref="F47" si="8">SUM(E47:E58)</f>
        <v>0</v>
      </c>
      <c r="G47" s="102"/>
    </row>
    <row r="48" spans="1:7" ht="15.75" thickBot="1" x14ac:dyDescent="0.3">
      <c r="A48" s="19" t="s">
        <v>54</v>
      </c>
      <c r="B48" s="23">
        <f>'Despacho Horario Producto No, 2'!AD113</f>
        <v>3794561.7373589026</v>
      </c>
      <c r="C48" s="90"/>
      <c r="D48" s="93"/>
      <c r="E48" s="63">
        <f t="shared" ref="E48:E58" si="9">+$D$47*B48</f>
        <v>0</v>
      </c>
      <c r="F48" s="90"/>
      <c r="G48" s="102"/>
    </row>
    <row r="49" spans="1:7" ht="15.75" thickBot="1" x14ac:dyDescent="0.3">
      <c r="A49" s="19" t="s">
        <v>55</v>
      </c>
      <c r="B49" s="23">
        <f>'Despacho Horario Producto No, 2'!AD116</f>
        <v>4669978.6726271622</v>
      </c>
      <c r="C49" s="90"/>
      <c r="D49" s="93"/>
      <c r="E49" s="63">
        <f t="shared" si="9"/>
        <v>0</v>
      </c>
      <c r="F49" s="90"/>
      <c r="G49" s="102"/>
    </row>
    <row r="50" spans="1:7" ht="15.75" thickBot="1" x14ac:dyDescent="0.3">
      <c r="A50" s="19" t="s">
        <v>56</v>
      </c>
      <c r="B50" s="23">
        <f>'Despacho Horario Producto No, 2'!AD119</f>
        <v>4240026.5281159868</v>
      </c>
      <c r="C50" s="90"/>
      <c r="D50" s="93"/>
      <c r="E50" s="63">
        <f t="shared" si="9"/>
        <v>0</v>
      </c>
      <c r="F50" s="90"/>
      <c r="G50" s="102"/>
    </row>
    <row r="51" spans="1:7" ht="15.75" thickBot="1" x14ac:dyDescent="0.3">
      <c r="A51" s="19" t="s">
        <v>57</v>
      </c>
      <c r="B51" s="23">
        <f>'Despacho Horario Producto No, 2'!AD122</f>
        <v>4750862.5117634991</v>
      </c>
      <c r="C51" s="90"/>
      <c r="D51" s="93"/>
      <c r="E51" s="63">
        <f t="shared" si="9"/>
        <v>0</v>
      </c>
      <c r="F51" s="90"/>
      <c r="G51" s="102"/>
    </row>
    <row r="52" spans="1:7" ht="15.75" thickBot="1" x14ac:dyDescent="0.3">
      <c r="A52" s="19" t="s">
        <v>58</v>
      </c>
      <c r="B52" s="23">
        <f>'Despacho Horario Producto No, 2'!AD125</f>
        <v>4092787.6436152663</v>
      </c>
      <c r="C52" s="90"/>
      <c r="D52" s="93"/>
      <c r="E52" s="63">
        <f t="shared" si="9"/>
        <v>0</v>
      </c>
      <c r="F52" s="90"/>
      <c r="G52" s="102"/>
    </row>
    <row r="53" spans="1:7" ht="15.75" thickBot="1" x14ac:dyDescent="0.3">
      <c r="A53" s="19" t="s">
        <v>59</v>
      </c>
      <c r="B53" s="23">
        <f>'Despacho Horario Producto No, 2'!AD128</f>
        <v>4481873.109886962</v>
      </c>
      <c r="C53" s="90"/>
      <c r="D53" s="93"/>
      <c r="E53" s="63">
        <f t="shared" si="9"/>
        <v>0</v>
      </c>
      <c r="F53" s="90"/>
      <c r="G53" s="102"/>
    </row>
    <row r="54" spans="1:7" ht="15.75" thickBot="1" x14ac:dyDescent="0.3">
      <c r="A54" s="19" t="s">
        <v>60</v>
      </c>
      <c r="B54" s="23">
        <f>'Despacho Horario Producto No, 2'!AD131</f>
        <v>4623381.3015643628</v>
      </c>
      <c r="C54" s="90"/>
      <c r="D54" s="93"/>
      <c r="E54" s="63">
        <f t="shared" si="9"/>
        <v>0</v>
      </c>
      <c r="F54" s="90"/>
      <c r="G54" s="102"/>
    </row>
    <row r="55" spans="1:7" ht="15.75" thickBot="1" x14ac:dyDescent="0.3">
      <c r="A55" s="19" t="s">
        <v>61</v>
      </c>
      <c r="B55" s="23">
        <f>'Despacho Horario Producto No, 2'!AD134</f>
        <v>4328073.6339276135</v>
      </c>
      <c r="C55" s="90"/>
      <c r="D55" s="93"/>
      <c r="E55" s="63">
        <f t="shared" si="9"/>
        <v>0</v>
      </c>
      <c r="F55" s="90"/>
      <c r="G55" s="102"/>
    </row>
    <row r="56" spans="1:7" ht="15.75" thickBot="1" x14ac:dyDescent="0.3">
      <c r="A56" s="19" t="s">
        <v>62</v>
      </c>
      <c r="B56" s="23">
        <f>'Despacho Horario Producto No, 2'!AD137</f>
        <v>4587286.6382261319</v>
      </c>
      <c r="C56" s="90"/>
      <c r="D56" s="93"/>
      <c r="E56" s="63">
        <f t="shared" si="9"/>
        <v>0</v>
      </c>
      <c r="F56" s="90"/>
      <c r="G56" s="102"/>
    </row>
    <row r="57" spans="1:7" ht="15.75" thickBot="1" x14ac:dyDescent="0.3">
      <c r="A57" s="19" t="s">
        <v>63</v>
      </c>
      <c r="B57" s="23">
        <f>'Despacho Horario Producto No, 2'!AD140</f>
        <v>4127263.7708041565</v>
      </c>
      <c r="C57" s="90"/>
      <c r="D57" s="93"/>
      <c r="E57" s="63">
        <f t="shared" si="9"/>
        <v>0</v>
      </c>
      <c r="F57" s="90"/>
      <c r="G57" s="102"/>
    </row>
    <row r="58" spans="1:7" ht="15.75" thickBot="1" x14ac:dyDescent="0.3">
      <c r="A58" s="24" t="s">
        <v>64</v>
      </c>
      <c r="B58" s="23">
        <f>'Despacho Horario Producto No, 2'!AD143</f>
        <v>4778065.7833570689</v>
      </c>
      <c r="C58" s="91"/>
      <c r="D58" s="94"/>
      <c r="E58" s="63">
        <f t="shared" si="9"/>
        <v>0</v>
      </c>
      <c r="F58" s="91"/>
      <c r="G58" s="102"/>
    </row>
    <row r="59" spans="1:7" ht="15.75" thickBot="1" x14ac:dyDescent="0.3">
      <c r="A59" s="7" t="s">
        <v>65</v>
      </c>
      <c r="B59" s="23">
        <f>'Despacho Horario Producto No, 2'!AD146</f>
        <v>5450346.8476212583</v>
      </c>
      <c r="C59" s="87">
        <f t="shared" ref="C59" si="10">SUM(B59:B70)</f>
        <v>58066282.684421621</v>
      </c>
      <c r="D59" s="92"/>
      <c r="E59" s="63">
        <f>+$D$59*B59</f>
        <v>0</v>
      </c>
      <c r="F59" s="87">
        <f t="shared" ref="F59" si="11">SUM(E59:E70)</f>
        <v>0</v>
      </c>
      <c r="G59" s="103"/>
    </row>
    <row r="60" spans="1:7" ht="15.75" thickBot="1" x14ac:dyDescent="0.3">
      <c r="A60" s="19" t="s">
        <v>66</v>
      </c>
      <c r="B60" s="23">
        <f>'Despacho Horario Producto No, 2'!AD149</f>
        <v>4139883.9976136177</v>
      </c>
      <c r="C60" s="90"/>
      <c r="D60" s="93"/>
      <c r="E60" s="63">
        <f t="shared" ref="E60:E70" si="12">+$D$59*B60</f>
        <v>0</v>
      </c>
      <c r="F60" s="90"/>
      <c r="G60" s="102"/>
    </row>
    <row r="61" spans="1:7" ht="15.75" thickBot="1" x14ac:dyDescent="0.3">
      <c r="A61" s="19" t="s">
        <v>67</v>
      </c>
      <c r="B61" s="23">
        <f>'Despacho Horario Producto No, 2'!AD152</f>
        <v>5112318.3605441405</v>
      </c>
      <c r="C61" s="90"/>
      <c r="D61" s="93"/>
      <c r="E61" s="63">
        <f t="shared" si="12"/>
        <v>0</v>
      </c>
      <c r="F61" s="90"/>
      <c r="G61" s="102"/>
    </row>
    <row r="62" spans="1:7" ht="15.75" thickBot="1" x14ac:dyDescent="0.3">
      <c r="A62" s="19" t="s">
        <v>68</v>
      </c>
      <c r="B62" s="23">
        <f>'Despacho Horario Producto No, 2'!AD155</f>
        <v>4552379.8343669185</v>
      </c>
      <c r="C62" s="90"/>
      <c r="D62" s="93"/>
      <c r="E62" s="63">
        <f t="shared" si="12"/>
        <v>0</v>
      </c>
      <c r="F62" s="90"/>
      <c r="G62" s="102"/>
    </row>
    <row r="63" spans="1:7" ht="15.75" thickBot="1" x14ac:dyDescent="0.3">
      <c r="A63" s="19" t="s">
        <v>69</v>
      </c>
      <c r="B63" s="23">
        <f>'Despacho Horario Producto No, 2'!AD158</f>
        <v>5140192.3936945237</v>
      </c>
      <c r="C63" s="90"/>
      <c r="D63" s="93"/>
      <c r="E63" s="63">
        <f t="shared" si="12"/>
        <v>0</v>
      </c>
      <c r="F63" s="90"/>
      <c r="G63" s="102"/>
    </row>
    <row r="64" spans="1:7" ht="15.75" thickBot="1" x14ac:dyDescent="0.3">
      <c r="A64" s="19" t="s">
        <v>70</v>
      </c>
      <c r="B64" s="23">
        <f>'Despacho Horario Producto No, 2'!AD161</f>
        <v>4461123.3406746062</v>
      </c>
      <c r="C64" s="90"/>
      <c r="D64" s="93"/>
      <c r="E64" s="63">
        <f t="shared" si="12"/>
        <v>0</v>
      </c>
      <c r="F64" s="90"/>
      <c r="G64" s="102"/>
    </row>
    <row r="65" spans="1:7" ht="15.75" thickBot="1" x14ac:dyDescent="0.3">
      <c r="A65" s="19" t="s">
        <v>71</v>
      </c>
      <c r="B65" s="23">
        <f>'Despacho Horario Producto No, 2'!AD164</f>
        <v>4867904.8227969594</v>
      </c>
      <c r="C65" s="90"/>
      <c r="D65" s="93"/>
      <c r="E65" s="63">
        <f t="shared" si="12"/>
        <v>0</v>
      </c>
      <c r="F65" s="90"/>
      <c r="G65" s="102"/>
    </row>
    <row r="66" spans="1:7" ht="15.75" thickBot="1" x14ac:dyDescent="0.3">
      <c r="A66" s="19" t="s">
        <v>72</v>
      </c>
      <c r="B66" s="23">
        <f>'Despacho Horario Producto No, 2'!AD167</f>
        <v>5004348.3170812409</v>
      </c>
      <c r="C66" s="90"/>
      <c r="D66" s="93"/>
      <c r="E66" s="63">
        <f t="shared" si="12"/>
        <v>0</v>
      </c>
      <c r="F66" s="90"/>
      <c r="G66" s="102"/>
    </row>
    <row r="67" spans="1:7" ht="15.75" thickBot="1" x14ac:dyDescent="0.3">
      <c r="A67" s="19" t="s">
        <v>73</v>
      </c>
      <c r="B67" s="23">
        <f>'Despacho Horario Producto No, 2'!AD170</f>
        <v>4698058.8191039395</v>
      </c>
      <c r="C67" s="90"/>
      <c r="D67" s="93"/>
      <c r="E67" s="63">
        <f t="shared" si="12"/>
        <v>0</v>
      </c>
      <c r="F67" s="90"/>
      <c r="G67" s="102"/>
    </row>
    <row r="68" spans="1:7" ht="15.75" thickBot="1" x14ac:dyDescent="0.3">
      <c r="A68" s="19" t="s">
        <v>74</v>
      </c>
      <c r="B68" s="23">
        <f>'Despacho Horario Producto No, 2'!AD173</f>
        <v>4968875.4828954637</v>
      </c>
      <c r="C68" s="90"/>
      <c r="D68" s="93"/>
      <c r="E68" s="63">
        <f t="shared" si="12"/>
        <v>0</v>
      </c>
      <c r="F68" s="90"/>
      <c r="G68" s="102"/>
    </row>
    <row r="69" spans="1:7" ht="15.75" thickBot="1" x14ac:dyDescent="0.3">
      <c r="A69" s="19" t="s">
        <v>75</v>
      </c>
      <c r="B69" s="23">
        <f>'Despacho Horario Producto No, 2'!AD176</f>
        <v>4496026.6897078892</v>
      </c>
      <c r="C69" s="90"/>
      <c r="D69" s="93"/>
      <c r="E69" s="63">
        <f t="shared" si="12"/>
        <v>0</v>
      </c>
      <c r="F69" s="90"/>
      <c r="G69" s="102"/>
    </row>
    <row r="70" spans="1:7" ht="15.75" thickBot="1" x14ac:dyDescent="0.3">
      <c r="A70" s="20" t="s">
        <v>76</v>
      </c>
      <c r="B70" s="23">
        <f>'Despacho Horario Producto No, 2'!AD179</f>
        <v>5174823.778321065</v>
      </c>
      <c r="C70" s="91"/>
      <c r="D70" s="94"/>
      <c r="E70" s="63">
        <f t="shared" si="12"/>
        <v>0</v>
      </c>
      <c r="F70" s="91"/>
      <c r="G70" s="104"/>
    </row>
    <row r="71" spans="1:7" ht="15.75" thickBot="1" x14ac:dyDescent="0.3">
      <c r="A71" s="21" t="s">
        <v>77</v>
      </c>
      <c r="B71" s="23">
        <f>'Despacho Horario Producto No, 2'!AD182</f>
        <v>5540324.0404217392</v>
      </c>
      <c r="C71" s="87">
        <f t="shared" ref="C71" si="13">SUM(B71:B82)</f>
        <v>55362536.422692023</v>
      </c>
      <c r="D71" s="92"/>
      <c r="E71" s="63">
        <f>+$D$71*B71</f>
        <v>0</v>
      </c>
      <c r="F71" s="87">
        <f t="shared" ref="F71" si="14">SUM(E71:E82)</f>
        <v>0</v>
      </c>
      <c r="G71" s="102"/>
    </row>
    <row r="72" spans="1:7" ht="15.75" thickBot="1" x14ac:dyDescent="0.3">
      <c r="A72" s="19" t="s">
        <v>78</v>
      </c>
      <c r="B72" s="23">
        <f>'Despacho Horario Producto No, 2'!AD185</f>
        <v>4239314.7311967006</v>
      </c>
      <c r="C72" s="90"/>
      <c r="D72" s="93"/>
      <c r="E72" s="63">
        <f t="shared" ref="E72:E82" si="15">+$D$71*B72</f>
        <v>0</v>
      </c>
      <c r="F72" s="90"/>
      <c r="G72" s="102"/>
    </row>
    <row r="73" spans="1:7" ht="15.75" thickBot="1" x14ac:dyDescent="0.3">
      <c r="A73" s="19" t="s">
        <v>79</v>
      </c>
      <c r="B73" s="23">
        <f>'Despacho Horario Producto No, 2'!AD188</f>
        <v>5209210.5967905978</v>
      </c>
      <c r="C73" s="90"/>
      <c r="D73" s="93"/>
      <c r="E73" s="63">
        <f t="shared" si="15"/>
        <v>0</v>
      </c>
      <c r="F73" s="90"/>
      <c r="G73" s="102"/>
    </row>
    <row r="74" spans="1:7" ht="15.75" thickBot="1" x14ac:dyDescent="0.3">
      <c r="A74" s="19" t="s">
        <v>80</v>
      </c>
      <c r="B74" s="23">
        <f>'Despacho Horario Producto No, 2'!AD191</f>
        <v>4652443.8324810956</v>
      </c>
      <c r="C74" s="90"/>
      <c r="D74" s="93"/>
      <c r="E74" s="63">
        <f t="shared" si="15"/>
        <v>0</v>
      </c>
      <c r="F74" s="90"/>
      <c r="G74" s="102"/>
    </row>
    <row r="75" spans="1:7" ht="15.75" thickBot="1" x14ac:dyDescent="0.3">
      <c r="A75" s="19" t="s">
        <v>81</v>
      </c>
      <c r="B75" s="23">
        <f>'Despacho Horario Producto No, 2'!AD194</f>
        <v>5233035.9586112034</v>
      </c>
      <c r="C75" s="90"/>
      <c r="D75" s="93"/>
      <c r="E75" s="63">
        <f t="shared" si="15"/>
        <v>0</v>
      </c>
      <c r="F75" s="90"/>
      <c r="G75" s="102"/>
    </row>
    <row r="76" spans="1:7" ht="15.75" thickBot="1" x14ac:dyDescent="0.3">
      <c r="A76" s="19" t="s">
        <v>82</v>
      </c>
      <c r="B76" s="23">
        <f>'Despacho Horario Producto No, 2'!AD197</f>
        <v>4537391.4561781688</v>
      </c>
      <c r="C76" s="90"/>
      <c r="D76" s="93"/>
      <c r="E76" s="63">
        <f t="shared" si="15"/>
        <v>0</v>
      </c>
      <c r="F76" s="90"/>
      <c r="G76" s="102"/>
    </row>
    <row r="77" spans="1:7" ht="15.75" thickBot="1" x14ac:dyDescent="0.3">
      <c r="A77" s="19" t="s">
        <v>83</v>
      </c>
      <c r="B77" s="23">
        <f>'Despacho Horario Producto No, 2'!AD200</f>
        <v>5004921.8617388401</v>
      </c>
      <c r="C77" s="90"/>
      <c r="D77" s="93"/>
      <c r="E77" s="63">
        <f t="shared" si="15"/>
        <v>0</v>
      </c>
      <c r="F77" s="90"/>
      <c r="G77" s="102"/>
    </row>
    <row r="78" spans="1:7" ht="15.75" thickBot="1" x14ac:dyDescent="0.3">
      <c r="A78" s="19" t="s">
        <v>84</v>
      </c>
      <c r="B78" s="23">
        <f>'Despacho Horario Producto No, 2'!AD203</f>
        <v>5076410.1144848811</v>
      </c>
      <c r="C78" s="90"/>
      <c r="D78" s="93"/>
      <c r="E78" s="63">
        <f t="shared" si="15"/>
        <v>0</v>
      </c>
      <c r="F78" s="90"/>
      <c r="G78" s="102"/>
    </row>
    <row r="79" spans="1:7" ht="15.75" thickBot="1" x14ac:dyDescent="0.3">
      <c r="A79" s="19" t="s">
        <v>85</v>
      </c>
      <c r="B79" s="23">
        <f>'Despacho Horario Producto No, 2'!AD206</f>
        <v>4846841.0212312136</v>
      </c>
      <c r="C79" s="90"/>
      <c r="D79" s="93"/>
      <c r="E79" s="63">
        <f t="shared" si="15"/>
        <v>0</v>
      </c>
      <c r="F79" s="90"/>
      <c r="G79" s="102"/>
    </row>
    <row r="80" spans="1:7" ht="15.75" thickBot="1" x14ac:dyDescent="0.3">
      <c r="A80" s="19" t="s">
        <v>86</v>
      </c>
      <c r="B80" s="23">
        <f>'Despacho Horario Producto No, 2'!AD209</f>
        <v>5066491.2943660766</v>
      </c>
      <c r="C80" s="90"/>
      <c r="D80" s="93"/>
      <c r="E80" s="63">
        <f t="shared" si="15"/>
        <v>0</v>
      </c>
      <c r="F80" s="90"/>
      <c r="G80" s="102"/>
    </row>
    <row r="81" spans="1:12" ht="15.75" thickBot="1" x14ac:dyDescent="0.3">
      <c r="A81" s="19" t="s">
        <v>87</v>
      </c>
      <c r="B81" s="23">
        <f>'Despacho Horario Producto No, 2'!AD212</f>
        <v>4574067.9594873469</v>
      </c>
      <c r="C81" s="90"/>
      <c r="D81" s="93"/>
      <c r="E81" s="63">
        <f t="shared" si="15"/>
        <v>0</v>
      </c>
      <c r="F81" s="90"/>
      <c r="G81" s="102"/>
    </row>
    <row r="82" spans="1:12" ht="15.75" thickBot="1" x14ac:dyDescent="0.3">
      <c r="A82" s="24" t="s">
        <v>88</v>
      </c>
      <c r="B82" s="23">
        <f>'Despacho Horario Producto No, 2'!AD215</f>
        <v>1382083.5557041555</v>
      </c>
      <c r="C82" s="91"/>
      <c r="D82" s="94"/>
      <c r="E82" s="63">
        <f t="shared" si="15"/>
        <v>0</v>
      </c>
      <c r="F82" s="91"/>
      <c r="G82" s="102"/>
    </row>
    <row r="83" spans="1:12" ht="15.75" thickBot="1" x14ac:dyDescent="0.3">
      <c r="A83" s="21" t="s">
        <v>142</v>
      </c>
      <c r="B83" s="23">
        <f>'Despacho Horario Producto No, 2'!AD218</f>
        <v>617983.14604928391</v>
      </c>
      <c r="C83" s="87">
        <f t="shared" ref="C83" si="16">SUM(B83:B94)</f>
        <v>7685730.3509602398</v>
      </c>
      <c r="D83" s="92"/>
      <c r="E83" s="63">
        <f>+$D$83*B83</f>
        <v>0</v>
      </c>
      <c r="F83" s="87">
        <f t="shared" ref="F83" si="17">SUM(E83:E94)</f>
        <v>0</v>
      </c>
      <c r="G83" s="41"/>
    </row>
    <row r="84" spans="1:12" ht="15.75" thickBot="1" x14ac:dyDescent="0.3">
      <c r="A84" s="19" t="s">
        <v>143</v>
      </c>
      <c r="B84" s="23">
        <f>'Despacho Horario Producto No, 2'!AD221</f>
        <v>152010.70811391665</v>
      </c>
      <c r="C84" s="90"/>
      <c r="D84" s="93"/>
      <c r="E84" s="63">
        <f t="shared" ref="E84:E94" si="18">+$D$83*B84</f>
        <v>0</v>
      </c>
      <c r="F84" s="90"/>
      <c r="G84" s="41"/>
    </row>
    <row r="85" spans="1:12" ht="15.75" thickBot="1" x14ac:dyDescent="0.3">
      <c r="A85" s="19" t="s">
        <v>144</v>
      </c>
      <c r="B85" s="23">
        <f>'Despacho Horario Producto No, 2'!AD224</f>
        <v>471428.70675556106</v>
      </c>
      <c r="C85" s="90"/>
      <c r="D85" s="93"/>
      <c r="E85" s="63">
        <f t="shared" si="18"/>
        <v>0</v>
      </c>
      <c r="F85" s="90"/>
      <c r="G85" s="41"/>
    </row>
    <row r="86" spans="1:12" ht="15.75" thickBot="1" x14ac:dyDescent="0.3">
      <c r="A86" s="19" t="s">
        <v>145</v>
      </c>
      <c r="B86" s="23">
        <f>'Despacho Horario Producto No, 2'!AD227</f>
        <v>244712.62733622041</v>
      </c>
      <c r="C86" s="90"/>
      <c r="D86" s="93"/>
      <c r="E86" s="63">
        <f t="shared" si="18"/>
        <v>0</v>
      </c>
      <c r="F86" s="90"/>
      <c r="G86" s="41"/>
    </row>
    <row r="87" spans="1:12" ht="15.75" thickBot="1" x14ac:dyDescent="0.3">
      <c r="A87" s="19" t="s">
        <v>146</v>
      </c>
      <c r="B87" s="23">
        <f>'Despacho Horario Producto No, 2'!AD230</f>
        <v>513472.01667625568</v>
      </c>
      <c r="C87" s="90"/>
      <c r="D87" s="93"/>
      <c r="E87" s="63">
        <f t="shared" si="18"/>
        <v>0</v>
      </c>
      <c r="F87" s="90"/>
      <c r="G87" s="41"/>
    </row>
    <row r="88" spans="1:12" ht="15.75" thickBot="1" x14ac:dyDescent="0.3">
      <c r="A88" s="19" t="s">
        <v>147</v>
      </c>
      <c r="B88" s="23">
        <f>'Despacho Horario Producto No, 2'!AD233</f>
        <v>189172.88875256121</v>
      </c>
      <c r="C88" s="90"/>
      <c r="D88" s="93"/>
      <c r="E88" s="63">
        <f t="shared" si="18"/>
        <v>0</v>
      </c>
      <c r="F88" s="90"/>
      <c r="G88" s="41"/>
    </row>
    <row r="89" spans="1:12" ht="15.75" thickBot="1" x14ac:dyDescent="0.3">
      <c r="A89" s="19" t="s">
        <v>148</v>
      </c>
      <c r="B89" s="23">
        <f>'Despacho Horario Producto No, 2'!AD236</f>
        <v>353421.4083867895</v>
      </c>
      <c r="C89" s="90"/>
      <c r="D89" s="93"/>
      <c r="E89" s="63">
        <f t="shared" si="18"/>
        <v>0</v>
      </c>
      <c r="F89" s="90"/>
      <c r="G89" s="41"/>
    </row>
    <row r="90" spans="1:12" ht="15.75" thickBot="1" x14ac:dyDescent="0.3">
      <c r="A90" s="19" t="s">
        <v>149</v>
      </c>
      <c r="B90" s="23">
        <f>'Despacho Horario Producto No, 2'!AD239</f>
        <v>505462.89611335157</v>
      </c>
      <c r="C90" s="90"/>
      <c r="D90" s="93"/>
      <c r="E90" s="63">
        <f t="shared" si="18"/>
        <v>0</v>
      </c>
      <c r="F90" s="90"/>
      <c r="G90" s="41"/>
    </row>
    <row r="91" spans="1:12" ht="15.75" thickBot="1" x14ac:dyDescent="0.3">
      <c r="A91" s="19" t="s">
        <v>150</v>
      </c>
      <c r="B91" s="23">
        <f>'Despacho Horario Producto No, 2'!AD242</f>
        <v>326558.56066858128</v>
      </c>
      <c r="C91" s="90"/>
      <c r="D91" s="93"/>
      <c r="E91" s="63">
        <f t="shared" si="18"/>
        <v>0</v>
      </c>
      <c r="F91" s="90"/>
      <c r="G91" s="41"/>
    </row>
    <row r="92" spans="1:12" ht="15.75" thickBot="1" x14ac:dyDescent="0.3">
      <c r="A92" s="19" t="s">
        <v>151</v>
      </c>
      <c r="B92" s="23">
        <f>'Despacho Horario Producto No, 2'!AD245</f>
        <v>448762.55984296242</v>
      </c>
      <c r="C92" s="90"/>
      <c r="D92" s="93"/>
      <c r="E92" s="63">
        <f t="shared" si="18"/>
        <v>0</v>
      </c>
      <c r="F92" s="90"/>
      <c r="G92" s="41"/>
      <c r="J92" s="5"/>
    </row>
    <row r="93" spans="1:12" ht="15.75" thickBot="1" x14ac:dyDescent="0.3">
      <c r="A93" s="19" t="s">
        <v>152</v>
      </c>
      <c r="B93" s="23">
        <f>'Despacho Horario Producto No, 2'!AD248</f>
        <v>194499.3318861085</v>
      </c>
      <c r="C93" s="90"/>
      <c r="D93" s="93"/>
      <c r="E93" s="63">
        <f t="shared" si="18"/>
        <v>0</v>
      </c>
      <c r="F93" s="90"/>
      <c r="G93" s="41"/>
      <c r="J93" s="5"/>
    </row>
    <row r="94" spans="1:12" ht="15.75" thickBot="1" x14ac:dyDescent="0.3">
      <c r="A94" s="24" t="s">
        <v>153</v>
      </c>
      <c r="B94" s="23">
        <f>'Despacho Horario Producto No, 2'!AD251</f>
        <v>3668245.5003786478</v>
      </c>
      <c r="C94" s="91"/>
      <c r="D94" s="94"/>
      <c r="E94" s="63">
        <f t="shared" si="18"/>
        <v>0</v>
      </c>
      <c r="F94" s="91"/>
      <c r="G94" s="41"/>
    </row>
    <row r="95" spans="1:12" s="3" customFormat="1" ht="15.75" thickBot="1" x14ac:dyDescent="0.3">
      <c r="A95" s="7" t="s">
        <v>89</v>
      </c>
      <c r="B95" s="23">
        <f>'Despacho Horario Producto No, 2'!AD254</f>
        <v>3868612.5285105719</v>
      </c>
      <c r="C95" s="87">
        <f t="shared" ref="C95" si="19">SUM(B95:B106)</f>
        <v>45282703.843186274</v>
      </c>
      <c r="D95" s="92"/>
      <c r="E95" s="63">
        <f>+$D$95*B95</f>
        <v>0</v>
      </c>
      <c r="F95" s="87">
        <f t="shared" ref="F95" si="20">SUM(E95:E106)</f>
        <v>0</v>
      </c>
      <c r="G95" s="103"/>
      <c r="J95" s="5"/>
      <c r="K95" s="4"/>
      <c r="L95" s="4"/>
    </row>
    <row r="96" spans="1:12" ht="15.75" thickBot="1" x14ac:dyDescent="0.3">
      <c r="A96" s="19" t="s">
        <v>90</v>
      </c>
      <c r="B96" s="23">
        <f>'Despacho Horario Producto No, 2'!AD257</f>
        <v>2973766.2485142397</v>
      </c>
      <c r="C96" s="90"/>
      <c r="D96" s="93"/>
      <c r="E96" s="63">
        <f t="shared" ref="E96:E106" si="21">+$D$95*B96</f>
        <v>0</v>
      </c>
      <c r="F96" s="90"/>
      <c r="G96" s="102"/>
      <c r="K96" s="5"/>
    </row>
    <row r="97" spans="1:11" ht="15.75" thickBot="1" x14ac:dyDescent="0.3">
      <c r="A97" s="19" t="s">
        <v>91</v>
      </c>
      <c r="B97" s="23">
        <f>'Despacho Horario Producto No, 2'!AD260</f>
        <v>3695701.4470425062</v>
      </c>
      <c r="C97" s="90"/>
      <c r="D97" s="93"/>
      <c r="E97" s="63">
        <f t="shared" si="21"/>
        <v>0</v>
      </c>
      <c r="F97" s="90"/>
      <c r="G97" s="102"/>
    </row>
    <row r="98" spans="1:11" ht="20.25" thickBot="1" x14ac:dyDescent="0.3">
      <c r="A98" s="19" t="s">
        <v>92</v>
      </c>
      <c r="B98" s="23">
        <f>'Despacho Horario Producto No, 2'!AD263</f>
        <v>3228119.8362156828</v>
      </c>
      <c r="C98" s="90"/>
      <c r="D98" s="93"/>
      <c r="E98" s="63">
        <f t="shared" si="21"/>
        <v>0</v>
      </c>
      <c r="F98" s="90"/>
      <c r="G98" s="102"/>
      <c r="H98" s="6"/>
      <c r="J98" s="6"/>
      <c r="K98" s="6"/>
    </row>
    <row r="99" spans="1:11" ht="15.75" thickBot="1" x14ac:dyDescent="0.3">
      <c r="A99" s="19" t="s">
        <v>93</v>
      </c>
      <c r="B99" s="23">
        <f>'Despacho Horario Producto No, 2'!AD266</f>
        <v>3675599.9022203395</v>
      </c>
      <c r="C99" s="90"/>
      <c r="D99" s="93"/>
      <c r="E99" s="63">
        <f t="shared" si="21"/>
        <v>0</v>
      </c>
      <c r="F99" s="90"/>
      <c r="G99" s="102"/>
    </row>
    <row r="100" spans="1:11" ht="15.75" thickBot="1" x14ac:dyDescent="0.3">
      <c r="A100" s="19" t="s">
        <v>94</v>
      </c>
      <c r="B100" s="23">
        <f>'Despacho Horario Producto No, 2'!AD269</f>
        <v>3192888.2838898464</v>
      </c>
      <c r="C100" s="90"/>
      <c r="D100" s="93"/>
      <c r="E100" s="63">
        <f t="shared" si="21"/>
        <v>0</v>
      </c>
      <c r="F100" s="90"/>
      <c r="G100" s="102"/>
    </row>
    <row r="101" spans="1:11" ht="15.75" thickBot="1" x14ac:dyDescent="0.3">
      <c r="A101" s="19" t="s">
        <v>95</v>
      </c>
      <c r="B101" s="23">
        <f>'Despacho Horario Producto No, 2'!AD272</f>
        <v>3441533.5770036597</v>
      </c>
      <c r="C101" s="90"/>
      <c r="D101" s="93"/>
      <c r="E101" s="63">
        <f t="shared" si="21"/>
        <v>0</v>
      </c>
      <c r="F101" s="90"/>
      <c r="G101" s="102"/>
    </row>
    <row r="102" spans="1:11" ht="15.75" thickBot="1" x14ac:dyDescent="0.3">
      <c r="A102" s="19" t="s">
        <v>96</v>
      </c>
      <c r="B102" s="23">
        <f>'Despacho Horario Producto No, 2'!AD275</f>
        <v>3602040.7939044577</v>
      </c>
      <c r="C102" s="90"/>
      <c r="D102" s="93"/>
      <c r="E102" s="63">
        <f t="shared" si="21"/>
        <v>0</v>
      </c>
      <c r="F102" s="90"/>
      <c r="G102" s="102"/>
    </row>
    <row r="103" spans="1:11" ht="15.75" thickBot="1" x14ac:dyDescent="0.3">
      <c r="A103" s="19" t="s">
        <v>97</v>
      </c>
      <c r="B103" s="23">
        <f>'Despacho Horario Producto No, 2'!AD278</f>
        <v>3410759.5705288406</v>
      </c>
      <c r="C103" s="90"/>
      <c r="D103" s="93"/>
      <c r="E103" s="63">
        <f t="shared" si="21"/>
        <v>0</v>
      </c>
      <c r="F103" s="90"/>
      <c r="G103" s="102"/>
    </row>
    <row r="104" spans="1:11" ht="15.75" thickBot="1" x14ac:dyDescent="0.3">
      <c r="A104" s="19" t="s">
        <v>98</v>
      </c>
      <c r="B104" s="23">
        <f>'Despacho Horario Producto No, 2'!AD281</f>
        <v>3501018.2236018288</v>
      </c>
      <c r="C104" s="90"/>
      <c r="D104" s="93"/>
      <c r="E104" s="63">
        <f t="shared" si="21"/>
        <v>0</v>
      </c>
      <c r="F104" s="90"/>
      <c r="G104" s="102"/>
    </row>
    <row r="105" spans="1:11" ht="15.75" thickBot="1" x14ac:dyDescent="0.3">
      <c r="A105" s="19" t="s">
        <v>99</v>
      </c>
      <c r="B105" s="23">
        <f>'Despacho Horario Producto No, 2'!AD284</f>
        <v>3204107.2197170048</v>
      </c>
      <c r="C105" s="90"/>
      <c r="D105" s="93"/>
      <c r="E105" s="63">
        <f t="shared" si="21"/>
        <v>0</v>
      </c>
      <c r="F105" s="90"/>
      <c r="G105" s="102"/>
    </row>
    <row r="106" spans="1:11" ht="15.75" thickBot="1" x14ac:dyDescent="0.3">
      <c r="A106" s="20" t="s">
        <v>100</v>
      </c>
      <c r="B106" s="23">
        <f>'Despacho Horario Producto No, 2'!AD287</f>
        <v>7488556.2120373044</v>
      </c>
      <c r="C106" s="91"/>
      <c r="D106" s="94"/>
      <c r="E106" s="63">
        <f t="shared" si="21"/>
        <v>0</v>
      </c>
      <c r="F106" s="91"/>
      <c r="G106" s="104"/>
    </row>
    <row r="107" spans="1:11" ht="15.75" thickBot="1" x14ac:dyDescent="0.3">
      <c r="A107" s="38" t="s">
        <v>7</v>
      </c>
      <c r="B107" s="37">
        <f>SUM(B11:B106)</f>
        <v>341283214.22951466</v>
      </c>
      <c r="C107" s="37">
        <f>SUM(C11:C106)</f>
        <v>341283214.2295146</v>
      </c>
      <c r="D107" s="18"/>
      <c r="E107" s="37">
        <f>SUM(E11:E106)</f>
        <v>0</v>
      </c>
      <c r="F107" s="37">
        <f>SUM(F11:F106)</f>
        <v>0</v>
      </c>
      <c r="G107" s="37" t="str">
        <f>IFERROR(SUMPRODUCT(F11:F106,G11:G106)/SUM(F11:F106),"")</f>
        <v/>
      </c>
    </row>
    <row r="108" spans="1:11" x14ac:dyDescent="0.25">
      <c r="A108" s="25"/>
      <c r="B108" s="26"/>
      <c r="C108" s="26"/>
      <c r="D108" s="27"/>
      <c r="E108" s="26"/>
      <c r="F108" s="26"/>
      <c r="G108" s="28"/>
    </row>
    <row r="109" spans="1:11" x14ac:dyDescent="0.25">
      <c r="A109" s="29" t="s">
        <v>1</v>
      </c>
      <c r="B109" s="26"/>
      <c r="C109" s="26"/>
      <c r="D109" s="27"/>
      <c r="E109" s="26"/>
      <c r="F109" s="26"/>
      <c r="G109" s="30"/>
    </row>
    <row r="110" spans="1:11" x14ac:dyDescent="0.25">
      <c r="A110" s="97" t="s">
        <v>8</v>
      </c>
      <c r="B110" s="97"/>
      <c r="C110" s="97"/>
      <c r="D110" s="97"/>
      <c r="E110" s="97"/>
      <c r="F110" s="97"/>
      <c r="G110" s="97"/>
    </row>
    <row r="111" spans="1:11" x14ac:dyDescent="0.25">
      <c r="A111" s="97" t="s">
        <v>16</v>
      </c>
      <c r="B111" s="97"/>
      <c r="C111" s="97"/>
      <c r="D111" s="97"/>
      <c r="E111" s="97"/>
      <c r="F111" s="97"/>
      <c r="G111" s="97"/>
    </row>
    <row r="112" spans="1:11" x14ac:dyDescent="0.25">
      <c r="A112" s="97" t="s">
        <v>158</v>
      </c>
      <c r="B112" s="97"/>
      <c r="C112" s="97"/>
      <c r="D112" s="97"/>
      <c r="E112" s="97"/>
      <c r="F112" s="97"/>
      <c r="G112" s="97"/>
    </row>
    <row r="113" spans="1:7" x14ac:dyDescent="0.25">
      <c r="A113" s="97" t="s">
        <v>102</v>
      </c>
      <c r="B113" s="97"/>
      <c r="C113" s="97"/>
      <c r="D113" s="97"/>
      <c r="E113" s="97"/>
      <c r="F113" s="97"/>
      <c r="G113" s="97"/>
    </row>
    <row r="114" spans="1:7" x14ac:dyDescent="0.25">
      <c r="A114" s="97" t="s">
        <v>13</v>
      </c>
      <c r="B114" s="97"/>
      <c r="C114" s="97"/>
      <c r="D114" s="97"/>
      <c r="E114" s="97"/>
      <c r="F114" s="97"/>
      <c r="G114" s="97"/>
    </row>
    <row r="115" spans="1:7" x14ac:dyDescent="0.25">
      <c r="A115" s="97" t="s">
        <v>156</v>
      </c>
      <c r="B115" s="97"/>
      <c r="C115" s="97"/>
      <c r="D115" s="97"/>
      <c r="E115" s="97"/>
      <c r="F115" s="97"/>
      <c r="G115" s="97"/>
    </row>
    <row r="116" spans="1:7" x14ac:dyDescent="0.25">
      <c r="A116" s="31" t="s">
        <v>15</v>
      </c>
      <c r="B116" s="32"/>
      <c r="C116" s="32"/>
      <c r="D116" s="39"/>
      <c r="E116" s="31"/>
      <c r="F116" s="31"/>
      <c r="G116" s="31"/>
    </row>
    <row r="117" spans="1:7" x14ac:dyDescent="0.25">
      <c r="A117" s="97" t="s">
        <v>103</v>
      </c>
      <c r="B117" s="97"/>
      <c r="C117" s="97"/>
      <c r="D117" s="97"/>
      <c r="E117" s="97"/>
      <c r="F117" s="97"/>
      <c r="G117" s="97"/>
    </row>
    <row r="118" spans="1:7" x14ac:dyDescent="0.25">
      <c r="A118" s="25"/>
      <c r="B118" s="26"/>
      <c r="C118" s="26"/>
      <c r="D118" s="27"/>
      <c r="E118" s="26"/>
      <c r="F118" s="26"/>
      <c r="G118" s="30"/>
    </row>
    <row r="119" spans="1:7" x14ac:dyDescent="0.25">
      <c r="A119" s="33" t="s">
        <v>10</v>
      </c>
      <c r="B119" s="34"/>
      <c r="C119" s="34"/>
      <c r="D119" s="35"/>
      <c r="E119" s="34"/>
      <c r="F119" s="34"/>
      <c r="G119" s="30"/>
    </row>
    <row r="120" spans="1:7" x14ac:dyDescent="0.25">
      <c r="A120" s="33"/>
      <c r="B120" s="34"/>
      <c r="C120" s="34"/>
      <c r="D120" s="35"/>
      <c r="E120" s="34"/>
      <c r="F120" s="34"/>
      <c r="G120" s="30"/>
    </row>
    <row r="121" spans="1:7" x14ac:dyDescent="0.25">
      <c r="A121" s="33"/>
      <c r="B121" s="34"/>
      <c r="C121" s="34"/>
      <c r="D121" s="35"/>
      <c r="E121" s="34"/>
      <c r="F121" s="34"/>
      <c r="G121" s="30"/>
    </row>
    <row r="122" spans="1:7" x14ac:dyDescent="0.25">
      <c r="A122" s="96" t="s">
        <v>11</v>
      </c>
      <c r="B122" s="96"/>
      <c r="C122" s="96"/>
      <c r="D122" s="96"/>
      <c r="E122" s="96"/>
      <c r="F122" s="36"/>
      <c r="G122" s="30"/>
    </row>
    <row r="123" spans="1:7" x14ac:dyDescent="0.25">
      <c r="A123" s="95" t="s">
        <v>12</v>
      </c>
      <c r="B123" s="96"/>
      <c r="C123" s="96"/>
      <c r="D123" s="96"/>
      <c r="E123" s="96"/>
      <c r="F123" s="36"/>
      <c r="G123" s="30"/>
    </row>
    <row r="124" spans="1:7" x14ac:dyDescent="0.25">
      <c r="B124" s="3"/>
      <c r="C124" s="3"/>
      <c r="E124" s="3"/>
      <c r="F124" s="3"/>
      <c r="G124" s="3"/>
    </row>
    <row r="125" spans="1:7" x14ac:dyDescent="0.25">
      <c r="B125" s="3"/>
      <c r="C125" s="3"/>
      <c r="E125" s="3"/>
      <c r="F125" s="3"/>
      <c r="G125" s="3"/>
    </row>
    <row r="126" spans="1:7" x14ac:dyDescent="0.25">
      <c r="B126" s="3"/>
      <c r="C126" s="3"/>
      <c r="E126" s="3"/>
      <c r="F126" s="3"/>
      <c r="G126" s="3"/>
    </row>
    <row r="127" spans="1:7" x14ac:dyDescent="0.25">
      <c r="B127" s="3"/>
      <c r="C127" s="3"/>
      <c r="E127" s="3"/>
      <c r="F127" s="3"/>
      <c r="G127" s="3"/>
    </row>
    <row r="128" spans="1:7" x14ac:dyDescent="0.25">
      <c r="B128" s="3"/>
      <c r="C128" s="3"/>
      <c r="E128" s="3"/>
      <c r="F128" s="3"/>
      <c r="G128" s="3"/>
    </row>
    <row r="129" spans="2:7" x14ac:dyDescent="0.25">
      <c r="B129" s="3"/>
      <c r="C129" s="3"/>
      <c r="E129" s="3"/>
      <c r="F129" s="3"/>
      <c r="G129" s="3"/>
    </row>
  </sheetData>
  <protectedRanges>
    <protectedRange sqref="J106:XFD112 A118:G124 B43:B44 H106:H112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slNfYeAD4q8rlj1W28rNOkyHKUlwLL/uTNg4yqt94wgnvDpOR2LJBDarywTJdp/1duoQiwm3FUarr5gO85Ja+g==" saltValue="u83Hy/MGETHjdp1P1pJP5A==" spinCount="100000" sqref="G14 G26 G38 G50 G62 G74 G98" name="Oferta Económica"/>
  </protectedRanges>
  <mergeCells count="42">
    <mergeCell ref="A5:G6"/>
    <mergeCell ref="B8:G8"/>
    <mergeCell ref="C11:C22"/>
    <mergeCell ref="F11:F22"/>
    <mergeCell ref="G11:G22"/>
    <mergeCell ref="G23:G34"/>
    <mergeCell ref="C35:C46"/>
    <mergeCell ref="F35:F46"/>
    <mergeCell ref="G35:G46"/>
    <mergeCell ref="C47:C58"/>
    <mergeCell ref="F47:F58"/>
    <mergeCell ref="G47:G58"/>
    <mergeCell ref="C23:C34"/>
    <mergeCell ref="F23:F34"/>
    <mergeCell ref="A110:G110"/>
    <mergeCell ref="C59:C70"/>
    <mergeCell ref="F59:F70"/>
    <mergeCell ref="G59:G70"/>
    <mergeCell ref="C71:C82"/>
    <mergeCell ref="F71:F82"/>
    <mergeCell ref="G71:G82"/>
    <mergeCell ref="C83:C94"/>
    <mergeCell ref="F83:F94"/>
    <mergeCell ref="C95:C106"/>
    <mergeCell ref="F95:F106"/>
    <mergeCell ref="G95:G106"/>
    <mergeCell ref="A122:E122"/>
    <mergeCell ref="A123:E123"/>
    <mergeCell ref="D11:D22"/>
    <mergeCell ref="D23:D34"/>
    <mergeCell ref="D35:D46"/>
    <mergeCell ref="D47:D58"/>
    <mergeCell ref="D59:D70"/>
    <mergeCell ref="D71:D82"/>
    <mergeCell ref="D83:D94"/>
    <mergeCell ref="D95:D106"/>
    <mergeCell ref="A111:G111"/>
    <mergeCell ref="A112:G112"/>
    <mergeCell ref="A113:G113"/>
    <mergeCell ref="A114:G114"/>
    <mergeCell ref="A115:G115"/>
    <mergeCell ref="A117:G117"/>
  </mergeCells>
  <conditionalFormatting sqref="G11:G107">
    <cfRule type="containsText" dxfId="1" priority="1" operator="containsText" text="No cumple con la relación requerida para ofertar">
      <formula>NOT(ISERROR(SEARCH("No cumple con la relación requerida para ofertar",G11)))</formula>
    </cfRule>
  </conditionalFormatting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3777-340D-4606-BA0C-A826410DC0D6}">
  <dimension ref="A1:AD289"/>
  <sheetViews>
    <sheetView topLeftCell="A272" zoomScale="85" zoomScaleNormal="85" workbookViewId="0">
      <selection activeCell="A218" sqref="A218:AD289"/>
    </sheetView>
  </sheetViews>
  <sheetFormatPr baseColWidth="10" defaultColWidth="8.140625" defaultRowHeight="15" x14ac:dyDescent="0.25"/>
  <cols>
    <col min="1" max="1" width="5" bestFit="1" customWidth="1"/>
    <col min="2" max="2" width="4.42578125" bestFit="1" customWidth="1"/>
    <col min="3" max="3" width="5.42578125" bestFit="1" customWidth="1"/>
    <col min="4" max="4" width="6.7109375" bestFit="1" customWidth="1"/>
    <col min="5" max="28" width="8" bestFit="1" customWidth="1"/>
    <col min="29" max="29" width="8.7109375" bestFit="1" customWidth="1"/>
    <col min="30" max="30" width="13.5703125" style="65" customWidth="1"/>
  </cols>
  <sheetData>
    <row r="1" spans="1:30" ht="15.75" thickBot="1" x14ac:dyDescent="0.3">
      <c r="A1" s="42" t="s">
        <v>105</v>
      </c>
      <c r="B1" s="43" t="s">
        <v>9</v>
      </c>
      <c r="C1" s="43" t="s">
        <v>106</v>
      </c>
      <c r="D1" s="44" t="s">
        <v>107</v>
      </c>
      <c r="E1" s="45" t="s">
        <v>108</v>
      </c>
      <c r="F1" s="46" t="s">
        <v>109</v>
      </c>
      <c r="G1" s="46" t="s">
        <v>110</v>
      </c>
      <c r="H1" s="46" t="s">
        <v>111</v>
      </c>
      <c r="I1" s="46" t="s">
        <v>112</v>
      </c>
      <c r="J1" s="46" t="s">
        <v>113</v>
      </c>
      <c r="K1" s="46" t="s">
        <v>114</v>
      </c>
      <c r="L1" s="46" t="s">
        <v>115</v>
      </c>
      <c r="M1" s="46" t="s">
        <v>116</v>
      </c>
      <c r="N1" s="46" t="s">
        <v>117</v>
      </c>
      <c r="O1" s="46" t="s">
        <v>118</v>
      </c>
      <c r="P1" s="46" t="s">
        <v>119</v>
      </c>
      <c r="Q1" s="46" t="s">
        <v>120</v>
      </c>
      <c r="R1" s="46" t="s">
        <v>121</v>
      </c>
      <c r="S1" s="46" t="s">
        <v>122</v>
      </c>
      <c r="T1" s="46" t="s">
        <v>123</v>
      </c>
      <c r="U1" s="46" t="s">
        <v>124</v>
      </c>
      <c r="V1" s="46" t="s">
        <v>125</v>
      </c>
      <c r="W1" s="46" t="s">
        <v>126</v>
      </c>
      <c r="X1" s="46" t="s">
        <v>127</v>
      </c>
      <c r="Y1" s="46" t="s">
        <v>128</v>
      </c>
      <c r="Z1" s="46" t="s">
        <v>129</v>
      </c>
      <c r="AA1" s="46" t="s">
        <v>130</v>
      </c>
      <c r="AB1" s="47" t="s">
        <v>131</v>
      </c>
      <c r="AC1" s="48" t="s">
        <v>132</v>
      </c>
      <c r="AD1" s="64" t="s">
        <v>133</v>
      </c>
    </row>
    <row r="2" spans="1:30" ht="15.75" thickBot="1" x14ac:dyDescent="0.3">
      <c r="A2" s="49">
        <v>2026</v>
      </c>
      <c r="B2" s="50">
        <v>1</v>
      </c>
      <c r="C2" s="50">
        <v>6</v>
      </c>
      <c r="D2" s="51" t="s">
        <v>134</v>
      </c>
      <c r="E2" s="62">
        <v>3492.3228081958659</v>
      </c>
      <c r="F2" s="62">
        <v>2788.9359465667221</v>
      </c>
      <c r="G2" s="62">
        <v>2232.8086775977554</v>
      </c>
      <c r="H2" s="62">
        <v>1904.4924017314588</v>
      </c>
      <c r="I2" s="62">
        <v>1744.5993730302525</v>
      </c>
      <c r="J2" s="62">
        <v>1748.2335953893707</v>
      </c>
      <c r="K2" s="62">
        <v>1614.8319283772125</v>
      </c>
      <c r="L2" s="62">
        <v>2366.3359332875534</v>
      </c>
      <c r="M2" s="62">
        <v>3490.5115839855644</v>
      </c>
      <c r="N2" s="62">
        <v>4492.6670415822591</v>
      </c>
      <c r="O2" s="62">
        <v>4982.3333710426632</v>
      </c>
      <c r="P2" s="62">
        <v>5650.0255756996594</v>
      </c>
      <c r="Q2" s="62">
        <v>6149.8096430021942</v>
      </c>
      <c r="R2" s="62">
        <v>6108.4311172054404</v>
      </c>
      <c r="S2" s="62">
        <v>5447.5972317412816</v>
      </c>
      <c r="T2" s="62">
        <v>5160.4367580012367</v>
      </c>
      <c r="U2" s="62">
        <v>4926.5062603483966</v>
      </c>
      <c r="V2" s="62">
        <v>4811.8722513506073</v>
      </c>
      <c r="W2" s="62">
        <v>6413.3869178697205</v>
      </c>
      <c r="X2" s="62">
        <v>7702.4791443744143</v>
      </c>
      <c r="Y2" s="62">
        <v>7586.1545940362485</v>
      </c>
      <c r="Z2" s="62">
        <v>6653.7126264665967</v>
      </c>
      <c r="AA2" s="62">
        <v>5384.1357030728395</v>
      </c>
      <c r="AB2" s="62">
        <v>4212.4384741508547</v>
      </c>
      <c r="AC2" s="53">
        <v>107065.05895810616</v>
      </c>
      <c r="AD2" s="105">
        <f>+SUMPRODUCT(AC2:AC4,C2:C4)</f>
        <v>4166701.9934963477</v>
      </c>
    </row>
    <row r="3" spans="1:30" ht="15.75" thickBot="1" x14ac:dyDescent="0.3">
      <c r="A3" s="54">
        <v>2026</v>
      </c>
      <c r="B3" s="55">
        <v>1</v>
      </c>
      <c r="C3" s="55">
        <v>20</v>
      </c>
      <c r="D3" s="56" t="s">
        <v>135</v>
      </c>
      <c r="E3" s="62">
        <v>3554.4764790892877</v>
      </c>
      <c r="F3" s="62">
        <v>2894.8442508458538</v>
      </c>
      <c r="G3" s="62">
        <v>2360.7786601048174</v>
      </c>
      <c r="H3" s="62">
        <v>2015.7464383638835</v>
      </c>
      <c r="I3" s="62">
        <v>1960.4837471099654</v>
      </c>
      <c r="J3" s="62">
        <v>2354.022276101914</v>
      </c>
      <c r="K3" s="62">
        <v>2811.4721057047245</v>
      </c>
      <c r="L3" s="62">
        <v>4014.3453372186996</v>
      </c>
      <c r="M3" s="62">
        <v>5724.6638998506023</v>
      </c>
      <c r="N3" s="62">
        <v>6594.9932601654691</v>
      </c>
      <c r="O3" s="62">
        <v>7303.1893314352892</v>
      </c>
      <c r="P3" s="62">
        <v>8290.4465430767814</v>
      </c>
      <c r="Q3" s="62">
        <v>8405.3836565754391</v>
      </c>
      <c r="R3" s="62">
        <v>8288.0915055588666</v>
      </c>
      <c r="S3" s="62">
        <v>8230.2360558029432</v>
      </c>
      <c r="T3" s="62">
        <v>8080.6593182432189</v>
      </c>
      <c r="U3" s="62">
        <v>7963.6105014571476</v>
      </c>
      <c r="V3" s="62">
        <v>7448.5900943520901</v>
      </c>
      <c r="W3" s="62">
        <v>8224.1670138190275</v>
      </c>
      <c r="X3" s="62">
        <v>9115.3638982065058</v>
      </c>
      <c r="Y3" s="62">
        <v>8792.6934467240098</v>
      </c>
      <c r="Z3" s="62">
        <v>7717.9754012796366</v>
      </c>
      <c r="AA3" s="62">
        <v>6181.8572040939325</v>
      </c>
      <c r="AB3" s="62">
        <v>4734.6306572128669</v>
      </c>
      <c r="AC3" s="57">
        <v>143062.72108239296</v>
      </c>
      <c r="AD3" s="106"/>
    </row>
    <row r="4" spans="1:30" ht="15.75" thickBot="1" x14ac:dyDescent="0.3">
      <c r="A4" s="58">
        <v>2026</v>
      </c>
      <c r="B4" s="59">
        <v>1</v>
      </c>
      <c r="C4" s="59">
        <v>5</v>
      </c>
      <c r="D4" s="60" t="s">
        <v>136</v>
      </c>
      <c r="E4" s="62">
        <v>3324.992664398058</v>
      </c>
      <c r="F4" s="62">
        <v>2625.604710618165</v>
      </c>
      <c r="G4" s="62">
        <v>2261.5139735859157</v>
      </c>
      <c r="H4" s="62">
        <v>1949.6499159304785</v>
      </c>
      <c r="I4" s="62">
        <v>1654.7690187427706</v>
      </c>
      <c r="J4" s="62">
        <v>1758.5465641164192</v>
      </c>
      <c r="K4" s="62">
        <v>1871.761679598354</v>
      </c>
      <c r="L4" s="62">
        <v>3140.9481386807583</v>
      </c>
      <c r="M4" s="62">
        <v>4932.3031455334021</v>
      </c>
      <c r="N4" s="62">
        <v>5859.6888005175351</v>
      </c>
      <c r="O4" s="62">
        <v>6680.6025880623965</v>
      </c>
      <c r="P4" s="62">
        <v>7596.7137704913039</v>
      </c>
      <c r="Q4" s="62">
        <v>8009.6580743033228</v>
      </c>
      <c r="R4" s="62">
        <v>7895.8207341675588</v>
      </c>
      <c r="S4" s="62">
        <v>7615.9551003366796</v>
      </c>
      <c r="T4" s="62">
        <v>7390.9658106764145</v>
      </c>
      <c r="U4" s="62">
        <v>7048.0783462975269</v>
      </c>
      <c r="V4" s="62">
        <v>6846.3584723995154</v>
      </c>
      <c r="W4" s="62">
        <v>7961.6812786266782</v>
      </c>
      <c r="X4" s="62">
        <v>8881.6314978551491</v>
      </c>
      <c r="Y4" s="62">
        <v>8527.0840198077822</v>
      </c>
      <c r="Z4" s="62">
        <v>7630.8780719984279</v>
      </c>
      <c r="AA4" s="62">
        <v>6233.4656998044447</v>
      </c>
      <c r="AB4" s="62">
        <v>4912.7715434212914</v>
      </c>
      <c r="AC4" s="61">
        <v>132611.44361997035</v>
      </c>
      <c r="AD4" s="107"/>
    </row>
    <row r="5" spans="1:30" ht="15.75" thickBot="1" x14ac:dyDescent="0.3">
      <c r="A5" s="49">
        <v>2026</v>
      </c>
      <c r="B5" s="50">
        <v>2</v>
      </c>
      <c r="C5" s="50">
        <v>4</v>
      </c>
      <c r="D5" s="51" t="s">
        <v>134</v>
      </c>
      <c r="E5" s="62">
        <v>3981.6917994120013</v>
      </c>
      <c r="F5" s="62">
        <v>3275.2529020390393</v>
      </c>
      <c r="G5" s="62">
        <v>2748.4647697428973</v>
      </c>
      <c r="H5" s="62">
        <v>2282.0927407558938</v>
      </c>
      <c r="I5" s="62">
        <v>1666.4552497515378</v>
      </c>
      <c r="J5" s="62">
        <v>1539.8201516471381</v>
      </c>
      <c r="K5" s="62">
        <v>1813.1707258930073</v>
      </c>
      <c r="L5" s="62">
        <v>3118.45159274045</v>
      </c>
      <c r="M5" s="62">
        <v>4588.6553826129566</v>
      </c>
      <c r="N5" s="62">
        <v>5506.0067155830839</v>
      </c>
      <c r="O5" s="62">
        <v>6090.4160084353825</v>
      </c>
      <c r="P5" s="62">
        <v>6824.110542431783</v>
      </c>
      <c r="Q5" s="62">
        <v>7435.1075460128159</v>
      </c>
      <c r="R5" s="62">
        <v>7310.5979432954409</v>
      </c>
      <c r="S5" s="62">
        <v>6655.5756465729501</v>
      </c>
      <c r="T5" s="62">
        <v>6116.0512781388752</v>
      </c>
      <c r="U5" s="62">
        <v>5837.7361430856945</v>
      </c>
      <c r="V5" s="62">
        <v>5533.1604136303395</v>
      </c>
      <c r="W5" s="62">
        <v>6753.2890969953623</v>
      </c>
      <c r="X5" s="62">
        <v>8068.7136129088176</v>
      </c>
      <c r="Y5" s="62">
        <v>8171.2729493782172</v>
      </c>
      <c r="Z5" s="62">
        <v>7222.4043387116253</v>
      </c>
      <c r="AA5" s="62">
        <v>5661.0142102350837</v>
      </c>
      <c r="AB5" s="62">
        <v>4223.6011695257112</v>
      </c>
      <c r="AC5" s="53">
        <v>122423.11292953609</v>
      </c>
      <c r="AD5" s="105">
        <f>+SUMPRODUCT(AC5:AC7,C5:C7)</f>
        <v>4120884.3972877068</v>
      </c>
    </row>
    <row r="6" spans="1:30" ht="15.75" thickBot="1" x14ac:dyDescent="0.3">
      <c r="A6" s="54">
        <v>2026</v>
      </c>
      <c r="B6" s="55">
        <v>2</v>
      </c>
      <c r="C6" s="55">
        <v>20</v>
      </c>
      <c r="D6" s="56" t="s">
        <v>135</v>
      </c>
      <c r="E6" s="62">
        <v>3419.9740451159669</v>
      </c>
      <c r="F6" s="62">
        <v>2853.0529208592779</v>
      </c>
      <c r="G6" s="62">
        <v>2384.5659640046342</v>
      </c>
      <c r="H6" s="62">
        <v>2139.5607214761822</v>
      </c>
      <c r="I6" s="62">
        <v>2094.9929507575816</v>
      </c>
      <c r="J6" s="62">
        <v>2859.0669211091081</v>
      </c>
      <c r="K6" s="62">
        <v>3620.4027266696612</v>
      </c>
      <c r="L6" s="62">
        <v>4481.47424355966</v>
      </c>
      <c r="M6" s="62">
        <v>6033.6386291093295</v>
      </c>
      <c r="N6" s="62">
        <v>6798.156507396463</v>
      </c>
      <c r="O6" s="62">
        <v>7581.6241268849262</v>
      </c>
      <c r="P6" s="62">
        <v>8590.8741637427665</v>
      </c>
      <c r="Q6" s="62">
        <v>8648.5124593405017</v>
      </c>
      <c r="R6" s="62">
        <v>8611.2485124575796</v>
      </c>
      <c r="S6" s="62">
        <v>8986.5300392772042</v>
      </c>
      <c r="T6" s="62">
        <v>8952.3072280139022</v>
      </c>
      <c r="U6" s="62">
        <v>8788.7419506712031</v>
      </c>
      <c r="V6" s="62">
        <v>8325.9645581950281</v>
      </c>
      <c r="W6" s="62">
        <v>8892.2199670525551</v>
      </c>
      <c r="X6" s="62">
        <v>9980.6751929740785</v>
      </c>
      <c r="Y6" s="62">
        <v>9538.9196980824927</v>
      </c>
      <c r="Z6" s="62">
        <v>7730.7109733216894</v>
      </c>
      <c r="AA6" s="62">
        <v>6180.0467914884102</v>
      </c>
      <c r="AB6" s="62">
        <v>4579.8583065016392</v>
      </c>
      <c r="AC6" s="57">
        <v>152073.11959806186</v>
      </c>
      <c r="AD6" s="106"/>
    </row>
    <row r="7" spans="1:30" ht="15.75" thickBot="1" x14ac:dyDescent="0.3">
      <c r="A7" s="58">
        <v>2026</v>
      </c>
      <c r="B7" s="59">
        <v>2</v>
      </c>
      <c r="C7" s="59">
        <v>4</v>
      </c>
      <c r="D7" s="60" t="s">
        <v>136</v>
      </c>
      <c r="E7" s="62">
        <v>3758.8193887507005</v>
      </c>
      <c r="F7" s="62">
        <v>3034.7636107299877</v>
      </c>
      <c r="G7" s="62">
        <v>2562.6995137755621</v>
      </c>
      <c r="H7" s="62">
        <v>1915.2654032992323</v>
      </c>
      <c r="I7" s="62">
        <v>2071.0270966558601</v>
      </c>
      <c r="J7" s="62">
        <v>2334.8436425546406</v>
      </c>
      <c r="K7" s="62">
        <v>2700.024108734875</v>
      </c>
      <c r="L7" s="62">
        <v>4200.0351400354994</v>
      </c>
      <c r="M7" s="62">
        <v>5574.041843688723</v>
      </c>
      <c r="N7" s="62">
        <v>6367.383336309329</v>
      </c>
      <c r="O7" s="62">
        <v>7382.8063762302991</v>
      </c>
      <c r="P7" s="62">
        <v>8107.9438755413103</v>
      </c>
      <c r="Q7" s="62">
        <v>8714.0658000205804</v>
      </c>
      <c r="R7" s="62">
        <v>8543.3405526667229</v>
      </c>
      <c r="S7" s="62">
        <v>8161.0022276750024</v>
      </c>
      <c r="T7" s="62">
        <v>8198.8470417187018</v>
      </c>
      <c r="U7" s="62">
        <v>7998.0372889786777</v>
      </c>
      <c r="V7" s="62">
        <v>7718.7217293284157</v>
      </c>
      <c r="W7" s="62">
        <v>8463.5848252926626</v>
      </c>
      <c r="X7" s="62">
        <v>9568.2737898945852</v>
      </c>
      <c r="Y7" s="62">
        <v>9310.5509920348886</v>
      </c>
      <c r="Z7" s="62">
        <v>8337.6406790009278</v>
      </c>
      <c r="AA7" s="62">
        <v>6937.8624671175821</v>
      </c>
      <c r="AB7" s="62">
        <v>5470.807672046576</v>
      </c>
      <c r="AC7" s="61">
        <v>147432.38840208133</v>
      </c>
      <c r="AD7" s="107"/>
    </row>
    <row r="8" spans="1:30" ht="15.75" thickBot="1" x14ac:dyDescent="0.3">
      <c r="A8" s="49">
        <v>2026</v>
      </c>
      <c r="B8" s="50">
        <v>3</v>
      </c>
      <c r="C8" s="50">
        <v>6</v>
      </c>
      <c r="D8" s="51" t="s">
        <v>134</v>
      </c>
      <c r="E8" s="62">
        <v>3043.7496384931001</v>
      </c>
      <c r="F8" s="62">
        <v>3285.9473547386751</v>
      </c>
      <c r="G8" s="62">
        <v>2514.6548002658219</v>
      </c>
      <c r="H8" s="62">
        <v>2155.6464998191386</v>
      </c>
      <c r="I8" s="62">
        <v>2028.0201054997215</v>
      </c>
      <c r="J8" s="62">
        <v>2067.3891921162085</v>
      </c>
      <c r="K8" s="62">
        <v>2077.8046918020191</v>
      </c>
      <c r="L8" s="62">
        <v>3070.7487200544238</v>
      </c>
      <c r="M8" s="62">
        <v>4636.0640331246505</v>
      </c>
      <c r="N8" s="62">
        <v>5440.8192382244779</v>
      </c>
      <c r="O8" s="62">
        <v>6147.9688552947846</v>
      </c>
      <c r="P8" s="62">
        <v>7017.1765161727999</v>
      </c>
      <c r="Q8" s="62">
        <v>7660.1254190771106</v>
      </c>
      <c r="R8" s="62">
        <v>7322.7644211313745</v>
      </c>
      <c r="S8" s="62">
        <v>4893.885411590094</v>
      </c>
      <c r="T8" s="62">
        <v>5939.275058792944</v>
      </c>
      <c r="U8" s="62">
        <v>5626.5104544312453</v>
      </c>
      <c r="V8" s="62">
        <v>5483.6219153547136</v>
      </c>
      <c r="W8" s="62">
        <v>6939.9727287006681</v>
      </c>
      <c r="X8" s="62">
        <v>9212.9593004769486</v>
      </c>
      <c r="Y8" s="62">
        <v>9312.4368556423324</v>
      </c>
      <c r="Z8" s="62">
        <v>8591.6775092496355</v>
      </c>
      <c r="AA8" s="62">
        <v>7267.1732701021247</v>
      </c>
      <c r="AB8" s="62">
        <v>5642.7506772553897</v>
      </c>
      <c r="AC8" s="53">
        <v>127379.14266741042</v>
      </c>
      <c r="AD8" s="105">
        <f>+SUMPRODUCT(AC8:AC10,C8:C10)</f>
        <v>4663890.7657280136</v>
      </c>
    </row>
    <row r="9" spans="1:30" ht="15.75" thickBot="1" x14ac:dyDescent="0.3">
      <c r="A9" s="54">
        <v>2026</v>
      </c>
      <c r="B9" s="55">
        <v>3</v>
      </c>
      <c r="C9" s="55">
        <v>21</v>
      </c>
      <c r="D9" s="56" t="s">
        <v>135</v>
      </c>
      <c r="E9" s="62">
        <v>3887.2575048869621</v>
      </c>
      <c r="F9" s="62">
        <v>3200.4289548235265</v>
      </c>
      <c r="G9" s="62">
        <v>2706.4873989868356</v>
      </c>
      <c r="H9" s="62">
        <v>2393.6843480942553</v>
      </c>
      <c r="I9" s="62">
        <v>2268.6524216591206</v>
      </c>
      <c r="J9" s="62">
        <v>2984.3771498791211</v>
      </c>
      <c r="K9" s="62">
        <v>3762.6245955116974</v>
      </c>
      <c r="L9" s="62">
        <v>4731.320597782953</v>
      </c>
      <c r="M9" s="62">
        <v>6358.50905059457</v>
      </c>
      <c r="N9" s="62">
        <v>7195.0472774961308</v>
      </c>
      <c r="O9" s="62">
        <v>7812.2002444323116</v>
      </c>
      <c r="P9" s="62">
        <v>8669.1849783312027</v>
      </c>
      <c r="Q9" s="62">
        <v>8681.2271885051196</v>
      </c>
      <c r="R9" s="62">
        <v>8649.3972651254226</v>
      </c>
      <c r="S9" s="62">
        <v>8739.2020812683659</v>
      </c>
      <c r="T9" s="62">
        <v>8850.0595501159296</v>
      </c>
      <c r="U9" s="62">
        <v>8848.0869788000127</v>
      </c>
      <c r="V9" s="62">
        <v>8292.0944600954608</v>
      </c>
      <c r="W9" s="62">
        <v>9085.1394811026803</v>
      </c>
      <c r="X9" s="62">
        <v>10183.021759302144</v>
      </c>
      <c r="Y9" s="62">
        <v>9797.3166982748116</v>
      </c>
      <c r="Z9" s="62">
        <v>8621.6098140596841</v>
      </c>
      <c r="AA9" s="62">
        <v>6819.6522353958389</v>
      </c>
      <c r="AB9" s="62">
        <v>5188.6076567791024</v>
      </c>
      <c r="AC9" s="57">
        <v>157725.18969130324</v>
      </c>
      <c r="AD9" s="106"/>
    </row>
    <row r="10" spans="1:30" ht="15.75" thickBot="1" x14ac:dyDescent="0.3">
      <c r="A10" s="58">
        <v>2026</v>
      </c>
      <c r="B10" s="59">
        <v>3</v>
      </c>
      <c r="C10" s="59">
        <v>4</v>
      </c>
      <c r="D10" s="60" t="s">
        <v>136</v>
      </c>
      <c r="E10" s="62">
        <v>4087.9556996849315</v>
      </c>
      <c r="F10" s="62">
        <v>3217.7578841995164</v>
      </c>
      <c r="G10" s="62">
        <v>2747.0949544778014</v>
      </c>
      <c r="H10" s="62">
        <v>2454.2012216244293</v>
      </c>
      <c r="I10" s="62">
        <v>2331.6433837404929</v>
      </c>
      <c r="J10" s="62">
        <v>2458.4715517392997</v>
      </c>
      <c r="K10" s="62">
        <v>2541.1581255849869</v>
      </c>
      <c r="L10" s="62">
        <v>3788.9613134066494</v>
      </c>
      <c r="M10" s="62">
        <v>6288.7972887434771</v>
      </c>
      <c r="N10" s="62">
        <v>7206.3327636334034</v>
      </c>
      <c r="O10" s="62">
        <v>7751.7627458968745</v>
      </c>
      <c r="P10" s="62">
        <v>8504.4838435635029</v>
      </c>
      <c r="Q10" s="62">
        <v>8763.1971159385685</v>
      </c>
      <c r="R10" s="62">
        <v>8501.7549053321236</v>
      </c>
      <c r="S10" s="62">
        <v>8283.4742131147177</v>
      </c>
      <c r="T10" s="62">
        <v>8114.0840276163217</v>
      </c>
      <c r="U10" s="62">
        <v>7784.3190808232939</v>
      </c>
      <c r="V10" s="62">
        <v>7513.1053875665239</v>
      </c>
      <c r="W10" s="62">
        <v>8623.444676110732</v>
      </c>
      <c r="X10" s="62">
        <v>9632.2022937734218</v>
      </c>
      <c r="Y10" s="62">
        <v>9336.8112769601794</v>
      </c>
      <c r="Z10" s="62">
        <v>7099.7934367764865</v>
      </c>
      <c r="AA10" s="62">
        <v>5682.7260731975257</v>
      </c>
      <c r="AB10" s="62">
        <v>4133.1982880405303</v>
      </c>
      <c r="AC10" s="61">
        <v>146846.73155154582</v>
      </c>
      <c r="AD10" s="107"/>
    </row>
    <row r="11" spans="1:30" ht="15.75" thickBot="1" x14ac:dyDescent="0.3">
      <c r="A11" s="49">
        <v>2026</v>
      </c>
      <c r="B11" s="50">
        <v>4</v>
      </c>
      <c r="C11" s="50">
        <v>6</v>
      </c>
      <c r="D11" s="51" t="s">
        <v>134</v>
      </c>
      <c r="E11" s="62">
        <v>3295.5870046784585</v>
      </c>
      <c r="F11" s="62">
        <v>2519.7150922203891</v>
      </c>
      <c r="G11" s="62">
        <v>2163.352281541047</v>
      </c>
      <c r="H11" s="62">
        <v>1708.7226451281804</v>
      </c>
      <c r="I11" s="62">
        <v>1580.6571365528507</v>
      </c>
      <c r="J11" s="62">
        <v>1567.6904999687722</v>
      </c>
      <c r="K11" s="62">
        <v>1576.389208065817</v>
      </c>
      <c r="L11" s="62">
        <v>2707.8695925109514</v>
      </c>
      <c r="M11" s="62">
        <v>4261.3755894841997</v>
      </c>
      <c r="N11" s="62">
        <v>5272.1971187866875</v>
      </c>
      <c r="O11" s="62">
        <v>6003.2941904146137</v>
      </c>
      <c r="P11" s="62">
        <v>6839.8573364766526</v>
      </c>
      <c r="Q11" s="62">
        <v>7467.3933845430038</v>
      </c>
      <c r="R11" s="62">
        <v>7266.4919430512382</v>
      </c>
      <c r="S11" s="62">
        <v>6349.7292279178473</v>
      </c>
      <c r="T11" s="62">
        <v>5819.9545525712638</v>
      </c>
      <c r="U11" s="62">
        <v>5489.8614716254779</v>
      </c>
      <c r="V11" s="62">
        <v>5471.1335924833038</v>
      </c>
      <c r="W11" s="62">
        <v>7034.1433351803789</v>
      </c>
      <c r="X11" s="62">
        <v>8213.8399426770338</v>
      </c>
      <c r="Y11" s="62">
        <v>7903.785231513968</v>
      </c>
      <c r="Z11" s="62">
        <v>6985.5384202976093</v>
      </c>
      <c r="AA11" s="62">
        <v>5421.8772731086283</v>
      </c>
      <c r="AB11" s="62">
        <v>3959.2882926961429</v>
      </c>
      <c r="AC11" s="53">
        <v>116879.74436349454</v>
      </c>
      <c r="AD11" s="105">
        <f>+SUMPRODUCT(AC11:AC13,C11:C13)</f>
        <v>4125328.1534747034</v>
      </c>
    </row>
    <row r="12" spans="1:30" ht="15.75" thickBot="1" x14ac:dyDescent="0.3">
      <c r="A12" s="54">
        <v>2026</v>
      </c>
      <c r="B12" s="55">
        <v>4</v>
      </c>
      <c r="C12" s="55">
        <v>20</v>
      </c>
      <c r="D12" s="56" t="s">
        <v>135</v>
      </c>
      <c r="E12" s="62">
        <v>2949.6344876531293</v>
      </c>
      <c r="F12" s="62">
        <v>2215.4495208657281</v>
      </c>
      <c r="G12" s="62">
        <v>1847.4647882606987</v>
      </c>
      <c r="H12" s="62">
        <v>1535.166150192741</v>
      </c>
      <c r="I12" s="62">
        <v>1441.9752439555723</v>
      </c>
      <c r="J12" s="62">
        <v>2169.2516127935487</v>
      </c>
      <c r="K12" s="62">
        <v>2934.0929261958099</v>
      </c>
      <c r="L12" s="62">
        <v>4094.5274734620762</v>
      </c>
      <c r="M12" s="62">
        <v>5678.3363594429502</v>
      </c>
      <c r="N12" s="62">
        <v>6433.595111190727</v>
      </c>
      <c r="O12" s="62">
        <v>6927.8382574649731</v>
      </c>
      <c r="P12" s="62">
        <v>8020.1506214208348</v>
      </c>
      <c r="Q12" s="62">
        <v>8074.9784306791153</v>
      </c>
      <c r="R12" s="62">
        <v>8348.4156484957311</v>
      </c>
      <c r="S12" s="62">
        <v>8876.234926011417</v>
      </c>
      <c r="T12" s="62">
        <v>9030.1107495121032</v>
      </c>
      <c r="U12" s="62">
        <v>8789.9768379050729</v>
      </c>
      <c r="V12" s="62">
        <v>8353.6675303588963</v>
      </c>
      <c r="W12" s="62">
        <v>9125.4642117160329</v>
      </c>
      <c r="X12" s="62">
        <v>9929.0425037479654</v>
      </c>
      <c r="Y12" s="62">
        <v>9348.3380425579526</v>
      </c>
      <c r="Z12" s="62">
        <v>8078.5014926975782</v>
      </c>
      <c r="AA12" s="62">
        <v>6339.8037114905928</v>
      </c>
      <c r="AB12" s="62">
        <v>4269.5514128246614</v>
      </c>
      <c r="AC12" s="57">
        <v>144811.5680508959</v>
      </c>
      <c r="AD12" s="106"/>
    </row>
    <row r="13" spans="1:30" ht="15.75" thickBot="1" x14ac:dyDescent="0.3">
      <c r="A13" s="58">
        <v>2026</v>
      </c>
      <c r="B13" s="59">
        <v>4</v>
      </c>
      <c r="C13" s="59">
        <v>4</v>
      </c>
      <c r="D13" s="60" t="s">
        <v>136</v>
      </c>
      <c r="E13" s="62">
        <v>3420.7338549049964</v>
      </c>
      <c r="F13" s="62">
        <v>2778.079955131203</v>
      </c>
      <c r="G13" s="62">
        <v>2215.9451760707689</v>
      </c>
      <c r="H13" s="62">
        <v>1864.3387383772861</v>
      </c>
      <c r="I13" s="62">
        <v>882.83167070708259</v>
      </c>
      <c r="J13" s="62">
        <v>1936.7422778181608</v>
      </c>
      <c r="K13" s="62">
        <v>2041.687355204831</v>
      </c>
      <c r="L13" s="62">
        <v>3535.3772760995998</v>
      </c>
      <c r="M13" s="62">
        <v>5496.6352773709223</v>
      </c>
      <c r="N13" s="62">
        <v>6510.5149951998537</v>
      </c>
      <c r="O13" s="62">
        <v>7143.8770775204212</v>
      </c>
      <c r="P13" s="62">
        <v>8129.3388096560011</v>
      </c>
      <c r="Q13" s="62">
        <v>8396.9422555594938</v>
      </c>
      <c r="R13" s="62">
        <v>8106.3581139569869</v>
      </c>
      <c r="S13" s="62">
        <v>7672.6348471928286</v>
      </c>
      <c r="T13" s="62">
        <v>7084.3284394652947</v>
      </c>
      <c r="U13" s="62">
        <v>6780.7653461555637</v>
      </c>
      <c r="V13" s="62">
        <v>6710.9324880754102</v>
      </c>
      <c r="W13" s="62">
        <v>7890.0009020628422</v>
      </c>
      <c r="X13" s="62">
        <v>8490.1010578237328</v>
      </c>
      <c r="Y13" s="62">
        <v>8182.6102025279979</v>
      </c>
      <c r="Z13" s="62">
        <v>7145.3836163643755</v>
      </c>
      <c r="AA13" s="62">
        <v>5605.4034959905548</v>
      </c>
      <c r="AB13" s="62">
        <v>3933.0183397182409</v>
      </c>
      <c r="AC13" s="61">
        <v>131954.58156895445</v>
      </c>
      <c r="AD13" s="107"/>
    </row>
    <row r="14" spans="1:30" ht="15.75" thickBot="1" x14ac:dyDescent="0.3">
      <c r="A14" s="49">
        <v>2026</v>
      </c>
      <c r="B14" s="50">
        <v>5</v>
      </c>
      <c r="C14" s="50">
        <v>7</v>
      </c>
      <c r="D14" s="51" t="s">
        <v>134</v>
      </c>
      <c r="E14" s="62">
        <v>4242.5332947377246</v>
      </c>
      <c r="F14" s="62">
        <v>3340.8988433847881</v>
      </c>
      <c r="G14" s="62">
        <v>2932.6209790041812</v>
      </c>
      <c r="H14" s="62">
        <v>2659.5507539213268</v>
      </c>
      <c r="I14" s="62">
        <v>2468.2290087119691</v>
      </c>
      <c r="J14" s="62">
        <v>2543.7632578238554</v>
      </c>
      <c r="K14" s="62">
        <v>2631.5765000256797</v>
      </c>
      <c r="L14" s="62">
        <v>3937.1456286946632</v>
      </c>
      <c r="M14" s="62">
        <v>5623.934534072665</v>
      </c>
      <c r="N14" s="62">
        <v>6735.6517072914103</v>
      </c>
      <c r="O14" s="62">
        <v>7505.4023101900129</v>
      </c>
      <c r="P14" s="62">
        <v>8337.4877016366336</v>
      </c>
      <c r="Q14" s="62">
        <v>8861.5175768032132</v>
      </c>
      <c r="R14" s="62">
        <v>8689.5858660449921</v>
      </c>
      <c r="S14" s="62">
        <v>7928.6044363356741</v>
      </c>
      <c r="T14" s="62">
        <v>7437.3608383660248</v>
      </c>
      <c r="U14" s="62">
        <v>7007.4595155349998</v>
      </c>
      <c r="V14" s="62">
        <v>7124.9051434605317</v>
      </c>
      <c r="W14" s="62">
        <v>8507.9376318118011</v>
      </c>
      <c r="X14" s="62">
        <v>9363.1347141667138</v>
      </c>
      <c r="Y14" s="62">
        <v>9226.8087499006142</v>
      </c>
      <c r="Z14" s="62">
        <v>8032.0365921578596</v>
      </c>
      <c r="AA14" s="62">
        <v>6389.4505564661304</v>
      </c>
      <c r="AB14" s="62">
        <v>5016.539984390849</v>
      </c>
      <c r="AC14" s="53">
        <v>146544.1361249343</v>
      </c>
      <c r="AD14" s="105">
        <f>+SUMPRODUCT(AC14:AC16,C14:C16)</f>
        <v>4694989.0273895562</v>
      </c>
    </row>
    <row r="15" spans="1:30" ht="15.75" thickBot="1" x14ac:dyDescent="0.3">
      <c r="A15" s="54">
        <v>2026</v>
      </c>
      <c r="B15" s="55">
        <v>5</v>
      </c>
      <c r="C15" s="55">
        <v>19</v>
      </c>
      <c r="D15" s="56" t="s">
        <v>135</v>
      </c>
      <c r="E15" s="62">
        <v>3352.376554804312</v>
      </c>
      <c r="F15" s="62">
        <v>2711.9768683235234</v>
      </c>
      <c r="G15" s="62">
        <v>2241.862649448798</v>
      </c>
      <c r="H15" s="62">
        <v>2016.0595477434927</v>
      </c>
      <c r="I15" s="62">
        <v>1846.2586662912581</v>
      </c>
      <c r="J15" s="62">
        <v>2533.5279408419665</v>
      </c>
      <c r="K15" s="62">
        <v>3270.9654702677308</v>
      </c>
      <c r="L15" s="62">
        <v>4483.8043069446649</v>
      </c>
      <c r="M15" s="62">
        <v>5992.6532216453634</v>
      </c>
      <c r="N15" s="62">
        <v>6940.9867979373848</v>
      </c>
      <c r="O15" s="62">
        <v>7713.4888837425351</v>
      </c>
      <c r="P15" s="62">
        <v>8645.4888226430958</v>
      </c>
      <c r="Q15" s="62">
        <v>8843.7428808889999</v>
      </c>
      <c r="R15" s="62">
        <v>8943.3413662321691</v>
      </c>
      <c r="S15" s="62">
        <v>9125.1625492164421</v>
      </c>
      <c r="T15" s="62">
        <v>9050.3039122380578</v>
      </c>
      <c r="U15" s="62">
        <v>8934.0459839419273</v>
      </c>
      <c r="V15" s="62">
        <v>8585.6801430368359</v>
      </c>
      <c r="W15" s="62">
        <v>9469.0278763715869</v>
      </c>
      <c r="X15" s="62">
        <v>10214.030079631473</v>
      </c>
      <c r="Y15" s="62">
        <v>9681.2787491763993</v>
      </c>
      <c r="Z15" s="62">
        <v>8147.2386828120289</v>
      </c>
      <c r="AA15" s="62">
        <v>6337.2153513228805</v>
      </c>
      <c r="AB15" s="62">
        <v>4643.5632319755314</v>
      </c>
      <c r="AC15" s="57">
        <v>153724.08053747844</v>
      </c>
      <c r="AD15" s="106"/>
    </row>
    <row r="16" spans="1:30" ht="15.75" thickBot="1" x14ac:dyDescent="0.3">
      <c r="A16" s="58">
        <v>2026</v>
      </c>
      <c r="B16" s="59">
        <v>5</v>
      </c>
      <c r="C16" s="59">
        <v>5</v>
      </c>
      <c r="D16" s="60" t="s">
        <v>136</v>
      </c>
      <c r="E16" s="62">
        <v>3682.4701245073593</v>
      </c>
      <c r="F16" s="62">
        <v>2964.4442714675497</v>
      </c>
      <c r="G16" s="62">
        <v>2507.4286220905487</v>
      </c>
      <c r="H16" s="62">
        <v>2186.5242393320787</v>
      </c>
      <c r="I16" s="62">
        <v>2077.7838212344232</v>
      </c>
      <c r="J16" s="62">
        <v>2067.0517668093853</v>
      </c>
      <c r="K16" s="62">
        <v>2352.6494794537939</v>
      </c>
      <c r="L16" s="62">
        <v>4051.7275778260118</v>
      </c>
      <c r="M16" s="62">
        <v>6097.525654058114</v>
      </c>
      <c r="N16" s="62">
        <v>7402.8168099467657</v>
      </c>
      <c r="O16" s="62">
        <v>8472.668384714696</v>
      </c>
      <c r="P16" s="62">
        <v>8895.1445148871426</v>
      </c>
      <c r="Q16" s="62">
        <v>9366.8826927478258</v>
      </c>
      <c r="R16" s="62">
        <v>9119.3766014183202</v>
      </c>
      <c r="S16" s="62">
        <v>8615.3794054810896</v>
      </c>
      <c r="T16" s="62">
        <v>8342.6185772781137</v>
      </c>
      <c r="U16" s="62">
        <v>7759.9078300389992</v>
      </c>
      <c r="V16" s="62">
        <v>7738.8949864297865</v>
      </c>
      <c r="W16" s="62">
        <v>8097.3639771682756</v>
      </c>
      <c r="X16" s="62">
        <v>9292.2788784610821</v>
      </c>
      <c r="Y16" s="62">
        <v>8894.5675400434557</v>
      </c>
      <c r="Z16" s="62">
        <v>7867.4330553094333</v>
      </c>
      <c r="AA16" s="62">
        <v>6531.6653790457021</v>
      </c>
      <c r="AB16" s="62">
        <v>5299.9046708351307</v>
      </c>
      <c r="AC16" s="61">
        <v>149684.50886058511</v>
      </c>
      <c r="AD16" s="107"/>
    </row>
    <row r="17" spans="1:30" ht="15.75" thickBot="1" x14ac:dyDescent="0.3">
      <c r="A17" s="49">
        <v>2026</v>
      </c>
      <c r="B17" s="50">
        <v>6</v>
      </c>
      <c r="C17" s="50">
        <v>6</v>
      </c>
      <c r="D17" s="51" t="s">
        <v>134</v>
      </c>
      <c r="E17" s="62">
        <v>3496.7475378339586</v>
      </c>
      <c r="F17" s="62">
        <v>2877.2797659739535</v>
      </c>
      <c r="G17" s="62">
        <v>2353.2233553502138</v>
      </c>
      <c r="H17" s="62">
        <v>1945.822812506467</v>
      </c>
      <c r="I17" s="62">
        <v>869.7509978641865</v>
      </c>
      <c r="J17" s="62">
        <v>1495.5644377299705</v>
      </c>
      <c r="K17" s="62">
        <v>1529.7121933137296</v>
      </c>
      <c r="L17" s="62">
        <v>2743.5869924623767</v>
      </c>
      <c r="M17" s="62">
        <v>4239.3980987508912</v>
      </c>
      <c r="N17" s="62">
        <v>5148.2759444740623</v>
      </c>
      <c r="O17" s="62">
        <v>5690.005901672379</v>
      </c>
      <c r="P17" s="62">
        <v>6217.6837706890656</v>
      </c>
      <c r="Q17" s="62">
        <v>6818.081173501716</v>
      </c>
      <c r="R17" s="62">
        <v>6512.8605841993922</v>
      </c>
      <c r="S17" s="62">
        <v>5968.7229342946048</v>
      </c>
      <c r="T17" s="62">
        <v>5416.2061530682768</v>
      </c>
      <c r="U17" s="62">
        <v>5103.05460595568</v>
      </c>
      <c r="V17" s="62">
        <v>5474.1305504466036</v>
      </c>
      <c r="W17" s="62">
        <v>6885.4433655863904</v>
      </c>
      <c r="X17" s="62">
        <v>8049.1678193501502</v>
      </c>
      <c r="Y17" s="62">
        <v>7759.4565584592674</v>
      </c>
      <c r="Z17" s="62">
        <v>6613.9376882351899</v>
      </c>
      <c r="AA17" s="62">
        <v>5432.5667406238936</v>
      </c>
      <c r="AB17" s="62">
        <v>4161.09668560922</v>
      </c>
      <c r="AC17" s="53">
        <v>112801.77666795164</v>
      </c>
      <c r="AD17" s="105">
        <f>+SUMPRODUCT(AC17:AC19,C17:C19)</f>
        <v>4033377.7500967942</v>
      </c>
    </row>
    <row r="18" spans="1:30" ht="15.75" thickBot="1" x14ac:dyDescent="0.3">
      <c r="A18" s="54">
        <v>2026</v>
      </c>
      <c r="B18" s="55">
        <v>6</v>
      </c>
      <c r="C18" s="55">
        <v>20</v>
      </c>
      <c r="D18" s="56" t="s">
        <v>135</v>
      </c>
      <c r="E18" s="62">
        <v>2787.0520836663018</v>
      </c>
      <c r="F18" s="62">
        <v>2208.7689609569279</v>
      </c>
      <c r="G18" s="62">
        <v>1703.7614502582674</v>
      </c>
      <c r="H18" s="62">
        <v>1444.5140007430546</v>
      </c>
      <c r="I18" s="62">
        <v>1386.6072554207385</v>
      </c>
      <c r="J18" s="62">
        <v>1829.2487024478069</v>
      </c>
      <c r="K18" s="62">
        <v>2536.987177482828</v>
      </c>
      <c r="L18" s="62">
        <v>4162.3701854314422</v>
      </c>
      <c r="M18" s="62">
        <v>6109.399430989386</v>
      </c>
      <c r="N18" s="62">
        <v>6903.3298124127359</v>
      </c>
      <c r="O18" s="62">
        <v>7586.4250379192817</v>
      </c>
      <c r="P18" s="62">
        <v>8916.4469089207851</v>
      </c>
      <c r="Q18" s="62">
        <v>9123.0991739503115</v>
      </c>
      <c r="R18" s="62">
        <v>8702.2479698095631</v>
      </c>
      <c r="S18" s="62">
        <v>8476.5747221642887</v>
      </c>
      <c r="T18" s="62">
        <v>8307.7895402373506</v>
      </c>
      <c r="U18" s="62">
        <v>8058.0328770014021</v>
      </c>
      <c r="V18" s="62">
        <v>7771.9503454004916</v>
      </c>
      <c r="W18" s="62">
        <v>8406.5891461802494</v>
      </c>
      <c r="X18" s="62">
        <v>9081.6440162633553</v>
      </c>
      <c r="Y18" s="62">
        <v>8489.2024786229886</v>
      </c>
      <c r="Z18" s="62">
        <v>7156.8529511170636</v>
      </c>
      <c r="AA18" s="62">
        <v>5521.1198768916292</v>
      </c>
      <c r="AB18" s="62">
        <v>3941.300173219417</v>
      </c>
      <c r="AC18" s="57">
        <v>140611.31427750768</v>
      </c>
      <c r="AD18" s="106"/>
    </row>
    <row r="19" spans="1:30" ht="15.75" thickBot="1" x14ac:dyDescent="0.3">
      <c r="A19" s="58">
        <v>2026</v>
      </c>
      <c r="B19" s="59">
        <v>6</v>
      </c>
      <c r="C19" s="59">
        <v>4</v>
      </c>
      <c r="D19" s="60" t="s">
        <v>136</v>
      </c>
      <c r="E19" s="62">
        <v>3316.2509822966476</v>
      </c>
      <c r="F19" s="62">
        <v>2746.422893063369</v>
      </c>
      <c r="G19" s="62">
        <v>2142.7734894492405</v>
      </c>
      <c r="H19" s="62">
        <v>1826.1572427807823</v>
      </c>
      <c r="I19" s="62">
        <v>1715.7726751616574</v>
      </c>
      <c r="J19" s="62">
        <v>1894.4693343924191</v>
      </c>
      <c r="K19" s="62">
        <v>2216.94050089958</v>
      </c>
      <c r="L19" s="62">
        <v>3688.7040147726548</v>
      </c>
      <c r="M19" s="62">
        <v>5637.8444623587311</v>
      </c>
      <c r="N19" s="62">
        <v>6576.7296281580857</v>
      </c>
      <c r="O19" s="62">
        <v>7282.0605823420847</v>
      </c>
      <c r="P19" s="62">
        <v>8175.0280208887743</v>
      </c>
      <c r="Q19" s="62">
        <v>8222.3345955452314</v>
      </c>
      <c r="R19" s="62">
        <v>7864.1386896899894</v>
      </c>
      <c r="S19" s="62">
        <v>7415.598580228434</v>
      </c>
      <c r="T19" s="62">
        <v>6992.3815750889007</v>
      </c>
      <c r="U19" s="62">
        <v>6967.1736746989991</v>
      </c>
      <c r="V19" s="62">
        <v>7219.1579553649717</v>
      </c>
      <c r="W19" s="62">
        <v>8260.0254820013724</v>
      </c>
      <c r="X19" s="62">
        <v>9066.3838844295751</v>
      </c>
      <c r="Y19" s="62">
        <v>8680.9960104647143</v>
      </c>
      <c r="Z19" s="62">
        <v>7461.4804662577772</v>
      </c>
      <c r="AA19" s="62">
        <v>6055.7160050482489</v>
      </c>
      <c r="AB19" s="62">
        <v>4660.6603893504325</v>
      </c>
      <c r="AC19" s="61">
        <v>136085.20113473269</v>
      </c>
      <c r="AD19" s="107"/>
    </row>
    <row r="20" spans="1:30" ht="15.75" thickBot="1" x14ac:dyDescent="0.3">
      <c r="A20" s="49">
        <v>2026</v>
      </c>
      <c r="B20" s="50">
        <v>7</v>
      </c>
      <c r="C20" s="50">
        <v>6</v>
      </c>
      <c r="D20" s="51" t="s">
        <v>134</v>
      </c>
      <c r="E20" s="62">
        <v>3226.7131742191777</v>
      </c>
      <c r="F20" s="62">
        <v>2609.5695851967976</v>
      </c>
      <c r="G20" s="62">
        <v>2086.0174660183238</v>
      </c>
      <c r="H20" s="62">
        <v>1770.6323848446245</v>
      </c>
      <c r="I20" s="62">
        <v>1626.6937157526481</v>
      </c>
      <c r="J20" s="62">
        <v>1777.2642587306345</v>
      </c>
      <c r="K20" s="62">
        <v>1757.7716620476513</v>
      </c>
      <c r="L20" s="62">
        <v>3078.5143971429188</v>
      </c>
      <c r="M20" s="62">
        <v>4666.4132144802061</v>
      </c>
      <c r="N20" s="62">
        <v>5841.027958112667</v>
      </c>
      <c r="O20" s="62">
        <v>6515.8113338471412</v>
      </c>
      <c r="P20" s="62">
        <v>7575.0465208774622</v>
      </c>
      <c r="Q20" s="62">
        <v>8229.8971677950794</v>
      </c>
      <c r="R20" s="62">
        <v>8038.1314939920776</v>
      </c>
      <c r="S20" s="62">
        <v>7415.6939503102876</v>
      </c>
      <c r="T20" s="62">
        <v>7031.6080568306643</v>
      </c>
      <c r="U20" s="62">
        <v>6736.6875737503578</v>
      </c>
      <c r="V20" s="62">
        <v>6582.1506877954707</v>
      </c>
      <c r="W20" s="62">
        <v>7491.4698608993422</v>
      </c>
      <c r="X20" s="62">
        <v>8745.0713151138407</v>
      </c>
      <c r="Y20" s="62">
        <v>8204.8436510600404</v>
      </c>
      <c r="Z20" s="62">
        <v>6902.969906228569</v>
      </c>
      <c r="AA20" s="62">
        <v>5409.0593991837632</v>
      </c>
      <c r="AB20" s="62">
        <v>3954.9184896123588</v>
      </c>
      <c r="AC20" s="53">
        <v>127273.97722384211</v>
      </c>
      <c r="AD20" s="105">
        <f>+SUMPRODUCT(AC20:AC22,C20:C22)</f>
        <v>4425238.2172257602</v>
      </c>
    </row>
    <row r="21" spans="1:30" ht="15.75" thickBot="1" x14ac:dyDescent="0.3">
      <c r="A21" s="54">
        <v>2026</v>
      </c>
      <c r="B21" s="55">
        <v>7</v>
      </c>
      <c r="C21" s="55">
        <v>21</v>
      </c>
      <c r="D21" s="56" t="s">
        <v>135</v>
      </c>
      <c r="E21" s="62">
        <v>3175.2670059141728</v>
      </c>
      <c r="F21" s="62">
        <v>2586.6832712593969</v>
      </c>
      <c r="G21" s="62">
        <v>2097.7724636092807</v>
      </c>
      <c r="H21" s="62">
        <v>1759.4578545447366</v>
      </c>
      <c r="I21" s="62">
        <v>1733.3783410495998</v>
      </c>
      <c r="J21" s="62">
        <v>2408.1888495871044</v>
      </c>
      <c r="K21" s="62">
        <v>3139.3883102129112</v>
      </c>
      <c r="L21" s="62">
        <v>4434.0955209080566</v>
      </c>
      <c r="M21" s="62">
        <v>5912.3168872655988</v>
      </c>
      <c r="N21" s="62">
        <v>6787.968991444337</v>
      </c>
      <c r="O21" s="62">
        <v>7725.6503458309417</v>
      </c>
      <c r="P21" s="62">
        <v>8675.6140344165142</v>
      </c>
      <c r="Q21" s="62">
        <v>8720.7074656834593</v>
      </c>
      <c r="R21" s="62">
        <v>8912.6361008118838</v>
      </c>
      <c r="S21" s="62">
        <v>9102.9684026240866</v>
      </c>
      <c r="T21" s="62">
        <v>8306.850591160699</v>
      </c>
      <c r="U21" s="62">
        <v>8008.0016518926168</v>
      </c>
      <c r="V21" s="62">
        <v>8081.5129801998228</v>
      </c>
      <c r="W21" s="62">
        <v>8803.6660545476043</v>
      </c>
      <c r="X21" s="62">
        <v>9890.0087846783972</v>
      </c>
      <c r="Y21" s="62">
        <v>9294.2821449642979</v>
      </c>
      <c r="Z21" s="62">
        <v>7805.2064284363696</v>
      </c>
      <c r="AA21" s="62">
        <v>5767.9543881893769</v>
      </c>
      <c r="AB21" s="62">
        <v>4068.9148728644104</v>
      </c>
      <c r="AC21" s="57">
        <v>147198.49174209565</v>
      </c>
      <c r="AD21" s="106"/>
    </row>
    <row r="22" spans="1:30" ht="15.75" thickBot="1" x14ac:dyDescent="0.3">
      <c r="A22" s="58">
        <v>2026</v>
      </c>
      <c r="B22" s="59">
        <v>7</v>
      </c>
      <c r="C22" s="59">
        <v>4</v>
      </c>
      <c r="D22" s="60" t="s">
        <v>136</v>
      </c>
      <c r="E22" s="62">
        <v>2544.1781297142279</v>
      </c>
      <c r="F22" s="62">
        <v>1837.3855827077132</v>
      </c>
      <c r="G22" s="62">
        <v>1379.0143681701975</v>
      </c>
      <c r="H22" s="62">
        <v>1032.3066430757917</v>
      </c>
      <c r="I22" s="62">
        <v>1040.57863284634</v>
      </c>
      <c r="J22" s="62">
        <v>1233.7898756954619</v>
      </c>
      <c r="K22" s="62">
        <v>1589.7596338705043</v>
      </c>
      <c r="L22" s="62">
        <v>3219.4358088353456</v>
      </c>
      <c r="M22" s="62">
        <v>5398.9313848445963</v>
      </c>
      <c r="N22" s="62">
        <v>6836.1707694438992</v>
      </c>
      <c r="O22" s="62">
        <v>7956.9249138417435</v>
      </c>
      <c r="P22" s="62">
        <v>8963.3133575632382</v>
      </c>
      <c r="Q22" s="62">
        <v>9550.6497486499757</v>
      </c>
      <c r="R22" s="62">
        <v>9331.1280525073889</v>
      </c>
      <c r="S22" s="62">
        <v>8929.4635046863914</v>
      </c>
      <c r="T22" s="62">
        <v>8622.6798516778763</v>
      </c>
      <c r="U22" s="62">
        <v>8299.1847699426253</v>
      </c>
      <c r="V22" s="62">
        <v>7971.5976487333246</v>
      </c>
      <c r="W22" s="62">
        <v>8634.8931766553869</v>
      </c>
      <c r="X22" s="62">
        <v>9592.5455348967553</v>
      </c>
      <c r="Y22" s="62">
        <v>9052.9551859800486</v>
      </c>
      <c r="Z22" s="62">
        <v>8058.8156501880258</v>
      </c>
      <c r="AA22" s="62">
        <v>6550.9441059715355</v>
      </c>
      <c r="AB22" s="62">
        <v>4979.8604941764643</v>
      </c>
      <c r="AC22" s="61">
        <v>142606.50682467484</v>
      </c>
      <c r="AD22" s="107"/>
    </row>
    <row r="23" spans="1:30" ht="15.75" thickBot="1" x14ac:dyDescent="0.3">
      <c r="A23" s="49">
        <v>2026</v>
      </c>
      <c r="B23" s="50">
        <v>8</v>
      </c>
      <c r="C23" s="50">
        <v>7</v>
      </c>
      <c r="D23" s="51" t="s">
        <v>134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62">
        <v>0</v>
      </c>
      <c r="W23" s="62">
        <v>0</v>
      </c>
      <c r="X23" s="62">
        <v>0</v>
      </c>
      <c r="Y23" s="62">
        <v>0</v>
      </c>
      <c r="Z23" s="62">
        <v>0</v>
      </c>
      <c r="AA23" s="62">
        <v>0</v>
      </c>
      <c r="AB23" s="62">
        <v>0</v>
      </c>
      <c r="AC23" s="53">
        <v>0</v>
      </c>
      <c r="AD23" s="105">
        <f>+SUMPRODUCT(AC23:AC25,C23:C25)</f>
        <v>0</v>
      </c>
    </row>
    <row r="24" spans="1:30" ht="15.75" thickBot="1" x14ac:dyDescent="0.3">
      <c r="A24" s="54">
        <v>2026</v>
      </c>
      <c r="B24" s="55">
        <v>8</v>
      </c>
      <c r="C24" s="55">
        <v>19</v>
      </c>
      <c r="D24" s="56" t="s">
        <v>135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62">
        <v>0</v>
      </c>
      <c r="AC24" s="57">
        <v>0</v>
      </c>
      <c r="AD24" s="106"/>
    </row>
    <row r="25" spans="1:30" ht="15.75" thickBot="1" x14ac:dyDescent="0.3">
      <c r="A25" s="58">
        <v>2026</v>
      </c>
      <c r="B25" s="59">
        <v>8</v>
      </c>
      <c r="C25" s="59">
        <v>5</v>
      </c>
      <c r="D25" s="60" t="s">
        <v>136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1">
        <v>0</v>
      </c>
      <c r="AD25" s="107"/>
    </row>
    <row r="26" spans="1:30" ht="15.75" thickBot="1" x14ac:dyDescent="0.3">
      <c r="A26" s="49">
        <v>2026</v>
      </c>
      <c r="B26" s="50">
        <v>9</v>
      </c>
      <c r="C26" s="50">
        <v>4</v>
      </c>
      <c r="D26" s="51" t="s">
        <v>134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53">
        <v>0</v>
      </c>
      <c r="AD26" s="105">
        <f>+SUMPRODUCT(AC26:AC28,C26:C28)</f>
        <v>0</v>
      </c>
    </row>
    <row r="27" spans="1:30" ht="15.75" thickBot="1" x14ac:dyDescent="0.3">
      <c r="A27" s="54">
        <v>2026</v>
      </c>
      <c r="B27" s="55">
        <v>9</v>
      </c>
      <c r="C27" s="55">
        <v>22</v>
      </c>
      <c r="D27" s="56" t="s">
        <v>135</v>
      </c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57">
        <v>0</v>
      </c>
      <c r="AD27" s="106"/>
    </row>
    <row r="28" spans="1:30" ht="15.75" thickBot="1" x14ac:dyDescent="0.3">
      <c r="A28" s="58">
        <v>2026</v>
      </c>
      <c r="B28" s="59">
        <v>9</v>
      </c>
      <c r="C28" s="59">
        <v>4</v>
      </c>
      <c r="D28" s="60" t="s">
        <v>136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1">
        <v>0</v>
      </c>
      <c r="AD28" s="107"/>
    </row>
    <row r="29" spans="1:30" ht="15.75" thickBot="1" x14ac:dyDescent="0.3">
      <c r="A29" s="49">
        <v>2026</v>
      </c>
      <c r="B29" s="50">
        <v>10</v>
      </c>
      <c r="C29" s="50">
        <v>5</v>
      </c>
      <c r="D29" s="51" t="s">
        <v>134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53">
        <v>0</v>
      </c>
      <c r="AD29" s="105">
        <f>+SUMPRODUCT(AC29:AC31,C29:C31)</f>
        <v>0</v>
      </c>
    </row>
    <row r="30" spans="1:30" ht="15.75" thickBot="1" x14ac:dyDescent="0.3">
      <c r="A30" s="54">
        <v>2026</v>
      </c>
      <c r="B30" s="55">
        <v>10</v>
      </c>
      <c r="C30" s="55">
        <v>21</v>
      </c>
      <c r="D30" s="56" t="s">
        <v>135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0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0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57">
        <v>0</v>
      </c>
      <c r="AD30" s="106"/>
    </row>
    <row r="31" spans="1:30" ht="15.75" thickBot="1" x14ac:dyDescent="0.3">
      <c r="A31" s="58">
        <v>2026</v>
      </c>
      <c r="B31" s="59">
        <v>10</v>
      </c>
      <c r="C31" s="59">
        <v>5</v>
      </c>
      <c r="D31" s="60" t="s">
        <v>136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1">
        <v>0</v>
      </c>
      <c r="AD31" s="107"/>
    </row>
    <row r="32" spans="1:30" ht="15.75" thickBot="1" x14ac:dyDescent="0.3">
      <c r="A32" s="49">
        <v>2026</v>
      </c>
      <c r="B32" s="50">
        <v>11</v>
      </c>
      <c r="C32" s="50">
        <v>7</v>
      </c>
      <c r="D32" s="51" t="s">
        <v>134</v>
      </c>
      <c r="E32" s="62">
        <v>3113.7894321496315</v>
      </c>
      <c r="F32" s="62">
        <v>2372.658070489626</v>
      </c>
      <c r="G32" s="62">
        <v>1766.4824310301883</v>
      </c>
      <c r="H32" s="62">
        <v>1579.4036473174256</v>
      </c>
      <c r="I32" s="62">
        <v>1370.1005401967577</v>
      </c>
      <c r="J32" s="62">
        <v>1524.7242567231897</v>
      </c>
      <c r="K32" s="62">
        <v>1683.9558785376285</v>
      </c>
      <c r="L32" s="62">
        <v>3021.8527663610294</v>
      </c>
      <c r="M32" s="62">
        <v>4723.7958817377039</v>
      </c>
      <c r="N32" s="62">
        <v>5697.2286283362519</v>
      </c>
      <c r="O32" s="62">
        <v>6383.728360964491</v>
      </c>
      <c r="P32" s="62">
        <v>7321.6981474313579</v>
      </c>
      <c r="Q32" s="62">
        <v>7865.0977259683641</v>
      </c>
      <c r="R32" s="62">
        <v>7613.126175723839</v>
      </c>
      <c r="S32" s="62">
        <v>6640.226404742818</v>
      </c>
      <c r="T32" s="62">
        <v>6116.7900738269273</v>
      </c>
      <c r="U32" s="62">
        <v>5840.2224044019931</v>
      </c>
      <c r="V32" s="62">
        <v>6140.4287907778889</v>
      </c>
      <c r="W32" s="62">
        <v>8192.6519488167942</v>
      </c>
      <c r="X32" s="62">
        <v>8287.9482063289179</v>
      </c>
      <c r="Y32" s="62">
        <v>7841.4253588256724</v>
      </c>
      <c r="Z32" s="62">
        <v>6667.9975823372224</v>
      </c>
      <c r="AA32" s="62">
        <v>5148.8976684745394</v>
      </c>
      <c r="AB32" s="62">
        <v>3688.3143525542873</v>
      </c>
      <c r="AC32" s="53">
        <v>120602.54473405455</v>
      </c>
      <c r="AD32" s="105">
        <f>+SUMPRODUCT(AC32:AC34,C32:C34)</f>
        <v>4072572.1516091167</v>
      </c>
    </row>
    <row r="33" spans="1:30" ht="15.75" thickBot="1" x14ac:dyDescent="0.3">
      <c r="A33" s="54">
        <v>2026</v>
      </c>
      <c r="B33" s="55">
        <v>11</v>
      </c>
      <c r="C33" s="55">
        <v>19</v>
      </c>
      <c r="D33" s="56" t="s">
        <v>135</v>
      </c>
      <c r="E33" s="62">
        <v>2902.3608466615005</v>
      </c>
      <c r="F33" s="62">
        <v>2236.220956497109</v>
      </c>
      <c r="G33" s="62">
        <v>1830.1960346347441</v>
      </c>
      <c r="H33" s="62">
        <v>1481.4356985439717</v>
      </c>
      <c r="I33" s="62">
        <v>1433.1717219634938</v>
      </c>
      <c r="J33" s="62">
        <v>2080.5676039585614</v>
      </c>
      <c r="K33" s="62">
        <v>3074.2100211019642</v>
      </c>
      <c r="L33" s="62">
        <v>4477.8610502333686</v>
      </c>
      <c r="M33" s="62">
        <v>5965.5097530339044</v>
      </c>
      <c r="N33" s="62">
        <v>7008.7311350595519</v>
      </c>
      <c r="O33" s="62">
        <v>7686.2896238209178</v>
      </c>
      <c r="P33" s="62">
        <v>8600.3967812656374</v>
      </c>
      <c r="Q33" s="62">
        <v>8564.8530380596167</v>
      </c>
      <c r="R33" s="62">
        <v>8582.0553818528278</v>
      </c>
      <c r="S33" s="62">
        <v>8423.4125090699927</v>
      </c>
      <c r="T33" s="62">
        <v>8407.5311626644689</v>
      </c>
      <c r="U33" s="62">
        <v>8151.1912356714747</v>
      </c>
      <c r="V33" s="62">
        <v>7949.031898021607</v>
      </c>
      <c r="W33" s="62">
        <v>9308.524157768974</v>
      </c>
      <c r="X33" s="62">
        <v>9215.7889393367077</v>
      </c>
      <c r="Y33" s="62">
        <v>8487.6700016598115</v>
      </c>
      <c r="Z33" s="62">
        <v>7115.0538982671533</v>
      </c>
      <c r="AA33" s="62">
        <v>5411.3321532113187</v>
      </c>
      <c r="AB33" s="62">
        <v>3851.9606700819531</v>
      </c>
      <c r="AC33" s="57">
        <v>142245.35627244064</v>
      </c>
      <c r="AD33" s="106"/>
    </row>
    <row r="34" spans="1:30" ht="15.75" thickBot="1" x14ac:dyDescent="0.3">
      <c r="A34" s="58">
        <v>2026</v>
      </c>
      <c r="B34" s="59">
        <v>11</v>
      </c>
      <c r="C34" s="59">
        <v>4</v>
      </c>
      <c r="D34" s="60" t="s">
        <v>136</v>
      </c>
      <c r="E34" s="62">
        <v>2624.784081850803</v>
      </c>
      <c r="F34" s="62">
        <v>2017.862943895665</v>
      </c>
      <c r="G34" s="62">
        <v>1509.9546682332093</v>
      </c>
      <c r="H34" s="62">
        <v>775.31929912443229</v>
      </c>
      <c r="I34" s="62">
        <v>782.51623850993928</v>
      </c>
      <c r="J34" s="62">
        <v>1397.3698900613854</v>
      </c>
      <c r="K34" s="62">
        <v>1886.2053235359126</v>
      </c>
      <c r="L34" s="62">
        <v>3396.4827359785959</v>
      </c>
      <c r="M34" s="62">
        <v>5480.7824439532887</v>
      </c>
      <c r="N34" s="62">
        <v>6577.9593469333522</v>
      </c>
      <c r="O34" s="62">
        <v>7383.6112935619349</v>
      </c>
      <c r="P34" s="62">
        <v>8163.94627495233</v>
      </c>
      <c r="Q34" s="62">
        <v>8506.7263980307616</v>
      </c>
      <c r="R34" s="62">
        <v>8204.6073944532072</v>
      </c>
      <c r="S34" s="62">
        <v>7767.6940991402953</v>
      </c>
      <c r="T34" s="62">
        <v>7376.8831398133625</v>
      </c>
      <c r="U34" s="62">
        <v>6899.0520997999556</v>
      </c>
      <c r="V34" s="62">
        <v>7214.2412026534294</v>
      </c>
      <c r="W34" s="62">
        <v>8967.9606479060822</v>
      </c>
      <c r="X34" s="62">
        <v>8927.9449026696166</v>
      </c>
      <c r="Y34" s="62">
        <v>8303.3039217225887</v>
      </c>
      <c r="Z34" s="62">
        <v>7131.7514460355596</v>
      </c>
      <c r="AA34" s="62">
        <v>5819.2202653865825</v>
      </c>
      <c r="AB34" s="62">
        <v>4306.9622653883853</v>
      </c>
      <c r="AC34" s="61">
        <v>131423.14232359067</v>
      </c>
      <c r="AD34" s="107"/>
    </row>
    <row r="35" spans="1:30" ht="15.75" thickBot="1" x14ac:dyDescent="0.3">
      <c r="A35" s="49">
        <v>2026</v>
      </c>
      <c r="B35" s="50">
        <v>12</v>
      </c>
      <c r="C35" s="50">
        <v>6</v>
      </c>
      <c r="D35" s="51" t="s">
        <v>134</v>
      </c>
      <c r="E35" s="62">
        <v>3915.317438201917</v>
      </c>
      <c r="F35" s="62">
        <v>3042.3495236907111</v>
      </c>
      <c r="G35" s="62">
        <v>2493.8058037832798</v>
      </c>
      <c r="H35" s="62">
        <v>2091.8876624235072</v>
      </c>
      <c r="I35" s="62">
        <v>1862.276966254638</v>
      </c>
      <c r="J35" s="62">
        <v>1872.636364558166</v>
      </c>
      <c r="K35" s="62">
        <v>2068.1522245501619</v>
      </c>
      <c r="L35" s="62">
        <v>3115.9657015020402</v>
      </c>
      <c r="M35" s="62">
        <v>4478.7352796227715</v>
      </c>
      <c r="N35" s="62">
        <v>5436.3620680562126</v>
      </c>
      <c r="O35" s="62">
        <v>6108.4835374725044</v>
      </c>
      <c r="P35" s="62">
        <v>6786.4432154416718</v>
      </c>
      <c r="Q35" s="62">
        <v>7333.8488241746854</v>
      </c>
      <c r="R35" s="62">
        <v>7346.5458769643083</v>
      </c>
      <c r="S35" s="62">
        <v>6768.8542245642711</v>
      </c>
      <c r="T35" s="62">
        <v>6263.52208555381</v>
      </c>
      <c r="U35" s="62">
        <v>5961.2371710115222</v>
      </c>
      <c r="V35" s="62">
        <v>6077.5098849709284</v>
      </c>
      <c r="W35" s="62">
        <v>7711.4538500195486</v>
      </c>
      <c r="X35" s="62">
        <v>8055.2744336441865</v>
      </c>
      <c r="Y35" s="62">
        <v>7657.5347553746033</v>
      </c>
      <c r="Z35" s="62">
        <v>6810.1333875296696</v>
      </c>
      <c r="AA35" s="62">
        <v>5552.2166123795614</v>
      </c>
      <c r="AB35" s="62">
        <v>4175.9093311699216</v>
      </c>
      <c r="AC35" s="53">
        <v>122986.45622291461</v>
      </c>
      <c r="AD35" s="105">
        <f>+SUMPRODUCT(AC35:AC37,C35:C37)</f>
        <v>4410647.2897719238</v>
      </c>
    </row>
    <row r="36" spans="1:30" ht="15.75" thickBot="1" x14ac:dyDescent="0.3">
      <c r="A36" s="54">
        <v>2026</v>
      </c>
      <c r="B36" s="55">
        <v>12</v>
      </c>
      <c r="C36" s="55">
        <v>21</v>
      </c>
      <c r="D36" s="56" t="s">
        <v>135</v>
      </c>
      <c r="E36" s="62">
        <v>3520.7343284905983</v>
      </c>
      <c r="F36" s="62">
        <v>2852.5905315295349</v>
      </c>
      <c r="G36" s="62">
        <v>2350.5637808343981</v>
      </c>
      <c r="H36" s="62">
        <v>2015.3999117492931</v>
      </c>
      <c r="I36" s="62">
        <v>1955.3026861697617</v>
      </c>
      <c r="J36" s="62">
        <v>2350.3172573502306</v>
      </c>
      <c r="K36" s="62">
        <v>3038.7292315914092</v>
      </c>
      <c r="L36" s="62">
        <v>4654.2649709125471</v>
      </c>
      <c r="M36" s="62">
        <v>5994.4399300678415</v>
      </c>
      <c r="N36" s="62">
        <v>6582.4382218641695</v>
      </c>
      <c r="O36" s="62">
        <v>8168.5711334209118</v>
      </c>
      <c r="P36" s="62">
        <v>7968.8136240684689</v>
      </c>
      <c r="Q36" s="62">
        <v>8448.8045583206695</v>
      </c>
      <c r="R36" s="62">
        <v>8137.9127587324438</v>
      </c>
      <c r="S36" s="62">
        <v>8069.9543471826255</v>
      </c>
      <c r="T36" s="62">
        <v>8490.4501119373381</v>
      </c>
      <c r="U36" s="62">
        <v>8248.7913160934258</v>
      </c>
      <c r="V36" s="62">
        <v>8402.3735672610565</v>
      </c>
      <c r="W36" s="62">
        <v>9717.7298451280149</v>
      </c>
      <c r="X36" s="62">
        <v>9792.2237915871483</v>
      </c>
      <c r="Y36" s="62">
        <v>9096.6278661568285</v>
      </c>
      <c r="Z36" s="62">
        <v>7853.5308479179548</v>
      </c>
      <c r="AA36" s="62">
        <v>6249.5726282597752</v>
      </c>
      <c r="AB36" s="62">
        <v>4704.8580427016532</v>
      </c>
      <c r="AC36" s="57">
        <v>148664.99528932807</v>
      </c>
      <c r="AD36" s="106"/>
    </row>
    <row r="37" spans="1:30" ht="15.75" thickBot="1" x14ac:dyDescent="0.3">
      <c r="A37" s="58">
        <v>2026</v>
      </c>
      <c r="B37" s="59">
        <v>12</v>
      </c>
      <c r="C37" s="59">
        <v>4</v>
      </c>
      <c r="D37" s="60" t="s">
        <v>136</v>
      </c>
      <c r="E37" s="62">
        <v>3408.0602604977939</v>
      </c>
      <c r="F37" s="62">
        <v>2614.6336790694349</v>
      </c>
      <c r="G37" s="62">
        <v>2148.6253901351811</v>
      </c>
      <c r="H37" s="62">
        <v>1734.8188083058267</v>
      </c>
      <c r="I37" s="62">
        <v>1561.9077272006889</v>
      </c>
      <c r="J37" s="62">
        <v>1688.6582288448244</v>
      </c>
      <c r="K37" s="62">
        <v>2253.7816899242898</v>
      </c>
      <c r="L37" s="62">
        <v>3589.4367936176495</v>
      </c>
      <c r="M37" s="62">
        <v>5485.4109970358732</v>
      </c>
      <c r="N37" s="62">
        <v>6548.4477087117411</v>
      </c>
      <c r="O37" s="62">
        <v>7252.4285308270555</v>
      </c>
      <c r="P37" s="62">
        <v>7938.8174186548567</v>
      </c>
      <c r="Q37" s="62">
        <v>8118.8800926265321</v>
      </c>
      <c r="R37" s="62">
        <v>7915.6419930559532</v>
      </c>
      <c r="S37" s="62">
        <v>7619.4233445788923</v>
      </c>
      <c r="T37" s="62">
        <v>7443.2891258630261</v>
      </c>
      <c r="U37" s="62">
        <v>7250.8407459887931</v>
      </c>
      <c r="V37" s="62">
        <v>7438.2059179975731</v>
      </c>
      <c r="W37" s="62">
        <v>9036.1063235047841</v>
      </c>
      <c r="X37" s="62">
        <v>9311.7920271416551</v>
      </c>
      <c r="Y37" s="62">
        <v>8566.2187875225136</v>
      </c>
      <c r="Z37" s="62">
        <v>7508.9656805364139</v>
      </c>
      <c r="AA37" s="62">
        <v>6305.798755516349</v>
      </c>
      <c r="AB37" s="62">
        <v>4950.722812479009</v>
      </c>
      <c r="AC37" s="61">
        <v>137690.91283963673</v>
      </c>
      <c r="AD37" s="107"/>
    </row>
    <row r="38" spans="1:30" ht="15.75" thickBot="1" x14ac:dyDescent="0.3">
      <c r="A38" s="49">
        <v>2027</v>
      </c>
      <c r="B38" s="50">
        <v>1</v>
      </c>
      <c r="C38" s="50">
        <v>7</v>
      </c>
      <c r="D38" s="51" t="s">
        <v>134</v>
      </c>
      <c r="E38" s="62">
        <v>3705.3627907540176</v>
      </c>
      <c r="F38" s="62">
        <v>2992.8899121656032</v>
      </c>
      <c r="G38" s="62">
        <v>2429.578855621101</v>
      </c>
      <c r="H38" s="62">
        <v>2097.0215462450014</v>
      </c>
      <c r="I38" s="62">
        <v>1935.0630954415265</v>
      </c>
      <c r="J38" s="62">
        <v>1938.7442629567031</v>
      </c>
      <c r="K38" s="62">
        <v>1803.619376653729</v>
      </c>
      <c r="L38" s="62">
        <v>2564.8309528965256</v>
      </c>
      <c r="M38" s="62">
        <v>3703.5281700107589</v>
      </c>
      <c r="N38" s="62">
        <v>4718.628995199997</v>
      </c>
      <c r="O38" s="62">
        <v>5214.6206014271011</v>
      </c>
      <c r="P38" s="62">
        <v>5890.9377364404063</v>
      </c>
      <c r="Q38" s="62">
        <v>6397.1777766352498</v>
      </c>
      <c r="R38" s="62">
        <v>6355.2647427211959</v>
      </c>
      <c r="S38" s="62">
        <v>5685.8945194063599</v>
      </c>
      <c r="T38" s="62">
        <v>5395.0246432353561</v>
      </c>
      <c r="U38" s="62">
        <v>5158.0723426673394</v>
      </c>
      <c r="V38" s="62">
        <v>5041.9575460593733</v>
      </c>
      <c r="W38" s="62">
        <v>6664.1598173864768</v>
      </c>
      <c r="X38" s="62">
        <v>7969.903924202059</v>
      </c>
      <c r="Y38" s="62">
        <v>7852.0767486446675</v>
      </c>
      <c r="Z38" s="62">
        <v>6907.5899391920575</v>
      </c>
      <c r="AA38" s="62">
        <v>5621.6132248918439</v>
      </c>
      <c r="AB38" s="62">
        <v>4434.7805684066225</v>
      </c>
      <c r="AC38" s="53">
        <v>112478.34208926106</v>
      </c>
      <c r="AD38" s="105">
        <f>+SUMPRODUCT(AC38:AC40,C38:C40)</f>
        <v>4309001.101585024</v>
      </c>
    </row>
    <row r="39" spans="1:30" ht="15.75" thickBot="1" x14ac:dyDescent="0.3">
      <c r="A39" s="54">
        <v>2027</v>
      </c>
      <c r="B39" s="55">
        <v>1</v>
      </c>
      <c r="C39" s="55">
        <v>19</v>
      </c>
      <c r="D39" s="56" t="s">
        <v>135</v>
      </c>
      <c r="E39" s="62">
        <v>3768.3193332087794</v>
      </c>
      <c r="F39" s="62">
        <v>3100.1662895511636</v>
      </c>
      <c r="G39" s="62">
        <v>2559.2018935017604</v>
      </c>
      <c r="H39" s="62">
        <v>2209.7127096120475</v>
      </c>
      <c r="I39" s="62">
        <v>2153.7361611945362</v>
      </c>
      <c r="J39" s="62">
        <v>2552.3582337435328</v>
      </c>
      <c r="K39" s="62">
        <v>3015.7171826895192</v>
      </c>
      <c r="L39" s="62">
        <v>4234.1285585414262</v>
      </c>
      <c r="M39" s="62">
        <v>5966.5402029659599</v>
      </c>
      <c r="N39" s="62">
        <v>6848.112064043009</v>
      </c>
      <c r="O39" s="62">
        <v>7565.4562753550636</v>
      </c>
      <c r="P39" s="62">
        <v>8565.4664061332078</v>
      </c>
      <c r="Q39" s="62">
        <v>8681.8882226018359</v>
      </c>
      <c r="R39" s="62">
        <v>8563.0809473606641</v>
      </c>
      <c r="S39" s="62">
        <v>8504.4781484198866</v>
      </c>
      <c r="T39" s="62">
        <v>8352.9692497006035</v>
      </c>
      <c r="U39" s="62">
        <v>8234.4084519657954</v>
      </c>
      <c r="V39" s="62">
        <v>7712.7352561770094</v>
      </c>
      <c r="W39" s="62">
        <v>8498.3307094379634</v>
      </c>
      <c r="X39" s="62">
        <v>9401.0396513393389</v>
      </c>
      <c r="Y39" s="62">
        <v>9074.2010964213623</v>
      </c>
      <c r="Z39" s="62">
        <v>7985.6003543842198</v>
      </c>
      <c r="AA39" s="62">
        <v>6429.63931287987</v>
      </c>
      <c r="AB39" s="62">
        <v>4963.7181817433957</v>
      </c>
      <c r="AC39" s="57">
        <v>148941.00489297195</v>
      </c>
      <c r="AD39" s="106"/>
    </row>
    <row r="40" spans="1:30" ht="15.75" thickBot="1" x14ac:dyDescent="0.3">
      <c r="A40" s="58">
        <v>2027</v>
      </c>
      <c r="B40" s="59">
        <v>1</v>
      </c>
      <c r="C40" s="59">
        <v>5</v>
      </c>
      <c r="D40" s="60" t="s">
        <v>136</v>
      </c>
      <c r="E40" s="62">
        <v>3535.871155738103</v>
      </c>
      <c r="F40" s="62">
        <v>2827.4488409887181</v>
      </c>
      <c r="G40" s="62">
        <v>2458.6549529710628</v>
      </c>
      <c r="H40" s="62">
        <v>2142.7623837362698</v>
      </c>
      <c r="I40" s="62">
        <v>1844.0723553592034</v>
      </c>
      <c r="J40" s="62">
        <v>1949.1904497090909</v>
      </c>
      <c r="K40" s="62">
        <v>2063.8680242095688</v>
      </c>
      <c r="L40" s="62">
        <v>3349.44923036615</v>
      </c>
      <c r="M40" s="62">
        <v>5163.9441092582638</v>
      </c>
      <c r="N40" s="62">
        <v>6103.3092910840824</v>
      </c>
      <c r="O40" s="62">
        <v>6934.8272525233224</v>
      </c>
      <c r="P40" s="62">
        <v>7862.7723235193953</v>
      </c>
      <c r="Q40" s="62">
        <v>8281.0508454585215</v>
      </c>
      <c r="R40" s="62">
        <v>8165.7430087020621</v>
      </c>
      <c r="S40" s="62">
        <v>7882.2622037128494</v>
      </c>
      <c r="T40" s="62">
        <v>7654.3666094099754</v>
      </c>
      <c r="U40" s="62">
        <v>7307.0498878378967</v>
      </c>
      <c r="V40" s="62">
        <v>7102.7242925435239</v>
      </c>
      <c r="W40" s="62">
        <v>8232.4543083523058</v>
      </c>
      <c r="X40" s="62">
        <v>9164.2880069995408</v>
      </c>
      <c r="Y40" s="62">
        <v>8805.1606532477235</v>
      </c>
      <c r="Z40" s="62">
        <v>7897.3779432254123</v>
      </c>
      <c r="AA40" s="62">
        <v>6481.9144625938243</v>
      </c>
      <c r="AB40" s="62">
        <v>5144.1602071989837</v>
      </c>
      <c r="AC40" s="61">
        <v>138354.72279874585</v>
      </c>
      <c r="AD40" s="107"/>
    </row>
    <row r="41" spans="1:30" ht="15.75" thickBot="1" x14ac:dyDescent="0.3">
      <c r="A41" s="49">
        <v>2027</v>
      </c>
      <c r="B41" s="50">
        <v>2</v>
      </c>
      <c r="C41" s="50">
        <v>4</v>
      </c>
      <c r="D41" s="51" t="s">
        <v>134</v>
      </c>
      <c r="E41" s="62">
        <v>2636.9750930535884</v>
      </c>
      <c r="F41" s="62">
        <v>1986.4764517246003</v>
      </c>
      <c r="G41" s="62">
        <v>1501.4027028112996</v>
      </c>
      <c r="H41" s="62">
        <v>1071.9609317847444</v>
      </c>
      <c r="I41" s="62">
        <v>505.07347281446164</v>
      </c>
      <c r="J41" s="62">
        <v>388.46613484396039</v>
      </c>
      <c r="K41" s="62">
        <v>640.17109873351365</v>
      </c>
      <c r="L41" s="62">
        <v>1842.0916520814189</v>
      </c>
      <c r="M41" s="62">
        <v>3195.8754985616324</v>
      </c>
      <c r="N41" s="62">
        <v>4040.5852079752731</v>
      </c>
      <c r="O41" s="62">
        <v>4578.7173130931478</v>
      </c>
      <c r="P41" s="62">
        <v>5254.3133190463595</v>
      </c>
      <c r="Q41" s="62">
        <v>5816.9277534490502</v>
      </c>
      <c r="R41" s="62">
        <v>5702.277600829686</v>
      </c>
      <c r="S41" s="62">
        <v>5099.1240717096407</v>
      </c>
      <c r="T41" s="62">
        <v>4602.3226215978684</v>
      </c>
      <c r="U41" s="62">
        <v>4346.0462219168185</v>
      </c>
      <c r="V41" s="62">
        <v>4065.588706158178</v>
      </c>
      <c r="W41" s="62">
        <v>5189.0999591865584</v>
      </c>
      <c r="X41" s="62">
        <v>6400.3609239417274</v>
      </c>
      <c r="Y41" s="62">
        <v>6494.7989698605488</v>
      </c>
      <c r="Z41" s="62">
        <v>5621.0677181788051</v>
      </c>
      <c r="AA41" s="62">
        <v>4183.3182384495376</v>
      </c>
      <c r="AB41" s="62">
        <v>2859.7285642581101</v>
      </c>
      <c r="AC41" s="53">
        <v>88022.770226060529</v>
      </c>
      <c r="AD41" s="105">
        <f>+SUMPRODUCT(AC41:AC43,C41:C43)</f>
        <v>3102795.7730818316</v>
      </c>
    </row>
    <row r="42" spans="1:30" ht="15.75" thickBot="1" x14ac:dyDescent="0.3">
      <c r="A42" s="54">
        <v>2027</v>
      </c>
      <c r="B42" s="55">
        <v>2</v>
      </c>
      <c r="C42" s="55">
        <v>20</v>
      </c>
      <c r="D42" s="56" t="s">
        <v>135</v>
      </c>
      <c r="E42" s="62">
        <v>2119.7376683608909</v>
      </c>
      <c r="F42" s="62">
        <v>1597.7089091276794</v>
      </c>
      <c r="G42" s="62">
        <v>1166.3196834670107</v>
      </c>
      <c r="H42" s="62">
        <v>940.71549041377693</v>
      </c>
      <c r="I42" s="62">
        <v>899.67687489115997</v>
      </c>
      <c r="J42" s="62">
        <v>1603.2466831743986</v>
      </c>
      <c r="K42" s="62">
        <v>2304.2951517028669</v>
      </c>
      <c r="L42" s="62">
        <v>3097.1816333320439</v>
      </c>
      <c r="M42" s="62">
        <v>4526.4359222366074</v>
      </c>
      <c r="N42" s="62">
        <v>5230.4144870450982</v>
      </c>
      <c r="O42" s="62">
        <v>5951.8422338717828</v>
      </c>
      <c r="P42" s="62">
        <v>6881.1735322737404</v>
      </c>
      <c r="Q42" s="62">
        <v>6934.2476666599905</v>
      </c>
      <c r="R42" s="62">
        <v>6899.9345124607498</v>
      </c>
      <c r="S42" s="62">
        <v>7245.4988977456596</v>
      </c>
      <c r="T42" s="62">
        <v>7213.9860630022449</v>
      </c>
      <c r="U42" s="62">
        <v>7063.3729086647763</v>
      </c>
      <c r="V42" s="62">
        <v>6637.241128318321</v>
      </c>
      <c r="W42" s="62">
        <v>7158.656887666788</v>
      </c>
      <c r="X42" s="62">
        <v>8160.921412231306</v>
      </c>
      <c r="Y42" s="62">
        <v>7754.1468839667905</v>
      </c>
      <c r="Z42" s="62">
        <v>6089.1234501351864</v>
      </c>
      <c r="AA42" s="62">
        <v>4661.2505694215615</v>
      </c>
      <c r="AB42" s="62">
        <v>3187.7750300294501</v>
      </c>
      <c r="AC42" s="57">
        <v>115324.90368019987</v>
      </c>
      <c r="AD42" s="106"/>
    </row>
    <row r="43" spans="1:30" ht="15.75" thickBot="1" x14ac:dyDescent="0.3">
      <c r="A43" s="58">
        <v>2027</v>
      </c>
      <c r="B43" s="59">
        <v>2</v>
      </c>
      <c r="C43" s="59">
        <v>4</v>
      </c>
      <c r="D43" s="60" t="s">
        <v>136</v>
      </c>
      <c r="E43" s="62">
        <v>2431.7511156310229</v>
      </c>
      <c r="F43" s="62">
        <v>1765.0306085915836</v>
      </c>
      <c r="G43" s="62">
        <v>1330.3475031864564</v>
      </c>
      <c r="H43" s="62">
        <v>734.18128020375843</v>
      </c>
      <c r="I43" s="62">
        <v>877.6087872059652</v>
      </c>
      <c r="J43" s="62">
        <v>1120.534686820838</v>
      </c>
      <c r="K43" s="62">
        <v>1456.7978767067689</v>
      </c>
      <c r="L43" s="62">
        <v>2838.0286405677434</v>
      </c>
      <c r="M43" s="62">
        <v>4103.2328885601637</v>
      </c>
      <c r="N43" s="62">
        <v>4833.7526334081922</v>
      </c>
      <c r="O43" s="62">
        <v>5768.7681178316452</v>
      </c>
      <c r="P43" s="62">
        <v>6436.4846886952182</v>
      </c>
      <c r="Q43" s="62">
        <v>6994.610083290132</v>
      </c>
      <c r="R43" s="62">
        <v>6837.4039302070851</v>
      </c>
      <c r="S43" s="62">
        <v>6485.3415482232995</v>
      </c>
      <c r="T43" s="62">
        <v>6520.1895728837771</v>
      </c>
      <c r="U43" s="62">
        <v>6335.2811939584935</v>
      </c>
      <c r="V43" s="62">
        <v>6078.0835895652381</v>
      </c>
      <c r="W43" s="62">
        <v>6763.9637608053599</v>
      </c>
      <c r="X43" s="62">
        <v>7781.1765349560228</v>
      </c>
      <c r="Y43" s="62">
        <v>7543.8618422477484</v>
      </c>
      <c r="Z43" s="62">
        <v>6647.9926607558409</v>
      </c>
      <c r="AA43" s="62">
        <v>5359.0576539518115</v>
      </c>
      <c r="AB43" s="62">
        <v>4008.1734451438024</v>
      </c>
      <c r="AC43" s="61">
        <v>111051.65464339795</v>
      </c>
      <c r="AD43" s="107"/>
    </row>
    <row r="44" spans="1:30" ht="15.75" thickBot="1" x14ac:dyDescent="0.3">
      <c r="A44" s="49">
        <v>2027</v>
      </c>
      <c r="B44" s="50">
        <v>3</v>
      </c>
      <c r="C44" s="50">
        <v>7</v>
      </c>
      <c r="D44" s="51" t="s">
        <v>134</v>
      </c>
      <c r="E44" s="62">
        <v>2231.7140812436737</v>
      </c>
      <c r="F44" s="62">
        <v>2461.6532443512642</v>
      </c>
      <c r="G44" s="62">
        <v>1729.3987572495771</v>
      </c>
      <c r="H44" s="62">
        <v>1388.5612405585161</v>
      </c>
      <c r="I44" s="62">
        <v>1267.3945063912561</v>
      </c>
      <c r="J44" s="62">
        <v>1304.7709728965219</v>
      </c>
      <c r="K44" s="62">
        <v>1314.6593042905042</v>
      </c>
      <c r="L44" s="62">
        <v>2257.3466359808481</v>
      </c>
      <c r="M44" s="62">
        <v>3743.4353517056334</v>
      </c>
      <c r="N44" s="62">
        <v>4507.4588166482426</v>
      </c>
      <c r="O44" s="62">
        <v>5178.8168858388235</v>
      </c>
      <c r="P44" s="62">
        <v>6004.0306211588759</v>
      </c>
      <c r="Q44" s="62">
        <v>6614.4374199779741</v>
      </c>
      <c r="R44" s="62">
        <v>6294.1515529794269</v>
      </c>
      <c r="S44" s="62">
        <v>3988.2074037074781</v>
      </c>
      <c r="T44" s="62">
        <v>4980.6858809010118</v>
      </c>
      <c r="U44" s="62">
        <v>4683.7514898942609</v>
      </c>
      <c r="V44" s="62">
        <v>4548.0950865134364</v>
      </c>
      <c r="W44" s="62">
        <v>5930.7344127748147</v>
      </c>
      <c r="X44" s="62">
        <v>8088.6764370467827</v>
      </c>
      <c r="Y44" s="62">
        <v>8183.1190525152342</v>
      </c>
      <c r="Z44" s="62">
        <v>7498.8400944780442</v>
      </c>
      <c r="AA44" s="62">
        <v>6241.3740828116497</v>
      </c>
      <c r="AB44" s="62">
        <v>4699.1697329014642</v>
      </c>
      <c r="AC44" s="53">
        <v>105140.48306481534</v>
      </c>
      <c r="AD44" s="105">
        <f>+SUMPRODUCT(AC44:AC46,C44:C46)</f>
        <v>3909486.3633220205</v>
      </c>
    </row>
    <row r="45" spans="1:30" ht="15.75" thickBot="1" x14ac:dyDescent="0.3">
      <c r="A45" s="54">
        <v>2027</v>
      </c>
      <c r="B45" s="55">
        <v>3</v>
      </c>
      <c r="C45" s="55">
        <v>20</v>
      </c>
      <c r="D45" s="56" t="s">
        <v>135</v>
      </c>
      <c r="E45" s="62">
        <v>3032.5287870132906</v>
      </c>
      <c r="F45" s="62">
        <v>2380.4632578740529</v>
      </c>
      <c r="G45" s="62">
        <v>1911.5219741420897</v>
      </c>
      <c r="H45" s="62">
        <v>1614.5510825304955</v>
      </c>
      <c r="I45" s="62">
        <v>1495.8475003007061</v>
      </c>
      <c r="J45" s="62">
        <v>2175.3466614548288</v>
      </c>
      <c r="K45" s="62">
        <v>2914.2040260632075</v>
      </c>
      <c r="L45" s="62">
        <v>3833.870617147295</v>
      </c>
      <c r="M45" s="62">
        <v>5378.7008362665583</v>
      </c>
      <c r="N45" s="62">
        <v>6172.8986626664373</v>
      </c>
      <c r="O45" s="62">
        <v>6758.8151565395056</v>
      </c>
      <c r="P45" s="62">
        <v>7572.4246139833085</v>
      </c>
      <c r="Q45" s="62">
        <v>7583.8573218233287</v>
      </c>
      <c r="R45" s="62">
        <v>7553.6384326564075</v>
      </c>
      <c r="S45" s="62">
        <v>7638.8978834350528</v>
      </c>
      <c r="T45" s="62">
        <v>7744.1444316113702</v>
      </c>
      <c r="U45" s="62">
        <v>7742.2716996773888</v>
      </c>
      <c r="V45" s="62">
        <v>7214.4200897333139</v>
      </c>
      <c r="W45" s="62">
        <v>7967.3260678068</v>
      </c>
      <c r="X45" s="62">
        <v>9009.6403230901597</v>
      </c>
      <c r="Y45" s="62">
        <v>8643.4572710210014</v>
      </c>
      <c r="Z45" s="62">
        <v>7527.2574108119661</v>
      </c>
      <c r="AA45" s="62">
        <v>5816.5038000172899</v>
      </c>
      <c r="AB45" s="62">
        <v>4268.0126283745703</v>
      </c>
      <c r="AC45" s="57">
        <v>133950.60053604044</v>
      </c>
      <c r="AD45" s="106"/>
    </row>
    <row r="46" spans="1:30" ht="15.75" thickBot="1" x14ac:dyDescent="0.3">
      <c r="A46" s="58">
        <v>2027</v>
      </c>
      <c r="B46" s="59">
        <v>3</v>
      </c>
      <c r="C46" s="59">
        <v>4</v>
      </c>
      <c r="D46" s="60" t="s">
        <v>136</v>
      </c>
      <c r="E46" s="62">
        <v>3223.0688782429534</v>
      </c>
      <c r="F46" s="62">
        <v>2396.9151038288073</v>
      </c>
      <c r="G46" s="62">
        <v>1950.074225873359</v>
      </c>
      <c r="H46" s="62">
        <v>1672.0049655361727</v>
      </c>
      <c r="I46" s="62">
        <v>1555.6502487694233</v>
      </c>
      <c r="J46" s="62">
        <v>1676.0591579044067</v>
      </c>
      <c r="K46" s="62">
        <v>1754.5606478649206</v>
      </c>
      <c r="L46" s="62">
        <v>2939.2077418935678</v>
      </c>
      <c r="M46" s="62">
        <v>5312.5174534201906</v>
      </c>
      <c r="N46" s="62">
        <v>6183.6129471687564</v>
      </c>
      <c r="O46" s="62">
        <v>6701.4366310563637</v>
      </c>
      <c r="P46" s="62">
        <v>7416.059633840574</v>
      </c>
      <c r="Q46" s="62">
        <v>7661.6784375886236</v>
      </c>
      <c r="R46" s="62">
        <v>7413.4688176147938</v>
      </c>
      <c r="S46" s="62">
        <v>7206.2361464358291</v>
      </c>
      <c r="T46" s="62">
        <v>7045.4194463615495</v>
      </c>
      <c r="U46" s="62">
        <v>6732.3451653021657</v>
      </c>
      <c r="V46" s="62">
        <v>6474.8586348034696</v>
      </c>
      <c r="W46" s="62">
        <v>7528.999403473892</v>
      </c>
      <c r="X46" s="62">
        <v>8486.6999383070797</v>
      </c>
      <c r="Y46" s="62">
        <v>8206.2597911065714</v>
      </c>
      <c r="Z46" s="62">
        <v>6082.4659832944708</v>
      </c>
      <c r="AA46" s="62">
        <v>4737.1218210974948</v>
      </c>
      <c r="AB46" s="62">
        <v>3266.0215660905978</v>
      </c>
      <c r="AC46" s="61">
        <v>123622.74278687601</v>
      </c>
      <c r="AD46" s="107"/>
    </row>
    <row r="47" spans="1:30" ht="15.75" thickBot="1" x14ac:dyDescent="0.3">
      <c r="A47" s="49">
        <v>2027</v>
      </c>
      <c r="B47" s="50">
        <v>4</v>
      </c>
      <c r="C47" s="50">
        <v>4</v>
      </c>
      <c r="D47" s="51" t="s">
        <v>134</v>
      </c>
      <c r="E47" s="62">
        <v>2475.4362076652396</v>
      </c>
      <c r="F47" s="62">
        <v>1738.6136382716431</v>
      </c>
      <c r="G47" s="62">
        <v>1400.1864345219983</v>
      </c>
      <c r="H47" s="62">
        <v>968.43813761183264</v>
      </c>
      <c r="I47" s="62">
        <v>846.81811816787013</v>
      </c>
      <c r="J47" s="62">
        <v>834.50408755164972</v>
      </c>
      <c r="K47" s="62">
        <v>842.76499292476183</v>
      </c>
      <c r="L47" s="62">
        <v>1917.2983929598813</v>
      </c>
      <c r="M47" s="62">
        <v>3392.617014343854</v>
      </c>
      <c r="N47" s="62">
        <v>4352.5642742716009</v>
      </c>
      <c r="O47" s="62">
        <v>5046.8655038216966</v>
      </c>
      <c r="P47" s="62">
        <v>5841.3247397393789</v>
      </c>
      <c r="Q47" s="62">
        <v>6437.2771332967859</v>
      </c>
      <c r="R47" s="62">
        <v>6246.4869861887892</v>
      </c>
      <c r="S47" s="62">
        <v>5375.8645955047505</v>
      </c>
      <c r="T47" s="62">
        <v>4872.753281355177</v>
      </c>
      <c r="U47" s="62">
        <v>4559.2736616703151</v>
      </c>
      <c r="V47" s="62">
        <v>4541.4883496783987</v>
      </c>
      <c r="W47" s="62">
        <v>6025.8323968197146</v>
      </c>
      <c r="X47" s="62">
        <v>7146.1553154400863</v>
      </c>
      <c r="Y47" s="62">
        <v>6851.7055418840609</v>
      </c>
      <c r="Z47" s="62">
        <v>5979.67374911765</v>
      </c>
      <c r="AA47" s="62">
        <v>4494.711082428792</v>
      </c>
      <c r="AB47" s="62">
        <v>3105.7336581783256</v>
      </c>
      <c r="AC47" s="53">
        <v>95294.387293414286</v>
      </c>
      <c r="AD47" s="105">
        <f>+SUMPRODUCT(AC47:AC49,C47:C49)</f>
        <v>3499668.6838984527</v>
      </c>
    </row>
    <row r="48" spans="1:30" ht="15.75" thickBot="1" x14ac:dyDescent="0.3">
      <c r="A48" s="54">
        <v>2027</v>
      </c>
      <c r="B48" s="55">
        <v>4</v>
      </c>
      <c r="C48" s="55">
        <v>22</v>
      </c>
      <c r="D48" s="56" t="s">
        <v>135</v>
      </c>
      <c r="E48" s="62">
        <v>2146.8953513849738</v>
      </c>
      <c r="F48" s="62">
        <v>1449.6616392834512</v>
      </c>
      <c r="G48" s="62">
        <v>1100.1974405903402</v>
      </c>
      <c r="H48" s="62">
        <v>803.61667613098871</v>
      </c>
      <c r="I48" s="62">
        <v>715.116033337712</v>
      </c>
      <c r="J48" s="62">
        <v>1405.7888546397735</v>
      </c>
      <c r="K48" s="62">
        <v>2132.1359909009843</v>
      </c>
      <c r="L48" s="62">
        <v>3234.1663015755348</v>
      </c>
      <c r="M48" s="62">
        <v>4738.262678901101</v>
      </c>
      <c r="N48" s="62">
        <v>5455.5095402506158</v>
      </c>
      <c r="O48" s="62">
        <v>5924.8776138920803</v>
      </c>
      <c r="P48" s="62">
        <v>6962.2143052545871</v>
      </c>
      <c r="Q48" s="62">
        <v>7014.2826513865111</v>
      </c>
      <c r="R48" s="62">
        <v>7273.9578763359204</v>
      </c>
      <c r="S48" s="62">
        <v>7775.2122070958212</v>
      </c>
      <c r="T48" s="62">
        <v>7921.3435179717853</v>
      </c>
      <c r="U48" s="62">
        <v>7693.2954562907362</v>
      </c>
      <c r="V48" s="62">
        <v>7278.9454329498803</v>
      </c>
      <c r="W48" s="62">
        <v>8011.8978760991267</v>
      </c>
      <c r="X48" s="62">
        <v>8775.0323733488694</v>
      </c>
      <c r="Y48" s="62">
        <v>8223.5545504221736</v>
      </c>
      <c r="Z48" s="62">
        <v>7017.6283990117263</v>
      </c>
      <c r="AA48" s="62">
        <v>5366.4386266056899</v>
      </c>
      <c r="AB48" s="62">
        <v>3400.381351554548</v>
      </c>
      <c r="AC48" s="57">
        <v>121820.41274521493</v>
      </c>
      <c r="AD48" s="106"/>
    </row>
    <row r="49" spans="1:30" ht="15.75" thickBot="1" x14ac:dyDescent="0.3">
      <c r="A49" s="58">
        <v>2027</v>
      </c>
      <c r="B49" s="59">
        <v>4</v>
      </c>
      <c r="C49" s="59">
        <v>4</v>
      </c>
      <c r="D49" s="60" t="s">
        <v>136</v>
      </c>
      <c r="E49" s="62">
        <v>2594.2844637430971</v>
      </c>
      <c r="F49" s="62">
        <v>1983.975094298401</v>
      </c>
      <c r="G49" s="62">
        <v>1450.1323483474698</v>
      </c>
      <c r="H49" s="62">
        <v>1116.2221311108842</v>
      </c>
      <c r="I49" s="62">
        <v>184.11394692936119</v>
      </c>
      <c r="J49" s="62">
        <v>1184.981627501209</v>
      </c>
      <c r="K49" s="62">
        <v>1284.6448584078116</v>
      </c>
      <c r="L49" s="62">
        <v>2703.1579244423792</v>
      </c>
      <c r="M49" s="62">
        <v>4565.7065443069841</v>
      </c>
      <c r="N49" s="62">
        <v>5528.5580752768437</v>
      </c>
      <c r="O49" s="62">
        <v>6130.0432809642443</v>
      </c>
      <c r="P49" s="62">
        <v>7065.9070928282272</v>
      </c>
      <c r="Q49" s="62">
        <v>7320.0421574222128</v>
      </c>
      <c r="R49" s="62">
        <v>7044.0830069455988</v>
      </c>
      <c r="S49" s="62">
        <v>6632.1888699217598</v>
      </c>
      <c r="T49" s="62">
        <v>6073.4917035825347</v>
      </c>
      <c r="U49" s="62">
        <v>5785.2068271821045</v>
      </c>
      <c r="V49" s="62">
        <v>5718.8886307214198</v>
      </c>
      <c r="W49" s="62">
        <v>6838.6149725768555</v>
      </c>
      <c r="X49" s="62">
        <v>7408.5123120235039</v>
      </c>
      <c r="Y49" s="62">
        <v>7116.4973564282554</v>
      </c>
      <c r="Z49" s="62">
        <v>6131.4739962718486</v>
      </c>
      <c r="AA49" s="62">
        <v>4669.0004991787027</v>
      </c>
      <c r="AB49" s="62">
        <v>3080.785862105</v>
      </c>
      <c r="AC49" s="61">
        <v>109610.51358251671</v>
      </c>
      <c r="AD49" s="107"/>
    </row>
    <row r="50" spans="1:30" ht="15.75" thickBot="1" x14ac:dyDescent="0.3">
      <c r="A50" s="49">
        <v>2027</v>
      </c>
      <c r="B50" s="50">
        <v>5</v>
      </c>
      <c r="C50" s="50">
        <v>7</v>
      </c>
      <c r="D50" s="51" t="s">
        <v>134</v>
      </c>
      <c r="E50" s="62">
        <v>3392.5054349623788</v>
      </c>
      <c r="F50" s="62">
        <v>2535.3200439581942</v>
      </c>
      <c r="G50" s="62">
        <v>2147.1695908645961</v>
      </c>
      <c r="H50" s="62">
        <v>1887.5612681036255</v>
      </c>
      <c r="I50" s="62">
        <v>1705.6713628002035</v>
      </c>
      <c r="J50" s="62">
        <v>1777.4819006096586</v>
      </c>
      <c r="K50" s="62">
        <v>1860.96609782413</v>
      </c>
      <c r="L50" s="62">
        <v>3102.172866666906</v>
      </c>
      <c r="M50" s="62">
        <v>4705.8059190955755</v>
      </c>
      <c r="N50" s="62">
        <v>5762.7173074987513</v>
      </c>
      <c r="O50" s="62">
        <v>6494.5205017214794</v>
      </c>
      <c r="P50" s="62">
        <v>7285.5854843713532</v>
      </c>
      <c r="Q50" s="62">
        <v>7783.781569013543</v>
      </c>
      <c r="R50" s="62">
        <v>7620.3258021102702</v>
      </c>
      <c r="S50" s="62">
        <v>6896.8594756034436</v>
      </c>
      <c r="T50" s="62">
        <v>6429.833359895405</v>
      </c>
      <c r="U50" s="62">
        <v>6021.1254484450728</v>
      </c>
      <c r="V50" s="62">
        <v>6132.7812046598192</v>
      </c>
      <c r="W50" s="62">
        <v>7447.6325199794119</v>
      </c>
      <c r="X50" s="62">
        <v>8260.6698260894882</v>
      </c>
      <c r="Y50" s="62">
        <v>8131.0645023265024</v>
      </c>
      <c r="Z50" s="62">
        <v>6995.1926002947439</v>
      </c>
      <c r="AA50" s="62">
        <v>5433.5832905022107</v>
      </c>
      <c r="AB50" s="62">
        <v>4128.3548980287087</v>
      </c>
      <c r="AC50" s="53">
        <v>123938.68227542547</v>
      </c>
      <c r="AD50" s="105">
        <f>+SUMPRODUCT(AC50:AC52,C50:C52)</f>
        <v>3990561.0859683068</v>
      </c>
    </row>
    <row r="51" spans="1:30" ht="15.75" thickBot="1" x14ac:dyDescent="0.3">
      <c r="A51" s="54">
        <v>2027</v>
      </c>
      <c r="B51" s="55">
        <v>5</v>
      </c>
      <c r="C51" s="55">
        <v>20</v>
      </c>
      <c r="D51" s="56" t="s">
        <v>135</v>
      </c>
      <c r="E51" s="62">
        <v>2546.2319235300329</v>
      </c>
      <c r="F51" s="62">
        <v>1937.4028633368689</v>
      </c>
      <c r="G51" s="62">
        <v>1490.4644839103948</v>
      </c>
      <c r="H51" s="62">
        <v>1275.7930949292167</v>
      </c>
      <c r="I51" s="62">
        <v>1114.3631110348724</v>
      </c>
      <c r="J51" s="62">
        <v>1767.7511675215283</v>
      </c>
      <c r="K51" s="62">
        <v>2468.8342683873652</v>
      </c>
      <c r="L51" s="62">
        <v>3621.8821925011471</v>
      </c>
      <c r="M51" s="62">
        <v>5056.3473961911877</v>
      </c>
      <c r="N51" s="62">
        <v>5957.9297239033549</v>
      </c>
      <c r="O51" s="62">
        <v>6692.3487575580803</v>
      </c>
      <c r="P51" s="62">
        <v>7578.40266870087</v>
      </c>
      <c r="Q51" s="62">
        <v>7766.8831356802293</v>
      </c>
      <c r="R51" s="62">
        <v>7861.5715833922768</v>
      </c>
      <c r="S51" s="62">
        <v>8034.4292881919828</v>
      </c>
      <c r="T51" s="62">
        <v>7963.2610559753994</v>
      </c>
      <c r="U51" s="62">
        <v>7852.7344477980841</v>
      </c>
      <c r="V51" s="62">
        <v>7521.5424562979279</v>
      </c>
      <c r="W51" s="62">
        <v>8361.3426336924422</v>
      </c>
      <c r="X51" s="62">
        <v>9069.6174827091927</v>
      </c>
      <c r="Y51" s="62">
        <v>8563.129895839731</v>
      </c>
      <c r="Z51" s="62">
        <v>7104.7154218480973</v>
      </c>
      <c r="AA51" s="62">
        <v>5383.9231930228889</v>
      </c>
      <c r="AB51" s="62">
        <v>3773.7652715178119</v>
      </c>
      <c r="AC51" s="57">
        <v>130764.66751747097</v>
      </c>
      <c r="AD51" s="106"/>
    </row>
    <row r="52" spans="1:30" ht="15.75" thickBot="1" x14ac:dyDescent="0.3">
      <c r="A52" s="58">
        <v>2027</v>
      </c>
      <c r="B52" s="59">
        <v>5</v>
      </c>
      <c r="C52" s="59">
        <v>4</v>
      </c>
      <c r="D52" s="60" t="s">
        <v>136</v>
      </c>
      <c r="E52" s="62">
        <v>2860.05243603296</v>
      </c>
      <c r="F52" s="62">
        <v>2177.4240485911414</v>
      </c>
      <c r="G52" s="62">
        <v>1742.9385012405237</v>
      </c>
      <c r="H52" s="62">
        <v>1437.8541642378586</v>
      </c>
      <c r="I52" s="62">
        <v>1334.4744656636412</v>
      </c>
      <c r="J52" s="62">
        <v>1324.2714834519429</v>
      </c>
      <c r="K52" s="62">
        <v>1595.7897097305104</v>
      </c>
      <c r="L52" s="62">
        <v>3211.1061186303759</v>
      </c>
      <c r="M52" s="62">
        <v>5156.0497942621478</v>
      </c>
      <c r="N52" s="62">
        <v>6396.9922939146309</v>
      </c>
      <c r="O52" s="62">
        <v>7414.1019873805344</v>
      </c>
      <c r="P52" s="62">
        <v>7815.7507556683886</v>
      </c>
      <c r="Q52" s="62">
        <v>8264.2330356371058</v>
      </c>
      <c r="R52" s="62">
        <v>8028.9285778783633</v>
      </c>
      <c r="S52" s="62">
        <v>7549.7775951090189</v>
      </c>
      <c r="T52" s="62">
        <v>7290.4634164826784</v>
      </c>
      <c r="U52" s="62">
        <v>6736.4793279587902</v>
      </c>
      <c r="V52" s="62">
        <v>6716.5023821596988</v>
      </c>
      <c r="W52" s="62">
        <v>7057.2994552173805</v>
      </c>
      <c r="X52" s="62">
        <v>8193.3070637825222</v>
      </c>
      <c r="Y52" s="62">
        <v>7815.2022247130262</v>
      </c>
      <c r="Z52" s="62">
        <v>6838.703740666122</v>
      </c>
      <c r="AA52" s="62">
        <v>5568.7871617790224</v>
      </c>
      <c r="AB52" s="62">
        <v>4397.7501825390136</v>
      </c>
      <c r="AC52" s="61">
        <v>126924.23992272737</v>
      </c>
      <c r="AD52" s="107"/>
    </row>
    <row r="53" spans="1:30" ht="15.75" thickBot="1" x14ac:dyDescent="0.3">
      <c r="A53" s="49">
        <v>2027</v>
      </c>
      <c r="B53" s="50">
        <v>6</v>
      </c>
      <c r="C53" s="50">
        <v>6</v>
      </c>
      <c r="D53" s="51" t="s">
        <v>134</v>
      </c>
      <c r="E53" s="62">
        <v>2662.0724268777212</v>
      </c>
      <c r="F53" s="62">
        <v>2073.9474594114472</v>
      </c>
      <c r="G53" s="62">
        <v>1576.4063871404087</v>
      </c>
      <c r="H53" s="62">
        <v>1189.6188222501514</v>
      </c>
      <c r="I53" s="62">
        <v>167.99230715698104</v>
      </c>
      <c r="J53" s="62">
        <v>762.14187502861023</v>
      </c>
      <c r="K53" s="62">
        <v>794.56187902888632</v>
      </c>
      <c r="L53" s="62">
        <v>1947.0190514397382</v>
      </c>
      <c r="M53" s="62">
        <v>3367.1475846484627</v>
      </c>
      <c r="N53" s="62">
        <v>4230.0395343648743</v>
      </c>
      <c r="O53" s="62">
        <v>4744.3599363708236</v>
      </c>
      <c r="P53" s="62">
        <v>5245.3392344806962</v>
      </c>
      <c r="Q53" s="62">
        <v>5815.3587238494256</v>
      </c>
      <c r="R53" s="62">
        <v>5525.5811804358564</v>
      </c>
      <c r="S53" s="62">
        <v>5008.9749061715229</v>
      </c>
      <c r="T53" s="62">
        <v>4484.4134539952174</v>
      </c>
      <c r="U53" s="62">
        <v>4187.1062302398677</v>
      </c>
      <c r="V53" s="62">
        <v>4539.4070886460504</v>
      </c>
      <c r="W53" s="62">
        <v>5879.3126353003827</v>
      </c>
      <c r="X53" s="62">
        <v>6984.1568864460096</v>
      </c>
      <c r="Y53" s="62">
        <v>6709.1039561305879</v>
      </c>
      <c r="Z53" s="62">
        <v>5621.5441525597307</v>
      </c>
      <c r="AA53" s="62">
        <v>4499.9462556371545</v>
      </c>
      <c r="AB53" s="62">
        <v>3292.8079367306473</v>
      </c>
      <c r="AC53" s="53">
        <v>91308.359904341269</v>
      </c>
      <c r="AD53" s="105">
        <f>+SUMPRODUCT(AC53:AC55,C53:C55)</f>
        <v>3355721.8040381884</v>
      </c>
    </row>
    <row r="54" spans="1:30" ht="15.75" thickBot="1" x14ac:dyDescent="0.3">
      <c r="A54" s="54">
        <v>2027</v>
      </c>
      <c r="B54" s="55">
        <v>6</v>
      </c>
      <c r="C54" s="55">
        <v>20</v>
      </c>
      <c r="D54" s="56" t="s">
        <v>135</v>
      </c>
      <c r="E54" s="62">
        <v>1988.2849679433057</v>
      </c>
      <c r="F54" s="62">
        <v>1439.2608569575823</v>
      </c>
      <c r="G54" s="62">
        <v>959.80487992089729</v>
      </c>
      <c r="H54" s="62">
        <v>713.67440350556171</v>
      </c>
      <c r="I54" s="62">
        <v>658.69752778125621</v>
      </c>
      <c r="J54" s="62">
        <v>1078.9429359489113</v>
      </c>
      <c r="K54" s="62">
        <v>1750.8724317398119</v>
      </c>
      <c r="L54" s="62">
        <v>3294.0170021179601</v>
      </c>
      <c r="M54" s="62">
        <v>5142.5336864668534</v>
      </c>
      <c r="N54" s="62">
        <v>5896.2940933127065</v>
      </c>
      <c r="O54" s="62">
        <v>6544.8271979020465</v>
      </c>
      <c r="P54" s="62">
        <v>7807.5548249802305</v>
      </c>
      <c r="Q54" s="62">
        <v>8003.751240949372</v>
      </c>
      <c r="R54" s="62">
        <v>7604.1935690462124</v>
      </c>
      <c r="S54" s="62">
        <v>7389.9385626382573</v>
      </c>
      <c r="T54" s="62">
        <v>7229.6932938141654</v>
      </c>
      <c r="U54" s="62">
        <v>6992.573404592029</v>
      </c>
      <c r="V54" s="62">
        <v>6720.9656031316517</v>
      </c>
      <c r="W54" s="62">
        <v>7323.4940009217789</v>
      </c>
      <c r="X54" s="62">
        <v>7964.3935626754173</v>
      </c>
      <c r="Y54" s="62">
        <v>7401.9274007890272</v>
      </c>
      <c r="Z54" s="62">
        <v>6136.9898881152985</v>
      </c>
      <c r="AA54" s="62">
        <v>4584.0189269726216</v>
      </c>
      <c r="AB54" s="62">
        <v>3084.132324260414</v>
      </c>
      <c r="AC54" s="57">
        <v>117710.83658648335</v>
      </c>
      <c r="AD54" s="106"/>
    </row>
    <row r="55" spans="1:30" ht="15.75" thickBot="1" x14ac:dyDescent="0.3">
      <c r="A55" s="58">
        <v>2027</v>
      </c>
      <c r="B55" s="59">
        <v>6</v>
      </c>
      <c r="C55" s="59">
        <v>4</v>
      </c>
      <c r="D55" s="60" t="s">
        <v>136</v>
      </c>
      <c r="E55" s="62">
        <v>2490.7083371294884</v>
      </c>
      <c r="F55" s="62">
        <v>1949.7114658387745</v>
      </c>
      <c r="G55" s="62">
        <v>1376.6045150193404</v>
      </c>
      <c r="H55" s="62">
        <v>1076.0078928382209</v>
      </c>
      <c r="I55" s="62">
        <v>971.20838075892425</v>
      </c>
      <c r="J55" s="62">
        <v>1140.8636423730459</v>
      </c>
      <c r="K55" s="62">
        <v>1447.0189468554436</v>
      </c>
      <c r="L55" s="62">
        <v>2844.3166079035327</v>
      </c>
      <c r="M55" s="62">
        <v>4694.8376751767937</v>
      </c>
      <c r="N55" s="62">
        <v>5586.2186842845658</v>
      </c>
      <c r="O55" s="62">
        <v>6255.8624709772594</v>
      </c>
      <c r="P55" s="62">
        <v>7103.6490219495972</v>
      </c>
      <c r="Q55" s="62">
        <v>7148.5620568880149</v>
      </c>
      <c r="R55" s="62">
        <v>6808.4895542538106</v>
      </c>
      <c r="S55" s="62">
        <v>6382.6439344044957</v>
      </c>
      <c r="T55" s="62">
        <v>5980.8401623833815</v>
      </c>
      <c r="U55" s="62">
        <v>5956.9076895895414</v>
      </c>
      <c r="V55" s="62">
        <v>6196.1424869442271</v>
      </c>
      <c r="W55" s="62">
        <v>7184.3459222927268</v>
      </c>
      <c r="X55" s="62">
        <v>7949.9055377192017</v>
      </c>
      <c r="Y55" s="62">
        <v>7584.0168811440199</v>
      </c>
      <c r="Z55" s="62">
        <v>6426.204364751462</v>
      </c>
      <c r="AA55" s="62">
        <v>5091.5664456040868</v>
      </c>
      <c r="AB55" s="62">
        <v>3767.0955435385877</v>
      </c>
      <c r="AC55" s="61">
        <v>113413.72822061855</v>
      </c>
      <c r="AD55" s="107"/>
    </row>
    <row r="56" spans="1:30" ht="15.75" thickBot="1" x14ac:dyDescent="0.3">
      <c r="A56" s="49">
        <v>2027</v>
      </c>
      <c r="B56" s="50">
        <v>7</v>
      </c>
      <c r="C56" s="50">
        <v>6</v>
      </c>
      <c r="D56" s="51" t="s">
        <v>134</v>
      </c>
      <c r="E56" s="62">
        <v>2419.1920392581633</v>
      </c>
      <c r="F56" s="62">
        <v>1832.7605535490475</v>
      </c>
      <c r="G56" s="62">
        <v>1335.2629653745389</v>
      </c>
      <c r="H56" s="62">
        <v>1035.5729985450016</v>
      </c>
      <c r="I56" s="62">
        <v>898.79742626640291</v>
      </c>
      <c r="J56" s="62">
        <v>1041.8748377363736</v>
      </c>
      <c r="K56" s="62">
        <v>1023.3522886303563</v>
      </c>
      <c r="L56" s="62">
        <v>2278.3683629419647</v>
      </c>
      <c r="M56" s="62">
        <v>3787.2455175794603</v>
      </c>
      <c r="N56" s="62">
        <v>4903.4056487012931</v>
      </c>
      <c r="O56" s="62">
        <v>5544.6084815633149</v>
      </c>
      <c r="P56" s="62">
        <v>6551.1309108565729</v>
      </c>
      <c r="Q56" s="62">
        <v>7173.3929656205473</v>
      </c>
      <c r="R56" s="62">
        <v>6991.1704958474256</v>
      </c>
      <c r="S56" s="62">
        <v>6399.7085087259693</v>
      </c>
      <c r="T56" s="62">
        <v>6034.7366202389239</v>
      </c>
      <c r="U56" s="62">
        <v>5754.4928323502572</v>
      </c>
      <c r="V56" s="62">
        <v>5607.6464626570305</v>
      </c>
      <c r="W56" s="62">
        <v>6471.7134369438754</v>
      </c>
      <c r="X56" s="62">
        <v>7662.9295110615312</v>
      </c>
      <c r="Y56" s="62">
        <v>7149.5862352217991</v>
      </c>
      <c r="Z56" s="62">
        <v>5912.5001373225896</v>
      </c>
      <c r="AA56" s="62">
        <v>4492.9339719338386</v>
      </c>
      <c r="AB56" s="62">
        <v>3111.1582730543923</v>
      </c>
      <c r="AC56" s="53">
        <v>105413.54148198066</v>
      </c>
      <c r="AD56" s="105">
        <f>+SUMPRODUCT(AC56:AC58,C56:C58)</f>
        <v>3719326.7748227506</v>
      </c>
    </row>
    <row r="57" spans="1:30" ht="15.75" thickBot="1" x14ac:dyDescent="0.3">
      <c r="A57" s="54">
        <v>2027</v>
      </c>
      <c r="B57" s="55">
        <v>7</v>
      </c>
      <c r="C57" s="55">
        <v>20</v>
      </c>
      <c r="D57" s="56" t="s">
        <v>135</v>
      </c>
      <c r="E57" s="62">
        <v>2370.3060855679778</v>
      </c>
      <c r="F57" s="62">
        <v>1811.013175267155</v>
      </c>
      <c r="G57" s="62">
        <v>1346.4329764131289</v>
      </c>
      <c r="H57" s="62">
        <v>1024.9545678873201</v>
      </c>
      <c r="I57" s="62">
        <v>1000.1728993784563</v>
      </c>
      <c r="J57" s="62">
        <v>1641.4015147816444</v>
      </c>
      <c r="K57" s="62">
        <v>2336.2128904029341</v>
      </c>
      <c r="L57" s="62">
        <v>3566.4890961867568</v>
      </c>
      <c r="M57" s="62">
        <v>4971.146889769665</v>
      </c>
      <c r="N57" s="62">
        <v>5803.2222342309287</v>
      </c>
      <c r="O57" s="62">
        <v>6694.2399480270833</v>
      </c>
      <c r="P57" s="62">
        <v>7596.9287666040364</v>
      </c>
      <c r="Q57" s="62">
        <v>7639.7781267269966</v>
      </c>
      <c r="R57" s="62">
        <v>7822.1554480676969</v>
      </c>
      <c r="S57" s="62">
        <v>8003.0158774970587</v>
      </c>
      <c r="T57" s="62">
        <v>7246.5168077821181</v>
      </c>
      <c r="U57" s="62">
        <v>6962.5400630261829</v>
      </c>
      <c r="V57" s="62">
        <v>7032.3931057255868</v>
      </c>
      <c r="W57" s="62">
        <v>7718.6082877872432</v>
      </c>
      <c r="X57" s="62">
        <v>8750.8892553803489</v>
      </c>
      <c r="Y57" s="62">
        <v>8184.8089061419269</v>
      </c>
      <c r="Z57" s="62">
        <v>6769.836928291279</v>
      </c>
      <c r="AA57" s="62">
        <v>4833.9685793734461</v>
      </c>
      <c r="AB57" s="62">
        <v>3219.4816350484198</v>
      </c>
      <c r="AC57" s="57">
        <v>124346.51406536538</v>
      </c>
      <c r="AD57" s="106"/>
    </row>
    <row r="58" spans="1:30" ht="15.75" thickBot="1" x14ac:dyDescent="0.3">
      <c r="A58" s="58">
        <v>2027</v>
      </c>
      <c r="B58" s="59">
        <v>7</v>
      </c>
      <c r="C58" s="59">
        <v>5</v>
      </c>
      <c r="D58" s="60" t="s">
        <v>136</v>
      </c>
      <c r="E58" s="62">
        <v>1770.6232988267329</v>
      </c>
      <c r="F58" s="62">
        <v>1099.0042286428361</v>
      </c>
      <c r="G58" s="62">
        <v>663.4438223954985</v>
      </c>
      <c r="H58" s="62">
        <v>333.98998061449311</v>
      </c>
      <c r="I58" s="62">
        <v>341.85031544936646</v>
      </c>
      <c r="J58" s="62">
        <v>525.44641563604273</v>
      </c>
      <c r="K58" s="62">
        <v>863.70136613271461</v>
      </c>
      <c r="L58" s="62">
        <v>2412.2768314037803</v>
      </c>
      <c r="M58" s="62">
        <v>4483.3099774504626</v>
      </c>
      <c r="N58" s="62">
        <v>5849.0252544500654</v>
      </c>
      <c r="O58" s="62">
        <v>6914.0051549218952</v>
      </c>
      <c r="P58" s="62">
        <v>7870.3107550286513</v>
      </c>
      <c r="Q58" s="62">
        <v>8428.4183957183086</v>
      </c>
      <c r="R58" s="62">
        <v>8219.8211799257697</v>
      </c>
      <c r="S58" s="62">
        <v>7838.1454374806708</v>
      </c>
      <c r="T58" s="62">
        <v>7546.6288494042274</v>
      </c>
      <c r="U58" s="62">
        <v>7239.2324755682566</v>
      </c>
      <c r="V58" s="62">
        <v>6927.947702288413</v>
      </c>
      <c r="W58" s="62">
        <v>7558.2343792021748</v>
      </c>
      <c r="X58" s="62">
        <v>8468.2292413799732</v>
      </c>
      <c r="Y58" s="62">
        <v>7955.4915647384769</v>
      </c>
      <c r="Z58" s="62">
        <v>7010.8253065987446</v>
      </c>
      <c r="AA58" s="62">
        <v>5577.9928739810057</v>
      </c>
      <c r="AB58" s="62">
        <v>4085.0941174732689</v>
      </c>
      <c r="AC58" s="61">
        <v>119983.04892471184</v>
      </c>
      <c r="AD58" s="107"/>
    </row>
    <row r="59" spans="1:30" ht="15.75" thickBot="1" x14ac:dyDescent="0.3">
      <c r="A59" s="49">
        <v>2027</v>
      </c>
      <c r="B59" s="50">
        <v>8</v>
      </c>
      <c r="C59" s="50">
        <v>7</v>
      </c>
      <c r="D59" s="51" t="s">
        <v>134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>
        <v>0</v>
      </c>
      <c r="M59" s="62">
        <v>0</v>
      </c>
      <c r="N59" s="62">
        <v>0</v>
      </c>
      <c r="O59" s="62">
        <v>0</v>
      </c>
      <c r="P59" s="62">
        <v>0</v>
      </c>
      <c r="Q59" s="62">
        <v>0</v>
      </c>
      <c r="R59" s="62">
        <v>0</v>
      </c>
      <c r="S59" s="62">
        <v>0</v>
      </c>
      <c r="T59" s="62">
        <v>0</v>
      </c>
      <c r="U59" s="62">
        <v>0</v>
      </c>
      <c r="V59" s="62">
        <v>0</v>
      </c>
      <c r="W59" s="62">
        <v>0</v>
      </c>
      <c r="X59" s="62">
        <v>0</v>
      </c>
      <c r="Y59" s="62">
        <v>0</v>
      </c>
      <c r="Z59" s="62">
        <v>0</v>
      </c>
      <c r="AA59" s="62">
        <v>0</v>
      </c>
      <c r="AB59" s="62">
        <v>0</v>
      </c>
      <c r="AC59" s="53">
        <v>0</v>
      </c>
      <c r="AD59" s="105">
        <f>+SUMPRODUCT(AC59:AC61,C59:C61)</f>
        <v>0</v>
      </c>
    </row>
    <row r="60" spans="1:30" ht="15.75" thickBot="1" x14ac:dyDescent="0.3">
      <c r="A60" s="54">
        <v>2027</v>
      </c>
      <c r="B60" s="55">
        <v>8</v>
      </c>
      <c r="C60" s="55">
        <v>21</v>
      </c>
      <c r="D60" s="56" t="s">
        <v>135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57">
        <v>0</v>
      </c>
      <c r="AD60" s="106"/>
    </row>
    <row r="61" spans="1:30" ht="15.75" thickBot="1" x14ac:dyDescent="0.3">
      <c r="A61" s="58">
        <v>2027</v>
      </c>
      <c r="B61" s="59">
        <v>8</v>
      </c>
      <c r="C61" s="59">
        <v>3</v>
      </c>
      <c r="D61" s="60" t="s">
        <v>136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1">
        <v>0</v>
      </c>
      <c r="AD61" s="107"/>
    </row>
    <row r="62" spans="1:30" ht="15.75" thickBot="1" x14ac:dyDescent="0.3">
      <c r="A62" s="49">
        <v>2027</v>
      </c>
      <c r="B62" s="50">
        <v>9</v>
      </c>
      <c r="C62" s="50">
        <v>4</v>
      </c>
      <c r="D62" s="51" t="s">
        <v>134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53">
        <v>0</v>
      </c>
      <c r="AD62" s="105">
        <f>+SUMPRODUCT(AC62:AC64,C62:C64)</f>
        <v>0</v>
      </c>
    </row>
    <row r="63" spans="1:30" ht="15.75" thickBot="1" x14ac:dyDescent="0.3">
      <c r="A63" s="54">
        <v>2027</v>
      </c>
      <c r="B63" s="55">
        <v>9</v>
      </c>
      <c r="C63" s="55">
        <v>22</v>
      </c>
      <c r="D63" s="56" t="s">
        <v>135</v>
      </c>
      <c r="E63" s="62">
        <v>0</v>
      </c>
      <c r="F63" s="62">
        <v>0</v>
      </c>
      <c r="G63" s="62">
        <v>0</v>
      </c>
      <c r="H63" s="62">
        <v>0</v>
      </c>
      <c r="I63" s="62">
        <v>0</v>
      </c>
      <c r="J63" s="62">
        <v>0</v>
      </c>
      <c r="K63" s="62">
        <v>0</v>
      </c>
      <c r="L63" s="62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57">
        <v>0</v>
      </c>
      <c r="AD63" s="106"/>
    </row>
    <row r="64" spans="1:30" ht="15.75" thickBot="1" x14ac:dyDescent="0.3">
      <c r="A64" s="58">
        <v>2027</v>
      </c>
      <c r="B64" s="59">
        <v>9</v>
      </c>
      <c r="C64" s="59">
        <v>4</v>
      </c>
      <c r="D64" s="60" t="s">
        <v>136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1">
        <v>0</v>
      </c>
      <c r="AD64" s="107"/>
    </row>
    <row r="65" spans="1:30" ht="15.75" thickBot="1" x14ac:dyDescent="0.3">
      <c r="A65" s="49">
        <v>2027</v>
      </c>
      <c r="B65" s="50">
        <v>10</v>
      </c>
      <c r="C65" s="50">
        <v>6</v>
      </c>
      <c r="D65" s="51" t="s">
        <v>134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0</v>
      </c>
      <c r="Y65" s="62">
        <v>0</v>
      </c>
      <c r="Z65" s="62">
        <v>0</v>
      </c>
      <c r="AA65" s="62">
        <v>0</v>
      </c>
      <c r="AB65" s="62">
        <v>0</v>
      </c>
      <c r="AC65" s="53">
        <v>0</v>
      </c>
      <c r="AD65" s="105">
        <f>+SUMPRODUCT(AC65:AC67,C65:C67)</f>
        <v>0</v>
      </c>
    </row>
    <row r="66" spans="1:30" ht="15.75" thickBot="1" x14ac:dyDescent="0.3">
      <c r="A66" s="54">
        <v>2027</v>
      </c>
      <c r="B66" s="55">
        <v>10</v>
      </c>
      <c r="C66" s="55">
        <v>20</v>
      </c>
      <c r="D66" s="56" t="s">
        <v>135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57">
        <v>0</v>
      </c>
      <c r="AD66" s="106"/>
    </row>
    <row r="67" spans="1:30" ht="15.75" thickBot="1" x14ac:dyDescent="0.3">
      <c r="A67" s="58">
        <v>2027</v>
      </c>
      <c r="B67" s="59">
        <v>10</v>
      </c>
      <c r="C67" s="59">
        <v>5</v>
      </c>
      <c r="D67" s="60" t="s">
        <v>136</v>
      </c>
      <c r="E67" s="62">
        <v>0</v>
      </c>
      <c r="F67" s="62">
        <v>0</v>
      </c>
      <c r="G67" s="62">
        <v>0</v>
      </c>
      <c r="H67" s="62">
        <v>0</v>
      </c>
      <c r="I67" s="62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1">
        <v>0</v>
      </c>
      <c r="AD67" s="107"/>
    </row>
    <row r="68" spans="1:30" ht="15.75" thickBot="1" x14ac:dyDescent="0.3">
      <c r="A68" s="49">
        <v>2027</v>
      </c>
      <c r="B68" s="50">
        <v>11</v>
      </c>
      <c r="C68" s="50">
        <v>6</v>
      </c>
      <c r="D68" s="51" t="s">
        <v>134</v>
      </c>
      <c r="E68" s="62">
        <v>2269.9576339287141</v>
      </c>
      <c r="F68" s="62">
        <v>1567.6371436817153</v>
      </c>
      <c r="G68" s="62">
        <v>993.20514106428709</v>
      </c>
      <c r="H68" s="62">
        <v>815.92312347745974</v>
      </c>
      <c r="I68" s="62">
        <v>617.58060498794657</v>
      </c>
      <c r="J68" s="62">
        <v>764.10713187978217</v>
      </c>
      <c r="K68" s="62">
        <v>915.00026160115704</v>
      </c>
      <c r="L68" s="62">
        <v>2182.8354211489113</v>
      </c>
      <c r="M68" s="62">
        <v>3795.6527771525252</v>
      </c>
      <c r="N68" s="62">
        <v>4718.1097114836921</v>
      </c>
      <c r="O68" s="62">
        <v>5368.6594705628122</v>
      </c>
      <c r="P68" s="62">
        <v>6257.5105357677421</v>
      </c>
      <c r="Q68" s="62">
        <v>6772.4538752903209</v>
      </c>
      <c r="R68" s="62">
        <v>6533.6773346516165</v>
      </c>
      <c r="S68" s="62">
        <v>5611.7254655711658</v>
      </c>
      <c r="T68" s="62">
        <v>5115.6999570587104</v>
      </c>
      <c r="U68" s="62">
        <v>4853.6153237193103</v>
      </c>
      <c r="V68" s="62">
        <v>5138.1007838711375</v>
      </c>
      <c r="W68" s="62">
        <v>7082.8550460869737</v>
      </c>
      <c r="X68" s="62">
        <v>7173.160918644724</v>
      </c>
      <c r="Y68" s="62">
        <v>6750.0211604478063</v>
      </c>
      <c r="Z68" s="62">
        <v>5638.0423482073966</v>
      </c>
      <c r="AA68" s="62">
        <v>4198.4932325842965</v>
      </c>
      <c r="AB68" s="62">
        <v>2814.3963726348211</v>
      </c>
      <c r="AC68" s="53">
        <v>97948.42077550503</v>
      </c>
      <c r="AD68" s="105">
        <f>+SUMPRODUCT(AC68:AC70,C68:C70)</f>
        <v>3389657.2640533163</v>
      </c>
    </row>
    <row r="69" spans="1:30" ht="15.75" thickBot="1" x14ac:dyDescent="0.3">
      <c r="A69" s="54">
        <v>2027</v>
      </c>
      <c r="B69" s="55">
        <v>11</v>
      </c>
      <c r="C69" s="55">
        <v>20</v>
      </c>
      <c r="D69" s="56" t="s">
        <v>135</v>
      </c>
      <c r="E69" s="62">
        <v>2069.6009421275994</v>
      </c>
      <c r="F69" s="62">
        <v>1438.3448403949114</v>
      </c>
      <c r="G69" s="62">
        <v>1053.5822504861972</v>
      </c>
      <c r="H69" s="62">
        <v>723.08546827831378</v>
      </c>
      <c r="I69" s="62">
        <v>677.34893431576893</v>
      </c>
      <c r="J69" s="62">
        <v>1290.8425965030729</v>
      </c>
      <c r="K69" s="62">
        <v>2232.4508803237622</v>
      </c>
      <c r="L69" s="62">
        <v>3562.59683003397</v>
      </c>
      <c r="M69" s="62">
        <v>4972.3417420911173</v>
      </c>
      <c r="N69" s="62">
        <v>5960.9326861031623</v>
      </c>
      <c r="O69" s="62">
        <v>6603.0094279806726</v>
      </c>
      <c r="P69" s="62">
        <v>7469.2474799191332</v>
      </c>
      <c r="Q69" s="62">
        <v>7435.5650580907677</v>
      </c>
      <c r="R69" s="62">
        <v>7451.8665656928533</v>
      </c>
      <c r="S69" s="62">
        <v>7301.5313539464805</v>
      </c>
      <c r="T69" s="62">
        <v>7286.4816669809661</v>
      </c>
      <c r="U69" s="62">
        <v>7043.5655086465522</v>
      </c>
      <c r="V69" s="62">
        <v>6851.9926614143878</v>
      </c>
      <c r="W69" s="62">
        <v>8140.2923067217744</v>
      </c>
      <c r="X69" s="62">
        <v>8052.4133591535101</v>
      </c>
      <c r="Y69" s="62">
        <v>7362.4238704858471</v>
      </c>
      <c r="Z69" s="62">
        <v>6061.6876386572185</v>
      </c>
      <c r="AA69" s="62">
        <v>4447.184794583809</v>
      </c>
      <c r="AB69" s="62">
        <v>2969.4730134285837</v>
      </c>
      <c r="AC69" s="57">
        <v>118457.86187636043</v>
      </c>
      <c r="AD69" s="106"/>
    </row>
    <row r="70" spans="1:30" ht="15.75" thickBot="1" x14ac:dyDescent="0.3">
      <c r="A70" s="58">
        <v>2027</v>
      </c>
      <c r="B70" s="59">
        <v>11</v>
      </c>
      <c r="C70" s="59">
        <v>4</v>
      </c>
      <c r="D70" s="60" t="s">
        <v>136</v>
      </c>
      <c r="E70" s="62">
        <v>1806.5600567623169</v>
      </c>
      <c r="F70" s="62">
        <v>1231.4215952145805</v>
      </c>
      <c r="G70" s="62">
        <v>750.11098333495102</v>
      </c>
      <c r="H70" s="62">
        <v>53.94630959935057</v>
      </c>
      <c r="I70" s="62">
        <v>60.766366419216865</v>
      </c>
      <c r="J70" s="62">
        <v>643.42193913787196</v>
      </c>
      <c r="K70" s="62">
        <v>1106.6584975247115</v>
      </c>
      <c r="L70" s="62">
        <v>2537.8471202000819</v>
      </c>
      <c r="M70" s="62">
        <v>4512.9981776964123</v>
      </c>
      <c r="N70" s="62">
        <v>5552.7191505920928</v>
      </c>
      <c r="O70" s="62">
        <v>6316.1814723824937</v>
      </c>
      <c r="P70" s="62">
        <v>7055.652604004099</v>
      </c>
      <c r="Q70" s="62">
        <v>7380.4823393807637</v>
      </c>
      <c r="R70" s="62">
        <v>7094.184420169433</v>
      </c>
      <c r="S70" s="62">
        <v>6680.1509901546888</v>
      </c>
      <c r="T70" s="62">
        <v>6309.8056522734041</v>
      </c>
      <c r="U70" s="62">
        <v>5856.9972196012459</v>
      </c>
      <c r="V70" s="62">
        <v>6155.6807953991229</v>
      </c>
      <c r="W70" s="62">
        <v>7817.5631070406125</v>
      </c>
      <c r="X70" s="62">
        <v>7779.6428687860498</v>
      </c>
      <c r="Y70" s="62">
        <v>7187.7125003497858</v>
      </c>
      <c r="Z70" s="62">
        <v>6077.5107849188607</v>
      </c>
      <c r="AA70" s="62">
        <v>4833.7130050041815</v>
      </c>
      <c r="AB70" s="62">
        <v>3400.6475123231285</v>
      </c>
      <c r="AC70" s="61">
        <v>108202.37546826946</v>
      </c>
      <c r="AD70" s="107"/>
    </row>
    <row r="71" spans="1:30" ht="15.75" thickBot="1" x14ac:dyDescent="0.3">
      <c r="A71" s="49">
        <v>2027</v>
      </c>
      <c r="B71" s="50">
        <v>12</v>
      </c>
      <c r="C71" s="50">
        <v>6</v>
      </c>
      <c r="D71" s="51" t="s">
        <v>134</v>
      </c>
      <c r="E71" s="62">
        <v>3428.066485594296</v>
      </c>
      <c r="F71" s="62">
        <v>2580.2446819672241</v>
      </c>
      <c r="G71" s="62">
        <v>2047.5019336376808</v>
      </c>
      <c r="H71" s="62">
        <v>1657.1611686980232</v>
      </c>
      <c r="I71" s="62">
        <v>1434.164479676574</v>
      </c>
      <c r="J71" s="62">
        <v>1444.2254723066471</v>
      </c>
      <c r="K71" s="62">
        <v>1634.1094374566455</v>
      </c>
      <c r="L71" s="62">
        <v>2651.740322998985</v>
      </c>
      <c r="M71" s="62">
        <v>3975.2549017648489</v>
      </c>
      <c r="N71" s="62">
        <v>4905.2969542563551</v>
      </c>
      <c r="O71" s="62">
        <v>5558.0577567837427</v>
      </c>
      <c r="P71" s="62">
        <v>6216.4885964602254</v>
      </c>
      <c r="Q71" s="62">
        <v>6748.126017259885</v>
      </c>
      <c r="R71" s="62">
        <v>6760.457327515287</v>
      </c>
      <c r="S71" s="62">
        <v>6199.4062619072865</v>
      </c>
      <c r="T71" s="62">
        <v>5708.630371516796</v>
      </c>
      <c r="U71" s="62">
        <v>5415.0528674684465</v>
      </c>
      <c r="V71" s="62">
        <v>5527.9763099260963</v>
      </c>
      <c r="W71" s="62">
        <v>7114.8540134998038</v>
      </c>
      <c r="X71" s="62">
        <v>7448.7707388309718</v>
      </c>
      <c r="Y71" s="62">
        <v>7062.4880750593147</v>
      </c>
      <c r="Z71" s="62">
        <v>6239.4963658112138</v>
      </c>
      <c r="AA71" s="62">
        <v>5017.8142725837024</v>
      </c>
      <c r="AB71" s="62">
        <v>3681.1519484551281</v>
      </c>
      <c r="AC71" s="53">
        <v>110456.53676143517</v>
      </c>
      <c r="AD71" s="105">
        <f>+SUMPRODUCT(AC71:AC73,C71:C73)</f>
        <v>4015650.2478608494</v>
      </c>
    </row>
    <row r="72" spans="1:30" ht="15.75" thickBot="1" x14ac:dyDescent="0.3">
      <c r="A72" s="54">
        <v>2027</v>
      </c>
      <c r="B72" s="55">
        <v>12</v>
      </c>
      <c r="C72" s="55">
        <v>22</v>
      </c>
      <c r="D72" s="56" t="s">
        <v>135</v>
      </c>
      <c r="E72" s="62">
        <v>3044.8494644469138</v>
      </c>
      <c r="F72" s="62">
        <v>2395.9517562889414</v>
      </c>
      <c r="G72" s="62">
        <v>1908.386041480624</v>
      </c>
      <c r="H72" s="62">
        <v>1582.8766713481982</v>
      </c>
      <c r="I72" s="62">
        <v>1524.5105649462821</v>
      </c>
      <c r="J72" s="62">
        <v>1908.146619181698</v>
      </c>
      <c r="K72" s="62">
        <v>2576.728673502008</v>
      </c>
      <c r="L72" s="62">
        <v>4145.7284059860503</v>
      </c>
      <c r="M72" s="62">
        <v>5447.2992107768187</v>
      </c>
      <c r="N72" s="62">
        <v>6018.3600298442943</v>
      </c>
      <c r="O72" s="62">
        <v>7558.8038921152765</v>
      </c>
      <c r="P72" s="62">
        <v>7364.800459627073</v>
      </c>
      <c r="Q72" s="62">
        <v>7830.9651065032449</v>
      </c>
      <c r="R72" s="62">
        <v>7529.0286413957729</v>
      </c>
      <c r="S72" s="62">
        <v>7463.0277929177937</v>
      </c>
      <c r="T72" s="62">
        <v>7871.4110470623564</v>
      </c>
      <c r="U72" s="62">
        <v>7636.7133076048231</v>
      </c>
      <c r="V72" s="62">
        <v>7785.8715745074005</v>
      </c>
      <c r="W72" s="62">
        <v>9063.3386078035473</v>
      </c>
      <c r="X72" s="62">
        <v>9135.6867330856112</v>
      </c>
      <c r="Y72" s="62">
        <v>8460.1276635129507</v>
      </c>
      <c r="Z72" s="62">
        <v>7252.8384395134308</v>
      </c>
      <c r="AA72" s="62">
        <v>5695.0827326562503</v>
      </c>
      <c r="AB72" s="62">
        <v>4194.8641286881721</v>
      </c>
      <c r="AC72" s="57">
        <v>135395.39756479551</v>
      </c>
      <c r="AD72" s="106"/>
    </row>
    <row r="73" spans="1:30" ht="15.75" thickBot="1" x14ac:dyDescent="0.3">
      <c r="A73" s="58">
        <v>2027</v>
      </c>
      <c r="B73" s="59">
        <v>12</v>
      </c>
      <c r="C73" s="59">
        <v>3</v>
      </c>
      <c r="D73" s="60" t="s">
        <v>136</v>
      </c>
      <c r="E73" s="62">
        <v>2935.4210078453416</v>
      </c>
      <c r="F73" s="62">
        <v>2164.8493245906393</v>
      </c>
      <c r="G73" s="62">
        <v>1712.2645486076326</v>
      </c>
      <c r="H73" s="62">
        <v>1310.3777934045484</v>
      </c>
      <c r="I73" s="62">
        <v>1142.4474694913879</v>
      </c>
      <c r="J73" s="62">
        <v>1265.5468837175504</v>
      </c>
      <c r="K73" s="62">
        <v>1814.391788644707</v>
      </c>
      <c r="L73" s="62">
        <v>3111.5729338086257</v>
      </c>
      <c r="M73" s="62">
        <v>4952.9330136604403</v>
      </c>
      <c r="N73" s="62">
        <v>5985.3486239402882</v>
      </c>
      <c r="O73" s="62">
        <v>6669.0510606545395</v>
      </c>
      <c r="P73" s="62">
        <v>7335.6683041915931</v>
      </c>
      <c r="Q73" s="62">
        <v>7510.5442171259747</v>
      </c>
      <c r="R73" s="62">
        <v>7313.1604538978027</v>
      </c>
      <c r="S73" s="62">
        <v>7025.4744752436927</v>
      </c>
      <c r="T73" s="62">
        <v>6854.4138571959702</v>
      </c>
      <c r="U73" s="62">
        <v>6667.5090124498311</v>
      </c>
      <c r="V73" s="62">
        <v>6849.4770727058858</v>
      </c>
      <c r="W73" s="62">
        <v>8401.3494626230895</v>
      </c>
      <c r="X73" s="62">
        <v>8669.09395426626</v>
      </c>
      <c r="Y73" s="62">
        <v>7944.9971825035682</v>
      </c>
      <c r="Z73" s="62">
        <v>6918.1985783908858</v>
      </c>
      <c r="AA73" s="62">
        <v>5749.68924892016</v>
      </c>
      <c r="AB73" s="62">
        <v>4433.6466876986087</v>
      </c>
      <c r="AC73" s="61">
        <v>124737.42695557904</v>
      </c>
      <c r="AD73" s="107"/>
    </row>
    <row r="74" spans="1:30" ht="15.75" thickBot="1" x14ac:dyDescent="0.3">
      <c r="A74" s="49">
        <v>2028</v>
      </c>
      <c r="B74" s="50">
        <v>1</v>
      </c>
      <c r="C74" s="50">
        <v>7</v>
      </c>
      <c r="D74" s="51" t="s">
        <v>134</v>
      </c>
      <c r="E74" s="62">
        <v>4116.6556346527213</v>
      </c>
      <c r="F74" s="62">
        <v>3386.6413832664948</v>
      </c>
      <c r="G74" s="62">
        <v>2809.4613788070183</v>
      </c>
      <c r="H74" s="62">
        <v>2468.716372866289</v>
      </c>
      <c r="I74" s="62">
        <v>2302.7704389618066</v>
      </c>
      <c r="J74" s="62">
        <v>2306.5422383222922</v>
      </c>
      <c r="K74" s="62">
        <v>2168.0905222182973</v>
      </c>
      <c r="L74" s="62">
        <v>2948.0434378694699</v>
      </c>
      <c r="M74" s="62">
        <v>4114.7758447986525</v>
      </c>
      <c r="N74" s="62">
        <v>5154.8688662344284</v>
      </c>
      <c r="O74" s="62">
        <v>5663.0719880586585</v>
      </c>
      <c r="P74" s="62">
        <v>6356.0403267196307</v>
      </c>
      <c r="Q74" s="62">
        <v>6874.7442031349201</v>
      </c>
      <c r="R74" s="62">
        <v>6831.7992532349199</v>
      </c>
      <c r="S74" s="62">
        <v>6145.9488620711927</v>
      </c>
      <c r="T74" s="62">
        <v>5847.9176509400677</v>
      </c>
      <c r="U74" s="62">
        <v>5605.1314881093967</v>
      </c>
      <c r="V74" s="62">
        <v>5486.1578978605066</v>
      </c>
      <c r="W74" s="62">
        <v>7148.2994505974275</v>
      </c>
      <c r="X74" s="62">
        <v>8486.1915097695637</v>
      </c>
      <c r="Y74" s="62">
        <v>8365.4633811032472</v>
      </c>
      <c r="Z74" s="62">
        <v>7397.7229212660131</v>
      </c>
      <c r="AA74" s="62">
        <v>6080.0849358735795</v>
      </c>
      <c r="AB74" s="62">
        <v>4864.0319754277625</v>
      </c>
      <c r="AC74" s="53">
        <v>122929.17196216434</v>
      </c>
      <c r="AD74" s="105">
        <f>+SUMPRODUCT(AC74:AC76,C74:C76)</f>
        <v>4664065.9704523366</v>
      </c>
    </row>
    <row r="75" spans="1:30" ht="15.75" thickBot="1" x14ac:dyDescent="0.3">
      <c r="A75" s="54">
        <v>2028</v>
      </c>
      <c r="B75" s="55">
        <v>1</v>
      </c>
      <c r="C75" s="55">
        <v>20</v>
      </c>
      <c r="D75" s="56" t="s">
        <v>135</v>
      </c>
      <c r="E75" s="62">
        <v>4181.1621928546774</v>
      </c>
      <c r="F75" s="62">
        <v>3496.5589488076621</v>
      </c>
      <c r="G75" s="62">
        <v>2942.2757887370281</v>
      </c>
      <c r="H75" s="62">
        <v>2584.1820386278105</v>
      </c>
      <c r="I75" s="62">
        <v>2526.8273247625584</v>
      </c>
      <c r="J75" s="62">
        <v>2935.2636352848949</v>
      </c>
      <c r="K75" s="62">
        <v>3410.0306704990471</v>
      </c>
      <c r="L75" s="62">
        <v>4658.4398312592821</v>
      </c>
      <c r="M75" s="62">
        <v>6433.5041567996668</v>
      </c>
      <c r="N75" s="62">
        <v>7336.7806765773421</v>
      </c>
      <c r="O75" s="62">
        <v>8071.7861948852551</v>
      </c>
      <c r="P75" s="62">
        <v>9096.4169828599588</v>
      </c>
      <c r="Q75" s="62">
        <v>9215.7051519236811</v>
      </c>
      <c r="R75" s="62">
        <v>9093.9727931197085</v>
      </c>
      <c r="S75" s="62">
        <v>9033.9271693723967</v>
      </c>
      <c r="T75" s="62">
        <v>8878.6880597854542</v>
      </c>
      <c r="U75" s="62">
        <v>8757.2082468645604</v>
      </c>
      <c r="V75" s="62">
        <v>8222.6912442713838</v>
      </c>
      <c r="W75" s="62">
        <v>9027.6283779359801</v>
      </c>
      <c r="X75" s="62">
        <v>9952.5623820869987</v>
      </c>
      <c r="Y75" s="62">
        <v>9617.6769286711133</v>
      </c>
      <c r="Z75" s="62">
        <v>8502.2743924633796</v>
      </c>
      <c r="AA75" s="62">
        <v>6908.0049556388185</v>
      </c>
      <c r="AB75" s="62">
        <v>5405.9922484911949</v>
      </c>
      <c r="AC75" s="57">
        <v>160289.56039257982</v>
      </c>
      <c r="AD75" s="106"/>
    </row>
    <row r="76" spans="1:30" ht="15.75" thickBot="1" x14ac:dyDescent="0.3">
      <c r="A76" s="58">
        <v>2028</v>
      </c>
      <c r="B76" s="59">
        <v>1</v>
      </c>
      <c r="C76" s="59">
        <v>4</v>
      </c>
      <c r="D76" s="60" t="s">
        <v>136</v>
      </c>
      <c r="E76" s="62">
        <v>3942.9910464686582</v>
      </c>
      <c r="F76" s="62">
        <v>3217.1270854548911</v>
      </c>
      <c r="G76" s="62">
        <v>2839.2533415301714</v>
      </c>
      <c r="H76" s="62">
        <v>2515.5833684284607</v>
      </c>
      <c r="I76" s="62">
        <v>2209.5394697551219</v>
      </c>
      <c r="J76" s="62">
        <v>2317.2456144521911</v>
      </c>
      <c r="K76" s="62">
        <v>2434.7465975992454</v>
      </c>
      <c r="L76" s="62">
        <v>3751.9793372762797</v>
      </c>
      <c r="M76" s="62">
        <v>5611.1478199881385</v>
      </c>
      <c r="N76" s="62">
        <v>6573.6405556379541</v>
      </c>
      <c r="O76" s="62">
        <v>7425.6308283581202</v>
      </c>
      <c r="P76" s="62">
        <v>8376.4222853927567</v>
      </c>
      <c r="Q76" s="62">
        <v>8804.9989951045791</v>
      </c>
      <c r="R76" s="62">
        <v>8686.8522323877878</v>
      </c>
      <c r="S76" s="62">
        <v>8396.3920143840151</v>
      </c>
      <c r="T76" s="62">
        <v>8162.8855376198044</v>
      </c>
      <c r="U76" s="62">
        <v>7807.0177367363576</v>
      </c>
      <c r="V76" s="62">
        <v>7597.6615619674485</v>
      </c>
      <c r="W76" s="62">
        <v>8755.2059914384627</v>
      </c>
      <c r="X76" s="62">
        <v>9709.9818157227091</v>
      </c>
      <c r="Y76" s="62">
        <v>9342.0126000792006</v>
      </c>
      <c r="Z76" s="62">
        <v>8411.8799095671566</v>
      </c>
      <c r="AA76" s="62">
        <v>6961.5671408551061</v>
      </c>
      <c r="AB76" s="62">
        <v>5590.8768301928249</v>
      </c>
      <c r="AC76" s="61">
        <v>149442.63971639745</v>
      </c>
      <c r="AD76" s="107"/>
    </row>
    <row r="77" spans="1:30" ht="15.75" thickBot="1" x14ac:dyDescent="0.3">
      <c r="A77" s="49">
        <v>2028</v>
      </c>
      <c r="B77" s="50">
        <v>2</v>
      </c>
      <c r="C77" s="50">
        <v>4</v>
      </c>
      <c r="D77" s="51" t="s">
        <v>134</v>
      </c>
      <c r="E77" s="62">
        <v>3331.9933698618515</v>
      </c>
      <c r="F77" s="62">
        <v>2652.581946996017</v>
      </c>
      <c r="G77" s="62">
        <v>2145.9480741400457</v>
      </c>
      <c r="H77" s="62">
        <v>1697.4188595438627</v>
      </c>
      <c r="I77" s="62">
        <v>1105.3348940540563</v>
      </c>
      <c r="J77" s="62">
        <v>983.5446974669012</v>
      </c>
      <c r="K77" s="62">
        <v>1246.4372183632004</v>
      </c>
      <c r="L77" s="62">
        <v>2501.7796609753132</v>
      </c>
      <c r="M77" s="62">
        <v>3915.7352804840302</v>
      </c>
      <c r="N77" s="62">
        <v>4797.9898912066637</v>
      </c>
      <c r="O77" s="62">
        <v>5360.0404106066126</v>
      </c>
      <c r="P77" s="62">
        <v>6065.6647033021109</v>
      </c>
      <c r="Q77" s="62">
        <v>6653.2857206518966</v>
      </c>
      <c r="R77" s="62">
        <v>6533.5397006390485</v>
      </c>
      <c r="S77" s="62">
        <v>5903.5777431647221</v>
      </c>
      <c r="T77" s="62">
        <v>5384.6949067414753</v>
      </c>
      <c r="U77" s="62">
        <v>5117.0277629661978</v>
      </c>
      <c r="V77" s="62">
        <v>4824.1047225034126</v>
      </c>
      <c r="W77" s="62">
        <v>5997.5527983768516</v>
      </c>
      <c r="X77" s="62">
        <v>7262.650806644564</v>
      </c>
      <c r="Y77" s="62">
        <v>7361.2863503242443</v>
      </c>
      <c r="Z77" s="62">
        <v>6448.7202737915468</v>
      </c>
      <c r="AA77" s="62">
        <v>4947.0669917004452</v>
      </c>
      <c r="AB77" s="62">
        <v>3564.6475880323524</v>
      </c>
      <c r="AC77" s="53">
        <v>105802.62437253742</v>
      </c>
      <c r="AD77" s="105">
        <f>+SUMPRODUCT(AC77:AC79,C77:C79)</f>
        <v>3763314.2327505234</v>
      </c>
    </row>
    <row r="78" spans="1:30" ht="15.75" thickBot="1" x14ac:dyDescent="0.3">
      <c r="A78" s="54">
        <v>2028</v>
      </c>
      <c r="B78" s="55">
        <v>2</v>
      </c>
      <c r="C78" s="55">
        <v>21</v>
      </c>
      <c r="D78" s="56" t="s">
        <v>135</v>
      </c>
      <c r="E78" s="62">
        <v>2791.7662389458346</v>
      </c>
      <c r="F78" s="62">
        <v>2246.5348125389828</v>
      </c>
      <c r="G78" s="62">
        <v>1795.971584587709</v>
      </c>
      <c r="H78" s="62">
        <v>1560.3399382346215</v>
      </c>
      <c r="I78" s="62">
        <v>1517.4772750510365</v>
      </c>
      <c r="J78" s="62">
        <v>2252.3187246112739</v>
      </c>
      <c r="K78" s="62">
        <v>2984.5267681634432</v>
      </c>
      <c r="L78" s="62">
        <v>3812.6547586450106</v>
      </c>
      <c r="M78" s="62">
        <v>5305.435263271218</v>
      </c>
      <c r="N78" s="62">
        <v>6040.7036374009804</v>
      </c>
      <c r="O78" s="62">
        <v>6794.1967591775719</v>
      </c>
      <c r="P78" s="62">
        <v>7764.8341435556031</v>
      </c>
      <c r="Q78" s="62">
        <v>7820.2672695757647</v>
      </c>
      <c r="R78" s="62">
        <v>7784.4289950024431</v>
      </c>
      <c r="S78" s="62">
        <v>8145.3527168698929</v>
      </c>
      <c r="T78" s="62">
        <v>8112.4392278458181</v>
      </c>
      <c r="U78" s="62">
        <v>7955.1317547945691</v>
      </c>
      <c r="V78" s="62">
        <v>7510.0596503824199</v>
      </c>
      <c r="W78" s="62">
        <v>8054.6508308341727</v>
      </c>
      <c r="X78" s="62">
        <v>9101.4631121498242</v>
      </c>
      <c r="Y78" s="62">
        <v>8676.6086336390799</v>
      </c>
      <c r="Z78" s="62">
        <v>6937.5797281007908</v>
      </c>
      <c r="AA78" s="62">
        <v>5446.2420312607028</v>
      </c>
      <c r="AB78" s="62">
        <v>3907.2747695749131</v>
      </c>
      <c r="AC78" s="57">
        <v>134318.25862421366</v>
      </c>
      <c r="AD78" s="106"/>
    </row>
    <row r="79" spans="1:30" ht="15.75" thickBot="1" x14ac:dyDescent="0.3">
      <c r="A79" s="58">
        <v>2028</v>
      </c>
      <c r="B79" s="59">
        <v>2</v>
      </c>
      <c r="C79" s="59">
        <v>4</v>
      </c>
      <c r="D79" s="60" t="s">
        <v>136</v>
      </c>
      <c r="E79" s="62">
        <v>3117.647780727355</v>
      </c>
      <c r="F79" s="62">
        <v>2421.2934771794626</v>
      </c>
      <c r="G79" s="62">
        <v>1967.289966064247</v>
      </c>
      <c r="H79" s="62">
        <v>1344.6258802581469</v>
      </c>
      <c r="I79" s="62">
        <v>1494.428324751163</v>
      </c>
      <c r="J79" s="62">
        <v>1748.1515773794999</v>
      </c>
      <c r="K79" s="62">
        <v>2099.3606926376833</v>
      </c>
      <c r="L79" s="62">
        <v>3541.9831655511116</v>
      </c>
      <c r="M79" s="62">
        <v>4863.4220798403949</v>
      </c>
      <c r="N79" s="62">
        <v>5626.4113126307675</v>
      </c>
      <c r="O79" s="62">
        <v>6602.9855286443126</v>
      </c>
      <c r="P79" s="62">
        <v>7300.3801681699042</v>
      </c>
      <c r="Q79" s="62">
        <v>7883.3126208873655</v>
      </c>
      <c r="R79" s="62">
        <v>7719.1191093817761</v>
      </c>
      <c r="S79" s="62">
        <v>7351.4085736726556</v>
      </c>
      <c r="T79" s="62">
        <v>7387.8054921508738</v>
      </c>
      <c r="U79" s="62">
        <v>7194.6784710570573</v>
      </c>
      <c r="V79" s="62">
        <v>6926.0491776868148</v>
      </c>
      <c r="W79" s="62">
        <v>7642.4147370455212</v>
      </c>
      <c r="X79" s="62">
        <v>8704.8396743690646</v>
      </c>
      <c r="Y79" s="62">
        <v>8456.9770305509446</v>
      </c>
      <c r="Z79" s="62">
        <v>7521.2890573131408</v>
      </c>
      <c r="AA79" s="62">
        <v>6175.0646206791243</v>
      </c>
      <c r="AB79" s="62">
        <v>4764.1375193432395</v>
      </c>
      <c r="AC79" s="61">
        <v>129855.07603797165</v>
      </c>
      <c r="AD79" s="107"/>
    </row>
    <row r="80" spans="1:30" ht="15.75" thickBot="1" x14ac:dyDescent="0.3">
      <c r="A80" s="49">
        <v>2028</v>
      </c>
      <c r="B80" s="50">
        <v>3</v>
      </c>
      <c r="C80" s="50">
        <v>5</v>
      </c>
      <c r="D80" s="51" t="s">
        <v>134</v>
      </c>
      <c r="E80" s="62">
        <v>2658.58748750419</v>
      </c>
      <c r="F80" s="62">
        <v>2894.9707653886744</v>
      </c>
      <c r="G80" s="62">
        <v>2142.1946242241956</v>
      </c>
      <c r="H80" s="62">
        <v>1791.8050327662859</v>
      </c>
      <c r="I80" s="62">
        <v>1667.2425641292539</v>
      </c>
      <c r="J80" s="62">
        <v>1705.6665174430291</v>
      </c>
      <c r="K80" s="62">
        <v>1715.8319723230397</v>
      </c>
      <c r="L80" s="62">
        <v>2684.9384023611419</v>
      </c>
      <c r="M80" s="62">
        <v>4212.675205011863</v>
      </c>
      <c r="N80" s="62">
        <v>4998.1106592554461</v>
      </c>
      <c r="O80" s="62">
        <v>5688.2837419295574</v>
      </c>
      <c r="P80" s="62">
        <v>6536.6243424343229</v>
      </c>
      <c r="Q80" s="62">
        <v>7164.1379769008527</v>
      </c>
      <c r="R80" s="62">
        <v>6834.8760013505344</v>
      </c>
      <c r="S80" s="62">
        <v>4464.3070680000565</v>
      </c>
      <c r="T80" s="62">
        <v>5484.6000554936254</v>
      </c>
      <c r="U80" s="62">
        <v>5179.3439881312879</v>
      </c>
      <c r="V80" s="62">
        <v>5039.8857729068732</v>
      </c>
      <c r="W80" s="62">
        <v>6461.2739855826658</v>
      </c>
      <c r="X80" s="62">
        <v>8679.69298949726</v>
      </c>
      <c r="Y80" s="62">
        <v>8776.7823879046591</v>
      </c>
      <c r="Z80" s="62">
        <v>8073.3263045556523</v>
      </c>
      <c r="AA80" s="62">
        <v>6780.6194265761333</v>
      </c>
      <c r="AB80" s="62">
        <v>5195.1943320744685</v>
      </c>
      <c r="AC80" s="53">
        <v>116830.97160374507</v>
      </c>
      <c r="AD80" s="105">
        <f>+SUMPRODUCT(AC80:AC82,C80:C82)</f>
        <v>4349346.6968441047</v>
      </c>
    </row>
    <row r="81" spans="1:30" ht="15.75" thickBot="1" x14ac:dyDescent="0.3">
      <c r="A81" s="54">
        <v>2028</v>
      </c>
      <c r="B81" s="55">
        <v>3</v>
      </c>
      <c r="C81" s="55">
        <v>22</v>
      </c>
      <c r="D81" s="56" t="s">
        <v>135</v>
      </c>
      <c r="E81" s="62">
        <v>3481.8452682561692</v>
      </c>
      <c r="F81" s="62">
        <v>2811.5054049189603</v>
      </c>
      <c r="G81" s="62">
        <v>2329.4218995003794</v>
      </c>
      <c r="H81" s="62">
        <v>2024.1283085926771</v>
      </c>
      <c r="I81" s="62">
        <v>1902.0980224731284</v>
      </c>
      <c r="J81" s="62">
        <v>2600.6403536819125</v>
      </c>
      <c r="K81" s="62">
        <v>3360.2044199975771</v>
      </c>
      <c r="L81" s="62">
        <v>4305.6449461927186</v>
      </c>
      <c r="M81" s="62">
        <v>5893.7695006843678</v>
      </c>
      <c r="N81" s="62">
        <v>6710.2249620156581</v>
      </c>
      <c r="O81" s="62">
        <v>7312.5619433131687</v>
      </c>
      <c r="P81" s="62">
        <v>8148.9730525351188</v>
      </c>
      <c r="Q81" s="62">
        <v>8160.7261654794165</v>
      </c>
      <c r="R81" s="62">
        <v>8129.6603827794788</v>
      </c>
      <c r="S81" s="62">
        <v>8217.3092555217772</v>
      </c>
      <c r="T81" s="62">
        <v>8325.5053701275574</v>
      </c>
      <c r="U81" s="62">
        <v>8323.5801543132038</v>
      </c>
      <c r="V81" s="62">
        <v>7780.9353429254115</v>
      </c>
      <c r="W81" s="62">
        <v>8554.9417393588919</v>
      </c>
      <c r="X81" s="62">
        <v>9626.4671677363331</v>
      </c>
      <c r="Y81" s="62">
        <v>9250.0217245851236</v>
      </c>
      <c r="Z81" s="62">
        <v>8102.5400247976067</v>
      </c>
      <c r="AA81" s="62">
        <v>6343.8420252613032</v>
      </c>
      <c r="AB81" s="62">
        <v>4751.9539189415154</v>
      </c>
      <c r="AC81" s="57">
        <v>146448.50135398944</v>
      </c>
      <c r="AD81" s="106"/>
    </row>
    <row r="82" spans="1:30" ht="15.75" thickBot="1" x14ac:dyDescent="0.3">
      <c r="A82" s="58">
        <v>2028</v>
      </c>
      <c r="B82" s="59">
        <v>3</v>
      </c>
      <c r="C82" s="59">
        <v>4</v>
      </c>
      <c r="D82" s="60" t="s">
        <v>136</v>
      </c>
      <c r="E82" s="62">
        <v>3677.7253033252855</v>
      </c>
      <c r="F82" s="62">
        <v>2828.4183188457391</v>
      </c>
      <c r="G82" s="62">
        <v>2369.0545897776792</v>
      </c>
      <c r="H82" s="62">
        <v>2083.192354092922</v>
      </c>
      <c r="I82" s="62">
        <v>1963.576761103328</v>
      </c>
      <c r="J82" s="62">
        <v>2087.3601664317375</v>
      </c>
      <c r="K82" s="62">
        <v>2168.0616844545693</v>
      </c>
      <c r="L82" s="62">
        <v>3385.9088725466536</v>
      </c>
      <c r="M82" s="62">
        <v>5825.7313084631132</v>
      </c>
      <c r="N82" s="62">
        <v>6721.2395175903439</v>
      </c>
      <c r="O82" s="62">
        <v>7253.5753672528881</v>
      </c>
      <c r="P82" s="62">
        <v>7988.2258964050088</v>
      </c>
      <c r="Q82" s="62">
        <v>8240.7282416138842</v>
      </c>
      <c r="R82" s="62">
        <v>7985.5624717688152</v>
      </c>
      <c r="S82" s="62">
        <v>7772.5220421351733</v>
      </c>
      <c r="T82" s="62">
        <v>7607.198405272422</v>
      </c>
      <c r="U82" s="62">
        <v>7285.3501225441796</v>
      </c>
      <c r="V82" s="62">
        <v>7020.6474539435003</v>
      </c>
      <c r="W82" s="62">
        <v>8104.3308373321561</v>
      </c>
      <c r="X82" s="62">
        <v>9088.8712200840419</v>
      </c>
      <c r="Y82" s="62">
        <v>8800.5716527126206</v>
      </c>
      <c r="Z82" s="62">
        <v>6617.2578793798893</v>
      </c>
      <c r="AA82" s="62">
        <v>5234.2100390514497</v>
      </c>
      <c r="AB82" s="62">
        <v>3721.8817532755893</v>
      </c>
      <c r="AC82" s="61">
        <v>135831.20225940298</v>
      </c>
      <c r="AD82" s="107"/>
    </row>
    <row r="83" spans="1:30" ht="15.75" thickBot="1" x14ac:dyDescent="0.3">
      <c r="A83" s="49">
        <v>2028</v>
      </c>
      <c r="B83" s="50">
        <v>4</v>
      </c>
      <c r="C83" s="50">
        <v>7</v>
      </c>
      <c r="D83" s="51" t="s">
        <v>134</v>
      </c>
      <c r="E83" s="62">
        <v>2969.22682037101</v>
      </c>
      <c r="F83" s="62">
        <v>2208.8936976648001</v>
      </c>
      <c r="G83" s="62">
        <v>1859.667950077468</v>
      </c>
      <c r="H83" s="62">
        <v>1414.1434175119612</v>
      </c>
      <c r="I83" s="62">
        <v>1288.6427433896661</v>
      </c>
      <c r="J83" s="62">
        <v>1275.935796370879</v>
      </c>
      <c r="K83" s="62">
        <v>1284.4602909230598</v>
      </c>
      <c r="L83" s="62">
        <v>2393.2799300571023</v>
      </c>
      <c r="M83" s="62">
        <v>3915.6730555916401</v>
      </c>
      <c r="N83" s="62">
        <v>4906.250337141013</v>
      </c>
      <c r="O83" s="62">
        <v>5622.7053480088871</v>
      </c>
      <c r="P83" s="62">
        <v>6442.514209462759</v>
      </c>
      <c r="Q83" s="62">
        <v>7057.4822671739494</v>
      </c>
      <c r="R83" s="62">
        <v>6860.6043831922034</v>
      </c>
      <c r="S83" s="62">
        <v>5962.2021510896593</v>
      </c>
      <c r="T83" s="62">
        <v>5443.0375483129064</v>
      </c>
      <c r="U83" s="62">
        <v>5119.5554129381599</v>
      </c>
      <c r="V83" s="62">
        <v>5101.2026067581792</v>
      </c>
      <c r="W83" s="62">
        <v>6632.9091415650109</v>
      </c>
      <c r="X83" s="62">
        <v>7788.9793524096858</v>
      </c>
      <c r="Y83" s="62">
        <v>7485.1342679787776</v>
      </c>
      <c r="Z83" s="62">
        <v>6585.2776625563129</v>
      </c>
      <c r="AA83" s="62">
        <v>5052.9327692736515</v>
      </c>
      <c r="AB83" s="62">
        <v>3619.6358179900562</v>
      </c>
      <c r="AC83" s="53">
        <v>108290.3469778088</v>
      </c>
      <c r="AD83" s="105">
        <f>+SUMPRODUCT(AC83:AC85,C83:C85)</f>
        <v>3815278.571247864</v>
      </c>
    </row>
    <row r="84" spans="1:30" ht="15.75" thickBot="1" x14ac:dyDescent="0.3">
      <c r="A84" s="54">
        <v>2028</v>
      </c>
      <c r="B84" s="55">
        <v>4</v>
      </c>
      <c r="C84" s="55">
        <v>18</v>
      </c>
      <c r="D84" s="56" t="s">
        <v>135</v>
      </c>
      <c r="E84" s="62">
        <v>2630.2028740799342</v>
      </c>
      <c r="F84" s="62">
        <v>1910.7218109326805</v>
      </c>
      <c r="G84" s="62">
        <v>1550.1068996860886</v>
      </c>
      <c r="H84" s="62">
        <v>1244.0628286398387</v>
      </c>
      <c r="I84" s="62">
        <v>1152.7383050820172</v>
      </c>
      <c r="J84" s="62">
        <v>1865.4491323590628</v>
      </c>
      <c r="K84" s="62">
        <v>2614.972571545668</v>
      </c>
      <c r="L84" s="62">
        <v>3752.1664934442342</v>
      </c>
      <c r="M84" s="62">
        <v>5304.2556162899673</v>
      </c>
      <c r="N84" s="62">
        <v>6044.3884087611914</v>
      </c>
      <c r="O84" s="62">
        <v>6528.7330908521944</v>
      </c>
      <c r="P84" s="62">
        <v>7599.1691477858221</v>
      </c>
      <c r="Q84" s="62">
        <v>7652.8988920324155</v>
      </c>
      <c r="R84" s="62">
        <v>7920.8598406739729</v>
      </c>
      <c r="S84" s="62">
        <v>8438.1082073877587</v>
      </c>
      <c r="T84" s="62">
        <v>8588.9022798534206</v>
      </c>
      <c r="U84" s="62">
        <v>8353.5776548113936</v>
      </c>
      <c r="V84" s="62">
        <v>7926.0065403714143</v>
      </c>
      <c r="W84" s="62">
        <v>8682.3460487464981</v>
      </c>
      <c r="X84" s="62">
        <v>9469.830660973108</v>
      </c>
      <c r="Y84" s="62">
        <v>8900.7562696251771</v>
      </c>
      <c r="Z84" s="62">
        <v>7656.351395858077</v>
      </c>
      <c r="AA84" s="62">
        <v>5952.4754181348653</v>
      </c>
      <c r="AB84" s="62">
        <v>3923.6851374718208</v>
      </c>
      <c r="AC84" s="57">
        <v>135662.7655253986</v>
      </c>
      <c r="AD84" s="106"/>
    </row>
    <row r="85" spans="1:30" ht="15.75" thickBot="1" x14ac:dyDescent="0.3">
      <c r="A85" s="58">
        <v>2028</v>
      </c>
      <c r="B85" s="59">
        <v>4</v>
      </c>
      <c r="C85" s="59">
        <v>5</v>
      </c>
      <c r="D85" s="60" t="s">
        <v>136</v>
      </c>
      <c r="E85" s="62">
        <v>3091.8672896311127</v>
      </c>
      <c r="F85" s="62">
        <v>2462.0841532803224</v>
      </c>
      <c r="G85" s="62">
        <v>1911.2075393935065</v>
      </c>
      <c r="H85" s="62">
        <v>1566.6429064399472</v>
      </c>
      <c r="I85" s="62">
        <v>604.79299057482058</v>
      </c>
      <c r="J85" s="62">
        <v>1637.5963825925392</v>
      </c>
      <c r="K85" s="62">
        <v>1740.4396704095416</v>
      </c>
      <c r="L85" s="62">
        <v>3204.2146874876271</v>
      </c>
      <c r="M85" s="62">
        <v>5126.1935561578575</v>
      </c>
      <c r="N85" s="62">
        <v>6119.7677783037398</v>
      </c>
      <c r="O85" s="62">
        <v>6740.4451892553006</v>
      </c>
      <c r="P85" s="62">
        <v>7706.1705674666264</v>
      </c>
      <c r="Q85" s="62">
        <v>7968.4145801750274</v>
      </c>
      <c r="R85" s="62">
        <v>7683.6501180957603</v>
      </c>
      <c r="S85" s="62">
        <v>7258.613252455958</v>
      </c>
      <c r="T85" s="62">
        <v>6682.0891627020028</v>
      </c>
      <c r="U85" s="62">
        <v>6384.6056851221692</v>
      </c>
      <c r="V85" s="62">
        <v>6316.1714059595579</v>
      </c>
      <c r="W85" s="62">
        <v>7471.6260044526753</v>
      </c>
      <c r="X85" s="62">
        <v>8059.707642722864</v>
      </c>
      <c r="Y85" s="62">
        <v>7758.3750664862528</v>
      </c>
      <c r="Z85" s="62">
        <v>6741.9215558633769</v>
      </c>
      <c r="AA85" s="62">
        <v>5232.7834171727409</v>
      </c>
      <c r="AB85" s="62">
        <v>3593.89198700415</v>
      </c>
      <c r="AC85" s="61">
        <v>123063.27258920547</v>
      </c>
      <c r="AD85" s="107"/>
    </row>
    <row r="86" spans="1:30" ht="15.75" thickBot="1" x14ac:dyDescent="0.3">
      <c r="A86" s="49">
        <v>2028</v>
      </c>
      <c r="B86" s="50">
        <v>5</v>
      </c>
      <c r="C86" s="50">
        <v>6</v>
      </c>
      <c r="D86" s="51" t="s">
        <v>134</v>
      </c>
      <c r="E86" s="62">
        <v>3838.045586503762</v>
      </c>
      <c r="F86" s="62">
        <v>2957.5623225464624</v>
      </c>
      <c r="G86" s="62">
        <v>2558.8621330273763</v>
      </c>
      <c r="H86" s="62">
        <v>2292.1977850649364</v>
      </c>
      <c r="I86" s="62">
        <v>2105.3642025247264</v>
      </c>
      <c r="J86" s="62">
        <v>2179.1265150659183</v>
      </c>
      <c r="K86" s="62">
        <v>2264.8797712735886</v>
      </c>
      <c r="L86" s="62">
        <v>3539.8219232814663</v>
      </c>
      <c r="M86" s="62">
        <v>5187.0409251570018</v>
      </c>
      <c r="N86" s="62">
        <v>6272.6786398696822</v>
      </c>
      <c r="O86" s="62">
        <v>7024.3718812451152</v>
      </c>
      <c r="P86" s="62">
        <v>7836.9376170072792</v>
      </c>
      <c r="Q86" s="62">
        <v>8348.6744236537597</v>
      </c>
      <c r="R86" s="62">
        <v>8180.7760102346583</v>
      </c>
      <c r="S86" s="62">
        <v>7437.6462284966728</v>
      </c>
      <c r="T86" s="62">
        <v>6957.9265750501909</v>
      </c>
      <c r="U86" s="62">
        <v>6538.1101856721689</v>
      </c>
      <c r="V86" s="62">
        <v>6652.8006898540152</v>
      </c>
      <c r="W86" s="62">
        <v>8003.3890105146274</v>
      </c>
      <c r="X86" s="62">
        <v>8838.5242665695878</v>
      </c>
      <c r="Y86" s="62">
        <v>8705.396334513498</v>
      </c>
      <c r="Z86" s="62">
        <v>7538.6519986508792</v>
      </c>
      <c r="AA86" s="62">
        <v>5934.5989238528236</v>
      </c>
      <c r="AB86" s="62">
        <v>4593.8950722991976</v>
      </c>
      <c r="AC86" s="53">
        <v>135787.2790219294</v>
      </c>
      <c r="AD86" s="105">
        <f>+SUMPRODUCT(AC86:AC88,C86:C88)</f>
        <v>4368914.2188662188</v>
      </c>
    </row>
    <row r="87" spans="1:30" ht="15.75" thickBot="1" x14ac:dyDescent="0.3">
      <c r="A87" s="54">
        <v>2028</v>
      </c>
      <c r="B87" s="55">
        <v>5</v>
      </c>
      <c r="C87" s="55">
        <v>21</v>
      </c>
      <c r="D87" s="56" t="s">
        <v>135</v>
      </c>
      <c r="E87" s="62">
        <v>2968.7707815824488</v>
      </c>
      <c r="F87" s="62">
        <v>2343.3940500880617</v>
      </c>
      <c r="G87" s="62">
        <v>1884.3081076127655</v>
      </c>
      <c r="H87" s="62">
        <v>1663.8020569590517</v>
      </c>
      <c r="I87" s="62">
        <v>1497.9844863243561</v>
      </c>
      <c r="J87" s="62">
        <v>2169.1313054881011</v>
      </c>
      <c r="K87" s="62">
        <v>2889.2694966354175</v>
      </c>
      <c r="L87" s="62">
        <v>4073.6566903246967</v>
      </c>
      <c r="M87" s="62">
        <v>5547.1099454000832</v>
      </c>
      <c r="N87" s="62">
        <v>6473.1968327422401</v>
      </c>
      <c r="O87" s="62">
        <v>7227.577010765508</v>
      </c>
      <c r="P87" s="62">
        <v>8137.7134268927039</v>
      </c>
      <c r="Q87" s="62">
        <v>8331.3166993000486</v>
      </c>
      <c r="R87" s="62">
        <v>8428.5787319659175</v>
      </c>
      <c r="S87" s="62">
        <v>8606.1346232812321</v>
      </c>
      <c r="T87" s="62">
        <v>8533.0320738797309</v>
      </c>
      <c r="U87" s="62">
        <v>8419.5014074178507</v>
      </c>
      <c r="V87" s="62">
        <v>8079.3077821730694</v>
      </c>
      <c r="W87" s="62">
        <v>8941.9333110542939</v>
      </c>
      <c r="X87" s="62">
        <v>9669.4587184933625</v>
      </c>
      <c r="Y87" s="62">
        <v>9149.2050507094827</v>
      </c>
      <c r="Z87" s="62">
        <v>7651.1515960671895</v>
      </c>
      <c r="AA87" s="62">
        <v>5883.5890896023739</v>
      </c>
      <c r="AB87" s="62">
        <v>4229.6678759514325</v>
      </c>
      <c r="AC87" s="57">
        <v>142798.79115071142</v>
      </c>
      <c r="AD87" s="106"/>
    </row>
    <row r="88" spans="1:30" ht="15.75" thickBot="1" x14ac:dyDescent="0.3">
      <c r="A88" s="58">
        <v>2028</v>
      </c>
      <c r="B88" s="59">
        <v>5</v>
      </c>
      <c r="C88" s="59">
        <v>4</v>
      </c>
      <c r="D88" s="60" t="s">
        <v>136</v>
      </c>
      <c r="E88" s="62">
        <v>3291.1207796635281</v>
      </c>
      <c r="F88" s="62">
        <v>2589.9388918801124</v>
      </c>
      <c r="G88" s="62">
        <v>2143.6442432681215</v>
      </c>
      <c r="H88" s="62">
        <v>1830.2678655959899</v>
      </c>
      <c r="I88" s="62">
        <v>1724.0783581885989</v>
      </c>
      <c r="J88" s="62">
        <v>1713.598063990712</v>
      </c>
      <c r="K88" s="62">
        <v>1992.4960207297827</v>
      </c>
      <c r="L88" s="62">
        <v>3651.7159268994183</v>
      </c>
      <c r="M88" s="62">
        <v>5649.52220510396</v>
      </c>
      <c r="N88" s="62">
        <v>6924.1929052162741</v>
      </c>
      <c r="O88" s="62">
        <v>7968.9471347025574</v>
      </c>
      <c r="P88" s="62">
        <v>8381.5125169149433</v>
      </c>
      <c r="Q88" s="62">
        <v>8842.1843223819887</v>
      </c>
      <c r="R88" s="62">
        <v>8600.484406394844</v>
      </c>
      <c r="S88" s="62">
        <v>8108.3103380257235</v>
      </c>
      <c r="T88" s="62">
        <v>7841.9481288893221</v>
      </c>
      <c r="U88" s="62">
        <v>7272.9070281392269</v>
      </c>
      <c r="V88" s="62">
        <v>7252.3871188807643</v>
      </c>
      <c r="W88" s="62">
        <v>7602.4468870265991</v>
      </c>
      <c r="X88" s="62">
        <v>8769.3306178587409</v>
      </c>
      <c r="Y88" s="62">
        <v>8380.9490771608107</v>
      </c>
      <c r="Z88" s="62">
        <v>7377.9098495839789</v>
      </c>
      <c r="AA88" s="62">
        <v>6073.4775691619907</v>
      </c>
      <c r="AB88" s="62">
        <v>4870.6123867677343</v>
      </c>
      <c r="AC88" s="61">
        <v>138853.98264242572</v>
      </c>
      <c r="AD88" s="107"/>
    </row>
    <row r="89" spans="1:30" ht="15.75" thickBot="1" x14ac:dyDescent="0.3">
      <c r="A89" s="49">
        <v>2028</v>
      </c>
      <c r="B89" s="50">
        <v>6</v>
      </c>
      <c r="C89" s="50">
        <v>6</v>
      </c>
      <c r="D89" s="51" t="s">
        <v>134</v>
      </c>
      <c r="E89" s="62">
        <v>3116.1068730134848</v>
      </c>
      <c r="F89" s="62">
        <v>2510.9325019571752</v>
      </c>
      <c r="G89" s="62">
        <v>1998.9680009711265</v>
      </c>
      <c r="H89" s="62">
        <v>1600.9676876647845</v>
      </c>
      <c r="I89" s="62">
        <v>549.72480914949483</v>
      </c>
      <c r="J89" s="62">
        <v>1161.0984303020596</v>
      </c>
      <c r="K89" s="62">
        <v>1194.4582715191973</v>
      </c>
      <c r="L89" s="62">
        <v>2380.3245126477195</v>
      </c>
      <c r="M89" s="62">
        <v>3841.6217529370333</v>
      </c>
      <c r="N89" s="62">
        <v>4729.5284425796963</v>
      </c>
      <c r="O89" s="62">
        <v>5258.758696391742</v>
      </c>
      <c r="P89" s="62">
        <v>5774.261095400605</v>
      </c>
      <c r="Q89" s="62">
        <v>6360.8051209921396</v>
      </c>
      <c r="R89" s="62">
        <v>6062.6270937319641</v>
      </c>
      <c r="S89" s="62">
        <v>5531.0447015431964</v>
      </c>
      <c r="T89" s="62">
        <v>4991.2765154231565</v>
      </c>
      <c r="U89" s="62">
        <v>4685.350526731032</v>
      </c>
      <c r="V89" s="62">
        <v>5047.8643838234602</v>
      </c>
      <c r="W89" s="62">
        <v>6426.6130194489233</v>
      </c>
      <c r="X89" s="62">
        <v>7563.4860681867758</v>
      </c>
      <c r="Y89" s="62">
        <v>7280.459512065645</v>
      </c>
      <c r="Z89" s="62">
        <v>6161.3719770684947</v>
      </c>
      <c r="AA89" s="62">
        <v>5007.2596040257376</v>
      </c>
      <c r="AB89" s="62">
        <v>3765.1270415034596</v>
      </c>
      <c r="AC89" s="53">
        <v>103000.03663907811</v>
      </c>
      <c r="AD89" s="105">
        <f>+SUMPRODUCT(AC89:AC91,C89:C91)</f>
        <v>3724343.2450044039</v>
      </c>
    </row>
    <row r="90" spans="1:30" ht="15.75" thickBot="1" x14ac:dyDescent="0.3">
      <c r="A90" s="54">
        <v>2028</v>
      </c>
      <c r="B90" s="55">
        <v>6</v>
      </c>
      <c r="C90" s="55">
        <v>20</v>
      </c>
      <c r="D90" s="56" t="s">
        <v>135</v>
      </c>
      <c r="E90" s="62">
        <v>2422.786704269507</v>
      </c>
      <c r="F90" s="62">
        <v>1857.8467009706546</v>
      </c>
      <c r="G90" s="62">
        <v>1364.4915716987434</v>
      </c>
      <c r="H90" s="62">
        <v>1111.2259147344685</v>
      </c>
      <c r="I90" s="62">
        <v>1054.6552910922965</v>
      </c>
      <c r="J90" s="62">
        <v>1487.0833712549502</v>
      </c>
      <c r="K90" s="62">
        <v>2178.4917155755084</v>
      </c>
      <c r="L90" s="62">
        <v>3766.3711569989864</v>
      </c>
      <c r="M90" s="62">
        <v>5668.4752738456882</v>
      </c>
      <c r="N90" s="62">
        <v>6444.0867601345162</v>
      </c>
      <c r="O90" s="62">
        <v>7111.4204653670713</v>
      </c>
      <c r="P90" s="62">
        <v>8410.753838042303</v>
      </c>
      <c r="Q90" s="62">
        <v>8612.6378749488613</v>
      </c>
      <c r="R90" s="62">
        <v>8201.4972565928074</v>
      </c>
      <c r="S90" s="62">
        <v>7981.0311211263943</v>
      </c>
      <c r="T90" s="62">
        <v>7816.1404343848299</v>
      </c>
      <c r="U90" s="62">
        <v>7572.1465763393971</v>
      </c>
      <c r="V90" s="62">
        <v>7292.6650213717439</v>
      </c>
      <c r="W90" s="62">
        <v>7912.6603698894323</v>
      </c>
      <c r="X90" s="62">
        <v>8572.139240282333</v>
      </c>
      <c r="Y90" s="62">
        <v>7993.3675087802658</v>
      </c>
      <c r="Z90" s="62">
        <v>6691.7601872006926</v>
      </c>
      <c r="AA90" s="62">
        <v>5093.7694936120533</v>
      </c>
      <c r="AB90" s="62">
        <v>3550.4020433869591</v>
      </c>
      <c r="AC90" s="57">
        <v>130167.90589190045</v>
      </c>
      <c r="AD90" s="106"/>
    </row>
    <row r="91" spans="1:30" ht="15.75" thickBot="1" x14ac:dyDescent="0.3">
      <c r="A91" s="58">
        <v>2028</v>
      </c>
      <c r="B91" s="59">
        <v>6</v>
      </c>
      <c r="C91" s="59">
        <v>4</v>
      </c>
      <c r="D91" s="60" t="s">
        <v>136</v>
      </c>
      <c r="E91" s="62">
        <v>2939.7750371422753</v>
      </c>
      <c r="F91" s="62">
        <v>2383.0949785872654</v>
      </c>
      <c r="G91" s="62">
        <v>1793.373987818346</v>
      </c>
      <c r="H91" s="62">
        <v>1484.0632429373436</v>
      </c>
      <c r="I91" s="62">
        <v>1376.2256534487951</v>
      </c>
      <c r="J91" s="62">
        <v>1550.7991232438926</v>
      </c>
      <c r="K91" s="62">
        <v>1865.8296934199752</v>
      </c>
      <c r="L91" s="62">
        <v>3303.6342077330246</v>
      </c>
      <c r="M91" s="62">
        <v>5207.8008134089905</v>
      </c>
      <c r="N91" s="62">
        <v>6125.0224438429395</v>
      </c>
      <c r="O91" s="62">
        <v>6814.0788176768838</v>
      </c>
      <c r="P91" s="62">
        <v>7686.4422117783288</v>
      </c>
      <c r="Q91" s="62">
        <v>7732.6572496948174</v>
      </c>
      <c r="R91" s="62">
        <v>7382.7262413551616</v>
      </c>
      <c r="S91" s="62">
        <v>6944.5356026042718</v>
      </c>
      <c r="T91" s="62">
        <v>6531.0837709833468</v>
      </c>
      <c r="U91" s="62">
        <v>6506.4575096068984</v>
      </c>
      <c r="V91" s="62">
        <v>6752.6275857518303</v>
      </c>
      <c r="W91" s="62">
        <v>7769.4784687183019</v>
      </c>
      <c r="X91" s="62">
        <v>8557.2312158389977</v>
      </c>
      <c r="Y91" s="62">
        <v>8180.7356581457752</v>
      </c>
      <c r="Z91" s="62">
        <v>6989.3588247023508</v>
      </c>
      <c r="AA91" s="62">
        <v>5616.0305220670307</v>
      </c>
      <c r="AB91" s="62">
        <v>4253.1639724746929</v>
      </c>
      <c r="AC91" s="61">
        <v>125746.22683298153</v>
      </c>
      <c r="AD91" s="107"/>
    </row>
    <row r="92" spans="1:30" ht="15.75" thickBot="1" x14ac:dyDescent="0.3">
      <c r="A92" s="49">
        <v>2028</v>
      </c>
      <c r="B92" s="50">
        <v>7</v>
      </c>
      <c r="C92" s="50">
        <v>7</v>
      </c>
      <c r="D92" s="51" t="s">
        <v>134</v>
      </c>
      <c r="E92" s="62">
        <v>2880.6740524199413</v>
      </c>
      <c r="F92" s="62">
        <v>2276.6912201864707</v>
      </c>
      <c r="G92" s="62">
        <v>1764.3039939589908</v>
      </c>
      <c r="H92" s="62">
        <v>1455.6445863919071</v>
      </c>
      <c r="I92" s="62">
        <v>1314.775449010438</v>
      </c>
      <c r="J92" s="62">
        <v>1462.1350337431195</v>
      </c>
      <c r="K92" s="62">
        <v>1443.058122046079</v>
      </c>
      <c r="L92" s="62">
        <v>2735.6356550287455</v>
      </c>
      <c r="M92" s="62">
        <v>4289.6720933150245</v>
      </c>
      <c r="N92" s="62">
        <v>5439.2378544471467</v>
      </c>
      <c r="O92" s="62">
        <v>6099.6312890865374</v>
      </c>
      <c r="P92" s="62">
        <v>7136.2779943976384</v>
      </c>
      <c r="Q92" s="62">
        <v>7777.1637711449366</v>
      </c>
      <c r="R92" s="62">
        <v>7589.4875530833124</v>
      </c>
      <c r="S92" s="62">
        <v>6980.3236612297223</v>
      </c>
      <c r="T92" s="62">
        <v>6604.4285050761391</v>
      </c>
      <c r="U92" s="62">
        <v>6315.7972824190656</v>
      </c>
      <c r="V92" s="62">
        <v>6164.5559380644518</v>
      </c>
      <c r="W92" s="62">
        <v>7054.4836296823523</v>
      </c>
      <c r="X92" s="62">
        <v>8281.3516880670722</v>
      </c>
      <c r="Y92" s="62">
        <v>7752.6445275455517</v>
      </c>
      <c r="Z92" s="62">
        <v>6478.5335984191588</v>
      </c>
      <c r="AA92" s="62">
        <v>5016.481143855719</v>
      </c>
      <c r="AB92" s="62">
        <v>3593.3501891604428</v>
      </c>
      <c r="AC92" s="53">
        <v>117906.33883177995</v>
      </c>
      <c r="AD92" s="105">
        <f>+SUMPRODUCT(AC92:AC94,C92:C94)</f>
        <v>4100617.0562813058</v>
      </c>
    </row>
    <row r="93" spans="1:30" ht="15.75" thickBot="1" x14ac:dyDescent="0.3">
      <c r="A93" s="54">
        <v>2028</v>
      </c>
      <c r="B93" s="55">
        <v>7</v>
      </c>
      <c r="C93" s="55">
        <v>19</v>
      </c>
      <c r="D93" s="56" t="s">
        <v>135</v>
      </c>
      <c r="E93" s="62">
        <v>2830.3249878049464</v>
      </c>
      <c r="F93" s="62">
        <v>2254.2929631889547</v>
      </c>
      <c r="G93" s="62">
        <v>1775.8083129929655</v>
      </c>
      <c r="H93" s="62">
        <v>1444.7083560243573</v>
      </c>
      <c r="I93" s="62">
        <v>1419.1849953279998</v>
      </c>
      <c r="J93" s="62">
        <v>2079.6049841559325</v>
      </c>
      <c r="K93" s="62">
        <v>2795.2114151583974</v>
      </c>
      <c r="L93" s="62">
        <v>4062.3086384601702</v>
      </c>
      <c r="M93" s="62">
        <v>5509.0065275769812</v>
      </c>
      <c r="N93" s="62">
        <v>6365.9851097751271</v>
      </c>
      <c r="O93" s="62">
        <v>7283.6701513585358</v>
      </c>
      <c r="P93" s="62">
        <v>8213.3756029857032</v>
      </c>
      <c r="Q93" s="62">
        <v>8257.5074044273751</v>
      </c>
      <c r="R93" s="62">
        <v>8445.3431086193305</v>
      </c>
      <c r="S93" s="62">
        <v>8631.6165217421258</v>
      </c>
      <c r="T93" s="62">
        <v>7852.4761415902831</v>
      </c>
      <c r="U93" s="62">
        <v>7560.0002381542145</v>
      </c>
      <c r="V93" s="62">
        <v>7631.9439171650592</v>
      </c>
      <c r="W93" s="62">
        <v>8338.6968785652025</v>
      </c>
      <c r="X93" s="62">
        <v>9401.8730511638933</v>
      </c>
      <c r="Y93" s="62">
        <v>8818.8504459037067</v>
      </c>
      <c r="Z93" s="62">
        <v>7361.5296786195104</v>
      </c>
      <c r="AA93" s="62">
        <v>5367.7225985022633</v>
      </c>
      <c r="AB93" s="62">
        <v>3704.9155681835255</v>
      </c>
      <c r="AC93" s="57">
        <v>137405.95759744657</v>
      </c>
      <c r="AD93" s="106"/>
    </row>
    <row r="94" spans="1:30" ht="15.75" thickBot="1" x14ac:dyDescent="0.3">
      <c r="A94" s="58">
        <v>2028</v>
      </c>
      <c r="B94" s="59">
        <v>7</v>
      </c>
      <c r="C94" s="59">
        <v>5</v>
      </c>
      <c r="D94" s="60" t="s">
        <v>136</v>
      </c>
      <c r="E94" s="62">
        <v>2212.6942554788002</v>
      </c>
      <c r="F94" s="62">
        <v>1520.974253949269</v>
      </c>
      <c r="G94" s="62">
        <v>1072.3779316424625</v>
      </c>
      <c r="H94" s="62">
        <v>733.06384415196226</v>
      </c>
      <c r="I94" s="62">
        <v>741.15943146533755</v>
      </c>
      <c r="J94" s="62">
        <v>930.25039141555317</v>
      </c>
      <c r="K94" s="62">
        <v>1278.6289965836077</v>
      </c>
      <c r="L94" s="62">
        <v>2873.5518788546469</v>
      </c>
      <c r="M94" s="62">
        <v>5006.5691122081735</v>
      </c>
      <c r="N94" s="62">
        <v>6413.1589716003473</v>
      </c>
      <c r="O94" s="62">
        <v>7510.0127255915613</v>
      </c>
      <c r="P94" s="62">
        <v>8494.9396589310527</v>
      </c>
      <c r="Q94" s="62">
        <v>9069.7509399236988</v>
      </c>
      <c r="R94" s="62">
        <v>8854.9106043335232</v>
      </c>
      <c r="S94" s="62">
        <v>8461.811663477627</v>
      </c>
      <c r="T94" s="62">
        <v>8161.5702562541737</v>
      </c>
      <c r="U94" s="62">
        <v>7844.9737961182727</v>
      </c>
      <c r="V94" s="62">
        <v>7524.3725603756648</v>
      </c>
      <c r="W94" s="62">
        <v>8173.5231287171191</v>
      </c>
      <c r="X94" s="62">
        <v>9110.7532870048126</v>
      </c>
      <c r="Y94" s="62">
        <v>8582.6698506997782</v>
      </c>
      <c r="Z94" s="62">
        <v>7609.7306139589455</v>
      </c>
      <c r="AA94" s="62">
        <v>6134.0148451816713</v>
      </c>
      <c r="AB94" s="62">
        <v>4596.4350235541933</v>
      </c>
      <c r="AC94" s="61">
        <v>132911.89802147224</v>
      </c>
      <c r="AD94" s="107"/>
    </row>
    <row r="95" spans="1:30" ht="15.75" thickBot="1" x14ac:dyDescent="0.3">
      <c r="A95" s="49">
        <v>2028</v>
      </c>
      <c r="B95" s="50">
        <v>8</v>
      </c>
      <c r="C95" s="50">
        <v>6</v>
      </c>
      <c r="D95" s="51" t="s">
        <v>134</v>
      </c>
      <c r="E95" s="62">
        <v>3012.8998461629781</v>
      </c>
      <c r="F95" s="62">
        <v>2384.6078359212315</v>
      </c>
      <c r="G95" s="62">
        <v>1888.9147175751878</v>
      </c>
      <c r="H95" s="62">
        <v>1589.3383950382813</v>
      </c>
      <c r="I95" s="62">
        <v>1563.7746243227484</v>
      </c>
      <c r="J95" s="62">
        <v>1664.8829172901296</v>
      </c>
      <c r="K95" s="62">
        <v>1934.7884098724335</v>
      </c>
      <c r="L95" s="62">
        <v>3238.629817955778</v>
      </c>
      <c r="M95" s="62">
        <v>4947.2031503035068</v>
      </c>
      <c r="N95" s="62">
        <v>6013.0101809410808</v>
      </c>
      <c r="O95" s="62">
        <v>6739.9460389559536</v>
      </c>
      <c r="P95" s="62">
        <v>7509.6821084898802</v>
      </c>
      <c r="Q95" s="62">
        <v>7931.2521370312897</v>
      </c>
      <c r="R95" s="62">
        <v>7466.6145921964671</v>
      </c>
      <c r="S95" s="62">
        <v>6345.7228612132021</v>
      </c>
      <c r="T95" s="62">
        <v>5970.166991007336</v>
      </c>
      <c r="U95" s="62">
        <v>5980.3015108448599</v>
      </c>
      <c r="V95" s="62">
        <v>5983.6139935389656</v>
      </c>
      <c r="W95" s="62">
        <v>7116.5480666709118</v>
      </c>
      <c r="X95" s="62">
        <v>8205.9030755491003</v>
      </c>
      <c r="Y95" s="62">
        <v>7651.750927176261</v>
      </c>
      <c r="Z95" s="62">
        <v>6367.1931999918743</v>
      </c>
      <c r="AA95" s="62">
        <v>4777.9237538407033</v>
      </c>
      <c r="AB95" s="62">
        <v>3506.3308323400706</v>
      </c>
      <c r="AC95" s="53">
        <v>119790.99998423023</v>
      </c>
      <c r="AD95" s="105">
        <f>+SUMPRODUCT(AC95:AC97,C95:C97)</f>
        <v>4242356.1845386643</v>
      </c>
    </row>
    <row r="96" spans="1:30" ht="15.75" thickBot="1" x14ac:dyDescent="0.3">
      <c r="A96" s="54">
        <v>2028</v>
      </c>
      <c r="B96" s="55">
        <v>8</v>
      </c>
      <c r="C96" s="55">
        <v>21</v>
      </c>
      <c r="D96" s="56" t="s">
        <v>135</v>
      </c>
      <c r="E96" s="62">
        <v>2564.2302303440229</v>
      </c>
      <c r="F96" s="62">
        <v>2056.249958872937</v>
      </c>
      <c r="G96" s="62">
        <v>1664.1569228015524</v>
      </c>
      <c r="H96" s="62">
        <v>1378.4424928258941</v>
      </c>
      <c r="I96" s="62">
        <v>1381.6265736554633</v>
      </c>
      <c r="J96" s="62">
        <v>2178.2252128473883</v>
      </c>
      <c r="K96" s="62">
        <v>3116.9713181559637</v>
      </c>
      <c r="L96" s="62">
        <v>4240.2276174508188</v>
      </c>
      <c r="M96" s="62">
        <v>5891.6325802259926</v>
      </c>
      <c r="N96" s="62">
        <v>6740.0637385729933</v>
      </c>
      <c r="O96" s="62">
        <v>7694.947677264212</v>
      </c>
      <c r="P96" s="62">
        <v>8823.7154733999305</v>
      </c>
      <c r="Q96" s="62">
        <v>8789.4208663605823</v>
      </c>
      <c r="R96" s="62">
        <v>8912.4361515358141</v>
      </c>
      <c r="S96" s="62">
        <v>9169.3852986001766</v>
      </c>
      <c r="T96" s="62">
        <v>9086.4027785279686</v>
      </c>
      <c r="U96" s="62">
        <v>8855.9799981107171</v>
      </c>
      <c r="V96" s="62">
        <v>8136.8807148029955</v>
      </c>
      <c r="W96" s="62">
        <v>8613.1990875391348</v>
      </c>
      <c r="X96" s="62">
        <v>9444.6729939816687</v>
      </c>
      <c r="Y96" s="62">
        <v>8724.793130170634</v>
      </c>
      <c r="Z96" s="62">
        <v>7248.6014311131294</v>
      </c>
      <c r="AA96" s="62">
        <v>5165.5555057061756</v>
      </c>
      <c r="AB96" s="62">
        <v>3557.7885585234217</v>
      </c>
      <c r="AC96" s="57">
        <v>143435.60631138957</v>
      </c>
      <c r="AD96" s="106"/>
    </row>
    <row r="97" spans="1:30" ht="15.75" thickBot="1" x14ac:dyDescent="0.3">
      <c r="A97" s="58">
        <v>2028</v>
      </c>
      <c r="B97" s="59">
        <v>8</v>
      </c>
      <c r="C97" s="59">
        <v>4</v>
      </c>
      <c r="D97" s="60" t="s">
        <v>136</v>
      </c>
      <c r="E97" s="62">
        <v>1930.7562797286828</v>
      </c>
      <c r="F97" s="62">
        <v>1778.1683235255059</v>
      </c>
      <c r="G97" s="62">
        <v>1429.6803239729525</v>
      </c>
      <c r="H97" s="62">
        <v>1075.4112459201424</v>
      </c>
      <c r="I97" s="62">
        <v>1003.7583887204892</v>
      </c>
      <c r="J97" s="62">
        <v>1177.3482834735223</v>
      </c>
      <c r="K97" s="62">
        <v>1700.8289116728938</v>
      </c>
      <c r="L97" s="62">
        <v>3319.7035553043988</v>
      </c>
      <c r="M97" s="62">
        <v>5202.0665740514705</v>
      </c>
      <c r="N97" s="62">
        <v>6362.8370632232072</v>
      </c>
      <c r="O97" s="62">
        <v>7347.2991517938535</v>
      </c>
      <c r="P97" s="62">
        <v>8531.9879552838247</v>
      </c>
      <c r="Q97" s="62">
        <v>8811.2504700351346</v>
      </c>
      <c r="R97" s="62">
        <v>8481.5840589549553</v>
      </c>
      <c r="S97" s="62">
        <v>7991.4930345722714</v>
      </c>
      <c r="T97" s="62">
        <v>7630.8366650785974</v>
      </c>
      <c r="U97" s="62">
        <v>7231.0423815350296</v>
      </c>
      <c r="V97" s="62">
        <v>7127.1140415987466</v>
      </c>
      <c r="W97" s="62">
        <v>8231.4714383898936</v>
      </c>
      <c r="X97" s="62">
        <v>8502.1083369964981</v>
      </c>
      <c r="Y97" s="62">
        <v>7728.4583739236987</v>
      </c>
      <c r="Z97" s="62">
        <v>6437.7705280828013</v>
      </c>
      <c r="AA97" s="62">
        <v>5048.0998299958264</v>
      </c>
      <c r="AB97" s="62">
        <v>3784.5378076912093</v>
      </c>
      <c r="AC97" s="61">
        <v>127865.6130235256</v>
      </c>
      <c r="AD97" s="107"/>
    </row>
    <row r="98" spans="1:30" ht="15.75" thickBot="1" x14ac:dyDescent="0.3">
      <c r="A98" s="49">
        <v>2028</v>
      </c>
      <c r="B98" s="50">
        <v>9</v>
      </c>
      <c r="C98" s="50">
        <v>4</v>
      </c>
      <c r="D98" s="51" t="s">
        <v>134</v>
      </c>
      <c r="E98" s="62">
        <v>2110.0136725238262</v>
      </c>
      <c r="F98" s="62">
        <v>1479.8299964621838</v>
      </c>
      <c r="G98" s="62">
        <v>1001.8975142566887</v>
      </c>
      <c r="H98" s="62">
        <v>699.3909490603819</v>
      </c>
      <c r="I98" s="62">
        <v>564.20868618342138</v>
      </c>
      <c r="J98" s="62">
        <v>638.52138080794248</v>
      </c>
      <c r="K98" s="62">
        <v>845.2622722725464</v>
      </c>
      <c r="L98" s="62">
        <v>2230.4838377859232</v>
      </c>
      <c r="M98" s="62">
        <v>4117.1132497990839</v>
      </c>
      <c r="N98" s="62">
        <v>4627.6864252274172</v>
      </c>
      <c r="O98" s="62">
        <v>5231.7638251603239</v>
      </c>
      <c r="P98" s="62">
        <v>5956.8559251131701</v>
      </c>
      <c r="Q98" s="62">
        <v>6685.1343382055784</v>
      </c>
      <c r="R98" s="62">
        <v>6461.8545617899326</v>
      </c>
      <c r="S98" s="62">
        <v>6318.5779285879835</v>
      </c>
      <c r="T98" s="62">
        <v>5682.5492574870586</v>
      </c>
      <c r="U98" s="62">
        <v>5335.3232280757729</v>
      </c>
      <c r="V98" s="62">
        <v>5325.5880091124091</v>
      </c>
      <c r="W98" s="62">
        <v>6885.642661111473</v>
      </c>
      <c r="X98" s="62">
        <v>7450.4266261015546</v>
      </c>
      <c r="Y98" s="62">
        <v>5920.4988727226118</v>
      </c>
      <c r="Z98" s="62">
        <v>4782.9029790952336</v>
      </c>
      <c r="AA98" s="62">
        <v>3538.080826544483</v>
      </c>
      <c r="AB98" s="62">
        <v>2475.5594932449458</v>
      </c>
      <c r="AC98" s="53">
        <v>96365.166516731944</v>
      </c>
      <c r="AD98" s="105">
        <f>+SUMPRODUCT(AC98:AC100,C98:C100)</f>
        <v>3958090.5340116527</v>
      </c>
    </row>
    <row r="99" spans="1:30" ht="15.75" thickBot="1" x14ac:dyDescent="0.3">
      <c r="A99" s="54">
        <v>2028</v>
      </c>
      <c r="B99" s="55">
        <v>9</v>
      </c>
      <c r="C99" s="55">
        <v>21</v>
      </c>
      <c r="D99" s="56" t="s">
        <v>135</v>
      </c>
      <c r="E99" s="62">
        <v>2566.3605839909105</v>
      </c>
      <c r="F99" s="62">
        <v>1987.781374273236</v>
      </c>
      <c r="G99" s="62">
        <v>1586.8020138420034</v>
      </c>
      <c r="H99" s="62">
        <v>1273.0564561230913</v>
      </c>
      <c r="I99" s="62">
        <v>1208.8860150533565</v>
      </c>
      <c r="J99" s="62">
        <v>1981.9783797490836</v>
      </c>
      <c r="K99" s="62">
        <v>2939.4826157591469</v>
      </c>
      <c r="L99" s="62">
        <v>4164.1308667718076</v>
      </c>
      <c r="M99" s="62">
        <v>5727.3737521999828</v>
      </c>
      <c r="N99" s="62">
        <v>6422.8442933814767</v>
      </c>
      <c r="O99" s="62">
        <v>7264.012843851393</v>
      </c>
      <c r="P99" s="62">
        <v>8534.2032021565246</v>
      </c>
      <c r="Q99" s="62">
        <v>8645.5537182207772</v>
      </c>
      <c r="R99" s="62">
        <v>8722.2429952134589</v>
      </c>
      <c r="S99" s="62">
        <v>8891.007842552739</v>
      </c>
      <c r="T99" s="62">
        <v>8814.0056888147192</v>
      </c>
      <c r="U99" s="62">
        <v>8609.6351781539997</v>
      </c>
      <c r="V99" s="62">
        <v>8102.4990556313096</v>
      </c>
      <c r="W99" s="62">
        <v>8970.4843298852429</v>
      </c>
      <c r="X99" s="62">
        <v>9561.6860883729096</v>
      </c>
      <c r="Y99" s="62">
        <v>8953.7613575470132</v>
      </c>
      <c r="Z99" s="62">
        <v>7554.8453945859001</v>
      </c>
      <c r="AA99" s="62">
        <v>5667.4256986890068</v>
      </c>
      <c r="AB99" s="62">
        <v>4001.0447323606131</v>
      </c>
      <c r="AC99" s="57">
        <v>142151.10447717973</v>
      </c>
      <c r="AD99" s="106"/>
    </row>
    <row r="100" spans="1:30" ht="15.75" thickBot="1" x14ac:dyDescent="0.3">
      <c r="A100" s="58">
        <v>2028</v>
      </c>
      <c r="B100" s="59">
        <v>9</v>
      </c>
      <c r="C100" s="59">
        <v>5</v>
      </c>
      <c r="D100" s="60" t="s">
        <v>136</v>
      </c>
      <c r="E100" s="62">
        <v>2987.8358794092001</v>
      </c>
      <c r="F100" s="62">
        <v>2246.4200741398799</v>
      </c>
      <c r="G100" s="62">
        <v>1843.0414588843196</v>
      </c>
      <c r="H100" s="62">
        <v>1448.9566286851787</v>
      </c>
      <c r="I100" s="62">
        <v>1337.5520421316141</v>
      </c>
      <c r="J100" s="62">
        <v>1450.0963480725168</v>
      </c>
      <c r="K100" s="62">
        <v>1965.8984351454528</v>
      </c>
      <c r="L100" s="62">
        <v>3485.6471080904048</v>
      </c>
      <c r="M100" s="62">
        <v>5346.4911186198551</v>
      </c>
      <c r="N100" s="62">
        <v>6349.8693365775071</v>
      </c>
      <c r="O100" s="62">
        <v>6674.8519659124904</v>
      </c>
      <c r="P100" s="62">
        <v>7540.2420901407349</v>
      </c>
      <c r="Q100" s="62">
        <v>6110.013601377319</v>
      </c>
      <c r="R100" s="62">
        <v>7188.8519835876468</v>
      </c>
      <c r="S100" s="62">
        <v>6628.2368462586928</v>
      </c>
      <c r="T100" s="62">
        <v>6332.0246725574543</v>
      </c>
      <c r="U100" s="62">
        <v>5982.4724381054002</v>
      </c>
      <c r="V100" s="62">
        <v>6121.4943348916458</v>
      </c>
      <c r="W100" s="62">
        <v>7489.8005565752683</v>
      </c>
      <c r="X100" s="62">
        <v>7821.4753078625981</v>
      </c>
      <c r="Y100" s="62">
        <v>7217.6657008211623</v>
      </c>
      <c r="Z100" s="62">
        <v>6145.644750024625</v>
      </c>
      <c r="AA100" s="62">
        <v>4527.3804637022695</v>
      </c>
      <c r="AB100" s="62">
        <v>3249.3716432169367</v>
      </c>
      <c r="AC100" s="61">
        <v>117491.33478479016</v>
      </c>
      <c r="AD100" s="107"/>
    </row>
    <row r="101" spans="1:30" ht="15.75" thickBot="1" x14ac:dyDescent="0.3">
      <c r="A101" s="49">
        <v>2028</v>
      </c>
      <c r="B101" s="50">
        <v>10</v>
      </c>
      <c r="C101" s="50">
        <v>6</v>
      </c>
      <c r="D101" s="51" t="s">
        <v>134</v>
      </c>
      <c r="E101" s="62">
        <v>2899.8000188813257</v>
      </c>
      <c r="F101" s="62">
        <v>2459.7076034837391</v>
      </c>
      <c r="G101" s="62">
        <v>2034.7128789602011</v>
      </c>
      <c r="H101" s="62">
        <v>1728.4385371990156</v>
      </c>
      <c r="I101" s="62">
        <v>1598.937175615396</v>
      </c>
      <c r="J101" s="62">
        <v>1644.436108512089</v>
      </c>
      <c r="K101" s="62">
        <v>1922.5495271641103</v>
      </c>
      <c r="L101" s="62">
        <v>3174.0491097875401</v>
      </c>
      <c r="M101" s="62">
        <v>4072.955788882311</v>
      </c>
      <c r="N101" s="62">
        <v>4980.638215235409</v>
      </c>
      <c r="O101" s="62">
        <v>6742.966090918595</v>
      </c>
      <c r="P101" s="62">
        <v>7589.2856358124518</v>
      </c>
      <c r="Q101" s="62">
        <v>7999.7329009364257</v>
      </c>
      <c r="R101" s="62">
        <v>7633.4731625158893</v>
      </c>
      <c r="S101" s="62">
        <v>6687.4803932227187</v>
      </c>
      <c r="T101" s="62">
        <v>6103.8792223769633</v>
      </c>
      <c r="U101" s="62">
        <v>5809.4952175830804</v>
      </c>
      <c r="V101" s="62">
        <v>5601.398436374835</v>
      </c>
      <c r="W101" s="62">
        <v>6848.6105340214781</v>
      </c>
      <c r="X101" s="62">
        <v>7251.5998117925592</v>
      </c>
      <c r="Y101" s="62">
        <v>6914.877210538627</v>
      </c>
      <c r="Z101" s="62">
        <v>5994.0642026013484</v>
      </c>
      <c r="AA101" s="62">
        <v>4604.9089041868574</v>
      </c>
      <c r="AB101" s="62">
        <v>3406.6000584211142</v>
      </c>
      <c r="AC101" s="53">
        <v>115704.59674502407</v>
      </c>
      <c r="AD101" s="105">
        <f>+SUMPRODUCT(AC101:AC103,C101:C103)</f>
        <v>4205647.149688866</v>
      </c>
    </row>
    <row r="102" spans="1:30" ht="15.75" thickBot="1" x14ac:dyDescent="0.3">
      <c r="A102" s="54">
        <v>2028</v>
      </c>
      <c r="B102" s="55">
        <v>10</v>
      </c>
      <c r="C102" s="55">
        <v>21</v>
      </c>
      <c r="D102" s="56" t="s">
        <v>135</v>
      </c>
      <c r="E102" s="62">
        <v>2691.4135075990962</v>
      </c>
      <c r="F102" s="62">
        <v>2244.6880452271034</v>
      </c>
      <c r="G102" s="62">
        <v>1808.9357242719379</v>
      </c>
      <c r="H102" s="62">
        <v>1502.7869265584159</v>
      </c>
      <c r="I102" s="62">
        <v>1497.0653367184659</v>
      </c>
      <c r="J102" s="62">
        <v>2145.5169010282498</v>
      </c>
      <c r="K102" s="62">
        <v>3042.8176354773532</v>
      </c>
      <c r="L102" s="62">
        <v>4463.7661137497889</v>
      </c>
      <c r="M102" s="62">
        <v>6058.1890268343268</v>
      </c>
      <c r="N102" s="62">
        <v>6661.3405091791465</v>
      </c>
      <c r="O102" s="62">
        <v>7391.0290059252184</v>
      </c>
      <c r="P102" s="62">
        <v>8268.8794531083986</v>
      </c>
      <c r="Q102" s="62">
        <v>8308.6502336137637</v>
      </c>
      <c r="R102" s="62">
        <v>8353.175387631487</v>
      </c>
      <c r="S102" s="62">
        <v>7953.1012228701693</v>
      </c>
      <c r="T102" s="62">
        <v>8258.2822268135133</v>
      </c>
      <c r="U102" s="62">
        <v>8202.5595949351955</v>
      </c>
      <c r="V102" s="62">
        <v>8125.4637919874804</v>
      </c>
      <c r="W102" s="62">
        <v>9344.831395131896</v>
      </c>
      <c r="X102" s="62">
        <v>9635.4773030812503</v>
      </c>
      <c r="Y102" s="62">
        <v>8874.377950834416</v>
      </c>
      <c r="Z102" s="62">
        <v>7543.9378231211158</v>
      </c>
      <c r="AA102" s="62">
        <v>5747.9525130712464</v>
      </c>
      <c r="AB102" s="62">
        <v>4134.9769472170592</v>
      </c>
      <c r="AC102" s="57">
        <v>142259.21457598615</v>
      </c>
      <c r="AD102" s="106"/>
    </row>
    <row r="103" spans="1:30" ht="15.75" thickBot="1" x14ac:dyDescent="0.3">
      <c r="A103" s="58">
        <v>2028</v>
      </c>
      <c r="B103" s="59">
        <v>10</v>
      </c>
      <c r="C103" s="59">
        <v>4</v>
      </c>
      <c r="D103" s="60" t="s">
        <v>136</v>
      </c>
      <c r="E103" s="62">
        <v>2781.3571685560764</v>
      </c>
      <c r="F103" s="62">
        <v>2100.4170226218266</v>
      </c>
      <c r="G103" s="62">
        <v>958.96221488654919</v>
      </c>
      <c r="H103" s="62">
        <v>637.81680625511945</v>
      </c>
      <c r="I103" s="62">
        <v>499.85075726973992</v>
      </c>
      <c r="J103" s="62">
        <v>666.95762156186174</v>
      </c>
      <c r="K103" s="62">
        <v>1282.822996268198</v>
      </c>
      <c r="L103" s="62">
        <v>2794.8555533259769</v>
      </c>
      <c r="M103" s="62">
        <v>4705.2332928416436</v>
      </c>
      <c r="N103" s="62">
        <v>6910.3105938971021</v>
      </c>
      <c r="O103" s="62">
        <v>7642.1286633565142</v>
      </c>
      <c r="P103" s="62">
        <v>8732.7039779870138</v>
      </c>
      <c r="Q103" s="62">
        <v>8935.0840051784289</v>
      </c>
      <c r="R103" s="62">
        <v>8588.3968273190294</v>
      </c>
      <c r="S103" s="62">
        <v>8206.3030722922522</v>
      </c>
      <c r="T103" s="62">
        <v>7884.0668058218653</v>
      </c>
      <c r="U103" s="62">
        <v>7543.626554867602</v>
      </c>
      <c r="V103" s="62">
        <v>7463.9484148142037</v>
      </c>
      <c r="W103" s="62">
        <v>8897.6275570215839</v>
      </c>
      <c r="X103" s="62">
        <v>8561.6527600987538</v>
      </c>
      <c r="Y103" s="62">
        <v>8331.343633070639</v>
      </c>
      <c r="Z103" s="62">
        <v>7271.5430661358878</v>
      </c>
      <c r="AA103" s="62">
        <v>5769.1838283033285</v>
      </c>
      <c r="AB103" s="62">
        <v>3827.822587001865</v>
      </c>
      <c r="AC103" s="61">
        <v>130994.01578075306</v>
      </c>
      <c r="AD103" s="107"/>
    </row>
    <row r="104" spans="1:30" ht="15.75" thickBot="1" x14ac:dyDescent="0.3">
      <c r="A104" s="49">
        <v>2028</v>
      </c>
      <c r="B104" s="50">
        <v>11</v>
      </c>
      <c r="C104" s="50">
        <v>6</v>
      </c>
      <c r="D104" s="51" t="s">
        <v>134</v>
      </c>
      <c r="E104" s="62">
        <v>2711.6697331269006</v>
      </c>
      <c r="F104" s="62">
        <v>1989.0333084487866</v>
      </c>
      <c r="G104" s="62">
        <v>1397.9847852223575</v>
      </c>
      <c r="H104" s="62">
        <v>1215.5745535293936</v>
      </c>
      <c r="I104" s="62">
        <v>1011.4946065346739</v>
      </c>
      <c r="J104" s="62">
        <v>1162.259687411608</v>
      </c>
      <c r="K104" s="62">
        <v>1317.517683276139</v>
      </c>
      <c r="L104" s="62">
        <v>2622.02734731085</v>
      </c>
      <c r="M104" s="62">
        <v>4281.4984633983004</v>
      </c>
      <c r="N104" s="62">
        <v>5230.6391907465477</v>
      </c>
      <c r="O104" s="62">
        <v>5900.0073189793002</v>
      </c>
      <c r="P104" s="62">
        <v>6814.5700645502475</v>
      </c>
      <c r="Q104" s="62">
        <v>7344.4091037808175</v>
      </c>
      <c r="R104" s="62">
        <v>7098.7255048821426</v>
      </c>
      <c r="S104" s="62">
        <v>6150.1044527421182</v>
      </c>
      <c r="T104" s="62">
        <v>5639.7304781845341</v>
      </c>
      <c r="U104" s="62">
        <v>5370.0645563874241</v>
      </c>
      <c r="V104" s="62">
        <v>5662.7792908311312</v>
      </c>
      <c r="W104" s="62">
        <v>7663.7892092957663</v>
      </c>
      <c r="X104" s="62">
        <v>7756.7073482064188</v>
      </c>
      <c r="Y104" s="62">
        <v>7321.3274806831978</v>
      </c>
      <c r="Z104" s="62">
        <v>6177.1826004553259</v>
      </c>
      <c r="AA104" s="62">
        <v>4695.9918328378553</v>
      </c>
      <c r="AB104" s="62">
        <v>3271.8573811570495</v>
      </c>
      <c r="AC104" s="53">
        <v>109806.94598197889</v>
      </c>
      <c r="AD104" s="105">
        <f>+SUMPRODUCT(AC104:AC106,C104:C106)</f>
        <v>3758464.9588205433</v>
      </c>
    </row>
    <row r="105" spans="1:30" ht="15.75" thickBot="1" x14ac:dyDescent="0.3">
      <c r="A105" s="54">
        <v>2028</v>
      </c>
      <c r="B105" s="55">
        <v>11</v>
      </c>
      <c r="C105" s="55">
        <v>20</v>
      </c>
      <c r="D105" s="56" t="s">
        <v>135</v>
      </c>
      <c r="E105" s="62">
        <v>2505.5173490884208</v>
      </c>
      <c r="F105" s="62">
        <v>1856.0009833450167</v>
      </c>
      <c r="G105" s="62">
        <v>1460.1084155178414</v>
      </c>
      <c r="H105" s="62">
        <v>1120.0513954267208</v>
      </c>
      <c r="I105" s="62">
        <v>1072.9918466326417</v>
      </c>
      <c r="J105" s="62">
        <v>1704.2319610279974</v>
      </c>
      <c r="K105" s="62">
        <v>2673.0780264876266</v>
      </c>
      <c r="L105" s="62">
        <v>4041.7009368922772</v>
      </c>
      <c r="M105" s="62">
        <v>5492.2253585831095</v>
      </c>
      <c r="N105" s="62">
        <v>6509.413145598679</v>
      </c>
      <c r="O105" s="62">
        <v>7170.0631587517273</v>
      </c>
      <c r="P105" s="62">
        <v>8061.3587673317961</v>
      </c>
      <c r="Q105" s="62">
        <v>8026.7020184222092</v>
      </c>
      <c r="R105" s="62">
        <v>8043.4750776366527</v>
      </c>
      <c r="S105" s="62">
        <v>7888.7911385685838</v>
      </c>
      <c r="T105" s="62">
        <v>7873.3061112451433</v>
      </c>
      <c r="U105" s="62">
        <v>7623.3631484624602</v>
      </c>
      <c r="V105" s="62">
        <v>7426.2486981342699</v>
      </c>
      <c r="W105" s="62">
        <v>8751.8148214743524</v>
      </c>
      <c r="X105" s="62">
        <v>8661.3938109000046</v>
      </c>
      <c r="Y105" s="62">
        <v>7951.4450850968788</v>
      </c>
      <c r="Z105" s="62">
        <v>6613.0826236978646</v>
      </c>
      <c r="AA105" s="62">
        <v>4951.8772636441572</v>
      </c>
      <c r="AB105" s="62">
        <v>3431.4199039803389</v>
      </c>
      <c r="AC105" s="57">
        <v>130909.66104594678</v>
      </c>
      <c r="AD105" s="106"/>
    </row>
    <row r="106" spans="1:30" ht="15.75" thickBot="1" x14ac:dyDescent="0.3">
      <c r="A106" s="58">
        <v>2028</v>
      </c>
      <c r="B106" s="59">
        <v>11</v>
      </c>
      <c r="C106" s="59">
        <v>4</v>
      </c>
      <c r="D106" s="60" t="s">
        <v>136</v>
      </c>
      <c r="E106" s="62">
        <v>2234.8675138861418</v>
      </c>
      <c r="F106" s="62">
        <v>1643.092096082848</v>
      </c>
      <c r="G106" s="62">
        <v>1147.8586740791525</v>
      </c>
      <c r="H106" s="62">
        <v>431.5561344243888</v>
      </c>
      <c r="I106" s="62">
        <v>438.57347415012737</v>
      </c>
      <c r="J106" s="62">
        <v>1038.0834496317111</v>
      </c>
      <c r="K106" s="62">
        <v>1514.719992323402</v>
      </c>
      <c r="L106" s="62">
        <v>2987.3084240896551</v>
      </c>
      <c r="M106" s="62">
        <v>5019.5944220197234</v>
      </c>
      <c r="N106" s="62">
        <v>6089.3912696838888</v>
      </c>
      <c r="O106" s="62">
        <v>6874.9381677973797</v>
      </c>
      <c r="P106" s="62">
        <v>7635.799885671775</v>
      </c>
      <c r="Q106" s="62">
        <v>7970.0259289973474</v>
      </c>
      <c r="R106" s="62">
        <v>7675.4463067241959</v>
      </c>
      <c r="S106" s="62">
        <v>7249.4361849664565</v>
      </c>
      <c r="T106" s="62">
        <v>6868.3779151605704</v>
      </c>
      <c r="U106" s="62">
        <v>6402.4711512339854</v>
      </c>
      <c r="V106" s="62">
        <v>6709.7947083877152</v>
      </c>
      <c r="W106" s="62">
        <v>8419.7500757700036</v>
      </c>
      <c r="X106" s="62">
        <v>8380.7329236638761</v>
      </c>
      <c r="Y106" s="62">
        <v>7771.6798616426422</v>
      </c>
      <c r="Z106" s="62">
        <v>6629.3634840749473</v>
      </c>
      <c r="AA106" s="62">
        <v>5349.5865258602898</v>
      </c>
      <c r="AB106" s="62">
        <v>3875.0669321112618</v>
      </c>
      <c r="AC106" s="61">
        <v>120357.51550243348</v>
      </c>
      <c r="AD106" s="107"/>
    </row>
    <row r="107" spans="1:30" ht="15.75" thickBot="1" x14ac:dyDescent="0.3">
      <c r="A107" s="49">
        <v>2028</v>
      </c>
      <c r="B107" s="50">
        <v>12</v>
      </c>
      <c r="C107" s="50">
        <v>7</v>
      </c>
      <c r="D107" s="51" t="s">
        <v>134</v>
      </c>
      <c r="E107" s="62">
        <v>3929.6019734186848</v>
      </c>
      <c r="F107" s="62">
        <v>3055.8968607458974</v>
      </c>
      <c r="G107" s="62">
        <v>2506.8899102716441</v>
      </c>
      <c r="H107" s="62">
        <v>2104.6323597423143</v>
      </c>
      <c r="I107" s="62">
        <v>1874.8277634537662</v>
      </c>
      <c r="J107" s="62">
        <v>1885.1959099933501</v>
      </c>
      <c r="K107" s="62">
        <v>2080.8768779236198</v>
      </c>
      <c r="L107" s="62">
        <v>3129.575205459405</v>
      </c>
      <c r="M107" s="62">
        <v>4493.4956062059719</v>
      </c>
      <c r="N107" s="62">
        <v>5451.9310849660287</v>
      </c>
      <c r="O107" s="62">
        <v>6124.6201430684268</v>
      </c>
      <c r="P107" s="62">
        <v>6803.1523399353828</v>
      </c>
      <c r="Q107" s="62">
        <v>7351.020218130634</v>
      </c>
      <c r="R107" s="62">
        <v>7363.7279932432903</v>
      </c>
      <c r="S107" s="62">
        <v>6785.5484956234759</v>
      </c>
      <c r="T107" s="62">
        <v>6279.7896170757813</v>
      </c>
      <c r="U107" s="62">
        <v>5977.2494309713038</v>
      </c>
      <c r="V107" s="62">
        <v>6093.6203341419641</v>
      </c>
      <c r="W107" s="62">
        <v>7728.9441213663231</v>
      </c>
      <c r="X107" s="62">
        <v>8073.055052319829</v>
      </c>
      <c r="Y107" s="62">
        <v>7674.9794934815145</v>
      </c>
      <c r="Z107" s="62">
        <v>6826.8625177429749</v>
      </c>
      <c r="AA107" s="62">
        <v>5567.883465367504</v>
      </c>
      <c r="AB107" s="62">
        <v>4190.4139293022054</v>
      </c>
      <c r="AC107" s="53">
        <v>123353.79070395128</v>
      </c>
      <c r="AD107" s="105">
        <f>+SUMPRODUCT(AC107:AC109,C107:C109)</f>
        <v>4385856.1367873</v>
      </c>
    </row>
    <row r="108" spans="1:30" ht="15.75" thickBot="1" x14ac:dyDescent="0.3">
      <c r="A108" s="54">
        <v>2028</v>
      </c>
      <c r="B108" s="55">
        <v>12</v>
      </c>
      <c r="C108" s="55">
        <v>19</v>
      </c>
      <c r="D108" s="56" t="s">
        <v>135</v>
      </c>
      <c r="E108" s="62">
        <v>3534.6856487767473</v>
      </c>
      <c r="F108" s="62">
        <v>2865.9776221680568</v>
      </c>
      <c r="G108" s="62">
        <v>2363.5269232481096</v>
      </c>
      <c r="H108" s="62">
        <v>2028.0800171990886</v>
      </c>
      <c r="I108" s="62">
        <v>1967.9320411126118</v>
      </c>
      <c r="J108" s="62">
        <v>2363.2801915814271</v>
      </c>
      <c r="K108" s="62">
        <v>3052.2735114063053</v>
      </c>
      <c r="L108" s="62">
        <v>4669.1735276466716</v>
      </c>
      <c r="M108" s="62">
        <v>6010.48022887365</v>
      </c>
      <c r="N108" s="62">
        <v>6598.9750695723123</v>
      </c>
      <c r="O108" s="62">
        <v>8186.4474281430594</v>
      </c>
      <c r="P108" s="62">
        <v>7986.5212288923867</v>
      </c>
      <c r="Q108" s="62">
        <v>8466.9175027091042</v>
      </c>
      <c r="R108" s="62">
        <v>8155.7631632734301</v>
      </c>
      <c r="S108" s="62">
        <v>8087.7473626544124</v>
      </c>
      <c r="T108" s="62">
        <v>8508.5982248870205</v>
      </c>
      <c r="U108" s="62">
        <v>8266.7353546240302</v>
      </c>
      <c r="V108" s="62">
        <v>8420.4473019137404</v>
      </c>
      <c r="W108" s="62">
        <v>9736.914363136817</v>
      </c>
      <c r="X108" s="62">
        <v>9811.4712177503789</v>
      </c>
      <c r="Y108" s="62">
        <v>9115.2878800808394</v>
      </c>
      <c r="Z108" s="62">
        <v>7871.1410995067454</v>
      </c>
      <c r="AA108" s="62">
        <v>6265.8283798364573</v>
      </c>
      <c r="AB108" s="62">
        <v>4719.8093239378941</v>
      </c>
      <c r="AC108" s="57">
        <v>149054.01461293132</v>
      </c>
      <c r="AD108" s="106"/>
    </row>
    <row r="109" spans="1:30" ht="15.75" thickBot="1" x14ac:dyDescent="0.3">
      <c r="A109" s="58">
        <v>2028</v>
      </c>
      <c r="B109" s="59">
        <v>12</v>
      </c>
      <c r="C109" s="59">
        <v>5</v>
      </c>
      <c r="D109" s="60" t="s">
        <v>136</v>
      </c>
      <c r="E109" s="62">
        <v>3421.9164305333943</v>
      </c>
      <c r="F109" s="62">
        <v>2627.8198214815056</v>
      </c>
      <c r="G109" s="62">
        <v>2161.418000954427</v>
      </c>
      <c r="H109" s="62">
        <v>1747.2619704840636</v>
      </c>
      <c r="I109" s="62">
        <v>1574.2048705745819</v>
      </c>
      <c r="J109" s="62">
        <v>1701.0624096427</v>
      </c>
      <c r="K109" s="62">
        <v>2266.6631024389899</v>
      </c>
      <c r="L109" s="62">
        <v>3603.4461313064348</v>
      </c>
      <c r="M109" s="62">
        <v>5501.0214344603119</v>
      </c>
      <c r="N109" s="62">
        <v>6564.9558523364976</v>
      </c>
      <c r="O109" s="62">
        <v>7269.5311675130361</v>
      </c>
      <c r="P109" s="62">
        <v>7956.4996924819388</v>
      </c>
      <c r="Q109" s="62">
        <v>8136.7144245877171</v>
      </c>
      <c r="R109" s="62">
        <v>7933.3046958531377</v>
      </c>
      <c r="S109" s="62">
        <v>7636.8358986140775</v>
      </c>
      <c r="T109" s="62">
        <v>7460.5529392399803</v>
      </c>
      <c r="U109" s="62">
        <v>7267.9420418327572</v>
      </c>
      <c r="V109" s="62">
        <v>7455.4654387408191</v>
      </c>
      <c r="W109" s="62">
        <v>9054.7152285973716</v>
      </c>
      <c r="X109" s="62">
        <v>9330.6337414710033</v>
      </c>
      <c r="Y109" s="62">
        <v>8584.4308851014248</v>
      </c>
      <c r="Z109" s="62">
        <v>7526.2849560151881</v>
      </c>
      <c r="AA109" s="62">
        <v>6322.1019885605092</v>
      </c>
      <c r="AB109" s="62">
        <v>4965.8817199673285</v>
      </c>
      <c r="AC109" s="61">
        <v>138070.66484278918</v>
      </c>
      <c r="AD109" s="107"/>
    </row>
    <row r="110" spans="1:30" ht="15.75" thickBot="1" x14ac:dyDescent="0.3">
      <c r="A110" s="49">
        <v>2029</v>
      </c>
      <c r="B110" s="50">
        <v>1</v>
      </c>
      <c r="C110" s="50">
        <v>6</v>
      </c>
      <c r="D110" s="51" t="s">
        <v>134</v>
      </c>
      <c r="E110" s="62">
        <v>4555.5800190544578</v>
      </c>
      <c r="F110" s="62">
        <v>3806.8459276052308</v>
      </c>
      <c r="G110" s="62">
        <v>3214.8652293914511</v>
      </c>
      <c r="H110" s="62">
        <v>2865.3824597682124</v>
      </c>
      <c r="I110" s="62">
        <v>2695.181155046108</v>
      </c>
      <c r="J110" s="62">
        <v>2699.049675094775</v>
      </c>
      <c r="K110" s="62">
        <v>2557.0476255870253</v>
      </c>
      <c r="L110" s="62">
        <v>3357.0009642572531</v>
      </c>
      <c r="M110" s="62">
        <v>4553.6520255312862</v>
      </c>
      <c r="N110" s="62">
        <v>5620.4162728711344</v>
      </c>
      <c r="O110" s="62">
        <v>6141.6513062532686</v>
      </c>
      <c r="P110" s="62">
        <v>6852.3895123432958</v>
      </c>
      <c r="Q110" s="62">
        <v>7384.3945723835932</v>
      </c>
      <c r="R110" s="62">
        <v>7340.3483801556285</v>
      </c>
      <c r="S110" s="62">
        <v>6636.910647915538</v>
      </c>
      <c r="T110" s="62">
        <v>6331.2369878930913</v>
      </c>
      <c r="U110" s="62">
        <v>6082.2250313480181</v>
      </c>
      <c r="V110" s="62">
        <v>5960.200587534353</v>
      </c>
      <c r="W110" s="62">
        <v>7664.9646287640971</v>
      </c>
      <c r="X110" s="62">
        <v>9037.1644090823684</v>
      </c>
      <c r="Y110" s="62">
        <v>8913.3404350192723</v>
      </c>
      <c r="Z110" s="62">
        <v>7920.7840944012823</v>
      </c>
      <c r="AA110" s="62">
        <v>6569.3577654242617</v>
      </c>
      <c r="AB110" s="62">
        <v>5322.121417963117</v>
      </c>
      <c r="AC110" s="53">
        <v>134082.11113068814</v>
      </c>
      <c r="AD110" s="105">
        <f>+SUMPRODUCT(AC110:AC112,C110:C112)</f>
        <v>5070005.7970028995</v>
      </c>
    </row>
    <row r="111" spans="1:30" ht="15.75" thickBot="1" x14ac:dyDescent="0.3">
      <c r="A111" s="54">
        <v>2029</v>
      </c>
      <c r="B111" s="55">
        <v>1</v>
      </c>
      <c r="C111" s="55">
        <v>21</v>
      </c>
      <c r="D111" s="56" t="s">
        <v>135</v>
      </c>
      <c r="E111" s="62">
        <v>4621.7407264052381</v>
      </c>
      <c r="F111" s="62">
        <v>3919.5821220199286</v>
      </c>
      <c r="G111" s="62">
        <v>3351.0854146295878</v>
      </c>
      <c r="H111" s="62">
        <v>2983.8090249802826</v>
      </c>
      <c r="I111" s="62">
        <v>2924.9835575394936</v>
      </c>
      <c r="J111" s="62">
        <v>3343.8934477137154</v>
      </c>
      <c r="K111" s="62">
        <v>3830.8349890412974</v>
      </c>
      <c r="L111" s="62">
        <v>5111.257250611885</v>
      </c>
      <c r="M111" s="62">
        <v>6931.8397563967774</v>
      </c>
      <c r="N111" s="62">
        <v>7858.2791006683547</v>
      </c>
      <c r="O111" s="62">
        <v>8612.1324506754754</v>
      </c>
      <c r="P111" s="62">
        <v>9663.037964709416</v>
      </c>
      <c r="Q111" s="62">
        <v>9785.385054118924</v>
      </c>
      <c r="R111" s="62">
        <v>9660.5310983283562</v>
      </c>
      <c r="S111" s="62">
        <v>9598.9457176915021</v>
      </c>
      <c r="T111" s="62">
        <v>9439.7257936239293</v>
      </c>
      <c r="U111" s="62">
        <v>9315.1308597797761</v>
      </c>
      <c r="V111" s="62">
        <v>8766.907175734159</v>
      </c>
      <c r="W111" s="62">
        <v>9592.4854056161967</v>
      </c>
      <c r="X111" s="62">
        <v>10541.137599643189</v>
      </c>
      <c r="Y111" s="62">
        <v>10197.664639729359</v>
      </c>
      <c r="Z111" s="62">
        <v>9053.6597070012467</v>
      </c>
      <c r="AA111" s="62">
        <v>7418.5082342191381</v>
      </c>
      <c r="AB111" s="62">
        <v>5877.9792411264025</v>
      </c>
      <c r="AC111" s="57">
        <v>172400.53633200363</v>
      </c>
      <c r="AD111" s="106"/>
    </row>
    <row r="112" spans="1:30" ht="15.75" thickBot="1" x14ac:dyDescent="0.3">
      <c r="A112" s="58">
        <v>2029</v>
      </c>
      <c r="B112" s="59">
        <v>1</v>
      </c>
      <c r="C112" s="59">
        <v>4</v>
      </c>
      <c r="D112" s="60" t="s">
        <v>136</v>
      </c>
      <c r="E112" s="62">
        <v>4377.4621297064296</v>
      </c>
      <c r="F112" s="62">
        <v>3632.9847550067316</v>
      </c>
      <c r="G112" s="62">
        <v>3245.4211508678509</v>
      </c>
      <c r="H112" s="62">
        <v>2913.4512711298539</v>
      </c>
      <c r="I112" s="62">
        <v>2599.559453289814</v>
      </c>
      <c r="J112" s="62">
        <v>2710.0275191393866</v>
      </c>
      <c r="K112" s="62">
        <v>2830.5415936166155</v>
      </c>
      <c r="L112" s="62">
        <v>4181.5522851153873</v>
      </c>
      <c r="M112" s="62">
        <v>6088.3956407224723</v>
      </c>
      <c r="N112" s="62">
        <v>7075.5696891534462</v>
      </c>
      <c r="O112" s="62">
        <v>7949.407647189717</v>
      </c>
      <c r="P112" s="62">
        <v>8924.5803597617087</v>
      </c>
      <c r="Q112" s="62">
        <v>9364.1471117162582</v>
      </c>
      <c r="R112" s="62">
        <v>9242.9706978689319</v>
      </c>
      <c r="S112" s="62">
        <v>8945.0621748281446</v>
      </c>
      <c r="T112" s="62">
        <v>8705.5678644149339</v>
      </c>
      <c r="U112" s="62">
        <v>8340.574504265398</v>
      </c>
      <c r="V112" s="62">
        <v>8125.8497848407751</v>
      </c>
      <c r="W112" s="62">
        <v>9313.0772602857105</v>
      </c>
      <c r="X112" s="62">
        <v>10292.336511698515</v>
      </c>
      <c r="Y112" s="62">
        <v>9914.9314188075768</v>
      </c>
      <c r="Z112" s="62">
        <v>8960.947227902645</v>
      </c>
      <c r="AA112" s="62">
        <v>7473.4439207592295</v>
      </c>
      <c r="AB112" s="62">
        <v>6067.6048395862599</v>
      </c>
      <c r="AC112" s="61">
        <v>161275.46681167377</v>
      </c>
      <c r="AD112" s="107"/>
    </row>
    <row r="113" spans="1:30" ht="15.75" thickBot="1" x14ac:dyDescent="0.3">
      <c r="A113" s="49">
        <v>2029</v>
      </c>
      <c r="B113" s="50">
        <v>2</v>
      </c>
      <c r="C113" s="50">
        <v>4</v>
      </c>
      <c r="D113" s="51" t="s">
        <v>134</v>
      </c>
      <c r="E113" s="62">
        <v>3550.6767364435291</v>
      </c>
      <c r="F113" s="62">
        <v>2862.1680788506346</v>
      </c>
      <c r="G113" s="62">
        <v>2348.7504412433955</v>
      </c>
      <c r="H113" s="62">
        <v>1894.2154760669328</v>
      </c>
      <c r="I113" s="62">
        <v>1294.2035796785476</v>
      </c>
      <c r="J113" s="62">
        <v>1170.7826274571507</v>
      </c>
      <c r="K113" s="62">
        <v>1437.1952466180519</v>
      </c>
      <c r="L113" s="62">
        <v>2709.3465689147397</v>
      </c>
      <c r="M113" s="62">
        <v>4142.2348788837517</v>
      </c>
      <c r="N113" s="62">
        <v>5036.3027694728298</v>
      </c>
      <c r="O113" s="62">
        <v>5605.879075651399</v>
      </c>
      <c r="P113" s="62">
        <v>6320.9515901514133</v>
      </c>
      <c r="Q113" s="62">
        <v>6916.4407800774461</v>
      </c>
      <c r="R113" s="62">
        <v>6795.0913757012786</v>
      </c>
      <c r="S113" s="62">
        <v>6156.6943057113458</v>
      </c>
      <c r="T113" s="62">
        <v>5630.863692433144</v>
      </c>
      <c r="U113" s="62">
        <v>5359.6125187848047</v>
      </c>
      <c r="V113" s="62">
        <v>5062.7672751232421</v>
      </c>
      <c r="W113" s="62">
        <v>6251.9276752628975</v>
      </c>
      <c r="X113" s="62">
        <v>7533.9651890299283</v>
      </c>
      <c r="Y113" s="62">
        <v>7633.9214504118499</v>
      </c>
      <c r="Z113" s="62">
        <v>6709.1362272431616</v>
      </c>
      <c r="AA113" s="62">
        <v>5187.3759938614676</v>
      </c>
      <c r="AB113" s="62">
        <v>3786.4461657537067</v>
      </c>
      <c r="AC113" s="53">
        <v>111396.94971882664</v>
      </c>
      <c r="AD113" s="105">
        <f>+SUMPRODUCT(AC113:AC115,C113:C115)</f>
        <v>3794561.7373589026</v>
      </c>
    </row>
    <row r="114" spans="1:30" ht="15.75" thickBot="1" x14ac:dyDescent="0.3">
      <c r="A114" s="54">
        <v>2029</v>
      </c>
      <c r="B114" s="55">
        <v>2</v>
      </c>
      <c r="C114" s="55">
        <v>20</v>
      </c>
      <c r="D114" s="56" t="s">
        <v>135</v>
      </c>
      <c r="E114" s="62">
        <v>3003.2160312152955</v>
      </c>
      <c r="F114" s="62">
        <v>2450.6840235999789</v>
      </c>
      <c r="G114" s="62">
        <v>1994.0878098817575</v>
      </c>
      <c r="H114" s="62">
        <v>1755.3010849947332</v>
      </c>
      <c r="I114" s="62">
        <v>1711.8644960647052</v>
      </c>
      <c r="J114" s="62">
        <v>2456.5453815379005</v>
      </c>
      <c r="K114" s="62">
        <v>3198.5576000230358</v>
      </c>
      <c r="L114" s="62">
        <v>4037.7741216359755</v>
      </c>
      <c r="M114" s="62">
        <v>5550.5427721624583</v>
      </c>
      <c r="N114" s="62">
        <v>6295.6562986722383</v>
      </c>
      <c r="O114" s="62">
        <v>7059.2385999405597</v>
      </c>
      <c r="P114" s="62">
        <v>8042.8726985676549</v>
      </c>
      <c r="Q114" s="62">
        <v>8099.0480672733065</v>
      </c>
      <c r="R114" s="62">
        <v>8062.7299226462455</v>
      </c>
      <c r="S114" s="62">
        <v>8428.4863684065858</v>
      </c>
      <c r="T114" s="62">
        <v>8395.1321718446925</v>
      </c>
      <c r="U114" s="62">
        <v>8235.7183712303486</v>
      </c>
      <c r="V114" s="62">
        <v>7784.6868065147137</v>
      </c>
      <c r="W114" s="62">
        <v>8336.5699953609583</v>
      </c>
      <c r="X114" s="62">
        <v>9397.3989633524434</v>
      </c>
      <c r="Y114" s="62">
        <v>8966.8557360427039</v>
      </c>
      <c r="Z114" s="62">
        <v>7204.5414490427938</v>
      </c>
      <c r="AA114" s="62">
        <v>5693.234925319819</v>
      </c>
      <c r="AB114" s="62">
        <v>4133.6610827823934</v>
      </c>
      <c r="AC114" s="57">
        <v>140294.40477811333</v>
      </c>
      <c r="AD114" s="106"/>
    </row>
    <row r="115" spans="1:30" ht="15.75" thickBot="1" x14ac:dyDescent="0.3">
      <c r="A115" s="58">
        <v>2029</v>
      </c>
      <c r="B115" s="59">
        <v>2</v>
      </c>
      <c r="C115" s="59">
        <v>4</v>
      </c>
      <c r="D115" s="60" t="s">
        <v>136</v>
      </c>
      <c r="E115" s="62">
        <v>3333.4610864424631</v>
      </c>
      <c r="F115" s="62">
        <v>2627.7826850955571</v>
      </c>
      <c r="G115" s="62">
        <v>2167.7001232483108</v>
      </c>
      <c r="H115" s="62">
        <v>1536.6986425235427</v>
      </c>
      <c r="I115" s="62">
        <v>1688.5069231776433</v>
      </c>
      <c r="J115" s="62">
        <v>1945.6274987051675</v>
      </c>
      <c r="K115" s="62">
        <v>2301.5392604780518</v>
      </c>
      <c r="L115" s="62">
        <v>3763.4782694651003</v>
      </c>
      <c r="M115" s="62">
        <v>5102.6110870008852</v>
      </c>
      <c r="N115" s="62">
        <v>5875.816651032248</v>
      </c>
      <c r="O115" s="62">
        <v>6865.4670747344753</v>
      </c>
      <c r="P115" s="62">
        <v>7572.1997420288644</v>
      </c>
      <c r="Q115" s="62">
        <v>8162.937588023382</v>
      </c>
      <c r="R115" s="62">
        <v>7996.5455457534408</v>
      </c>
      <c r="S115" s="62">
        <v>7623.9114115554257</v>
      </c>
      <c r="T115" s="62">
        <v>7660.7956802600165</v>
      </c>
      <c r="U115" s="62">
        <v>7465.0827122952796</v>
      </c>
      <c r="V115" s="62">
        <v>7192.8565059881912</v>
      </c>
      <c r="W115" s="62">
        <v>7918.8141113804668</v>
      </c>
      <c r="X115" s="62">
        <v>8995.4647869083237</v>
      </c>
      <c r="Y115" s="62">
        <v>8744.2832930164623</v>
      </c>
      <c r="Z115" s="62">
        <v>7796.0665738121534</v>
      </c>
      <c r="AA115" s="62">
        <v>6431.8163588600437</v>
      </c>
      <c r="AB115" s="62">
        <v>5001.9971185467548</v>
      </c>
      <c r="AC115" s="61">
        <v>135771.46073033227</v>
      </c>
      <c r="AD115" s="107"/>
    </row>
    <row r="116" spans="1:30" ht="15.75" thickBot="1" x14ac:dyDescent="0.3">
      <c r="A116" s="49">
        <v>2029</v>
      </c>
      <c r="B116" s="50">
        <v>3</v>
      </c>
      <c r="C116" s="50">
        <v>7</v>
      </c>
      <c r="D116" s="51" t="s">
        <v>134</v>
      </c>
      <c r="E116" s="62">
        <v>3096.8511576256515</v>
      </c>
      <c r="F116" s="62">
        <v>3339.8504986131265</v>
      </c>
      <c r="G116" s="62">
        <v>2566.0051240538814</v>
      </c>
      <c r="H116" s="62">
        <v>2205.8085798010798</v>
      </c>
      <c r="I116" s="62">
        <v>2077.75976830535</v>
      </c>
      <c r="J116" s="62">
        <v>2117.2591585200153</v>
      </c>
      <c r="K116" s="62">
        <v>2127.7091313725268</v>
      </c>
      <c r="L116" s="62">
        <v>3123.9396006067382</v>
      </c>
      <c r="M116" s="62">
        <v>4694.4357861611679</v>
      </c>
      <c r="N116" s="62">
        <v>5501.854565854439</v>
      </c>
      <c r="O116" s="62">
        <v>6211.3447030504358</v>
      </c>
      <c r="P116" s="62">
        <v>7083.429262924903</v>
      </c>
      <c r="Q116" s="62">
        <v>7728.5061947649738</v>
      </c>
      <c r="R116" s="62">
        <v>7390.0286011423741</v>
      </c>
      <c r="S116" s="62">
        <v>4953.110500484494</v>
      </c>
      <c r="T116" s="62">
        <v>6001.960172906056</v>
      </c>
      <c r="U116" s="62">
        <v>5688.1603818830845</v>
      </c>
      <c r="V116" s="62">
        <v>5544.7989110628769</v>
      </c>
      <c r="W116" s="62">
        <v>7005.9699467584178</v>
      </c>
      <c r="X116" s="62">
        <v>9286.4796376713603</v>
      </c>
      <c r="Y116" s="62">
        <v>9386.2864431315902</v>
      </c>
      <c r="Z116" s="62">
        <v>8663.1415312018653</v>
      </c>
      <c r="AA116" s="62">
        <v>7334.2534548104995</v>
      </c>
      <c r="AB116" s="62">
        <v>5704.4543565122913</v>
      </c>
      <c r="AC116" s="53">
        <v>128833.3974692192</v>
      </c>
      <c r="AD116" s="105">
        <f>+SUMPRODUCT(AC116:AC118,C116:C118)</f>
        <v>4669978.6726271622</v>
      </c>
    </row>
    <row r="117" spans="1:30" ht="15.75" thickBot="1" x14ac:dyDescent="0.3">
      <c r="A117" s="54">
        <v>2029</v>
      </c>
      <c r="B117" s="55">
        <v>3</v>
      </c>
      <c r="C117" s="55">
        <v>19</v>
      </c>
      <c r="D117" s="56" t="s">
        <v>135</v>
      </c>
      <c r="E117" s="62">
        <v>3943.150861969807</v>
      </c>
      <c r="F117" s="62">
        <v>3254.049050342599</v>
      </c>
      <c r="G117" s="62">
        <v>2758.4726493126891</v>
      </c>
      <c r="H117" s="62">
        <v>2444.6342845087129</v>
      </c>
      <c r="I117" s="62">
        <v>2319.1885280535807</v>
      </c>
      <c r="J117" s="62">
        <v>3037.2821582575689</v>
      </c>
      <c r="K117" s="62">
        <v>3818.1054432391284</v>
      </c>
      <c r="L117" s="62">
        <v>4790.0076305018774</v>
      </c>
      <c r="M117" s="62">
        <v>6422.5817431939031</v>
      </c>
      <c r="N117" s="62">
        <v>7261.8887399691957</v>
      </c>
      <c r="O117" s="62">
        <v>7881.0843565864052</v>
      </c>
      <c r="P117" s="62">
        <v>8740.9055341015883</v>
      </c>
      <c r="Q117" s="62">
        <v>8752.9876015201226</v>
      </c>
      <c r="R117" s="62">
        <v>8721.0523276255226</v>
      </c>
      <c r="S117" s="62">
        <v>8811.1543792819939</v>
      </c>
      <c r="T117" s="62">
        <v>8922.3787636035267</v>
      </c>
      <c r="U117" s="62">
        <v>8920.3996634813302</v>
      </c>
      <c r="V117" s="62">
        <v>8362.5669236293106</v>
      </c>
      <c r="W117" s="62">
        <v>9158.2367609235407</v>
      </c>
      <c r="X117" s="62">
        <v>10259.752804178846</v>
      </c>
      <c r="Y117" s="62">
        <v>9872.7711385460389</v>
      </c>
      <c r="Z117" s="62">
        <v>8693.1729057987359</v>
      </c>
      <c r="AA117" s="62">
        <v>6885.2512173104697</v>
      </c>
      <c r="AB117" s="62">
        <v>5248.8082158281904</v>
      </c>
      <c r="AC117" s="57">
        <v>159279.88368176465</v>
      </c>
      <c r="AD117" s="106"/>
    </row>
    <row r="118" spans="1:30" ht="15.75" thickBot="1" x14ac:dyDescent="0.3">
      <c r="A118" s="58">
        <v>2029</v>
      </c>
      <c r="B118" s="59">
        <v>3</v>
      </c>
      <c r="C118" s="59">
        <v>5</v>
      </c>
      <c r="D118" s="60" t="s">
        <v>136</v>
      </c>
      <c r="E118" s="62">
        <v>4144.513326609369</v>
      </c>
      <c r="F118" s="62">
        <v>3271.4353349189296</v>
      </c>
      <c r="G118" s="62">
        <v>2799.2146074796765</v>
      </c>
      <c r="H118" s="62">
        <v>2505.3514564722354</v>
      </c>
      <c r="I118" s="62">
        <v>2382.3879772937235</v>
      </c>
      <c r="J118" s="62">
        <v>2509.6359205035151</v>
      </c>
      <c r="K118" s="62">
        <v>2592.596169941382</v>
      </c>
      <c r="L118" s="62">
        <v>3844.5293302660357</v>
      </c>
      <c r="M118" s="62">
        <v>6352.6392497159031</v>
      </c>
      <c r="N118" s="62">
        <v>7273.2115787498115</v>
      </c>
      <c r="O118" s="62">
        <v>7820.4468223325639</v>
      </c>
      <c r="P118" s="62">
        <v>8575.6592723744106</v>
      </c>
      <c r="Q118" s="62">
        <v>8835.2288325931804</v>
      </c>
      <c r="R118" s="62">
        <v>8572.9213019174604</v>
      </c>
      <c r="S118" s="62">
        <v>8353.9181453999263</v>
      </c>
      <c r="T118" s="62">
        <v>8183.9673131463278</v>
      </c>
      <c r="U118" s="62">
        <v>7853.1109120470464</v>
      </c>
      <c r="V118" s="62">
        <v>7580.9995571185318</v>
      </c>
      <c r="W118" s="62">
        <v>8695.0138408666571</v>
      </c>
      <c r="X118" s="62">
        <v>9707.1102392471512</v>
      </c>
      <c r="Y118" s="62">
        <v>9410.7415387823785</v>
      </c>
      <c r="Z118" s="62">
        <v>7166.3196285828235</v>
      </c>
      <c r="AA118" s="62">
        <v>5744.5620628120596</v>
      </c>
      <c r="AB118" s="62">
        <v>4189.9056586486658</v>
      </c>
      <c r="AC118" s="61">
        <v>148365.42007781978</v>
      </c>
      <c r="AD118" s="107"/>
    </row>
    <row r="119" spans="1:30" ht="15.75" thickBot="1" x14ac:dyDescent="0.3">
      <c r="A119" s="49">
        <v>2029</v>
      </c>
      <c r="B119" s="50">
        <v>4</v>
      </c>
      <c r="C119" s="50">
        <v>5</v>
      </c>
      <c r="D119" s="51" t="s">
        <v>134</v>
      </c>
      <c r="E119" s="62">
        <v>3400.2184468733394</v>
      </c>
      <c r="F119" s="62">
        <v>2619.3647809420345</v>
      </c>
      <c r="G119" s="62">
        <v>2260.7138198072807</v>
      </c>
      <c r="H119" s="62">
        <v>1803.1650768590825</v>
      </c>
      <c r="I119" s="62">
        <v>1674.2772794730554</v>
      </c>
      <c r="J119" s="62">
        <v>1661.2273861222347</v>
      </c>
      <c r="K119" s="62">
        <v>1669.9819472777272</v>
      </c>
      <c r="L119" s="62">
        <v>2808.727392159517</v>
      </c>
      <c r="M119" s="62">
        <v>4372.2082107132956</v>
      </c>
      <c r="N119" s="62">
        <v>5389.520068617152</v>
      </c>
      <c r="O119" s="62">
        <v>6125.3114013948543</v>
      </c>
      <c r="P119" s="62">
        <v>6967.2459899483183</v>
      </c>
      <c r="Q119" s="62">
        <v>7598.8113498596213</v>
      </c>
      <c r="R119" s="62">
        <v>7396.619951304252</v>
      </c>
      <c r="S119" s="62">
        <v>6473.9708446583973</v>
      </c>
      <c r="T119" s="62">
        <v>5940.7945681111996</v>
      </c>
      <c r="U119" s="62">
        <v>5608.5820105790226</v>
      </c>
      <c r="V119" s="62">
        <v>5589.7338826232699</v>
      </c>
      <c r="W119" s="62">
        <v>7162.7794689813309</v>
      </c>
      <c r="X119" s="62">
        <v>8350.0507258207435</v>
      </c>
      <c r="Y119" s="62">
        <v>8038.0052013424538</v>
      </c>
      <c r="Z119" s="62">
        <v>7113.8624694623722</v>
      </c>
      <c r="AA119" s="62">
        <v>5540.1612960449711</v>
      </c>
      <c r="AB119" s="62">
        <v>4068.1812581446538</v>
      </c>
      <c r="AC119" s="53">
        <v>119633.51482712021</v>
      </c>
      <c r="AD119" s="105">
        <f>+SUMPRODUCT(AC119:AC121,C119:C121)</f>
        <v>4240026.5281159868</v>
      </c>
    </row>
    <row r="120" spans="1:30" ht="15.75" thickBot="1" x14ac:dyDescent="0.3">
      <c r="A120" s="54">
        <v>2029</v>
      </c>
      <c r="B120" s="55">
        <v>4</v>
      </c>
      <c r="C120" s="55">
        <v>21</v>
      </c>
      <c r="D120" s="56" t="s">
        <v>135</v>
      </c>
      <c r="E120" s="62">
        <v>3052.0446222770206</v>
      </c>
      <c r="F120" s="62">
        <v>2313.1455674429126</v>
      </c>
      <c r="G120" s="62">
        <v>1942.7980618204347</v>
      </c>
      <c r="H120" s="62">
        <v>1628.4942025298751</v>
      </c>
      <c r="I120" s="62">
        <v>1534.704931906308</v>
      </c>
      <c r="J120" s="62">
        <v>2266.6510297527529</v>
      </c>
      <c r="K120" s="62">
        <v>3036.403270858842</v>
      </c>
      <c r="L120" s="62">
        <v>4204.2887887601901</v>
      </c>
      <c r="M120" s="62">
        <v>5798.2670664821344</v>
      </c>
      <c r="N120" s="62">
        <v>6558.3752177883907</v>
      </c>
      <c r="O120" s="62">
        <v>7055.7918228140625</v>
      </c>
      <c r="P120" s="62">
        <v>8155.117755408799</v>
      </c>
      <c r="Q120" s="62">
        <v>8210.2976055449799</v>
      </c>
      <c r="R120" s="62">
        <v>8485.4905214190949</v>
      </c>
      <c r="S120" s="62">
        <v>9016.6988448285483</v>
      </c>
      <c r="T120" s="62">
        <v>9171.5626811775765</v>
      </c>
      <c r="U120" s="62">
        <v>8929.8869068880776</v>
      </c>
      <c r="V120" s="62">
        <v>8490.7761248029019</v>
      </c>
      <c r="W120" s="62">
        <v>9267.5283932050806</v>
      </c>
      <c r="X120" s="62">
        <v>10076.266337085548</v>
      </c>
      <c r="Y120" s="62">
        <v>9491.8332624220966</v>
      </c>
      <c r="Z120" s="62">
        <v>8213.8432885994225</v>
      </c>
      <c r="AA120" s="62">
        <v>6463.981598026272</v>
      </c>
      <c r="AB120" s="62">
        <v>4380.4365297501063</v>
      </c>
      <c r="AC120" s="57">
        <v>147744.68443159136</v>
      </c>
      <c r="AD120" s="106"/>
    </row>
    <row r="121" spans="1:30" ht="15.75" thickBot="1" x14ac:dyDescent="0.3">
      <c r="A121" s="58">
        <v>2029</v>
      </c>
      <c r="B121" s="59">
        <v>4</v>
      </c>
      <c r="C121" s="59">
        <v>4</v>
      </c>
      <c r="D121" s="60" t="s">
        <v>136</v>
      </c>
      <c r="E121" s="62">
        <v>3526.1688456570155</v>
      </c>
      <c r="F121" s="62">
        <v>2879.3885646521539</v>
      </c>
      <c r="G121" s="62">
        <v>2313.644405173316</v>
      </c>
      <c r="H121" s="62">
        <v>1959.7803569592506</v>
      </c>
      <c r="I121" s="62">
        <v>971.97118430900628</v>
      </c>
      <c r="J121" s="62">
        <v>2032.6487883214468</v>
      </c>
      <c r="K121" s="62">
        <v>2138.2677018083505</v>
      </c>
      <c r="L121" s="62">
        <v>3641.5483745164966</v>
      </c>
      <c r="M121" s="62">
        <v>5615.3993098828214</v>
      </c>
      <c r="N121" s="62">
        <v>6635.7889924683514</v>
      </c>
      <c r="O121" s="62">
        <v>7273.2177946981647</v>
      </c>
      <c r="P121" s="62">
        <v>8265.0070241022731</v>
      </c>
      <c r="Q121" s="62">
        <v>8534.3287103166695</v>
      </c>
      <c r="R121" s="62">
        <v>8241.8787729127507</v>
      </c>
      <c r="S121" s="62">
        <v>7805.3706361772347</v>
      </c>
      <c r="T121" s="62">
        <v>7213.2868040540416</v>
      </c>
      <c r="U121" s="62">
        <v>6907.7745791026609</v>
      </c>
      <c r="V121" s="62">
        <v>6837.4933350483443</v>
      </c>
      <c r="W121" s="62">
        <v>8024.132364845238</v>
      </c>
      <c r="X121" s="62">
        <v>8628.0856708326646</v>
      </c>
      <c r="Y121" s="62">
        <v>8318.6204643434357</v>
      </c>
      <c r="Z121" s="62">
        <v>7274.7340067948753</v>
      </c>
      <c r="AA121" s="62">
        <v>5724.8659124008591</v>
      </c>
      <c r="AB121" s="62">
        <v>4041.7426298643077</v>
      </c>
      <c r="AC121" s="61">
        <v>134805.14522924172</v>
      </c>
      <c r="AD121" s="107"/>
    </row>
    <row r="122" spans="1:30" ht="15.75" thickBot="1" x14ac:dyDescent="0.3">
      <c r="A122" s="49">
        <v>2029</v>
      </c>
      <c r="B122" s="50">
        <v>5</v>
      </c>
      <c r="C122" s="50">
        <v>6</v>
      </c>
      <c r="D122" s="51" t="s">
        <v>134</v>
      </c>
      <c r="E122" s="62">
        <v>4296.0829099460061</v>
      </c>
      <c r="F122" s="62">
        <v>3391.6482796922573</v>
      </c>
      <c r="G122" s="62">
        <v>2982.1024390716211</v>
      </c>
      <c r="H122" s="62">
        <v>2708.1841480330258</v>
      </c>
      <c r="I122" s="62">
        <v>2516.2682206543832</v>
      </c>
      <c r="J122" s="62">
        <v>2592.0370542038363</v>
      </c>
      <c r="K122" s="62">
        <v>2680.1230153414272</v>
      </c>
      <c r="L122" s="62">
        <v>3989.7468106462802</v>
      </c>
      <c r="M122" s="62">
        <v>5681.774325414015</v>
      </c>
      <c r="N122" s="62">
        <v>6796.9441251017743</v>
      </c>
      <c r="O122" s="62">
        <v>7569.0853192137947</v>
      </c>
      <c r="P122" s="62">
        <v>8403.7548931451311</v>
      </c>
      <c r="Q122" s="62">
        <v>8929.4122320778042</v>
      </c>
      <c r="R122" s="62">
        <v>8756.9465581950353</v>
      </c>
      <c r="S122" s="62">
        <v>7993.60177142877</v>
      </c>
      <c r="T122" s="62">
        <v>7500.832533044515</v>
      </c>
      <c r="U122" s="62">
        <v>7069.596078651226</v>
      </c>
      <c r="V122" s="62">
        <v>7187.406453918451</v>
      </c>
      <c r="W122" s="62">
        <v>8574.734184523626</v>
      </c>
      <c r="X122" s="62">
        <v>9432.5872266441074</v>
      </c>
      <c r="Y122" s="62">
        <v>9295.8378789456256</v>
      </c>
      <c r="Z122" s="62">
        <v>8097.355153375338</v>
      </c>
      <c r="AA122" s="62">
        <v>6449.6677878120427</v>
      </c>
      <c r="AB122" s="62">
        <v>5072.4934088127229</v>
      </c>
      <c r="AC122" s="53">
        <v>147968.22280789283</v>
      </c>
      <c r="AD122" s="105">
        <f>+SUMPRODUCT(AC122:AC124,C122:C124)</f>
        <v>4750862.5117634991</v>
      </c>
    </row>
    <row r="123" spans="1:30" ht="15.75" thickBot="1" x14ac:dyDescent="0.3">
      <c r="A123" s="54">
        <v>2029</v>
      </c>
      <c r="B123" s="55">
        <v>5</v>
      </c>
      <c r="C123" s="55">
        <v>21</v>
      </c>
      <c r="D123" s="56" t="s">
        <v>135</v>
      </c>
      <c r="E123" s="62">
        <v>3403.1616370936972</v>
      </c>
      <c r="F123" s="62">
        <v>2760.773080636307</v>
      </c>
      <c r="G123" s="62">
        <v>2289.1988422218474</v>
      </c>
      <c r="H123" s="62">
        <v>2062.6944706391787</v>
      </c>
      <c r="I123" s="62">
        <v>1892.3662437146504</v>
      </c>
      <c r="J123" s="62">
        <v>2581.7699497069298</v>
      </c>
      <c r="K123" s="62">
        <v>3321.4977166091685</v>
      </c>
      <c r="L123" s="62">
        <v>4538.1032302530875</v>
      </c>
      <c r="M123" s="62">
        <v>6051.6381314853716</v>
      </c>
      <c r="N123" s="62">
        <v>7002.9169187409716</v>
      </c>
      <c r="O123" s="62">
        <v>7777.8181409569625</v>
      </c>
      <c r="P123" s="62">
        <v>8712.712563936464</v>
      </c>
      <c r="Q123" s="62">
        <v>8911.582333827002</v>
      </c>
      <c r="R123" s="62">
        <v>9011.4901391798412</v>
      </c>
      <c r="S123" s="62">
        <v>9193.8759987240519</v>
      </c>
      <c r="T123" s="62">
        <v>9118.7848755363229</v>
      </c>
      <c r="U123" s="62">
        <v>9002.1658885013858</v>
      </c>
      <c r="V123" s="62">
        <v>8652.7181383192001</v>
      </c>
      <c r="W123" s="62">
        <v>9538.8092580465745</v>
      </c>
      <c r="X123" s="62">
        <v>10286.12519216213</v>
      </c>
      <c r="Y123" s="62">
        <v>9751.7193119805306</v>
      </c>
      <c r="Z123" s="62">
        <v>8212.9150236852074</v>
      </c>
      <c r="AA123" s="62">
        <v>6397.2703573688341</v>
      </c>
      <c r="AB123" s="62">
        <v>4698.3583137552851</v>
      </c>
      <c r="AC123" s="57">
        <v>155170.46575708099</v>
      </c>
      <c r="AD123" s="106"/>
    </row>
    <row r="124" spans="1:30" ht="15.75" thickBot="1" x14ac:dyDescent="0.3">
      <c r="A124" s="58">
        <v>2029</v>
      </c>
      <c r="B124" s="59">
        <v>5</v>
      </c>
      <c r="C124" s="59">
        <v>4</v>
      </c>
      <c r="D124" s="60" t="s">
        <v>136</v>
      </c>
      <c r="E124" s="62">
        <v>3734.2803684326936</v>
      </c>
      <c r="F124" s="62">
        <v>3014.0245641738475</v>
      </c>
      <c r="G124" s="62">
        <v>2555.589575089045</v>
      </c>
      <c r="H124" s="62">
        <v>2233.6885692751512</v>
      </c>
      <c r="I124" s="62">
        <v>2124.6104393432161</v>
      </c>
      <c r="J124" s="62">
        <v>2113.8450547006778</v>
      </c>
      <c r="K124" s="62">
        <v>2400.3297395408226</v>
      </c>
      <c r="L124" s="62">
        <v>4104.6846134785192</v>
      </c>
      <c r="M124" s="62">
        <v>6156.8362630460178</v>
      </c>
      <c r="N124" s="62">
        <v>7466.1812222788649</v>
      </c>
      <c r="O124" s="62">
        <v>8539.3554027903665</v>
      </c>
      <c r="P124" s="62">
        <v>8963.1436043283502</v>
      </c>
      <c r="Q124" s="62">
        <v>9436.3468452091656</v>
      </c>
      <c r="R124" s="62">
        <v>9188.0720816824905</v>
      </c>
      <c r="S124" s="62">
        <v>8682.5096368663908</v>
      </c>
      <c r="T124" s="62">
        <v>8408.9017035922188</v>
      </c>
      <c r="U124" s="62">
        <v>7824.381249173839</v>
      </c>
      <c r="V124" s="62">
        <v>7803.303146610473</v>
      </c>
      <c r="W124" s="62">
        <v>8162.885423673546</v>
      </c>
      <c r="X124" s="62">
        <v>9361.5113361082258</v>
      </c>
      <c r="Y124" s="62">
        <v>8962.5648375913079</v>
      </c>
      <c r="Z124" s="62">
        <v>7932.2404122908738</v>
      </c>
      <c r="AA124" s="62">
        <v>6592.324282673515</v>
      </c>
      <c r="AB124" s="62">
        <v>5356.7381324106682</v>
      </c>
      <c r="AC124" s="61">
        <v>151118.3485043603</v>
      </c>
      <c r="AD124" s="107"/>
    </row>
    <row r="125" spans="1:30" ht="15.75" thickBot="1" x14ac:dyDescent="0.3">
      <c r="A125" s="49">
        <v>2029</v>
      </c>
      <c r="B125" s="50">
        <v>6</v>
      </c>
      <c r="C125" s="50">
        <v>6</v>
      </c>
      <c r="D125" s="51" t="s">
        <v>134</v>
      </c>
      <c r="E125" s="62">
        <v>3575.5247316566747</v>
      </c>
      <c r="F125" s="62">
        <v>2953.0988050077431</v>
      </c>
      <c r="G125" s="62">
        <v>2426.5398590606583</v>
      </c>
      <c r="H125" s="62">
        <v>2017.1938496057865</v>
      </c>
      <c r="I125" s="62">
        <v>935.9834512690577</v>
      </c>
      <c r="J125" s="62">
        <v>1564.7853484980951</v>
      </c>
      <c r="K125" s="62">
        <v>1599.0961704289639</v>
      </c>
      <c r="L125" s="62">
        <v>2818.7676061636867</v>
      </c>
      <c r="M125" s="62">
        <v>4321.7216841908412</v>
      </c>
      <c r="N125" s="62">
        <v>5234.939709458471</v>
      </c>
      <c r="O125" s="62">
        <v>5779.2565987620364</v>
      </c>
      <c r="P125" s="62">
        <v>6309.4542967127672</v>
      </c>
      <c r="Q125" s="62">
        <v>6912.7187872627765</v>
      </c>
      <c r="R125" s="62">
        <v>6606.0406729866882</v>
      </c>
      <c r="S125" s="62">
        <v>6059.3045934814982</v>
      </c>
      <c r="T125" s="62">
        <v>5504.149369649127</v>
      </c>
      <c r="U125" s="62">
        <v>5189.5024247275833</v>
      </c>
      <c r="V125" s="62">
        <v>5562.3503743689216</v>
      </c>
      <c r="W125" s="62">
        <v>6980.4026551474781</v>
      </c>
      <c r="X125" s="62">
        <v>8149.6842617160655</v>
      </c>
      <c r="Y125" s="62">
        <v>7858.5895378062196</v>
      </c>
      <c r="Z125" s="62">
        <v>6707.6004522042131</v>
      </c>
      <c r="AA125" s="62">
        <v>5520.5880841915277</v>
      </c>
      <c r="AB125" s="62">
        <v>4243.0463570042702</v>
      </c>
      <c r="AC125" s="53">
        <v>114830.33968136113</v>
      </c>
      <c r="AD125" s="105">
        <f>+SUMPRODUCT(AC125:AC127,C125:C127)</f>
        <v>4092787.6436152663</v>
      </c>
    </row>
    <row r="126" spans="1:30" ht="15.75" thickBot="1" x14ac:dyDescent="0.3">
      <c r="A126" s="54">
        <v>2029</v>
      </c>
      <c r="B126" s="55">
        <v>6</v>
      </c>
      <c r="C126" s="55">
        <v>19</v>
      </c>
      <c r="D126" s="56" t="s">
        <v>135</v>
      </c>
      <c r="E126" s="62">
        <v>2862.4402569430022</v>
      </c>
      <c r="F126" s="62">
        <v>2281.3956491871031</v>
      </c>
      <c r="G126" s="62">
        <v>1773.9765676948045</v>
      </c>
      <c r="H126" s="62">
        <v>1513.4911295074835</v>
      </c>
      <c r="I126" s="62">
        <v>1455.3078611378605</v>
      </c>
      <c r="J126" s="62">
        <v>1900.0630612539171</v>
      </c>
      <c r="K126" s="62">
        <v>2611.1812116398378</v>
      </c>
      <c r="L126" s="62">
        <v>4244.3259381914468</v>
      </c>
      <c r="M126" s="62">
        <v>6200.6528649986176</v>
      </c>
      <c r="N126" s="62">
        <v>6998.3745154218523</v>
      </c>
      <c r="O126" s="62">
        <v>7684.7317369585689</v>
      </c>
      <c r="P126" s="62">
        <v>9021.1048835966831</v>
      </c>
      <c r="Q126" s="62">
        <v>9228.7439786361101</v>
      </c>
      <c r="R126" s="62">
        <v>8805.8830767168729</v>
      </c>
      <c r="S126" s="62">
        <v>8579.1321678459753</v>
      </c>
      <c r="T126" s="62">
        <v>8409.5409832230107</v>
      </c>
      <c r="U126" s="62">
        <v>8158.5916528250636</v>
      </c>
      <c r="V126" s="62">
        <v>7871.1429865367245</v>
      </c>
      <c r="W126" s="62">
        <v>8508.8123885729874</v>
      </c>
      <c r="X126" s="62">
        <v>9187.0908594428256</v>
      </c>
      <c r="Y126" s="62">
        <v>8591.820225840831</v>
      </c>
      <c r="Z126" s="62">
        <v>7253.1083074013477</v>
      </c>
      <c r="AA126" s="62">
        <v>5609.5640897286976</v>
      </c>
      <c r="AB126" s="62">
        <v>4022.2002466607846</v>
      </c>
      <c r="AC126" s="57">
        <v>142772.67663996239</v>
      </c>
      <c r="AD126" s="106"/>
    </row>
    <row r="127" spans="1:30" ht="15.75" thickBot="1" x14ac:dyDescent="0.3">
      <c r="A127" s="58">
        <v>2029</v>
      </c>
      <c r="B127" s="59">
        <v>6</v>
      </c>
      <c r="C127" s="59">
        <v>5</v>
      </c>
      <c r="D127" s="60" t="s">
        <v>136</v>
      </c>
      <c r="E127" s="62">
        <v>3394.1662479054939</v>
      </c>
      <c r="F127" s="62">
        <v>2821.6170490881505</v>
      </c>
      <c r="G127" s="62">
        <v>2215.0850284029621</v>
      </c>
      <c r="H127" s="62">
        <v>1896.956838887947</v>
      </c>
      <c r="I127" s="62">
        <v>1786.0451500009258</v>
      </c>
      <c r="J127" s="62">
        <v>1965.5951423706829</v>
      </c>
      <c r="K127" s="62">
        <v>2289.6062108208116</v>
      </c>
      <c r="L127" s="62">
        <v>3768.3978615631531</v>
      </c>
      <c r="M127" s="62">
        <v>5726.8460720567418</v>
      </c>
      <c r="N127" s="62">
        <v>6670.2147118568791</v>
      </c>
      <c r="O127" s="62">
        <v>7378.9138447172809</v>
      </c>
      <c r="P127" s="62">
        <v>8276.145485575511</v>
      </c>
      <c r="Q127" s="62">
        <v>8323.677964107399</v>
      </c>
      <c r="R127" s="62">
        <v>7963.7715593651883</v>
      </c>
      <c r="S127" s="62">
        <v>7513.0895288334759</v>
      </c>
      <c r="T127" s="62">
        <v>7087.8515284664609</v>
      </c>
      <c r="U127" s="62">
        <v>7062.5232523691448</v>
      </c>
      <c r="V127" s="62">
        <v>7315.7108377758159</v>
      </c>
      <c r="W127" s="62">
        <v>8361.5488364826342</v>
      </c>
      <c r="X127" s="62">
        <v>9171.7578556468361</v>
      </c>
      <c r="Y127" s="62">
        <v>8784.5296325358977</v>
      </c>
      <c r="Z127" s="62">
        <v>7559.1905153988737</v>
      </c>
      <c r="AA127" s="62">
        <v>6146.7130836976903</v>
      </c>
      <c r="AB127" s="62">
        <v>4744.9956356369039</v>
      </c>
      <c r="AC127" s="61">
        <v>138224.94987356284</v>
      </c>
      <c r="AD127" s="107"/>
    </row>
    <row r="128" spans="1:30" ht="15.75" thickBot="1" x14ac:dyDescent="0.3">
      <c r="A128" s="49">
        <v>2029</v>
      </c>
      <c r="B128" s="50">
        <v>7</v>
      </c>
      <c r="C128" s="50">
        <v>7</v>
      </c>
      <c r="D128" s="51" t="s">
        <v>134</v>
      </c>
      <c r="E128" s="62">
        <v>3314.9620807453084</v>
      </c>
      <c r="F128" s="62">
        <v>2694.4621590931383</v>
      </c>
      <c r="G128" s="62">
        <v>2168.0627040721665</v>
      </c>
      <c r="H128" s="62">
        <v>1850.9624025547419</v>
      </c>
      <c r="I128" s="62">
        <v>1706.2409236590884</v>
      </c>
      <c r="J128" s="62">
        <v>1857.6303438570158</v>
      </c>
      <c r="K128" s="62">
        <v>1838.0317367747484</v>
      </c>
      <c r="L128" s="62">
        <v>3165.9573252872851</v>
      </c>
      <c r="M128" s="62">
        <v>4762.4919231920649</v>
      </c>
      <c r="N128" s="62">
        <v>5943.4948038182665</v>
      </c>
      <c r="O128" s="62">
        <v>6621.9479859029998</v>
      </c>
      <c r="P128" s="62">
        <v>7686.9438187280502</v>
      </c>
      <c r="Q128" s="62">
        <v>8345.3558679400267</v>
      </c>
      <c r="R128" s="62">
        <v>8152.5472773835936</v>
      </c>
      <c r="S128" s="62">
        <v>7526.7246099234508</v>
      </c>
      <c r="T128" s="62">
        <v>7140.5498670417437</v>
      </c>
      <c r="U128" s="62">
        <v>6844.0254602422829</v>
      </c>
      <c r="V128" s="62">
        <v>6688.6481261290355</v>
      </c>
      <c r="W128" s="62">
        <v>7602.9126274610062</v>
      </c>
      <c r="X128" s="62">
        <v>8863.3317875390421</v>
      </c>
      <c r="Y128" s="62">
        <v>8320.1660977670363</v>
      </c>
      <c r="Z128" s="62">
        <v>7011.2121184368771</v>
      </c>
      <c r="AA128" s="62">
        <v>5509.1769858268599</v>
      </c>
      <c r="AB128" s="62">
        <v>4047.1277374670099</v>
      </c>
      <c r="AC128" s="53">
        <v>129662.96677084282</v>
      </c>
      <c r="AD128" s="105">
        <f>+SUMPRODUCT(AC128:AC130,C128:C130)</f>
        <v>4481873.109886962</v>
      </c>
    </row>
    <row r="129" spans="1:30" ht="15.75" thickBot="1" x14ac:dyDescent="0.3">
      <c r="A129" s="54">
        <v>2029</v>
      </c>
      <c r="B129" s="55">
        <v>7</v>
      </c>
      <c r="C129" s="55">
        <v>20</v>
      </c>
      <c r="D129" s="56" t="s">
        <v>135</v>
      </c>
      <c r="E129" s="62">
        <v>3263.2361226856501</v>
      </c>
      <c r="F129" s="62">
        <v>2671.4513780404577</v>
      </c>
      <c r="G129" s="62">
        <v>2179.881631164586</v>
      </c>
      <c r="H129" s="62">
        <v>1839.7270996221396</v>
      </c>
      <c r="I129" s="62">
        <v>1813.5057528102971</v>
      </c>
      <c r="J129" s="62">
        <v>2491.9862152596907</v>
      </c>
      <c r="K129" s="62">
        <v>3227.1623008593851</v>
      </c>
      <c r="L129" s="62">
        <v>4528.9107708895899</v>
      </c>
      <c r="M129" s="62">
        <v>6015.1714374913608</v>
      </c>
      <c r="N129" s="62">
        <v>6895.5857716954633</v>
      </c>
      <c r="O129" s="62">
        <v>7838.3667019053464</v>
      </c>
      <c r="P129" s="62">
        <v>8793.4967637334303</v>
      </c>
      <c r="Q129" s="62">
        <v>8838.8354354232506</v>
      </c>
      <c r="R129" s="62">
        <v>9031.8078735695417</v>
      </c>
      <c r="S129" s="62">
        <v>9223.1752967480497</v>
      </c>
      <c r="T129" s="62">
        <v>8422.7278021520724</v>
      </c>
      <c r="U129" s="62">
        <v>8122.2535742735599</v>
      </c>
      <c r="V129" s="62">
        <v>8196.1646936087309</v>
      </c>
      <c r="W129" s="62">
        <v>8922.2451941993568</v>
      </c>
      <c r="X129" s="62">
        <v>10014.495994375971</v>
      </c>
      <c r="Y129" s="62">
        <v>9415.5294980144463</v>
      </c>
      <c r="Z129" s="62">
        <v>7918.3554499077654</v>
      </c>
      <c r="AA129" s="62">
        <v>5870.0238236140103</v>
      </c>
      <c r="AB129" s="62">
        <v>4161.7440895360378</v>
      </c>
      <c r="AC129" s="57">
        <v>149695.8406715802</v>
      </c>
      <c r="AD129" s="106"/>
    </row>
    <row r="130" spans="1:30" ht="15.75" thickBot="1" x14ac:dyDescent="0.3">
      <c r="A130" s="58">
        <v>2029</v>
      </c>
      <c r="B130" s="59">
        <v>7</v>
      </c>
      <c r="C130" s="59">
        <v>4</v>
      </c>
      <c r="D130" s="60" t="s">
        <v>136</v>
      </c>
      <c r="E130" s="62">
        <v>2628.7150724744006</v>
      </c>
      <c r="F130" s="62">
        <v>1918.0786373838055</v>
      </c>
      <c r="G130" s="62">
        <v>1457.2145730601569</v>
      </c>
      <c r="H130" s="62">
        <v>1108.6212795641131</v>
      </c>
      <c r="I130" s="62">
        <v>1116.9382565137767</v>
      </c>
      <c r="J130" s="62">
        <v>1311.2002778370697</v>
      </c>
      <c r="K130" s="62">
        <v>1669.1059759389482</v>
      </c>
      <c r="L130" s="62">
        <v>3307.6451374426106</v>
      </c>
      <c r="M130" s="62">
        <v>5498.9938903273178</v>
      </c>
      <c r="N130" s="62">
        <v>6944.0496948476066</v>
      </c>
      <c r="O130" s="62">
        <v>8070.899055612801</v>
      </c>
      <c r="P130" s="62">
        <v>9082.7607383535251</v>
      </c>
      <c r="Q130" s="62">
        <v>9673.2913557583088</v>
      </c>
      <c r="R130" s="62">
        <v>9452.5757918597956</v>
      </c>
      <c r="S130" s="62">
        <v>9048.7267932042378</v>
      </c>
      <c r="T130" s="62">
        <v>8740.2746986803359</v>
      </c>
      <c r="U130" s="62">
        <v>8415.0202903998324</v>
      </c>
      <c r="V130" s="62">
        <v>8085.6515881070227</v>
      </c>
      <c r="W130" s="62">
        <v>8752.5544457707401</v>
      </c>
      <c r="X130" s="62">
        <v>9715.4149920499294</v>
      </c>
      <c r="Y130" s="62">
        <v>9172.8900834505112</v>
      </c>
      <c r="Z130" s="62">
        <v>8173.3439242698696</v>
      </c>
      <c r="AA130" s="62">
        <v>6657.271827450375</v>
      </c>
      <c r="AB130" s="62">
        <v>5077.6438845074372</v>
      </c>
      <c r="AC130" s="61">
        <v>145078.88226486454</v>
      </c>
      <c r="AD130" s="107"/>
    </row>
    <row r="131" spans="1:30" ht="15.75" thickBot="1" x14ac:dyDescent="0.3">
      <c r="A131" s="49">
        <v>2029</v>
      </c>
      <c r="B131" s="50">
        <v>8</v>
      </c>
      <c r="C131" s="50">
        <v>6</v>
      </c>
      <c r="D131" s="51" t="s">
        <v>134</v>
      </c>
      <c r="E131" s="62">
        <v>3451.3906363142814</v>
      </c>
      <c r="F131" s="62">
        <v>2805.8937311026366</v>
      </c>
      <c r="G131" s="62">
        <v>2296.6267523550268</v>
      </c>
      <c r="H131" s="62">
        <v>1988.8469526439749</v>
      </c>
      <c r="I131" s="62">
        <v>1962.5831539430128</v>
      </c>
      <c r="J131" s="62">
        <v>2066.4601556202451</v>
      </c>
      <c r="K131" s="62">
        <v>2343.7566313377483</v>
      </c>
      <c r="L131" s="62">
        <v>3683.301906600369</v>
      </c>
      <c r="M131" s="62">
        <v>5438.6621218818655</v>
      </c>
      <c r="N131" s="62">
        <v>6533.6547823243418</v>
      </c>
      <c r="O131" s="62">
        <v>7280.4967586458697</v>
      </c>
      <c r="P131" s="62">
        <v>8071.3109702140537</v>
      </c>
      <c r="Q131" s="62">
        <v>8504.4251023653778</v>
      </c>
      <c r="R131" s="62">
        <v>8027.0641104269089</v>
      </c>
      <c r="S131" s="62">
        <v>6875.4783324243799</v>
      </c>
      <c r="T131" s="62">
        <v>6489.6383917594103</v>
      </c>
      <c r="U131" s="62">
        <v>6500.0504312001322</v>
      </c>
      <c r="V131" s="62">
        <v>6503.4536215841508</v>
      </c>
      <c r="W131" s="62">
        <v>7667.411504375159</v>
      </c>
      <c r="X131" s="62">
        <v>8786.5969713956692</v>
      </c>
      <c r="Y131" s="62">
        <v>8217.2701441240461</v>
      </c>
      <c r="Z131" s="62">
        <v>6897.5366062995236</v>
      </c>
      <c r="AA131" s="62">
        <v>5264.7472467097396</v>
      </c>
      <c r="AB131" s="62">
        <v>3958.3335375781171</v>
      </c>
      <c r="AC131" s="53">
        <v>131614.99055322606</v>
      </c>
      <c r="AD131" s="105">
        <f>+SUMPRODUCT(AC131:AC133,C131:C133)</f>
        <v>4623381.3015643628</v>
      </c>
    </row>
    <row r="132" spans="1:30" ht="15.75" thickBot="1" x14ac:dyDescent="0.3">
      <c r="A132" s="54">
        <v>2029</v>
      </c>
      <c r="B132" s="55">
        <v>8</v>
      </c>
      <c r="C132" s="55">
        <v>21</v>
      </c>
      <c r="D132" s="56" t="s">
        <v>135</v>
      </c>
      <c r="E132" s="62">
        <v>2990.4348327187581</v>
      </c>
      <c r="F132" s="62">
        <v>2468.5442344012827</v>
      </c>
      <c r="G132" s="62">
        <v>2065.7142807914443</v>
      </c>
      <c r="H132" s="62">
        <v>1772.1759621159727</v>
      </c>
      <c r="I132" s="62">
        <v>1775.4472345305894</v>
      </c>
      <c r="J132" s="62">
        <v>2593.8596095285538</v>
      </c>
      <c r="K132" s="62">
        <v>3558.3119595162752</v>
      </c>
      <c r="L132" s="62">
        <v>4712.327056215232</v>
      </c>
      <c r="M132" s="62">
        <v>6408.9534263522037</v>
      </c>
      <c r="N132" s="62">
        <v>7280.6176813017446</v>
      </c>
      <c r="O132" s="62">
        <v>8261.6497765918284</v>
      </c>
      <c r="P132" s="62">
        <v>9421.3272947379228</v>
      </c>
      <c r="Q132" s="62">
        <v>9386.0935780130712</v>
      </c>
      <c r="R132" s="62">
        <v>9512.4774641359982</v>
      </c>
      <c r="S132" s="62">
        <v>9776.4628029961787</v>
      </c>
      <c r="T132" s="62">
        <v>9691.2079230675663</v>
      </c>
      <c r="U132" s="62">
        <v>9454.4753381786213</v>
      </c>
      <c r="V132" s="62">
        <v>8715.6845301649373</v>
      </c>
      <c r="W132" s="62">
        <v>9205.0462130841879</v>
      </c>
      <c r="X132" s="62">
        <v>10059.288865583272</v>
      </c>
      <c r="Y132" s="62">
        <v>9319.6961019646405</v>
      </c>
      <c r="Z132" s="62">
        <v>7803.0809648819704</v>
      </c>
      <c r="AA132" s="62">
        <v>5662.9937501065542</v>
      </c>
      <c r="AB132" s="62">
        <v>4011.2003613784073</v>
      </c>
      <c r="AC132" s="57">
        <v>155907.07124235723</v>
      </c>
      <c r="AD132" s="106"/>
    </row>
    <row r="133" spans="1:30" ht="15.75" thickBot="1" x14ac:dyDescent="0.3">
      <c r="A133" s="58">
        <v>2029</v>
      </c>
      <c r="B133" s="59">
        <v>8</v>
      </c>
      <c r="C133" s="59">
        <v>4</v>
      </c>
      <c r="D133" s="60" t="s">
        <v>136</v>
      </c>
      <c r="E133" s="62">
        <v>2339.6140869686096</v>
      </c>
      <c r="F133" s="62">
        <v>2182.8477237232419</v>
      </c>
      <c r="G133" s="62">
        <v>1824.8168693629959</v>
      </c>
      <c r="H133" s="62">
        <v>1460.846629780799</v>
      </c>
      <c r="I133" s="62">
        <v>1387.2316596427081</v>
      </c>
      <c r="J133" s="62">
        <v>1565.5750700514818</v>
      </c>
      <c r="K133" s="62">
        <v>2103.3904806133996</v>
      </c>
      <c r="L133" s="62">
        <v>3766.5957344692615</v>
      </c>
      <c r="M133" s="62">
        <v>5700.5046228196916</v>
      </c>
      <c r="N133" s="62">
        <v>6893.0611828387518</v>
      </c>
      <c r="O133" s="62">
        <v>7904.481384133418</v>
      </c>
      <c r="P133" s="62">
        <v>9121.611227941914</v>
      </c>
      <c r="Q133" s="62">
        <v>9408.5209547490849</v>
      </c>
      <c r="R133" s="62">
        <v>9069.8270916477413</v>
      </c>
      <c r="S133" s="62">
        <v>8566.315612344828</v>
      </c>
      <c r="T133" s="62">
        <v>8195.7831743094321</v>
      </c>
      <c r="U133" s="62">
        <v>7785.0410853731446</v>
      </c>
      <c r="V133" s="62">
        <v>7678.2668136983484</v>
      </c>
      <c r="W133" s="62">
        <v>8812.865487970812</v>
      </c>
      <c r="X133" s="62">
        <v>9090.9133982401581</v>
      </c>
      <c r="Y133" s="62">
        <v>8296.0781166511915</v>
      </c>
      <c r="Z133" s="62">
        <v>6970.046595473621</v>
      </c>
      <c r="AA133" s="62">
        <v>5542.3217155514758</v>
      </c>
      <c r="AB133" s="62">
        <v>4244.1588205199696</v>
      </c>
      <c r="AC133" s="61">
        <v>139910.7155388761</v>
      </c>
      <c r="AD133" s="107"/>
    </row>
    <row r="134" spans="1:30" ht="15.75" thickBot="1" x14ac:dyDescent="0.3">
      <c r="A134" s="49">
        <v>2029</v>
      </c>
      <c r="B134" s="50">
        <v>9</v>
      </c>
      <c r="C134" s="50">
        <v>5</v>
      </c>
      <c r="D134" s="51" t="s">
        <v>134</v>
      </c>
      <c r="E134" s="62">
        <v>2583.3508990363753</v>
      </c>
      <c r="F134" s="62">
        <v>1933.4260500092223</v>
      </c>
      <c r="G134" s="62">
        <v>1440.5218251904971</v>
      </c>
      <c r="H134" s="62">
        <v>1128.5389205496922</v>
      </c>
      <c r="I134" s="62">
        <v>989.12192971214427</v>
      </c>
      <c r="J134" s="62">
        <v>1065.7625484226828</v>
      </c>
      <c r="K134" s="62">
        <v>1278.9798178902038</v>
      </c>
      <c r="L134" s="62">
        <v>2707.5949201756739</v>
      </c>
      <c r="M134" s="62">
        <v>4653.3250022936627</v>
      </c>
      <c r="N134" s="62">
        <v>5179.8924247178438</v>
      </c>
      <c r="O134" s="62">
        <v>5802.8931907892656</v>
      </c>
      <c r="P134" s="62">
        <v>6550.6995708874674</v>
      </c>
      <c r="Q134" s="62">
        <v>7301.7920787684889</v>
      </c>
      <c r="R134" s="62">
        <v>7071.5178262130212</v>
      </c>
      <c r="S134" s="62">
        <v>6923.7529003030795</v>
      </c>
      <c r="T134" s="62">
        <v>6267.7999555591232</v>
      </c>
      <c r="U134" s="62">
        <v>5909.6967019906333</v>
      </c>
      <c r="V134" s="62">
        <v>5899.6565169535461</v>
      </c>
      <c r="W134" s="62">
        <v>7508.58153784764</v>
      </c>
      <c r="X134" s="62">
        <v>8091.0579603934166</v>
      </c>
      <c r="Y134" s="62">
        <v>6513.2035952162514</v>
      </c>
      <c r="Z134" s="62">
        <v>5339.9713019897936</v>
      </c>
      <c r="AA134" s="62">
        <v>4056.1537733950572</v>
      </c>
      <c r="AB134" s="62">
        <v>2960.3478308347821</v>
      </c>
      <c r="AC134" s="53">
        <v>109157.63907913955</v>
      </c>
      <c r="AD134" s="105">
        <f>+SUMPRODUCT(AC134:AC136,C134:C136)</f>
        <v>4328073.6339276135</v>
      </c>
    </row>
    <row r="135" spans="1:30" ht="15.75" thickBot="1" x14ac:dyDescent="0.3">
      <c r="A135" s="54">
        <v>2029</v>
      </c>
      <c r="B135" s="55">
        <v>9</v>
      </c>
      <c r="C135" s="55">
        <v>20</v>
      </c>
      <c r="D135" s="56" t="s">
        <v>135</v>
      </c>
      <c r="E135" s="62">
        <v>3053.9933621874461</v>
      </c>
      <c r="F135" s="62">
        <v>2457.2895442211702</v>
      </c>
      <c r="G135" s="62">
        <v>2043.7490794475598</v>
      </c>
      <c r="H135" s="62">
        <v>1720.1751089065347</v>
      </c>
      <c r="I135" s="62">
        <v>1653.9944606153986</v>
      </c>
      <c r="J135" s="62">
        <v>2451.3047647302355</v>
      </c>
      <c r="K135" s="62">
        <v>3438.8038378906531</v>
      </c>
      <c r="L135" s="62">
        <v>4701.8154960550819</v>
      </c>
      <c r="M135" s="62">
        <v>6314.0286251766483</v>
      </c>
      <c r="N135" s="62">
        <v>7031.2855197141762</v>
      </c>
      <c r="O135" s="62">
        <v>7898.8045684257377</v>
      </c>
      <c r="P135" s="62">
        <v>9208.784988763462</v>
      </c>
      <c r="Q135" s="62">
        <v>9323.6236780078907</v>
      </c>
      <c r="R135" s="62">
        <v>9402.7153280534185</v>
      </c>
      <c r="S135" s="62">
        <v>9576.7669134793541</v>
      </c>
      <c r="T135" s="62">
        <v>9497.3525854921318</v>
      </c>
      <c r="U135" s="62">
        <v>9286.5799515247381</v>
      </c>
      <c r="V135" s="62">
        <v>8763.5572513389379</v>
      </c>
      <c r="W135" s="62">
        <v>9658.7330861888659</v>
      </c>
      <c r="X135" s="62">
        <v>10268.454867671666</v>
      </c>
      <c r="Y135" s="62">
        <v>9641.4862489808111</v>
      </c>
      <c r="Z135" s="62">
        <v>8198.7477577028476</v>
      </c>
      <c r="AA135" s="62">
        <v>6252.2026352191169</v>
      </c>
      <c r="AB135" s="62">
        <v>4533.6205152710172</v>
      </c>
      <c r="AC135" s="57">
        <v>156377.87017506489</v>
      </c>
      <c r="AD135" s="106"/>
    </row>
    <row r="136" spans="1:30" ht="15.75" thickBot="1" x14ac:dyDescent="0.3">
      <c r="A136" s="58">
        <v>2029</v>
      </c>
      <c r="B136" s="59">
        <v>9</v>
      </c>
      <c r="C136" s="59">
        <v>5</v>
      </c>
      <c r="D136" s="60" t="s">
        <v>136</v>
      </c>
      <c r="E136" s="62">
        <v>3488.6718188801497</v>
      </c>
      <c r="F136" s="62">
        <v>2724.0303760591651</v>
      </c>
      <c r="G136" s="62">
        <v>2308.0154972556247</v>
      </c>
      <c r="H136" s="62">
        <v>1901.5855411962566</v>
      </c>
      <c r="I136" s="62">
        <v>1786.6910876470101</v>
      </c>
      <c r="J136" s="62">
        <v>1902.760963503888</v>
      </c>
      <c r="K136" s="62">
        <v>2434.7210987835206</v>
      </c>
      <c r="L136" s="62">
        <v>4002.0775130209913</v>
      </c>
      <c r="M136" s="62">
        <v>5921.2144385673273</v>
      </c>
      <c r="N136" s="62">
        <v>6956.0245448822243</v>
      </c>
      <c r="O136" s="62">
        <v>7291.1876002424906</v>
      </c>
      <c r="P136" s="62">
        <v>8183.6869892358918</v>
      </c>
      <c r="Q136" s="62">
        <v>6708.6550740280945</v>
      </c>
      <c r="R136" s="62">
        <v>7821.2892143864992</v>
      </c>
      <c r="S136" s="62">
        <v>7243.1122124560061</v>
      </c>
      <c r="T136" s="62">
        <v>6937.6208778090659</v>
      </c>
      <c r="U136" s="62">
        <v>6577.1185483562731</v>
      </c>
      <c r="V136" s="62">
        <v>6720.4954537133526</v>
      </c>
      <c r="W136" s="62">
        <v>8131.6653210579534</v>
      </c>
      <c r="X136" s="62">
        <v>8473.73013619837</v>
      </c>
      <c r="Y136" s="62">
        <v>7851.0055519151647</v>
      </c>
      <c r="Z136" s="62">
        <v>6745.4024062503231</v>
      </c>
      <c r="AA136" s="62">
        <v>5076.4442724137916</v>
      </c>
      <c r="AB136" s="62">
        <v>3758.4004682641389</v>
      </c>
      <c r="AC136" s="61">
        <v>130945.60700612357</v>
      </c>
      <c r="AD136" s="107"/>
    </row>
    <row r="137" spans="1:30" ht="15.75" thickBot="1" x14ac:dyDescent="0.3">
      <c r="A137" s="49">
        <v>2029</v>
      </c>
      <c r="B137" s="50">
        <v>10</v>
      </c>
      <c r="C137" s="50">
        <v>5</v>
      </c>
      <c r="D137" s="51" t="s">
        <v>134</v>
      </c>
      <c r="E137" s="62">
        <v>3305.8483867314717</v>
      </c>
      <c r="F137" s="62">
        <v>2854.5169112977092</v>
      </c>
      <c r="G137" s="62">
        <v>2418.6686908790798</v>
      </c>
      <c r="H137" s="62">
        <v>2104.5727289441293</v>
      </c>
      <c r="I137" s="62">
        <v>1971.7641674936604</v>
      </c>
      <c r="J137" s="62">
        <v>2018.4250500639118</v>
      </c>
      <c r="K137" s="62">
        <v>2303.64091651948</v>
      </c>
      <c r="L137" s="62">
        <v>3587.1012384154747</v>
      </c>
      <c r="M137" s="62">
        <v>4508.964155290756</v>
      </c>
      <c r="N137" s="62">
        <v>5439.8269340576771</v>
      </c>
      <c r="O137" s="62">
        <v>7247.161058667778</v>
      </c>
      <c r="P137" s="62">
        <v>8115.093873506903</v>
      </c>
      <c r="Q137" s="62">
        <v>8536.0231221711874</v>
      </c>
      <c r="R137" s="62">
        <v>8160.4098592523333</v>
      </c>
      <c r="S137" s="62">
        <v>7190.2583697542977</v>
      </c>
      <c r="T137" s="62">
        <v>6591.7532188197401</v>
      </c>
      <c r="U137" s="62">
        <v>6289.8512487353619</v>
      </c>
      <c r="V137" s="62">
        <v>6076.4401014178402</v>
      </c>
      <c r="W137" s="62">
        <v>7355.5034447412327</v>
      </c>
      <c r="X137" s="62">
        <v>7768.7842443116824</v>
      </c>
      <c r="Y137" s="62">
        <v>7423.4624366215103</v>
      </c>
      <c r="Z137" s="62">
        <v>6479.1337480766706</v>
      </c>
      <c r="AA137" s="62">
        <v>5054.5022649968523</v>
      </c>
      <c r="AB137" s="62">
        <v>3825.5910625709148</v>
      </c>
      <c r="AC137" s="53">
        <v>126627.29723333768</v>
      </c>
      <c r="AD137" s="105">
        <f>+SUMPRODUCT(AC137:AC139,C137:C139)</f>
        <v>4587286.6382261319</v>
      </c>
    </row>
    <row r="138" spans="1:30" ht="15.75" thickBot="1" x14ac:dyDescent="0.3">
      <c r="A138" s="54">
        <v>2029</v>
      </c>
      <c r="B138" s="55">
        <v>10</v>
      </c>
      <c r="C138" s="55">
        <v>22</v>
      </c>
      <c r="D138" s="56" t="s">
        <v>135</v>
      </c>
      <c r="E138" s="62">
        <v>3092.140110226559</v>
      </c>
      <c r="F138" s="62">
        <v>2634.0061933672259</v>
      </c>
      <c r="G138" s="62">
        <v>2187.125649509846</v>
      </c>
      <c r="H138" s="62">
        <v>1873.1584377607214</v>
      </c>
      <c r="I138" s="62">
        <v>1867.2907302203457</v>
      </c>
      <c r="J138" s="62">
        <v>2532.3024210100357</v>
      </c>
      <c r="K138" s="62">
        <v>3452.5183806985187</v>
      </c>
      <c r="L138" s="62">
        <v>4909.7549764137184</v>
      </c>
      <c r="M138" s="62">
        <v>6544.8961891468098</v>
      </c>
      <c r="N138" s="62">
        <v>7163.4509265440029</v>
      </c>
      <c r="O138" s="62">
        <v>7911.7741748461231</v>
      </c>
      <c r="P138" s="62">
        <v>8812.043126719429</v>
      </c>
      <c r="Q138" s="62">
        <v>8852.8295716037828</v>
      </c>
      <c r="R138" s="62">
        <v>8898.4918069744635</v>
      </c>
      <c r="S138" s="62">
        <v>8488.2005664368771</v>
      </c>
      <c r="T138" s="62">
        <v>8801.1752689426539</v>
      </c>
      <c r="U138" s="62">
        <v>8744.0295950323853</v>
      </c>
      <c r="V138" s="62">
        <v>8664.96492298456</v>
      </c>
      <c r="W138" s="62">
        <v>9915.4726803748381</v>
      </c>
      <c r="X138" s="62">
        <v>10213.541090267918</v>
      </c>
      <c r="Y138" s="62">
        <v>9433.0048174695912</v>
      </c>
      <c r="Z138" s="62">
        <v>8068.5879704429171</v>
      </c>
      <c r="AA138" s="62">
        <v>6226.7368694420511</v>
      </c>
      <c r="AB138" s="62">
        <v>4572.5692071388876</v>
      </c>
      <c r="AC138" s="57">
        <v>153860.06568357427</v>
      </c>
      <c r="AD138" s="106"/>
    </row>
    <row r="139" spans="1:30" ht="15.75" thickBot="1" x14ac:dyDescent="0.3">
      <c r="A139" s="58">
        <v>2029</v>
      </c>
      <c r="B139" s="59">
        <v>10</v>
      </c>
      <c r="C139" s="59">
        <v>4</v>
      </c>
      <c r="D139" s="60" t="s">
        <v>136</v>
      </c>
      <c r="E139" s="62">
        <v>3184.3807482956217</v>
      </c>
      <c r="F139" s="62">
        <v>2486.0507839654219</v>
      </c>
      <c r="G139" s="62">
        <v>1315.4455554006254</v>
      </c>
      <c r="H139" s="62">
        <v>986.09874996781946</v>
      </c>
      <c r="I139" s="62">
        <v>844.60933031471541</v>
      </c>
      <c r="J139" s="62">
        <v>1015.9837620870421</v>
      </c>
      <c r="K139" s="62">
        <v>1647.5770786491212</v>
      </c>
      <c r="L139" s="62">
        <v>3198.2238542002469</v>
      </c>
      <c r="M139" s="62">
        <v>5157.3887333142993</v>
      </c>
      <c r="N139" s="62">
        <v>7418.7791979324284</v>
      </c>
      <c r="O139" s="62">
        <v>8169.2864038787338</v>
      </c>
      <c r="P139" s="62">
        <v>9287.7127811639548</v>
      </c>
      <c r="Q139" s="62">
        <v>9495.261180261241</v>
      </c>
      <c r="R139" s="62">
        <v>9139.7203210626321</v>
      </c>
      <c r="S139" s="62">
        <v>8747.8686731434827</v>
      </c>
      <c r="T139" s="62">
        <v>8417.4031515939678</v>
      </c>
      <c r="U139" s="62">
        <v>8068.2687530349358</v>
      </c>
      <c r="V139" s="62">
        <v>7986.5557962741841</v>
      </c>
      <c r="W139" s="62">
        <v>9456.8481710393862</v>
      </c>
      <c r="X139" s="62">
        <v>9112.2932650732182</v>
      </c>
      <c r="Y139" s="62">
        <v>8876.1025140611673</v>
      </c>
      <c r="Z139" s="62">
        <v>7789.236808575024</v>
      </c>
      <c r="AA139" s="62">
        <v>6248.5103890343817</v>
      </c>
      <c r="AB139" s="62">
        <v>4257.5707528787752</v>
      </c>
      <c r="AC139" s="61">
        <v>142307.17675520241</v>
      </c>
      <c r="AD139" s="107"/>
    </row>
    <row r="140" spans="1:30" ht="15.75" thickBot="1" x14ac:dyDescent="0.3">
      <c r="A140" s="49">
        <v>2029</v>
      </c>
      <c r="B140" s="50">
        <v>11</v>
      </c>
      <c r="C140" s="50">
        <v>6</v>
      </c>
      <c r="D140" s="51" t="s">
        <v>134</v>
      </c>
      <c r="E140" s="62">
        <v>3153.3711936289619</v>
      </c>
      <c r="F140" s="62">
        <v>2410.4193238317712</v>
      </c>
      <c r="G140" s="62">
        <v>1802.7546802075049</v>
      </c>
      <c r="H140" s="62">
        <v>1615.2163579221451</v>
      </c>
      <c r="I140" s="62">
        <v>1405.3991206089595</v>
      </c>
      <c r="J140" s="62">
        <v>1560.4026533848464</v>
      </c>
      <c r="K140" s="62">
        <v>1720.0254102641393</v>
      </c>
      <c r="L140" s="62">
        <v>3061.2086954753686</v>
      </c>
      <c r="M140" s="62">
        <v>4767.3324479844741</v>
      </c>
      <c r="N140" s="62">
        <v>5743.1563256670088</v>
      </c>
      <c r="O140" s="62">
        <v>6431.342369810427</v>
      </c>
      <c r="P140" s="62">
        <v>7371.6161764780591</v>
      </c>
      <c r="Q140" s="62">
        <v>7916.3505566516542</v>
      </c>
      <c r="R140" s="62">
        <v>7663.7600658504525</v>
      </c>
      <c r="S140" s="62">
        <v>6688.4704729817604</v>
      </c>
      <c r="T140" s="62">
        <v>6163.7483779638133</v>
      </c>
      <c r="U140" s="62">
        <v>5886.501350305356</v>
      </c>
      <c r="V140" s="62">
        <v>6187.4451608377494</v>
      </c>
      <c r="W140" s="62">
        <v>8244.7093806260309</v>
      </c>
      <c r="X140" s="62">
        <v>8340.2397229728012</v>
      </c>
      <c r="Y140" s="62">
        <v>7892.62004092797</v>
      </c>
      <c r="Z140" s="62">
        <v>6716.3098674367684</v>
      </c>
      <c r="AA140" s="62">
        <v>5193.4784507697987</v>
      </c>
      <c r="AB140" s="62">
        <v>3729.3073716685212</v>
      </c>
      <c r="AC140" s="53">
        <v>121665.18557425635</v>
      </c>
      <c r="AD140" s="105">
        <f>+SUMPRODUCT(AC140:AC142,C140:C142)</f>
        <v>4127263.7708041565</v>
      </c>
    </row>
    <row r="141" spans="1:30" ht="15.75" thickBot="1" x14ac:dyDescent="0.3">
      <c r="A141" s="54">
        <v>2029</v>
      </c>
      <c r="B141" s="55">
        <v>11</v>
      </c>
      <c r="C141" s="55">
        <v>20</v>
      </c>
      <c r="D141" s="56" t="s">
        <v>135</v>
      </c>
      <c r="E141" s="62">
        <v>2941.4232569431533</v>
      </c>
      <c r="F141" s="62">
        <v>2273.6470669899736</v>
      </c>
      <c r="G141" s="62">
        <v>1866.6247893113723</v>
      </c>
      <c r="H141" s="62">
        <v>1517.0077615966493</v>
      </c>
      <c r="I141" s="62">
        <v>1468.6252298360196</v>
      </c>
      <c r="J141" s="62">
        <v>2117.6113690137172</v>
      </c>
      <c r="K141" s="62">
        <v>3113.6945600866002</v>
      </c>
      <c r="L141" s="62">
        <v>4520.7935044628466</v>
      </c>
      <c r="M141" s="62">
        <v>6012.0964536073152</v>
      </c>
      <c r="N141" s="62">
        <v>7057.8803948675413</v>
      </c>
      <c r="O141" s="62">
        <v>7737.103231956371</v>
      </c>
      <c r="P141" s="62">
        <v>8653.4557936633755</v>
      </c>
      <c r="Q141" s="62">
        <v>8617.8247411393641</v>
      </c>
      <c r="R141" s="62">
        <v>8635.0693406087885</v>
      </c>
      <c r="S141" s="62">
        <v>8476.0367789587071</v>
      </c>
      <c r="T141" s="62">
        <v>8460.1164217625737</v>
      </c>
      <c r="U141" s="62">
        <v>8203.1468237731606</v>
      </c>
      <c r="V141" s="62">
        <v>8000.4909038192091</v>
      </c>
      <c r="W141" s="62">
        <v>9363.3226076237916</v>
      </c>
      <c r="X141" s="62">
        <v>9270.3595952692885</v>
      </c>
      <c r="Y141" s="62">
        <v>8540.4521130516405</v>
      </c>
      <c r="Z141" s="62">
        <v>7164.4643283151272</v>
      </c>
      <c r="AA141" s="62">
        <v>5456.5575771175754</v>
      </c>
      <c r="AB141" s="62">
        <v>3893.3556684782525</v>
      </c>
      <c r="AC141" s="57">
        <v>143361.16031225241</v>
      </c>
      <c r="AD141" s="106"/>
    </row>
    <row r="142" spans="1:30" ht="15.75" thickBot="1" x14ac:dyDescent="0.3">
      <c r="A142" s="58">
        <v>2029</v>
      </c>
      <c r="B142" s="59">
        <v>11</v>
      </c>
      <c r="C142" s="59">
        <v>4</v>
      </c>
      <c r="D142" s="60" t="s">
        <v>136</v>
      </c>
      <c r="E142" s="62">
        <v>2663.1646551664708</v>
      </c>
      <c r="F142" s="62">
        <v>2054.75268181098</v>
      </c>
      <c r="G142" s="62">
        <v>1545.5967850159977</v>
      </c>
      <c r="H142" s="62">
        <v>809.15686446531436</v>
      </c>
      <c r="I142" s="62">
        <v>816.37148234533925</v>
      </c>
      <c r="J142" s="62">
        <v>1432.7354546492606</v>
      </c>
      <c r="K142" s="62">
        <v>1922.771658905358</v>
      </c>
      <c r="L142" s="62">
        <v>3436.7589026424466</v>
      </c>
      <c r="M142" s="62">
        <v>5526.1784649034234</v>
      </c>
      <c r="N142" s="62">
        <v>6626.0504629545321</v>
      </c>
      <c r="O142" s="62">
        <v>7433.6814054810675</v>
      </c>
      <c r="P142" s="62">
        <v>8215.9331944130718</v>
      </c>
      <c r="Q142" s="62">
        <v>8559.5553193762062</v>
      </c>
      <c r="R142" s="62">
        <v>8256.6941935071627</v>
      </c>
      <c r="S142" s="62">
        <v>7818.7076684666936</v>
      </c>
      <c r="T142" s="62">
        <v>7426.9367247586342</v>
      </c>
      <c r="U142" s="62">
        <v>6947.9319450527182</v>
      </c>
      <c r="V142" s="62">
        <v>7263.8952754671591</v>
      </c>
      <c r="W142" s="62">
        <v>9021.9225407441445</v>
      </c>
      <c r="X142" s="62">
        <v>8981.8085012057709</v>
      </c>
      <c r="Y142" s="62">
        <v>8355.6331580019869</v>
      </c>
      <c r="Z142" s="62">
        <v>7181.2028917835341</v>
      </c>
      <c r="AA142" s="62">
        <v>5865.447621832318</v>
      </c>
      <c r="AB142" s="62">
        <v>4349.474925442988</v>
      </c>
      <c r="AC142" s="61">
        <v>132512.36277839256</v>
      </c>
      <c r="AD142" s="107"/>
    </row>
    <row r="143" spans="1:30" ht="15.75" thickBot="1" x14ac:dyDescent="0.3">
      <c r="A143" s="49">
        <v>2029</v>
      </c>
      <c r="B143" s="50">
        <v>12</v>
      </c>
      <c r="C143" s="50">
        <v>7</v>
      </c>
      <c r="D143" s="51" t="s">
        <v>134</v>
      </c>
      <c r="E143" s="62">
        <v>4388.3469518360434</v>
      </c>
      <c r="F143" s="62">
        <v>3490.9668683230884</v>
      </c>
      <c r="G143" s="62">
        <v>2927.0833612681417</v>
      </c>
      <c r="H143" s="62">
        <v>2513.9257534530261</v>
      </c>
      <c r="I143" s="62">
        <v>2277.8940937798761</v>
      </c>
      <c r="J143" s="62">
        <v>2288.5431881626464</v>
      </c>
      <c r="K143" s="62">
        <v>2489.5265643569073</v>
      </c>
      <c r="L143" s="62">
        <v>3566.6416906093509</v>
      </c>
      <c r="M143" s="62">
        <v>4967.5205287595709</v>
      </c>
      <c r="N143" s="62">
        <v>5951.9269348756607</v>
      </c>
      <c r="O143" s="62">
        <v>6642.8439895916417</v>
      </c>
      <c r="P143" s="62">
        <v>7339.7625158298397</v>
      </c>
      <c r="Q143" s="62">
        <v>7902.4760849251325</v>
      </c>
      <c r="R143" s="62">
        <v>7915.5282052875446</v>
      </c>
      <c r="S143" s="62">
        <v>7321.6816564533365</v>
      </c>
      <c r="T143" s="62">
        <v>6802.2181234082636</v>
      </c>
      <c r="U143" s="62">
        <v>6491.4799423737968</v>
      </c>
      <c r="V143" s="62">
        <v>6611.0041723354407</v>
      </c>
      <c r="W143" s="62">
        <v>8290.6406714979457</v>
      </c>
      <c r="X143" s="62">
        <v>8644.0760485808642</v>
      </c>
      <c r="Y143" s="62">
        <v>8235.2137527634586</v>
      </c>
      <c r="Z143" s="62">
        <v>7364.1151733025545</v>
      </c>
      <c r="AA143" s="62">
        <v>6071.0213012687927</v>
      </c>
      <c r="AB143" s="62">
        <v>4656.226184035957</v>
      </c>
      <c r="AC143" s="53">
        <v>135150.6637570789</v>
      </c>
      <c r="AD143" s="105">
        <f>+SUMPRODUCT(AC143:AC145,C143:C145)</f>
        <v>4778065.7833570689</v>
      </c>
    </row>
    <row r="144" spans="1:30" ht="15.75" thickBot="1" x14ac:dyDescent="0.3">
      <c r="A144" s="54">
        <v>2029</v>
      </c>
      <c r="B144" s="55">
        <v>12</v>
      </c>
      <c r="C144" s="55">
        <v>20</v>
      </c>
      <c r="D144" s="56" t="s">
        <v>135</v>
      </c>
      <c r="E144" s="62">
        <v>3982.7294966472073</v>
      </c>
      <c r="F144" s="62">
        <v>3295.9013482709925</v>
      </c>
      <c r="G144" s="62">
        <v>2779.8356372914786</v>
      </c>
      <c r="H144" s="62">
        <v>2435.2990560145772</v>
      </c>
      <c r="I144" s="62">
        <v>2373.5212375942392</v>
      </c>
      <c r="J144" s="62">
        <v>2779.5822198850274</v>
      </c>
      <c r="K144" s="62">
        <v>3487.2453363258646</v>
      </c>
      <c r="L144" s="62">
        <v>5147.9588317146299</v>
      </c>
      <c r="M144" s="62">
        <v>6525.6112021824774</v>
      </c>
      <c r="N144" s="62">
        <v>7130.0526111122708</v>
      </c>
      <c r="O144" s="62">
        <v>8760.5410414143043</v>
      </c>
      <c r="P144" s="62">
        <v>8555.1973999754337</v>
      </c>
      <c r="Q144" s="62">
        <v>9048.611072465188</v>
      </c>
      <c r="R144" s="62">
        <v>8729.0253185784786</v>
      </c>
      <c r="S144" s="62">
        <v>8659.1664795326797</v>
      </c>
      <c r="T144" s="62">
        <v>9091.42122592128</v>
      </c>
      <c r="U144" s="62">
        <v>8843.0045466926094</v>
      </c>
      <c r="V144" s="62">
        <v>9000.8816588841655</v>
      </c>
      <c r="W144" s="62">
        <v>10353.021304408765</v>
      </c>
      <c r="X144" s="62">
        <v>10429.598441762242</v>
      </c>
      <c r="Y144" s="62">
        <v>9714.5504780539341</v>
      </c>
      <c r="Z144" s="62">
        <v>8436.6907910040281</v>
      </c>
      <c r="AA144" s="62">
        <v>6787.878575592822</v>
      </c>
      <c r="AB144" s="62">
        <v>5199.9667168070737</v>
      </c>
      <c r="AC144" s="57">
        <v>161547.29202813178</v>
      </c>
      <c r="AD144" s="106"/>
    </row>
    <row r="145" spans="1:30" ht="15.75" thickBot="1" x14ac:dyDescent="0.3">
      <c r="A145" s="58">
        <v>2029</v>
      </c>
      <c r="B145" s="59">
        <v>12</v>
      </c>
      <c r="C145" s="59">
        <v>4</v>
      </c>
      <c r="D145" s="60" t="s">
        <v>136</v>
      </c>
      <c r="E145" s="62">
        <v>3866.9045472253965</v>
      </c>
      <c r="F145" s="62">
        <v>3051.290135666819</v>
      </c>
      <c r="G145" s="62">
        <v>2572.2501271051078</v>
      </c>
      <c r="H145" s="62">
        <v>2146.8716237403532</v>
      </c>
      <c r="I145" s="62">
        <v>1969.1251592676908</v>
      </c>
      <c r="J145" s="62">
        <v>2099.4201837009878</v>
      </c>
      <c r="K145" s="62">
        <v>2680.3470771969132</v>
      </c>
      <c r="L145" s="62">
        <v>4053.353196405722</v>
      </c>
      <c r="M145" s="62">
        <v>6002.347495874903</v>
      </c>
      <c r="N145" s="62">
        <v>7095.1115680059411</v>
      </c>
      <c r="O145" s="62">
        <v>7818.7789083973475</v>
      </c>
      <c r="P145" s="62">
        <v>8524.3623636909542</v>
      </c>
      <c r="Q145" s="62">
        <v>8709.4604122220226</v>
      </c>
      <c r="R145" s="62">
        <v>8500.5388473695784</v>
      </c>
      <c r="S145" s="62">
        <v>8196.0365728990691</v>
      </c>
      <c r="T145" s="62">
        <v>8014.976837170725</v>
      </c>
      <c r="U145" s="62">
        <v>7817.1467218449288</v>
      </c>
      <c r="V145" s="62">
        <v>8009.751479602608</v>
      </c>
      <c r="W145" s="62">
        <v>9652.3364767182356</v>
      </c>
      <c r="X145" s="62">
        <v>9935.7316114540845</v>
      </c>
      <c r="Y145" s="62">
        <v>9169.3087396477822</v>
      </c>
      <c r="Z145" s="62">
        <v>8082.4900082024978</v>
      </c>
      <c r="AA145" s="62">
        <v>6845.6770421050351</v>
      </c>
      <c r="AB145" s="62">
        <v>5452.7069882055112</v>
      </c>
      <c r="AC145" s="61">
        <v>150266.32412372023</v>
      </c>
      <c r="AD145" s="107"/>
    </row>
    <row r="146" spans="1:30" ht="15.75" thickBot="1" x14ac:dyDescent="0.3">
      <c r="A146" s="49">
        <v>2030</v>
      </c>
      <c r="B146" s="50">
        <v>1</v>
      </c>
      <c r="C146" s="50">
        <v>6</v>
      </c>
      <c r="D146" s="51" t="s">
        <v>134</v>
      </c>
      <c r="E146" s="62">
        <v>5008.5107694967992</v>
      </c>
      <c r="F146" s="62">
        <v>4240.4594755652943</v>
      </c>
      <c r="G146" s="62">
        <v>3633.2057837165376</v>
      </c>
      <c r="H146" s="62">
        <v>3274.7064226198036</v>
      </c>
      <c r="I146" s="62">
        <v>3100.1139553960638</v>
      </c>
      <c r="J146" s="62">
        <v>3104.0822825537434</v>
      </c>
      <c r="K146" s="62">
        <v>2958.4166061662199</v>
      </c>
      <c r="L146" s="62">
        <v>3779.0085945198807</v>
      </c>
      <c r="M146" s="62">
        <v>5006.5330340936998</v>
      </c>
      <c r="N146" s="62">
        <v>6100.8196037133202</v>
      </c>
      <c r="O146" s="62">
        <v>6635.5024055297799</v>
      </c>
      <c r="P146" s="62">
        <v>7364.5775272160499</v>
      </c>
      <c r="Q146" s="62">
        <v>7910.3082204066923</v>
      </c>
      <c r="R146" s="62">
        <v>7865.1256444831561</v>
      </c>
      <c r="S146" s="62">
        <v>7143.5393475355995</v>
      </c>
      <c r="T146" s="62">
        <v>6829.9793630468521</v>
      </c>
      <c r="U146" s="62">
        <v>6574.5429436116538</v>
      </c>
      <c r="V146" s="62">
        <v>6449.3702914876449</v>
      </c>
      <c r="W146" s="62">
        <v>8198.1169328754731</v>
      </c>
      <c r="X146" s="62">
        <v>9605.7192163056716</v>
      </c>
      <c r="Y146" s="62">
        <v>9478.7006063812587</v>
      </c>
      <c r="Z146" s="62">
        <v>8460.5364938910498</v>
      </c>
      <c r="AA146" s="62">
        <v>7074.2436130435271</v>
      </c>
      <c r="AB146" s="62">
        <v>5794.8287961600472</v>
      </c>
      <c r="AC146" s="53">
        <v>145590.94792981583</v>
      </c>
      <c r="AD146" s="105">
        <f>+SUMPRODUCT(AC146:AC148,C146:C148)</f>
        <v>5450346.8476212583</v>
      </c>
    </row>
    <row r="147" spans="1:30" ht="15.75" thickBot="1" x14ac:dyDescent="0.3">
      <c r="A147" s="54">
        <v>2030</v>
      </c>
      <c r="B147" s="55">
        <v>1</v>
      </c>
      <c r="C147" s="55">
        <v>21</v>
      </c>
      <c r="D147" s="56" t="s">
        <v>135</v>
      </c>
      <c r="E147" s="62">
        <v>5076.3784109846201</v>
      </c>
      <c r="F147" s="62">
        <v>4356.1042431563183</v>
      </c>
      <c r="G147" s="62">
        <v>3772.9404247948296</v>
      </c>
      <c r="H147" s="62">
        <v>3396.1883715329859</v>
      </c>
      <c r="I147" s="62">
        <v>3335.8452178019052</v>
      </c>
      <c r="J147" s="62">
        <v>3765.5629064492241</v>
      </c>
      <c r="K147" s="62">
        <v>4265.0674503945302</v>
      </c>
      <c r="L147" s="62">
        <v>5578.5243718958518</v>
      </c>
      <c r="M147" s="62">
        <v>7446.0775730204768</v>
      </c>
      <c r="N147" s="62">
        <v>8396.4188827631333</v>
      </c>
      <c r="O147" s="62">
        <v>9169.7215111861005</v>
      </c>
      <c r="P147" s="62">
        <v>10247.740195083916</v>
      </c>
      <c r="Q147" s="62">
        <v>10373.243817001065</v>
      </c>
      <c r="R147" s="62">
        <v>10245.168652009172</v>
      </c>
      <c r="S147" s="62">
        <v>10181.994379826843</v>
      </c>
      <c r="T147" s="62">
        <v>10018.666610868077</v>
      </c>
      <c r="U147" s="62">
        <v>9890.8571505414038</v>
      </c>
      <c r="V147" s="62">
        <v>9328.4893958153698</v>
      </c>
      <c r="W147" s="62">
        <v>10175.367392882745</v>
      </c>
      <c r="X147" s="62">
        <v>11148.494639837809</v>
      </c>
      <c r="Y147" s="62">
        <v>10796.160140440716</v>
      </c>
      <c r="Z147" s="62">
        <v>9622.6400898909269</v>
      </c>
      <c r="AA147" s="62">
        <v>7945.3020084721174</v>
      </c>
      <c r="AB147" s="62">
        <v>6365.0276493953279</v>
      </c>
      <c r="AC147" s="57">
        <v>184897.98148604546</v>
      </c>
      <c r="AD147" s="106"/>
    </row>
    <row r="148" spans="1:30" ht="15.75" thickBot="1" x14ac:dyDescent="0.3">
      <c r="A148" s="58">
        <v>2030</v>
      </c>
      <c r="B148" s="59">
        <v>1</v>
      </c>
      <c r="C148" s="59">
        <v>4</v>
      </c>
      <c r="D148" s="60" t="s">
        <v>136</v>
      </c>
      <c r="E148" s="62">
        <v>4825.7974712131472</v>
      </c>
      <c r="F148" s="62">
        <v>4062.1127165439975</v>
      </c>
      <c r="G148" s="62">
        <v>3664.5500423728954</v>
      </c>
      <c r="H148" s="62">
        <v>3324.0154005142103</v>
      </c>
      <c r="I148" s="62">
        <v>3002.0252312407374</v>
      </c>
      <c r="J148" s="62">
        <v>3115.343352964901</v>
      </c>
      <c r="K148" s="62">
        <v>3238.9666685001102</v>
      </c>
      <c r="L148" s="62">
        <v>4624.8331884985346</v>
      </c>
      <c r="M148" s="62">
        <v>6580.8727535782637</v>
      </c>
      <c r="N148" s="62">
        <v>7593.5157117284107</v>
      </c>
      <c r="O148" s="62">
        <v>8489.8985291010686</v>
      </c>
      <c r="P148" s="62">
        <v>9490.2305191242667</v>
      </c>
      <c r="Q148" s="62">
        <v>9941.1380128040219</v>
      </c>
      <c r="R148" s="62">
        <v>9816.8352696642287</v>
      </c>
      <c r="S148" s="62">
        <v>9511.2407612696334</v>
      </c>
      <c r="T148" s="62">
        <v>9265.5675414940197</v>
      </c>
      <c r="U148" s="62">
        <v>8891.1574194750683</v>
      </c>
      <c r="V148" s="62">
        <v>8670.8928416007657</v>
      </c>
      <c r="W148" s="62">
        <v>9888.7505685563592</v>
      </c>
      <c r="X148" s="62">
        <v>10893.274529374296</v>
      </c>
      <c r="Y148" s="62">
        <v>10506.132454181527</v>
      </c>
      <c r="Z148" s="62">
        <v>9527.5356458052447</v>
      </c>
      <c r="AA148" s="62">
        <v>8001.6550256674018</v>
      </c>
      <c r="AB148" s="62">
        <v>6559.5455535790861</v>
      </c>
      <c r="AC148" s="61">
        <v>173485.88720885216</v>
      </c>
      <c r="AD148" s="107"/>
    </row>
    <row r="149" spans="1:30" ht="15.75" thickBot="1" x14ac:dyDescent="0.3">
      <c r="A149" s="49">
        <v>2030</v>
      </c>
      <c r="B149" s="50">
        <v>2</v>
      </c>
      <c r="C149" s="50">
        <v>4</v>
      </c>
      <c r="D149" s="51" t="s">
        <v>134</v>
      </c>
      <c r="E149" s="62">
        <v>4006.7869427668484</v>
      </c>
      <c r="F149" s="62">
        <v>3299.3040866640767</v>
      </c>
      <c r="G149" s="62">
        <v>2771.7374792987921</v>
      </c>
      <c r="H149" s="62">
        <v>2304.6762567342394</v>
      </c>
      <c r="I149" s="62">
        <v>1688.1289911753829</v>
      </c>
      <c r="J149" s="62">
        <v>1561.3067547117353</v>
      </c>
      <c r="K149" s="62">
        <v>1835.0612799848532</v>
      </c>
      <c r="L149" s="62">
        <v>3142.2710600912815</v>
      </c>
      <c r="M149" s="62">
        <v>4614.6474824260586</v>
      </c>
      <c r="N149" s="62">
        <v>5533.3544555455628</v>
      </c>
      <c r="O149" s="62">
        <v>6118.6273746581464</v>
      </c>
      <c r="P149" s="62">
        <v>6853.4061451208981</v>
      </c>
      <c r="Q149" s="62">
        <v>7465.3060656536327</v>
      </c>
      <c r="R149" s="62">
        <v>7340.6124655839194</v>
      </c>
      <c r="S149" s="62">
        <v>6684.6221923705707</v>
      </c>
      <c r="T149" s="62">
        <v>6144.3005275581854</v>
      </c>
      <c r="U149" s="62">
        <v>5865.5741049669596</v>
      </c>
      <c r="V149" s="62">
        <v>5560.5482806869368</v>
      </c>
      <c r="W149" s="62">
        <v>6782.480041423878</v>
      </c>
      <c r="X149" s="62">
        <v>8099.8484606415077</v>
      </c>
      <c r="Y149" s="62">
        <v>8202.5593568778277</v>
      </c>
      <c r="Z149" s="62">
        <v>7252.2885305727214</v>
      </c>
      <c r="AA149" s="62">
        <v>5688.5910166148169</v>
      </c>
      <c r="AB149" s="62">
        <v>4249.0538008383883</v>
      </c>
      <c r="AC149" s="53">
        <v>123065.09315296725</v>
      </c>
      <c r="AD149" s="105">
        <f>+SUMPRODUCT(AC149:AC151,C149:C151)</f>
        <v>4139883.9976136177</v>
      </c>
    </row>
    <row r="150" spans="1:30" ht="15.75" thickBot="1" x14ac:dyDescent="0.3">
      <c r="A150" s="54">
        <v>2030</v>
      </c>
      <c r="B150" s="55">
        <v>2</v>
      </c>
      <c r="C150" s="55">
        <v>20</v>
      </c>
      <c r="D150" s="56" t="s">
        <v>135</v>
      </c>
      <c r="E150" s="62">
        <v>3444.2390952306669</v>
      </c>
      <c r="F150" s="62">
        <v>2876.4801883165001</v>
      </c>
      <c r="G150" s="62">
        <v>2407.3009124938199</v>
      </c>
      <c r="H150" s="62">
        <v>2161.9336070003392</v>
      </c>
      <c r="I150" s="62">
        <v>2117.2999750820236</v>
      </c>
      <c r="J150" s="62">
        <v>2882.503075913959</v>
      </c>
      <c r="K150" s="62">
        <v>3644.9639655596184</v>
      </c>
      <c r="L150" s="62">
        <v>4507.3079536150617</v>
      </c>
      <c r="M150" s="62">
        <v>6061.7660910609338</v>
      </c>
      <c r="N150" s="62">
        <v>6827.4137558251568</v>
      </c>
      <c r="O150" s="62">
        <v>7612.0391652710132</v>
      </c>
      <c r="P150" s="62">
        <v>8622.7806480139261</v>
      </c>
      <c r="Q150" s="62">
        <v>8680.5041201245658</v>
      </c>
      <c r="R150" s="62">
        <v>8643.1851054604122</v>
      </c>
      <c r="S150" s="62">
        <v>9019.0212144633188</v>
      </c>
      <c r="T150" s="62">
        <v>8984.7478295372312</v>
      </c>
      <c r="U150" s="62">
        <v>8820.9408392879886</v>
      </c>
      <c r="V150" s="62">
        <v>8357.4795653032597</v>
      </c>
      <c r="W150" s="62">
        <v>8924.5717730397591</v>
      </c>
      <c r="X150" s="62">
        <v>10014.635492405425</v>
      </c>
      <c r="Y150" s="62">
        <v>9572.2271816693974</v>
      </c>
      <c r="Z150" s="62">
        <v>7761.3463287308223</v>
      </c>
      <c r="AA150" s="62">
        <v>6208.3906119669846</v>
      </c>
      <c r="AB150" s="62">
        <v>4605.837406203289</v>
      </c>
      <c r="AC150" s="57">
        <v>152758.91590157547</v>
      </c>
      <c r="AD150" s="106"/>
    </row>
    <row r="151" spans="1:30" ht="15.75" thickBot="1" x14ac:dyDescent="0.3">
      <c r="A151" s="58">
        <v>2030</v>
      </c>
      <c r="B151" s="59">
        <v>2</v>
      </c>
      <c r="C151" s="59">
        <v>4</v>
      </c>
      <c r="D151" s="60" t="s">
        <v>136</v>
      </c>
      <c r="E151" s="62">
        <v>3783.5851765170992</v>
      </c>
      <c r="F151" s="62">
        <v>3058.4594059561314</v>
      </c>
      <c r="G151" s="62">
        <v>2585.6977038204441</v>
      </c>
      <c r="H151" s="62">
        <v>1937.3068304957997</v>
      </c>
      <c r="I151" s="62">
        <v>2093.298704806728</v>
      </c>
      <c r="J151" s="62">
        <v>2357.5051125706796</v>
      </c>
      <c r="K151" s="62">
        <v>2723.2252338251856</v>
      </c>
      <c r="L151" s="62">
        <v>4225.4529460259764</v>
      </c>
      <c r="M151" s="62">
        <v>5601.490124357817</v>
      </c>
      <c r="N151" s="62">
        <v>6396.0039983124916</v>
      </c>
      <c r="O151" s="62">
        <v>7412.9276064367768</v>
      </c>
      <c r="P151" s="62">
        <v>8139.1366968302355</v>
      </c>
      <c r="Q151" s="62">
        <v>8746.1543339843702</v>
      </c>
      <c r="R151" s="62">
        <v>8575.1767928892841</v>
      </c>
      <c r="S151" s="62">
        <v>8192.2734573444795</v>
      </c>
      <c r="T151" s="62">
        <v>8230.1741975611985</v>
      </c>
      <c r="U151" s="62">
        <v>8029.0676929078909</v>
      </c>
      <c r="V151" s="62">
        <v>7749.339367315737</v>
      </c>
      <c r="W151" s="62">
        <v>8495.3032043836247</v>
      </c>
      <c r="X151" s="62">
        <v>9601.6246522655747</v>
      </c>
      <c r="Y151" s="62">
        <v>9343.5209977377453</v>
      </c>
      <c r="Z151" s="62">
        <v>8369.1729408049177</v>
      </c>
      <c r="AA151" s="62">
        <v>6967.3261697163362</v>
      </c>
      <c r="AB151" s="62">
        <v>5498.1033956932552</v>
      </c>
      <c r="AC151" s="61">
        <v>148111.32674255979</v>
      </c>
      <c r="AD151" s="107"/>
    </row>
    <row r="152" spans="1:30" ht="15.75" thickBot="1" x14ac:dyDescent="0.3">
      <c r="A152" s="49">
        <v>2030</v>
      </c>
      <c r="B152" s="50">
        <v>3</v>
      </c>
      <c r="C152" s="50">
        <v>6</v>
      </c>
      <c r="D152" s="51" t="s">
        <v>134</v>
      </c>
      <c r="E152" s="62">
        <v>3558.1639484316111</v>
      </c>
      <c r="F152" s="62">
        <v>3808.1273038749132</v>
      </c>
      <c r="G152" s="62">
        <v>3012.1046248295534</v>
      </c>
      <c r="H152" s="62">
        <v>2641.5853614659882</v>
      </c>
      <c r="I152" s="62">
        <v>2509.8668537040794</v>
      </c>
      <c r="J152" s="62">
        <v>2550.4982400934387</v>
      </c>
      <c r="K152" s="62">
        <v>2561.2476942602279</v>
      </c>
      <c r="L152" s="62">
        <v>3586.0287075448323</v>
      </c>
      <c r="M152" s="62">
        <v>5201.5330733460505</v>
      </c>
      <c r="N152" s="62">
        <v>6032.0913234215805</v>
      </c>
      <c r="O152" s="62">
        <v>6761.9144358084486</v>
      </c>
      <c r="P152" s="62">
        <v>7658.9916950745537</v>
      </c>
      <c r="Q152" s="62">
        <v>8322.5556115302861</v>
      </c>
      <c r="R152" s="62">
        <v>7974.3777329382756</v>
      </c>
      <c r="S152" s="62">
        <v>5467.621035962904</v>
      </c>
      <c r="T152" s="62">
        <v>6546.5292437329481</v>
      </c>
      <c r="U152" s="62">
        <v>6223.7363983583127</v>
      </c>
      <c r="V152" s="62">
        <v>6076.2663923003493</v>
      </c>
      <c r="W152" s="62">
        <v>7579.3125054082957</v>
      </c>
      <c r="X152" s="62">
        <v>9925.1783507438195</v>
      </c>
      <c r="Y152" s="62">
        <v>10027.845476866605</v>
      </c>
      <c r="Z152" s="62">
        <v>9283.9762633816972</v>
      </c>
      <c r="AA152" s="62">
        <v>7917.0041504799701</v>
      </c>
      <c r="AB152" s="62">
        <v>6240.4973350558139</v>
      </c>
      <c r="AC152" s="53">
        <v>141467.05375861455</v>
      </c>
      <c r="AD152" s="105">
        <f>+SUMPRODUCT(AC152:AC154,C152:C154)</f>
        <v>5112318.3605441405</v>
      </c>
    </row>
    <row r="153" spans="1:30" ht="15.75" thickBot="1" x14ac:dyDescent="0.3">
      <c r="A153" s="54">
        <v>2030</v>
      </c>
      <c r="B153" s="55">
        <v>3</v>
      </c>
      <c r="C153" s="55">
        <v>20</v>
      </c>
      <c r="D153" s="56" t="s">
        <v>135</v>
      </c>
      <c r="E153" s="62">
        <v>4428.7173949919415</v>
      </c>
      <c r="F153" s="62">
        <v>3719.8669084991852</v>
      </c>
      <c r="G153" s="62">
        <v>3210.0879947928497</v>
      </c>
      <c r="H153" s="62">
        <v>2887.2554701676763</v>
      </c>
      <c r="I153" s="62">
        <v>2758.2146172903667</v>
      </c>
      <c r="J153" s="62">
        <v>3496.8877865213071</v>
      </c>
      <c r="K153" s="62">
        <v>4300.0883529471648</v>
      </c>
      <c r="L153" s="62">
        <v>5299.8438704051259</v>
      </c>
      <c r="M153" s="62">
        <v>6979.2052281768702</v>
      </c>
      <c r="N153" s="62">
        <v>7842.5655661450473</v>
      </c>
      <c r="O153" s="62">
        <v>8479.5064458052766</v>
      </c>
      <c r="P153" s="62">
        <v>9363.9688716683158</v>
      </c>
      <c r="Q153" s="62">
        <v>9376.3971939030889</v>
      </c>
      <c r="R153" s="62">
        <v>9343.5467006167382</v>
      </c>
      <c r="S153" s="62">
        <v>9436.2309485363185</v>
      </c>
      <c r="T153" s="62">
        <v>9550.6428650425441</v>
      </c>
      <c r="U153" s="62">
        <v>9548.6070467341815</v>
      </c>
      <c r="V153" s="62">
        <v>8974.7876163484543</v>
      </c>
      <c r="W153" s="62">
        <v>9793.2602160965362</v>
      </c>
      <c r="X153" s="62">
        <v>10926.34413775587</v>
      </c>
      <c r="Y153" s="62">
        <v>10528.272129644542</v>
      </c>
      <c r="Z153" s="62">
        <v>9314.8682943324966</v>
      </c>
      <c r="AA153" s="62">
        <v>7455.1341493887303</v>
      </c>
      <c r="AB153" s="62">
        <v>5771.7930259932727</v>
      </c>
      <c r="AC153" s="57">
        <v>172786.09283180389</v>
      </c>
      <c r="AD153" s="106"/>
    </row>
    <row r="154" spans="1:30" ht="15.75" thickBot="1" x14ac:dyDescent="0.3">
      <c r="A154" s="58">
        <v>2030</v>
      </c>
      <c r="B154" s="59">
        <v>3</v>
      </c>
      <c r="C154" s="59">
        <v>5</v>
      </c>
      <c r="D154" s="60" t="s">
        <v>136</v>
      </c>
      <c r="E154" s="62">
        <v>4635.8506206093371</v>
      </c>
      <c r="F154" s="62">
        <v>3737.7514591886284</v>
      </c>
      <c r="G154" s="62">
        <v>3251.9975593594281</v>
      </c>
      <c r="H154" s="62">
        <v>2949.7127096620516</v>
      </c>
      <c r="I154" s="62">
        <v>2823.2252725869548</v>
      </c>
      <c r="J154" s="62">
        <v>2954.1199603203549</v>
      </c>
      <c r="K154" s="62">
        <v>3039.4577321580618</v>
      </c>
      <c r="L154" s="62">
        <v>4327.2695108805892</v>
      </c>
      <c r="M154" s="62">
        <v>6907.2582826140278</v>
      </c>
      <c r="N154" s="62">
        <v>7854.2129013322265</v>
      </c>
      <c r="O154" s="62">
        <v>8417.131126323733</v>
      </c>
      <c r="P154" s="62">
        <v>9193.9868878162888</v>
      </c>
      <c r="Q154" s="62">
        <v>9460.9953413353796</v>
      </c>
      <c r="R154" s="62">
        <v>9191.1704510319614</v>
      </c>
      <c r="S154" s="62">
        <v>8965.890976473147</v>
      </c>
      <c r="T154" s="62">
        <v>8791.0695958148353</v>
      </c>
      <c r="U154" s="62">
        <v>8450.7313222516495</v>
      </c>
      <c r="V154" s="62">
        <v>8170.8216440782417</v>
      </c>
      <c r="W154" s="62">
        <v>9316.7619879732338</v>
      </c>
      <c r="X154" s="62">
        <v>10357.863625299509</v>
      </c>
      <c r="Y154" s="62">
        <v>10053.001420671706</v>
      </c>
      <c r="Z154" s="62">
        <v>7744.2575803628752</v>
      </c>
      <c r="AA154" s="62">
        <v>6281.7544710014627</v>
      </c>
      <c r="AB154" s="62">
        <v>4682.5438321293004</v>
      </c>
      <c r="AC154" s="61">
        <v>161558.83627127504</v>
      </c>
      <c r="AD154" s="107"/>
    </row>
    <row r="155" spans="1:30" ht="15.75" thickBot="1" x14ac:dyDescent="0.3">
      <c r="A155" s="49">
        <v>2030</v>
      </c>
      <c r="B155" s="50">
        <v>4</v>
      </c>
      <c r="C155" s="50">
        <v>6</v>
      </c>
      <c r="D155" s="51" t="s">
        <v>134</v>
      </c>
      <c r="E155" s="62">
        <v>3811.6336104616566</v>
      </c>
      <c r="F155" s="62">
        <v>3011.1914835748885</v>
      </c>
      <c r="G155" s="62">
        <v>2643.5434200951677</v>
      </c>
      <c r="H155" s="62">
        <v>2174.5166293673319</v>
      </c>
      <c r="I155" s="62">
        <v>2042.3955583259631</v>
      </c>
      <c r="J155" s="62">
        <v>2029.0182959205686</v>
      </c>
      <c r="K155" s="62">
        <v>2037.9924736148077</v>
      </c>
      <c r="L155" s="62">
        <v>3205.3044369859163</v>
      </c>
      <c r="M155" s="62">
        <v>4808.0066670602901</v>
      </c>
      <c r="N155" s="62">
        <v>5850.8387657948188</v>
      </c>
      <c r="O155" s="62">
        <v>6605.0881278068409</v>
      </c>
      <c r="P155" s="62">
        <v>7468.1434506726255</v>
      </c>
      <c r="Q155" s="62">
        <v>8115.5522316155657</v>
      </c>
      <c r="R155" s="62">
        <v>7908.288668467856</v>
      </c>
      <c r="S155" s="62">
        <v>6962.4940266344674</v>
      </c>
      <c r="T155" s="62">
        <v>6415.94251330322</v>
      </c>
      <c r="U155" s="62">
        <v>6075.3960860640072</v>
      </c>
      <c r="V155" s="62">
        <v>6056.075134793653</v>
      </c>
      <c r="W155" s="62">
        <v>7668.5820740196614</v>
      </c>
      <c r="X155" s="62">
        <v>8885.6371657475283</v>
      </c>
      <c r="Y155" s="62">
        <v>8565.7636808724819</v>
      </c>
      <c r="Z155" s="62">
        <v>7618.4379447874817</v>
      </c>
      <c r="AA155" s="62">
        <v>6005.2589724738136</v>
      </c>
      <c r="AB155" s="62">
        <v>4496.3529076395607</v>
      </c>
      <c r="AC155" s="53">
        <v>130461.45432610017</v>
      </c>
      <c r="AD155" s="105">
        <f>+SUMPRODUCT(AC155:AC157,C155:C157)</f>
        <v>4552379.8343669185</v>
      </c>
    </row>
    <row r="156" spans="1:30" ht="15.75" thickBot="1" x14ac:dyDescent="0.3">
      <c r="A156" s="54">
        <v>2030</v>
      </c>
      <c r="B156" s="55">
        <v>4</v>
      </c>
      <c r="C156" s="55">
        <v>20</v>
      </c>
      <c r="D156" s="56" t="s">
        <v>135</v>
      </c>
      <c r="E156" s="62">
        <v>3454.7255125099291</v>
      </c>
      <c r="F156" s="62">
        <v>2697.2904682617373</v>
      </c>
      <c r="G156" s="62">
        <v>2317.6524412901872</v>
      </c>
      <c r="H156" s="62">
        <v>1995.4639691144166</v>
      </c>
      <c r="I156" s="62">
        <v>1899.3219049447507</v>
      </c>
      <c r="J156" s="62">
        <v>2649.6295706299879</v>
      </c>
      <c r="K156" s="62">
        <v>3438.6917828332989</v>
      </c>
      <c r="L156" s="62">
        <v>4635.874825822877</v>
      </c>
      <c r="M156" s="62">
        <v>6269.8395729939657</v>
      </c>
      <c r="N156" s="62">
        <v>7049.0157641819787</v>
      </c>
      <c r="O156" s="62">
        <v>7558.9105404339098</v>
      </c>
      <c r="P156" s="62">
        <v>8685.8141153545985</v>
      </c>
      <c r="Q156" s="62">
        <v>8742.3782048010107</v>
      </c>
      <c r="R156" s="62">
        <v>9024.4745981421765</v>
      </c>
      <c r="S156" s="62">
        <v>9569.008790349224</v>
      </c>
      <c r="T156" s="62">
        <v>9727.7575341323754</v>
      </c>
      <c r="U156" s="62">
        <v>9480.0190919255765</v>
      </c>
      <c r="V156" s="62">
        <v>9029.8927959415887</v>
      </c>
      <c r="W156" s="62">
        <v>9826.1306378199697</v>
      </c>
      <c r="X156" s="62">
        <v>10655.15654643454</v>
      </c>
      <c r="Y156" s="62">
        <v>10056.062409188416</v>
      </c>
      <c r="Z156" s="62">
        <v>8746.0128347056852</v>
      </c>
      <c r="AA156" s="62">
        <v>6952.2541901976656</v>
      </c>
      <c r="AB156" s="62">
        <v>4816.4414013490423</v>
      </c>
      <c r="AC156" s="57">
        <v>159277.81950335891</v>
      </c>
      <c r="AD156" s="106"/>
    </row>
    <row r="157" spans="1:30" ht="15.75" thickBot="1" x14ac:dyDescent="0.3">
      <c r="A157" s="58">
        <v>2030</v>
      </c>
      <c r="B157" s="59">
        <v>4</v>
      </c>
      <c r="C157" s="59">
        <v>4</v>
      </c>
      <c r="D157" s="60" t="s">
        <v>136</v>
      </c>
      <c r="E157" s="62">
        <v>3940.7435954476459</v>
      </c>
      <c r="F157" s="62">
        <v>3277.7382125651857</v>
      </c>
      <c r="G157" s="62">
        <v>2697.8018198136615</v>
      </c>
      <c r="H157" s="62">
        <v>2335.0607535430554</v>
      </c>
      <c r="I157" s="62">
        <v>1322.471443135717</v>
      </c>
      <c r="J157" s="62">
        <v>2409.7571591914766</v>
      </c>
      <c r="K157" s="62">
        <v>2518.0256241286243</v>
      </c>
      <c r="L157" s="62">
        <v>4059.0175301282543</v>
      </c>
      <c r="M157" s="62">
        <v>6082.3844038403622</v>
      </c>
      <c r="N157" s="62">
        <v>7128.3715374320891</v>
      </c>
      <c r="O157" s="62">
        <v>7781.7908507514221</v>
      </c>
      <c r="P157" s="62">
        <v>8798.4600614424962</v>
      </c>
      <c r="Q157" s="62">
        <v>9074.5379397131546</v>
      </c>
      <c r="R157" s="62">
        <v>8774.75161595389</v>
      </c>
      <c r="S157" s="62">
        <v>8327.293255167122</v>
      </c>
      <c r="T157" s="62">
        <v>7720.3564338938122</v>
      </c>
      <c r="U157" s="62">
        <v>7407.1801426122292</v>
      </c>
      <c r="V157" s="62">
        <v>7335.1358263394904</v>
      </c>
      <c r="W157" s="62">
        <v>8551.5428310048665</v>
      </c>
      <c r="X157" s="62">
        <v>9170.6468832453029</v>
      </c>
      <c r="Y157" s="62">
        <v>8853.4184461036857</v>
      </c>
      <c r="Z157" s="62">
        <v>7783.3450984785595</v>
      </c>
      <c r="AA157" s="62">
        <v>6194.5970807676131</v>
      </c>
      <c r="AB157" s="62">
        <v>4469.2510410850336</v>
      </c>
      <c r="AC157" s="61">
        <v>146013.67958578476</v>
      </c>
      <c r="AD157" s="107"/>
    </row>
    <row r="158" spans="1:30" ht="15.75" thickBot="1" x14ac:dyDescent="0.3">
      <c r="A158" s="49">
        <v>2030</v>
      </c>
      <c r="B158" s="50">
        <v>5</v>
      </c>
      <c r="C158" s="50">
        <v>5</v>
      </c>
      <c r="D158" s="51" t="s">
        <v>134</v>
      </c>
      <c r="E158" s="62">
        <v>4754.1065874803207</v>
      </c>
      <c r="F158" s="62">
        <v>3825.7213044923628</v>
      </c>
      <c r="G158" s="62">
        <v>3405.3301358852295</v>
      </c>
      <c r="H158" s="62">
        <v>3124.158117880901</v>
      </c>
      <c r="I158" s="62">
        <v>2927.1599970777133</v>
      </c>
      <c r="J158" s="62">
        <v>3004.9352918568839</v>
      </c>
      <c r="K158" s="62">
        <v>3095.3538884281352</v>
      </c>
      <c r="L158" s="62">
        <v>4439.6582937899111</v>
      </c>
      <c r="M158" s="62">
        <v>6176.4929865087579</v>
      </c>
      <c r="N158" s="62">
        <v>7321.1939913478564</v>
      </c>
      <c r="O158" s="62">
        <v>8113.7825290083711</v>
      </c>
      <c r="P158" s="62">
        <v>8970.5552825884552</v>
      </c>
      <c r="Q158" s="62">
        <v>9510.132739084991</v>
      </c>
      <c r="R158" s="62">
        <v>9333.0999408069765</v>
      </c>
      <c r="S158" s="62">
        <v>8549.5407512605161</v>
      </c>
      <c r="T158" s="62">
        <v>8043.7223167134216</v>
      </c>
      <c r="U158" s="62">
        <v>7601.0661375329437</v>
      </c>
      <c r="V158" s="62">
        <v>7721.9962909379465</v>
      </c>
      <c r="W158" s="62">
        <v>9146.0623369423593</v>
      </c>
      <c r="X158" s="62">
        <v>10026.632488317104</v>
      </c>
      <c r="Y158" s="62">
        <v>9886.2618328659082</v>
      </c>
      <c r="Z158" s="62">
        <v>8656.0416631422195</v>
      </c>
      <c r="AA158" s="62">
        <v>6964.7213067721968</v>
      </c>
      <c r="AB158" s="62">
        <v>5551.0774868619228</v>
      </c>
      <c r="AC158" s="53">
        <v>160148.80369758341</v>
      </c>
      <c r="AD158" s="105">
        <f>+SUMPRODUCT(AC158:AC160,C158:C160)</f>
        <v>5140192.3936945237</v>
      </c>
    </row>
    <row r="159" spans="1:30" ht="15.75" thickBot="1" x14ac:dyDescent="0.3">
      <c r="A159" s="54">
        <v>2030</v>
      </c>
      <c r="B159" s="55">
        <v>5</v>
      </c>
      <c r="C159" s="55">
        <v>22</v>
      </c>
      <c r="D159" s="56" t="s">
        <v>135</v>
      </c>
      <c r="E159" s="62">
        <v>3837.5395511756797</v>
      </c>
      <c r="F159" s="62">
        <v>3178.1396765737954</v>
      </c>
      <c r="G159" s="62">
        <v>2694.0775142731309</v>
      </c>
      <c r="H159" s="62">
        <v>2461.5750004642632</v>
      </c>
      <c r="I159" s="62">
        <v>2286.7362516319699</v>
      </c>
      <c r="J159" s="62">
        <v>2994.3963005412224</v>
      </c>
      <c r="K159" s="62">
        <v>3753.7130595831804</v>
      </c>
      <c r="L159" s="62">
        <v>5002.53593332932</v>
      </c>
      <c r="M159" s="62">
        <v>6556.1512866008561</v>
      </c>
      <c r="N159" s="62">
        <v>7532.6212232495127</v>
      </c>
      <c r="O159" s="62">
        <v>8328.042878292581</v>
      </c>
      <c r="P159" s="62">
        <v>9287.6945705306171</v>
      </c>
      <c r="Q159" s="62">
        <v>9491.8306810041613</v>
      </c>
      <c r="R159" s="62">
        <v>9594.384180220768</v>
      </c>
      <c r="S159" s="62">
        <v>9781.5998640988255</v>
      </c>
      <c r="T159" s="62">
        <v>9704.5202263687206</v>
      </c>
      <c r="U159" s="62">
        <v>9584.8130107683792</v>
      </c>
      <c r="V159" s="62">
        <v>9226.1114113488911</v>
      </c>
      <c r="W159" s="62">
        <v>10135.667422832463</v>
      </c>
      <c r="X159" s="62">
        <v>10902.773294022536</v>
      </c>
      <c r="Y159" s="62">
        <v>10354.215623067779</v>
      </c>
      <c r="Z159" s="62">
        <v>8774.6617151736027</v>
      </c>
      <c r="AA159" s="62">
        <v>6910.9363214756813</v>
      </c>
      <c r="AB159" s="62">
        <v>5167.0347882722199</v>
      </c>
      <c r="AC159" s="57">
        <v>167541.77178490019</v>
      </c>
      <c r="AD159" s="106"/>
    </row>
    <row r="160" spans="1:30" ht="15.75" thickBot="1" x14ac:dyDescent="0.3">
      <c r="A160" s="58">
        <v>2030</v>
      </c>
      <c r="B160" s="59">
        <v>5</v>
      </c>
      <c r="C160" s="59">
        <v>4</v>
      </c>
      <c r="D160" s="60" t="s">
        <v>136</v>
      </c>
      <c r="E160" s="62">
        <v>4177.426754533346</v>
      </c>
      <c r="F160" s="62">
        <v>3438.0976020516828</v>
      </c>
      <c r="G160" s="62">
        <v>2967.5226341806847</v>
      </c>
      <c r="H160" s="62">
        <v>2637.0972541918727</v>
      </c>
      <c r="I160" s="62">
        <v>2525.1305877936029</v>
      </c>
      <c r="J160" s="62">
        <v>2514.080121199866</v>
      </c>
      <c r="K160" s="62">
        <v>2808.1513081162921</v>
      </c>
      <c r="L160" s="62">
        <v>4557.6398051551805</v>
      </c>
      <c r="M160" s="62">
        <v>6664.1352070212124</v>
      </c>
      <c r="N160" s="62">
        <v>8008.1533923545139</v>
      </c>
      <c r="O160" s="62">
        <v>9109.7466772003318</v>
      </c>
      <c r="P160" s="62">
        <v>9544.7573637122114</v>
      </c>
      <c r="Q160" s="62">
        <v>10030.491666668633</v>
      </c>
      <c r="R160" s="62">
        <v>9775.642251481142</v>
      </c>
      <c r="S160" s="62">
        <v>9256.6918290863323</v>
      </c>
      <c r="T160" s="62">
        <v>8975.8383875399559</v>
      </c>
      <c r="U160" s="62">
        <v>8375.839040616218</v>
      </c>
      <c r="V160" s="62">
        <v>8354.2027613777173</v>
      </c>
      <c r="W160" s="62">
        <v>8723.3072636621982</v>
      </c>
      <c r="X160" s="62">
        <v>9953.6744120321891</v>
      </c>
      <c r="Y160" s="62">
        <v>9544.1632704488802</v>
      </c>
      <c r="Z160" s="62">
        <v>8486.5544603090239</v>
      </c>
      <c r="AA160" s="62">
        <v>7111.1555386357904</v>
      </c>
      <c r="AB160" s="62">
        <v>5842.8493953317266</v>
      </c>
      <c r="AC160" s="61">
        <v>163382.3489847006</v>
      </c>
      <c r="AD160" s="107"/>
    </row>
    <row r="161" spans="1:30" ht="15.75" thickBot="1" x14ac:dyDescent="0.3">
      <c r="A161" s="49">
        <v>2030</v>
      </c>
      <c r="B161" s="50">
        <v>6</v>
      </c>
      <c r="C161" s="50">
        <v>7</v>
      </c>
      <c r="D161" s="51" t="s">
        <v>134</v>
      </c>
      <c r="E161" s="62">
        <v>4064.8053306829934</v>
      </c>
      <c r="F161" s="62">
        <v>3424.0064755644926</v>
      </c>
      <c r="G161" s="62">
        <v>2881.904427322519</v>
      </c>
      <c r="H161" s="62">
        <v>2460.4752371564682</v>
      </c>
      <c r="I161" s="62">
        <v>1347.3493924048671</v>
      </c>
      <c r="J161" s="62">
        <v>1994.7124256417155</v>
      </c>
      <c r="K161" s="62">
        <v>2030.0360432324032</v>
      </c>
      <c r="L161" s="62">
        <v>3285.7100538691338</v>
      </c>
      <c r="M161" s="62">
        <v>4833.0287166386224</v>
      </c>
      <c r="N161" s="62">
        <v>5773.2033462779473</v>
      </c>
      <c r="O161" s="62">
        <v>6333.5875214122825</v>
      </c>
      <c r="P161" s="62">
        <v>6879.4357312747343</v>
      </c>
      <c r="Q161" s="62">
        <v>7500.507538098951</v>
      </c>
      <c r="R161" s="62">
        <v>7184.7768204277709</v>
      </c>
      <c r="S161" s="62">
        <v>6621.9020448136944</v>
      </c>
      <c r="T161" s="62">
        <v>6050.3596064064113</v>
      </c>
      <c r="U161" s="62">
        <v>5726.4248320987499</v>
      </c>
      <c r="V161" s="62">
        <v>6110.2786033414959</v>
      </c>
      <c r="W161" s="62">
        <v>7570.1893157909835</v>
      </c>
      <c r="X161" s="62">
        <v>8773.9860773338005</v>
      </c>
      <c r="Y161" s="62">
        <v>8474.298744550706</v>
      </c>
      <c r="Z161" s="62">
        <v>7289.3344673096362</v>
      </c>
      <c r="AA161" s="62">
        <v>6067.2835631495109</v>
      </c>
      <c r="AB161" s="62">
        <v>4752.0310309241795</v>
      </c>
      <c r="AC161" s="53">
        <v>127429.62734572409</v>
      </c>
      <c r="AD161" s="105">
        <f>+SUMPRODUCT(AC161:AC163,C161:C163)</f>
        <v>4461123.3406746062</v>
      </c>
    </row>
    <row r="162" spans="1:30" ht="15.75" thickBot="1" x14ac:dyDescent="0.3">
      <c r="A162" s="54">
        <v>2030</v>
      </c>
      <c r="B162" s="55">
        <v>6</v>
      </c>
      <c r="C162" s="55">
        <v>18</v>
      </c>
      <c r="D162" s="56" t="s">
        <v>135</v>
      </c>
      <c r="E162" s="62">
        <v>3330.6718451782563</v>
      </c>
      <c r="F162" s="62">
        <v>2732.4758133590858</v>
      </c>
      <c r="G162" s="62">
        <v>2210.0786050099159</v>
      </c>
      <c r="H162" s="62">
        <v>1941.9040907120507</v>
      </c>
      <c r="I162" s="62">
        <v>1882.0033536732844</v>
      </c>
      <c r="J162" s="62">
        <v>2339.8869520907992</v>
      </c>
      <c r="K162" s="62">
        <v>3071.9960708009294</v>
      </c>
      <c r="L162" s="62">
        <v>4753.3483831176964</v>
      </c>
      <c r="M162" s="62">
        <v>6767.4226709367031</v>
      </c>
      <c r="N162" s="62">
        <v>7588.6916740558008</v>
      </c>
      <c r="O162" s="62">
        <v>8295.3089644552638</v>
      </c>
      <c r="P162" s="62">
        <v>9671.129517090787</v>
      </c>
      <c r="Q162" s="62">
        <v>9884.8977563019325</v>
      </c>
      <c r="R162" s="62">
        <v>9449.5547376023605</v>
      </c>
      <c r="S162" s="62">
        <v>9216.1105371272279</v>
      </c>
      <c r="T162" s="62">
        <v>9041.5133163307437</v>
      </c>
      <c r="U162" s="62">
        <v>8783.1563991028052</v>
      </c>
      <c r="V162" s="62">
        <v>8487.2227492071434</v>
      </c>
      <c r="W162" s="62">
        <v>9143.7150405371103</v>
      </c>
      <c r="X162" s="62">
        <v>9842.0151096312329</v>
      </c>
      <c r="Y162" s="62">
        <v>9229.1731244788789</v>
      </c>
      <c r="Z162" s="62">
        <v>7850.9447635748729</v>
      </c>
      <c r="AA162" s="62">
        <v>6158.885985285433</v>
      </c>
      <c r="AB162" s="62">
        <v>4524.665928336959</v>
      </c>
      <c r="AC162" s="57">
        <v>156196.77338799727</v>
      </c>
      <c r="AD162" s="106"/>
    </row>
    <row r="163" spans="1:30" ht="15.75" thickBot="1" x14ac:dyDescent="0.3">
      <c r="A163" s="58">
        <v>2030</v>
      </c>
      <c r="B163" s="59">
        <v>6</v>
      </c>
      <c r="C163" s="59">
        <v>5</v>
      </c>
      <c r="D163" s="60" t="s">
        <v>136</v>
      </c>
      <c r="E163" s="62">
        <v>3878.0934605983603</v>
      </c>
      <c r="F163" s="62">
        <v>3288.6436073821587</v>
      </c>
      <c r="G163" s="62">
        <v>2664.207818628458</v>
      </c>
      <c r="H163" s="62">
        <v>2336.6890394547172</v>
      </c>
      <c r="I163" s="62">
        <v>2222.503430830242</v>
      </c>
      <c r="J163" s="62">
        <v>2407.3534260200649</v>
      </c>
      <c r="K163" s="62">
        <v>2740.9287364612519</v>
      </c>
      <c r="L163" s="62">
        <v>4263.3717392074614</v>
      </c>
      <c r="M163" s="62">
        <v>6279.6299273099175</v>
      </c>
      <c r="N163" s="62">
        <v>7250.8451650703973</v>
      </c>
      <c r="O163" s="62">
        <v>7980.4638610739821</v>
      </c>
      <c r="P163" s="62">
        <v>8904.1802161003252</v>
      </c>
      <c r="Q163" s="62">
        <v>8953.1157705496225</v>
      </c>
      <c r="R163" s="62">
        <v>8582.585556054386</v>
      </c>
      <c r="S163" s="62">
        <v>8118.6001775177792</v>
      </c>
      <c r="T163" s="62">
        <v>7680.8098925675258</v>
      </c>
      <c r="U163" s="62">
        <v>7654.7339699068652</v>
      </c>
      <c r="V163" s="62">
        <v>7915.3952115301108</v>
      </c>
      <c r="W163" s="62">
        <v>8992.1045250686439</v>
      </c>
      <c r="X163" s="62">
        <v>9826.2295022885228</v>
      </c>
      <c r="Y163" s="62">
        <v>9427.5709769681016</v>
      </c>
      <c r="Z163" s="62">
        <v>8166.0619848528113</v>
      </c>
      <c r="AA163" s="62">
        <v>6711.8906813085232</v>
      </c>
      <c r="AB163" s="62">
        <v>5268.7969773670993</v>
      </c>
      <c r="AC163" s="61">
        <v>151514.80565411731</v>
      </c>
      <c r="AD163" s="107"/>
    </row>
    <row r="164" spans="1:30" ht="15.75" thickBot="1" x14ac:dyDescent="0.3">
      <c r="A164" s="49">
        <v>2030</v>
      </c>
      <c r="B164" s="50">
        <v>7</v>
      </c>
      <c r="C164" s="50">
        <v>6</v>
      </c>
      <c r="D164" s="51" t="s">
        <v>134</v>
      </c>
      <c r="E164" s="62">
        <v>3730.7974750763387</v>
      </c>
      <c r="F164" s="62">
        <v>3094.4822650817514</v>
      </c>
      <c r="G164" s="62">
        <v>2554.6659523401795</v>
      </c>
      <c r="H164" s="62">
        <v>2229.4834053188224</v>
      </c>
      <c r="I164" s="62">
        <v>2081.0732685551993</v>
      </c>
      <c r="J164" s="62">
        <v>2236.3212989622079</v>
      </c>
      <c r="K164" s="62">
        <v>2216.2231630141032</v>
      </c>
      <c r="L164" s="62">
        <v>3577.9948896916248</v>
      </c>
      <c r="M164" s="62">
        <v>5215.221926279195</v>
      </c>
      <c r="N164" s="62">
        <v>6426.3261823263565</v>
      </c>
      <c r="O164" s="62">
        <v>7122.0717641795418</v>
      </c>
      <c r="P164" s="62">
        <v>8214.2121873451651</v>
      </c>
      <c r="Q164" s="62">
        <v>8889.4058283721424</v>
      </c>
      <c r="R164" s="62">
        <v>8691.6829367043974</v>
      </c>
      <c r="S164" s="62">
        <v>8049.9093148738648</v>
      </c>
      <c r="T164" s="62">
        <v>7653.8917586474381</v>
      </c>
      <c r="U164" s="62">
        <v>7349.8095442956292</v>
      </c>
      <c r="V164" s="62">
        <v>7190.4719561112252</v>
      </c>
      <c r="W164" s="62">
        <v>8128.0392109250934</v>
      </c>
      <c r="X164" s="62">
        <v>9420.583906806376</v>
      </c>
      <c r="Y164" s="62">
        <v>8863.5740218915562</v>
      </c>
      <c r="Z164" s="62">
        <v>7521.2574523535804</v>
      </c>
      <c r="AA164" s="62">
        <v>5980.9384813517354</v>
      </c>
      <c r="AB164" s="62">
        <v>4481.6245539375268</v>
      </c>
      <c r="AC164" s="53">
        <v>140920.06274444106</v>
      </c>
      <c r="AD164" s="105">
        <f>+SUMPRODUCT(AC164:AC166,C164:C166)</f>
        <v>4867904.8227969594</v>
      </c>
    </row>
    <row r="165" spans="1:30" ht="15.75" thickBot="1" x14ac:dyDescent="0.3">
      <c r="A165" s="54">
        <v>2030</v>
      </c>
      <c r="B165" s="55">
        <v>7</v>
      </c>
      <c r="C165" s="55">
        <v>22</v>
      </c>
      <c r="D165" s="56" t="s">
        <v>135</v>
      </c>
      <c r="E165" s="62">
        <v>3677.7531269364299</v>
      </c>
      <c r="F165" s="62">
        <v>3070.884985748191</v>
      </c>
      <c r="G165" s="62">
        <v>2566.7861199861309</v>
      </c>
      <c r="H165" s="62">
        <v>2217.9617372324228</v>
      </c>
      <c r="I165" s="62">
        <v>2191.0720613103222</v>
      </c>
      <c r="J165" s="62">
        <v>2886.8456188494947</v>
      </c>
      <c r="K165" s="62">
        <v>3640.7598563336433</v>
      </c>
      <c r="L165" s="62">
        <v>4975.6872627092598</v>
      </c>
      <c r="M165" s="62">
        <v>6499.8297084605183</v>
      </c>
      <c r="N165" s="62">
        <v>7402.6840238319928</v>
      </c>
      <c r="O165" s="62">
        <v>8369.4945336352248</v>
      </c>
      <c r="P165" s="62">
        <v>9348.9689294514574</v>
      </c>
      <c r="Q165" s="62">
        <v>9395.4631922071567</v>
      </c>
      <c r="R165" s="62">
        <v>9593.3541076085166</v>
      </c>
      <c r="S165" s="62">
        <v>9789.5990994559397</v>
      </c>
      <c r="T165" s="62">
        <v>8968.7498167400008</v>
      </c>
      <c r="U165" s="62">
        <v>8660.6171083564295</v>
      </c>
      <c r="V165" s="62">
        <v>8736.4120726740184</v>
      </c>
      <c r="W165" s="62">
        <v>9480.9988970786362</v>
      </c>
      <c r="X165" s="62">
        <v>10601.088961603637</v>
      </c>
      <c r="Y165" s="62">
        <v>9986.856020369436</v>
      </c>
      <c r="Z165" s="62">
        <v>8451.5220330857337</v>
      </c>
      <c r="AA165" s="62">
        <v>6350.9825753961632</v>
      </c>
      <c r="AB165" s="62">
        <v>4599.1622450647446</v>
      </c>
      <c r="AC165" s="57">
        <v>161463.5340941255</v>
      </c>
      <c r="AD165" s="106"/>
    </row>
    <row r="166" spans="1:30" ht="15.75" thickBot="1" x14ac:dyDescent="0.3">
      <c r="A166" s="58">
        <v>2030</v>
      </c>
      <c r="B166" s="59">
        <v>7</v>
      </c>
      <c r="C166" s="59">
        <v>3</v>
      </c>
      <c r="D166" s="60" t="s">
        <v>136</v>
      </c>
      <c r="E166" s="62">
        <v>3027.0594181667293</v>
      </c>
      <c r="F166" s="62">
        <v>2298.3102972636061</v>
      </c>
      <c r="G166" s="62">
        <v>1825.6997398146559</v>
      </c>
      <c r="H166" s="62">
        <v>1468.2215081284594</v>
      </c>
      <c r="I166" s="62">
        <v>1476.7504680035163</v>
      </c>
      <c r="J166" s="62">
        <v>1675.963835449511</v>
      </c>
      <c r="K166" s="62">
        <v>2042.9918261051153</v>
      </c>
      <c r="L166" s="62">
        <v>3723.2940376838233</v>
      </c>
      <c r="M166" s="62">
        <v>5970.4958393382949</v>
      </c>
      <c r="N166" s="62">
        <v>7452.3831943904843</v>
      </c>
      <c r="O166" s="62">
        <v>8607.9536668546461</v>
      </c>
      <c r="P166" s="62">
        <v>9645.6056578883654</v>
      </c>
      <c r="Q166" s="62">
        <v>10251.187706668694</v>
      </c>
      <c r="R166" s="62">
        <v>10024.846549336711</v>
      </c>
      <c r="S166" s="62">
        <v>9610.7042562943861</v>
      </c>
      <c r="T166" s="62">
        <v>9294.3903415760033</v>
      </c>
      <c r="U166" s="62">
        <v>8960.8458560979052</v>
      </c>
      <c r="V166" s="62">
        <v>8623.0822115722913</v>
      </c>
      <c r="W166" s="62">
        <v>9306.9830745899089</v>
      </c>
      <c r="X166" s="62">
        <v>10294.384989274742</v>
      </c>
      <c r="Y166" s="62">
        <v>9738.0322177489288</v>
      </c>
      <c r="Z166" s="62">
        <v>8713.0096480686589</v>
      </c>
      <c r="AA166" s="62">
        <v>7158.295939022606</v>
      </c>
      <c r="AB166" s="62">
        <v>5538.4064738463312</v>
      </c>
      <c r="AC166" s="61">
        <v>156728.89875318436</v>
      </c>
      <c r="AD166" s="107"/>
    </row>
    <row r="167" spans="1:30" ht="15.75" thickBot="1" x14ac:dyDescent="0.3">
      <c r="A167" s="49">
        <v>2030</v>
      </c>
      <c r="B167" s="50">
        <v>8</v>
      </c>
      <c r="C167" s="50">
        <v>6</v>
      </c>
      <c r="D167" s="51" t="s">
        <v>134</v>
      </c>
      <c r="E167" s="62">
        <v>3908.7352287469803</v>
      </c>
      <c r="F167" s="62">
        <v>3245.293669155848</v>
      </c>
      <c r="G167" s="62">
        <v>2721.8691943045014</v>
      </c>
      <c r="H167" s="62">
        <v>2405.5331922535006</v>
      </c>
      <c r="I167" s="62">
        <v>2378.5392664418086</v>
      </c>
      <c r="J167" s="62">
        <v>2485.3040230842926</v>
      </c>
      <c r="K167" s="62">
        <v>2770.3092722710808</v>
      </c>
      <c r="L167" s="62">
        <v>4147.0935750118879</v>
      </c>
      <c r="M167" s="62">
        <v>5951.2523703026891</v>
      </c>
      <c r="N167" s="62">
        <v>7076.6855559917967</v>
      </c>
      <c r="O167" s="62">
        <v>7844.2895546142427</v>
      </c>
      <c r="P167" s="62">
        <v>8657.0882057520175</v>
      </c>
      <c r="Q167" s="62">
        <v>9102.2428036988713</v>
      </c>
      <c r="R167" s="62">
        <v>8611.6112942018881</v>
      </c>
      <c r="S167" s="62">
        <v>7428.0117162760034</v>
      </c>
      <c r="T167" s="62">
        <v>7031.4455206512721</v>
      </c>
      <c r="U167" s="62">
        <v>7042.1470122142964</v>
      </c>
      <c r="V167" s="62">
        <v>7045.6448104496194</v>
      </c>
      <c r="W167" s="62">
        <v>8241.9604346183587</v>
      </c>
      <c r="X167" s="62">
        <v>9392.258980927214</v>
      </c>
      <c r="Y167" s="62">
        <v>8807.1050086113974</v>
      </c>
      <c r="Z167" s="62">
        <v>7450.6832047114367</v>
      </c>
      <c r="AA167" s="62">
        <v>5772.5027045975439</v>
      </c>
      <c r="AB167" s="62">
        <v>4429.7710173350933</v>
      </c>
      <c r="AC167" s="53">
        <v>143947.37761622365</v>
      </c>
      <c r="AD167" s="105">
        <f>+SUMPRODUCT(AC167:AC169,C167:C169)</f>
        <v>5004348.3170812409</v>
      </c>
    </row>
    <row r="168" spans="1:30" ht="15.75" thickBot="1" x14ac:dyDescent="0.3">
      <c r="A168" s="54">
        <v>2030</v>
      </c>
      <c r="B168" s="55">
        <v>8</v>
      </c>
      <c r="C168" s="55">
        <v>20</v>
      </c>
      <c r="D168" s="56" t="s">
        <v>135</v>
      </c>
      <c r="E168" s="62">
        <v>3434.964967773034</v>
      </c>
      <c r="F168" s="62">
        <v>2898.5659398486969</v>
      </c>
      <c r="G168" s="62">
        <v>2484.5374131196531</v>
      </c>
      <c r="H168" s="62">
        <v>2182.8388017561119</v>
      </c>
      <c r="I168" s="62">
        <v>2186.2010147351048</v>
      </c>
      <c r="J168" s="62">
        <v>3027.3650514229375</v>
      </c>
      <c r="K168" s="62">
        <v>4018.6289382999712</v>
      </c>
      <c r="L168" s="62">
        <v>5204.7253693814382</v>
      </c>
      <c r="M168" s="62">
        <v>6948.5175331533937</v>
      </c>
      <c r="N168" s="62">
        <v>7844.413838890061</v>
      </c>
      <c r="O168" s="62">
        <v>8852.7183838898636</v>
      </c>
      <c r="P168" s="62">
        <v>10044.634650334785</v>
      </c>
      <c r="Q168" s="62">
        <v>10008.421444995776</v>
      </c>
      <c r="R168" s="62">
        <v>10138.31877190719</v>
      </c>
      <c r="S168" s="62">
        <v>10409.642837922918</v>
      </c>
      <c r="T168" s="62">
        <v>10322.017893409742</v>
      </c>
      <c r="U168" s="62">
        <v>10078.704201187993</v>
      </c>
      <c r="V168" s="62">
        <v>9319.3751913618617</v>
      </c>
      <c r="W168" s="62">
        <v>9822.3410080819849</v>
      </c>
      <c r="X168" s="62">
        <v>10700.331395127196</v>
      </c>
      <c r="Y168" s="62">
        <v>9940.1781355285639</v>
      </c>
      <c r="Z168" s="62">
        <v>8381.4014725858724</v>
      </c>
      <c r="AA168" s="62">
        <v>6181.8203623307963</v>
      </c>
      <c r="AB168" s="62">
        <v>4484.1075257668308</v>
      </c>
      <c r="AC168" s="57">
        <v>168914.77214281177</v>
      </c>
      <c r="AD168" s="106"/>
    </row>
    <row r="169" spans="1:30" ht="15.75" thickBot="1" x14ac:dyDescent="0.3">
      <c r="A169" s="58">
        <v>2030</v>
      </c>
      <c r="B169" s="59">
        <v>8</v>
      </c>
      <c r="C169" s="59">
        <v>5</v>
      </c>
      <c r="D169" s="60" t="s">
        <v>136</v>
      </c>
      <c r="E169" s="62">
        <v>2766.0515661926329</v>
      </c>
      <c r="F169" s="62">
        <v>2604.9271368062</v>
      </c>
      <c r="G169" s="62">
        <v>2236.9431132102582</v>
      </c>
      <c r="H169" s="62">
        <v>1862.8545909515869</v>
      </c>
      <c r="I169" s="62">
        <v>1787.1931428433927</v>
      </c>
      <c r="J169" s="62">
        <v>1970.4944559699106</v>
      </c>
      <c r="K169" s="62">
        <v>2523.2610019820168</v>
      </c>
      <c r="L169" s="62">
        <v>4232.7029507029074</v>
      </c>
      <c r="M169" s="62">
        <v>6220.3740280315869</v>
      </c>
      <c r="N169" s="62">
        <v>7446.0833655849056</v>
      </c>
      <c r="O169" s="62">
        <v>8485.6207984234061</v>
      </c>
      <c r="P169" s="62">
        <v>9736.5865509802788</v>
      </c>
      <c r="Q169" s="62">
        <v>10031.472297260356</v>
      </c>
      <c r="R169" s="62">
        <v>9683.3628284996594</v>
      </c>
      <c r="S169" s="62">
        <v>9165.8538545546435</v>
      </c>
      <c r="T169" s="62">
        <v>8785.0207063481284</v>
      </c>
      <c r="U169" s="62">
        <v>8362.8600888866677</v>
      </c>
      <c r="V169" s="62">
        <v>8253.1175188569832</v>
      </c>
      <c r="W169" s="62">
        <v>9419.2577557688091</v>
      </c>
      <c r="X169" s="62">
        <v>9705.035329202201</v>
      </c>
      <c r="Y169" s="62">
        <v>8888.1038232912033</v>
      </c>
      <c r="Z169" s="62">
        <v>7525.2089536580133</v>
      </c>
      <c r="AA169" s="62">
        <v>6057.7936750486842</v>
      </c>
      <c r="AB169" s="62">
        <v>4723.542172478501</v>
      </c>
      <c r="AC169" s="61">
        <v>152473.72170553292</v>
      </c>
      <c r="AD169" s="107"/>
    </row>
    <row r="170" spans="1:30" ht="15.75" thickBot="1" x14ac:dyDescent="0.3">
      <c r="A170" s="49">
        <v>2030</v>
      </c>
      <c r="B170" s="50">
        <v>9</v>
      </c>
      <c r="C170" s="50">
        <v>5</v>
      </c>
      <c r="D170" s="51" t="s">
        <v>134</v>
      </c>
      <c r="E170" s="62">
        <v>2974.8838248410157</v>
      </c>
      <c r="F170" s="62">
        <v>2308.6295624969534</v>
      </c>
      <c r="G170" s="62">
        <v>1803.3410799832691</v>
      </c>
      <c r="H170" s="62">
        <v>1483.5195801490045</v>
      </c>
      <c r="I170" s="62">
        <v>1340.5997263724712</v>
      </c>
      <c r="J170" s="62">
        <v>1419.1659466993533</v>
      </c>
      <c r="K170" s="62">
        <v>1637.7403169526769</v>
      </c>
      <c r="L170" s="62">
        <v>3102.2494868536778</v>
      </c>
      <c r="M170" s="62">
        <v>5096.8661914197837</v>
      </c>
      <c r="N170" s="62">
        <v>5636.6636620454701</v>
      </c>
      <c r="O170" s="62">
        <v>6275.3173717166901</v>
      </c>
      <c r="P170" s="62">
        <v>7041.9124463538355</v>
      </c>
      <c r="Q170" s="62">
        <v>7811.8762129946626</v>
      </c>
      <c r="R170" s="62">
        <v>7575.8163016021026</v>
      </c>
      <c r="S170" s="62">
        <v>7424.3387702231812</v>
      </c>
      <c r="T170" s="62">
        <v>6751.9049557799044</v>
      </c>
      <c r="U170" s="62">
        <v>6384.8043295976422</v>
      </c>
      <c r="V170" s="62">
        <v>6374.5118841161384</v>
      </c>
      <c r="W170" s="62">
        <v>8023.8612736144205</v>
      </c>
      <c r="X170" s="62">
        <v>8620.9724624187002</v>
      </c>
      <c r="Y170" s="62">
        <v>7003.4743813235618</v>
      </c>
      <c r="Z170" s="62">
        <v>5800.7645337898357</v>
      </c>
      <c r="AA170" s="62">
        <v>4484.6909880889871</v>
      </c>
      <c r="AB170" s="62">
        <v>3361.352834415422</v>
      </c>
      <c r="AC170" s="53">
        <v>119739.25812384873</v>
      </c>
      <c r="AD170" s="105">
        <f>+SUMPRODUCT(AC170:AC172,C170:C172)</f>
        <v>4698058.8191039395</v>
      </c>
    </row>
    <row r="171" spans="1:30" ht="15.75" thickBot="1" x14ac:dyDescent="0.3">
      <c r="A171" s="54">
        <v>2030</v>
      </c>
      <c r="B171" s="55">
        <v>9</v>
      </c>
      <c r="C171" s="55">
        <v>21</v>
      </c>
      <c r="D171" s="56" t="s">
        <v>135</v>
      </c>
      <c r="E171" s="62">
        <v>3457.3512171616421</v>
      </c>
      <c r="F171" s="62">
        <v>2845.655168499874</v>
      </c>
      <c r="G171" s="62">
        <v>2421.724466789392</v>
      </c>
      <c r="H171" s="62">
        <v>2090.0206746059666</v>
      </c>
      <c r="I171" s="62">
        <v>2022.1772322838806</v>
      </c>
      <c r="J171" s="62">
        <v>2839.5200209501327</v>
      </c>
      <c r="K171" s="62">
        <v>3851.8300865504243</v>
      </c>
      <c r="L171" s="62">
        <v>5146.5750126782332</v>
      </c>
      <c r="M171" s="62">
        <v>6799.2951243836724</v>
      </c>
      <c r="N171" s="62">
        <v>7534.5731552153957</v>
      </c>
      <c r="O171" s="62">
        <v>8423.8886887480876</v>
      </c>
      <c r="P171" s="62">
        <v>9766.7824709195265</v>
      </c>
      <c r="Q171" s="62">
        <v>9884.5064913284004</v>
      </c>
      <c r="R171" s="62">
        <v>9965.5853253467176</v>
      </c>
      <c r="S171" s="62">
        <v>10144.009970644325</v>
      </c>
      <c r="T171" s="62">
        <v>10062.600351375462</v>
      </c>
      <c r="U171" s="62">
        <v>9846.5320382828577</v>
      </c>
      <c r="V171" s="62">
        <v>9310.3683513225988</v>
      </c>
      <c r="W171" s="62">
        <v>10228.035549936281</v>
      </c>
      <c r="X171" s="62">
        <v>10853.076639479168</v>
      </c>
      <c r="Y171" s="62">
        <v>10210.355384577131</v>
      </c>
      <c r="Z171" s="62">
        <v>8731.3679744163892</v>
      </c>
      <c r="AA171" s="62">
        <v>6735.9157515307816</v>
      </c>
      <c r="AB171" s="62">
        <v>4974.1541196780709</v>
      </c>
      <c r="AC171" s="57">
        <v>168145.9012667044</v>
      </c>
      <c r="AD171" s="106"/>
    </row>
    <row r="172" spans="1:30" ht="15.75" thickBot="1" x14ac:dyDescent="0.3">
      <c r="A172" s="58">
        <v>2030</v>
      </c>
      <c r="B172" s="59">
        <v>9</v>
      </c>
      <c r="C172" s="59">
        <v>4</v>
      </c>
      <c r="D172" s="60" t="s">
        <v>136</v>
      </c>
      <c r="E172" s="62">
        <v>3902.9510045126735</v>
      </c>
      <c r="F172" s="62">
        <v>3119.0978848682116</v>
      </c>
      <c r="G172" s="62">
        <v>2692.6305992792786</v>
      </c>
      <c r="H172" s="62">
        <v>2275.9890583777542</v>
      </c>
      <c r="I172" s="62">
        <v>2158.2078725814881</v>
      </c>
      <c r="J172" s="62">
        <v>2277.1940132639793</v>
      </c>
      <c r="K172" s="62">
        <v>2822.5196890827992</v>
      </c>
      <c r="L172" s="62">
        <v>4429.2560573892661</v>
      </c>
      <c r="M172" s="62">
        <v>6396.6114502182281</v>
      </c>
      <c r="N172" s="62">
        <v>7457.4212424288417</v>
      </c>
      <c r="O172" s="62">
        <v>7801.0052961056463</v>
      </c>
      <c r="P172" s="62">
        <v>8715.9288029486343</v>
      </c>
      <c r="Q172" s="62">
        <v>7203.8365940236326</v>
      </c>
      <c r="R172" s="62">
        <v>8344.4257552980816</v>
      </c>
      <c r="S172" s="62">
        <v>7751.7220103926375</v>
      </c>
      <c r="T172" s="62">
        <v>7438.5551817625892</v>
      </c>
      <c r="U172" s="62">
        <v>7068.9952027243708</v>
      </c>
      <c r="V172" s="62">
        <v>7215.9744641864381</v>
      </c>
      <c r="W172" s="62">
        <v>8662.6000862367182</v>
      </c>
      <c r="X172" s="62">
        <v>9013.259306954893</v>
      </c>
      <c r="Y172" s="62">
        <v>8374.8887181611935</v>
      </c>
      <c r="Z172" s="62">
        <v>7241.5072058789519</v>
      </c>
      <c r="AA172" s="62">
        <v>5530.6163667199253</v>
      </c>
      <c r="AB172" s="62">
        <v>4179.4566075795301</v>
      </c>
      <c r="AC172" s="61">
        <v>142074.65047097573</v>
      </c>
      <c r="AD172" s="107"/>
    </row>
    <row r="173" spans="1:30" ht="15.75" thickBot="1" x14ac:dyDescent="0.3">
      <c r="A173" s="49">
        <v>2030</v>
      </c>
      <c r="B173" s="50">
        <v>10</v>
      </c>
      <c r="C173" s="50">
        <v>5</v>
      </c>
      <c r="D173" s="51" t="s">
        <v>134</v>
      </c>
      <c r="E173" s="62">
        <v>3742.2047070095068</v>
      </c>
      <c r="F173" s="62">
        <v>3278.7952741965892</v>
      </c>
      <c r="G173" s="62">
        <v>2831.2834395242953</v>
      </c>
      <c r="H173" s="62">
        <v>2508.7820420110475</v>
      </c>
      <c r="I173" s="62">
        <v>2372.4194272049081</v>
      </c>
      <c r="J173" s="62">
        <v>2420.3289888096024</v>
      </c>
      <c r="K173" s="62">
        <v>2713.1774385579665</v>
      </c>
      <c r="L173" s="62">
        <v>4030.9840888388753</v>
      </c>
      <c r="M173" s="62">
        <v>4977.5167254777625</v>
      </c>
      <c r="N173" s="62">
        <v>5933.2900668350412</v>
      </c>
      <c r="O173" s="62">
        <v>7788.9897624613404</v>
      </c>
      <c r="P173" s="62">
        <v>8680.1490884484483</v>
      </c>
      <c r="Q173" s="62">
        <v>9112.3427088699245</v>
      </c>
      <c r="R173" s="62">
        <v>8726.6777628145937</v>
      </c>
      <c r="S173" s="62">
        <v>7730.5643163530585</v>
      </c>
      <c r="T173" s="62">
        <v>7116.0427338207519</v>
      </c>
      <c r="U173" s="62">
        <v>6806.0616482174446</v>
      </c>
      <c r="V173" s="62">
        <v>6586.9394639307829</v>
      </c>
      <c r="W173" s="62">
        <v>7900.2314693058433</v>
      </c>
      <c r="X173" s="62">
        <v>8324.5719625926176</v>
      </c>
      <c r="Y173" s="62">
        <v>7970.0090930612168</v>
      </c>
      <c r="Z173" s="62">
        <v>7000.4094844211249</v>
      </c>
      <c r="AA173" s="62">
        <v>5537.6538303711604</v>
      </c>
      <c r="AB173" s="62">
        <v>4275.8560735310821</v>
      </c>
      <c r="AC173" s="53">
        <v>138365.28159666501</v>
      </c>
      <c r="AD173" s="105">
        <f>+SUMPRODUCT(AC173:AC175,C173:C175)</f>
        <v>4968875.4828954637</v>
      </c>
    </row>
    <row r="174" spans="1:30" ht="15.75" thickBot="1" x14ac:dyDescent="0.3">
      <c r="A174" s="54">
        <v>2030</v>
      </c>
      <c r="B174" s="55">
        <v>10</v>
      </c>
      <c r="C174" s="55">
        <v>22</v>
      </c>
      <c r="D174" s="56" t="s">
        <v>135</v>
      </c>
      <c r="E174" s="62">
        <v>3522.7774421430622</v>
      </c>
      <c r="F174" s="62">
        <v>3052.3835296420402</v>
      </c>
      <c r="G174" s="62">
        <v>2593.5441385602462</v>
      </c>
      <c r="H174" s="62">
        <v>2271.1749366811109</v>
      </c>
      <c r="I174" s="62">
        <v>2265.1502050344097</v>
      </c>
      <c r="J174" s="62">
        <v>2947.9580906281026</v>
      </c>
      <c r="K174" s="62">
        <v>3892.7996963122605</v>
      </c>
      <c r="L174" s="62">
        <v>5389.0329994418571</v>
      </c>
      <c r="M174" s="62">
        <v>7067.931776074769</v>
      </c>
      <c r="N174" s="62">
        <v>7703.039486534115</v>
      </c>
      <c r="O174" s="62">
        <v>8471.3884072982291</v>
      </c>
      <c r="P174" s="62">
        <v>9395.7492087817409</v>
      </c>
      <c r="Q174" s="62">
        <v>9437.6271284906434</v>
      </c>
      <c r="R174" s="62">
        <v>9484.5113183729482</v>
      </c>
      <c r="S174" s="62">
        <v>9063.2403868854017</v>
      </c>
      <c r="T174" s="62">
        <v>9384.5905192545251</v>
      </c>
      <c r="U174" s="62">
        <v>9325.9155856948455</v>
      </c>
      <c r="V174" s="62">
        <v>9244.735085721939</v>
      </c>
      <c r="W174" s="62">
        <v>10528.70733698902</v>
      </c>
      <c r="X174" s="62">
        <v>10834.752273552</v>
      </c>
      <c r="Y174" s="62">
        <v>10033.328284410203</v>
      </c>
      <c r="Z174" s="62">
        <v>8632.3986537139317</v>
      </c>
      <c r="AA174" s="62">
        <v>6741.2582823929297</v>
      </c>
      <c r="AB174" s="62">
        <v>5042.8238946102792</v>
      </c>
      <c r="AC174" s="57">
        <v>166326.81866722059</v>
      </c>
      <c r="AD174" s="106"/>
    </row>
    <row r="175" spans="1:30" ht="15.75" thickBot="1" x14ac:dyDescent="0.3">
      <c r="A175" s="58">
        <v>2030</v>
      </c>
      <c r="B175" s="59">
        <v>10</v>
      </c>
      <c r="C175" s="59">
        <v>4</v>
      </c>
      <c r="D175" s="60" t="s">
        <v>136</v>
      </c>
      <c r="E175" s="62">
        <v>3617.4865065370432</v>
      </c>
      <c r="F175" s="62">
        <v>2900.4687262559128</v>
      </c>
      <c r="G175" s="62">
        <v>1698.5372533939808</v>
      </c>
      <c r="H175" s="62">
        <v>1360.3768887580336</v>
      </c>
      <c r="I175" s="62">
        <v>1215.1011096924103</v>
      </c>
      <c r="J175" s="62">
        <v>1391.0616454603332</v>
      </c>
      <c r="K175" s="62">
        <v>2039.5568569125589</v>
      </c>
      <c r="L175" s="62">
        <v>3631.7000639882899</v>
      </c>
      <c r="M175" s="62">
        <v>5643.2936151464055</v>
      </c>
      <c r="N175" s="62">
        <v>7965.2005275107003</v>
      </c>
      <c r="O175" s="62">
        <v>8735.7918502083521</v>
      </c>
      <c r="P175" s="62">
        <v>9884.1481279145301</v>
      </c>
      <c r="Q175" s="62">
        <v>10097.250672589631</v>
      </c>
      <c r="R175" s="62">
        <v>9732.195282325305</v>
      </c>
      <c r="S175" s="62">
        <v>9329.8574003185131</v>
      </c>
      <c r="T175" s="62">
        <v>8990.5483819117981</v>
      </c>
      <c r="U175" s="62">
        <v>8632.0708938167591</v>
      </c>
      <c r="V175" s="62">
        <v>8548.1712391127039</v>
      </c>
      <c r="W175" s="62">
        <v>10057.809703401679</v>
      </c>
      <c r="X175" s="62">
        <v>9704.0342584402206</v>
      </c>
      <c r="Y175" s="62">
        <v>9461.5228717549471</v>
      </c>
      <c r="Z175" s="62">
        <v>8345.5718522983661</v>
      </c>
      <c r="AA175" s="62">
        <v>6763.6144771496183</v>
      </c>
      <c r="AB175" s="62">
        <v>4719.3958534231788</v>
      </c>
      <c r="AC175" s="61">
        <v>154464.76605832129</v>
      </c>
      <c r="AD175" s="107"/>
    </row>
    <row r="176" spans="1:30" ht="15.75" thickBot="1" x14ac:dyDescent="0.3">
      <c r="A176" s="49">
        <v>2030</v>
      </c>
      <c r="B176" s="50">
        <v>11</v>
      </c>
      <c r="C176" s="50">
        <v>6</v>
      </c>
      <c r="D176" s="51" t="s">
        <v>134</v>
      </c>
      <c r="E176" s="62">
        <v>3608.3890138155257</v>
      </c>
      <c r="F176" s="62">
        <v>2844.5092314330086</v>
      </c>
      <c r="G176" s="62">
        <v>2219.7275267177756</v>
      </c>
      <c r="H176" s="62">
        <v>2026.9065128143739</v>
      </c>
      <c r="I176" s="62">
        <v>1811.1790180809057</v>
      </c>
      <c r="J176" s="62">
        <v>1970.5487830667389</v>
      </c>
      <c r="K176" s="62">
        <v>2134.6678892230193</v>
      </c>
      <c r="L176" s="62">
        <v>3513.6304272968409</v>
      </c>
      <c r="M176" s="62">
        <v>5267.813294001342</v>
      </c>
      <c r="N176" s="62">
        <v>6271.1247622547126</v>
      </c>
      <c r="O176" s="62">
        <v>6978.6960424541394</v>
      </c>
      <c r="P176" s="62">
        <v>7945.4560440317982</v>
      </c>
      <c r="Q176" s="62">
        <v>8505.5348280004982</v>
      </c>
      <c r="R176" s="62">
        <v>8245.829217194525</v>
      </c>
      <c r="S176" s="62">
        <v>7243.0670838091683</v>
      </c>
      <c r="T176" s="62">
        <v>6703.564303012583</v>
      </c>
      <c r="U176" s="62">
        <v>6418.5076152734946</v>
      </c>
      <c r="V176" s="62">
        <v>6727.9285910381986</v>
      </c>
      <c r="W176" s="62">
        <v>8843.1430597011604</v>
      </c>
      <c r="X176" s="62">
        <v>8941.3643578623632</v>
      </c>
      <c r="Y176" s="62">
        <v>8481.1358569180557</v>
      </c>
      <c r="Z176" s="62">
        <v>7271.6906749763293</v>
      </c>
      <c r="AA176" s="62">
        <v>5705.963232246595</v>
      </c>
      <c r="AB176" s="62">
        <v>4200.5485065524881</v>
      </c>
      <c r="AC176" s="53">
        <v>133880.92587177563</v>
      </c>
      <c r="AD176" s="105">
        <f>+SUMPRODUCT(AC176:AC178,C176:C178)</f>
        <v>4496026.6897078892</v>
      </c>
    </row>
    <row r="177" spans="1:30" ht="15.75" thickBot="1" x14ac:dyDescent="0.3">
      <c r="A177" s="54">
        <v>2030</v>
      </c>
      <c r="B177" s="55">
        <v>11</v>
      </c>
      <c r="C177" s="55">
        <v>19</v>
      </c>
      <c r="D177" s="56" t="s">
        <v>135</v>
      </c>
      <c r="E177" s="62">
        <v>3390.4708008952548</v>
      </c>
      <c r="F177" s="62">
        <v>2703.8842918648552</v>
      </c>
      <c r="G177" s="62">
        <v>2285.3967672519284</v>
      </c>
      <c r="H177" s="62">
        <v>1925.9315180146568</v>
      </c>
      <c r="I177" s="62">
        <v>1876.1861181645818</v>
      </c>
      <c r="J177" s="62">
        <v>2543.4532870319981</v>
      </c>
      <c r="K177" s="62">
        <v>3567.5947451312277</v>
      </c>
      <c r="L177" s="62">
        <v>5014.3296940778055</v>
      </c>
      <c r="M177" s="62">
        <v>6547.6405565564964</v>
      </c>
      <c r="N177" s="62">
        <v>7622.8827652975124</v>
      </c>
      <c r="O177" s="62">
        <v>8321.238357465656</v>
      </c>
      <c r="P177" s="62">
        <v>9263.4032861487103</v>
      </c>
      <c r="Q177" s="62">
        <v>9226.7685568283159</v>
      </c>
      <c r="R177" s="62">
        <v>9244.4989124886051</v>
      </c>
      <c r="S177" s="62">
        <v>9080.9866265337114</v>
      </c>
      <c r="T177" s="62">
        <v>9064.6178151950226</v>
      </c>
      <c r="U177" s="62">
        <v>8800.409743890672</v>
      </c>
      <c r="V177" s="62">
        <v>8592.0452907865874</v>
      </c>
      <c r="W177" s="62">
        <v>9993.266053055373</v>
      </c>
      <c r="X177" s="62">
        <v>9897.684402973031</v>
      </c>
      <c r="Y177" s="62">
        <v>9147.2164502804953</v>
      </c>
      <c r="Z177" s="62">
        <v>7732.4690187241795</v>
      </c>
      <c r="AA177" s="62">
        <v>5976.4529287578698</v>
      </c>
      <c r="AB177" s="62">
        <v>4369.2178138946292</v>
      </c>
      <c r="AC177" s="57">
        <v>156188.04580130917</v>
      </c>
      <c r="AD177" s="106"/>
    </row>
    <row r="178" spans="1:30" ht="15.75" thickBot="1" x14ac:dyDescent="0.3">
      <c r="A178" s="58">
        <v>2030</v>
      </c>
      <c r="B178" s="59">
        <v>11</v>
      </c>
      <c r="C178" s="59">
        <v>5</v>
      </c>
      <c r="D178" s="60" t="s">
        <v>136</v>
      </c>
      <c r="E178" s="62">
        <v>3104.3740444132218</v>
      </c>
      <c r="F178" s="62">
        <v>2478.8239587359622</v>
      </c>
      <c r="G178" s="62">
        <v>1955.3258541431351</v>
      </c>
      <c r="H178" s="62">
        <v>1198.1414534879186</v>
      </c>
      <c r="I178" s="62">
        <v>1205.5592970390389</v>
      </c>
      <c r="J178" s="62">
        <v>1839.2853783267437</v>
      </c>
      <c r="K178" s="62">
        <v>2343.1252154468566</v>
      </c>
      <c r="L178" s="62">
        <v>3899.7593572944315</v>
      </c>
      <c r="M178" s="62">
        <v>6048.0349393471224</v>
      </c>
      <c r="N178" s="62">
        <v>7178.8887896096639</v>
      </c>
      <c r="O178" s="62">
        <v>8009.2695635230193</v>
      </c>
      <c r="P178" s="62">
        <v>8813.556288665568</v>
      </c>
      <c r="Q178" s="62">
        <v>9166.8577671453313</v>
      </c>
      <c r="R178" s="62">
        <v>8855.4654679589512</v>
      </c>
      <c r="S178" s="62">
        <v>8405.1414765465306</v>
      </c>
      <c r="T178" s="62">
        <v>8002.3348946003862</v>
      </c>
      <c r="U178" s="62">
        <v>7509.8372217944379</v>
      </c>
      <c r="V178" s="62">
        <v>7834.7007962595344</v>
      </c>
      <c r="W178" s="62">
        <v>9642.2492249200732</v>
      </c>
      <c r="X178" s="62">
        <v>9601.0052291260727</v>
      </c>
      <c r="Y178" s="62">
        <v>8957.1914043753823</v>
      </c>
      <c r="Z178" s="62">
        <v>7749.6790840587382</v>
      </c>
      <c r="AA178" s="62">
        <v>6396.8608327858055</v>
      </c>
      <c r="AB178" s="62">
        <v>4838.185310868299</v>
      </c>
      <c r="AC178" s="61">
        <v>145033.65285047225</v>
      </c>
      <c r="AD178" s="107"/>
    </row>
    <row r="179" spans="1:30" ht="15.75" thickBot="1" x14ac:dyDescent="0.3">
      <c r="A179" s="49">
        <v>2030</v>
      </c>
      <c r="B179" s="50">
        <v>12</v>
      </c>
      <c r="C179" s="50">
        <v>6</v>
      </c>
      <c r="D179" s="51" t="s">
        <v>134</v>
      </c>
      <c r="E179" s="62">
        <v>4833.2050779788078</v>
      </c>
      <c r="F179" s="62">
        <v>3912.8666981139868</v>
      </c>
      <c r="G179" s="62">
        <v>3334.5569686581293</v>
      </c>
      <c r="H179" s="62">
        <v>2910.8292635403031</v>
      </c>
      <c r="I179" s="62">
        <v>2668.759042402773</v>
      </c>
      <c r="J179" s="62">
        <v>2679.6805799444846</v>
      </c>
      <c r="K179" s="62">
        <v>2885.8058530865819</v>
      </c>
      <c r="L179" s="62">
        <v>3990.4775618038148</v>
      </c>
      <c r="M179" s="62">
        <v>5427.196053753145</v>
      </c>
      <c r="N179" s="62">
        <v>6436.7872109212331</v>
      </c>
      <c r="O179" s="62">
        <v>7145.3804752925898</v>
      </c>
      <c r="P179" s="62">
        <v>7860.1287509897302</v>
      </c>
      <c r="Q179" s="62">
        <v>8437.2386111526175</v>
      </c>
      <c r="R179" s="62">
        <v>8450.6246529523341</v>
      </c>
      <c r="S179" s="62">
        <v>7841.5853164619803</v>
      </c>
      <c r="T179" s="62">
        <v>7308.8319879837909</v>
      </c>
      <c r="U179" s="62">
        <v>6990.143976794745</v>
      </c>
      <c r="V179" s="62">
        <v>7112.7260779339413</v>
      </c>
      <c r="W179" s="62">
        <v>8835.3338812513612</v>
      </c>
      <c r="X179" s="62">
        <v>9197.8114404345724</v>
      </c>
      <c r="Y179" s="62">
        <v>8778.4889372569523</v>
      </c>
      <c r="Z179" s="62">
        <v>7885.1044393692864</v>
      </c>
      <c r="AA179" s="62">
        <v>6558.9284509944519</v>
      </c>
      <c r="AB179" s="62">
        <v>5107.9376501539991</v>
      </c>
      <c r="AC179" s="53">
        <v>146590.4289592256</v>
      </c>
      <c r="AD179" s="105">
        <f>+SUMPRODUCT(AC179:AC181,C179:C181)</f>
        <v>5174823.778321065</v>
      </c>
    </row>
    <row r="180" spans="1:30" ht="15.75" thickBot="1" x14ac:dyDescent="0.3">
      <c r="A180" s="54">
        <v>2030</v>
      </c>
      <c r="B180" s="55">
        <v>12</v>
      </c>
      <c r="C180" s="55">
        <v>21</v>
      </c>
      <c r="D180" s="56" t="s">
        <v>135</v>
      </c>
      <c r="E180" s="62">
        <v>4417.2104304354652</v>
      </c>
      <c r="F180" s="62">
        <v>3712.8106817274274</v>
      </c>
      <c r="G180" s="62">
        <v>3183.5421041505979</v>
      </c>
      <c r="H180" s="62">
        <v>2830.1910048313002</v>
      </c>
      <c r="I180" s="62">
        <v>2766.8326816846748</v>
      </c>
      <c r="J180" s="62">
        <v>3183.2822033910816</v>
      </c>
      <c r="K180" s="62">
        <v>3909.0499555855167</v>
      </c>
      <c r="L180" s="62">
        <v>5612.2506348144198</v>
      </c>
      <c r="M180" s="62">
        <v>7025.1484402681199</v>
      </c>
      <c r="N180" s="62">
        <v>7645.0536924996595</v>
      </c>
      <c r="O180" s="62">
        <v>9317.2560378627895</v>
      </c>
      <c r="P180" s="62">
        <v>9106.6589477896669</v>
      </c>
      <c r="Q180" s="62">
        <v>9612.6959640834648</v>
      </c>
      <c r="R180" s="62">
        <v>9284.9340264565872</v>
      </c>
      <c r="S180" s="62">
        <v>9213.2879403355837</v>
      </c>
      <c r="T180" s="62">
        <v>9656.6013593528914</v>
      </c>
      <c r="U180" s="62">
        <v>9401.8292641246226</v>
      </c>
      <c r="V180" s="62">
        <v>9563.7454558494355</v>
      </c>
      <c r="W180" s="62">
        <v>10950.477826643291</v>
      </c>
      <c r="X180" s="62">
        <v>11029.014089951805</v>
      </c>
      <c r="Y180" s="62">
        <v>10295.672558826274</v>
      </c>
      <c r="Z180" s="62">
        <v>8985.1205021434798</v>
      </c>
      <c r="AA180" s="62">
        <v>7294.1255815826225</v>
      </c>
      <c r="AB180" s="62">
        <v>5665.5890736605288</v>
      </c>
      <c r="AC180" s="57">
        <v>173662.38045805134</v>
      </c>
      <c r="AD180" s="106"/>
    </row>
    <row r="181" spans="1:30" ht="15.75" thickBot="1" x14ac:dyDescent="0.3">
      <c r="A181" s="58">
        <v>2030</v>
      </c>
      <c r="B181" s="59">
        <v>12</v>
      </c>
      <c r="C181" s="59">
        <v>4</v>
      </c>
      <c r="D181" s="60" t="s">
        <v>136</v>
      </c>
      <c r="E181" s="62">
        <v>4298.4222510928885</v>
      </c>
      <c r="F181" s="62">
        <v>3461.9414110126127</v>
      </c>
      <c r="G181" s="62">
        <v>2970.6457900487294</v>
      </c>
      <c r="H181" s="62">
        <v>2534.3845337441799</v>
      </c>
      <c r="I181" s="62">
        <v>2352.0906583340147</v>
      </c>
      <c r="J181" s="62">
        <v>2485.7191106414903</v>
      </c>
      <c r="K181" s="62">
        <v>3081.5082593007392</v>
      </c>
      <c r="L181" s="62">
        <v>4489.6409452306798</v>
      </c>
      <c r="M181" s="62">
        <v>6488.4977160622184</v>
      </c>
      <c r="N181" s="62">
        <v>7609.2187284815409</v>
      </c>
      <c r="O181" s="62">
        <v>8351.4001517750694</v>
      </c>
      <c r="P181" s="62">
        <v>9075.035037410431</v>
      </c>
      <c r="Q181" s="62">
        <v>9264.8685775468948</v>
      </c>
      <c r="R181" s="62">
        <v>9050.6020275668525</v>
      </c>
      <c r="S181" s="62">
        <v>8738.3094604594262</v>
      </c>
      <c r="T181" s="62">
        <v>8552.617548079721</v>
      </c>
      <c r="U181" s="62">
        <v>8349.7262078633612</v>
      </c>
      <c r="V181" s="62">
        <v>8547.2585065689855</v>
      </c>
      <c r="W181" s="62">
        <v>10231.866893594593</v>
      </c>
      <c r="X181" s="62">
        <v>10522.512322389204</v>
      </c>
      <c r="Y181" s="62">
        <v>9736.4815233009576</v>
      </c>
      <c r="Z181" s="62">
        <v>8621.8579553369018</v>
      </c>
      <c r="AA181" s="62">
        <v>7353.402746304484</v>
      </c>
      <c r="AB181" s="62">
        <v>5924.7953745122832</v>
      </c>
      <c r="AC181" s="61">
        <v>162092.80373665827</v>
      </c>
      <c r="AD181" s="107"/>
    </row>
    <row r="182" spans="1:30" ht="15.75" thickBot="1" x14ac:dyDescent="0.3">
      <c r="A182" s="49">
        <v>2031</v>
      </c>
      <c r="B182" s="50">
        <v>1</v>
      </c>
      <c r="C182" s="50">
        <v>6</v>
      </c>
      <c r="D182" s="51" t="s">
        <v>134</v>
      </c>
      <c r="E182" s="62">
        <v>5115.6604904947271</v>
      </c>
      <c r="F182" s="62">
        <v>4343.0393305198741</v>
      </c>
      <c r="G182" s="62">
        <v>3732.1725101626325</v>
      </c>
      <c r="H182" s="62">
        <v>3371.5400961438045</v>
      </c>
      <c r="I182" s="62">
        <v>3195.9088126408769</v>
      </c>
      <c r="J182" s="62">
        <v>3199.9007511428335</v>
      </c>
      <c r="K182" s="62">
        <v>3053.3683714068939</v>
      </c>
      <c r="L182" s="62">
        <v>3878.8428402571735</v>
      </c>
      <c r="M182" s="62">
        <v>5113.6709876668101</v>
      </c>
      <c r="N182" s="62">
        <v>6214.4685065885278</v>
      </c>
      <c r="O182" s="62">
        <v>6752.3326438174699</v>
      </c>
      <c r="P182" s="62">
        <v>7485.7457253092507</v>
      </c>
      <c r="Q182" s="62">
        <v>8034.7234883028214</v>
      </c>
      <c r="R182" s="62">
        <v>7989.2720783559671</v>
      </c>
      <c r="S182" s="62">
        <v>7263.3923797283096</v>
      </c>
      <c r="T182" s="62">
        <v>6947.9667293172606</v>
      </c>
      <c r="U182" s="62">
        <v>6691.0104762086667</v>
      </c>
      <c r="V182" s="62">
        <v>6565.0930531858685</v>
      </c>
      <c r="W182" s="62">
        <v>8324.2446479382015</v>
      </c>
      <c r="X182" s="62">
        <v>9740.2220931947195</v>
      </c>
      <c r="Y182" s="62">
        <v>9612.4477290167088</v>
      </c>
      <c r="Z182" s="62">
        <v>8588.2255919635718</v>
      </c>
      <c r="AA182" s="62">
        <v>7193.6843391487346</v>
      </c>
      <c r="AB182" s="62">
        <v>5906.6570693298381</v>
      </c>
      <c r="AC182" s="53">
        <v>148313.59074184156</v>
      </c>
      <c r="AD182" s="105">
        <f>+SUMPRODUCT(AC182:AC184,C182:C184)</f>
        <v>5540324.0404217392</v>
      </c>
    </row>
    <row r="183" spans="1:30" ht="15.75" thickBot="1" x14ac:dyDescent="0.3">
      <c r="A183" s="54">
        <v>2031</v>
      </c>
      <c r="B183" s="55">
        <v>1</v>
      </c>
      <c r="C183" s="55">
        <v>21</v>
      </c>
      <c r="D183" s="56" t="s">
        <v>135</v>
      </c>
      <c r="E183" s="62">
        <v>5183.9319409894852</v>
      </c>
      <c r="F183" s="62">
        <v>4459.3721785824528</v>
      </c>
      <c r="G183" s="62">
        <v>3872.7385652316188</v>
      </c>
      <c r="H183" s="62">
        <v>3493.7448564598271</v>
      </c>
      <c r="I183" s="62">
        <v>3433.0426640403603</v>
      </c>
      <c r="J183" s="62">
        <v>3865.3171510279644</v>
      </c>
      <c r="K183" s="62">
        <v>4367.7937215448219</v>
      </c>
      <c r="L183" s="62">
        <v>5689.0656447685542</v>
      </c>
      <c r="M183" s="62">
        <v>7567.730692231311</v>
      </c>
      <c r="N183" s="62">
        <v>8523.7264843181802</v>
      </c>
      <c r="O183" s="62">
        <v>9301.6302239570105</v>
      </c>
      <c r="P183" s="62">
        <v>10386.063064066224</v>
      </c>
      <c r="Q183" s="62">
        <v>10512.313426135559</v>
      </c>
      <c r="R183" s="62">
        <v>10383.476220441284</v>
      </c>
      <c r="S183" s="62">
        <v>10319.926064560121</v>
      </c>
      <c r="T183" s="62">
        <v>10155.626503702555</v>
      </c>
      <c r="U183" s="62">
        <v>10027.056583602716</v>
      </c>
      <c r="V183" s="62">
        <v>9461.3427694057755</v>
      </c>
      <c r="W183" s="62">
        <v>10313.259647381547</v>
      </c>
      <c r="X183" s="62">
        <v>11292.176951845606</v>
      </c>
      <c r="Y183" s="62">
        <v>10937.746080139244</v>
      </c>
      <c r="Z183" s="62">
        <v>9757.2436451151734</v>
      </c>
      <c r="AA183" s="62">
        <v>8069.9254876232444</v>
      </c>
      <c r="AB183" s="62">
        <v>6480.2485766729187</v>
      </c>
      <c r="AC183" s="57">
        <v>187854.49914384354</v>
      </c>
      <c r="AD183" s="106"/>
    </row>
    <row r="184" spans="1:30" ht="15.75" thickBot="1" x14ac:dyDescent="0.3">
      <c r="A184" s="58">
        <v>2031</v>
      </c>
      <c r="B184" s="59">
        <v>1</v>
      </c>
      <c r="C184" s="59">
        <v>4</v>
      </c>
      <c r="D184" s="60" t="s">
        <v>136</v>
      </c>
      <c r="E184" s="62">
        <v>4931.8600574010816</v>
      </c>
      <c r="F184" s="62">
        <v>4163.6314173745814</v>
      </c>
      <c r="G184" s="62">
        <v>3763.7032655600597</v>
      </c>
      <c r="H184" s="62">
        <v>3421.1424599428938</v>
      </c>
      <c r="I184" s="62">
        <v>3097.2364655774218</v>
      </c>
      <c r="J184" s="62">
        <v>3211.2288243488456</v>
      </c>
      <c r="K184" s="62">
        <v>3335.5876923091255</v>
      </c>
      <c r="L184" s="62">
        <v>4729.7000474495508</v>
      </c>
      <c r="M184" s="62">
        <v>6697.3779482218779</v>
      </c>
      <c r="N184" s="62">
        <v>7716.0460803481074</v>
      </c>
      <c r="O184" s="62">
        <v>8617.7623297862046</v>
      </c>
      <c r="P184" s="62">
        <v>9624.0462441527379</v>
      </c>
      <c r="Q184" s="62">
        <v>10077.636614432457</v>
      </c>
      <c r="R184" s="62">
        <v>9952.5942763079838</v>
      </c>
      <c r="S184" s="62">
        <v>9645.1814961677628</v>
      </c>
      <c r="T184" s="62">
        <v>9398.0465332589956</v>
      </c>
      <c r="U184" s="62">
        <v>9021.4086901015944</v>
      </c>
      <c r="V184" s="62">
        <v>8799.8335492181141</v>
      </c>
      <c r="W184" s="62">
        <v>10024.937467562253</v>
      </c>
      <c r="X184" s="62">
        <v>11035.438294736054</v>
      </c>
      <c r="Y184" s="62">
        <v>10645.992743932533</v>
      </c>
      <c r="Z184" s="62">
        <v>9661.5733344356413</v>
      </c>
      <c r="AA184" s="62">
        <v>8126.6138023979402</v>
      </c>
      <c r="AB184" s="62">
        <v>6675.9238524699722</v>
      </c>
      <c r="AC184" s="61">
        <v>176374.50348749378</v>
      </c>
      <c r="AD184" s="107"/>
    </row>
    <row r="185" spans="1:30" ht="15.75" thickBot="1" x14ac:dyDescent="0.3">
      <c r="A185" s="49">
        <v>2031</v>
      </c>
      <c r="B185" s="50">
        <v>2</v>
      </c>
      <c r="C185" s="50">
        <v>4</v>
      </c>
      <c r="D185" s="51" t="s">
        <v>134</v>
      </c>
      <c r="E185" s="62">
        <v>4138.1175218497228</v>
      </c>
      <c r="F185" s="62">
        <v>3425.1713096470703</v>
      </c>
      <c r="G185" s="62">
        <v>2893.5307035727255</v>
      </c>
      <c r="H185" s="62">
        <v>2422.8627197173446</v>
      </c>
      <c r="I185" s="62">
        <v>1801.5543249875118</v>
      </c>
      <c r="J185" s="62">
        <v>1673.7527361152333</v>
      </c>
      <c r="K185" s="62">
        <v>1949.621260961092</v>
      </c>
      <c r="L185" s="62">
        <v>3266.9256355363013</v>
      </c>
      <c r="M185" s="62">
        <v>4750.6721096524016</v>
      </c>
      <c r="N185" s="62">
        <v>5676.4735632986085</v>
      </c>
      <c r="O185" s="62">
        <v>6266.266103409991</v>
      </c>
      <c r="P185" s="62">
        <v>7006.719015716666</v>
      </c>
      <c r="Q185" s="62">
        <v>7623.3441774824896</v>
      </c>
      <c r="R185" s="62">
        <v>7497.6876628563623</v>
      </c>
      <c r="S185" s="62">
        <v>6836.6316718949274</v>
      </c>
      <c r="T185" s="62">
        <v>6292.1375106921514</v>
      </c>
      <c r="U185" s="62">
        <v>6011.2586943179158</v>
      </c>
      <c r="V185" s="62">
        <v>5703.8773858260429</v>
      </c>
      <c r="W185" s="62">
        <v>6935.2452032547917</v>
      </c>
      <c r="X185" s="62">
        <v>8262.7866644434616</v>
      </c>
      <c r="Y185" s="62">
        <v>8366.2907194067193</v>
      </c>
      <c r="Z185" s="62">
        <v>7408.6816687606988</v>
      </c>
      <c r="AA185" s="62">
        <v>5832.9088991586977</v>
      </c>
      <c r="AB185" s="62">
        <v>4382.2552240066398</v>
      </c>
      <c r="AC185" s="53">
        <v>126424.77248656556</v>
      </c>
      <c r="AD185" s="105">
        <f>+SUMPRODUCT(AC185:AC187,C185:C187)</f>
        <v>4239314.7311967006</v>
      </c>
    </row>
    <row r="186" spans="1:30" ht="15.75" thickBot="1" x14ac:dyDescent="0.3">
      <c r="A186" s="54">
        <v>2031</v>
      </c>
      <c r="B186" s="55">
        <v>2</v>
      </c>
      <c r="C186" s="55">
        <v>20</v>
      </c>
      <c r="D186" s="56" t="s">
        <v>135</v>
      </c>
      <c r="E186" s="62">
        <v>3571.2255418899731</v>
      </c>
      <c r="F186" s="62">
        <v>2999.0822614738972</v>
      </c>
      <c r="G186" s="62">
        <v>2526.2798682337525</v>
      </c>
      <c r="H186" s="62">
        <v>2279.0177762396324</v>
      </c>
      <c r="I186" s="62">
        <v>2234.0394724708258</v>
      </c>
      <c r="J186" s="62">
        <v>3005.1516592862863</v>
      </c>
      <c r="K186" s="62">
        <v>3773.5004588882621</v>
      </c>
      <c r="L186" s="62">
        <v>4642.5036786787168</v>
      </c>
      <c r="M186" s="62">
        <v>6208.9657230376288</v>
      </c>
      <c r="N186" s="62">
        <v>6980.5259068170744</v>
      </c>
      <c r="O186" s="62">
        <v>7771.2103860762036</v>
      </c>
      <c r="P186" s="62">
        <v>8789.7570623973224</v>
      </c>
      <c r="Q186" s="62">
        <v>8847.9262893142368</v>
      </c>
      <c r="R186" s="62">
        <v>8810.3190880676848</v>
      </c>
      <c r="S186" s="62">
        <v>9189.0574956647688</v>
      </c>
      <c r="T186" s="62">
        <v>9154.5194432559583</v>
      </c>
      <c r="U186" s="62">
        <v>8989.4474952601595</v>
      </c>
      <c r="V186" s="62">
        <v>8522.4072596702972</v>
      </c>
      <c r="W186" s="62">
        <v>9093.8786924941705</v>
      </c>
      <c r="X186" s="62">
        <v>10192.36015120021</v>
      </c>
      <c r="Y186" s="62">
        <v>9746.5354550037518</v>
      </c>
      <c r="Z186" s="62">
        <v>7921.6705360645283</v>
      </c>
      <c r="AA186" s="62">
        <v>6356.7225144485783</v>
      </c>
      <c r="AB186" s="62">
        <v>4741.7939998606817</v>
      </c>
      <c r="AC186" s="57">
        <v>156347.89821579456</v>
      </c>
      <c r="AD186" s="106"/>
    </row>
    <row r="187" spans="1:30" ht="15.75" thickBot="1" x14ac:dyDescent="0.3">
      <c r="A187" s="58">
        <v>2031</v>
      </c>
      <c r="B187" s="59">
        <v>2</v>
      </c>
      <c r="C187" s="59">
        <v>4</v>
      </c>
      <c r="D187" s="60" t="s">
        <v>136</v>
      </c>
      <c r="E187" s="62">
        <v>3913.1921368286858</v>
      </c>
      <c r="F187" s="62">
        <v>3182.4667672560863</v>
      </c>
      <c r="G187" s="62">
        <v>2706.0542833284871</v>
      </c>
      <c r="H187" s="62">
        <v>2052.6563766851796</v>
      </c>
      <c r="I187" s="62">
        <v>2209.8528585010026</v>
      </c>
      <c r="J187" s="62">
        <v>2476.0995329329544</v>
      </c>
      <c r="K187" s="62">
        <v>2844.6438346436644</v>
      </c>
      <c r="L187" s="62">
        <v>4358.4721176060993</v>
      </c>
      <c r="M187" s="62">
        <v>5745.1353924532887</v>
      </c>
      <c r="N187" s="62">
        <v>6545.784697368963</v>
      </c>
      <c r="O187" s="62">
        <v>7570.5612389596099</v>
      </c>
      <c r="P187" s="62">
        <v>8302.3782940260862</v>
      </c>
      <c r="Q187" s="62">
        <v>8914.0834702238535</v>
      </c>
      <c r="R187" s="62">
        <v>8741.7855986302566</v>
      </c>
      <c r="S187" s="62">
        <v>8355.9253896349255</v>
      </c>
      <c r="T187" s="62">
        <v>8394.1188086614056</v>
      </c>
      <c r="U187" s="62">
        <v>8191.4593102649378</v>
      </c>
      <c r="V187" s="62">
        <v>7909.570853949117</v>
      </c>
      <c r="W187" s="62">
        <v>8661.2952066879952</v>
      </c>
      <c r="X187" s="62">
        <v>9776.1599400765554</v>
      </c>
      <c r="Y187" s="62">
        <v>9516.0631458377029</v>
      </c>
      <c r="Z187" s="62">
        <v>8534.1909342849649</v>
      </c>
      <c r="AA187" s="62">
        <v>7121.5187586768734</v>
      </c>
      <c r="AB187" s="62">
        <v>5640.9502861180481</v>
      </c>
      <c r="AC187" s="61">
        <v>151664.41923363673</v>
      </c>
      <c r="AD187" s="107"/>
    </row>
    <row r="188" spans="1:30" ht="15.75" thickBot="1" x14ac:dyDescent="0.3">
      <c r="A188" s="49">
        <v>2031</v>
      </c>
      <c r="B188" s="50">
        <v>3</v>
      </c>
      <c r="C188" s="50">
        <v>6</v>
      </c>
      <c r="D188" s="51" t="s">
        <v>134</v>
      </c>
      <c r="E188" s="62">
        <v>3666.6814663836522</v>
      </c>
      <c r="F188" s="62">
        <v>3918.2830108795606</v>
      </c>
      <c r="G188" s="62">
        <v>3117.0434245954257</v>
      </c>
      <c r="H188" s="62">
        <v>2744.0958828950279</v>
      </c>
      <c r="I188" s="62">
        <v>2611.5141293303113</v>
      </c>
      <c r="J188" s="62">
        <v>2652.4118023209885</v>
      </c>
      <c r="K188" s="62">
        <v>2663.2317053666011</v>
      </c>
      <c r="L188" s="62">
        <v>3694.7288432379864</v>
      </c>
      <c r="M188" s="62">
        <v>5320.8207672107201</v>
      </c>
      <c r="N188" s="62">
        <v>6156.8222608785618</v>
      </c>
      <c r="O188" s="62">
        <v>6891.4284272892291</v>
      </c>
      <c r="P188" s="62">
        <v>7794.3848768985372</v>
      </c>
      <c r="Q188" s="62">
        <v>8462.2976033697123</v>
      </c>
      <c r="R188" s="62">
        <v>8111.837865550533</v>
      </c>
      <c r="S188" s="62">
        <v>5588.6525949897987</v>
      </c>
      <c r="T188" s="62">
        <v>6674.6316616527656</v>
      </c>
      <c r="U188" s="62">
        <v>6349.7233233707157</v>
      </c>
      <c r="V188" s="62">
        <v>6201.2868406502675</v>
      </c>
      <c r="W188" s="62">
        <v>7714.1834923849528</v>
      </c>
      <c r="X188" s="62">
        <v>10075.423478221623</v>
      </c>
      <c r="Y188" s="62">
        <v>10178.763455618071</v>
      </c>
      <c r="Z188" s="62">
        <v>9430.0191339400226</v>
      </c>
      <c r="AA188" s="62">
        <v>8054.0882728785546</v>
      </c>
      <c r="AB188" s="62">
        <v>6366.5941065013467</v>
      </c>
      <c r="AC188" s="53">
        <v>144438.94842641495</v>
      </c>
      <c r="AD188" s="105">
        <f>+SUMPRODUCT(AC188:AC190,C188:C190)</f>
        <v>5209210.5967905978</v>
      </c>
    </row>
    <row r="189" spans="1:30" ht="15.75" thickBot="1" x14ac:dyDescent="0.3">
      <c r="A189" s="54">
        <v>2031</v>
      </c>
      <c r="B189" s="55">
        <v>3</v>
      </c>
      <c r="C189" s="55">
        <v>20</v>
      </c>
      <c r="D189" s="56" t="s">
        <v>135</v>
      </c>
      <c r="E189" s="62">
        <v>4542.9402737291275</v>
      </c>
      <c r="F189" s="62">
        <v>3829.4441818641208</v>
      </c>
      <c r="G189" s="62">
        <v>3316.3243215050097</v>
      </c>
      <c r="H189" s="62">
        <v>2991.3760439258476</v>
      </c>
      <c r="I189" s="62">
        <v>2861.4894938376474</v>
      </c>
      <c r="J189" s="62">
        <v>3605.0037178589846</v>
      </c>
      <c r="K189" s="62">
        <v>4413.4682333650417</v>
      </c>
      <c r="L189" s="62">
        <v>5419.7758653962919</v>
      </c>
      <c r="M189" s="62">
        <v>7110.1432819833426</v>
      </c>
      <c r="N189" s="62">
        <v>7979.1618391397351</v>
      </c>
      <c r="O189" s="62">
        <v>8620.2770489707545</v>
      </c>
      <c r="P189" s="62">
        <v>9510.5359911308587</v>
      </c>
      <c r="Q189" s="62">
        <v>9523.0457650703829</v>
      </c>
      <c r="R189" s="62">
        <v>9489.9799789528988</v>
      </c>
      <c r="S189" s="62">
        <v>9583.2716531891128</v>
      </c>
      <c r="T189" s="62">
        <v>9698.4333929995519</v>
      </c>
      <c r="U189" s="62">
        <v>9696.3842325144506</v>
      </c>
      <c r="V189" s="62">
        <v>9118.8041520631632</v>
      </c>
      <c r="W189" s="62">
        <v>9942.6407894734584</v>
      </c>
      <c r="X189" s="62">
        <v>11083.150622314293</v>
      </c>
      <c r="Y189" s="62">
        <v>10682.469762978824</v>
      </c>
      <c r="Z189" s="62">
        <v>9461.1136225143709</v>
      </c>
      <c r="AA189" s="62">
        <v>7589.1913065820518</v>
      </c>
      <c r="AB189" s="62">
        <v>5894.8180421142897</v>
      </c>
      <c r="AC189" s="57">
        <v>175963.24361347361</v>
      </c>
      <c r="AD189" s="106"/>
    </row>
    <row r="190" spans="1:30" ht="15.75" thickBot="1" x14ac:dyDescent="0.3">
      <c r="A190" s="58">
        <v>2031</v>
      </c>
      <c r="B190" s="59">
        <v>3</v>
      </c>
      <c r="C190" s="59">
        <v>5</v>
      </c>
      <c r="D190" s="60" t="s">
        <v>136</v>
      </c>
      <c r="E190" s="62">
        <v>4751.4309918559193</v>
      </c>
      <c r="F190" s="62">
        <v>3847.4459428346454</v>
      </c>
      <c r="G190" s="62">
        <v>3358.5085494907562</v>
      </c>
      <c r="H190" s="62">
        <v>3054.2426104826427</v>
      </c>
      <c r="I190" s="62">
        <v>2926.926210560805</v>
      </c>
      <c r="J190" s="62">
        <v>3058.6787450138145</v>
      </c>
      <c r="K190" s="62">
        <v>3144.5757964441291</v>
      </c>
      <c r="L190" s="62">
        <v>4440.8275289110206</v>
      </c>
      <c r="M190" s="62">
        <v>7037.7248165115925</v>
      </c>
      <c r="N190" s="62">
        <v>7990.8855076636974</v>
      </c>
      <c r="O190" s="62">
        <v>8557.4929393073653</v>
      </c>
      <c r="P190" s="62">
        <v>9339.4399934883113</v>
      </c>
      <c r="Q190" s="62">
        <v>9608.198344806362</v>
      </c>
      <c r="R190" s="62">
        <v>9336.605098574797</v>
      </c>
      <c r="S190" s="62">
        <v>9109.8492061292636</v>
      </c>
      <c r="T190" s="62">
        <v>8933.8820956440759</v>
      </c>
      <c r="U190" s="62">
        <v>8591.3133414052463</v>
      </c>
      <c r="V190" s="62">
        <v>8309.5692144595778</v>
      </c>
      <c r="W190" s="62">
        <v>9463.0197268870106</v>
      </c>
      <c r="X190" s="62">
        <v>10510.944449548737</v>
      </c>
      <c r="Y190" s="62">
        <v>10204.084264355777</v>
      </c>
      <c r="Z190" s="62">
        <v>7880.2095706553737</v>
      </c>
      <c r="AA190" s="62">
        <v>6408.1216300337255</v>
      </c>
      <c r="AB190" s="62">
        <v>4798.4302174626573</v>
      </c>
      <c r="AC190" s="61">
        <v>164662.4067925273</v>
      </c>
      <c r="AD190" s="107"/>
    </row>
    <row r="191" spans="1:30" ht="15.75" thickBot="1" x14ac:dyDescent="0.3">
      <c r="A191" s="49">
        <v>2031</v>
      </c>
      <c r="B191" s="50">
        <v>4</v>
      </c>
      <c r="C191" s="50">
        <v>6</v>
      </c>
      <c r="D191" s="51" t="s">
        <v>134</v>
      </c>
      <c r="E191" s="62">
        <v>3932.5503259281177</v>
      </c>
      <c r="F191" s="62">
        <v>3126.3510647171806</v>
      </c>
      <c r="G191" s="62">
        <v>2756.0587135189871</v>
      </c>
      <c r="H191" s="62">
        <v>2283.6584743616495</v>
      </c>
      <c r="I191" s="62">
        <v>2150.5871300556846</v>
      </c>
      <c r="J191" s="62">
        <v>2137.1136524537505</v>
      </c>
      <c r="K191" s="62">
        <v>2146.1523764089834</v>
      </c>
      <c r="L191" s="62">
        <v>3321.8601644694736</v>
      </c>
      <c r="M191" s="62">
        <v>4936.0897388829944</v>
      </c>
      <c r="N191" s="62">
        <v>5986.4223479833672</v>
      </c>
      <c r="O191" s="62">
        <v>6746.0966054939672</v>
      </c>
      <c r="P191" s="62">
        <v>7615.3594045232676</v>
      </c>
      <c r="Q191" s="62">
        <v>8267.4246361818077</v>
      </c>
      <c r="R191" s="62">
        <v>8058.6703416826749</v>
      </c>
      <c r="S191" s="62">
        <v>7106.073125855226</v>
      </c>
      <c r="T191" s="62">
        <v>6555.5905719507355</v>
      </c>
      <c r="U191" s="62">
        <v>6212.5947839652836</v>
      </c>
      <c r="V191" s="62">
        <v>6193.1348678553768</v>
      </c>
      <c r="W191" s="62">
        <v>7817.2396712316404</v>
      </c>
      <c r="X191" s="62">
        <v>9043.048362261241</v>
      </c>
      <c r="Y191" s="62">
        <v>8720.8742055983057</v>
      </c>
      <c r="Z191" s="62">
        <v>7766.7348832112002</v>
      </c>
      <c r="AA191" s="62">
        <v>6141.9532131876331</v>
      </c>
      <c r="AB191" s="62">
        <v>4622.1944275806891</v>
      </c>
      <c r="AC191" s="53">
        <v>133643.83308935922</v>
      </c>
      <c r="AD191" s="105">
        <f>+SUMPRODUCT(AC191:AC193,C191:C193)</f>
        <v>4652443.8324810956</v>
      </c>
    </row>
    <row r="192" spans="1:30" ht="15.75" thickBot="1" x14ac:dyDescent="0.3">
      <c r="A192" s="54">
        <v>2031</v>
      </c>
      <c r="B192" s="55">
        <v>4</v>
      </c>
      <c r="C192" s="55">
        <v>20</v>
      </c>
      <c r="D192" s="56" t="s">
        <v>135</v>
      </c>
      <c r="E192" s="62">
        <v>3573.0751868471525</v>
      </c>
      <c r="F192" s="62">
        <v>2810.1923342626742</v>
      </c>
      <c r="G192" s="62">
        <v>2427.8237824443877</v>
      </c>
      <c r="H192" s="62">
        <v>2103.317988066663</v>
      </c>
      <c r="I192" s="62">
        <v>2006.4844275863506</v>
      </c>
      <c r="J192" s="62">
        <v>2762.1886383442543</v>
      </c>
      <c r="K192" s="62">
        <v>3556.9261354847113</v>
      </c>
      <c r="L192" s="62">
        <v>4762.7198491993768</v>
      </c>
      <c r="M192" s="62">
        <v>6408.4367945799859</v>
      </c>
      <c r="N192" s="62">
        <v>7193.217166063092</v>
      </c>
      <c r="O192" s="62">
        <v>7706.7793313984657</v>
      </c>
      <c r="P192" s="62">
        <v>8841.7880959803224</v>
      </c>
      <c r="Q192" s="62">
        <v>8898.759019412515</v>
      </c>
      <c r="R192" s="62">
        <v>9182.884374966281</v>
      </c>
      <c r="S192" s="62">
        <v>9731.3350982794946</v>
      </c>
      <c r="T192" s="62">
        <v>9891.2256333440564</v>
      </c>
      <c r="U192" s="62">
        <v>9641.7053465277131</v>
      </c>
      <c r="V192" s="62">
        <v>9188.3415428442022</v>
      </c>
      <c r="W192" s="62">
        <v>9990.3062799667241</v>
      </c>
      <c r="X192" s="62">
        <v>10825.294910124543</v>
      </c>
      <c r="Y192" s="62">
        <v>10221.891822480764</v>
      </c>
      <c r="Z192" s="62">
        <v>8902.4197911853807</v>
      </c>
      <c r="AA192" s="62">
        <v>7095.75963997914</v>
      </c>
      <c r="AB192" s="62">
        <v>4944.585139516832</v>
      </c>
      <c r="AC192" s="57">
        <v>162667.45832888508</v>
      </c>
      <c r="AD192" s="106"/>
    </row>
    <row r="193" spans="1:30" ht="15.75" thickBot="1" x14ac:dyDescent="0.3">
      <c r="A193" s="58">
        <v>2031</v>
      </c>
      <c r="B193" s="59">
        <v>4</v>
      </c>
      <c r="C193" s="59">
        <v>4</v>
      </c>
      <c r="D193" s="60" t="s">
        <v>136</v>
      </c>
      <c r="E193" s="62">
        <v>4062.5889271140622</v>
      </c>
      <c r="F193" s="62">
        <v>3394.8149158465058</v>
      </c>
      <c r="G193" s="62">
        <v>2810.7073636814548</v>
      </c>
      <c r="H193" s="62">
        <v>2445.3573029898143</v>
      </c>
      <c r="I193" s="62">
        <v>1425.4850017460176</v>
      </c>
      <c r="J193" s="62">
        <v>2520.5909582736622</v>
      </c>
      <c r="K193" s="62">
        <v>2629.6381379670365</v>
      </c>
      <c r="L193" s="62">
        <v>4181.7135403211178</v>
      </c>
      <c r="M193" s="62">
        <v>6219.6333648184846</v>
      </c>
      <c r="N193" s="62">
        <v>7273.1437011842354</v>
      </c>
      <c r="O193" s="62">
        <v>7931.2626956303175</v>
      </c>
      <c r="P193" s="62">
        <v>8955.2442416078484</v>
      </c>
      <c r="Q193" s="62">
        <v>9233.3077942648779</v>
      </c>
      <c r="R193" s="62">
        <v>8931.3652744778774</v>
      </c>
      <c r="S193" s="62">
        <v>8480.688594963256</v>
      </c>
      <c r="T193" s="62">
        <v>7869.3864152349306</v>
      </c>
      <c r="U193" s="62">
        <v>7553.957621348236</v>
      </c>
      <c r="V193" s="62">
        <v>7481.395130441575</v>
      </c>
      <c r="W193" s="62">
        <v>8706.5510730794595</v>
      </c>
      <c r="X193" s="62">
        <v>9330.1079958893788</v>
      </c>
      <c r="Y193" s="62">
        <v>9010.597911314766</v>
      </c>
      <c r="Z193" s="62">
        <v>7932.8281221955513</v>
      </c>
      <c r="AA193" s="62">
        <v>6332.6531250216467</v>
      </c>
      <c r="AB193" s="62">
        <v>4594.8976323974057</v>
      </c>
      <c r="AC193" s="61">
        <v>149307.91684180952</v>
      </c>
      <c r="AD193" s="107"/>
    </row>
    <row r="194" spans="1:30" ht="15.75" thickBot="1" x14ac:dyDescent="0.3">
      <c r="A194" s="49">
        <v>2031</v>
      </c>
      <c r="B194" s="50">
        <v>5</v>
      </c>
      <c r="C194" s="50">
        <v>5</v>
      </c>
      <c r="D194" s="51" t="s">
        <v>134</v>
      </c>
      <c r="E194" s="62">
        <v>4870.4084208578242</v>
      </c>
      <c r="F194" s="62">
        <v>3935.9415640119951</v>
      </c>
      <c r="G194" s="62">
        <v>3512.7965388025186</v>
      </c>
      <c r="H194" s="62">
        <v>3229.7826471433709</v>
      </c>
      <c r="I194" s="62">
        <v>3031.4940506686271</v>
      </c>
      <c r="J194" s="62">
        <v>3109.7788281035264</v>
      </c>
      <c r="K194" s="62">
        <v>3200.7897298127973</v>
      </c>
      <c r="L194" s="62">
        <v>4553.9002705996718</v>
      </c>
      <c r="M194" s="62">
        <v>6302.1124470596224</v>
      </c>
      <c r="N194" s="62">
        <v>7454.3120452453295</v>
      </c>
      <c r="O194" s="62">
        <v>8252.0925929678378</v>
      </c>
      <c r="P194" s="62">
        <v>9114.4778081797267</v>
      </c>
      <c r="Q194" s="62">
        <v>9657.5898749440639</v>
      </c>
      <c r="R194" s="62">
        <v>9479.3973878410325</v>
      </c>
      <c r="S194" s="62">
        <v>8690.7053367870103</v>
      </c>
      <c r="T194" s="62">
        <v>8181.5734372111838</v>
      </c>
      <c r="U194" s="62">
        <v>7736.0175500143705</v>
      </c>
      <c r="V194" s="62">
        <v>7857.7398806253841</v>
      </c>
      <c r="W194" s="62">
        <v>9291.1345566672971</v>
      </c>
      <c r="X194" s="62">
        <v>10177.473059297437</v>
      </c>
      <c r="Y194" s="62">
        <v>10036.182877735428</v>
      </c>
      <c r="Z194" s="62">
        <v>8797.9039042362965</v>
      </c>
      <c r="AA194" s="62">
        <v>7095.5042149071414</v>
      </c>
      <c r="AB194" s="62">
        <v>5672.6000378401586</v>
      </c>
      <c r="AC194" s="53">
        <v>163241.7090615597</v>
      </c>
      <c r="AD194" s="105">
        <f>+SUMPRODUCT(AC194:AC196,C194:C196)</f>
        <v>5233035.9586112034</v>
      </c>
    </row>
    <row r="195" spans="1:30" ht="15.75" thickBot="1" x14ac:dyDescent="0.3">
      <c r="A195" s="54">
        <v>2031</v>
      </c>
      <c r="B195" s="55">
        <v>5</v>
      </c>
      <c r="C195" s="55">
        <v>21</v>
      </c>
      <c r="D195" s="56" t="s">
        <v>135</v>
      </c>
      <c r="E195" s="62">
        <v>3947.8372284887664</v>
      </c>
      <c r="F195" s="62">
        <v>3284.117822855158</v>
      </c>
      <c r="G195" s="62">
        <v>2796.8847143473777</v>
      </c>
      <c r="H195" s="62">
        <v>2562.8591462249842</v>
      </c>
      <c r="I195" s="62">
        <v>2386.8750811282862</v>
      </c>
      <c r="J195" s="62">
        <v>3099.170799013089</v>
      </c>
      <c r="K195" s="62">
        <v>3863.4616146630578</v>
      </c>
      <c r="L195" s="62">
        <v>5120.4651529255971</v>
      </c>
      <c r="M195" s="62">
        <v>6684.2577749354132</v>
      </c>
      <c r="N195" s="62">
        <v>7667.1242736025888</v>
      </c>
      <c r="O195" s="62">
        <v>8467.7564976108661</v>
      </c>
      <c r="P195" s="62">
        <v>9433.6945805867945</v>
      </c>
      <c r="Q195" s="62">
        <v>9639.1679255637828</v>
      </c>
      <c r="R195" s="62">
        <v>9742.3932220301904</v>
      </c>
      <c r="S195" s="62">
        <v>9930.8352997661859</v>
      </c>
      <c r="T195" s="62">
        <v>9853.2507364212688</v>
      </c>
      <c r="U195" s="62">
        <v>9732.7593547141078</v>
      </c>
      <c r="V195" s="62">
        <v>9371.708008578702</v>
      </c>
      <c r="W195" s="62">
        <v>10287.222249003495</v>
      </c>
      <c r="X195" s="62">
        <v>11059.353200941765</v>
      </c>
      <c r="Y195" s="62">
        <v>10507.202093024633</v>
      </c>
      <c r="Z195" s="62">
        <v>8917.3010006916593</v>
      </c>
      <c r="AA195" s="62">
        <v>7041.3669002851639</v>
      </c>
      <c r="AB195" s="62">
        <v>5286.0415905857153</v>
      </c>
      <c r="AC195" s="57">
        <v>170683.10626798862</v>
      </c>
      <c r="AD195" s="106"/>
    </row>
    <row r="196" spans="1:30" ht="15.75" thickBot="1" x14ac:dyDescent="0.3">
      <c r="A196" s="58">
        <v>2031</v>
      </c>
      <c r="B196" s="59">
        <v>5</v>
      </c>
      <c r="C196" s="59">
        <v>5</v>
      </c>
      <c r="D196" s="60" t="s">
        <v>136</v>
      </c>
      <c r="E196" s="62">
        <v>4289.9509310902649</v>
      </c>
      <c r="F196" s="62">
        <v>3545.7786548231634</v>
      </c>
      <c r="G196" s="62">
        <v>3072.1210913151899</v>
      </c>
      <c r="H196" s="62">
        <v>2739.5311936527996</v>
      </c>
      <c r="I196" s="62">
        <v>2626.8310671665731</v>
      </c>
      <c r="J196" s="62">
        <v>2615.7082122767442</v>
      </c>
      <c r="K196" s="62">
        <v>2911.7057714391267</v>
      </c>
      <c r="L196" s="62">
        <v>4672.6546435003183</v>
      </c>
      <c r="M196" s="62">
        <v>6792.9490656679991</v>
      </c>
      <c r="N196" s="62">
        <v>8145.7715114847415</v>
      </c>
      <c r="O196" s="62">
        <v>9254.5810039179523</v>
      </c>
      <c r="P196" s="62">
        <v>9692.441315114178</v>
      </c>
      <c r="Q196" s="62">
        <v>10181.357517970195</v>
      </c>
      <c r="R196" s="62">
        <v>9924.8386606130589</v>
      </c>
      <c r="S196" s="62">
        <v>9402.4887494712857</v>
      </c>
      <c r="T196" s="62">
        <v>9119.7955211690241</v>
      </c>
      <c r="U196" s="62">
        <v>8515.8657582748347</v>
      </c>
      <c r="V196" s="62">
        <v>8494.0877462529643</v>
      </c>
      <c r="W196" s="62">
        <v>8865.6101415534613</v>
      </c>
      <c r="X196" s="62">
        <v>10104.037056511977</v>
      </c>
      <c r="Y196" s="62">
        <v>9691.8433301238583</v>
      </c>
      <c r="Z196" s="62">
        <v>8627.3064415132867</v>
      </c>
      <c r="AA196" s="62">
        <v>7242.8976935540704</v>
      </c>
      <c r="AB196" s="62">
        <v>5966.2832566716461</v>
      </c>
      <c r="AC196" s="61">
        <v>166496.4363351287</v>
      </c>
      <c r="AD196" s="107"/>
    </row>
    <row r="197" spans="1:30" ht="15.75" thickBot="1" x14ac:dyDescent="0.3">
      <c r="A197" s="49">
        <v>2031</v>
      </c>
      <c r="B197" s="50">
        <v>6</v>
      </c>
      <c r="C197" s="50">
        <v>8</v>
      </c>
      <c r="D197" s="51" t="s">
        <v>134</v>
      </c>
      <c r="E197" s="62">
        <v>4188.926856117705</v>
      </c>
      <c r="F197" s="62">
        <v>3543.4671255978828</v>
      </c>
      <c r="G197" s="62">
        <v>2997.4220770189477</v>
      </c>
      <c r="H197" s="62">
        <v>2572.9276052436144</v>
      </c>
      <c r="I197" s="62">
        <v>1451.7053963569397</v>
      </c>
      <c r="J197" s="62">
        <v>2103.7770498000136</v>
      </c>
      <c r="K197" s="62">
        <v>2139.3575950974246</v>
      </c>
      <c r="L197" s="62">
        <v>3404.16479949926</v>
      </c>
      <c r="M197" s="62">
        <v>4962.7379447568201</v>
      </c>
      <c r="N197" s="62">
        <v>5909.7509711398852</v>
      </c>
      <c r="O197" s="62">
        <v>6474.211122372355</v>
      </c>
      <c r="P197" s="62">
        <v>7024.029580424045</v>
      </c>
      <c r="Q197" s="62">
        <v>7649.6187771963887</v>
      </c>
      <c r="R197" s="62">
        <v>7331.5915798675378</v>
      </c>
      <c r="S197" s="62">
        <v>6764.6227126758495</v>
      </c>
      <c r="T197" s="62">
        <v>6188.9231381084392</v>
      </c>
      <c r="U197" s="62">
        <v>5862.632211618009</v>
      </c>
      <c r="V197" s="62">
        <v>6249.2779581987234</v>
      </c>
      <c r="W197" s="62">
        <v>7719.8073880092561</v>
      </c>
      <c r="X197" s="62">
        <v>8932.3600121277414</v>
      </c>
      <c r="Y197" s="62">
        <v>8630.4928918710939</v>
      </c>
      <c r="Z197" s="62">
        <v>7436.9097308615455</v>
      </c>
      <c r="AA197" s="62">
        <v>6205.9701919092913</v>
      </c>
      <c r="AB197" s="62">
        <v>4881.1511192243343</v>
      </c>
      <c r="AC197" s="53">
        <v>130625.83583509311</v>
      </c>
      <c r="AD197" s="105">
        <f>+SUMPRODUCT(AC197:AC199,C197:C199)</f>
        <v>4537391.4561781688</v>
      </c>
    </row>
    <row r="198" spans="1:30" ht="15.75" thickBot="1" x14ac:dyDescent="0.3">
      <c r="A198" s="54">
        <v>2031</v>
      </c>
      <c r="B198" s="55">
        <v>6</v>
      </c>
      <c r="C198" s="55">
        <v>18</v>
      </c>
      <c r="D198" s="56" t="s">
        <v>135</v>
      </c>
      <c r="E198" s="62">
        <v>3449.4536221465933</v>
      </c>
      <c r="F198" s="62">
        <v>2846.9065882187206</v>
      </c>
      <c r="G198" s="62">
        <v>2320.7097034521157</v>
      </c>
      <c r="H198" s="62">
        <v>2050.5846113918687</v>
      </c>
      <c r="I198" s="62">
        <v>1990.2481840119708</v>
      </c>
      <c r="J198" s="62">
        <v>2451.4622165953442</v>
      </c>
      <c r="K198" s="62">
        <v>3188.8963594612214</v>
      </c>
      <c r="L198" s="62">
        <v>4882.4780532302757</v>
      </c>
      <c r="M198" s="62">
        <v>6911.2017887340699</v>
      </c>
      <c r="N198" s="62">
        <v>7738.444323896696</v>
      </c>
      <c r="O198" s="62">
        <v>8450.2012226469851</v>
      </c>
      <c r="P198" s="62">
        <v>9836.0288595948441</v>
      </c>
      <c r="Q198" s="62">
        <v>10051.351950409986</v>
      </c>
      <c r="R198" s="62">
        <v>9612.8424473280102</v>
      </c>
      <c r="S198" s="62">
        <v>9377.7002813791842</v>
      </c>
      <c r="T198" s="62">
        <v>9201.8331209049829</v>
      </c>
      <c r="U198" s="62">
        <v>8941.5970345888782</v>
      </c>
      <c r="V198" s="62">
        <v>8643.5108997781717</v>
      </c>
      <c r="W198" s="62">
        <v>9304.7782133282562</v>
      </c>
      <c r="X198" s="62">
        <v>10008.15739514049</v>
      </c>
      <c r="Y198" s="62">
        <v>9390.8578799681018</v>
      </c>
      <c r="Z198" s="62">
        <v>8002.6049214646555</v>
      </c>
      <c r="AA198" s="62">
        <v>6298.2388878261736</v>
      </c>
      <c r="AB198" s="62">
        <v>4652.1322677183889</v>
      </c>
      <c r="AC198" s="57">
        <v>159602.22083321601</v>
      </c>
      <c r="AD198" s="106"/>
    </row>
    <row r="199" spans="1:30" ht="15.75" thickBot="1" x14ac:dyDescent="0.3">
      <c r="A199" s="58">
        <v>2031</v>
      </c>
      <c r="B199" s="59">
        <v>6</v>
      </c>
      <c r="C199" s="59">
        <v>4</v>
      </c>
      <c r="D199" s="60" t="s">
        <v>136</v>
      </c>
      <c r="E199" s="62">
        <v>4000.8569299824703</v>
      </c>
      <c r="F199" s="62">
        <v>3407.1196903278833</v>
      </c>
      <c r="G199" s="62">
        <v>2778.1420435726286</v>
      </c>
      <c r="H199" s="62">
        <v>2448.241043817301</v>
      </c>
      <c r="I199" s="62">
        <v>2333.2249017263966</v>
      </c>
      <c r="J199" s="62">
        <v>2519.4194105473453</v>
      </c>
      <c r="K199" s="62">
        <v>2855.420993985912</v>
      </c>
      <c r="L199" s="62">
        <v>4388.9375451392916</v>
      </c>
      <c r="M199" s="62">
        <v>6419.8610656102064</v>
      </c>
      <c r="N199" s="62">
        <v>7398.1404751851442</v>
      </c>
      <c r="O199" s="62">
        <v>8133.066081158031</v>
      </c>
      <c r="P199" s="62">
        <v>9063.5011230274504</v>
      </c>
      <c r="Q199" s="62">
        <v>9112.7926121357414</v>
      </c>
      <c r="R199" s="62">
        <v>8739.5673317108594</v>
      </c>
      <c r="S199" s="62">
        <v>8272.2071374733205</v>
      </c>
      <c r="T199" s="62">
        <v>7831.2325678543857</v>
      </c>
      <c r="U199" s="62">
        <v>7804.9669809558327</v>
      </c>
      <c r="V199" s="62">
        <v>8067.5241522603792</v>
      </c>
      <c r="W199" s="62">
        <v>9152.0649528775211</v>
      </c>
      <c r="X199" s="62">
        <v>9992.2569705686728</v>
      </c>
      <c r="Y199" s="62">
        <v>9590.6987869555633</v>
      </c>
      <c r="Z199" s="62">
        <v>8320.014160110386</v>
      </c>
      <c r="AA199" s="62">
        <v>6855.2658850190019</v>
      </c>
      <c r="AB199" s="62">
        <v>5401.6757828821428</v>
      </c>
      <c r="AC199" s="61">
        <v>154886.19862488389</v>
      </c>
      <c r="AD199" s="107"/>
    </row>
    <row r="200" spans="1:30" ht="15.75" thickBot="1" x14ac:dyDescent="0.3">
      <c r="A200" s="49">
        <v>2031</v>
      </c>
      <c r="B200" s="50">
        <v>7</v>
      </c>
      <c r="C200" s="50">
        <v>4</v>
      </c>
      <c r="D200" s="51" t="s">
        <v>134</v>
      </c>
      <c r="E200" s="62">
        <v>3846.3416248513422</v>
      </c>
      <c r="F200" s="62">
        <v>3205.6319740037598</v>
      </c>
      <c r="G200" s="62">
        <v>2662.0876490748797</v>
      </c>
      <c r="H200" s="62">
        <v>2334.6593668473433</v>
      </c>
      <c r="I200" s="62">
        <v>2185.2242984810382</v>
      </c>
      <c r="J200" s="62">
        <v>2341.5444835001763</v>
      </c>
      <c r="K200" s="62">
        <v>2321.307548308725</v>
      </c>
      <c r="L200" s="62">
        <v>3692.4837732823325</v>
      </c>
      <c r="M200" s="62">
        <v>5341.0176233205493</v>
      </c>
      <c r="N200" s="62">
        <v>6560.4858567431074</v>
      </c>
      <c r="O200" s="62">
        <v>7261.0363100816321</v>
      </c>
      <c r="P200" s="62">
        <v>8360.7191374164249</v>
      </c>
      <c r="Q200" s="62">
        <v>9040.5757166746553</v>
      </c>
      <c r="R200" s="62">
        <v>8841.4873357979959</v>
      </c>
      <c r="S200" s="62">
        <v>8195.2815769104636</v>
      </c>
      <c r="T200" s="62">
        <v>7796.5290935594749</v>
      </c>
      <c r="U200" s="62">
        <v>7490.3468644910135</v>
      </c>
      <c r="V200" s="62">
        <v>7329.9088788998852</v>
      </c>
      <c r="W200" s="62">
        <v>8273.9510439190635</v>
      </c>
      <c r="X200" s="62">
        <v>9575.4221509982708</v>
      </c>
      <c r="Y200" s="62">
        <v>9014.5655137893918</v>
      </c>
      <c r="Z200" s="62">
        <v>7662.9788047385046</v>
      </c>
      <c r="AA200" s="62">
        <v>6112.0222746990949</v>
      </c>
      <c r="AB200" s="62">
        <v>4602.3539721723464</v>
      </c>
      <c r="AC200" s="53">
        <v>144047.96287256147</v>
      </c>
      <c r="AD200" s="105">
        <f>+SUMPRODUCT(AC200:AC202,C200:C202)</f>
        <v>5004921.8617388401</v>
      </c>
    </row>
    <row r="201" spans="1:30" ht="15.75" thickBot="1" x14ac:dyDescent="0.3">
      <c r="A201" s="54">
        <v>2031</v>
      </c>
      <c r="B201" s="55">
        <v>7</v>
      </c>
      <c r="C201" s="55">
        <v>23</v>
      </c>
      <c r="D201" s="56" t="s">
        <v>135</v>
      </c>
      <c r="E201" s="62">
        <v>3792.9309484407495</v>
      </c>
      <c r="F201" s="62">
        <v>3181.8717300786011</v>
      </c>
      <c r="G201" s="62">
        <v>2674.2915195131191</v>
      </c>
      <c r="H201" s="62">
        <v>2323.0581292517818</v>
      </c>
      <c r="I201" s="62">
        <v>2295.9827511988133</v>
      </c>
      <c r="J201" s="62">
        <v>2996.5613734255239</v>
      </c>
      <c r="K201" s="62">
        <v>3755.682199519877</v>
      </c>
      <c r="L201" s="62">
        <v>5099.8287152900593</v>
      </c>
      <c r="M201" s="62">
        <v>6634.4970037749117</v>
      </c>
      <c r="N201" s="62">
        <v>7543.5864991726667</v>
      </c>
      <c r="O201" s="62">
        <v>8517.0738753066944</v>
      </c>
      <c r="P201" s="62">
        <v>9503.31259520608</v>
      </c>
      <c r="Q201" s="62">
        <v>9550.1279508485677</v>
      </c>
      <c r="R201" s="62">
        <v>9749.3855158434271</v>
      </c>
      <c r="S201" s="62">
        <v>9946.9857904120909</v>
      </c>
      <c r="T201" s="62">
        <v>9120.4676606130342</v>
      </c>
      <c r="U201" s="62">
        <v>8810.2069644954026</v>
      </c>
      <c r="V201" s="62">
        <v>8886.5253745556256</v>
      </c>
      <c r="W201" s="62">
        <v>9636.2543717519256</v>
      </c>
      <c r="X201" s="62">
        <v>10764.079862778257</v>
      </c>
      <c r="Y201" s="62">
        <v>10145.604982505316</v>
      </c>
      <c r="Z201" s="62">
        <v>8599.6678628577429</v>
      </c>
      <c r="AA201" s="62">
        <v>6484.6219211784482</v>
      </c>
      <c r="AB201" s="62">
        <v>4720.7033874632252</v>
      </c>
      <c r="AC201" s="57">
        <v>164733.30898548197</v>
      </c>
      <c r="AD201" s="106"/>
    </row>
    <row r="202" spans="1:30" ht="15.75" thickBot="1" x14ac:dyDescent="0.3">
      <c r="A202" s="58">
        <v>2031</v>
      </c>
      <c r="B202" s="59">
        <v>7</v>
      </c>
      <c r="C202" s="59">
        <v>4</v>
      </c>
      <c r="D202" s="60" t="s">
        <v>136</v>
      </c>
      <c r="E202" s="62">
        <v>3137.7434998205899</v>
      </c>
      <c r="F202" s="62">
        <v>2403.9615825011915</v>
      </c>
      <c r="G202" s="62">
        <v>1928.0871408819548</v>
      </c>
      <c r="H202" s="62">
        <v>1568.1401375544337</v>
      </c>
      <c r="I202" s="62">
        <v>1576.7279990699299</v>
      </c>
      <c r="J202" s="62">
        <v>1777.317149063032</v>
      </c>
      <c r="K202" s="62">
        <v>2146.8798627159758</v>
      </c>
      <c r="L202" s="62">
        <v>3838.7863681540293</v>
      </c>
      <c r="M202" s="62">
        <v>6101.5075150119665</v>
      </c>
      <c r="N202" s="62">
        <v>7593.6288959530575</v>
      </c>
      <c r="O202" s="62">
        <v>8757.1798252929184</v>
      </c>
      <c r="P202" s="62">
        <v>9801.9979192721148</v>
      </c>
      <c r="Q202" s="62">
        <v>10411.762163375148</v>
      </c>
      <c r="R202" s="62">
        <v>10183.857876932198</v>
      </c>
      <c r="S202" s="62">
        <v>9766.8554859652613</v>
      </c>
      <c r="T202" s="62">
        <v>9448.3570834845632</v>
      </c>
      <c r="U202" s="62">
        <v>9112.5091146223567</v>
      </c>
      <c r="V202" s="62">
        <v>8772.4128488819006</v>
      </c>
      <c r="W202" s="62">
        <v>9461.0367828628405</v>
      </c>
      <c r="X202" s="62">
        <v>10455.257769674299</v>
      </c>
      <c r="Y202" s="62">
        <v>9895.0627839290646</v>
      </c>
      <c r="Z202" s="62">
        <v>8862.9613310401328</v>
      </c>
      <c r="AA202" s="62">
        <v>7297.5106518094326</v>
      </c>
      <c r="AB202" s="62">
        <v>5666.4341077588724</v>
      </c>
      <c r="AC202" s="61">
        <v>159965.97589562723</v>
      </c>
      <c r="AD202" s="107"/>
    </row>
    <row r="203" spans="1:30" ht="15.75" thickBot="1" x14ac:dyDescent="0.3">
      <c r="A203" s="49">
        <v>2031</v>
      </c>
      <c r="B203" s="50">
        <v>8</v>
      </c>
      <c r="C203" s="50">
        <v>7</v>
      </c>
      <c r="D203" s="51" t="s">
        <v>134</v>
      </c>
      <c r="E203" s="62">
        <v>4020.713814552626</v>
      </c>
      <c r="F203" s="62">
        <v>3352.8785941345541</v>
      </c>
      <c r="G203" s="62">
        <v>2825.9877256306336</v>
      </c>
      <c r="H203" s="62">
        <v>2507.5567792996553</v>
      </c>
      <c r="I203" s="62">
        <v>2480.3840854372047</v>
      </c>
      <c r="J203" s="62">
        <v>2587.855894753995</v>
      </c>
      <c r="K203" s="62">
        <v>2874.7485994079943</v>
      </c>
      <c r="L203" s="62">
        <v>4260.650695827313</v>
      </c>
      <c r="M203" s="62">
        <v>6076.7575846764157</v>
      </c>
      <c r="N203" s="62">
        <v>7209.6439840356907</v>
      </c>
      <c r="O203" s="62">
        <v>7982.3314622360995</v>
      </c>
      <c r="P203" s="62">
        <v>8800.512895839136</v>
      </c>
      <c r="Q203" s="62">
        <v>9248.6155429256032</v>
      </c>
      <c r="R203" s="62">
        <v>8754.7348121331197</v>
      </c>
      <c r="S203" s="62">
        <v>7563.2968119300349</v>
      </c>
      <c r="T203" s="62">
        <v>7164.1043452587946</v>
      </c>
      <c r="U203" s="62">
        <v>7174.8767077577577</v>
      </c>
      <c r="V203" s="62">
        <v>7178.3976702625878</v>
      </c>
      <c r="W203" s="62">
        <v>8382.6359290908258</v>
      </c>
      <c r="X203" s="62">
        <v>9540.5523606363604</v>
      </c>
      <c r="Y203" s="62">
        <v>8951.5231892939992</v>
      </c>
      <c r="Z203" s="62">
        <v>7586.1184429502791</v>
      </c>
      <c r="AA203" s="62">
        <v>5896.8241441644459</v>
      </c>
      <c r="AB203" s="62">
        <v>4545.2001776497673</v>
      </c>
      <c r="AC203" s="53">
        <v>146966.90224988488</v>
      </c>
      <c r="AD203" s="105">
        <f>+SUMPRODUCT(AC203:AC205,C203:C205)</f>
        <v>5076410.1144848811</v>
      </c>
    </row>
    <row r="204" spans="1:30" ht="15.75" thickBot="1" x14ac:dyDescent="0.3">
      <c r="A204" s="54">
        <v>2031</v>
      </c>
      <c r="B204" s="55">
        <v>8</v>
      </c>
      <c r="C204" s="55">
        <v>19</v>
      </c>
      <c r="D204" s="56" t="s">
        <v>135</v>
      </c>
      <c r="E204" s="62">
        <v>3543.8059963869127</v>
      </c>
      <c r="F204" s="62">
        <v>3003.8546504587812</v>
      </c>
      <c r="G204" s="62">
        <v>2587.0842078927981</v>
      </c>
      <c r="H204" s="62">
        <v>2283.3875887904778</v>
      </c>
      <c r="I204" s="62">
        <v>2286.7720681217143</v>
      </c>
      <c r="J204" s="62">
        <v>3133.5067378571712</v>
      </c>
      <c r="K204" s="62">
        <v>4131.3352983606455</v>
      </c>
      <c r="L204" s="62">
        <v>5325.2866872012164</v>
      </c>
      <c r="M204" s="62">
        <v>7080.6271647764552</v>
      </c>
      <c r="N204" s="62">
        <v>7982.4565695881101</v>
      </c>
      <c r="O204" s="62">
        <v>8997.4386404633296</v>
      </c>
      <c r="P204" s="62">
        <v>10197.248406694587</v>
      </c>
      <c r="Q204" s="62">
        <v>10160.795378360737</v>
      </c>
      <c r="R204" s="62">
        <v>10291.552954058989</v>
      </c>
      <c r="S204" s="62">
        <v>10564.673871512539</v>
      </c>
      <c r="T204" s="62">
        <v>10476.468628281851</v>
      </c>
      <c r="U204" s="62">
        <v>10231.543584129075</v>
      </c>
      <c r="V204" s="62">
        <v>9467.1858960764985</v>
      </c>
      <c r="W204" s="62">
        <v>9973.4826183967743</v>
      </c>
      <c r="X204" s="62">
        <v>10857.287522054979</v>
      </c>
      <c r="Y204" s="62">
        <v>10092.100125612054</v>
      </c>
      <c r="Z204" s="62">
        <v>8523.0004193463828</v>
      </c>
      <c r="AA204" s="62">
        <v>6308.8525198691059</v>
      </c>
      <c r="AB204" s="62">
        <v>4599.8965311727807</v>
      </c>
      <c r="AC204" s="57">
        <v>172099.64406546397</v>
      </c>
      <c r="AD204" s="106"/>
    </row>
    <row r="205" spans="1:30" ht="15.75" thickBot="1" x14ac:dyDescent="0.3">
      <c r="A205" s="58">
        <v>2031</v>
      </c>
      <c r="B205" s="59">
        <v>8</v>
      </c>
      <c r="C205" s="59">
        <v>5</v>
      </c>
      <c r="D205" s="60" t="s">
        <v>136</v>
      </c>
      <c r="E205" s="62">
        <v>2870.4626965484786</v>
      </c>
      <c r="F205" s="62">
        <v>2708.2712159901257</v>
      </c>
      <c r="G205" s="62">
        <v>2337.8502076047316</v>
      </c>
      <c r="H205" s="62">
        <v>1961.2842733384859</v>
      </c>
      <c r="I205" s="62">
        <v>1885.121755112119</v>
      </c>
      <c r="J205" s="62">
        <v>2069.6369864615335</v>
      </c>
      <c r="K205" s="62">
        <v>2626.0642448371418</v>
      </c>
      <c r="L205" s="62">
        <v>4346.827022073292</v>
      </c>
      <c r="M205" s="62">
        <v>6347.6615083308498</v>
      </c>
      <c r="N205" s="62">
        <v>7581.4881412567192</v>
      </c>
      <c r="O205" s="62">
        <v>8627.9099406694477</v>
      </c>
      <c r="P205" s="62">
        <v>9887.1602499342916</v>
      </c>
      <c r="Q205" s="62">
        <v>10183.998885558012</v>
      </c>
      <c r="R205" s="62">
        <v>9833.58405181938</v>
      </c>
      <c r="S205" s="62">
        <v>9312.6478597968417</v>
      </c>
      <c r="T205" s="62">
        <v>8929.2926331032577</v>
      </c>
      <c r="U205" s="62">
        <v>8504.3362447998807</v>
      </c>
      <c r="V205" s="62">
        <v>8393.8669014410043</v>
      </c>
      <c r="W205" s="62">
        <v>9567.7299356415606</v>
      </c>
      <c r="X205" s="62">
        <v>9855.4000792817205</v>
      </c>
      <c r="Y205" s="62">
        <v>9033.0584209557419</v>
      </c>
      <c r="Z205" s="62">
        <v>7661.1377408146363</v>
      </c>
      <c r="AA205" s="62">
        <v>6184.004462280096</v>
      </c>
      <c r="AB205" s="62">
        <v>4840.9168407249272</v>
      </c>
      <c r="AC205" s="61">
        <v>155549.7122983743</v>
      </c>
      <c r="AD205" s="107"/>
    </row>
    <row r="206" spans="1:30" ht="15.75" thickBot="1" x14ac:dyDescent="0.3">
      <c r="A206" s="49">
        <v>2031</v>
      </c>
      <c r="B206" s="50">
        <v>9</v>
      </c>
      <c r="C206" s="50">
        <v>4</v>
      </c>
      <c r="D206" s="51" t="s">
        <v>134</v>
      </c>
      <c r="E206" s="62">
        <v>3088.5542476638675</v>
      </c>
      <c r="F206" s="62">
        <v>2417.5592056973328</v>
      </c>
      <c r="G206" s="62">
        <v>1908.6753070238392</v>
      </c>
      <c r="H206" s="62">
        <v>1586.5780945451188</v>
      </c>
      <c r="I206" s="62">
        <v>1442.6412843771213</v>
      </c>
      <c r="J206" s="62">
        <v>1521.7665482364664</v>
      </c>
      <c r="K206" s="62">
        <v>1741.8961999777384</v>
      </c>
      <c r="L206" s="62">
        <v>3216.8261891094699</v>
      </c>
      <c r="M206" s="62">
        <v>5225.635730798127</v>
      </c>
      <c r="N206" s="62">
        <v>5769.2741687446032</v>
      </c>
      <c r="O206" s="62">
        <v>6412.4722643413625</v>
      </c>
      <c r="P206" s="62">
        <v>7184.5221007923246</v>
      </c>
      <c r="Q206" s="62">
        <v>7959.9645994146777</v>
      </c>
      <c r="R206" s="62">
        <v>7722.2249869217048</v>
      </c>
      <c r="S206" s="62">
        <v>7569.6696063872805</v>
      </c>
      <c r="T206" s="62">
        <v>6892.4510412787531</v>
      </c>
      <c r="U206" s="62">
        <v>6522.7382844635395</v>
      </c>
      <c r="V206" s="62">
        <v>6512.3726023536838</v>
      </c>
      <c r="W206" s="62">
        <v>8173.4580548207159</v>
      </c>
      <c r="X206" s="62">
        <v>8774.8180307866351</v>
      </c>
      <c r="Y206" s="62">
        <v>7145.810526974612</v>
      </c>
      <c r="Z206" s="62">
        <v>5934.5427119212873</v>
      </c>
      <c r="AA206" s="62">
        <v>4609.1045512381861</v>
      </c>
      <c r="AB206" s="62">
        <v>3477.7732049817423</v>
      </c>
      <c r="AC206" s="53">
        <v>122811.3295428502</v>
      </c>
      <c r="AD206" s="105">
        <f>+SUMPRODUCT(AC206:AC208,C206:C208)</f>
        <v>4846841.0212312136</v>
      </c>
    </row>
    <row r="207" spans="1:30" ht="15.75" thickBot="1" x14ac:dyDescent="0.3">
      <c r="A207" s="54">
        <v>2031</v>
      </c>
      <c r="B207" s="55">
        <v>9</v>
      </c>
      <c r="C207" s="55">
        <v>22</v>
      </c>
      <c r="D207" s="56" t="s">
        <v>135</v>
      </c>
      <c r="E207" s="62">
        <v>3574.4546710528048</v>
      </c>
      <c r="F207" s="62">
        <v>2958.4060556210461</v>
      </c>
      <c r="G207" s="62">
        <v>2531.458844830473</v>
      </c>
      <c r="H207" s="62">
        <v>2197.3947907056863</v>
      </c>
      <c r="I207" s="62">
        <v>2129.0686035411909</v>
      </c>
      <c r="J207" s="62">
        <v>2952.2272529922648</v>
      </c>
      <c r="K207" s="62">
        <v>3971.7404829126426</v>
      </c>
      <c r="L207" s="62">
        <v>5275.6982587121202</v>
      </c>
      <c r="M207" s="62">
        <v>6940.1784180000832</v>
      </c>
      <c r="N207" s="62">
        <v>7680.6883719915204</v>
      </c>
      <c r="O207" s="62">
        <v>8576.3318934975869</v>
      </c>
      <c r="P207" s="62">
        <v>9928.7811319527318</v>
      </c>
      <c r="Q207" s="62">
        <v>10047.342826007505</v>
      </c>
      <c r="R207" s="62">
        <v>10128.998582239838</v>
      </c>
      <c r="S207" s="62">
        <v>10308.692820799926</v>
      </c>
      <c r="T207" s="62">
        <v>10226.70392559106</v>
      </c>
      <c r="U207" s="62">
        <v>10009.09816303859</v>
      </c>
      <c r="V207" s="62">
        <v>9469.119365203831</v>
      </c>
      <c r="W207" s="62">
        <v>10393.316290081621</v>
      </c>
      <c r="X207" s="62">
        <v>11022.804903982684</v>
      </c>
      <c r="Y207" s="62">
        <v>10375.510320247522</v>
      </c>
      <c r="Z207" s="62">
        <v>8885.9990699070331</v>
      </c>
      <c r="AA207" s="62">
        <v>6876.3480647088109</v>
      </c>
      <c r="AB207" s="62">
        <v>5102.0504925762471</v>
      </c>
      <c r="AC207" s="57">
        <v>171562.41360019485</v>
      </c>
      <c r="AD207" s="106"/>
    </row>
    <row r="208" spans="1:30" ht="15.75" thickBot="1" x14ac:dyDescent="0.3">
      <c r="A208" s="58">
        <v>2031</v>
      </c>
      <c r="B208" s="59">
        <v>9</v>
      </c>
      <c r="C208" s="59">
        <v>4</v>
      </c>
      <c r="D208" s="60" t="s">
        <v>136</v>
      </c>
      <c r="E208" s="62">
        <v>4023.2251554050381</v>
      </c>
      <c r="F208" s="62">
        <v>3233.7944730992094</v>
      </c>
      <c r="G208" s="62">
        <v>2804.2926291870699</v>
      </c>
      <c r="H208" s="62">
        <v>2384.6864457479769</v>
      </c>
      <c r="I208" s="62">
        <v>2266.0671795414364</v>
      </c>
      <c r="J208" s="62">
        <v>2385.899974576454</v>
      </c>
      <c r="K208" s="62">
        <v>2935.1059540535753</v>
      </c>
      <c r="L208" s="62">
        <v>4553.2751693436439</v>
      </c>
      <c r="M208" s="62">
        <v>6534.6294194912407</v>
      </c>
      <c r="N208" s="62">
        <v>7602.9874792784685</v>
      </c>
      <c r="O208" s="62">
        <v>7949.0163297428371</v>
      </c>
      <c r="P208" s="62">
        <v>8870.4500399158605</v>
      </c>
      <c r="Q208" s="62">
        <v>7347.598431259361</v>
      </c>
      <c r="R208" s="62">
        <v>8496.3035358890702</v>
      </c>
      <c r="S208" s="62">
        <v>7899.3823653027321</v>
      </c>
      <c r="T208" s="62">
        <v>7583.9871758148038</v>
      </c>
      <c r="U208" s="62">
        <v>7211.7975664433543</v>
      </c>
      <c r="V208" s="62">
        <v>7359.8226693011893</v>
      </c>
      <c r="W208" s="62">
        <v>8816.741858924659</v>
      </c>
      <c r="X208" s="62">
        <v>9169.8962202850344</v>
      </c>
      <c r="Y208" s="62">
        <v>8526.9832601325506</v>
      </c>
      <c r="Z208" s="62">
        <v>7385.5370910344427</v>
      </c>
      <c r="AA208" s="62">
        <v>5662.4722863415518</v>
      </c>
      <c r="AB208" s="62">
        <v>4301.6982537700205</v>
      </c>
      <c r="AC208" s="61">
        <v>145305.65096388158</v>
      </c>
      <c r="AD208" s="107"/>
    </row>
    <row r="209" spans="1:30" ht="15.75" thickBot="1" x14ac:dyDescent="0.3">
      <c r="A209" s="49">
        <v>2031</v>
      </c>
      <c r="B209" s="50">
        <v>10</v>
      </c>
      <c r="C209" s="50">
        <v>5</v>
      </c>
      <c r="D209" s="51" t="s">
        <v>134</v>
      </c>
      <c r="E209" s="62">
        <v>3853.8308116226617</v>
      </c>
      <c r="F209" s="62">
        <v>3387.3316668673069</v>
      </c>
      <c r="G209" s="62">
        <v>2936.836115071319</v>
      </c>
      <c r="H209" s="62">
        <v>2612.1844885191404</v>
      </c>
      <c r="I209" s="62">
        <v>2474.9126967096108</v>
      </c>
      <c r="J209" s="62">
        <v>2523.1416880327452</v>
      </c>
      <c r="K209" s="62">
        <v>2817.9426602988715</v>
      </c>
      <c r="L209" s="62">
        <v>4144.535586078051</v>
      </c>
      <c r="M209" s="62">
        <v>5097.3790851730009</v>
      </c>
      <c r="N209" s="62">
        <v>6059.5248999802097</v>
      </c>
      <c r="O209" s="62">
        <v>7927.5971912102359</v>
      </c>
      <c r="P209" s="62">
        <v>8824.6981865228881</v>
      </c>
      <c r="Q209" s="62">
        <v>9259.7733922033294</v>
      </c>
      <c r="R209" s="62">
        <v>8871.5370837517403</v>
      </c>
      <c r="S209" s="62">
        <v>7868.7822023222907</v>
      </c>
      <c r="T209" s="62">
        <v>7250.1633905624549</v>
      </c>
      <c r="U209" s="62">
        <v>6938.1155531964469</v>
      </c>
      <c r="V209" s="62">
        <v>6717.5324050585878</v>
      </c>
      <c r="W209" s="62">
        <v>8039.580585223357</v>
      </c>
      <c r="X209" s="62">
        <v>8466.7503042378157</v>
      </c>
      <c r="Y209" s="62">
        <v>8109.8234406770243</v>
      </c>
      <c r="Z209" s="62">
        <v>7133.7591740518583</v>
      </c>
      <c r="AA209" s="62">
        <v>5661.2508190571862</v>
      </c>
      <c r="AB209" s="62">
        <v>4391.0402175009804</v>
      </c>
      <c r="AC209" s="53">
        <v>141368.02364392916</v>
      </c>
      <c r="AD209" s="105">
        <f>+SUMPRODUCT(AC209:AC211,C209:C211)</f>
        <v>5066491.2943660766</v>
      </c>
    </row>
    <row r="210" spans="1:30" ht="15.75" thickBot="1" x14ac:dyDescent="0.3">
      <c r="A210" s="54">
        <v>2031</v>
      </c>
      <c r="B210" s="55">
        <v>10</v>
      </c>
      <c r="C210" s="55">
        <v>22</v>
      </c>
      <c r="D210" s="56" t="s">
        <v>135</v>
      </c>
      <c r="E210" s="62">
        <v>3632.9405488266348</v>
      </c>
      <c r="F210" s="62">
        <v>3159.4103564266916</v>
      </c>
      <c r="G210" s="62">
        <v>2697.5117234609352</v>
      </c>
      <c r="H210" s="62">
        <v>2372.9931739371641</v>
      </c>
      <c r="I210" s="62">
        <v>2366.9282733081327</v>
      </c>
      <c r="J210" s="62">
        <v>3054.2886766736356</v>
      </c>
      <c r="K210" s="62">
        <v>4005.4298701220505</v>
      </c>
      <c r="L210" s="62">
        <v>5511.6390813320722</v>
      </c>
      <c r="M210" s="62">
        <v>7201.7316603198742</v>
      </c>
      <c r="N210" s="62">
        <v>7841.0738548850495</v>
      </c>
      <c r="O210" s="62">
        <v>8614.5456252684089</v>
      </c>
      <c r="P210" s="62">
        <v>9545.0694618678062</v>
      </c>
      <c r="Q210" s="62">
        <v>9587.2265962397832</v>
      </c>
      <c r="R210" s="62">
        <v>9634.4233793304556</v>
      </c>
      <c r="S210" s="62">
        <v>9210.3436879518631</v>
      </c>
      <c r="T210" s="62">
        <v>9533.8363734745944</v>
      </c>
      <c r="U210" s="62">
        <v>9474.7702337155897</v>
      </c>
      <c r="V210" s="62">
        <v>9393.0484751007607</v>
      </c>
      <c r="W210" s="62">
        <v>10685.581416154437</v>
      </c>
      <c r="X210" s="62">
        <v>10993.666860804791</v>
      </c>
      <c r="Y210" s="62">
        <v>10186.899499053645</v>
      </c>
      <c r="Z210" s="62">
        <v>8776.6293830241411</v>
      </c>
      <c r="AA210" s="62">
        <v>6872.8801207821743</v>
      </c>
      <c r="AB210" s="62">
        <v>5163.121679927237</v>
      </c>
      <c r="AC210" s="57">
        <v>169515.99001198797</v>
      </c>
      <c r="AD210" s="106"/>
    </row>
    <row r="211" spans="1:30" ht="15.75" thickBot="1" x14ac:dyDescent="0.3">
      <c r="A211" s="58">
        <v>2031</v>
      </c>
      <c r="B211" s="59">
        <v>10</v>
      </c>
      <c r="C211" s="59">
        <v>4</v>
      </c>
      <c r="D211" s="60" t="s">
        <v>136</v>
      </c>
      <c r="E211" s="62">
        <v>3728.2810715091073</v>
      </c>
      <c r="F211" s="62">
        <v>3006.4826841841714</v>
      </c>
      <c r="G211" s="62">
        <v>1796.5375159532341</v>
      </c>
      <c r="H211" s="62">
        <v>1456.1225184956529</v>
      </c>
      <c r="I211" s="62">
        <v>1309.8781352589849</v>
      </c>
      <c r="J211" s="62">
        <v>1487.0118611483467</v>
      </c>
      <c r="K211" s="62">
        <v>2139.8308158340096</v>
      </c>
      <c r="L211" s="62">
        <v>3742.5893956938089</v>
      </c>
      <c r="M211" s="62">
        <v>5767.5949410372996</v>
      </c>
      <c r="N211" s="62">
        <v>8104.9828147467342</v>
      </c>
      <c r="O211" s="62">
        <v>8880.7119379376127</v>
      </c>
      <c r="P211" s="62">
        <v>10036.724706543984</v>
      </c>
      <c r="Q211" s="62">
        <v>10251.24808003832</v>
      </c>
      <c r="R211" s="62">
        <v>9883.75873845776</v>
      </c>
      <c r="S211" s="62">
        <v>9478.738329789001</v>
      </c>
      <c r="T211" s="62">
        <v>9137.1670200862609</v>
      </c>
      <c r="U211" s="62">
        <v>8776.2994378376861</v>
      </c>
      <c r="V211" s="62">
        <v>8691.8403949409185</v>
      </c>
      <c r="W211" s="62">
        <v>10211.544144184401</v>
      </c>
      <c r="X211" s="62">
        <v>9855.4099552271618</v>
      </c>
      <c r="Y211" s="62">
        <v>9611.2816607394998</v>
      </c>
      <c r="Z211" s="62">
        <v>8487.8902075156257</v>
      </c>
      <c r="AA211" s="62">
        <v>6895.3853720686529</v>
      </c>
      <c r="AB211" s="62">
        <v>4837.5372314453925</v>
      </c>
      <c r="AC211" s="61">
        <v>157574.84897067363</v>
      </c>
      <c r="AD211" s="107"/>
    </row>
    <row r="212" spans="1:30" ht="15.75" thickBot="1" x14ac:dyDescent="0.3">
      <c r="A212" s="49">
        <v>2031</v>
      </c>
      <c r="B212" s="50">
        <v>11</v>
      </c>
      <c r="C212" s="50">
        <v>7</v>
      </c>
      <c r="D212" s="51" t="s">
        <v>134</v>
      </c>
      <c r="E212" s="62">
        <v>3728.864572452545</v>
      </c>
      <c r="F212" s="62">
        <v>2959.4436841001734</v>
      </c>
      <c r="G212" s="62">
        <v>2330.1298766723285</v>
      </c>
      <c r="H212" s="62">
        <v>2135.9101588158992</v>
      </c>
      <c r="I212" s="62">
        <v>1918.6177988555974</v>
      </c>
      <c r="J212" s="62">
        <v>2079.1436158492816</v>
      </c>
      <c r="K212" s="62">
        <v>2244.453225249481</v>
      </c>
      <c r="L212" s="62">
        <v>3633.418616819552</v>
      </c>
      <c r="M212" s="62">
        <v>5400.3261469843055</v>
      </c>
      <c r="N212" s="62">
        <v>6410.9155342173035</v>
      </c>
      <c r="O212" s="62">
        <v>7123.6194642593255</v>
      </c>
      <c r="P212" s="62">
        <v>8097.392244208273</v>
      </c>
      <c r="Q212" s="62">
        <v>8661.5337825069255</v>
      </c>
      <c r="R212" s="62">
        <v>8399.9442937091153</v>
      </c>
      <c r="S212" s="62">
        <v>7389.9082261631811</v>
      </c>
      <c r="T212" s="62">
        <v>6846.4919472633992</v>
      </c>
      <c r="U212" s="62">
        <v>6559.367487408068</v>
      </c>
      <c r="V212" s="62">
        <v>6871.0329713474202</v>
      </c>
      <c r="W212" s="62">
        <v>9001.5909898596292</v>
      </c>
      <c r="X212" s="62">
        <v>9100.5247752919495</v>
      </c>
      <c r="Y212" s="62">
        <v>8636.9578237787246</v>
      </c>
      <c r="Z212" s="62">
        <v>7418.7394499389738</v>
      </c>
      <c r="AA212" s="62">
        <v>5841.6543801582739</v>
      </c>
      <c r="AB212" s="62">
        <v>4325.3195297062848</v>
      </c>
      <c r="AC212" s="53">
        <v>137115.30059561602</v>
      </c>
      <c r="AD212" s="105">
        <f>+SUMPRODUCT(AC212:AC214,C212:C214)</f>
        <v>4574067.9594873469</v>
      </c>
    </row>
    <row r="213" spans="1:30" ht="15.75" thickBot="1" x14ac:dyDescent="0.3">
      <c r="A213" s="54">
        <v>2031</v>
      </c>
      <c r="B213" s="55">
        <v>11</v>
      </c>
      <c r="C213" s="55">
        <v>18</v>
      </c>
      <c r="D213" s="56" t="s">
        <v>135</v>
      </c>
      <c r="E213" s="62">
        <v>3509.3656030593302</v>
      </c>
      <c r="F213" s="62">
        <v>2817.7986655744116</v>
      </c>
      <c r="G213" s="62">
        <v>2396.2754751742505</v>
      </c>
      <c r="H213" s="62">
        <v>2034.2027017107284</v>
      </c>
      <c r="I213" s="62">
        <v>1984.0964538078078</v>
      </c>
      <c r="J213" s="62">
        <v>2656.2039106081866</v>
      </c>
      <c r="K213" s="62">
        <v>3687.7743863072064</v>
      </c>
      <c r="L213" s="62">
        <v>5145.0038029007665</v>
      </c>
      <c r="M213" s="62">
        <v>6689.4371458661408</v>
      </c>
      <c r="N213" s="62">
        <v>7772.4790518360896</v>
      </c>
      <c r="O213" s="62">
        <v>8475.9004441865254</v>
      </c>
      <c r="P213" s="62">
        <v>9424.8997410925876</v>
      </c>
      <c r="Q213" s="62">
        <v>9387.9992671851178</v>
      </c>
      <c r="R213" s="62">
        <v>9405.8582370355762</v>
      </c>
      <c r="S213" s="62">
        <v>9241.1598496485676</v>
      </c>
      <c r="T213" s="62">
        <v>9224.6723006232423</v>
      </c>
      <c r="U213" s="62">
        <v>8958.5476909381759</v>
      </c>
      <c r="V213" s="62">
        <v>8748.6717833596704</v>
      </c>
      <c r="W213" s="62">
        <v>10160.056858011056</v>
      </c>
      <c r="X213" s="62">
        <v>10063.78186839533</v>
      </c>
      <c r="Y213" s="62">
        <v>9307.8700977765293</v>
      </c>
      <c r="Z213" s="62">
        <v>7882.8602327593107</v>
      </c>
      <c r="AA213" s="62">
        <v>6114.1061813183296</v>
      </c>
      <c r="AB213" s="62">
        <v>4495.2123469872895</v>
      </c>
      <c r="AC213" s="57">
        <v>159584.2340961622</v>
      </c>
      <c r="AD213" s="106"/>
    </row>
    <row r="214" spans="1:30" ht="15.75" thickBot="1" x14ac:dyDescent="0.3">
      <c r="A214" s="58">
        <v>2031</v>
      </c>
      <c r="B214" s="59">
        <v>11</v>
      </c>
      <c r="C214" s="59">
        <v>5</v>
      </c>
      <c r="D214" s="60" t="s">
        <v>136</v>
      </c>
      <c r="E214" s="62">
        <v>3221.193529908549</v>
      </c>
      <c r="F214" s="62">
        <v>2591.1057677616027</v>
      </c>
      <c r="G214" s="62">
        <v>2063.8102613531137</v>
      </c>
      <c r="H214" s="62">
        <v>1301.1333223436814</v>
      </c>
      <c r="I214" s="62">
        <v>1308.6049741747574</v>
      </c>
      <c r="J214" s="62">
        <v>1946.9280397697585</v>
      </c>
      <c r="K214" s="62">
        <v>2454.4226796398634</v>
      </c>
      <c r="L214" s="62">
        <v>4022.3484866619838</v>
      </c>
      <c r="M214" s="62">
        <v>6186.2074405058083</v>
      </c>
      <c r="N214" s="62">
        <v>7325.2643891684311</v>
      </c>
      <c r="O214" s="62">
        <v>8161.6686604562383</v>
      </c>
      <c r="P214" s="62">
        <v>8971.7895994069586</v>
      </c>
      <c r="Q214" s="62">
        <v>9327.6538907490503</v>
      </c>
      <c r="R214" s="62">
        <v>9014.0027836091431</v>
      </c>
      <c r="S214" s="62">
        <v>8560.4121879289669</v>
      </c>
      <c r="T214" s="62">
        <v>8154.6836881530871</v>
      </c>
      <c r="U214" s="62">
        <v>7658.6134874993513</v>
      </c>
      <c r="V214" s="62">
        <v>7985.8335891737952</v>
      </c>
      <c r="W214" s="62">
        <v>9806.4937896338233</v>
      </c>
      <c r="X214" s="62">
        <v>9764.9506141042366</v>
      </c>
      <c r="Y214" s="62">
        <v>9116.4666295848583</v>
      </c>
      <c r="Z214" s="62">
        <v>7900.1951381511208</v>
      </c>
      <c r="AA214" s="62">
        <v>6537.5636813697638</v>
      </c>
      <c r="AB214" s="62">
        <v>4967.5816863150576</v>
      </c>
      <c r="AC214" s="61">
        <v>148348.92831742301</v>
      </c>
      <c r="AD214" s="107"/>
    </row>
    <row r="215" spans="1:30" ht="15.75" thickBot="1" x14ac:dyDescent="0.3">
      <c r="A215" s="49">
        <v>2031</v>
      </c>
      <c r="B215" s="50">
        <v>12</v>
      </c>
      <c r="C215" s="50">
        <v>6</v>
      </c>
      <c r="D215" s="51" t="s">
        <v>134</v>
      </c>
      <c r="E215" s="62">
        <v>0</v>
      </c>
      <c r="F215" s="62">
        <v>0</v>
      </c>
      <c r="G215" s="62">
        <v>0</v>
      </c>
      <c r="H215" s="62">
        <v>0</v>
      </c>
      <c r="I215" s="62">
        <v>0</v>
      </c>
      <c r="J215" s="62">
        <v>0</v>
      </c>
      <c r="K215" s="62">
        <v>0</v>
      </c>
      <c r="L215" s="62">
        <v>0</v>
      </c>
      <c r="M215" s="62">
        <v>420.83616973648714</v>
      </c>
      <c r="N215" s="62">
        <v>1156.1383545747449</v>
      </c>
      <c r="O215" s="62">
        <v>1672.2187221122604</v>
      </c>
      <c r="P215" s="62">
        <v>2192.7818877046284</v>
      </c>
      <c r="Q215" s="62">
        <v>2613.1006851273178</v>
      </c>
      <c r="R215" s="62">
        <v>2622.8499640426344</v>
      </c>
      <c r="S215" s="62">
        <v>2179.2763931033187</v>
      </c>
      <c r="T215" s="62">
        <v>1791.2632021907866</v>
      </c>
      <c r="U215" s="62">
        <v>1559.1573747523198</v>
      </c>
      <c r="V215" s="62">
        <v>1648.4359764414876</v>
      </c>
      <c r="W215" s="62">
        <v>2903.0401520086107</v>
      </c>
      <c r="X215" s="62">
        <v>3167.0386422191186</v>
      </c>
      <c r="Y215" s="62">
        <v>2861.6390252066049</v>
      </c>
      <c r="Z215" s="62">
        <v>2210.9721007457592</v>
      </c>
      <c r="AA215" s="62">
        <v>1245.0958697501046</v>
      </c>
      <c r="AB215" s="62">
        <v>188.31491593222017</v>
      </c>
      <c r="AC215" s="53">
        <v>30432.159435648406</v>
      </c>
      <c r="AD215" s="105">
        <f>+SUMPRODUCT(AC215:AC217,C215:C217)</f>
        <v>1382083.5557041555</v>
      </c>
    </row>
    <row r="216" spans="1:30" ht="15.75" thickBot="1" x14ac:dyDescent="0.3">
      <c r="A216" s="54">
        <v>2031</v>
      </c>
      <c r="B216" s="55">
        <v>12</v>
      </c>
      <c r="C216" s="55">
        <v>21</v>
      </c>
      <c r="D216" s="56" t="s">
        <v>135</v>
      </c>
      <c r="E216" s="62">
        <v>0</v>
      </c>
      <c r="F216" s="62">
        <v>0</v>
      </c>
      <c r="G216" s="62">
        <v>0</v>
      </c>
      <c r="H216" s="62">
        <v>0</v>
      </c>
      <c r="I216" s="62">
        <v>0</v>
      </c>
      <c r="J216" s="62">
        <v>0</v>
      </c>
      <c r="K216" s="62">
        <v>0</v>
      </c>
      <c r="L216" s="62">
        <v>555.61452709686819</v>
      </c>
      <c r="M216" s="62">
        <v>1584.6517130181765</v>
      </c>
      <c r="N216" s="62">
        <v>2036.1391127663446</v>
      </c>
      <c r="O216" s="62">
        <v>3254.0321472954201</v>
      </c>
      <c r="P216" s="62">
        <v>3100.6507519138413</v>
      </c>
      <c r="Q216" s="62">
        <v>3469.2060042533922</v>
      </c>
      <c r="R216" s="62">
        <v>3230.4914838926106</v>
      </c>
      <c r="S216" s="62">
        <v>3178.3104368560489</v>
      </c>
      <c r="T216" s="62">
        <v>3501.1830405403853</v>
      </c>
      <c r="U216" s="62">
        <v>3315.6282474668824</v>
      </c>
      <c r="V216" s="62">
        <v>3433.5545275166223</v>
      </c>
      <c r="W216" s="62">
        <v>4443.5349882120536</v>
      </c>
      <c r="X216" s="62">
        <v>4500.7342669396567</v>
      </c>
      <c r="Y216" s="62">
        <v>3966.6293213478457</v>
      </c>
      <c r="Z216" s="62">
        <v>3012.1322620370411</v>
      </c>
      <c r="AA216" s="62">
        <v>1780.5522795751112</v>
      </c>
      <c r="AB216" s="62">
        <v>594.46180734585323</v>
      </c>
      <c r="AC216" s="57">
        <v>48957.506918074156</v>
      </c>
      <c r="AD216" s="106"/>
    </row>
    <row r="217" spans="1:30" ht="15.75" thickBot="1" x14ac:dyDescent="0.3">
      <c r="A217" s="58">
        <v>2031</v>
      </c>
      <c r="B217" s="59">
        <v>12</v>
      </c>
      <c r="C217" s="59">
        <v>4</v>
      </c>
      <c r="D217" s="60" t="s">
        <v>136</v>
      </c>
      <c r="E217" s="62">
        <v>0</v>
      </c>
      <c r="F217" s="62">
        <v>0</v>
      </c>
      <c r="G217" s="62">
        <v>0</v>
      </c>
      <c r="H217" s="62">
        <v>0</v>
      </c>
      <c r="I217" s="62">
        <v>0</v>
      </c>
      <c r="J217" s="62">
        <v>0</v>
      </c>
      <c r="K217" s="62">
        <v>0</v>
      </c>
      <c r="L217" s="62">
        <v>0</v>
      </c>
      <c r="M217" s="62">
        <v>1193.7999833828944</v>
      </c>
      <c r="N217" s="62">
        <v>2010.0399070145486</v>
      </c>
      <c r="O217" s="62">
        <v>2550.5830944418904</v>
      </c>
      <c r="P217" s="62">
        <v>3077.6185272059611</v>
      </c>
      <c r="Q217" s="62">
        <v>3215.8774806713045</v>
      </c>
      <c r="R217" s="62">
        <v>3059.8235560509547</v>
      </c>
      <c r="S217" s="62">
        <v>2832.3756378788548</v>
      </c>
      <c r="T217" s="62">
        <v>2697.1331014222342</v>
      </c>
      <c r="U217" s="62">
        <v>2549.3639329953585</v>
      </c>
      <c r="V217" s="62">
        <v>2693.2300215433061</v>
      </c>
      <c r="W217" s="62">
        <v>3920.1585844393412</v>
      </c>
      <c r="X217" s="62">
        <v>4131.8405284506116</v>
      </c>
      <c r="Y217" s="62">
        <v>3559.3611046599362</v>
      </c>
      <c r="Z217" s="62">
        <v>2747.5620521651344</v>
      </c>
      <c r="AA217" s="62">
        <v>1823.724833555545</v>
      </c>
      <c r="AB217" s="62">
        <v>783.24610679907164</v>
      </c>
      <c r="AC217" s="61">
        <v>42845.738452676953</v>
      </c>
      <c r="AD217" s="107"/>
    </row>
    <row r="218" spans="1:30" ht="15.75" thickBot="1" x14ac:dyDescent="0.3">
      <c r="A218" s="49">
        <v>2032</v>
      </c>
      <c r="B218" s="50">
        <v>1</v>
      </c>
      <c r="C218" s="50">
        <v>6</v>
      </c>
      <c r="D218" s="51" t="s">
        <v>134</v>
      </c>
      <c r="E218" s="62">
        <v>0</v>
      </c>
      <c r="F218" s="62">
        <v>0</v>
      </c>
      <c r="G218" s="62">
        <v>0</v>
      </c>
      <c r="H218" s="62">
        <v>0</v>
      </c>
      <c r="I218" s="62">
        <v>0</v>
      </c>
      <c r="J218" s="62">
        <v>0</v>
      </c>
      <c r="K218" s="62">
        <v>0</v>
      </c>
      <c r="L218" s="62">
        <v>0</v>
      </c>
      <c r="M218" s="62">
        <v>0</v>
      </c>
      <c r="N218" s="62">
        <v>0</v>
      </c>
      <c r="O218" s="62">
        <v>0</v>
      </c>
      <c r="P218" s="62">
        <v>135.89693901273131</v>
      </c>
      <c r="Q218" s="62">
        <v>487.91318548913114</v>
      </c>
      <c r="R218" s="62">
        <v>458.76877235424217</v>
      </c>
      <c r="S218" s="62">
        <v>0</v>
      </c>
      <c r="T218" s="62">
        <v>0</v>
      </c>
      <c r="U218" s="62">
        <v>0</v>
      </c>
      <c r="V218" s="62">
        <v>0</v>
      </c>
      <c r="W218" s="62">
        <v>673.56032597546437</v>
      </c>
      <c r="X218" s="62">
        <v>1581.5152541612861</v>
      </c>
      <c r="Y218" s="62">
        <v>1499.5836075521729</v>
      </c>
      <c r="Z218" s="62">
        <v>842.83053566553281</v>
      </c>
      <c r="AA218" s="62">
        <v>0</v>
      </c>
      <c r="AB218" s="62">
        <v>0</v>
      </c>
      <c r="AC218" s="53">
        <v>5680.0686202105608</v>
      </c>
      <c r="AD218" s="105">
        <f>+SUMPRODUCT(AC218:AC220,C218:C220)</f>
        <v>617983.14604928391</v>
      </c>
    </row>
    <row r="219" spans="1:30" ht="15.75" thickBot="1" x14ac:dyDescent="0.3">
      <c r="A219" s="54">
        <v>2032</v>
      </c>
      <c r="B219" s="55">
        <v>1</v>
      </c>
      <c r="C219" s="55">
        <v>20</v>
      </c>
      <c r="D219" s="56" t="s">
        <v>135</v>
      </c>
      <c r="E219" s="62">
        <v>0</v>
      </c>
      <c r="F219" s="62">
        <v>0</v>
      </c>
      <c r="G219" s="62">
        <v>0</v>
      </c>
      <c r="H219" s="62">
        <v>0</v>
      </c>
      <c r="I219" s="62">
        <v>0</v>
      </c>
      <c r="J219" s="62">
        <v>0</v>
      </c>
      <c r="K219" s="62">
        <v>0</v>
      </c>
      <c r="L219" s="62">
        <v>0</v>
      </c>
      <c r="M219" s="62">
        <v>188.46744781808047</v>
      </c>
      <c r="N219" s="62">
        <v>801.47233264725946</v>
      </c>
      <c r="O219" s="62">
        <v>1300.2807963168889</v>
      </c>
      <c r="P219" s="62">
        <v>1995.6422547653565</v>
      </c>
      <c r="Q219" s="62">
        <v>2076.5966787288908</v>
      </c>
      <c r="R219" s="62">
        <v>1993.9835154785287</v>
      </c>
      <c r="S219" s="62">
        <v>1953.2338005642305</v>
      </c>
      <c r="T219" s="62">
        <v>1847.8814190844751</v>
      </c>
      <c r="U219" s="62">
        <v>1765.4396450561071</v>
      </c>
      <c r="V219" s="62">
        <v>1402.6918857160144</v>
      </c>
      <c r="W219" s="62">
        <v>1948.9591517335575</v>
      </c>
      <c r="X219" s="62">
        <v>2576.6617990123086</v>
      </c>
      <c r="Y219" s="62">
        <v>2349.3931671954433</v>
      </c>
      <c r="Z219" s="62">
        <v>1592.429836171983</v>
      </c>
      <c r="AA219" s="62">
        <v>510.48545800098509</v>
      </c>
      <c r="AB219" s="62">
        <v>0</v>
      </c>
      <c r="AC219" s="57">
        <v>24303.619188290111</v>
      </c>
      <c r="AD219" s="106"/>
    </row>
    <row r="220" spans="1:30" ht="15.75" thickBot="1" x14ac:dyDescent="0.3">
      <c r="A220" s="58">
        <v>2032</v>
      </c>
      <c r="B220" s="59">
        <v>1</v>
      </c>
      <c r="C220" s="59">
        <v>5</v>
      </c>
      <c r="D220" s="60" t="s">
        <v>136</v>
      </c>
      <c r="E220" s="62">
        <v>0</v>
      </c>
      <c r="F220" s="62">
        <v>0</v>
      </c>
      <c r="G220" s="62">
        <v>0</v>
      </c>
      <c r="H220" s="62">
        <v>0</v>
      </c>
      <c r="I220" s="62">
        <v>0</v>
      </c>
      <c r="J220" s="62">
        <v>0</v>
      </c>
      <c r="K220" s="62">
        <v>0</v>
      </c>
      <c r="L220" s="62">
        <v>0</v>
      </c>
      <c r="M220" s="62">
        <v>0</v>
      </c>
      <c r="N220" s="62">
        <v>283.57043693528431</v>
      </c>
      <c r="O220" s="62">
        <v>861.77012171503884</v>
      </c>
      <c r="P220" s="62">
        <v>1507.0208227512376</v>
      </c>
      <c r="Q220" s="62">
        <v>1797.8726392492681</v>
      </c>
      <c r="R220" s="62">
        <v>1717.6928259956603</v>
      </c>
      <c r="S220" s="62">
        <v>1520.5731969714434</v>
      </c>
      <c r="T220" s="62">
        <v>1362.1049895492688</v>
      </c>
      <c r="U220" s="62">
        <v>1120.5967741595177</v>
      </c>
      <c r="V220" s="62">
        <v>978.51806958511042</v>
      </c>
      <c r="W220" s="62">
        <v>1764.0808226689405</v>
      </c>
      <c r="X220" s="62">
        <v>2412.0354981066484</v>
      </c>
      <c r="Y220" s="62">
        <v>2162.314707498972</v>
      </c>
      <c r="Z220" s="62">
        <v>1531.083993161883</v>
      </c>
      <c r="AA220" s="62">
        <v>546.83521409537934</v>
      </c>
      <c r="AB220" s="62">
        <v>0</v>
      </c>
      <c r="AC220" s="61">
        <v>19566.070112443653</v>
      </c>
      <c r="AD220" s="107"/>
    </row>
    <row r="221" spans="1:30" ht="15.75" thickBot="1" x14ac:dyDescent="0.3">
      <c r="A221" s="49">
        <v>2032</v>
      </c>
      <c r="B221" s="50">
        <v>2</v>
      </c>
      <c r="C221" s="50">
        <v>5</v>
      </c>
      <c r="D221" s="51" t="s">
        <v>134</v>
      </c>
      <c r="E221" s="62">
        <v>0</v>
      </c>
      <c r="F221" s="62">
        <v>0</v>
      </c>
      <c r="G221" s="62">
        <v>0</v>
      </c>
      <c r="H221" s="62">
        <v>0</v>
      </c>
      <c r="I221" s="62">
        <v>0</v>
      </c>
      <c r="J221" s="62">
        <v>0</v>
      </c>
      <c r="K221" s="62">
        <v>0</v>
      </c>
      <c r="L221" s="62">
        <v>0</v>
      </c>
      <c r="M221" s="62">
        <v>0</v>
      </c>
      <c r="N221" s="62">
        <v>0</v>
      </c>
      <c r="O221" s="62">
        <v>0</v>
      </c>
      <c r="P221" s="62">
        <v>0</v>
      </c>
      <c r="Q221" s="62">
        <v>0</v>
      </c>
      <c r="R221" s="62">
        <v>0</v>
      </c>
      <c r="S221" s="62">
        <v>0</v>
      </c>
      <c r="T221" s="62">
        <v>0</v>
      </c>
      <c r="U221" s="62">
        <v>0</v>
      </c>
      <c r="V221" s="62">
        <v>0</v>
      </c>
      <c r="W221" s="62">
        <v>0</v>
      </c>
      <c r="X221" s="62">
        <v>129.55553353465257</v>
      </c>
      <c r="Y221" s="62">
        <v>193.46823975856023</v>
      </c>
      <c r="Z221" s="62">
        <v>0</v>
      </c>
      <c r="AA221" s="62">
        <v>0</v>
      </c>
      <c r="AB221" s="62">
        <v>0</v>
      </c>
      <c r="AC221" s="53">
        <v>323.0237732932128</v>
      </c>
      <c r="AD221" s="105">
        <f>+SUMPRODUCT(AC221:AC223,C221:C223)</f>
        <v>152010.70811391665</v>
      </c>
    </row>
    <row r="222" spans="1:30" ht="15.75" thickBot="1" x14ac:dyDescent="0.3">
      <c r="A222" s="54">
        <v>2032</v>
      </c>
      <c r="B222" s="55">
        <v>2</v>
      </c>
      <c r="C222" s="55">
        <v>20</v>
      </c>
      <c r="D222" s="56" t="s">
        <v>135</v>
      </c>
      <c r="E222" s="62">
        <v>0</v>
      </c>
      <c r="F222" s="62">
        <v>0</v>
      </c>
      <c r="G222" s="62">
        <v>0</v>
      </c>
      <c r="H222" s="62">
        <v>0</v>
      </c>
      <c r="I222" s="62">
        <v>0</v>
      </c>
      <c r="J222" s="62">
        <v>0</v>
      </c>
      <c r="K222" s="62">
        <v>0</v>
      </c>
      <c r="L222" s="62">
        <v>0</v>
      </c>
      <c r="M222" s="62">
        <v>0</v>
      </c>
      <c r="N222" s="62">
        <v>0</v>
      </c>
      <c r="O222" s="62">
        <v>0</v>
      </c>
      <c r="P222" s="62">
        <v>454.95442003310927</v>
      </c>
      <c r="Q222" s="62">
        <v>490.87332883849012</v>
      </c>
      <c r="R222" s="62">
        <v>467.65126274622526</v>
      </c>
      <c r="S222" s="62">
        <v>701.51839567212483</v>
      </c>
      <c r="T222" s="62">
        <v>680.19149791981908</v>
      </c>
      <c r="U222" s="62">
        <v>578.26124096700914</v>
      </c>
      <c r="V222" s="62">
        <v>289.86862308750278</v>
      </c>
      <c r="W222" s="62">
        <v>642.74644815813917</v>
      </c>
      <c r="X222" s="62">
        <v>1321.0476295718236</v>
      </c>
      <c r="Y222" s="62">
        <v>1045.755392514242</v>
      </c>
      <c r="Z222" s="62">
        <v>0</v>
      </c>
      <c r="AA222" s="62">
        <v>0</v>
      </c>
      <c r="AB222" s="62">
        <v>0</v>
      </c>
      <c r="AC222" s="57">
        <v>6672.8682395084852</v>
      </c>
      <c r="AD222" s="106"/>
    </row>
    <row r="223" spans="1:30" ht="15.75" thickBot="1" x14ac:dyDescent="0.3">
      <c r="A223" s="58">
        <v>2032</v>
      </c>
      <c r="B223" s="59">
        <v>2</v>
      </c>
      <c r="C223" s="59">
        <v>4</v>
      </c>
      <c r="D223" s="60" t="s">
        <v>136</v>
      </c>
      <c r="E223" s="62">
        <v>0</v>
      </c>
      <c r="F223" s="62">
        <v>0</v>
      </c>
      <c r="G223" s="62">
        <v>0</v>
      </c>
      <c r="H223" s="62">
        <v>0</v>
      </c>
      <c r="I223" s="62">
        <v>0</v>
      </c>
      <c r="J223" s="62">
        <v>0</v>
      </c>
      <c r="K223" s="62">
        <v>0</v>
      </c>
      <c r="L223" s="62">
        <v>0</v>
      </c>
      <c r="M223" s="62">
        <v>0</v>
      </c>
      <c r="N223" s="62">
        <v>0</v>
      </c>
      <c r="O223" s="62">
        <v>0</v>
      </c>
      <c r="P223" s="62">
        <v>154.00296403714492</v>
      </c>
      <c r="Q223" s="62">
        <v>531.72471837660123</v>
      </c>
      <c r="R223" s="62">
        <v>425.33252674628602</v>
      </c>
      <c r="S223" s="62">
        <v>187.06775354713682</v>
      </c>
      <c r="T223" s="62">
        <v>210.65180318454077</v>
      </c>
      <c r="U223" s="62">
        <v>85.511614337880019</v>
      </c>
      <c r="V223" s="62">
        <v>0</v>
      </c>
      <c r="W223" s="62">
        <v>375.63052448290728</v>
      </c>
      <c r="X223" s="62">
        <v>1064.0482121739624</v>
      </c>
      <c r="Y223" s="62">
        <v>903.4410745514997</v>
      </c>
      <c r="Z223" s="62">
        <v>297.14492288226029</v>
      </c>
      <c r="AA223" s="62">
        <v>0</v>
      </c>
      <c r="AB223" s="62">
        <v>0</v>
      </c>
      <c r="AC223" s="61">
        <v>4234.5561143202194</v>
      </c>
      <c r="AD223" s="107"/>
    </row>
    <row r="224" spans="1:30" ht="15.75" thickBot="1" x14ac:dyDescent="0.3">
      <c r="A224" s="49">
        <v>2032</v>
      </c>
      <c r="B224" s="50">
        <v>3</v>
      </c>
      <c r="C224" s="50">
        <v>7</v>
      </c>
      <c r="D224" s="51" t="s">
        <v>134</v>
      </c>
      <c r="E224" s="62">
        <v>0</v>
      </c>
      <c r="F224" s="62">
        <v>0</v>
      </c>
      <c r="G224" s="62">
        <v>0</v>
      </c>
      <c r="H224" s="62">
        <v>0</v>
      </c>
      <c r="I224" s="62">
        <v>0</v>
      </c>
      <c r="J224" s="62">
        <v>0</v>
      </c>
      <c r="K224" s="62">
        <v>0</v>
      </c>
      <c r="L224" s="62">
        <v>0</v>
      </c>
      <c r="M224" s="62">
        <v>0</v>
      </c>
      <c r="N224" s="62">
        <v>0</v>
      </c>
      <c r="O224" s="62">
        <v>0</v>
      </c>
      <c r="P224" s="62">
        <v>268.68151128181853</v>
      </c>
      <c r="Q224" s="62">
        <v>694.86970089850183</v>
      </c>
      <c r="R224" s="62">
        <v>471.24497378209344</v>
      </c>
      <c r="S224" s="62">
        <v>0</v>
      </c>
      <c r="T224" s="62">
        <v>0</v>
      </c>
      <c r="U224" s="62">
        <v>0</v>
      </c>
      <c r="V224" s="62">
        <v>0</v>
      </c>
      <c r="W224" s="62">
        <v>217.50583889841255</v>
      </c>
      <c r="X224" s="62">
        <v>1724.1886058686923</v>
      </c>
      <c r="Y224" s="62">
        <v>1790.12877460048</v>
      </c>
      <c r="Z224" s="62">
        <v>1312.3627816874723</v>
      </c>
      <c r="AA224" s="62">
        <v>434.39555711952016</v>
      </c>
      <c r="AB224" s="62">
        <v>0</v>
      </c>
      <c r="AC224" s="53">
        <v>6913.3777441369912</v>
      </c>
      <c r="AD224" s="105">
        <f>+SUMPRODUCT(AC224:AC226,C224:C226)</f>
        <v>471428.70675556106</v>
      </c>
    </row>
    <row r="225" spans="1:30" ht="15.75" thickBot="1" x14ac:dyDescent="0.3">
      <c r="A225" s="54">
        <v>2032</v>
      </c>
      <c r="B225" s="55">
        <v>3</v>
      </c>
      <c r="C225" s="55">
        <v>20</v>
      </c>
      <c r="D225" s="56" t="s">
        <v>135</v>
      </c>
      <c r="E225" s="62">
        <v>0</v>
      </c>
      <c r="F225" s="62">
        <v>0</v>
      </c>
      <c r="G225" s="62">
        <v>0</v>
      </c>
      <c r="H225" s="62">
        <v>0</v>
      </c>
      <c r="I225" s="62">
        <v>0</v>
      </c>
      <c r="J225" s="62">
        <v>0</v>
      </c>
      <c r="K225" s="62">
        <v>0</v>
      </c>
      <c r="L225" s="62">
        <v>0</v>
      </c>
      <c r="M225" s="62">
        <v>0</v>
      </c>
      <c r="N225" s="62">
        <v>386.58577616461116</v>
      </c>
      <c r="O225" s="62">
        <v>795.67474809842315</v>
      </c>
      <c r="P225" s="62">
        <v>1363.7397539171889</v>
      </c>
      <c r="Q225" s="62">
        <v>1371.722111037363</v>
      </c>
      <c r="R225" s="62">
        <v>1350.6231755549998</v>
      </c>
      <c r="S225" s="62">
        <v>1410.1516261642719</v>
      </c>
      <c r="T225" s="62">
        <v>1483.6351389912052</v>
      </c>
      <c r="U225" s="62">
        <v>1482.3275909197764</v>
      </c>
      <c r="V225" s="62">
        <v>1113.7797266700109</v>
      </c>
      <c r="W225" s="62">
        <v>1639.4613481190063</v>
      </c>
      <c r="X225" s="62">
        <v>2367.2088540941604</v>
      </c>
      <c r="Y225" s="62">
        <v>2111.5385497469779</v>
      </c>
      <c r="Z225" s="62">
        <v>1332.2038526348279</v>
      </c>
      <c r="AA225" s="62">
        <v>137.7496203501978</v>
      </c>
      <c r="AB225" s="62">
        <v>0</v>
      </c>
      <c r="AC225" s="57">
        <v>18346.401872463019</v>
      </c>
      <c r="AD225" s="106"/>
    </row>
    <row r="226" spans="1:30" ht="15.75" thickBot="1" x14ac:dyDescent="0.3">
      <c r="A226" s="58">
        <v>2032</v>
      </c>
      <c r="B226" s="59">
        <v>3</v>
      </c>
      <c r="C226" s="59">
        <v>4</v>
      </c>
      <c r="D226" s="60" t="s">
        <v>136</v>
      </c>
      <c r="E226" s="62">
        <v>0</v>
      </c>
      <c r="F226" s="62">
        <v>0</v>
      </c>
      <c r="G226" s="62">
        <v>0</v>
      </c>
      <c r="H226" s="62">
        <v>0</v>
      </c>
      <c r="I226" s="62">
        <v>0</v>
      </c>
      <c r="J226" s="62">
        <v>0</v>
      </c>
      <c r="K226" s="62">
        <v>0</v>
      </c>
      <c r="L226" s="62">
        <v>0</v>
      </c>
      <c r="M226" s="62">
        <v>0</v>
      </c>
      <c r="N226" s="62">
        <v>394.06652756500989</v>
      </c>
      <c r="O226" s="62">
        <v>755.61285831304849</v>
      </c>
      <c r="P226" s="62">
        <v>1254.5651707778725</v>
      </c>
      <c r="Q226" s="62">
        <v>1426.0570897861653</v>
      </c>
      <c r="R226" s="62">
        <v>1252.7562537097256</v>
      </c>
      <c r="S226" s="62">
        <v>1108.0656684638598</v>
      </c>
      <c r="T226" s="62">
        <v>995.78287869582164</v>
      </c>
      <c r="U226" s="62">
        <v>777.19330643290959</v>
      </c>
      <c r="V226" s="62">
        <v>597.41529855976478</v>
      </c>
      <c r="W226" s="62">
        <v>1333.4201180832933</v>
      </c>
      <c r="X226" s="62">
        <v>2002.090024652347</v>
      </c>
      <c r="Y226" s="62">
        <v>1806.2857202729647</v>
      </c>
      <c r="Z226" s="62">
        <v>323.44535902265125</v>
      </c>
      <c r="AA226" s="62">
        <v>0</v>
      </c>
      <c r="AB226" s="62">
        <v>0</v>
      </c>
      <c r="AC226" s="61">
        <v>14026.756274335434</v>
      </c>
      <c r="AD226" s="107"/>
    </row>
    <row r="227" spans="1:30" ht="15.75" thickBot="1" x14ac:dyDescent="0.3">
      <c r="A227" s="49">
        <v>2032</v>
      </c>
      <c r="B227" s="50">
        <v>4</v>
      </c>
      <c r="C227" s="50">
        <v>4</v>
      </c>
      <c r="D227" s="51" t="s">
        <v>134</v>
      </c>
      <c r="E227" s="62">
        <v>0</v>
      </c>
      <c r="F227" s="62">
        <v>0</v>
      </c>
      <c r="G227" s="62">
        <v>0</v>
      </c>
      <c r="H227" s="62">
        <v>0</v>
      </c>
      <c r="I227" s="62">
        <v>0</v>
      </c>
      <c r="J227" s="62">
        <v>0</v>
      </c>
      <c r="K227" s="62">
        <v>0</v>
      </c>
      <c r="L227" s="62">
        <v>0</v>
      </c>
      <c r="M227" s="62">
        <v>0</v>
      </c>
      <c r="N227" s="62">
        <v>0</v>
      </c>
      <c r="O227" s="62">
        <v>0</v>
      </c>
      <c r="P227" s="62">
        <v>0</v>
      </c>
      <c r="Q227" s="62">
        <v>123.24800384966693</v>
      </c>
      <c r="R227" s="62">
        <v>0</v>
      </c>
      <c r="S227" s="62">
        <v>0</v>
      </c>
      <c r="T227" s="62">
        <v>0</v>
      </c>
      <c r="U227" s="62">
        <v>0</v>
      </c>
      <c r="V227" s="62">
        <v>0</v>
      </c>
      <c r="W227" s="62">
        <v>0</v>
      </c>
      <c r="X227" s="62">
        <v>601.85332109590854</v>
      </c>
      <c r="Y227" s="62">
        <v>403.05297593677642</v>
      </c>
      <c r="Z227" s="62">
        <v>0</v>
      </c>
      <c r="AA227" s="62">
        <v>0</v>
      </c>
      <c r="AB227" s="62">
        <v>0</v>
      </c>
      <c r="AC227" s="53">
        <v>1128.1543008823519</v>
      </c>
      <c r="AD227" s="105">
        <f>+SUMPRODUCT(AC227:AC229,C227:C229)</f>
        <v>244712.62733622041</v>
      </c>
    </row>
    <row r="228" spans="1:30" ht="15.75" thickBot="1" x14ac:dyDescent="0.3">
      <c r="A228" s="54">
        <v>2032</v>
      </c>
      <c r="B228" s="55">
        <v>4</v>
      </c>
      <c r="C228" s="55">
        <v>22</v>
      </c>
      <c r="D228" s="56" t="s">
        <v>135</v>
      </c>
      <c r="E228" s="62">
        <v>0</v>
      </c>
      <c r="F228" s="62">
        <v>0</v>
      </c>
      <c r="G228" s="62">
        <v>0</v>
      </c>
      <c r="H228" s="62">
        <v>0</v>
      </c>
      <c r="I228" s="62">
        <v>0</v>
      </c>
      <c r="J228" s="62">
        <v>0</v>
      </c>
      <c r="K228" s="62">
        <v>0</v>
      </c>
      <c r="L228" s="62">
        <v>0</v>
      </c>
      <c r="M228" s="62">
        <v>0</v>
      </c>
      <c r="N228" s="62">
        <v>0</v>
      </c>
      <c r="O228" s="62">
        <v>0</v>
      </c>
      <c r="P228" s="62">
        <v>477.66393601954769</v>
      </c>
      <c r="Q228" s="62">
        <v>512.81833623484272</v>
      </c>
      <c r="R228" s="62">
        <v>688.14034013985111</v>
      </c>
      <c r="S228" s="62">
        <v>1026.5665945197616</v>
      </c>
      <c r="T228" s="62">
        <v>1125.2284297450133</v>
      </c>
      <c r="U228" s="62">
        <v>971.25978229948487</v>
      </c>
      <c r="V228" s="62">
        <v>691.50773269845376</v>
      </c>
      <c r="W228" s="62">
        <v>1186.3669982484553</v>
      </c>
      <c r="X228" s="62">
        <v>1701.6039421383884</v>
      </c>
      <c r="Y228" s="62">
        <v>1329.2688568659487</v>
      </c>
      <c r="Z228" s="62">
        <v>515.07724706597037</v>
      </c>
      <c r="AA228" s="62">
        <v>0</v>
      </c>
      <c r="AB228" s="62">
        <v>0</v>
      </c>
      <c r="AC228" s="57">
        <v>10225.502195975718</v>
      </c>
      <c r="AD228" s="106"/>
    </row>
    <row r="229" spans="1:30" ht="15.75" thickBot="1" x14ac:dyDescent="0.3">
      <c r="A229" s="58">
        <v>2032</v>
      </c>
      <c r="B229" s="59">
        <v>4</v>
      </c>
      <c r="C229" s="59">
        <v>4</v>
      </c>
      <c r="D229" s="60" t="s">
        <v>136</v>
      </c>
      <c r="E229" s="62">
        <v>0</v>
      </c>
      <c r="F229" s="62">
        <v>0</v>
      </c>
      <c r="G229" s="62">
        <v>0</v>
      </c>
      <c r="H229" s="62">
        <v>0</v>
      </c>
      <c r="I229" s="62">
        <v>0</v>
      </c>
      <c r="J229" s="62">
        <v>0</v>
      </c>
      <c r="K229" s="62">
        <v>0</v>
      </c>
      <c r="L229" s="62">
        <v>0</v>
      </c>
      <c r="M229" s="62">
        <v>0</v>
      </c>
      <c r="N229" s="62">
        <v>0</v>
      </c>
      <c r="O229" s="62">
        <v>0</v>
      </c>
      <c r="P229" s="62">
        <v>547.67303030818039</v>
      </c>
      <c r="Q229" s="62">
        <v>719.25454639554482</v>
      </c>
      <c r="R229" s="62">
        <v>532.93830745935884</v>
      </c>
      <c r="S229" s="62">
        <v>254.84437102852826</v>
      </c>
      <c r="T229" s="62">
        <v>0</v>
      </c>
      <c r="U229" s="62">
        <v>0</v>
      </c>
      <c r="V229" s="62">
        <v>0</v>
      </c>
      <c r="W229" s="62">
        <v>394.21476334393446</v>
      </c>
      <c r="X229" s="62">
        <v>778.98594662252435</v>
      </c>
      <c r="Y229" s="62">
        <v>581.82949014823316</v>
      </c>
      <c r="Z229" s="62">
        <v>0</v>
      </c>
      <c r="AA229" s="62">
        <v>0</v>
      </c>
      <c r="AB229" s="62">
        <v>0</v>
      </c>
      <c r="AC229" s="61">
        <v>3809.7404553063043</v>
      </c>
      <c r="AD229" s="107"/>
    </row>
    <row r="230" spans="1:30" ht="15.75" thickBot="1" x14ac:dyDescent="0.3">
      <c r="A230" s="49">
        <v>2032</v>
      </c>
      <c r="B230" s="50">
        <v>5</v>
      </c>
      <c r="C230" s="50">
        <v>7</v>
      </c>
      <c r="D230" s="51" t="s">
        <v>134</v>
      </c>
      <c r="E230" s="62">
        <v>0</v>
      </c>
      <c r="F230" s="62">
        <v>0</v>
      </c>
      <c r="G230" s="62">
        <v>0</v>
      </c>
      <c r="H230" s="62">
        <v>0</v>
      </c>
      <c r="I230" s="62">
        <v>0</v>
      </c>
      <c r="J230" s="62">
        <v>0</v>
      </c>
      <c r="K230" s="62">
        <v>0</v>
      </c>
      <c r="L230" s="62">
        <v>0</v>
      </c>
      <c r="M230" s="62">
        <v>0</v>
      </c>
      <c r="N230" s="62">
        <v>52.821926546901523</v>
      </c>
      <c r="O230" s="62">
        <v>561.92178787934245</v>
      </c>
      <c r="P230" s="62">
        <v>1112.2488104332133</v>
      </c>
      <c r="Q230" s="62">
        <v>1458.833192149521</v>
      </c>
      <c r="R230" s="62">
        <v>1345.1205042009133</v>
      </c>
      <c r="S230" s="62">
        <v>841.82042378172446</v>
      </c>
      <c r="T230" s="62">
        <v>516.92032410652428</v>
      </c>
      <c r="U230" s="62">
        <v>232.59095428758337</v>
      </c>
      <c r="V230" s="62">
        <v>310.26748051028517</v>
      </c>
      <c r="W230" s="62">
        <v>1224.9814740901711</v>
      </c>
      <c r="X230" s="62">
        <v>1790.5941730595659</v>
      </c>
      <c r="Y230" s="62">
        <v>1700.4305158405459</v>
      </c>
      <c r="Z230" s="62">
        <v>910.22867963512545</v>
      </c>
      <c r="AA230" s="62">
        <v>0</v>
      </c>
      <c r="AB230" s="62">
        <v>0</v>
      </c>
      <c r="AC230" s="53">
        <v>12058.780246521417</v>
      </c>
      <c r="AD230" s="105">
        <f>+SUMPRODUCT(AC230:AC232,C230:C232)</f>
        <v>513472.01667625568</v>
      </c>
    </row>
    <row r="231" spans="1:30" ht="15.75" thickBot="1" x14ac:dyDescent="0.3">
      <c r="A231" s="54">
        <v>2032</v>
      </c>
      <c r="B231" s="55">
        <v>5</v>
      </c>
      <c r="C231" s="55">
        <v>20</v>
      </c>
      <c r="D231" s="56" t="s">
        <v>135</v>
      </c>
      <c r="E231" s="62">
        <v>0</v>
      </c>
      <c r="F231" s="62">
        <v>0</v>
      </c>
      <c r="G231" s="62">
        <v>0</v>
      </c>
      <c r="H231" s="62">
        <v>0</v>
      </c>
      <c r="I231" s="62">
        <v>0</v>
      </c>
      <c r="J231" s="62">
        <v>0</v>
      </c>
      <c r="K231" s="62">
        <v>0</v>
      </c>
      <c r="L231" s="62">
        <v>0</v>
      </c>
      <c r="M231" s="62">
        <v>0</v>
      </c>
      <c r="N231" s="62">
        <v>188.627037684073</v>
      </c>
      <c r="O231" s="62">
        <v>699.54668267230227</v>
      </c>
      <c r="P231" s="62">
        <v>1315.9554751687319</v>
      </c>
      <c r="Q231" s="62">
        <v>1447.0773127892753</v>
      </c>
      <c r="R231" s="62">
        <v>1512.9500446665752</v>
      </c>
      <c r="S231" s="62">
        <v>1633.2034601183186</v>
      </c>
      <c r="T231" s="62">
        <v>1583.6932401045615</v>
      </c>
      <c r="U231" s="62">
        <v>1506.8022380689927</v>
      </c>
      <c r="V231" s="62">
        <v>1276.3990391239058</v>
      </c>
      <c r="W231" s="62">
        <v>1860.6300963723188</v>
      </c>
      <c r="X231" s="62">
        <v>2353.3617901751513</v>
      </c>
      <c r="Y231" s="62">
        <v>2001.0091873476613</v>
      </c>
      <c r="Z231" s="62">
        <v>986.4213687429874</v>
      </c>
      <c r="AA231" s="62">
        <v>0</v>
      </c>
      <c r="AB231" s="62">
        <v>0</v>
      </c>
      <c r="AC231" s="57">
        <v>18365.676973034853</v>
      </c>
      <c r="AD231" s="106"/>
    </row>
    <row r="232" spans="1:30" ht="15.75" thickBot="1" x14ac:dyDescent="0.3">
      <c r="A232" s="58">
        <v>2032</v>
      </c>
      <c r="B232" s="59">
        <v>5</v>
      </c>
      <c r="C232" s="59">
        <v>4</v>
      </c>
      <c r="D232" s="60" t="s">
        <v>136</v>
      </c>
      <c r="E232" s="62">
        <v>0</v>
      </c>
      <c r="F232" s="62">
        <v>0</v>
      </c>
      <c r="G232" s="62">
        <v>0</v>
      </c>
      <c r="H232" s="62">
        <v>0</v>
      </c>
      <c r="I232" s="62">
        <v>0</v>
      </c>
      <c r="J232" s="62">
        <v>0</v>
      </c>
      <c r="K232" s="62">
        <v>0</v>
      </c>
      <c r="L232" s="62">
        <v>0</v>
      </c>
      <c r="M232" s="62">
        <v>0</v>
      </c>
      <c r="N232" s="62">
        <v>494.07349552089727</v>
      </c>
      <c r="O232" s="62">
        <v>1201.6549982955112</v>
      </c>
      <c r="P232" s="62">
        <v>1481.073472899021</v>
      </c>
      <c r="Q232" s="62">
        <v>1793.073021882461</v>
      </c>
      <c r="R232" s="62">
        <v>1629.3767333699216</v>
      </c>
      <c r="S232" s="62">
        <v>1296.0416224945602</v>
      </c>
      <c r="T232" s="62">
        <v>1115.6422836799411</v>
      </c>
      <c r="U232" s="62">
        <v>730.24737849993835</v>
      </c>
      <c r="V232" s="62">
        <v>716.34984373040606</v>
      </c>
      <c r="W232" s="62">
        <v>953.4350928873846</v>
      </c>
      <c r="X232" s="62">
        <v>1743.731337231322</v>
      </c>
      <c r="Y232" s="62">
        <v>1480.6918716221826</v>
      </c>
      <c r="Z232" s="62">
        <v>801.36272036362789</v>
      </c>
      <c r="AA232" s="62">
        <v>0</v>
      </c>
      <c r="AB232" s="62">
        <v>0</v>
      </c>
      <c r="AC232" s="61">
        <v>15436.753872477175</v>
      </c>
      <c r="AD232" s="107"/>
    </row>
    <row r="233" spans="1:30" ht="15.75" thickBot="1" x14ac:dyDescent="0.3">
      <c r="A233" s="49">
        <v>2032</v>
      </c>
      <c r="B233" s="50">
        <v>6</v>
      </c>
      <c r="C233" s="50">
        <v>6</v>
      </c>
      <c r="D233" s="51" t="s">
        <v>134</v>
      </c>
      <c r="E233" s="62">
        <v>0</v>
      </c>
      <c r="F233" s="62">
        <v>0</v>
      </c>
      <c r="G233" s="62">
        <v>0</v>
      </c>
      <c r="H233" s="62">
        <v>0</v>
      </c>
      <c r="I233" s="62">
        <v>0</v>
      </c>
      <c r="J233" s="62">
        <v>0</v>
      </c>
      <c r="K233" s="62">
        <v>0</v>
      </c>
      <c r="L233" s="62">
        <v>0</v>
      </c>
      <c r="M233" s="62">
        <v>0</v>
      </c>
      <c r="N233" s="62">
        <v>0</v>
      </c>
      <c r="O233" s="62">
        <v>0</v>
      </c>
      <c r="P233" s="62">
        <v>0</v>
      </c>
      <c r="Q233" s="62">
        <v>0</v>
      </c>
      <c r="R233" s="62">
        <v>0</v>
      </c>
      <c r="S233" s="62">
        <v>0</v>
      </c>
      <c r="T233" s="62">
        <v>0</v>
      </c>
      <c r="U233" s="62">
        <v>0</v>
      </c>
      <c r="V233" s="62">
        <v>0</v>
      </c>
      <c r="W233" s="62">
        <v>0</v>
      </c>
      <c r="X233" s="62">
        <v>500.56205887869146</v>
      </c>
      <c r="Y233" s="62">
        <v>314.74640619441925</v>
      </c>
      <c r="Z233" s="62">
        <v>0</v>
      </c>
      <c r="AA233" s="62">
        <v>0</v>
      </c>
      <c r="AB233" s="62">
        <v>0</v>
      </c>
      <c r="AC233" s="53">
        <v>815.30846507311071</v>
      </c>
      <c r="AD233" s="105">
        <f>+SUMPRODUCT(AC233:AC235,C233:C235)</f>
        <v>189172.88875256121</v>
      </c>
    </row>
    <row r="234" spans="1:30" ht="15.75" thickBot="1" x14ac:dyDescent="0.3">
      <c r="A234" s="54">
        <v>2032</v>
      </c>
      <c r="B234" s="55">
        <v>6</v>
      </c>
      <c r="C234" s="55">
        <v>20</v>
      </c>
      <c r="D234" s="56" t="s">
        <v>135</v>
      </c>
      <c r="E234" s="62">
        <v>0</v>
      </c>
      <c r="F234" s="62">
        <v>0</v>
      </c>
      <c r="G234" s="62">
        <v>0</v>
      </c>
      <c r="H234" s="62">
        <v>0</v>
      </c>
      <c r="I234" s="62">
        <v>0</v>
      </c>
      <c r="J234" s="62">
        <v>0</v>
      </c>
      <c r="K234" s="62">
        <v>0</v>
      </c>
      <c r="L234" s="62">
        <v>0</v>
      </c>
      <c r="M234" s="62">
        <v>0</v>
      </c>
      <c r="N234" s="62">
        <v>0</v>
      </c>
      <c r="O234" s="62">
        <v>203.7670648142448</v>
      </c>
      <c r="P234" s="62">
        <v>1056.8194497458262</v>
      </c>
      <c r="Q234" s="62">
        <v>1189.3625389825538</v>
      </c>
      <c r="R234" s="62">
        <v>919.43605790652509</v>
      </c>
      <c r="S234" s="62">
        <v>774.69324854647857</v>
      </c>
      <c r="T234" s="62">
        <v>666.43743326769436</v>
      </c>
      <c r="U234" s="62">
        <v>506.24794926653885</v>
      </c>
      <c r="V234" s="62">
        <v>322.75969904276462</v>
      </c>
      <c r="W234" s="62">
        <v>729.8057442086465</v>
      </c>
      <c r="X234" s="62">
        <v>1162.7739377695962</v>
      </c>
      <c r="Y234" s="62">
        <v>782.79246706182676</v>
      </c>
      <c r="Z234" s="62">
        <v>0</v>
      </c>
      <c r="AA234" s="62">
        <v>0</v>
      </c>
      <c r="AB234" s="62">
        <v>0</v>
      </c>
      <c r="AC234" s="57">
        <v>8314.8955906126957</v>
      </c>
      <c r="AD234" s="106"/>
    </row>
    <row r="235" spans="1:30" ht="15.75" thickBot="1" x14ac:dyDescent="0.3">
      <c r="A235" s="58">
        <v>2032</v>
      </c>
      <c r="B235" s="59">
        <v>6</v>
      </c>
      <c r="C235" s="59">
        <v>4</v>
      </c>
      <c r="D235" s="60" t="s">
        <v>136</v>
      </c>
      <c r="E235" s="62">
        <v>0</v>
      </c>
      <c r="F235" s="62">
        <v>0</v>
      </c>
      <c r="G235" s="62">
        <v>0</v>
      </c>
      <c r="H235" s="62">
        <v>0</v>
      </c>
      <c r="I235" s="62">
        <v>0</v>
      </c>
      <c r="J235" s="62">
        <v>0</v>
      </c>
      <c r="K235" s="62">
        <v>0</v>
      </c>
      <c r="L235" s="62">
        <v>0</v>
      </c>
      <c r="M235" s="62">
        <v>0</v>
      </c>
      <c r="N235" s="62">
        <v>0</v>
      </c>
      <c r="O235" s="62">
        <v>8.5531135406272369</v>
      </c>
      <c r="P235" s="62">
        <v>581.28655479216286</v>
      </c>
      <c r="Q235" s="62">
        <v>611.62815083166788</v>
      </c>
      <c r="R235" s="62">
        <v>381.88766428428789</v>
      </c>
      <c r="S235" s="62">
        <v>94.202011547215079</v>
      </c>
      <c r="T235" s="62">
        <v>0</v>
      </c>
      <c r="U235" s="62">
        <v>0</v>
      </c>
      <c r="V235" s="62">
        <v>0</v>
      </c>
      <c r="W235" s="62">
        <v>635.80241539273811</v>
      </c>
      <c r="X235" s="62">
        <v>1152.9863604830825</v>
      </c>
      <c r="Y235" s="62">
        <v>905.8054289681113</v>
      </c>
      <c r="Z235" s="62">
        <v>123.62983762726071</v>
      </c>
      <c r="AA235" s="62">
        <v>0</v>
      </c>
      <c r="AB235" s="62">
        <v>0</v>
      </c>
      <c r="AC235" s="61">
        <v>4495.7815374671536</v>
      </c>
      <c r="AD235" s="107"/>
    </row>
    <row r="236" spans="1:30" ht="15.75" thickBot="1" x14ac:dyDescent="0.3">
      <c r="A236" s="49">
        <v>2032</v>
      </c>
      <c r="B236" s="50">
        <v>7</v>
      </c>
      <c r="C236" s="50">
        <v>6</v>
      </c>
      <c r="D236" s="51" t="s">
        <v>134</v>
      </c>
      <c r="E236" s="62">
        <v>0</v>
      </c>
      <c r="F236" s="62">
        <v>0</v>
      </c>
      <c r="G236" s="62">
        <v>0</v>
      </c>
      <c r="H236" s="62">
        <v>0</v>
      </c>
      <c r="I236" s="62">
        <v>0</v>
      </c>
      <c r="J236" s="62">
        <v>0</v>
      </c>
      <c r="K236" s="62">
        <v>0</v>
      </c>
      <c r="L236" s="62">
        <v>0</v>
      </c>
      <c r="M236" s="62">
        <v>0</v>
      </c>
      <c r="N236" s="62">
        <v>0</v>
      </c>
      <c r="O236" s="62">
        <v>0</v>
      </c>
      <c r="P236" s="62">
        <v>395.15152673493139</v>
      </c>
      <c r="Q236" s="62">
        <v>821.4846401955092</v>
      </c>
      <c r="R236" s="62">
        <v>696.63776533614146</v>
      </c>
      <c r="S236" s="62">
        <v>291.40683644924866</v>
      </c>
      <c r="T236" s="62">
        <v>41.352055906201713</v>
      </c>
      <c r="U236" s="62">
        <v>0</v>
      </c>
      <c r="V236" s="62">
        <v>0</v>
      </c>
      <c r="W236" s="62">
        <v>340.73988672384621</v>
      </c>
      <c r="X236" s="62">
        <v>1156.8829470226119</v>
      </c>
      <c r="Y236" s="62">
        <v>805.17383124531261</v>
      </c>
      <c r="Z236" s="62">
        <v>0</v>
      </c>
      <c r="AA236" s="62">
        <v>0</v>
      </c>
      <c r="AB236" s="62">
        <v>0</v>
      </c>
      <c r="AC236" s="53">
        <v>4548.8294896138032</v>
      </c>
      <c r="AD236" s="105">
        <f>+SUMPRODUCT(AC236:AC238,C236:C238)</f>
        <v>353421.4083867895</v>
      </c>
    </row>
    <row r="237" spans="1:30" ht="15.75" thickBot="1" x14ac:dyDescent="0.3">
      <c r="A237" s="54">
        <v>2032</v>
      </c>
      <c r="B237" s="55">
        <v>7</v>
      </c>
      <c r="C237" s="55">
        <v>20</v>
      </c>
      <c r="D237" s="56" t="s">
        <v>135</v>
      </c>
      <c r="E237" s="62">
        <v>0</v>
      </c>
      <c r="F237" s="62">
        <v>0</v>
      </c>
      <c r="G237" s="62">
        <v>0</v>
      </c>
      <c r="H237" s="62">
        <v>0</v>
      </c>
      <c r="I237" s="62">
        <v>0</v>
      </c>
      <c r="J237" s="62">
        <v>0</v>
      </c>
      <c r="K237" s="62">
        <v>0</v>
      </c>
      <c r="L237" s="62">
        <v>0</v>
      </c>
      <c r="M237" s="62">
        <v>0</v>
      </c>
      <c r="N237" s="62">
        <v>0</v>
      </c>
      <c r="O237" s="62">
        <v>493.20044505503029</v>
      </c>
      <c r="P237" s="62">
        <v>1111.6635693346179</v>
      </c>
      <c r="Q237" s="62">
        <v>1141.0211381774516</v>
      </c>
      <c r="R237" s="62">
        <v>1265.9741071661701</v>
      </c>
      <c r="S237" s="62">
        <v>1389.8878013889171</v>
      </c>
      <c r="T237" s="62">
        <v>871.58429685667033</v>
      </c>
      <c r="U237" s="62">
        <v>677.02207212304165</v>
      </c>
      <c r="V237" s="62">
        <v>724.88079169421508</v>
      </c>
      <c r="W237" s="62">
        <v>1195.0303899743667</v>
      </c>
      <c r="X237" s="62">
        <v>1902.2815480849131</v>
      </c>
      <c r="Y237" s="62">
        <v>1514.440451376533</v>
      </c>
      <c r="Z237" s="62">
        <v>544.99453360262305</v>
      </c>
      <c r="AA237" s="62">
        <v>0</v>
      </c>
      <c r="AB237" s="62">
        <v>0</v>
      </c>
      <c r="AC237" s="57">
        <v>12831.98114483455</v>
      </c>
      <c r="AD237" s="106"/>
    </row>
    <row r="238" spans="1:30" ht="15.75" thickBot="1" x14ac:dyDescent="0.3">
      <c r="A238" s="58">
        <v>2032</v>
      </c>
      <c r="B238" s="59">
        <v>7</v>
      </c>
      <c r="C238" s="59">
        <v>5</v>
      </c>
      <c r="D238" s="60" t="s">
        <v>136</v>
      </c>
      <c r="E238" s="62">
        <v>0</v>
      </c>
      <c r="F238" s="62">
        <v>0</v>
      </c>
      <c r="G238" s="62">
        <v>0</v>
      </c>
      <c r="H238" s="62">
        <v>0</v>
      </c>
      <c r="I238" s="62">
        <v>0</v>
      </c>
      <c r="J238" s="62">
        <v>0</v>
      </c>
      <c r="K238" s="62">
        <v>0</v>
      </c>
      <c r="L238" s="62">
        <v>0</v>
      </c>
      <c r="M238" s="62">
        <v>0</v>
      </c>
      <c r="N238" s="62">
        <v>0</v>
      </c>
      <c r="O238" s="62">
        <v>643.76913901357693</v>
      </c>
      <c r="P238" s="62">
        <v>1298.9669624899634</v>
      </c>
      <c r="Q238" s="62">
        <v>1681.345682644469</v>
      </c>
      <c r="R238" s="62">
        <v>1538.4285631010462</v>
      </c>
      <c r="S238" s="62">
        <v>1276.929398298651</v>
      </c>
      <c r="T238" s="62">
        <v>1077.2013678514522</v>
      </c>
      <c r="U238" s="62">
        <v>866.59355058114306</v>
      </c>
      <c r="V238" s="62">
        <v>653.32165725381492</v>
      </c>
      <c r="W238" s="62">
        <v>1085.1527150599813</v>
      </c>
      <c r="X238" s="62">
        <v>1708.6214608322844</v>
      </c>
      <c r="Y238" s="62">
        <v>1357.3272618729279</v>
      </c>
      <c r="Z238" s="62">
        <v>710.10395148382304</v>
      </c>
      <c r="AA238" s="62">
        <v>0</v>
      </c>
      <c r="AB238" s="62">
        <v>0</v>
      </c>
      <c r="AC238" s="61">
        <v>13897.761710483133</v>
      </c>
      <c r="AD238" s="107"/>
    </row>
    <row r="239" spans="1:30" ht="15.75" thickBot="1" x14ac:dyDescent="0.3">
      <c r="A239" s="49">
        <v>2032</v>
      </c>
      <c r="B239" s="50">
        <v>8</v>
      </c>
      <c r="C239" s="50">
        <v>7</v>
      </c>
      <c r="D239" s="51" t="s">
        <v>134</v>
      </c>
      <c r="E239" s="62">
        <v>0</v>
      </c>
      <c r="F239" s="62">
        <v>0</v>
      </c>
      <c r="G239" s="62">
        <v>0</v>
      </c>
      <c r="H239" s="62">
        <v>0</v>
      </c>
      <c r="I239" s="62">
        <v>0</v>
      </c>
      <c r="J239" s="62">
        <v>0</v>
      </c>
      <c r="K239" s="62">
        <v>0</v>
      </c>
      <c r="L239" s="62">
        <v>0</v>
      </c>
      <c r="M239" s="62">
        <v>0</v>
      </c>
      <c r="N239" s="62">
        <v>0</v>
      </c>
      <c r="O239" s="62">
        <v>362.04266054890286</v>
      </c>
      <c r="P239" s="62">
        <v>883.07985984914558</v>
      </c>
      <c r="Q239" s="62">
        <v>1168.4421751595582</v>
      </c>
      <c r="R239" s="62">
        <v>853.92729839528693</v>
      </c>
      <c r="S239" s="62">
        <v>95.191529933832499</v>
      </c>
      <c r="T239" s="62">
        <v>0</v>
      </c>
      <c r="U239" s="62">
        <v>0</v>
      </c>
      <c r="V239" s="62">
        <v>0</v>
      </c>
      <c r="W239" s="62">
        <v>616.96596937890718</v>
      </c>
      <c r="X239" s="62">
        <v>1354.3544137235531</v>
      </c>
      <c r="Y239" s="62">
        <v>979.24676994478796</v>
      </c>
      <c r="Z239" s="62">
        <v>109.72488185540715</v>
      </c>
      <c r="AA239" s="62">
        <v>0</v>
      </c>
      <c r="AB239" s="62">
        <v>0</v>
      </c>
      <c r="AC239" s="53">
        <v>6422.9755587893815</v>
      </c>
      <c r="AD239" s="105">
        <f>+SUMPRODUCT(AC239:AC241,C239:C241)</f>
        <v>505462.89611335157</v>
      </c>
    </row>
    <row r="240" spans="1:30" ht="15.75" thickBot="1" x14ac:dyDescent="0.3">
      <c r="A240" s="54">
        <v>2032</v>
      </c>
      <c r="B240" s="55">
        <v>8</v>
      </c>
      <c r="C240" s="55">
        <v>21</v>
      </c>
      <c r="D240" s="56" t="s">
        <v>135</v>
      </c>
      <c r="E240" s="62">
        <v>0</v>
      </c>
      <c r="F240" s="62">
        <v>0</v>
      </c>
      <c r="G240" s="62">
        <v>0</v>
      </c>
      <c r="H240" s="62">
        <v>0</v>
      </c>
      <c r="I240" s="62">
        <v>0</v>
      </c>
      <c r="J240" s="62">
        <v>0</v>
      </c>
      <c r="K240" s="62">
        <v>0</v>
      </c>
      <c r="L240" s="62">
        <v>0</v>
      </c>
      <c r="M240" s="62">
        <v>0</v>
      </c>
      <c r="N240" s="62">
        <v>362.1223318560551</v>
      </c>
      <c r="O240" s="62">
        <v>1008.4868102333112</v>
      </c>
      <c r="P240" s="62">
        <v>1772.5539163973426</v>
      </c>
      <c r="Q240" s="62">
        <v>1749.3397697435412</v>
      </c>
      <c r="R240" s="62">
        <v>1832.6092723636193</v>
      </c>
      <c r="S240" s="62">
        <v>2006.5391026625439</v>
      </c>
      <c r="T240" s="62">
        <v>1950.3679271640667</v>
      </c>
      <c r="U240" s="62">
        <v>1794.3938927963209</v>
      </c>
      <c r="V240" s="62">
        <v>1307.6329218308656</v>
      </c>
      <c r="W240" s="62">
        <v>1630.0545943087564</v>
      </c>
      <c r="X240" s="62">
        <v>2192.8823643083779</v>
      </c>
      <c r="Y240" s="62">
        <v>1705.5930155061887</v>
      </c>
      <c r="Z240" s="62">
        <v>706.35338136391692</v>
      </c>
      <c r="AA240" s="62">
        <v>0</v>
      </c>
      <c r="AB240" s="62">
        <v>0</v>
      </c>
      <c r="AC240" s="57">
        <v>20018.929300534903</v>
      </c>
      <c r="AD240" s="106"/>
    </row>
    <row r="241" spans="1:30" ht="15.75" thickBot="1" x14ac:dyDescent="0.3">
      <c r="A241" s="58">
        <v>2032</v>
      </c>
      <c r="B241" s="59">
        <v>8</v>
      </c>
      <c r="C241" s="59">
        <v>3</v>
      </c>
      <c r="D241" s="60" t="s">
        <v>136</v>
      </c>
      <c r="E241" s="62">
        <v>0</v>
      </c>
      <c r="F241" s="62">
        <v>0</v>
      </c>
      <c r="G241" s="62">
        <v>0</v>
      </c>
      <c r="H241" s="62">
        <v>0</v>
      </c>
      <c r="I241" s="62">
        <v>0</v>
      </c>
      <c r="J241" s="62">
        <v>0</v>
      </c>
      <c r="K241" s="62">
        <v>0</v>
      </c>
      <c r="L241" s="62">
        <v>0</v>
      </c>
      <c r="M241" s="62">
        <v>0</v>
      </c>
      <c r="N241" s="62">
        <v>106.77619672611581</v>
      </c>
      <c r="O241" s="62">
        <v>773.1622344191419</v>
      </c>
      <c r="P241" s="62">
        <v>1575.0824777910402</v>
      </c>
      <c r="Q241" s="62">
        <v>1764.1163094051244</v>
      </c>
      <c r="R241" s="62">
        <v>1540.9638934912055</v>
      </c>
      <c r="S241" s="62">
        <v>1209.2194620510163</v>
      </c>
      <c r="T241" s="62">
        <v>965.08982839026794</v>
      </c>
      <c r="U241" s="62">
        <v>694.46759560349528</v>
      </c>
      <c r="V241" s="62">
        <v>624.11811698140809</v>
      </c>
      <c r="W241" s="62">
        <v>1371.6617333263985</v>
      </c>
      <c r="X241" s="62">
        <v>1554.8568533922589</v>
      </c>
      <c r="Y241" s="62">
        <v>1031.1703250446008</v>
      </c>
      <c r="Z241" s="62">
        <v>157.49893690892532</v>
      </c>
      <c r="AA241" s="62">
        <v>0</v>
      </c>
      <c r="AB241" s="62">
        <v>0</v>
      </c>
      <c r="AC241" s="61">
        <v>13368.183963530999</v>
      </c>
      <c r="AD241" s="107"/>
    </row>
    <row r="242" spans="1:30" ht="15.75" thickBot="1" x14ac:dyDescent="0.3">
      <c r="A242" s="49">
        <v>2032</v>
      </c>
      <c r="B242" s="50">
        <v>9</v>
      </c>
      <c r="C242" s="50">
        <v>4</v>
      </c>
      <c r="D242" s="51" t="s">
        <v>134</v>
      </c>
      <c r="E242" s="62">
        <v>0</v>
      </c>
      <c r="F242" s="62">
        <v>0</v>
      </c>
      <c r="G242" s="62">
        <v>0</v>
      </c>
      <c r="H242" s="62">
        <v>0</v>
      </c>
      <c r="I242" s="62">
        <v>0</v>
      </c>
      <c r="J242" s="62">
        <v>0</v>
      </c>
      <c r="K242" s="62">
        <v>0</v>
      </c>
      <c r="L242" s="62">
        <v>0</v>
      </c>
      <c r="M242" s="62">
        <v>0</v>
      </c>
      <c r="N242" s="62">
        <v>0</v>
      </c>
      <c r="O242" s="62">
        <v>0</v>
      </c>
      <c r="P242" s="62">
        <v>0</v>
      </c>
      <c r="Q242" s="62">
        <v>0</v>
      </c>
      <c r="R242" s="62">
        <v>0</v>
      </c>
      <c r="S242" s="62">
        <v>0</v>
      </c>
      <c r="T242" s="62">
        <v>0</v>
      </c>
      <c r="U242" s="62">
        <v>0</v>
      </c>
      <c r="V242" s="62">
        <v>0</v>
      </c>
      <c r="W242" s="62">
        <v>95.587364193492249</v>
      </c>
      <c r="X242" s="62">
        <v>467.52293004207422</v>
      </c>
      <c r="Y242" s="62">
        <v>0</v>
      </c>
      <c r="Z242" s="62">
        <v>0</v>
      </c>
      <c r="AA242" s="62">
        <v>0</v>
      </c>
      <c r="AB242" s="62">
        <v>0</v>
      </c>
      <c r="AC242" s="53">
        <v>563.11029423556647</v>
      </c>
      <c r="AD242" s="105">
        <f>+SUMPRODUCT(AC242:AC244,C242:C244)</f>
        <v>326558.56066858128</v>
      </c>
    </row>
    <row r="243" spans="1:30" ht="15.75" thickBot="1" x14ac:dyDescent="0.3">
      <c r="A243" s="54">
        <v>2032</v>
      </c>
      <c r="B243" s="55">
        <v>9</v>
      </c>
      <c r="C243" s="55">
        <v>22</v>
      </c>
      <c r="D243" s="56" t="s">
        <v>135</v>
      </c>
      <c r="E243" s="62">
        <v>0</v>
      </c>
      <c r="F243" s="62">
        <v>0</v>
      </c>
      <c r="G243" s="62">
        <v>0</v>
      </c>
      <c r="H243" s="62">
        <v>0</v>
      </c>
      <c r="I243" s="62">
        <v>0</v>
      </c>
      <c r="J243" s="62">
        <v>0</v>
      </c>
      <c r="K243" s="62">
        <v>0</v>
      </c>
      <c r="L243" s="62">
        <v>0</v>
      </c>
      <c r="M243" s="62">
        <v>0</v>
      </c>
      <c r="N243" s="62">
        <v>0</v>
      </c>
      <c r="O243" s="62">
        <v>344.76109563977661</v>
      </c>
      <c r="P243" s="62">
        <v>1181.2384018960329</v>
      </c>
      <c r="Q243" s="62">
        <v>1254.5677096794388</v>
      </c>
      <c r="R243" s="62">
        <v>1305.0710373248876</v>
      </c>
      <c r="S243" s="62">
        <v>1416.2102567104594</v>
      </c>
      <c r="T243" s="62">
        <v>1365.5008856988134</v>
      </c>
      <c r="U243" s="62">
        <v>1230.9137404587891</v>
      </c>
      <c r="V243" s="62">
        <v>896.94186380317842</v>
      </c>
      <c r="W243" s="62">
        <v>1468.5490873431481</v>
      </c>
      <c r="X243" s="62">
        <v>1857.8819547832663</v>
      </c>
      <c r="Y243" s="62">
        <v>1457.536260200648</v>
      </c>
      <c r="Z243" s="62">
        <v>536.28737122467828</v>
      </c>
      <c r="AA243" s="62">
        <v>0</v>
      </c>
      <c r="AB243" s="62">
        <v>0</v>
      </c>
      <c r="AC243" s="57">
        <v>14315.459664763117</v>
      </c>
      <c r="AD243" s="106"/>
    </row>
    <row r="244" spans="1:30" ht="15.75" thickBot="1" x14ac:dyDescent="0.3">
      <c r="A244" s="58">
        <v>2032</v>
      </c>
      <c r="B244" s="59">
        <v>9</v>
      </c>
      <c r="C244" s="59">
        <v>4</v>
      </c>
      <c r="D244" s="60" t="s">
        <v>136</v>
      </c>
      <c r="E244" s="62">
        <v>0</v>
      </c>
      <c r="F244" s="62">
        <v>0</v>
      </c>
      <c r="G244" s="62">
        <v>0</v>
      </c>
      <c r="H244" s="62">
        <v>0</v>
      </c>
      <c r="I244" s="62">
        <v>0</v>
      </c>
      <c r="J244" s="62">
        <v>0</v>
      </c>
      <c r="K244" s="62">
        <v>0</v>
      </c>
      <c r="L244" s="62">
        <v>0</v>
      </c>
      <c r="M244" s="62">
        <v>0</v>
      </c>
      <c r="N244" s="62">
        <v>0</v>
      </c>
      <c r="O244" s="62">
        <v>0</v>
      </c>
      <c r="P244" s="62">
        <v>526.6704404356351</v>
      </c>
      <c r="Q244" s="62">
        <v>0</v>
      </c>
      <c r="R244" s="62">
        <v>295.26429894450121</v>
      </c>
      <c r="S244" s="62">
        <v>0</v>
      </c>
      <c r="T244" s="62">
        <v>0</v>
      </c>
      <c r="U244" s="62">
        <v>0</v>
      </c>
      <c r="V244" s="62">
        <v>0</v>
      </c>
      <c r="W244" s="62">
        <v>493.45242878533645</v>
      </c>
      <c r="X244" s="62">
        <v>711.8751247977998</v>
      </c>
      <c r="Y244" s="62">
        <v>314.23942374932631</v>
      </c>
      <c r="Z244" s="62">
        <v>0</v>
      </c>
      <c r="AA244" s="62">
        <v>0</v>
      </c>
      <c r="AB244" s="62">
        <v>0</v>
      </c>
      <c r="AC244" s="61">
        <v>2341.5017167125989</v>
      </c>
      <c r="AD244" s="107"/>
    </row>
    <row r="245" spans="1:30" ht="15.75" thickBot="1" x14ac:dyDescent="0.3">
      <c r="A245" s="49">
        <v>2032</v>
      </c>
      <c r="B245" s="50">
        <v>10</v>
      </c>
      <c r="C245" s="50">
        <v>6</v>
      </c>
      <c r="D245" s="51" t="s">
        <v>134</v>
      </c>
      <c r="E245" s="62">
        <v>0</v>
      </c>
      <c r="F245" s="62">
        <v>0</v>
      </c>
      <c r="G245" s="62">
        <v>0</v>
      </c>
      <c r="H245" s="62">
        <v>0</v>
      </c>
      <c r="I245" s="62">
        <v>0</v>
      </c>
      <c r="J245" s="62">
        <v>0</v>
      </c>
      <c r="K245" s="62">
        <v>0</v>
      </c>
      <c r="L245" s="62">
        <v>0</v>
      </c>
      <c r="M245" s="62">
        <v>0</v>
      </c>
      <c r="N245" s="62">
        <v>0</v>
      </c>
      <c r="O245" s="62">
        <v>309.98985461248958</v>
      </c>
      <c r="P245" s="62">
        <v>880.54771833079576</v>
      </c>
      <c r="Q245" s="62">
        <v>1157.256339998663</v>
      </c>
      <c r="R245" s="62">
        <v>910.33734210944749</v>
      </c>
      <c r="S245" s="62">
        <v>272.58341476919304</v>
      </c>
      <c r="T245" s="62">
        <v>0</v>
      </c>
      <c r="U245" s="62">
        <v>0</v>
      </c>
      <c r="V245" s="62">
        <v>0</v>
      </c>
      <c r="W245" s="62">
        <v>381.21149676191635</v>
      </c>
      <c r="X245" s="62">
        <v>652.8922145400702</v>
      </c>
      <c r="Y245" s="62">
        <v>425.88608051393567</v>
      </c>
      <c r="Z245" s="62">
        <v>0</v>
      </c>
      <c r="AA245" s="62">
        <v>0</v>
      </c>
      <c r="AB245" s="62">
        <v>0</v>
      </c>
      <c r="AC245" s="53">
        <v>4990.704461636511</v>
      </c>
      <c r="AD245" s="105">
        <f>+SUMPRODUCT(AC245:AC247,C245:C247)</f>
        <v>448762.55984296242</v>
      </c>
    </row>
    <row r="246" spans="1:30" ht="15.75" thickBot="1" x14ac:dyDescent="0.3">
      <c r="A246" s="54">
        <v>2032</v>
      </c>
      <c r="B246" s="55">
        <v>10</v>
      </c>
      <c r="C246" s="55">
        <v>20</v>
      </c>
      <c r="D246" s="56" t="s">
        <v>135</v>
      </c>
      <c r="E246" s="62">
        <v>0</v>
      </c>
      <c r="F246" s="62">
        <v>0</v>
      </c>
      <c r="G246" s="62">
        <v>0</v>
      </c>
      <c r="H246" s="62">
        <v>0</v>
      </c>
      <c r="I246" s="62">
        <v>0</v>
      </c>
      <c r="J246" s="62">
        <v>0</v>
      </c>
      <c r="K246" s="62">
        <v>0</v>
      </c>
      <c r="L246" s="62">
        <v>0</v>
      </c>
      <c r="M246" s="62">
        <v>0</v>
      </c>
      <c r="N246" s="62">
        <v>254.96085543244044</v>
      </c>
      <c r="O246" s="62">
        <v>746.89030736950372</v>
      </c>
      <c r="P246" s="62">
        <v>1338.7051589003368</v>
      </c>
      <c r="Q246" s="62">
        <v>1365.5171729917674</v>
      </c>
      <c r="R246" s="62">
        <v>1395.5344128290781</v>
      </c>
      <c r="S246" s="62">
        <v>1125.8189582442083</v>
      </c>
      <c r="T246" s="62">
        <v>1331.5608942633789</v>
      </c>
      <c r="U246" s="62">
        <v>1293.9947220095619</v>
      </c>
      <c r="V246" s="62">
        <v>1242.0195349813384</v>
      </c>
      <c r="W246" s="62">
        <v>2064.0728349847705</v>
      </c>
      <c r="X246" s="62">
        <v>2260.0157378026925</v>
      </c>
      <c r="Y246" s="62">
        <v>1746.9102292328753</v>
      </c>
      <c r="Z246" s="62">
        <v>849.97587192884384</v>
      </c>
      <c r="AA246" s="62">
        <v>0</v>
      </c>
      <c r="AB246" s="62">
        <v>0</v>
      </c>
      <c r="AC246" s="57">
        <v>17015.976690970798</v>
      </c>
      <c r="AD246" s="106"/>
    </row>
    <row r="247" spans="1:30" ht="15.75" thickBot="1" x14ac:dyDescent="0.3">
      <c r="A247" s="58">
        <v>2032</v>
      </c>
      <c r="B247" s="59">
        <v>10</v>
      </c>
      <c r="C247" s="59">
        <v>5</v>
      </c>
      <c r="D247" s="60" t="s">
        <v>136</v>
      </c>
      <c r="E247" s="62">
        <v>0</v>
      </c>
      <c r="F247" s="62">
        <v>0</v>
      </c>
      <c r="G247" s="62">
        <v>0</v>
      </c>
      <c r="H247" s="62">
        <v>0</v>
      </c>
      <c r="I247" s="62">
        <v>0</v>
      </c>
      <c r="J247" s="62">
        <v>0</v>
      </c>
      <c r="K247" s="62">
        <v>0</v>
      </c>
      <c r="L247" s="62">
        <v>0</v>
      </c>
      <c r="M247" s="62">
        <v>0</v>
      </c>
      <c r="N247" s="62">
        <v>422.80743362325666</v>
      </c>
      <c r="O247" s="62">
        <v>916.17256604918839</v>
      </c>
      <c r="P247" s="62">
        <v>1651.3987882174843</v>
      </c>
      <c r="Q247" s="62">
        <v>1787.8360437083411</v>
      </c>
      <c r="R247" s="62">
        <v>1554.1121544617581</v>
      </c>
      <c r="S247" s="62">
        <v>1296.5184383252326</v>
      </c>
      <c r="T247" s="62">
        <v>1079.2784644652802</v>
      </c>
      <c r="U247" s="62">
        <v>849.76602619050027</v>
      </c>
      <c r="V247" s="62">
        <v>796.04992138328453</v>
      </c>
      <c r="W247" s="62">
        <v>1762.5842683336814</v>
      </c>
      <c r="X247" s="62">
        <v>1536.0822767962818</v>
      </c>
      <c r="Y247" s="62">
        <v>1380.8162377395201</v>
      </c>
      <c r="Z247" s="62">
        <v>666.33723145167824</v>
      </c>
      <c r="AA247" s="62">
        <v>0</v>
      </c>
      <c r="AB247" s="62">
        <v>0</v>
      </c>
      <c r="AC247" s="61">
        <v>15699.759850745488</v>
      </c>
      <c r="AD247" s="107"/>
    </row>
    <row r="248" spans="1:30" ht="15.75" thickBot="1" x14ac:dyDescent="0.3">
      <c r="A248" s="49">
        <v>2032</v>
      </c>
      <c r="B248" s="50">
        <v>11</v>
      </c>
      <c r="C248" s="50">
        <v>6</v>
      </c>
      <c r="D248" s="51" t="s">
        <v>134</v>
      </c>
      <c r="E248" s="62">
        <v>0</v>
      </c>
      <c r="F248" s="62">
        <v>0</v>
      </c>
      <c r="G248" s="62">
        <v>0</v>
      </c>
      <c r="H248" s="62">
        <v>0</v>
      </c>
      <c r="I248" s="62">
        <v>0</v>
      </c>
      <c r="J248" s="62">
        <v>0</v>
      </c>
      <c r="K248" s="62">
        <v>0</v>
      </c>
      <c r="L248" s="62">
        <v>0</v>
      </c>
      <c r="M248" s="62">
        <v>0</v>
      </c>
      <c r="N248" s="62">
        <v>0</v>
      </c>
      <c r="O248" s="62">
        <v>0</v>
      </c>
      <c r="P248" s="62">
        <v>0</v>
      </c>
      <c r="Q248" s="62">
        <v>341.73149069526517</v>
      </c>
      <c r="R248" s="62">
        <v>180.61378059354138</v>
      </c>
      <c r="S248" s="62">
        <v>0</v>
      </c>
      <c r="T248" s="62">
        <v>0</v>
      </c>
      <c r="U248" s="62">
        <v>0</v>
      </c>
      <c r="V248" s="62">
        <v>0</v>
      </c>
      <c r="W248" s="62">
        <v>551.1788916747555</v>
      </c>
      <c r="X248" s="62">
        <v>612.1140042964671</v>
      </c>
      <c r="Y248" s="62">
        <v>326.59471202713394</v>
      </c>
      <c r="Z248" s="62">
        <v>0</v>
      </c>
      <c r="AA248" s="62">
        <v>0</v>
      </c>
      <c r="AB248" s="62">
        <v>0</v>
      </c>
      <c r="AC248" s="53">
        <v>2012.2328792871631</v>
      </c>
      <c r="AD248" s="105">
        <f>+SUMPRODUCT(AC248:AC250,C248:C250)</f>
        <v>194499.3318861085</v>
      </c>
    </row>
    <row r="249" spans="1:30" ht="15.75" thickBot="1" x14ac:dyDescent="0.3">
      <c r="A249" s="54">
        <v>2032</v>
      </c>
      <c r="B249" s="55">
        <v>11</v>
      </c>
      <c r="C249" s="55">
        <v>20</v>
      </c>
      <c r="D249" s="56" t="s">
        <v>135</v>
      </c>
      <c r="E249" s="62">
        <v>0</v>
      </c>
      <c r="F249" s="62">
        <v>0</v>
      </c>
      <c r="G249" s="62">
        <v>0</v>
      </c>
      <c r="H249" s="62">
        <v>0</v>
      </c>
      <c r="I249" s="62">
        <v>0</v>
      </c>
      <c r="J249" s="62">
        <v>0</v>
      </c>
      <c r="K249" s="62">
        <v>0</v>
      </c>
      <c r="L249" s="62">
        <v>0</v>
      </c>
      <c r="M249" s="62">
        <v>0</v>
      </c>
      <c r="N249" s="62">
        <v>0</v>
      </c>
      <c r="O249" s="62">
        <v>227.3965511448514</v>
      </c>
      <c r="P249" s="62">
        <v>811.90242830504212</v>
      </c>
      <c r="Q249" s="62">
        <v>789.17475723170355</v>
      </c>
      <c r="R249" s="62">
        <v>800.17442063677299</v>
      </c>
      <c r="S249" s="62">
        <v>698.73369702363379</v>
      </c>
      <c r="T249" s="62">
        <v>688.57871657561191</v>
      </c>
      <c r="U249" s="62">
        <v>524.66774327456733</v>
      </c>
      <c r="V249" s="62">
        <v>395.40136567670379</v>
      </c>
      <c r="W249" s="62">
        <v>1264.6990287618682</v>
      </c>
      <c r="X249" s="62">
        <v>1205.4015167011221</v>
      </c>
      <c r="Y249" s="62">
        <v>739.82174864256558</v>
      </c>
      <c r="Z249" s="62">
        <v>0</v>
      </c>
      <c r="AA249" s="62">
        <v>0</v>
      </c>
      <c r="AB249" s="62">
        <v>0</v>
      </c>
      <c r="AC249" s="57">
        <v>8145.9519739744428</v>
      </c>
      <c r="AD249" s="106"/>
    </row>
    <row r="250" spans="1:30" ht="15.75" thickBot="1" x14ac:dyDescent="0.3">
      <c r="A250" s="58">
        <v>2032</v>
      </c>
      <c r="B250" s="59">
        <v>11</v>
      </c>
      <c r="C250" s="59">
        <v>4</v>
      </c>
      <c r="D250" s="60" t="s">
        <v>136</v>
      </c>
      <c r="E250" s="62">
        <v>0</v>
      </c>
      <c r="F250" s="62">
        <v>0</v>
      </c>
      <c r="G250" s="62">
        <v>0</v>
      </c>
      <c r="H250" s="62">
        <v>0</v>
      </c>
      <c r="I250" s="62">
        <v>0</v>
      </c>
      <c r="J250" s="62">
        <v>0</v>
      </c>
      <c r="K250" s="62">
        <v>0</v>
      </c>
      <c r="L250" s="62">
        <v>0</v>
      </c>
      <c r="M250" s="62">
        <v>0</v>
      </c>
      <c r="N250" s="62">
        <v>0</v>
      </c>
      <c r="O250" s="62">
        <v>33.855496921016311</v>
      </c>
      <c r="P250" s="62">
        <v>532.8236748438012</v>
      </c>
      <c r="Q250" s="62">
        <v>752.00694551538072</v>
      </c>
      <c r="R250" s="62">
        <v>558.82354053418203</v>
      </c>
      <c r="S250" s="62">
        <v>279.44886674462032</v>
      </c>
      <c r="T250" s="62">
        <v>29.553325806340581</v>
      </c>
      <c r="U250" s="62">
        <v>0</v>
      </c>
      <c r="V250" s="62">
        <v>0</v>
      </c>
      <c r="W250" s="62">
        <v>1046.9331230472544</v>
      </c>
      <c r="X250" s="62">
        <v>1021.3459278489991</v>
      </c>
      <c r="Y250" s="62">
        <v>621.932881462566</v>
      </c>
      <c r="Z250" s="62">
        <v>0</v>
      </c>
      <c r="AA250" s="62">
        <v>0</v>
      </c>
      <c r="AB250" s="62">
        <v>0</v>
      </c>
      <c r="AC250" s="61">
        <v>4876.7237827241606</v>
      </c>
      <c r="AD250" s="107"/>
    </row>
    <row r="251" spans="1:30" ht="15.75" thickBot="1" x14ac:dyDescent="0.3">
      <c r="A251" s="49">
        <v>2032</v>
      </c>
      <c r="B251" s="50">
        <v>12</v>
      </c>
      <c r="C251" s="50">
        <v>6</v>
      </c>
      <c r="D251" s="51" t="s">
        <v>134</v>
      </c>
      <c r="E251" s="62">
        <v>3011.1075345909558</v>
      </c>
      <c r="F251" s="62">
        <v>2184.804203036545</v>
      </c>
      <c r="G251" s="62">
        <v>1665.582939885604</v>
      </c>
      <c r="H251" s="62">
        <v>1285.1493710256473</v>
      </c>
      <c r="I251" s="62">
        <v>1067.8125364741791</v>
      </c>
      <c r="J251" s="62">
        <v>1077.6181721554112</v>
      </c>
      <c r="K251" s="62">
        <v>1262.6827132428916</v>
      </c>
      <c r="L251" s="62">
        <v>2254.4852210563986</v>
      </c>
      <c r="M251" s="62">
        <v>3544.4078216741473</v>
      </c>
      <c r="N251" s="62">
        <v>4450.8445789876823</v>
      </c>
      <c r="O251" s="62">
        <v>5087.0377312857127</v>
      </c>
      <c r="P251" s="62">
        <v>5728.7570101427591</v>
      </c>
      <c r="Q251" s="62">
        <v>6246.900999960435</v>
      </c>
      <c r="R251" s="62">
        <v>6258.9193305847184</v>
      </c>
      <c r="S251" s="62">
        <v>5712.1082404467779</v>
      </c>
      <c r="T251" s="62">
        <v>5233.7886790232005</v>
      </c>
      <c r="U251" s="62">
        <v>4947.6624333583895</v>
      </c>
      <c r="V251" s="62">
        <v>5057.719778326591</v>
      </c>
      <c r="W251" s="62">
        <v>6604.3211132093857</v>
      </c>
      <c r="X251" s="62">
        <v>6929.7627348125097</v>
      </c>
      <c r="Y251" s="62">
        <v>6553.2842689005556</v>
      </c>
      <c r="Z251" s="62">
        <v>5751.1808218270271</v>
      </c>
      <c r="AA251" s="62">
        <v>4560.5061076175189</v>
      </c>
      <c r="AB251" s="62">
        <v>3257.7694631179565</v>
      </c>
      <c r="AC251" s="53">
        <v>99734.213804742991</v>
      </c>
      <c r="AD251" s="105">
        <f>+SUMPRODUCT(AC251:AC253,C251:C253)</f>
        <v>3668245.5003786478</v>
      </c>
    </row>
    <row r="252" spans="1:30" ht="15.75" thickBot="1" x14ac:dyDescent="0.3">
      <c r="A252" s="54">
        <v>2032</v>
      </c>
      <c r="B252" s="55">
        <v>12</v>
      </c>
      <c r="C252" s="55">
        <v>22</v>
      </c>
      <c r="D252" s="56" t="s">
        <v>135</v>
      </c>
      <c r="E252" s="62">
        <v>2637.616902564554</v>
      </c>
      <c r="F252" s="62">
        <v>2005.1887958620682</v>
      </c>
      <c r="G252" s="62">
        <v>1529.9979329068246</v>
      </c>
      <c r="H252" s="62">
        <v>1212.7502803436073</v>
      </c>
      <c r="I252" s="62">
        <v>1155.8655576773144</v>
      </c>
      <c r="J252" s="62">
        <v>1529.7645873589681</v>
      </c>
      <c r="K252" s="62">
        <v>2181.3774339959855</v>
      </c>
      <c r="L252" s="62">
        <v>3710.554556609608</v>
      </c>
      <c r="M252" s="62">
        <v>4979.0903357692114</v>
      </c>
      <c r="N252" s="62">
        <v>5535.6571229135589</v>
      </c>
      <c r="O252" s="62">
        <v>7037.0031487194101</v>
      </c>
      <c r="P252" s="62">
        <v>6847.9236960417547</v>
      </c>
      <c r="Q252" s="62">
        <v>7302.2566692193286</v>
      </c>
      <c r="R252" s="62">
        <v>7007.983620367886</v>
      </c>
      <c r="S252" s="62">
        <v>6943.6579321755562</v>
      </c>
      <c r="T252" s="62">
        <v>7341.6760558037167</v>
      </c>
      <c r="U252" s="62">
        <v>7112.9351538920309</v>
      </c>
      <c r="V252" s="62">
        <v>7258.3076512059779</v>
      </c>
      <c r="W252" s="62">
        <v>8503.3514340476831</v>
      </c>
      <c r="X252" s="62">
        <v>8573.8632995087246</v>
      </c>
      <c r="Y252" s="62">
        <v>7915.4505204771194</v>
      </c>
      <c r="Z252" s="62">
        <v>6738.8033716626451</v>
      </c>
      <c r="AA252" s="62">
        <v>5220.5848912964939</v>
      </c>
      <c r="AB252" s="62">
        <v>3758.4431709309247</v>
      </c>
      <c r="AC252" s="57">
        <v>124040.10412135095</v>
      </c>
      <c r="AD252" s="106"/>
    </row>
    <row r="253" spans="1:30" ht="15.75" thickBot="1" x14ac:dyDescent="0.3">
      <c r="A253" s="58">
        <v>2032</v>
      </c>
      <c r="B253" s="59">
        <v>12</v>
      </c>
      <c r="C253" s="59">
        <v>3</v>
      </c>
      <c r="D253" s="60" t="s">
        <v>136</v>
      </c>
      <c r="E253" s="62">
        <v>2530.9658376003063</v>
      </c>
      <c r="F253" s="62">
        <v>1779.9519495982822</v>
      </c>
      <c r="G253" s="62">
        <v>1338.8541781023523</v>
      </c>
      <c r="H253" s="62">
        <v>947.16766648962584</v>
      </c>
      <c r="I253" s="62">
        <v>783.49956368214953</v>
      </c>
      <c r="J253" s="62">
        <v>903.47460519714332</v>
      </c>
      <c r="K253" s="62">
        <v>1438.3893378777611</v>
      </c>
      <c r="L253" s="62">
        <v>2702.6468708793345</v>
      </c>
      <c r="M253" s="62">
        <v>4497.2715928004</v>
      </c>
      <c r="N253" s="62">
        <v>5503.4835758768131</v>
      </c>
      <c r="O253" s="62">
        <v>6169.8330361430562</v>
      </c>
      <c r="P253" s="62">
        <v>6819.5309406434826</v>
      </c>
      <c r="Q253" s="62">
        <v>6989.9683472401412</v>
      </c>
      <c r="R253" s="62">
        <v>6797.5943596257312</v>
      </c>
      <c r="S253" s="62">
        <v>6517.2101071962643</v>
      </c>
      <c r="T253" s="62">
        <v>6350.4911599058178</v>
      </c>
      <c r="U253" s="62">
        <v>6168.3301264944494</v>
      </c>
      <c r="V253" s="62">
        <v>6345.6796754006173</v>
      </c>
      <c r="W253" s="62">
        <v>7858.1641626478122</v>
      </c>
      <c r="X253" s="62">
        <v>8119.1130607577907</v>
      </c>
      <c r="Y253" s="62">
        <v>7413.3945096240313</v>
      </c>
      <c r="Z253" s="62">
        <v>6412.656968098232</v>
      </c>
      <c r="AA253" s="62">
        <v>5273.8054455691163</v>
      </c>
      <c r="AB253" s="62">
        <v>3991.1652160391204</v>
      </c>
      <c r="AC253" s="61">
        <v>113652.64229348984</v>
      </c>
      <c r="AD253" s="107"/>
    </row>
    <row r="254" spans="1:30" ht="15.75" thickBot="1" x14ac:dyDescent="0.3">
      <c r="A254" s="49">
        <v>2033</v>
      </c>
      <c r="B254" s="50">
        <v>1</v>
      </c>
      <c r="C254" s="50">
        <v>7</v>
      </c>
      <c r="D254" s="51" t="s">
        <v>134</v>
      </c>
      <c r="E254" s="62">
        <v>3166.9179125203755</v>
      </c>
      <c r="F254" s="62">
        <v>2477.4093584522707</v>
      </c>
      <c r="G254" s="62">
        <v>1932.2548637884011</v>
      </c>
      <c r="H254" s="62">
        <v>1610.4164943237265</v>
      </c>
      <c r="I254" s="62">
        <v>1453.6782652786242</v>
      </c>
      <c r="J254" s="62">
        <v>1457.2407819258588</v>
      </c>
      <c r="K254" s="62">
        <v>1326.4712217455799</v>
      </c>
      <c r="L254" s="62">
        <v>2063.1475346951484</v>
      </c>
      <c r="M254" s="62">
        <v>3165.1424250120617</v>
      </c>
      <c r="N254" s="62">
        <v>4147.5246647350541</v>
      </c>
      <c r="O254" s="62">
        <v>4627.5295400323957</v>
      </c>
      <c r="P254" s="62">
        <v>5282.0477173115323</v>
      </c>
      <c r="Q254" s="62">
        <v>5771.97070051013</v>
      </c>
      <c r="R254" s="62">
        <v>5731.408601545827</v>
      </c>
      <c r="S254" s="62">
        <v>5083.6134240950341</v>
      </c>
      <c r="T254" s="62">
        <v>4802.1188244156838</v>
      </c>
      <c r="U254" s="62">
        <v>4572.8039367087113</v>
      </c>
      <c r="V254" s="62">
        <v>4460.4317357153304</v>
      </c>
      <c r="W254" s="62">
        <v>6030.3474140844883</v>
      </c>
      <c r="X254" s="62">
        <v>7294.004962505307</v>
      </c>
      <c r="Y254" s="62">
        <v>7179.9755757173261</v>
      </c>
      <c r="Z254" s="62">
        <v>6265.931330815929</v>
      </c>
      <c r="AA254" s="62">
        <v>5021.404035125528</v>
      </c>
      <c r="AB254" s="62">
        <v>3872.8252000753346</v>
      </c>
      <c r="AC254" s="53">
        <v>98796.616521135642</v>
      </c>
      <c r="AD254" s="105">
        <f>+SUMPRODUCT(AC254:AC256,C254:C256)</f>
        <v>3868612.5285105719</v>
      </c>
    </row>
    <row r="255" spans="1:30" ht="15.75" thickBot="1" x14ac:dyDescent="0.3">
      <c r="A255" s="54">
        <v>2033</v>
      </c>
      <c r="B255" s="55">
        <v>1</v>
      </c>
      <c r="C255" s="55">
        <v>20</v>
      </c>
      <c r="D255" s="56" t="s">
        <v>135</v>
      </c>
      <c r="E255" s="62">
        <v>3227.845248650161</v>
      </c>
      <c r="F255" s="62">
        <v>2581.2280188949371</v>
      </c>
      <c r="G255" s="62">
        <v>2057.6999103424314</v>
      </c>
      <c r="H255" s="62">
        <v>1719.4754121360256</v>
      </c>
      <c r="I255" s="62">
        <v>1665.303091868127</v>
      </c>
      <c r="J255" s="62">
        <v>2051.0768344524695</v>
      </c>
      <c r="K255" s="62">
        <v>2499.5008636383354</v>
      </c>
      <c r="L255" s="62">
        <v>3678.6405772625767</v>
      </c>
      <c r="M255" s="62">
        <v>5355.2133758855052</v>
      </c>
      <c r="N255" s="62">
        <v>6208.3705380818756</v>
      </c>
      <c r="O255" s="62">
        <v>6902.5934127699002</v>
      </c>
      <c r="P255" s="62">
        <v>7870.3713591984051</v>
      </c>
      <c r="Q255" s="62">
        <v>7983.0406842319535</v>
      </c>
      <c r="R255" s="62">
        <v>7868.0627881938417</v>
      </c>
      <c r="S255" s="62">
        <v>7811.3488663361386</v>
      </c>
      <c r="T255" s="62">
        <v>7664.7233808982128</v>
      </c>
      <c r="U255" s="62">
        <v>7549.984017938521</v>
      </c>
      <c r="V255" s="62">
        <v>7045.1253184227317</v>
      </c>
      <c r="W255" s="62">
        <v>7805.3995707334107</v>
      </c>
      <c r="X255" s="62">
        <v>8679.0125263703339</v>
      </c>
      <c r="Y255" s="62">
        <v>8362.7085852832097</v>
      </c>
      <c r="Z255" s="62">
        <v>7309.1954675816232</v>
      </c>
      <c r="AA255" s="62">
        <v>5803.3859411340345</v>
      </c>
      <c r="AB255" s="62">
        <v>4384.7141714655845</v>
      </c>
      <c r="AC255" s="57">
        <v>134084.01996177036</v>
      </c>
      <c r="AD255" s="106"/>
    </row>
    <row r="256" spans="1:30" ht="15.75" thickBot="1" x14ac:dyDescent="0.3">
      <c r="A256" s="58">
        <v>2033</v>
      </c>
      <c r="B256" s="59">
        <v>1</v>
      </c>
      <c r="C256" s="59">
        <v>4</v>
      </c>
      <c r="D256" s="60" t="s">
        <v>136</v>
      </c>
      <c r="E256" s="62">
        <v>3002.8893077852699</v>
      </c>
      <c r="F256" s="62">
        <v>2317.3007603584592</v>
      </c>
      <c r="G256" s="62">
        <v>1960.3937845027394</v>
      </c>
      <c r="H256" s="62">
        <v>1654.683019644599</v>
      </c>
      <c r="I256" s="62">
        <v>1365.6203257931993</v>
      </c>
      <c r="J256" s="62">
        <v>1467.3502686721276</v>
      </c>
      <c r="K256" s="62">
        <v>1578.3315718966332</v>
      </c>
      <c r="L256" s="62">
        <v>2822.4761074056569</v>
      </c>
      <c r="M256" s="62">
        <v>4578.4864453537557</v>
      </c>
      <c r="N256" s="62">
        <v>5487.5741422018109</v>
      </c>
      <c r="O256" s="62">
        <v>6292.2907349366142</v>
      </c>
      <c r="P256" s="62">
        <v>7190.3264123434419</v>
      </c>
      <c r="Q256" s="62">
        <v>7595.1230404360031</v>
      </c>
      <c r="R256" s="62">
        <v>7483.5317894789296</v>
      </c>
      <c r="S256" s="62">
        <v>7209.1880974896485</v>
      </c>
      <c r="T256" s="62">
        <v>6988.6380015791983</v>
      </c>
      <c r="U256" s="62">
        <v>6652.5159431938919</v>
      </c>
      <c r="V256" s="62">
        <v>6454.7761414351917</v>
      </c>
      <c r="W256" s="62">
        <v>7548.0928600041334</v>
      </c>
      <c r="X256" s="62">
        <v>8449.8918273685667</v>
      </c>
      <c r="Y256" s="62">
        <v>8102.3398154206516</v>
      </c>
      <c r="Z256" s="62">
        <v>7223.8166286354608</v>
      </c>
      <c r="AA256" s="62">
        <v>5853.9761656551054</v>
      </c>
      <c r="AB256" s="62">
        <v>4559.340215212691</v>
      </c>
      <c r="AC256" s="61">
        <v>123838.95340680378</v>
      </c>
      <c r="AD256" s="107"/>
    </row>
    <row r="257" spans="1:30" ht="15.75" thickBot="1" x14ac:dyDescent="0.3">
      <c r="A257" s="49">
        <v>2033</v>
      </c>
      <c r="B257" s="50">
        <v>2</v>
      </c>
      <c r="C257" s="50">
        <v>4</v>
      </c>
      <c r="D257" s="51" t="s">
        <v>134</v>
      </c>
      <c r="E257" s="62">
        <v>2466.5496967037743</v>
      </c>
      <c r="F257" s="62">
        <v>1823.1407570666906</v>
      </c>
      <c r="G257" s="62">
        <v>1343.353765050133</v>
      </c>
      <c r="H257" s="62">
        <v>918.59242509166143</v>
      </c>
      <c r="I257" s="62">
        <v>357.88340020506621</v>
      </c>
      <c r="J257" s="62">
        <v>242.54695073267612</v>
      </c>
      <c r="K257" s="62">
        <v>491.50861433692444</v>
      </c>
      <c r="L257" s="62">
        <v>1680.3295889321435</v>
      </c>
      <c r="M257" s="62">
        <v>3019.3587180047034</v>
      </c>
      <c r="N257" s="62">
        <v>3854.8620440756204</v>
      </c>
      <c r="O257" s="62">
        <v>4387.1291160424189</v>
      </c>
      <c r="P257" s="62">
        <v>5055.361887328967</v>
      </c>
      <c r="Q257" s="62">
        <v>5611.8444587975209</v>
      </c>
      <c r="R257" s="62">
        <v>5498.4438635628394</v>
      </c>
      <c r="S257" s="62">
        <v>4901.8640277977029</v>
      </c>
      <c r="T257" s="62">
        <v>4410.4771533016465</v>
      </c>
      <c r="U257" s="62">
        <v>4156.9938774013099</v>
      </c>
      <c r="V257" s="62">
        <v>3879.5930323221328</v>
      </c>
      <c r="W257" s="62">
        <v>4990.8592795574259</v>
      </c>
      <c r="X257" s="62">
        <v>6188.9188656077604</v>
      </c>
      <c r="Y257" s="62">
        <v>6282.3276433138672</v>
      </c>
      <c r="Z257" s="62">
        <v>5418.1190770610519</v>
      </c>
      <c r="AA257" s="62">
        <v>3996.0394454626694</v>
      </c>
      <c r="AB257" s="62">
        <v>2686.8754062477183</v>
      </c>
      <c r="AC257" s="53">
        <v>83662.973094004425</v>
      </c>
      <c r="AD257" s="105">
        <f>+SUMPRODUCT(AC257:AC259,C257:C259)</f>
        <v>2973766.2485142397</v>
      </c>
    </row>
    <row r="258" spans="1:30" ht="15.75" thickBot="1" x14ac:dyDescent="0.3">
      <c r="A258" s="54">
        <v>2033</v>
      </c>
      <c r="B258" s="55">
        <v>2</v>
      </c>
      <c r="C258" s="55">
        <v>20</v>
      </c>
      <c r="D258" s="56" t="s">
        <v>135</v>
      </c>
      <c r="E258" s="62">
        <v>1954.9495767062399</v>
      </c>
      <c r="F258" s="62">
        <v>1438.6103423120003</v>
      </c>
      <c r="G258" s="62">
        <v>1011.9227727789839</v>
      </c>
      <c r="H258" s="62">
        <v>788.77741104002416</v>
      </c>
      <c r="I258" s="62">
        <v>748.18607015169255</v>
      </c>
      <c r="J258" s="62">
        <v>1444.0877608659721</v>
      </c>
      <c r="K258" s="62">
        <v>2137.4955915857608</v>
      </c>
      <c r="L258" s="62">
        <v>2921.7405046194835</v>
      </c>
      <c r="M258" s="62">
        <v>4335.4175333940148</v>
      </c>
      <c r="N258" s="62">
        <v>5031.7235256483364</v>
      </c>
      <c r="O258" s="62">
        <v>5745.288523512445</v>
      </c>
      <c r="P258" s="62">
        <v>6664.4911586705275</v>
      </c>
      <c r="Q258" s="62">
        <v>6716.9868448380585</v>
      </c>
      <c r="R258" s="62">
        <v>6683.0476653282749</v>
      </c>
      <c r="S258" s="62">
        <v>7024.8457884700183</v>
      </c>
      <c r="T258" s="62">
        <v>6993.6764080916182</v>
      </c>
      <c r="U258" s="62">
        <v>6844.7047673058842</v>
      </c>
      <c r="V258" s="62">
        <v>6423.2173428614224</v>
      </c>
      <c r="W258" s="62">
        <v>6938.9502583784488</v>
      </c>
      <c r="X258" s="62">
        <v>7930.2912297730072</v>
      </c>
      <c r="Y258" s="62">
        <v>7527.9500851899247</v>
      </c>
      <c r="Z258" s="62">
        <v>5881.0735293160942</v>
      </c>
      <c r="AA258" s="62">
        <v>4468.7628529408867</v>
      </c>
      <c r="AB258" s="62">
        <v>3011.3465354454856</v>
      </c>
      <c r="AC258" s="57">
        <v>110667.54407922459</v>
      </c>
      <c r="AD258" s="106"/>
    </row>
    <row r="259" spans="1:30" ht="15.75" thickBot="1" x14ac:dyDescent="0.3">
      <c r="A259" s="58">
        <v>2033</v>
      </c>
      <c r="B259" s="59">
        <v>2</v>
      </c>
      <c r="C259" s="59">
        <v>4</v>
      </c>
      <c r="D259" s="60" t="s">
        <v>136</v>
      </c>
      <c r="E259" s="62">
        <v>2263.5624292257162</v>
      </c>
      <c r="F259" s="62">
        <v>1604.1084239227475</v>
      </c>
      <c r="G259" s="62">
        <v>1174.1628742203266</v>
      </c>
      <c r="H259" s="62">
        <v>584.49419083448993</v>
      </c>
      <c r="I259" s="62">
        <v>726.35849973841505</v>
      </c>
      <c r="J259" s="62">
        <v>966.63678096935109</v>
      </c>
      <c r="K259" s="62">
        <v>1299.2350812539935</v>
      </c>
      <c r="L259" s="62">
        <v>2665.4119872568644</v>
      </c>
      <c r="M259" s="62">
        <v>3916.8269355833036</v>
      </c>
      <c r="N259" s="62">
        <v>4639.3848389424093</v>
      </c>
      <c r="O259" s="62">
        <v>5564.2097089038107</v>
      </c>
      <c r="P259" s="62">
        <v>6224.6489220583899</v>
      </c>
      <c r="Q259" s="62">
        <v>6776.6913791912521</v>
      </c>
      <c r="R259" s="62">
        <v>6621.1985959120393</v>
      </c>
      <c r="S259" s="62">
        <v>6272.9732969083343</v>
      </c>
      <c r="T259" s="62">
        <v>6307.4415173944508</v>
      </c>
      <c r="U259" s="62">
        <v>6124.5484312978042</v>
      </c>
      <c r="V259" s="62">
        <v>5870.1539907778788</v>
      </c>
      <c r="W259" s="62">
        <v>6548.558841546077</v>
      </c>
      <c r="X259" s="62">
        <v>7554.6851434618511</v>
      </c>
      <c r="Y259" s="62">
        <v>7319.9569133093974</v>
      </c>
      <c r="Z259" s="62">
        <v>6433.8516957187421</v>
      </c>
      <c r="AA259" s="62">
        <v>5158.9646270930753</v>
      </c>
      <c r="AB259" s="62">
        <v>3822.8035329116938</v>
      </c>
      <c r="AC259" s="61">
        <v>106440.86863843244</v>
      </c>
      <c r="AD259" s="107"/>
    </row>
    <row r="260" spans="1:30" ht="15.75" thickBot="1" x14ac:dyDescent="0.3">
      <c r="A260" s="49">
        <v>2033</v>
      </c>
      <c r="B260" s="50">
        <v>3</v>
      </c>
      <c r="C260" s="50">
        <v>5</v>
      </c>
      <c r="D260" s="51" t="s">
        <v>134</v>
      </c>
      <c r="E260" s="62">
        <v>1928.6175672743702</v>
      </c>
      <c r="F260" s="62">
        <v>2153.9811613822276</v>
      </c>
      <c r="G260" s="62">
        <v>1436.2978368690128</v>
      </c>
      <c r="H260" s="62">
        <v>1102.2426601423194</v>
      </c>
      <c r="I260" s="62">
        <v>983.48702787332695</v>
      </c>
      <c r="J260" s="62">
        <v>1020.1197385122578</v>
      </c>
      <c r="K260" s="62">
        <v>1029.8113015872896</v>
      </c>
      <c r="L260" s="62">
        <v>1953.7400587354423</v>
      </c>
      <c r="M260" s="62">
        <v>3410.2570331064453</v>
      </c>
      <c r="N260" s="62">
        <v>4159.0771632451251</v>
      </c>
      <c r="O260" s="62">
        <v>4817.0758502078461</v>
      </c>
      <c r="P260" s="62">
        <v>5625.8686229808736</v>
      </c>
      <c r="Q260" s="62">
        <v>6224.128911444117</v>
      </c>
      <c r="R260" s="62">
        <v>5910.2164262752885</v>
      </c>
      <c r="S260" s="62">
        <v>3650.1583558336206</v>
      </c>
      <c r="T260" s="62">
        <v>4622.8874624033087</v>
      </c>
      <c r="U260" s="62">
        <v>4331.861781231295</v>
      </c>
      <c r="V260" s="62">
        <v>4198.904810280932</v>
      </c>
      <c r="W260" s="62">
        <v>5554.0309389053655</v>
      </c>
      <c r="X260" s="62">
        <v>7669.0319848070685</v>
      </c>
      <c r="Y260" s="62">
        <v>7761.5952827301699</v>
      </c>
      <c r="Z260" s="62">
        <v>7090.9328202270626</v>
      </c>
      <c r="AA260" s="62">
        <v>5858.4891771882576</v>
      </c>
      <c r="AB260" s="62">
        <v>4346.973215977654</v>
      </c>
      <c r="AC260" s="53">
        <v>96839.787189220689</v>
      </c>
      <c r="AD260" s="105">
        <f>+SUMPRODUCT(AC260:AC262,C260:C262)</f>
        <v>3695701.4470425062</v>
      </c>
    </row>
    <row r="261" spans="1:30" ht="15.75" thickBot="1" x14ac:dyDescent="0.3">
      <c r="A261" s="54">
        <v>2033</v>
      </c>
      <c r="B261" s="55">
        <v>3</v>
      </c>
      <c r="C261" s="55">
        <v>22</v>
      </c>
      <c r="D261" s="56" t="s">
        <v>135</v>
      </c>
      <c r="E261" s="62">
        <v>2713.4968278039105</v>
      </c>
      <c r="F261" s="62">
        <v>2074.4067778331737</v>
      </c>
      <c r="G261" s="62">
        <v>1614.7969762704051</v>
      </c>
      <c r="H261" s="62">
        <v>1323.7355208206081</v>
      </c>
      <c r="I261" s="62">
        <v>1207.3940261259195</v>
      </c>
      <c r="J261" s="62">
        <v>1873.3718051235519</v>
      </c>
      <c r="K261" s="62">
        <v>2597.5266162084827</v>
      </c>
      <c r="L261" s="62">
        <v>3498.8927234281255</v>
      </c>
      <c r="M261" s="62">
        <v>5012.9823015668662</v>
      </c>
      <c r="N261" s="62">
        <v>5791.3763522853078</v>
      </c>
      <c r="O261" s="62">
        <v>6365.6336694023739</v>
      </c>
      <c r="P261" s="62">
        <v>7163.0530783087452</v>
      </c>
      <c r="Q261" s="62">
        <v>7174.2582862184863</v>
      </c>
      <c r="R261" s="62">
        <v>7144.6407239878245</v>
      </c>
      <c r="S261" s="62">
        <v>7228.2035933984043</v>
      </c>
      <c r="T261" s="62">
        <v>7331.3558361216856</v>
      </c>
      <c r="U261" s="62">
        <v>7329.5203697585821</v>
      </c>
      <c r="V261" s="62">
        <v>6812.1725010227383</v>
      </c>
      <c r="W261" s="62">
        <v>7550.0963716273254</v>
      </c>
      <c r="X261" s="62">
        <v>8571.6695720594835</v>
      </c>
      <c r="Y261" s="62">
        <v>8212.7732118205931</v>
      </c>
      <c r="Z261" s="62">
        <v>7118.784659197685</v>
      </c>
      <c r="AA261" s="62">
        <v>5442.0734058767957</v>
      </c>
      <c r="AB261" s="62">
        <v>3924.395724661601</v>
      </c>
      <c r="AC261" s="57">
        <v>125076.61093092868</v>
      </c>
      <c r="AD261" s="106"/>
    </row>
    <row r="262" spans="1:30" ht="15.75" thickBot="1" x14ac:dyDescent="0.3">
      <c r="A262" s="58">
        <v>2033</v>
      </c>
      <c r="B262" s="59">
        <v>3</v>
      </c>
      <c r="C262" s="59">
        <v>4</v>
      </c>
      <c r="D262" s="60" t="s">
        <v>136</v>
      </c>
      <c r="E262" s="62">
        <v>2900.2453538088685</v>
      </c>
      <c r="F262" s="62">
        <v>2090.5312478189007</v>
      </c>
      <c r="G262" s="62">
        <v>1652.5820751360734</v>
      </c>
      <c r="H262" s="62">
        <v>1380.0461266113834</v>
      </c>
      <c r="I262" s="62">
        <v>1266.0067572078915</v>
      </c>
      <c r="J262" s="62">
        <v>1384.0196444365411</v>
      </c>
      <c r="K262" s="62">
        <v>1460.9590299732517</v>
      </c>
      <c r="L262" s="62">
        <v>2622.0327820543826</v>
      </c>
      <c r="M262" s="62">
        <v>4948.1159046169305</v>
      </c>
      <c r="N262" s="62">
        <v>5801.877432793317</v>
      </c>
      <c r="O262" s="62">
        <v>6309.396921591655</v>
      </c>
      <c r="P262" s="62">
        <v>7009.799611429411</v>
      </c>
      <c r="Q262" s="62">
        <v>7250.5308363544718</v>
      </c>
      <c r="R262" s="62">
        <v>7007.2603499637953</v>
      </c>
      <c r="S262" s="62">
        <v>6804.1514103543632</v>
      </c>
      <c r="T262" s="62">
        <v>6646.5348085041296</v>
      </c>
      <c r="U262" s="62">
        <v>6339.6904056250023</v>
      </c>
      <c r="V262" s="62">
        <v>6087.3276103390235</v>
      </c>
      <c r="W262" s="62">
        <v>7120.491987874957</v>
      </c>
      <c r="X262" s="62">
        <v>8059.1351998102582</v>
      </c>
      <c r="Y262" s="62">
        <v>7784.2755427988486</v>
      </c>
      <c r="Z262" s="62">
        <v>5702.7431965730066</v>
      </c>
      <c r="AA262" s="62">
        <v>4384.1700939873081</v>
      </c>
      <c r="AB262" s="62">
        <v>2942.3433243290474</v>
      </c>
      <c r="AC262" s="61">
        <v>114954.26765399282</v>
      </c>
      <c r="AD262" s="107"/>
    </row>
    <row r="263" spans="1:30" ht="15.75" thickBot="1" x14ac:dyDescent="0.3">
      <c r="A263" s="49">
        <v>2033</v>
      </c>
      <c r="B263" s="50">
        <v>4</v>
      </c>
      <c r="C263" s="50">
        <v>6</v>
      </c>
      <c r="D263" s="51" t="s">
        <v>134</v>
      </c>
      <c r="E263" s="62">
        <v>2225.7495233757927</v>
      </c>
      <c r="F263" s="62">
        <v>1500.8151348252268</v>
      </c>
      <c r="G263" s="62">
        <v>1167.848246716685</v>
      </c>
      <c r="H263" s="62">
        <v>743.06594412529194</v>
      </c>
      <c r="I263" s="62">
        <v>623.4081892010945</v>
      </c>
      <c r="J263" s="62">
        <v>611.29283792635033</v>
      </c>
      <c r="K263" s="62">
        <v>619.42045865118598</v>
      </c>
      <c r="L263" s="62">
        <v>1676.6169204434827</v>
      </c>
      <c r="M263" s="62">
        <v>3128.1321795247277</v>
      </c>
      <c r="N263" s="62">
        <v>4072.5912783946696</v>
      </c>
      <c r="O263" s="62">
        <v>4755.6903828751929</v>
      </c>
      <c r="P263" s="62">
        <v>5537.3315056387401</v>
      </c>
      <c r="Q263" s="62">
        <v>6123.66857235528</v>
      </c>
      <c r="R263" s="62">
        <v>5935.9567074092301</v>
      </c>
      <c r="S263" s="62">
        <v>5079.3812757304877</v>
      </c>
      <c r="T263" s="62">
        <v>4584.3873544719936</v>
      </c>
      <c r="U263" s="62">
        <v>4275.9655364400933</v>
      </c>
      <c r="V263" s="62">
        <v>4258.4671795634167</v>
      </c>
      <c r="W263" s="62">
        <v>5718.8622446856025</v>
      </c>
      <c r="X263" s="62">
        <v>6821.1094392275081</v>
      </c>
      <c r="Y263" s="62">
        <v>6531.4104324131986</v>
      </c>
      <c r="Z263" s="62">
        <v>5673.4483384913983</v>
      </c>
      <c r="AA263" s="62">
        <v>4212.4446348691527</v>
      </c>
      <c r="AB263" s="62">
        <v>2845.8775105908517</v>
      </c>
      <c r="AC263" s="53">
        <v>88722.941827946677</v>
      </c>
      <c r="AD263" s="105">
        <f>+SUMPRODUCT(AC263:AC265,C263:C265)</f>
        <v>3228119.8362156828</v>
      </c>
    </row>
    <row r="264" spans="1:30" ht="15.75" thickBot="1" x14ac:dyDescent="0.3">
      <c r="A264" s="54">
        <v>2033</v>
      </c>
      <c r="B264" s="55">
        <v>4</v>
      </c>
      <c r="C264" s="55">
        <v>19</v>
      </c>
      <c r="D264" s="56" t="s">
        <v>135</v>
      </c>
      <c r="E264" s="62">
        <v>1902.5094725757372</v>
      </c>
      <c r="F264" s="62">
        <v>1216.5251993535639</v>
      </c>
      <c r="G264" s="62">
        <v>872.69939145465651</v>
      </c>
      <c r="H264" s="62">
        <v>580.90377596998587</v>
      </c>
      <c r="I264" s="62">
        <v>493.83103684029811</v>
      </c>
      <c r="J264" s="62">
        <v>1173.3602752174193</v>
      </c>
      <c r="K264" s="62">
        <v>1887.9882453328355</v>
      </c>
      <c r="L264" s="62">
        <v>2972.2379719536439</v>
      </c>
      <c r="M264" s="62">
        <v>4452.0666755111379</v>
      </c>
      <c r="N264" s="62">
        <v>5157.741198076521</v>
      </c>
      <c r="O264" s="62">
        <v>5619.5363053442888</v>
      </c>
      <c r="P264" s="62">
        <v>6640.1362045749011</v>
      </c>
      <c r="Q264" s="62">
        <v>6691.3644598345818</v>
      </c>
      <c r="R264" s="62">
        <v>6946.8499840841396</v>
      </c>
      <c r="S264" s="62">
        <v>7440.0168832425261</v>
      </c>
      <c r="T264" s="62">
        <v>7583.7904549249797</v>
      </c>
      <c r="U264" s="62">
        <v>7359.4218090365248</v>
      </c>
      <c r="V264" s="62">
        <v>6951.7570695270806</v>
      </c>
      <c r="W264" s="62">
        <v>7672.883773949743</v>
      </c>
      <c r="X264" s="62">
        <v>8423.7055635169199</v>
      </c>
      <c r="Y264" s="62">
        <v>7881.1254974752628</v>
      </c>
      <c r="Z264" s="62">
        <v>6694.656225871182</v>
      </c>
      <c r="AA264" s="62">
        <v>5070.1073890660737</v>
      </c>
      <c r="AB264" s="62">
        <v>3135.7712439102907</v>
      </c>
      <c r="AC264" s="57">
        <v>114820.98610664431</v>
      </c>
      <c r="AD264" s="106"/>
    </row>
    <row r="265" spans="1:30" ht="15.75" thickBot="1" x14ac:dyDescent="0.3">
      <c r="A265" s="58">
        <v>2033</v>
      </c>
      <c r="B265" s="59">
        <v>4</v>
      </c>
      <c r="C265" s="59">
        <v>5</v>
      </c>
      <c r="D265" s="60" t="s">
        <v>136</v>
      </c>
      <c r="E265" s="62">
        <v>2342.680235638054</v>
      </c>
      <c r="F265" s="62">
        <v>1742.2178340463124</v>
      </c>
      <c r="G265" s="62">
        <v>1216.9883138151563</v>
      </c>
      <c r="H265" s="62">
        <v>888.46553340899845</v>
      </c>
      <c r="I265" s="62">
        <v>0</v>
      </c>
      <c r="J265" s="62">
        <v>956.1156374412185</v>
      </c>
      <c r="K265" s="62">
        <v>1054.1708631622678</v>
      </c>
      <c r="L265" s="62">
        <v>2449.7970897354717</v>
      </c>
      <c r="M265" s="62">
        <v>4282.2946284556529</v>
      </c>
      <c r="N265" s="62">
        <v>5229.6111397333516</v>
      </c>
      <c r="O265" s="62">
        <v>5821.3917500450916</v>
      </c>
      <c r="P265" s="62">
        <v>6742.155972534325</v>
      </c>
      <c r="Q265" s="62">
        <v>6992.1907235223698</v>
      </c>
      <c r="R265" s="62">
        <v>6720.684004909861</v>
      </c>
      <c r="S265" s="62">
        <v>6315.435527495978</v>
      </c>
      <c r="T265" s="62">
        <v>5765.752597725801</v>
      </c>
      <c r="U265" s="62">
        <v>5482.1190212275651</v>
      </c>
      <c r="V265" s="62">
        <v>5416.870828245952</v>
      </c>
      <c r="W265" s="62">
        <v>6518.5310714236075</v>
      </c>
      <c r="X265" s="62">
        <v>7079.2334663683796</v>
      </c>
      <c r="Y265" s="62">
        <v>6791.9299932184222</v>
      </c>
      <c r="Z265" s="62">
        <v>5822.7993816375383</v>
      </c>
      <c r="AA265" s="62">
        <v>4383.9219986345161</v>
      </c>
      <c r="AB265" s="62">
        <v>2821.3322319262988</v>
      </c>
      <c r="AC265" s="61">
        <v>102836.68984435221</v>
      </c>
      <c r="AD265" s="107"/>
    </row>
    <row r="266" spans="1:30" ht="15.75" thickBot="1" x14ac:dyDescent="0.3">
      <c r="A266" s="49">
        <v>2033</v>
      </c>
      <c r="B266" s="50">
        <v>5</v>
      </c>
      <c r="C266" s="50">
        <v>6</v>
      </c>
      <c r="D266" s="51" t="s">
        <v>134</v>
      </c>
      <c r="E266" s="62">
        <v>3006.6141079342906</v>
      </c>
      <c r="F266" s="62">
        <v>2169.607475409468</v>
      </c>
      <c r="G266" s="62">
        <v>1790.5943621828628</v>
      </c>
      <c r="H266" s="62">
        <v>1537.0974054101662</v>
      </c>
      <c r="I266" s="62">
        <v>1359.4893188445221</v>
      </c>
      <c r="J266" s="62">
        <v>1429.6093851247861</v>
      </c>
      <c r="K266" s="62">
        <v>1511.1283045007513</v>
      </c>
      <c r="L266" s="62">
        <v>2723.1161763881282</v>
      </c>
      <c r="M266" s="62">
        <v>4288.9985573820341</v>
      </c>
      <c r="N266" s="62">
        <v>5321.0294941763859</v>
      </c>
      <c r="O266" s="62">
        <v>6035.6055166978476</v>
      </c>
      <c r="P266" s="62">
        <v>6808.0482626718622</v>
      </c>
      <c r="Q266" s="62">
        <v>7294.5164544067957</v>
      </c>
      <c r="R266" s="62">
        <v>7134.9085534109654</v>
      </c>
      <c r="S266" s="62">
        <v>6428.4731427640436</v>
      </c>
      <c r="T266" s="62">
        <v>5972.4411565539194</v>
      </c>
      <c r="U266" s="62">
        <v>5573.3545222745634</v>
      </c>
      <c r="V266" s="62">
        <v>5682.3818219603818</v>
      </c>
      <c r="W266" s="62">
        <v>6966.2805949168578</v>
      </c>
      <c r="X266" s="62">
        <v>7760.1784201084774</v>
      </c>
      <c r="Y266" s="62">
        <v>7633.6240985595941</v>
      </c>
      <c r="Z266" s="62">
        <v>6524.4914352212727</v>
      </c>
      <c r="AA266" s="62">
        <v>4999.6435278419485</v>
      </c>
      <c r="AB266" s="62">
        <v>3725.1411472306718</v>
      </c>
      <c r="AC266" s="53">
        <v>113676.37324197259</v>
      </c>
      <c r="AD266" s="105">
        <f>+SUMPRODUCT(AC266:AC268,C266:C268)</f>
        <v>3675599.9022203395</v>
      </c>
    </row>
    <row r="267" spans="1:30" ht="15.75" thickBot="1" x14ac:dyDescent="0.3">
      <c r="A267" s="54">
        <v>2033</v>
      </c>
      <c r="B267" s="55">
        <v>5</v>
      </c>
      <c r="C267" s="55">
        <v>21</v>
      </c>
      <c r="D267" s="56" t="s">
        <v>135</v>
      </c>
      <c r="E267" s="62">
        <v>2180.2624815152521</v>
      </c>
      <c r="F267" s="62">
        <v>1585.7656937683787</v>
      </c>
      <c r="G267" s="62">
        <v>1149.3485641301668</v>
      </c>
      <c r="H267" s="62">
        <v>939.73069350819424</v>
      </c>
      <c r="I267" s="62">
        <v>782.10088713730875</v>
      </c>
      <c r="J267" s="62">
        <v>1420.1077204679113</v>
      </c>
      <c r="K267" s="62">
        <v>2104.6868226482857</v>
      </c>
      <c r="L267" s="62">
        <v>3230.591172198152</v>
      </c>
      <c r="M267" s="62">
        <v>4631.2880368613223</v>
      </c>
      <c r="N267" s="62">
        <v>5511.6464703831698</v>
      </c>
      <c r="O267" s="62">
        <v>6228.7767536015417</v>
      </c>
      <c r="P267" s="62">
        <v>7093.9723206098133</v>
      </c>
      <c r="Q267" s="62">
        <v>7278.015822305857</v>
      </c>
      <c r="R267" s="62">
        <v>7370.4752360921957</v>
      </c>
      <c r="S267" s="62">
        <v>7539.2637466276828</v>
      </c>
      <c r="T267" s="62">
        <v>7469.7708656062714</v>
      </c>
      <c r="U267" s="62">
        <v>7361.846133003779</v>
      </c>
      <c r="V267" s="62">
        <v>7038.4506383605622</v>
      </c>
      <c r="W267" s="62">
        <v>7858.4813176646894</v>
      </c>
      <c r="X267" s="62">
        <v>8550.0828690899216</v>
      </c>
      <c r="Y267" s="62">
        <v>8055.518363032952</v>
      </c>
      <c r="Z267" s="62">
        <v>6631.436011056383</v>
      </c>
      <c r="AA267" s="62">
        <v>4951.1524646504367</v>
      </c>
      <c r="AB267" s="62">
        <v>3378.898814674787</v>
      </c>
      <c r="AC267" s="57">
        <v>120341.66989899502</v>
      </c>
      <c r="AD267" s="106"/>
    </row>
    <row r="268" spans="1:30" ht="15.75" thickBot="1" x14ac:dyDescent="0.3">
      <c r="A268" s="58">
        <v>2033</v>
      </c>
      <c r="B268" s="59">
        <v>5</v>
      </c>
      <c r="C268" s="59">
        <v>4</v>
      </c>
      <c r="D268" s="60" t="s">
        <v>136</v>
      </c>
      <c r="E268" s="62">
        <v>2486.6954342275858</v>
      </c>
      <c r="F268" s="62">
        <v>1820.1366082900877</v>
      </c>
      <c r="G268" s="62">
        <v>1395.8791621352811</v>
      </c>
      <c r="H268" s="62">
        <v>1097.9767290904019</v>
      </c>
      <c r="I268" s="62">
        <v>997.03066271651551</v>
      </c>
      <c r="J268" s="62">
        <v>987.06786601891872</v>
      </c>
      <c r="K268" s="62">
        <v>1252.1943586441612</v>
      </c>
      <c r="L268" s="62">
        <v>2829.4850615240575</v>
      </c>
      <c r="M268" s="62">
        <v>4728.6433690214581</v>
      </c>
      <c r="N268" s="62">
        <v>5940.3731928046873</v>
      </c>
      <c r="O268" s="62">
        <v>6933.5393950878788</v>
      </c>
      <c r="P268" s="62">
        <v>7325.7330634943428</v>
      </c>
      <c r="Q268" s="62">
        <v>7763.6577491494645</v>
      </c>
      <c r="R268" s="62">
        <v>7533.8925269774045</v>
      </c>
      <c r="S268" s="62">
        <v>7066.0211017669208</v>
      </c>
      <c r="T268" s="62">
        <v>6812.8113647651044</v>
      </c>
      <c r="U268" s="62">
        <v>6271.8684587450807</v>
      </c>
      <c r="V268" s="62">
        <v>6252.3617845682747</v>
      </c>
      <c r="W268" s="62">
        <v>6585.1362502648517</v>
      </c>
      <c r="X268" s="62">
        <v>7694.4014255074944</v>
      </c>
      <c r="Y268" s="62">
        <v>7325.1974453508192</v>
      </c>
      <c r="Z268" s="62">
        <v>6371.6864355094185</v>
      </c>
      <c r="AA268" s="62">
        <v>5131.6646030835</v>
      </c>
      <c r="AB268" s="62">
        <v>3988.1946736584687</v>
      </c>
      <c r="AC268" s="61">
        <v>116591.64872240218</v>
      </c>
      <c r="AD268" s="107"/>
    </row>
    <row r="269" spans="1:30" ht="15.75" thickBot="1" x14ac:dyDescent="0.3">
      <c r="A269" s="49">
        <v>2033</v>
      </c>
      <c r="B269" s="50">
        <v>6</v>
      </c>
      <c r="C269" s="50">
        <v>6</v>
      </c>
      <c r="D269" s="51" t="s">
        <v>134</v>
      </c>
      <c r="E269" s="62">
        <v>2461.504164428974</v>
      </c>
      <c r="F269" s="62">
        <v>1880.9107163946355</v>
      </c>
      <c r="G269" s="62">
        <v>1389.7411475646786</v>
      </c>
      <c r="H269" s="62">
        <v>1007.9067783762675</v>
      </c>
      <c r="I269" s="62">
        <v>0</v>
      </c>
      <c r="J269" s="62">
        <v>585.90409447086131</v>
      </c>
      <c r="K269" s="62">
        <v>617.90892839059961</v>
      </c>
      <c r="L269" s="62">
        <v>1755.6077516943133</v>
      </c>
      <c r="M269" s="62">
        <v>3157.5501404008137</v>
      </c>
      <c r="N269" s="62">
        <v>4009.3919088692674</v>
      </c>
      <c r="O269" s="62">
        <v>4517.1259315915086</v>
      </c>
      <c r="P269" s="62">
        <v>5011.6896963922482</v>
      </c>
      <c r="Q269" s="62">
        <v>5574.4095248075282</v>
      </c>
      <c r="R269" s="62">
        <v>5288.3428682290469</v>
      </c>
      <c r="S269" s="62">
        <v>4778.3522460939676</v>
      </c>
      <c r="T269" s="62">
        <v>4260.508319934841</v>
      </c>
      <c r="U269" s="62">
        <v>3967.0084079870758</v>
      </c>
      <c r="V269" s="62">
        <v>4314.7977069326807</v>
      </c>
      <c r="W269" s="62">
        <v>5637.5444434364035</v>
      </c>
      <c r="X269" s="62">
        <v>6728.2400758239892</v>
      </c>
      <c r="Y269" s="62">
        <v>6456.7094691711827</v>
      </c>
      <c r="Z269" s="62">
        <v>5383.0769399843339</v>
      </c>
      <c r="AA269" s="62">
        <v>4275.8422087540457</v>
      </c>
      <c r="AB269" s="62">
        <v>3084.1624848890788</v>
      </c>
      <c r="AC269" s="53">
        <v>86144.235954618329</v>
      </c>
      <c r="AD269" s="105">
        <f>+SUMPRODUCT(AC269:AC271,C269:C271)</f>
        <v>3192888.2838898464</v>
      </c>
    </row>
    <row r="270" spans="1:30" ht="15.75" thickBot="1" x14ac:dyDescent="0.3">
      <c r="A270" s="54">
        <v>2033</v>
      </c>
      <c r="B270" s="55">
        <v>6</v>
      </c>
      <c r="C270" s="55">
        <v>20</v>
      </c>
      <c r="D270" s="56" t="s">
        <v>135</v>
      </c>
      <c r="E270" s="62">
        <v>1796.3452174957129</v>
      </c>
      <c r="F270" s="62">
        <v>1254.3519009656338</v>
      </c>
      <c r="G270" s="62">
        <v>781.03582991418443</v>
      </c>
      <c r="H270" s="62">
        <v>538.05729665456784</v>
      </c>
      <c r="I270" s="62">
        <v>483.78445396869574</v>
      </c>
      <c r="J270" s="62">
        <v>898.64820579988918</v>
      </c>
      <c r="K270" s="62">
        <v>1561.9729826375333</v>
      </c>
      <c r="L270" s="62">
        <v>3085.3560670033421</v>
      </c>
      <c r="M270" s="62">
        <v>4910.2006746702828</v>
      </c>
      <c r="N270" s="62">
        <v>5654.3084371544464</v>
      </c>
      <c r="O270" s="62">
        <v>6294.5364366221365</v>
      </c>
      <c r="P270" s="62">
        <v>7541.0935928196996</v>
      </c>
      <c r="Q270" s="62">
        <v>7734.7775204554273</v>
      </c>
      <c r="R270" s="62">
        <v>7340.3365780512395</v>
      </c>
      <c r="S270" s="62">
        <v>7128.8253180125357</v>
      </c>
      <c r="T270" s="62">
        <v>6970.632147675642</v>
      </c>
      <c r="U270" s="62">
        <v>6736.5488121660128</v>
      </c>
      <c r="V270" s="62">
        <v>6468.4192161002793</v>
      </c>
      <c r="W270" s="62">
        <v>7063.231644347743</v>
      </c>
      <c r="X270" s="62">
        <v>7695.9238560137564</v>
      </c>
      <c r="Y270" s="62">
        <v>7140.6606272833997</v>
      </c>
      <c r="Z270" s="62">
        <v>5891.9218852517879</v>
      </c>
      <c r="AA270" s="62">
        <v>4358.8382467328556</v>
      </c>
      <c r="AB270" s="62">
        <v>2878.159169153776</v>
      </c>
      <c r="AC270" s="57">
        <v>112207.96611695061</v>
      </c>
      <c r="AD270" s="106"/>
    </row>
    <row r="271" spans="1:30" ht="15.75" thickBot="1" x14ac:dyDescent="0.3">
      <c r="A271" s="58">
        <v>2033</v>
      </c>
      <c r="B271" s="59">
        <v>6</v>
      </c>
      <c r="C271" s="59">
        <v>4</v>
      </c>
      <c r="D271" s="60" t="s">
        <v>136</v>
      </c>
      <c r="E271" s="62">
        <v>2292.334560620413</v>
      </c>
      <c r="F271" s="62">
        <v>1758.2656870753108</v>
      </c>
      <c r="G271" s="62">
        <v>1192.4979351939346</v>
      </c>
      <c r="H271" s="62">
        <v>895.75074880685133</v>
      </c>
      <c r="I271" s="62">
        <v>792.29329769307515</v>
      </c>
      <c r="J271" s="62">
        <v>959.77595659474173</v>
      </c>
      <c r="K271" s="62">
        <v>1262.0106408816882</v>
      </c>
      <c r="L271" s="62">
        <v>2641.4145292308858</v>
      </c>
      <c r="M271" s="62">
        <v>4468.2378517247962</v>
      </c>
      <c r="N271" s="62">
        <v>5348.203849121237</v>
      </c>
      <c r="O271" s="62">
        <v>6009.2721876167889</v>
      </c>
      <c r="P271" s="62">
        <v>6846.2019968488639</v>
      </c>
      <c r="Q271" s="62">
        <v>6890.5398761416291</v>
      </c>
      <c r="R271" s="62">
        <v>6554.8223368290674</v>
      </c>
      <c r="S271" s="62">
        <v>6134.4300895422493</v>
      </c>
      <c r="T271" s="62">
        <v>5737.7718105442291</v>
      </c>
      <c r="U271" s="62">
        <v>5714.1458166347547</v>
      </c>
      <c r="V271" s="62">
        <v>5950.3169767954059</v>
      </c>
      <c r="W271" s="62">
        <v>6925.8654939075677</v>
      </c>
      <c r="X271" s="62">
        <v>7681.6213644858544</v>
      </c>
      <c r="Y271" s="62">
        <v>7320.4182725089449</v>
      </c>
      <c r="Z271" s="62">
        <v>6177.4326856774933</v>
      </c>
      <c r="AA271" s="62">
        <v>4859.8861195225982</v>
      </c>
      <c r="AB271" s="62">
        <v>3552.3763717827132</v>
      </c>
      <c r="AC271" s="61">
        <v>107965.88645578109</v>
      </c>
      <c r="AD271" s="107"/>
    </row>
    <row r="272" spans="1:30" ht="15.75" thickBot="1" x14ac:dyDescent="0.3">
      <c r="A272" s="49">
        <v>2033</v>
      </c>
      <c r="B272" s="50">
        <v>7</v>
      </c>
      <c r="C272" s="50">
        <v>7</v>
      </c>
      <c r="D272" s="51" t="s">
        <v>134</v>
      </c>
      <c r="E272" s="62">
        <v>2120.7102877286379</v>
      </c>
      <c r="F272" s="62">
        <v>1545.6308298404892</v>
      </c>
      <c r="G272" s="62">
        <v>1057.7637042169372</v>
      </c>
      <c r="H272" s="62">
        <v>763.87507807939619</v>
      </c>
      <c r="I272" s="62">
        <v>629.74718100169594</v>
      </c>
      <c r="J272" s="62">
        <v>770.05492748071265</v>
      </c>
      <c r="K272" s="62">
        <v>751.89093431497531</v>
      </c>
      <c r="L272" s="62">
        <v>1982.612649032093</v>
      </c>
      <c r="M272" s="62">
        <v>3462.2812501466506</v>
      </c>
      <c r="N272" s="62">
        <v>4556.8349682945482</v>
      </c>
      <c r="O272" s="62">
        <v>5185.6255201400891</v>
      </c>
      <c r="P272" s="62">
        <v>6172.6638819877699</v>
      </c>
      <c r="Q272" s="62">
        <v>6782.880307671865</v>
      </c>
      <c r="R272" s="62">
        <v>6604.1852653934766</v>
      </c>
      <c r="S272" s="62">
        <v>6024.1726855710403</v>
      </c>
      <c r="T272" s="62">
        <v>5666.2658526496307</v>
      </c>
      <c r="U272" s="62">
        <v>5391.4469700641348</v>
      </c>
      <c r="V272" s="62">
        <v>5247.4432241296709</v>
      </c>
      <c r="W272" s="62">
        <v>6094.7837562483837</v>
      </c>
      <c r="X272" s="62">
        <v>7262.9404988947499</v>
      </c>
      <c r="Y272" s="62">
        <v>6759.5344233777396</v>
      </c>
      <c r="Z272" s="62">
        <v>5546.3956000408725</v>
      </c>
      <c r="AA272" s="62">
        <v>4154.3091232362203</v>
      </c>
      <c r="AB272" s="62">
        <v>2799.2815723642998</v>
      </c>
      <c r="AC272" s="53">
        <v>97333.33049190609</v>
      </c>
      <c r="AD272" s="105">
        <f>+SUMPRODUCT(AC272:AC274,C272:C274)</f>
        <v>3441533.5770036597</v>
      </c>
    </row>
    <row r="273" spans="1:30" ht="15.75" thickBot="1" x14ac:dyDescent="0.3">
      <c r="A273" s="54">
        <v>2033</v>
      </c>
      <c r="B273" s="55">
        <v>7</v>
      </c>
      <c r="C273" s="55">
        <v>19</v>
      </c>
      <c r="D273" s="56" t="s">
        <v>135</v>
      </c>
      <c r="E273" s="62">
        <v>2072.7706589201625</v>
      </c>
      <c r="F273" s="62">
        <v>1524.3044331213314</v>
      </c>
      <c r="G273" s="62">
        <v>1068.7174883319021</v>
      </c>
      <c r="H273" s="62">
        <v>753.46219695849686</v>
      </c>
      <c r="I273" s="62">
        <v>729.16024721852227</v>
      </c>
      <c r="J273" s="62">
        <v>1357.9760825117628</v>
      </c>
      <c r="K273" s="62">
        <v>2039.3374332646854</v>
      </c>
      <c r="L273" s="62">
        <v>3245.798189066918</v>
      </c>
      <c r="M273" s="62">
        <v>4623.2648874575061</v>
      </c>
      <c r="N273" s="62">
        <v>5439.2330775628834</v>
      </c>
      <c r="O273" s="62">
        <v>6313.0026419631104</v>
      </c>
      <c r="P273" s="62">
        <v>7198.2173841442927</v>
      </c>
      <c r="Q273" s="62">
        <v>7240.2372746018664</v>
      </c>
      <c r="R273" s="62">
        <v>7419.0841708609842</v>
      </c>
      <c r="S273" s="62">
        <v>7596.4435389104183</v>
      </c>
      <c r="T273" s="62">
        <v>6854.5886325721331</v>
      </c>
      <c r="U273" s="62">
        <v>6576.1090549798573</v>
      </c>
      <c r="V273" s="62">
        <v>6644.6098959243645</v>
      </c>
      <c r="W273" s="62">
        <v>7317.5414565779429</v>
      </c>
      <c r="X273" s="62">
        <v>8329.8397278992052</v>
      </c>
      <c r="Y273" s="62">
        <v>7774.7174530992415</v>
      </c>
      <c r="Z273" s="62">
        <v>6387.1362304346512</v>
      </c>
      <c r="AA273" s="62">
        <v>4488.7420483891401</v>
      </c>
      <c r="AB273" s="62">
        <v>2905.5080315674986</v>
      </c>
      <c r="AC273" s="57">
        <v>115899.80223633887</v>
      </c>
      <c r="AD273" s="106"/>
    </row>
    <row r="274" spans="1:30" ht="15.75" thickBot="1" x14ac:dyDescent="0.3">
      <c r="A274" s="58">
        <v>2033</v>
      </c>
      <c r="B274" s="59">
        <v>7</v>
      </c>
      <c r="C274" s="59">
        <v>5</v>
      </c>
      <c r="D274" s="60" t="s">
        <v>136</v>
      </c>
      <c r="E274" s="62">
        <v>1484.6964161345895</v>
      </c>
      <c r="F274" s="62">
        <v>826.07841863457361</v>
      </c>
      <c r="G274" s="62">
        <v>398.94950689243342</v>
      </c>
      <c r="H274" s="62">
        <v>75.873169165633954</v>
      </c>
      <c r="I274" s="62">
        <v>83.581345151771529</v>
      </c>
      <c r="J274" s="62">
        <v>263.62342737056679</v>
      </c>
      <c r="K274" s="62">
        <v>595.3305036446036</v>
      </c>
      <c r="L274" s="62">
        <v>2113.9289431368234</v>
      </c>
      <c r="M274" s="62">
        <v>4144.8714281855864</v>
      </c>
      <c r="N274" s="62">
        <v>5484.1494517330211</v>
      </c>
      <c r="O274" s="62">
        <v>6528.5136762844013</v>
      </c>
      <c r="P274" s="62">
        <v>7466.3072966589789</v>
      </c>
      <c r="Q274" s="62">
        <v>8013.611197067632</v>
      </c>
      <c r="R274" s="62">
        <v>7809.0519660265272</v>
      </c>
      <c r="S274" s="62">
        <v>7434.7646291367419</v>
      </c>
      <c r="T274" s="62">
        <v>7148.8911630596522</v>
      </c>
      <c r="U274" s="62">
        <v>6847.4453090591414</v>
      </c>
      <c r="V274" s="62">
        <v>6542.1863265027314</v>
      </c>
      <c r="W274" s="62">
        <v>7160.2720352456636</v>
      </c>
      <c r="X274" s="62">
        <v>8052.6513920419711</v>
      </c>
      <c r="Y274" s="62">
        <v>7549.8391926504846</v>
      </c>
      <c r="Z274" s="62">
        <v>6623.4596021015423</v>
      </c>
      <c r="AA274" s="62">
        <v>5218.3636639153628</v>
      </c>
      <c r="AB274" s="62">
        <v>3754.3641541751676</v>
      </c>
      <c r="AC274" s="61">
        <v>111620.8042139756</v>
      </c>
      <c r="AD274" s="107"/>
    </row>
    <row r="275" spans="1:30" ht="15.75" thickBot="1" x14ac:dyDescent="0.3">
      <c r="A275" s="49">
        <v>2033</v>
      </c>
      <c r="B275" s="50">
        <v>8</v>
      </c>
      <c r="C275" s="50">
        <v>5</v>
      </c>
      <c r="D275" s="51" t="s">
        <v>134</v>
      </c>
      <c r="E275" s="62">
        <v>2250.0985597569234</v>
      </c>
      <c r="F275" s="62">
        <v>1651.7362910520205</v>
      </c>
      <c r="G275" s="62">
        <v>1179.6563440846548</v>
      </c>
      <c r="H275" s="62">
        <v>894.35084109969102</v>
      </c>
      <c r="I275" s="62">
        <v>870.00484339057948</v>
      </c>
      <c r="J275" s="62">
        <v>966.2966735883947</v>
      </c>
      <c r="K275" s="62">
        <v>1223.3447662663857</v>
      </c>
      <c r="L275" s="62">
        <v>2465.0755065187695</v>
      </c>
      <c r="M275" s="62">
        <v>4092.2580883868977</v>
      </c>
      <c r="N275" s="62">
        <v>5107.2936171827387</v>
      </c>
      <c r="O275" s="62">
        <v>5799.6006688629932</v>
      </c>
      <c r="P275" s="62">
        <v>6532.6690723480096</v>
      </c>
      <c r="Q275" s="62">
        <v>6934.1569069600882</v>
      </c>
      <c r="R275" s="62">
        <v>6491.6531492792237</v>
      </c>
      <c r="S275" s="62">
        <v>5424.1569720388834</v>
      </c>
      <c r="T275" s="62">
        <v>5066.4913343119952</v>
      </c>
      <c r="U275" s="62">
        <v>5076.1430793340005</v>
      </c>
      <c r="V275" s="62">
        <v>5079.2977663705642</v>
      </c>
      <c r="W275" s="62">
        <v>6158.2626286349769</v>
      </c>
      <c r="X275" s="62">
        <v>7195.724388313567</v>
      </c>
      <c r="Y275" s="62">
        <v>6667.9702050628803</v>
      </c>
      <c r="Z275" s="62">
        <v>5444.6045352929905</v>
      </c>
      <c r="AA275" s="62">
        <v>3931.0425993127828</v>
      </c>
      <c r="AB275" s="62">
        <v>2720.0241350075448</v>
      </c>
      <c r="AC275" s="53">
        <v>99221.912972457561</v>
      </c>
      <c r="AD275" s="105">
        <f>+SUMPRODUCT(AC275:AC277,C275:C277)</f>
        <v>3602040.7939044577</v>
      </c>
    </row>
    <row r="276" spans="1:30" ht="15.75" thickBot="1" x14ac:dyDescent="0.3">
      <c r="A276" s="54">
        <v>2033</v>
      </c>
      <c r="B276" s="55">
        <v>8</v>
      </c>
      <c r="C276" s="55">
        <v>22</v>
      </c>
      <c r="D276" s="56" t="s">
        <v>135</v>
      </c>
      <c r="E276" s="62">
        <v>1822.8020720662898</v>
      </c>
      <c r="F276" s="62">
        <v>1339.0202910791068</v>
      </c>
      <c r="G276" s="62">
        <v>965.60526306244537</v>
      </c>
      <c r="H276" s="62">
        <v>693.50131818467707</v>
      </c>
      <c r="I276" s="62">
        <v>696.53371999444244</v>
      </c>
      <c r="J276" s="62">
        <v>1455.1850496695042</v>
      </c>
      <c r="K276" s="62">
        <v>2349.2124129877138</v>
      </c>
      <c r="L276" s="62">
        <v>3418.9605183703279</v>
      </c>
      <c r="M276" s="62">
        <v>4991.6980416383412</v>
      </c>
      <c r="N276" s="62">
        <v>5799.7127616617727</v>
      </c>
      <c r="O276" s="62">
        <v>6709.1092056580965</v>
      </c>
      <c r="P276" s="62">
        <v>7784.1062585044674</v>
      </c>
      <c r="Q276" s="62">
        <v>7751.4453324734204</v>
      </c>
      <c r="R276" s="62">
        <v>7868.6005786375536</v>
      </c>
      <c r="S276" s="62">
        <v>8113.3095230025465</v>
      </c>
      <c r="T276" s="62">
        <v>8034.2800141693042</v>
      </c>
      <c r="U276" s="62">
        <v>7814.8338085766154</v>
      </c>
      <c r="V276" s="62">
        <v>7129.990023250557</v>
      </c>
      <c r="W276" s="62">
        <v>7583.6181730444041</v>
      </c>
      <c r="X276" s="62">
        <v>8375.4834282407137</v>
      </c>
      <c r="Y276" s="62">
        <v>7689.8962466701487</v>
      </c>
      <c r="Z276" s="62">
        <v>6284.0254100323764</v>
      </c>
      <c r="AA276" s="62">
        <v>4300.2088638639361</v>
      </c>
      <c r="AB276" s="62">
        <v>2769.0305862747118</v>
      </c>
      <c r="AC276" s="57">
        <v>121740.16890111347</v>
      </c>
      <c r="AD276" s="106"/>
    </row>
    <row r="277" spans="1:30" ht="15.75" thickBot="1" x14ac:dyDescent="0.3">
      <c r="A277" s="58">
        <v>2033</v>
      </c>
      <c r="B277" s="59">
        <v>8</v>
      </c>
      <c r="C277" s="59">
        <v>4</v>
      </c>
      <c r="D277" s="60" t="s">
        <v>136</v>
      </c>
      <c r="E277" s="62">
        <v>1219.504713390972</v>
      </c>
      <c r="F277" s="62">
        <v>1074.1855398817552</v>
      </c>
      <c r="G277" s="62">
        <v>742.29834948366624</v>
      </c>
      <c r="H277" s="62">
        <v>404.90547193599741</v>
      </c>
      <c r="I277" s="62">
        <v>336.66591852089368</v>
      </c>
      <c r="J277" s="62">
        <v>501.98656808431406</v>
      </c>
      <c r="K277" s="62">
        <v>1000.5303203626827</v>
      </c>
      <c r="L277" s="62">
        <v>2542.2871606883691</v>
      </c>
      <c r="M277" s="62">
        <v>4334.9806663567324</v>
      </c>
      <c r="N277" s="62">
        <v>5440.4559103905594</v>
      </c>
      <c r="O277" s="62">
        <v>6378.0214995891911</v>
      </c>
      <c r="P277" s="62">
        <v>7506.2756690044735</v>
      </c>
      <c r="Q277" s="62">
        <v>7772.2350464387564</v>
      </c>
      <c r="R277" s="62">
        <v>7458.2728466427689</v>
      </c>
      <c r="S277" s="62">
        <v>6991.5281285160891</v>
      </c>
      <c r="T277" s="62">
        <v>6648.0522288463217</v>
      </c>
      <c r="U277" s="62">
        <v>6267.302815171086</v>
      </c>
      <c r="V277" s="62">
        <v>6168.3252756619004</v>
      </c>
      <c r="W277" s="62">
        <v>7220.074759394367</v>
      </c>
      <c r="X277" s="62">
        <v>7477.8194163464759</v>
      </c>
      <c r="Y277" s="62">
        <v>6741.0235641923318</v>
      </c>
      <c r="Z277" s="62">
        <v>5511.8197942286715</v>
      </c>
      <c r="AA277" s="62">
        <v>4188.3483858622021</v>
      </c>
      <c r="AB277" s="62">
        <v>2984.9782554277372</v>
      </c>
      <c r="AC277" s="61">
        <v>106911.87830441834</v>
      </c>
      <c r="AD277" s="107"/>
    </row>
    <row r="278" spans="1:30" ht="15.75" thickBot="1" x14ac:dyDescent="0.3">
      <c r="A278" s="49">
        <v>2033</v>
      </c>
      <c r="B278" s="50">
        <v>9</v>
      </c>
      <c r="C278" s="50">
        <v>4</v>
      </c>
      <c r="D278" s="51" t="s">
        <v>134</v>
      </c>
      <c r="E278" s="62">
        <v>1462.1835016249388</v>
      </c>
      <c r="F278" s="62">
        <v>859.01846415679029</v>
      </c>
      <c r="G278" s="62">
        <v>401.57696814996416</v>
      </c>
      <c r="H278" s="62">
        <v>112.04013839376603</v>
      </c>
      <c r="I278" s="62">
        <v>0</v>
      </c>
      <c r="J278" s="62">
        <v>53.780305887319628</v>
      </c>
      <c r="K278" s="62">
        <v>251.65734123954098</v>
      </c>
      <c r="L278" s="62">
        <v>1577.4886015574193</v>
      </c>
      <c r="M278" s="62">
        <v>3383.2302340558672</v>
      </c>
      <c r="N278" s="62">
        <v>3871.9129787630482</v>
      </c>
      <c r="O278" s="62">
        <v>4450.0910265367784</v>
      </c>
      <c r="P278" s="62">
        <v>5144.0953624934773</v>
      </c>
      <c r="Q278" s="62">
        <v>5841.1494008738046</v>
      </c>
      <c r="R278" s="62">
        <v>5627.4425724943831</v>
      </c>
      <c r="S278" s="62">
        <v>5490.3088143277928</v>
      </c>
      <c r="T278" s="62">
        <v>4881.5493814701913</v>
      </c>
      <c r="U278" s="62">
        <v>4549.210400002692</v>
      </c>
      <c r="V278" s="62">
        <v>4539.8925710365438</v>
      </c>
      <c r="W278" s="62">
        <v>6033.0610842325768</v>
      </c>
      <c r="X278" s="62">
        <v>6573.6303727511331</v>
      </c>
      <c r="Y278" s="62">
        <v>5109.2970906556111</v>
      </c>
      <c r="Z278" s="62">
        <v>4020.474742714865</v>
      </c>
      <c r="AA278" s="62">
        <v>2829.0233789207159</v>
      </c>
      <c r="AB278" s="62">
        <v>1812.0568274932102</v>
      </c>
      <c r="AC278" s="53">
        <v>78874.171559832437</v>
      </c>
      <c r="AD278" s="105">
        <f>+SUMPRODUCT(AC278:AC280,C278:C280)</f>
        <v>3410759.5705288406</v>
      </c>
    </row>
    <row r="279" spans="1:30" ht="15.75" thickBot="1" x14ac:dyDescent="0.3">
      <c r="A279" s="54">
        <v>2033</v>
      </c>
      <c r="B279" s="55">
        <v>9</v>
      </c>
      <c r="C279" s="55">
        <v>22</v>
      </c>
      <c r="D279" s="56" t="s">
        <v>135</v>
      </c>
      <c r="E279" s="62">
        <v>1898.96489157416</v>
      </c>
      <c r="F279" s="62">
        <v>1345.1918187954361</v>
      </c>
      <c r="G279" s="62">
        <v>961.40413887653631</v>
      </c>
      <c r="H279" s="62">
        <v>661.11017972535956</v>
      </c>
      <c r="I279" s="62">
        <v>599.69099677529994</v>
      </c>
      <c r="J279" s="62">
        <v>1339.6376231814447</v>
      </c>
      <c r="K279" s="62">
        <v>2256.0896042899294</v>
      </c>
      <c r="L279" s="62">
        <v>3428.2320069996713</v>
      </c>
      <c r="M279" s="62">
        <v>4924.4520605779362</v>
      </c>
      <c r="N279" s="62">
        <v>5590.1048392270241</v>
      </c>
      <c r="O279" s="62">
        <v>6395.2089374988172</v>
      </c>
      <c r="P279" s="62">
        <v>7610.94086481052</v>
      </c>
      <c r="Q279" s="62">
        <v>7717.517313463919</v>
      </c>
      <c r="R279" s="62">
        <v>7790.9185969115861</v>
      </c>
      <c r="S279" s="62">
        <v>7952.4477817119041</v>
      </c>
      <c r="T279" s="62">
        <v>7878.7470358678002</v>
      </c>
      <c r="U279" s="62">
        <v>7683.138753072486</v>
      </c>
      <c r="V279" s="62">
        <v>7197.7457002811134</v>
      </c>
      <c r="W279" s="62">
        <v>8028.516776007873</v>
      </c>
      <c r="X279" s="62">
        <v>8594.3712155230096</v>
      </c>
      <c r="Y279" s="62">
        <v>8012.5107881980912</v>
      </c>
      <c r="Z279" s="62">
        <v>6673.5722671506264</v>
      </c>
      <c r="AA279" s="62">
        <v>4867.0742335798386</v>
      </c>
      <c r="AB279" s="62">
        <v>3272.13806469476</v>
      </c>
      <c r="AC279" s="57">
        <v>122679.72648879515</v>
      </c>
      <c r="AD279" s="106"/>
    </row>
    <row r="280" spans="1:30" ht="15.75" thickBot="1" x14ac:dyDescent="0.3">
      <c r="A280" s="58">
        <v>2033</v>
      </c>
      <c r="B280" s="59">
        <v>9</v>
      </c>
      <c r="C280" s="59">
        <v>4</v>
      </c>
      <c r="D280" s="60" t="s">
        <v>136</v>
      </c>
      <c r="E280" s="62">
        <v>2302.3697590909233</v>
      </c>
      <c r="F280" s="62">
        <v>1592.7415840808771</v>
      </c>
      <c r="G280" s="62">
        <v>1206.6575155359606</v>
      </c>
      <c r="H280" s="62">
        <v>829.46876818821329</v>
      </c>
      <c r="I280" s="62">
        <v>722.84056727598727</v>
      </c>
      <c r="J280" s="62">
        <v>830.55962298670784</v>
      </c>
      <c r="K280" s="62">
        <v>1324.2470937885755</v>
      </c>
      <c r="L280" s="62">
        <v>2778.8377156652132</v>
      </c>
      <c r="M280" s="62">
        <v>4559.8994758615845</v>
      </c>
      <c r="N280" s="62">
        <v>5520.2586273575216</v>
      </c>
      <c r="O280" s="62">
        <v>5831.3078773545312</v>
      </c>
      <c r="P280" s="62">
        <v>6659.5950681094328</v>
      </c>
      <c r="Q280" s="62">
        <v>5290.6865216293809</v>
      </c>
      <c r="R280" s="62">
        <v>6323.2705410928065</v>
      </c>
      <c r="S280" s="62">
        <v>5786.6913449678432</v>
      </c>
      <c r="T280" s="62">
        <v>5503.179039530798</v>
      </c>
      <c r="U280" s="62">
        <v>5168.613587267766</v>
      </c>
      <c r="V280" s="62">
        <v>5301.6750275576997</v>
      </c>
      <c r="W280" s="62">
        <v>6611.3161763534517</v>
      </c>
      <c r="X280" s="62">
        <v>6928.770628740589</v>
      </c>
      <c r="Y280" s="62">
        <v>6350.8488924448502</v>
      </c>
      <c r="Z280" s="62">
        <v>5324.7900122865758</v>
      </c>
      <c r="AA280" s="62">
        <v>3775.9075578995653</v>
      </c>
      <c r="AB280" s="62">
        <v>2552.6923789375869</v>
      </c>
      <c r="AC280" s="61">
        <v>99077.225384004443</v>
      </c>
      <c r="AD280" s="107"/>
    </row>
    <row r="281" spans="1:30" ht="15.75" thickBot="1" x14ac:dyDescent="0.3">
      <c r="A281" s="49">
        <v>2033</v>
      </c>
      <c r="B281" s="50">
        <v>10</v>
      </c>
      <c r="C281" s="50">
        <v>6</v>
      </c>
      <c r="D281" s="51" t="s">
        <v>134</v>
      </c>
      <c r="E281" s="62">
        <v>2103.3871266477163</v>
      </c>
      <c r="F281" s="62">
        <v>1685.338716393635</v>
      </c>
      <c r="G281" s="62">
        <v>1281.6317613602714</v>
      </c>
      <c r="H281" s="62">
        <v>990.69854552829747</v>
      </c>
      <c r="I281" s="62">
        <v>867.68384124882868</v>
      </c>
      <c r="J281" s="62">
        <v>910.90375574914287</v>
      </c>
      <c r="K281" s="62">
        <v>1175.08661478063</v>
      </c>
      <c r="L281" s="62">
        <v>2363.8992201437977</v>
      </c>
      <c r="M281" s="62">
        <v>3217.7801210969665</v>
      </c>
      <c r="N281" s="62">
        <v>4079.9971965938857</v>
      </c>
      <c r="O281" s="62">
        <v>5754.0509657556104</v>
      </c>
      <c r="P281" s="62">
        <v>6557.9787953006999</v>
      </c>
      <c r="Q281" s="62">
        <v>6947.8669657732571</v>
      </c>
      <c r="R281" s="62">
        <v>6599.9529912766557</v>
      </c>
      <c r="S281" s="62">
        <v>5701.3445184230768</v>
      </c>
      <c r="T281" s="62">
        <v>5146.9756332558973</v>
      </c>
      <c r="U281" s="62">
        <v>4867.3371734630091</v>
      </c>
      <c r="V281" s="62">
        <v>4669.6638541341345</v>
      </c>
      <c r="W281" s="62">
        <v>5854.4037324613055</v>
      </c>
      <c r="X281" s="62">
        <v>6237.2074823724251</v>
      </c>
      <c r="Y281" s="62">
        <v>5917.3511448719182</v>
      </c>
      <c r="Z281" s="62">
        <v>5042.6611919407951</v>
      </c>
      <c r="AA281" s="62">
        <v>3723.0879755435599</v>
      </c>
      <c r="AB281" s="62">
        <v>2584.8018100953141</v>
      </c>
      <c r="AC281" s="53">
        <v>94281.091134210859</v>
      </c>
      <c r="AD281" s="105">
        <f>+SUMPRODUCT(AC281:AC283,C281:C283)</f>
        <v>3501018.2236018288</v>
      </c>
    </row>
    <row r="282" spans="1:30" ht="15.75" thickBot="1" x14ac:dyDescent="0.3">
      <c r="A282" s="54">
        <v>2033</v>
      </c>
      <c r="B282" s="55">
        <v>10</v>
      </c>
      <c r="C282" s="55">
        <v>20</v>
      </c>
      <c r="D282" s="56" t="s">
        <v>135</v>
      </c>
      <c r="E282" s="62">
        <v>1905.4385896768435</v>
      </c>
      <c r="F282" s="62">
        <v>1481.0893783960328</v>
      </c>
      <c r="G282" s="62">
        <v>1067.1636694622357</v>
      </c>
      <c r="H282" s="62">
        <v>776.34970924046138</v>
      </c>
      <c r="I282" s="62">
        <v>770.91471092412939</v>
      </c>
      <c r="J282" s="62">
        <v>1386.8856663462502</v>
      </c>
      <c r="K282" s="62">
        <v>2239.2410636038549</v>
      </c>
      <c r="L282" s="62">
        <v>3589.0149556580982</v>
      </c>
      <c r="M282" s="62">
        <v>5103.5740363582554</v>
      </c>
      <c r="N282" s="62">
        <v>5676.5139678698069</v>
      </c>
      <c r="O282" s="62">
        <v>6369.6527391203963</v>
      </c>
      <c r="P282" s="62">
        <v>7203.5321041038369</v>
      </c>
      <c r="Q282" s="62">
        <v>7241.3107864512931</v>
      </c>
      <c r="R282" s="62">
        <v>7283.6056981611728</v>
      </c>
      <c r="S282" s="62">
        <v>6903.5710447325182</v>
      </c>
      <c r="T282" s="62">
        <v>7193.4656874815955</v>
      </c>
      <c r="U282" s="62">
        <v>7140.5341738792558</v>
      </c>
      <c r="V282" s="62">
        <v>7067.3000604705048</v>
      </c>
      <c r="W282" s="62">
        <v>8225.5901608562162</v>
      </c>
      <c r="X282" s="62">
        <v>8501.6777631733603</v>
      </c>
      <c r="Y282" s="62">
        <v>7778.7014901904331</v>
      </c>
      <c r="Z282" s="62">
        <v>6514.9024314715534</v>
      </c>
      <c r="AA282" s="62">
        <v>4808.8771117037832</v>
      </c>
      <c r="AB282" s="62">
        <v>3276.6946711705823</v>
      </c>
      <c r="AC282" s="57">
        <v>119505.60167050244</v>
      </c>
      <c r="AD282" s="106"/>
    </row>
    <row r="283" spans="1:30" ht="15.75" thickBot="1" x14ac:dyDescent="0.3">
      <c r="A283" s="58">
        <v>2033</v>
      </c>
      <c r="B283" s="59">
        <v>10</v>
      </c>
      <c r="C283" s="59">
        <v>5</v>
      </c>
      <c r="D283" s="60" t="s">
        <v>136</v>
      </c>
      <c r="E283" s="62">
        <v>1990.8770184248806</v>
      </c>
      <c r="F283" s="62">
        <v>1344.0448178998467</v>
      </c>
      <c r="G283" s="62">
        <v>259.76490064764948</v>
      </c>
      <c r="H283" s="62">
        <v>0</v>
      </c>
      <c r="I283" s="62">
        <v>0</v>
      </c>
      <c r="J283" s="62">
        <v>0</v>
      </c>
      <c r="K283" s="62">
        <v>567.40366028846256</v>
      </c>
      <c r="L283" s="62">
        <v>2003.6992759703953</v>
      </c>
      <c r="M283" s="62">
        <v>3818.3871666213199</v>
      </c>
      <c r="N283" s="62">
        <v>5913.0132677342153</v>
      </c>
      <c r="O283" s="62">
        <v>6608.1749424845766</v>
      </c>
      <c r="P283" s="62">
        <v>7644.1238945512705</v>
      </c>
      <c r="Q283" s="62">
        <v>7836.3668091630061</v>
      </c>
      <c r="R283" s="62">
        <v>7507.0450156286533</v>
      </c>
      <c r="S283" s="62">
        <v>7144.09014236039</v>
      </c>
      <c r="T283" s="62">
        <v>6837.9945265055721</v>
      </c>
      <c r="U283" s="62">
        <v>6514.6067544864636</v>
      </c>
      <c r="V283" s="62">
        <v>6438.9196519236248</v>
      </c>
      <c r="W283" s="62">
        <v>7800.7865354343921</v>
      </c>
      <c r="X283" s="62">
        <v>7481.64054512656</v>
      </c>
      <c r="Y283" s="62">
        <v>7262.8674850770512</v>
      </c>
      <c r="Z283" s="62">
        <v>6256.1517892539487</v>
      </c>
      <c r="AA283" s="62">
        <v>4829.0449611595759</v>
      </c>
      <c r="AB283" s="62">
        <v>2984.9255165611539</v>
      </c>
      <c r="AC283" s="61">
        <v>109043.92867730303</v>
      </c>
      <c r="AD283" s="107"/>
    </row>
    <row r="284" spans="1:30" ht="15.75" thickBot="1" x14ac:dyDescent="0.3">
      <c r="A284" s="49">
        <v>2033</v>
      </c>
      <c r="B284" s="50">
        <v>11</v>
      </c>
      <c r="C284" s="50">
        <v>6</v>
      </c>
      <c r="D284" s="51" t="s">
        <v>134</v>
      </c>
      <c r="E284" s="62">
        <v>2046.4471287717606</v>
      </c>
      <c r="F284" s="62">
        <v>1354.4066937364696</v>
      </c>
      <c r="G284" s="62">
        <v>788.38280790373392</v>
      </c>
      <c r="H284" s="62">
        <v>613.69571521820399</v>
      </c>
      <c r="I284" s="62">
        <v>418.25638988511673</v>
      </c>
      <c r="J284" s="62">
        <v>562.63816832187149</v>
      </c>
      <c r="K284" s="62">
        <v>711.32263444002456</v>
      </c>
      <c r="L284" s="62">
        <v>1960.6001474140576</v>
      </c>
      <c r="M284" s="62">
        <v>3549.810259009515</v>
      </c>
      <c r="N284" s="62">
        <v>4458.7649413815961</v>
      </c>
      <c r="O284" s="62">
        <v>5099.7924274611833</v>
      </c>
      <c r="P284" s="62">
        <v>5975.6331389142579</v>
      </c>
      <c r="Q284" s="62">
        <v>6483.0391133240446</v>
      </c>
      <c r="R284" s="62">
        <v>6247.7576095739241</v>
      </c>
      <c r="S284" s="62">
        <v>5339.3005996757092</v>
      </c>
      <c r="T284" s="62">
        <v>4850.5355508604043</v>
      </c>
      <c r="U284" s="62">
        <v>4592.2871212745413</v>
      </c>
      <c r="V284" s="62">
        <v>4872.6084907043951</v>
      </c>
      <c r="W284" s="62">
        <v>6788.8968581237605</v>
      </c>
      <c r="X284" s="62">
        <v>6877.8808991690785</v>
      </c>
      <c r="Y284" s="62">
        <v>6460.9347522037024</v>
      </c>
      <c r="Z284" s="62">
        <v>5365.2322749738996</v>
      </c>
      <c r="AA284" s="62">
        <v>3946.754229601589</v>
      </c>
      <c r="AB284" s="62">
        <v>2582.9167702195482</v>
      </c>
      <c r="AC284" s="53">
        <v>91947.894722162397</v>
      </c>
      <c r="AD284" s="105">
        <f>+SUMPRODUCT(AC284:AC286,C284:C286)</f>
        <v>3204107.2197170048</v>
      </c>
    </row>
    <row r="285" spans="1:30" ht="15.75" thickBot="1" x14ac:dyDescent="0.3">
      <c r="A285" s="54">
        <v>2033</v>
      </c>
      <c r="B285" s="55">
        <v>11</v>
      </c>
      <c r="C285" s="55">
        <v>20</v>
      </c>
      <c r="D285" s="56" t="s">
        <v>135</v>
      </c>
      <c r="E285" s="62">
        <v>1849.02311212729</v>
      </c>
      <c r="F285" s="62">
        <v>1227.006876906622</v>
      </c>
      <c r="G285" s="62">
        <v>847.87616122426152</v>
      </c>
      <c r="H285" s="62">
        <v>522.21694991964614</v>
      </c>
      <c r="I285" s="62">
        <v>477.14987399065649</v>
      </c>
      <c r="J285" s="62">
        <v>1081.6636633038288</v>
      </c>
      <c r="K285" s="62">
        <v>2009.4893716765582</v>
      </c>
      <c r="L285" s="62">
        <v>3320.1656149029968</v>
      </c>
      <c r="M285" s="62">
        <v>4709.2757089082515</v>
      </c>
      <c r="N285" s="62">
        <v>5683.3963795517047</v>
      </c>
      <c r="O285" s="62">
        <v>6316.0748702770434</v>
      </c>
      <c r="P285" s="62">
        <v>7169.6335612626826</v>
      </c>
      <c r="Q285" s="62">
        <v>7136.444158164184</v>
      </c>
      <c r="R285" s="62">
        <v>7152.5070561848697</v>
      </c>
      <c r="S285" s="62">
        <v>7004.3723416452267</v>
      </c>
      <c r="T285" s="62">
        <v>6989.5429410234428</v>
      </c>
      <c r="U285" s="62">
        <v>6750.1824122828875</v>
      </c>
      <c r="V285" s="62">
        <v>6561.4136686956444</v>
      </c>
      <c r="W285" s="62">
        <v>7830.8561232092397</v>
      </c>
      <c r="X285" s="62">
        <v>7744.263483595103</v>
      </c>
      <c r="Y285" s="62">
        <v>7064.3735579296554</v>
      </c>
      <c r="Z285" s="62">
        <v>5782.6765545796989</v>
      </c>
      <c r="AA285" s="62">
        <v>4191.8056258597644</v>
      </c>
      <c r="AB285" s="62">
        <v>2735.7235122255879</v>
      </c>
      <c r="AC285" s="57">
        <v>112157.13357944685</v>
      </c>
      <c r="AD285" s="106"/>
    </row>
    <row r="286" spans="1:30" ht="15.75" thickBot="1" x14ac:dyDescent="0.3">
      <c r="A286" s="58">
        <v>2033</v>
      </c>
      <c r="B286" s="59">
        <v>11</v>
      </c>
      <c r="C286" s="59">
        <v>4</v>
      </c>
      <c r="D286" s="60" t="s">
        <v>136</v>
      </c>
      <c r="E286" s="62">
        <v>1589.832427435409</v>
      </c>
      <c r="F286" s="62">
        <v>1023.1124233030405</v>
      </c>
      <c r="G286" s="62">
        <v>548.84688519359406</v>
      </c>
      <c r="H286" s="62">
        <v>0</v>
      </c>
      <c r="I286" s="62">
        <v>0</v>
      </c>
      <c r="J286" s="62">
        <v>443.71947742897464</v>
      </c>
      <c r="K286" s="62">
        <v>900.1755168612508</v>
      </c>
      <c r="L286" s="62">
        <v>2310.415444085218</v>
      </c>
      <c r="M286" s="62">
        <v>4256.6556806607769</v>
      </c>
      <c r="N286" s="62">
        <v>5281.1579761085268</v>
      </c>
      <c r="O286" s="62">
        <v>6033.4452931410633</v>
      </c>
      <c r="P286" s="62">
        <v>6762.0925855523674</v>
      </c>
      <c r="Q286" s="62">
        <v>7082.1677001249263</v>
      </c>
      <c r="R286" s="62">
        <v>6800.0604010896604</v>
      </c>
      <c r="S286" s="62">
        <v>6392.0872905147517</v>
      </c>
      <c r="T286" s="62">
        <v>6027.1627976375494</v>
      </c>
      <c r="U286" s="62">
        <v>5580.9822446198159</v>
      </c>
      <c r="V286" s="62">
        <v>5875.2939080320102</v>
      </c>
      <c r="W286" s="62">
        <v>7512.8507982223564</v>
      </c>
      <c r="X286" s="62">
        <v>7475.4856087643384</v>
      </c>
      <c r="Y286" s="62">
        <v>6892.2194854319969</v>
      </c>
      <c r="Z286" s="62">
        <v>5798.2680931644245</v>
      </c>
      <c r="AA286" s="62">
        <v>4572.676118188203</v>
      </c>
      <c r="AB286" s="62">
        <v>3160.5867932131077</v>
      </c>
      <c r="AC286" s="61">
        <v>102319.29494877337</v>
      </c>
      <c r="AD286" s="107"/>
    </row>
    <row r="287" spans="1:30" ht="15.75" thickBot="1" x14ac:dyDescent="0.3">
      <c r="A287" s="49">
        <v>2033</v>
      </c>
      <c r="B287" s="50">
        <v>12</v>
      </c>
      <c r="C287" s="50">
        <v>5</v>
      </c>
      <c r="D287" s="51" t="s">
        <v>134</v>
      </c>
      <c r="E287" s="62">
        <v>7590.8358509306272</v>
      </c>
      <c r="F287" s="62">
        <v>6528.1813014963845</v>
      </c>
      <c r="G287" s="62">
        <v>5860.4448705995128</v>
      </c>
      <c r="H287" s="62">
        <v>5371.1941956130722</v>
      </c>
      <c r="I287" s="62">
        <v>5091.6915394138086</v>
      </c>
      <c r="J287" s="62">
        <v>5104.3019246910335</v>
      </c>
      <c r="K287" s="62">
        <v>5342.3012997578444</v>
      </c>
      <c r="L287" s="62">
        <v>6617.793491088687</v>
      </c>
      <c r="M287" s="62">
        <v>8276.6783916081076</v>
      </c>
      <c r="N287" s="62">
        <v>9442.3872870589585</v>
      </c>
      <c r="O287" s="62">
        <v>10260.553596925645</v>
      </c>
      <c r="P287" s="62">
        <v>11085.826695914955</v>
      </c>
      <c r="Q287" s="62">
        <v>11752.177716194616</v>
      </c>
      <c r="R287" s="62">
        <v>11767.63370339301</v>
      </c>
      <c r="S287" s="62">
        <v>11064.415804557855</v>
      </c>
      <c r="T287" s="62">
        <v>10449.280371091816</v>
      </c>
      <c r="U287" s="62">
        <v>10081.312162496703</v>
      </c>
      <c r="V287" s="62">
        <v>10222.849699455564</v>
      </c>
      <c r="W287" s="62">
        <v>12211.832294482239</v>
      </c>
      <c r="X287" s="62">
        <v>12630.36143089665</v>
      </c>
      <c r="Y287" s="62">
        <v>12146.197154549391</v>
      </c>
      <c r="Z287" s="62">
        <v>11114.664490211537</v>
      </c>
      <c r="AA287" s="62">
        <v>9583.4157905713364</v>
      </c>
      <c r="AB287" s="62">
        <v>7908.0515881930696</v>
      </c>
      <c r="AC287" s="53">
        <v>217504.38265119243</v>
      </c>
      <c r="AD287" s="105">
        <f>+SUMPRODUCT(AC287:AC289,C287:C289)</f>
        <v>7488556.2120373044</v>
      </c>
    </row>
    <row r="288" spans="1:30" ht="15.75" thickBot="1" x14ac:dyDescent="0.3">
      <c r="A288" s="54">
        <v>2033</v>
      </c>
      <c r="B288" s="55">
        <v>12</v>
      </c>
      <c r="C288" s="55">
        <v>21</v>
      </c>
      <c r="D288" s="56" t="s">
        <v>135</v>
      </c>
      <c r="E288" s="62">
        <v>7110.5140318871199</v>
      </c>
      <c r="F288" s="62">
        <v>6297.1897003571466</v>
      </c>
      <c r="G288" s="62">
        <v>5686.0778809009025</v>
      </c>
      <c r="H288" s="62">
        <v>5278.0864709431917</v>
      </c>
      <c r="I288" s="62">
        <v>5204.930757990991</v>
      </c>
      <c r="J288" s="62">
        <v>5685.7777904879149</v>
      </c>
      <c r="K288" s="62">
        <v>6523.7743584625714</v>
      </c>
      <c r="L288" s="62">
        <v>8490.348816270056</v>
      </c>
      <c r="M288" s="62">
        <v>10121.729527646628</v>
      </c>
      <c r="N288" s="62">
        <v>10837.49358890286</v>
      </c>
      <c r="O288" s="62">
        <v>12768.276297471133</v>
      </c>
      <c r="P288" s="62">
        <v>12525.113607790972</v>
      </c>
      <c r="Q288" s="62">
        <v>13109.401462466456</v>
      </c>
      <c r="R288" s="62">
        <v>12730.956184326758</v>
      </c>
      <c r="S288" s="62">
        <v>12648.231133376667</v>
      </c>
      <c r="T288" s="62">
        <v>13160.096151559635</v>
      </c>
      <c r="U288" s="62">
        <v>12865.927471880121</v>
      </c>
      <c r="V288" s="62">
        <v>13052.881511315831</v>
      </c>
      <c r="W288" s="62">
        <v>14654.050706159429</v>
      </c>
      <c r="X288" s="62">
        <v>14744.731394182694</v>
      </c>
      <c r="Y288" s="62">
        <v>13897.989878899931</v>
      </c>
      <c r="Z288" s="62">
        <v>12384.7811115888</v>
      </c>
      <c r="AA288" s="62">
        <v>10432.299845222271</v>
      </c>
      <c r="AB288" s="62">
        <v>8551.9352239865984</v>
      </c>
      <c r="AC288" s="57">
        <v>248762.59490407669</v>
      </c>
      <c r="AD288" s="106"/>
    </row>
    <row r="289" spans="1:30" ht="15.75" thickBot="1" x14ac:dyDescent="0.3">
      <c r="A289" s="58">
        <v>2033</v>
      </c>
      <c r="B289" s="59">
        <v>12</v>
      </c>
      <c r="C289" s="59">
        <v>5</v>
      </c>
      <c r="D289" s="60" t="s">
        <v>136</v>
      </c>
      <c r="E289" s="62">
        <v>6973.3570883551765</v>
      </c>
      <c r="F289" s="62">
        <v>6007.5273569509081</v>
      </c>
      <c r="G289" s="62">
        <v>5440.2604275731828</v>
      </c>
      <c r="H289" s="62">
        <v>4936.5380805577079</v>
      </c>
      <c r="I289" s="62">
        <v>4726.0552621979405</v>
      </c>
      <c r="J289" s="62">
        <v>4880.3472985674853</v>
      </c>
      <c r="K289" s="62">
        <v>5568.2660718987681</v>
      </c>
      <c r="L289" s="62">
        <v>7194.1448113361985</v>
      </c>
      <c r="M289" s="62">
        <v>9502.0940261712421</v>
      </c>
      <c r="N289" s="62">
        <v>10796.117299077527</v>
      </c>
      <c r="O289" s="62">
        <v>11653.065659836193</v>
      </c>
      <c r="P289" s="62">
        <v>12488.59954625598</v>
      </c>
      <c r="Q289" s="62">
        <v>12707.787922482177</v>
      </c>
      <c r="R289" s="62">
        <v>12460.388347380991</v>
      </c>
      <c r="S289" s="62">
        <v>12099.804539890585</v>
      </c>
      <c r="T289" s="62">
        <v>11885.398230428174</v>
      </c>
      <c r="U289" s="62">
        <v>11651.132866254833</v>
      </c>
      <c r="V289" s="62">
        <v>11879.210495605214</v>
      </c>
      <c r="W289" s="62">
        <v>13824.317649292294</v>
      </c>
      <c r="X289" s="62">
        <v>14159.906921605623</v>
      </c>
      <c r="Y289" s="62">
        <v>13252.328553778294</v>
      </c>
      <c r="Z289" s="62">
        <v>11965.345601293364</v>
      </c>
      <c r="AA289" s="62">
        <v>10500.743311394464</v>
      </c>
      <c r="AB289" s="62">
        <v>8851.2237909619325</v>
      </c>
      <c r="AC289" s="61">
        <v>235403.96115914625</v>
      </c>
      <c r="AD289" s="107"/>
    </row>
  </sheetData>
  <mergeCells count="96">
    <mergeCell ref="AD20:AD22"/>
    <mergeCell ref="AD2:AD4"/>
    <mergeCell ref="AD5:AD7"/>
    <mergeCell ref="AD8:AD10"/>
    <mergeCell ref="AD11:AD13"/>
    <mergeCell ref="AD14:AD16"/>
    <mergeCell ref="AD17:AD19"/>
    <mergeCell ref="AD56:AD58"/>
    <mergeCell ref="AD23:AD25"/>
    <mergeCell ref="AD26:AD28"/>
    <mergeCell ref="AD29:AD31"/>
    <mergeCell ref="AD32:AD34"/>
    <mergeCell ref="AD35:AD37"/>
    <mergeCell ref="AD38:AD40"/>
    <mergeCell ref="AD41:AD43"/>
    <mergeCell ref="AD44:AD46"/>
    <mergeCell ref="AD47:AD49"/>
    <mergeCell ref="AD50:AD52"/>
    <mergeCell ref="AD53:AD55"/>
    <mergeCell ref="AD92:AD94"/>
    <mergeCell ref="AD59:AD61"/>
    <mergeCell ref="AD62:AD64"/>
    <mergeCell ref="AD65:AD67"/>
    <mergeCell ref="AD68:AD70"/>
    <mergeCell ref="AD71:AD73"/>
    <mergeCell ref="AD74:AD76"/>
    <mergeCell ref="AD77:AD79"/>
    <mergeCell ref="AD80:AD82"/>
    <mergeCell ref="AD83:AD85"/>
    <mergeCell ref="AD86:AD88"/>
    <mergeCell ref="AD89:AD91"/>
    <mergeCell ref="AD128:AD130"/>
    <mergeCell ref="AD95:AD97"/>
    <mergeCell ref="AD98:AD100"/>
    <mergeCell ref="AD101:AD103"/>
    <mergeCell ref="AD104:AD106"/>
    <mergeCell ref="AD107:AD109"/>
    <mergeCell ref="AD110:AD112"/>
    <mergeCell ref="AD113:AD115"/>
    <mergeCell ref="AD116:AD118"/>
    <mergeCell ref="AD119:AD121"/>
    <mergeCell ref="AD122:AD124"/>
    <mergeCell ref="AD125:AD127"/>
    <mergeCell ref="AD164:AD166"/>
    <mergeCell ref="AD131:AD133"/>
    <mergeCell ref="AD134:AD136"/>
    <mergeCell ref="AD137:AD139"/>
    <mergeCell ref="AD140:AD142"/>
    <mergeCell ref="AD143:AD145"/>
    <mergeCell ref="AD146:AD148"/>
    <mergeCell ref="AD149:AD151"/>
    <mergeCell ref="AD152:AD154"/>
    <mergeCell ref="AD155:AD157"/>
    <mergeCell ref="AD158:AD160"/>
    <mergeCell ref="AD161:AD163"/>
    <mergeCell ref="AD200:AD202"/>
    <mergeCell ref="AD167:AD169"/>
    <mergeCell ref="AD170:AD172"/>
    <mergeCell ref="AD173:AD175"/>
    <mergeCell ref="AD176:AD178"/>
    <mergeCell ref="AD179:AD181"/>
    <mergeCell ref="AD182:AD184"/>
    <mergeCell ref="AD185:AD187"/>
    <mergeCell ref="AD188:AD190"/>
    <mergeCell ref="AD191:AD193"/>
    <mergeCell ref="AD194:AD196"/>
    <mergeCell ref="AD197:AD199"/>
    <mergeCell ref="AD236:AD238"/>
    <mergeCell ref="AD203:AD205"/>
    <mergeCell ref="AD206:AD208"/>
    <mergeCell ref="AD209:AD211"/>
    <mergeCell ref="AD212:AD214"/>
    <mergeCell ref="AD215:AD217"/>
    <mergeCell ref="AD218:AD220"/>
    <mergeCell ref="AD221:AD223"/>
    <mergeCell ref="AD224:AD226"/>
    <mergeCell ref="AD227:AD229"/>
    <mergeCell ref="AD230:AD232"/>
    <mergeCell ref="AD233:AD235"/>
    <mergeCell ref="AD272:AD274"/>
    <mergeCell ref="AD239:AD241"/>
    <mergeCell ref="AD242:AD244"/>
    <mergeCell ref="AD245:AD247"/>
    <mergeCell ref="AD248:AD250"/>
    <mergeCell ref="AD251:AD253"/>
    <mergeCell ref="AD254:AD256"/>
    <mergeCell ref="AD257:AD259"/>
    <mergeCell ref="AD260:AD262"/>
    <mergeCell ref="AD263:AD265"/>
    <mergeCell ref="AD266:AD268"/>
    <mergeCell ref="AD269:AD271"/>
    <mergeCell ref="AD275:AD277"/>
    <mergeCell ref="AD278:AD280"/>
    <mergeCell ref="AD281:AD283"/>
    <mergeCell ref="AD284:AD286"/>
    <mergeCell ref="AD287:AD28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FCC1-4482-46E3-A34F-3BCEB13A582C}">
  <dimension ref="A5:L148"/>
  <sheetViews>
    <sheetView tabSelected="1" topLeftCell="A115" zoomScale="85" zoomScaleNormal="85" workbookViewId="0">
      <selection activeCell="K127" sqref="K127"/>
    </sheetView>
  </sheetViews>
  <sheetFormatPr baseColWidth="10" defaultRowHeight="15" x14ac:dyDescent="0.25"/>
  <cols>
    <col min="1" max="1" width="28.28515625" style="3" customWidth="1"/>
    <col min="2" max="3" width="22.140625" style="11" customWidth="1"/>
    <col min="4" max="4" width="20.140625" style="8" customWidth="1"/>
    <col min="5" max="6" width="20.140625" style="11" customWidth="1"/>
    <col min="7" max="7" width="23.42578125" style="12" customWidth="1"/>
    <col min="9" max="9" width="18" bestFit="1" customWidth="1"/>
    <col min="11" max="11" width="24.28515625" customWidth="1"/>
    <col min="12" max="12" width="19" bestFit="1" customWidth="1"/>
  </cols>
  <sheetData>
    <row r="5" spans="1:7" x14ac:dyDescent="0.25">
      <c r="A5" s="98" t="s">
        <v>184</v>
      </c>
      <c r="B5" s="98"/>
      <c r="C5" s="98"/>
      <c r="D5" s="98"/>
      <c r="E5" s="98"/>
      <c r="F5" s="98"/>
      <c r="G5" s="98"/>
    </row>
    <row r="6" spans="1:7" x14ac:dyDescent="0.25">
      <c r="A6" s="98"/>
      <c r="B6" s="98"/>
      <c r="C6" s="98"/>
      <c r="D6" s="98"/>
      <c r="E6" s="98"/>
      <c r="F6" s="98"/>
      <c r="G6" s="98"/>
    </row>
    <row r="7" spans="1:7" ht="15.75" thickBot="1" x14ac:dyDescent="0.3">
      <c r="A7" s="9"/>
      <c r="B7" s="10"/>
      <c r="C7" s="10"/>
    </row>
    <row r="8" spans="1:7" ht="15.75" thickBot="1" x14ac:dyDescent="0.3">
      <c r="A8" s="13" t="s">
        <v>0</v>
      </c>
      <c r="B8" s="99"/>
      <c r="C8" s="100"/>
      <c r="D8" s="100"/>
      <c r="E8" s="100"/>
      <c r="F8" s="100"/>
      <c r="G8" s="101"/>
    </row>
    <row r="9" spans="1:7" ht="25.5" customHeight="1" thickBot="1" x14ac:dyDescent="0.3">
      <c r="A9" s="14"/>
      <c r="B9" s="15"/>
      <c r="C9" s="15"/>
      <c r="D9" s="1"/>
      <c r="E9" s="16"/>
      <c r="F9" s="16"/>
      <c r="G9" s="17"/>
    </row>
    <row r="10" spans="1:7" ht="60.75" thickBot="1" x14ac:dyDescent="0.3">
      <c r="A10" s="2" t="s">
        <v>2</v>
      </c>
      <c r="B10" s="22" t="s">
        <v>3</v>
      </c>
      <c r="C10" s="2" t="s">
        <v>14</v>
      </c>
      <c r="D10" s="7" t="s">
        <v>4</v>
      </c>
      <c r="E10" s="2" t="s">
        <v>5</v>
      </c>
      <c r="F10" s="2" t="s">
        <v>101</v>
      </c>
      <c r="G10" s="2" t="s">
        <v>6</v>
      </c>
    </row>
    <row r="11" spans="1:7" ht="15.75" thickBot="1" x14ac:dyDescent="0.3">
      <c r="A11" s="19" t="s">
        <v>22</v>
      </c>
      <c r="B11" s="23">
        <f>+'Despacho Horario Producto No. 3'!AB2</f>
        <v>1752241.0873855858</v>
      </c>
      <c r="C11" s="90">
        <f>+SUM(B11:B17)</f>
        <v>12562647.304648776</v>
      </c>
      <c r="D11" s="92"/>
      <c r="E11" s="63">
        <f>+$D$11*B11</f>
        <v>0</v>
      </c>
      <c r="F11" s="90">
        <f>+SUM(E11:E17)</f>
        <v>0</v>
      </c>
      <c r="G11" s="102"/>
    </row>
    <row r="12" spans="1:7" ht="15.75" thickBot="1" x14ac:dyDescent="0.3">
      <c r="A12" s="19" t="s">
        <v>23</v>
      </c>
      <c r="B12" s="23">
        <f>+'Despacho Horario Producto No. 3'!AB3</f>
        <v>1816398.0287731392</v>
      </c>
      <c r="C12" s="90"/>
      <c r="D12" s="93"/>
      <c r="E12" s="63">
        <f t="shared" ref="E12:E17" si="0">+$D$11*B12</f>
        <v>0</v>
      </c>
      <c r="F12" s="90"/>
      <c r="G12" s="102"/>
    </row>
    <row r="13" spans="1:7" ht="15.75" thickBot="1" x14ac:dyDescent="0.3">
      <c r="A13" s="19" t="s">
        <v>24</v>
      </c>
      <c r="B13" s="23">
        <f>+'Despacho Horario Producto No. 3'!AB4</f>
        <v>1814296.9613033487</v>
      </c>
      <c r="C13" s="90"/>
      <c r="D13" s="93"/>
      <c r="E13" s="63">
        <f t="shared" si="0"/>
        <v>0</v>
      </c>
      <c r="F13" s="90"/>
      <c r="G13" s="102"/>
    </row>
    <row r="14" spans="1:7" ht="15.75" thickBot="1" x14ac:dyDescent="0.3">
      <c r="A14" s="19" t="s">
        <v>25</v>
      </c>
      <c r="B14" s="23">
        <f>+'Despacho Horario Producto No. 3'!AB5</f>
        <v>1770367.7724690516</v>
      </c>
      <c r="C14" s="90"/>
      <c r="D14" s="93"/>
      <c r="E14" s="63">
        <f t="shared" si="0"/>
        <v>0</v>
      </c>
      <c r="F14" s="90"/>
      <c r="G14" s="102"/>
    </row>
    <row r="15" spans="1:7" ht="15.75" thickBot="1" x14ac:dyDescent="0.3">
      <c r="A15" s="19" t="s">
        <v>26</v>
      </c>
      <c r="B15" s="23">
        <f>+'Despacho Horario Producto No. 3'!AB6</f>
        <v>1808727.282930553</v>
      </c>
      <c r="C15" s="90"/>
      <c r="D15" s="93"/>
      <c r="E15" s="63">
        <f t="shared" si="0"/>
        <v>0</v>
      </c>
      <c r="F15" s="90"/>
      <c r="G15" s="102"/>
    </row>
    <row r="16" spans="1:7" ht="15.75" thickBot="1" x14ac:dyDescent="0.3">
      <c r="A16" s="19" t="s">
        <v>27</v>
      </c>
      <c r="B16" s="23">
        <f>+'Despacho Horario Producto No. 3'!AB7</f>
        <v>1754745.6004481008</v>
      </c>
      <c r="C16" s="90"/>
      <c r="D16" s="93"/>
      <c r="E16" s="63">
        <f t="shared" si="0"/>
        <v>0</v>
      </c>
      <c r="F16" s="90"/>
      <c r="G16" s="102"/>
    </row>
    <row r="17" spans="1:7" ht="15.75" thickBot="1" x14ac:dyDescent="0.3">
      <c r="A17" s="20" t="s">
        <v>28</v>
      </c>
      <c r="B17" s="23">
        <f>+'Despacho Horario Producto No. 3'!AB8</f>
        <v>1845870.5713389956</v>
      </c>
      <c r="C17" s="91"/>
      <c r="D17" s="94"/>
      <c r="E17" s="63">
        <f t="shared" si="0"/>
        <v>0</v>
      </c>
      <c r="F17" s="91"/>
      <c r="G17" s="104"/>
    </row>
    <row r="18" spans="1:7" ht="15.75" thickBot="1" x14ac:dyDescent="0.3">
      <c r="A18" s="21" t="s">
        <v>29</v>
      </c>
      <c r="B18" s="23">
        <f>+'Despacho Horario Producto No. 3'!AB9</f>
        <v>1864971.911654959</v>
      </c>
      <c r="C18" s="87">
        <f t="shared" ref="C18" si="1">SUM(B18:B29)</f>
        <v>21906724.122157931</v>
      </c>
      <c r="D18" s="92"/>
      <c r="E18" s="63">
        <f>+$D$18*B18</f>
        <v>0</v>
      </c>
      <c r="F18" s="87">
        <f t="shared" ref="F18" si="2">SUM(E18:E29)</f>
        <v>0</v>
      </c>
      <c r="G18" s="102"/>
    </row>
    <row r="19" spans="1:7" ht="15.75" thickBot="1" x14ac:dyDescent="0.3">
      <c r="A19" s="19" t="s">
        <v>30</v>
      </c>
      <c r="B19" s="23">
        <f>+'Despacho Horario Producto No. 3'!AB10</f>
        <v>1697293.2104707665</v>
      </c>
      <c r="C19" s="90"/>
      <c r="D19" s="93"/>
      <c r="E19" s="63">
        <f t="shared" ref="E19:E29" si="3">+$D$18*B19</f>
        <v>0</v>
      </c>
      <c r="F19" s="90"/>
      <c r="G19" s="102"/>
    </row>
    <row r="20" spans="1:7" ht="15.75" thickBot="1" x14ac:dyDescent="0.3">
      <c r="A20" s="19" t="s">
        <v>31</v>
      </c>
      <c r="B20" s="23">
        <f>+'Despacho Horario Producto No. 3'!AB11</f>
        <v>1860913.906596856</v>
      </c>
      <c r="C20" s="90"/>
      <c r="D20" s="93"/>
      <c r="E20" s="63">
        <f t="shared" si="3"/>
        <v>0</v>
      </c>
      <c r="F20" s="90"/>
      <c r="G20" s="102"/>
    </row>
    <row r="21" spans="1:7" ht="15.75" thickBot="1" x14ac:dyDescent="0.3">
      <c r="A21" s="19" t="s">
        <v>32</v>
      </c>
      <c r="B21" s="23">
        <f>+'Despacho Horario Producto No. 3'!AB12</f>
        <v>1798120.1511876332</v>
      </c>
      <c r="C21" s="90"/>
      <c r="D21" s="93"/>
      <c r="E21" s="63">
        <f t="shared" si="3"/>
        <v>0</v>
      </c>
      <c r="F21" s="90"/>
      <c r="G21" s="102"/>
    </row>
    <row r="22" spans="1:7" ht="15.75" thickBot="1" x14ac:dyDescent="0.3">
      <c r="A22" s="19" t="s">
        <v>33</v>
      </c>
      <c r="B22" s="23">
        <f>+'Despacho Horario Producto No. 3'!AB13</f>
        <v>1861354.0236931357</v>
      </c>
      <c r="C22" s="90"/>
      <c r="D22" s="93"/>
      <c r="E22" s="63">
        <f t="shared" si="3"/>
        <v>0</v>
      </c>
      <c r="F22" s="90"/>
      <c r="G22" s="102"/>
    </row>
    <row r="23" spans="1:7" ht="15.75" thickBot="1" x14ac:dyDescent="0.3">
      <c r="A23" s="19" t="s">
        <v>34</v>
      </c>
      <c r="B23" s="23">
        <f>+'Despacho Horario Producto No. 3'!AB14</f>
        <v>1789118.4991760559</v>
      </c>
      <c r="C23" s="90"/>
      <c r="D23" s="93"/>
      <c r="E23" s="63">
        <f t="shared" si="3"/>
        <v>0</v>
      </c>
      <c r="F23" s="90"/>
      <c r="G23" s="102"/>
    </row>
    <row r="24" spans="1:7" ht="15.75" thickBot="1" x14ac:dyDescent="0.3">
      <c r="A24" s="19" t="s">
        <v>35</v>
      </c>
      <c r="B24" s="23">
        <f>+'Despacho Horario Producto No. 3'!AB15</f>
        <v>1854369.4573042355</v>
      </c>
      <c r="C24" s="90"/>
      <c r="D24" s="93"/>
      <c r="E24" s="63">
        <f t="shared" si="3"/>
        <v>0</v>
      </c>
      <c r="F24" s="90"/>
      <c r="G24" s="102"/>
    </row>
    <row r="25" spans="1:7" ht="15.75" thickBot="1" x14ac:dyDescent="0.3">
      <c r="A25" s="19" t="s">
        <v>36</v>
      </c>
      <c r="B25" s="23">
        <f>+'Despacho Horario Producto No. 3'!AB16</f>
        <v>1852159.3134329161</v>
      </c>
      <c r="C25" s="90"/>
      <c r="D25" s="93"/>
      <c r="E25" s="63">
        <f t="shared" si="3"/>
        <v>0</v>
      </c>
      <c r="F25" s="90"/>
      <c r="G25" s="102"/>
    </row>
    <row r="26" spans="1:7" ht="15.75" thickBot="1" x14ac:dyDescent="0.3">
      <c r="A26" s="19" t="s">
        <v>37</v>
      </c>
      <c r="B26" s="23">
        <f>+'Despacho Horario Producto No. 3'!AB17</f>
        <v>1806857.2003438086</v>
      </c>
      <c r="C26" s="90"/>
      <c r="D26" s="93"/>
      <c r="E26" s="63">
        <f t="shared" si="3"/>
        <v>0</v>
      </c>
      <c r="F26" s="90"/>
      <c r="G26" s="102"/>
    </row>
    <row r="27" spans="1:7" ht="15.75" thickBot="1" x14ac:dyDescent="0.3">
      <c r="A27" s="19" t="s">
        <v>38</v>
      </c>
      <c r="B27" s="23">
        <f>+'Despacho Horario Producto No. 3'!AB18</f>
        <v>1846490.7252583751</v>
      </c>
      <c r="C27" s="90"/>
      <c r="D27" s="93"/>
      <c r="E27" s="63">
        <f t="shared" si="3"/>
        <v>0</v>
      </c>
      <c r="F27" s="90"/>
      <c r="G27" s="102"/>
    </row>
    <row r="28" spans="1:7" ht="15.75" thickBot="1" x14ac:dyDescent="0.3">
      <c r="A28" s="19" t="s">
        <v>39</v>
      </c>
      <c r="B28" s="23">
        <f>+'Despacho Horario Producto No. 3'!AB19</f>
        <v>1791306.0787117183</v>
      </c>
      <c r="C28" s="90"/>
      <c r="D28" s="93"/>
      <c r="E28" s="63">
        <f t="shared" si="3"/>
        <v>0</v>
      </c>
      <c r="F28" s="90"/>
      <c r="G28" s="102"/>
    </row>
    <row r="29" spans="1:7" ht="15.75" thickBot="1" x14ac:dyDescent="0.3">
      <c r="A29" s="24" t="s">
        <v>40</v>
      </c>
      <c r="B29" s="23">
        <f>+'Despacho Horario Producto No. 3'!AB20</f>
        <v>1883769.6443274748</v>
      </c>
      <c r="C29" s="91"/>
      <c r="D29" s="94"/>
      <c r="E29" s="63">
        <f t="shared" si="3"/>
        <v>0</v>
      </c>
      <c r="F29" s="91"/>
      <c r="G29" s="102"/>
    </row>
    <row r="30" spans="1:7" ht="15.75" thickBot="1" x14ac:dyDescent="0.3">
      <c r="A30" s="7" t="s">
        <v>41</v>
      </c>
      <c r="B30" s="23">
        <f>+'Despacho Horario Producto No. 3'!AB21</f>
        <v>1902739.3115749441</v>
      </c>
      <c r="C30" s="87">
        <f t="shared" ref="C30" si="4">SUM(B30:B41)</f>
        <v>22413438.726142868</v>
      </c>
      <c r="D30" s="92"/>
      <c r="E30" s="63">
        <f>+$D$30*B30</f>
        <v>0</v>
      </c>
      <c r="F30" s="87">
        <f t="shared" ref="F30" si="5">SUM(E30:E41)</f>
        <v>0</v>
      </c>
      <c r="G30" s="103"/>
    </row>
    <row r="31" spans="1:7" ht="15.75" thickBot="1" x14ac:dyDescent="0.3">
      <c r="A31" s="19" t="s">
        <v>42</v>
      </c>
      <c r="B31" s="23">
        <f>+'Despacho Horario Producto No. 3'!AB22</f>
        <v>1793344.4310783844</v>
      </c>
      <c r="C31" s="90"/>
      <c r="D31" s="93"/>
      <c r="E31" s="63">
        <f t="shared" ref="E31:E41" si="6">+$D$30*B31</f>
        <v>0</v>
      </c>
      <c r="F31" s="90"/>
      <c r="G31" s="102"/>
    </row>
    <row r="32" spans="1:7" ht="15.75" thickBot="1" x14ac:dyDescent="0.3">
      <c r="A32" s="19" t="s">
        <v>43</v>
      </c>
      <c r="B32" s="23">
        <f>+'Despacho Horario Producto No. 3'!AB23</f>
        <v>1898745.7943481787</v>
      </c>
      <c r="C32" s="90"/>
      <c r="D32" s="93"/>
      <c r="E32" s="63">
        <f t="shared" si="6"/>
        <v>0</v>
      </c>
      <c r="F32" s="90"/>
      <c r="G32" s="102"/>
    </row>
    <row r="33" spans="1:7" ht="15.75" thickBot="1" x14ac:dyDescent="0.3">
      <c r="A33" s="19" t="s">
        <v>44</v>
      </c>
      <c r="B33" s="23">
        <f>+'Despacho Horario Producto No. 3'!AB24</f>
        <v>1834698.4062604953</v>
      </c>
      <c r="C33" s="90"/>
      <c r="D33" s="93"/>
      <c r="E33" s="63">
        <f t="shared" si="6"/>
        <v>0</v>
      </c>
      <c r="F33" s="90"/>
      <c r="G33" s="102"/>
    </row>
    <row r="34" spans="1:7" ht="15.75" thickBot="1" x14ac:dyDescent="0.3">
      <c r="A34" s="19" t="s">
        <v>45</v>
      </c>
      <c r="B34" s="23">
        <f>+'Despacho Horario Producto No. 3'!AB25</f>
        <v>1899138.1820693798</v>
      </c>
      <c r="C34" s="90"/>
      <c r="D34" s="93"/>
      <c r="E34" s="63">
        <f t="shared" si="6"/>
        <v>0</v>
      </c>
      <c r="F34" s="90"/>
      <c r="G34" s="102"/>
    </row>
    <row r="35" spans="1:7" ht="15.75" thickBot="1" x14ac:dyDescent="0.3">
      <c r="A35" s="19" t="s">
        <v>46</v>
      </c>
      <c r="B35" s="23">
        <f>+'Despacho Horario Producto No. 3'!AB26</f>
        <v>1825676.7553129059</v>
      </c>
      <c r="C35" s="90"/>
      <c r="D35" s="93"/>
      <c r="E35" s="63">
        <f t="shared" si="6"/>
        <v>0</v>
      </c>
      <c r="F35" s="90"/>
      <c r="G35" s="102"/>
    </row>
    <row r="36" spans="1:7" ht="15.75" thickBot="1" x14ac:dyDescent="0.3">
      <c r="A36" s="19" t="s">
        <v>47</v>
      </c>
      <c r="B36" s="23">
        <f>+'Despacho Horario Producto No. 3'!AB27</f>
        <v>1892139.6600790108</v>
      </c>
      <c r="C36" s="90"/>
      <c r="D36" s="93"/>
      <c r="E36" s="63">
        <f t="shared" si="6"/>
        <v>0</v>
      </c>
      <c r="F36" s="90"/>
      <c r="G36" s="102"/>
    </row>
    <row r="37" spans="1:7" ht="15.75" thickBot="1" x14ac:dyDescent="0.3">
      <c r="A37" s="19" t="s">
        <v>48</v>
      </c>
      <c r="B37" s="23">
        <f>+'Despacho Horario Producto No. 3'!AB28</f>
        <v>1889924.1469202386</v>
      </c>
      <c r="C37" s="90"/>
      <c r="D37" s="93"/>
      <c r="E37" s="63">
        <f t="shared" si="6"/>
        <v>0</v>
      </c>
      <c r="F37" s="90"/>
      <c r="G37" s="102"/>
    </row>
    <row r="38" spans="1:7" ht="15.75" thickBot="1" x14ac:dyDescent="0.3">
      <c r="A38" s="19" t="s">
        <v>49</v>
      </c>
      <c r="B38" s="23">
        <f>+'Despacho Horario Producto No. 3'!AB29</f>
        <v>1843396.3634208804</v>
      </c>
      <c r="C38" s="90"/>
      <c r="D38" s="93"/>
      <c r="E38" s="63">
        <f t="shared" si="6"/>
        <v>0</v>
      </c>
      <c r="F38" s="90"/>
      <c r="G38" s="102"/>
    </row>
    <row r="39" spans="1:7" ht="15.75" thickBot="1" x14ac:dyDescent="0.3">
      <c r="A39" s="19" t="s">
        <v>50</v>
      </c>
      <c r="B39" s="23">
        <f>+'Despacho Horario Producto No. 3'!AB30</f>
        <v>1884250.6888691206</v>
      </c>
      <c r="C39" s="90"/>
      <c r="D39" s="93"/>
      <c r="E39" s="63">
        <f t="shared" si="6"/>
        <v>0</v>
      </c>
      <c r="F39" s="90"/>
      <c r="G39" s="102"/>
    </row>
    <row r="40" spans="1:7" ht="15.75" thickBot="1" x14ac:dyDescent="0.3">
      <c r="A40" s="19" t="s">
        <v>51</v>
      </c>
      <c r="B40" s="23">
        <f>+'Despacho Horario Producto No. 3'!AB31</f>
        <v>1827848.7230252088</v>
      </c>
      <c r="C40" s="90"/>
      <c r="D40" s="93"/>
      <c r="E40" s="63">
        <f t="shared" si="6"/>
        <v>0</v>
      </c>
      <c r="F40" s="90"/>
      <c r="G40" s="102"/>
    </row>
    <row r="41" spans="1:7" ht="15.75" thickBot="1" x14ac:dyDescent="0.3">
      <c r="A41" s="20" t="s">
        <v>52</v>
      </c>
      <c r="B41" s="23">
        <f>+'Despacho Horario Producto No. 3'!AB32</f>
        <v>1921536.2631841172</v>
      </c>
      <c r="C41" s="91"/>
      <c r="D41" s="94"/>
      <c r="E41" s="63">
        <f t="shared" si="6"/>
        <v>0</v>
      </c>
      <c r="F41" s="91"/>
      <c r="G41" s="104"/>
    </row>
    <row r="42" spans="1:7" ht="15.75" thickBot="1" x14ac:dyDescent="0.3">
      <c r="A42" s="21" t="s">
        <v>53</v>
      </c>
      <c r="B42" s="23">
        <f>+'Despacho Horario Producto No. 3'!AB33</f>
        <v>1940499.463550634</v>
      </c>
      <c r="C42" s="87">
        <f t="shared" ref="C42" si="7">SUM(B42:B53)</f>
        <v>22796204.13343329</v>
      </c>
      <c r="D42" s="92"/>
      <c r="E42" s="63">
        <f>+$D$42*B42</f>
        <v>0</v>
      </c>
      <c r="F42" s="87">
        <f t="shared" ref="F42" si="8">SUM(E42:E53)</f>
        <v>0</v>
      </c>
      <c r="G42" s="102"/>
    </row>
    <row r="43" spans="1:7" ht="15.75" thickBot="1" x14ac:dyDescent="0.3">
      <c r="A43" s="19" t="s">
        <v>54</v>
      </c>
      <c r="B43" s="23">
        <f>+'Despacho Horario Producto No. 3'!AB34</f>
        <v>1765615.7855147654</v>
      </c>
      <c r="C43" s="90"/>
      <c r="D43" s="93"/>
      <c r="E43" s="63">
        <f t="shared" ref="E43:E53" si="9">+$D$42*B43</f>
        <v>0</v>
      </c>
      <c r="F43" s="90"/>
      <c r="G43" s="102"/>
    </row>
    <row r="44" spans="1:7" ht="15.75" thickBot="1" x14ac:dyDescent="0.3">
      <c r="A44" s="19" t="s">
        <v>55</v>
      </c>
      <c r="B44" s="23">
        <f>+'Despacho Horario Producto No. 3'!AB35</f>
        <v>1936509.1118647547</v>
      </c>
      <c r="C44" s="90"/>
      <c r="D44" s="93"/>
      <c r="E44" s="63">
        <f t="shared" si="9"/>
        <v>0</v>
      </c>
      <c r="F44" s="90"/>
      <c r="G44" s="102"/>
    </row>
    <row r="45" spans="1:7" ht="15.75" thickBot="1" x14ac:dyDescent="0.3">
      <c r="A45" s="19" t="s">
        <v>56</v>
      </c>
      <c r="B45" s="23">
        <f>+'Despacho Horario Producto No. 3'!AB36</f>
        <v>1871241.9193055816</v>
      </c>
      <c r="C45" s="90"/>
      <c r="D45" s="93"/>
      <c r="E45" s="63">
        <f t="shared" si="9"/>
        <v>0</v>
      </c>
      <c r="F45" s="90"/>
      <c r="G45" s="102"/>
    </row>
    <row r="46" spans="1:7" ht="15.75" thickBot="1" x14ac:dyDescent="0.3">
      <c r="A46" s="19" t="s">
        <v>57</v>
      </c>
      <c r="B46" s="23">
        <f>+'Despacho Horario Producto No. 3'!AB37</f>
        <v>1936899.1554380148</v>
      </c>
      <c r="C46" s="90"/>
      <c r="D46" s="93"/>
      <c r="E46" s="63">
        <f t="shared" si="9"/>
        <v>0</v>
      </c>
      <c r="F46" s="90"/>
      <c r="G46" s="102"/>
    </row>
    <row r="47" spans="1:7" ht="15.75" thickBot="1" x14ac:dyDescent="0.3">
      <c r="A47" s="19" t="s">
        <v>58</v>
      </c>
      <c r="B47" s="23">
        <f>+'Despacho Horario Producto No. 3'!AB38</f>
        <v>1862219.2860720661</v>
      </c>
      <c r="C47" s="90"/>
      <c r="D47" s="93"/>
      <c r="E47" s="63">
        <f t="shared" si="9"/>
        <v>0</v>
      </c>
      <c r="F47" s="90"/>
      <c r="G47" s="102"/>
    </row>
    <row r="48" spans="1:7" ht="15.75" thickBot="1" x14ac:dyDescent="0.3">
      <c r="A48" s="19" t="s">
        <v>59</v>
      </c>
      <c r="B48" s="23">
        <f>+'Despacho Horario Producto No. 3'!AB39</f>
        <v>1929899.9480077771</v>
      </c>
      <c r="C48" s="90"/>
      <c r="D48" s="93"/>
      <c r="E48" s="63">
        <f t="shared" si="9"/>
        <v>0</v>
      </c>
      <c r="F48" s="90"/>
      <c r="G48" s="102"/>
    </row>
    <row r="49" spans="1:7" ht="15.75" thickBot="1" x14ac:dyDescent="0.3">
      <c r="A49" s="19" t="s">
        <v>60</v>
      </c>
      <c r="B49" s="23">
        <f>+'Despacho Horario Producto No. 3'!AB40</f>
        <v>1927684.1711561142</v>
      </c>
      <c r="C49" s="90"/>
      <c r="D49" s="93"/>
      <c r="E49" s="63">
        <f t="shared" si="9"/>
        <v>0</v>
      </c>
      <c r="F49" s="90"/>
      <c r="G49" s="102"/>
    </row>
    <row r="50" spans="1:7" ht="15.75" thickBot="1" x14ac:dyDescent="0.3">
      <c r="A50" s="19" t="s">
        <v>61</v>
      </c>
      <c r="B50" s="23">
        <f>+'Despacho Horario Producto No. 3'!AB41</f>
        <v>1879937.9565092779</v>
      </c>
      <c r="C50" s="90"/>
      <c r="D50" s="93"/>
      <c r="E50" s="63">
        <f t="shared" si="9"/>
        <v>0</v>
      </c>
      <c r="F50" s="90"/>
      <c r="G50" s="102"/>
    </row>
    <row r="51" spans="1:7" ht="15.75" thickBot="1" x14ac:dyDescent="0.3">
      <c r="A51" s="19" t="s">
        <v>62</v>
      </c>
      <c r="B51" s="23">
        <f>+'Despacho Horario Producto No. 3'!AB42</f>
        <v>1922010.4739359908</v>
      </c>
      <c r="C51" s="90"/>
      <c r="D51" s="93"/>
      <c r="E51" s="63">
        <f t="shared" si="9"/>
        <v>0</v>
      </c>
      <c r="F51" s="90"/>
      <c r="G51" s="102"/>
    </row>
    <row r="52" spans="1:7" ht="15.75" thickBot="1" x14ac:dyDescent="0.3">
      <c r="A52" s="19" t="s">
        <v>63</v>
      </c>
      <c r="B52" s="23">
        <f>+'Despacho Horario Producto No. 3'!AB43</f>
        <v>1864390.4870373302</v>
      </c>
      <c r="C52" s="90"/>
      <c r="D52" s="93"/>
      <c r="E52" s="63">
        <f t="shared" si="9"/>
        <v>0</v>
      </c>
      <c r="F52" s="90"/>
      <c r="G52" s="102"/>
    </row>
    <row r="53" spans="1:7" ht="15.75" thickBot="1" x14ac:dyDescent="0.3">
      <c r="A53" s="24" t="s">
        <v>64</v>
      </c>
      <c r="B53" s="23">
        <f>+'Despacho Horario Producto No. 3'!AB44</f>
        <v>1959296.3750409817</v>
      </c>
      <c r="C53" s="91"/>
      <c r="D53" s="94"/>
      <c r="E53" s="63">
        <f t="shared" si="9"/>
        <v>0</v>
      </c>
      <c r="F53" s="91"/>
      <c r="G53" s="102"/>
    </row>
    <row r="54" spans="1:7" ht="15.75" thickBot="1" x14ac:dyDescent="0.3">
      <c r="A54" s="7" t="s">
        <v>65</v>
      </c>
      <c r="B54" s="23">
        <f>+'Despacho Horario Producto No. 3'!AB45</f>
        <v>1978259.257850688</v>
      </c>
      <c r="C54" s="87">
        <f t="shared" ref="C54" si="10">SUM(B54:B65)</f>
        <v>23240795.727921493</v>
      </c>
      <c r="D54" s="92"/>
      <c r="E54" s="63">
        <f>+$D$54*B54</f>
        <v>0</v>
      </c>
      <c r="F54" s="87">
        <f t="shared" ref="F54" si="11">SUM(E54:E65)</f>
        <v>0</v>
      </c>
      <c r="G54" s="103"/>
    </row>
    <row r="55" spans="1:7" ht="15.75" thickBot="1" x14ac:dyDescent="0.3">
      <c r="A55" s="19" t="s">
        <v>66</v>
      </c>
      <c r="B55" s="23">
        <f>+'Despacho Horario Producto No. 3'!AB46</f>
        <v>1799721.6455000585</v>
      </c>
      <c r="C55" s="90"/>
      <c r="D55" s="93"/>
      <c r="E55" s="63">
        <f t="shared" ref="E55:E65" si="12">+$D$54*B55</f>
        <v>0</v>
      </c>
      <c r="F55" s="90"/>
      <c r="G55" s="102"/>
    </row>
    <row r="56" spans="1:7" ht="15.75" thickBot="1" x14ac:dyDescent="0.3">
      <c r="A56" s="19" t="s">
        <v>67</v>
      </c>
      <c r="B56" s="23">
        <f>+'Despacho Horario Producto No. 3'!AB47</f>
        <v>1974269.0616044374</v>
      </c>
      <c r="C56" s="90"/>
      <c r="D56" s="93"/>
      <c r="E56" s="63">
        <f t="shared" si="12"/>
        <v>0</v>
      </c>
      <c r="F56" s="90"/>
      <c r="G56" s="102"/>
    </row>
    <row r="57" spans="1:7" ht="15.75" thickBot="1" x14ac:dyDescent="0.3">
      <c r="A57" s="19" t="s">
        <v>68</v>
      </c>
      <c r="B57" s="23">
        <f>+'Despacho Horario Producto No. 3'!AB48</f>
        <v>1907783.7259649192</v>
      </c>
      <c r="C57" s="90"/>
      <c r="D57" s="93"/>
      <c r="E57" s="63">
        <f t="shared" si="12"/>
        <v>0</v>
      </c>
      <c r="F57" s="90"/>
      <c r="G57" s="102"/>
    </row>
    <row r="58" spans="1:7" ht="15.75" thickBot="1" x14ac:dyDescent="0.3">
      <c r="A58" s="19" t="s">
        <v>69</v>
      </c>
      <c r="B58" s="23">
        <f>+'Despacho Horario Producto No. 3'!AB49</f>
        <v>1974658.9900680664</v>
      </c>
      <c r="C58" s="90"/>
      <c r="D58" s="93"/>
      <c r="E58" s="63">
        <f t="shared" si="12"/>
        <v>0</v>
      </c>
      <c r="F58" s="90"/>
      <c r="G58" s="102"/>
    </row>
    <row r="59" spans="1:7" ht="15.75" thickBot="1" x14ac:dyDescent="0.3">
      <c r="A59" s="19" t="s">
        <v>70</v>
      </c>
      <c r="B59" s="23">
        <f>+'Despacho Horario Producto No. 3'!AB50</f>
        <v>1898761.0444959528</v>
      </c>
      <c r="C59" s="90"/>
      <c r="D59" s="93"/>
      <c r="E59" s="63">
        <f t="shared" si="12"/>
        <v>0</v>
      </c>
      <c r="F59" s="90"/>
      <c r="G59" s="102"/>
    </row>
    <row r="60" spans="1:7" ht="15.75" thickBot="1" x14ac:dyDescent="0.3">
      <c r="A60" s="19" t="s">
        <v>71</v>
      </c>
      <c r="B60" s="23">
        <f>+'Despacho Horario Producto No. 3'!AB51</f>
        <v>1967659.7489791382</v>
      </c>
      <c r="C60" s="90"/>
      <c r="D60" s="93"/>
      <c r="E60" s="63">
        <f t="shared" si="12"/>
        <v>0</v>
      </c>
      <c r="F60" s="90"/>
      <c r="G60" s="102"/>
    </row>
    <row r="61" spans="1:7" ht="15.75" thickBot="1" x14ac:dyDescent="0.3">
      <c r="A61" s="19" t="s">
        <v>72</v>
      </c>
      <c r="B61" s="23">
        <f>+'Despacho Horario Producto No. 3'!AB52</f>
        <v>1965443.9591788375</v>
      </c>
      <c r="C61" s="90"/>
      <c r="D61" s="93"/>
      <c r="E61" s="63">
        <f t="shared" si="12"/>
        <v>0</v>
      </c>
      <c r="F61" s="90"/>
      <c r="G61" s="102"/>
    </row>
    <row r="62" spans="1:7" ht="15.75" thickBot="1" x14ac:dyDescent="0.3">
      <c r="A62" s="19" t="s">
        <v>73</v>
      </c>
      <c r="B62" s="23">
        <f>+'Despacho Horario Producto No. 3'!AB53</f>
        <v>1916479.6688888876</v>
      </c>
      <c r="C62" s="90"/>
      <c r="D62" s="93"/>
      <c r="E62" s="63">
        <f t="shared" si="12"/>
        <v>0</v>
      </c>
      <c r="F62" s="90"/>
      <c r="G62" s="102"/>
    </row>
    <row r="63" spans="1:7" ht="15.75" thickBot="1" x14ac:dyDescent="0.3">
      <c r="A63" s="19" t="s">
        <v>74</v>
      </c>
      <c r="B63" s="23">
        <f>+'Despacho Horario Producto No. 3'!AB54</f>
        <v>1959770.2502143148</v>
      </c>
      <c r="C63" s="90"/>
      <c r="D63" s="93"/>
      <c r="E63" s="63">
        <f t="shared" si="12"/>
        <v>0</v>
      </c>
      <c r="F63" s="90"/>
      <c r="G63" s="102"/>
    </row>
    <row r="64" spans="1:7" ht="15.75" thickBot="1" x14ac:dyDescent="0.3">
      <c r="A64" s="19" t="s">
        <v>75</v>
      </c>
      <c r="B64" s="23">
        <f>+'Despacho Horario Producto No. 3'!AB55</f>
        <v>1900932.2078100261</v>
      </c>
      <c r="C64" s="90"/>
      <c r="D64" s="93"/>
      <c r="E64" s="63">
        <f t="shared" si="12"/>
        <v>0</v>
      </c>
      <c r="F64" s="90"/>
      <c r="G64" s="102"/>
    </row>
    <row r="65" spans="1:7" ht="15.75" thickBot="1" x14ac:dyDescent="0.3">
      <c r="A65" s="20" t="s">
        <v>76</v>
      </c>
      <c r="B65" s="23">
        <f>+'Despacho Horario Producto No. 3'!AB56</f>
        <v>1997056.1673661666</v>
      </c>
      <c r="C65" s="91"/>
      <c r="D65" s="94"/>
      <c r="E65" s="63">
        <f t="shared" si="12"/>
        <v>0</v>
      </c>
      <c r="F65" s="91"/>
      <c r="G65" s="104"/>
    </row>
    <row r="66" spans="1:7" ht="15.75" thickBot="1" x14ac:dyDescent="0.3">
      <c r="A66" s="21" t="s">
        <v>77</v>
      </c>
      <c r="B66" s="23">
        <f>+'Despacho Horario Producto No. 3'!AB57</f>
        <v>2016019.0345823588</v>
      </c>
      <c r="C66" s="87">
        <f t="shared" ref="C66" si="13">SUM(B66:B77)</f>
        <v>23685386.67048746</v>
      </c>
      <c r="D66" s="92"/>
      <c r="E66" s="63">
        <f>+$D$66*B66</f>
        <v>0</v>
      </c>
      <c r="F66" s="87">
        <f t="shared" ref="F66" si="14">SUM(E66:E77)</f>
        <v>0</v>
      </c>
      <c r="G66" s="102"/>
    </row>
    <row r="67" spans="1:7" ht="15.75" thickBot="1" x14ac:dyDescent="0.3">
      <c r="A67" s="19" t="s">
        <v>78</v>
      </c>
      <c r="B67" s="23">
        <f>+'Despacho Horario Producto No. 3'!AB58</f>
        <v>1833827.2620420197</v>
      </c>
      <c r="C67" s="90"/>
      <c r="D67" s="93"/>
      <c r="E67" s="63">
        <f t="shared" ref="E67:E77" si="15">+$D$66*B67</f>
        <v>0</v>
      </c>
      <c r="F67" s="90"/>
      <c r="G67" s="102"/>
    </row>
    <row r="68" spans="1:7" ht="15.75" thickBot="1" x14ac:dyDescent="0.3">
      <c r="A68" s="19" t="s">
        <v>79</v>
      </c>
      <c r="B68" s="23">
        <f>+'Despacho Horario Producto No. 3'!AB59</f>
        <v>2012028.8459689023</v>
      </c>
      <c r="C68" s="90"/>
      <c r="D68" s="93"/>
      <c r="E68" s="63">
        <f t="shared" si="15"/>
        <v>0</v>
      </c>
      <c r="F68" s="90"/>
      <c r="G68" s="102"/>
    </row>
    <row r="69" spans="1:7" ht="15.75" thickBot="1" x14ac:dyDescent="0.3">
      <c r="A69" s="19" t="s">
        <v>80</v>
      </c>
      <c r="B69" s="23">
        <f>+'Despacho Horario Producto No. 3'!AB60</f>
        <v>1944325.4488317599</v>
      </c>
      <c r="C69" s="90"/>
      <c r="D69" s="93"/>
      <c r="E69" s="63">
        <f t="shared" si="15"/>
        <v>0</v>
      </c>
      <c r="F69" s="90"/>
      <c r="G69" s="102"/>
    </row>
    <row r="70" spans="1:7" ht="15.75" thickBot="1" x14ac:dyDescent="0.3">
      <c r="A70" s="19" t="s">
        <v>81</v>
      </c>
      <c r="B70" s="23">
        <f>+'Despacho Horario Producto No. 3'!AB61</f>
        <v>2012418.7687801144</v>
      </c>
      <c r="C70" s="90"/>
      <c r="D70" s="93"/>
      <c r="E70" s="63">
        <f t="shared" si="15"/>
        <v>0</v>
      </c>
      <c r="F70" s="90"/>
      <c r="G70" s="102"/>
    </row>
    <row r="71" spans="1:7" ht="15.75" thickBot="1" x14ac:dyDescent="0.3">
      <c r="A71" s="19" t="s">
        <v>82</v>
      </c>
      <c r="B71" s="23">
        <f>+'Despacho Horario Producto No. 3'!AB62</f>
        <v>1935302.7649942085</v>
      </c>
      <c r="C71" s="90"/>
      <c r="D71" s="93"/>
      <c r="E71" s="63">
        <f t="shared" si="15"/>
        <v>0</v>
      </c>
      <c r="F71" s="90"/>
      <c r="G71" s="102"/>
    </row>
    <row r="72" spans="1:7" ht="15.75" thickBot="1" x14ac:dyDescent="0.3">
      <c r="A72" s="19" t="s">
        <v>83</v>
      </c>
      <c r="B72" s="23">
        <f>+'Despacho Horario Producto No. 3'!AB63</f>
        <v>2005419.5260383892</v>
      </c>
      <c r="C72" s="90"/>
      <c r="D72" s="93"/>
      <c r="E72" s="63">
        <f t="shared" si="15"/>
        <v>0</v>
      </c>
      <c r="F72" s="90"/>
      <c r="G72" s="102"/>
    </row>
    <row r="73" spans="1:7" ht="15.75" thickBot="1" x14ac:dyDescent="0.3">
      <c r="A73" s="19" t="s">
        <v>84</v>
      </c>
      <c r="B73" s="23">
        <f>+'Despacho Horario Producto No. 3'!AB64</f>
        <v>2003203.7356022496</v>
      </c>
      <c r="C73" s="90"/>
      <c r="D73" s="93"/>
      <c r="E73" s="63">
        <f t="shared" si="15"/>
        <v>0</v>
      </c>
      <c r="F73" s="90"/>
      <c r="G73" s="102"/>
    </row>
    <row r="74" spans="1:7" ht="15.75" thickBot="1" x14ac:dyDescent="0.3">
      <c r="A74" s="19" t="s">
        <v>85</v>
      </c>
      <c r="B74" s="23">
        <f>+'Despacho Horario Producto No. 3'!AB65</f>
        <v>1953021.3871261557</v>
      </c>
      <c r="C74" s="90"/>
      <c r="D74" s="93"/>
      <c r="E74" s="63">
        <f t="shared" si="15"/>
        <v>0</v>
      </c>
      <c r="F74" s="90"/>
      <c r="G74" s="102"/>
    </row>
    <row r="75" spans="1:7" ht="15.75" thickBot="1" x14ac:dyDescent="0.3">
      <c r="A75" s="19" t="s">
        <v>86</v>
      </c>
      <c r="B75" s="23">
        <f>+'Despacho Horario Producto No. 3'!AB66</f>
        <v>1997530.0260610222</v>
      </c>
      <c r="C75" s="90"/>
      <c r="D75" s="93"/>
      <c r="E75" s="63">
        <f t="shared" si="15"/>
        <v>0</v>
      </c>
      <c r="F75" s="90"/>
      <c r="G75" s="102"/>
    </row>
    <row r="76" spans="1:7" ht="15.75" thickBot="1" x14ac:dyDescent="0.3">
      <c r="A76" s="19" t="s">
        <v>87</v>
      </c>
      <c r="B76" s="23">
        <f>+'Despacho Horario Producto No. 3'!AB67</f>
        <v>1937473.926459433</v>
      </c>
      <c r="C76" s="90"/>
      <c r="D76" s="93"/>
      <c r="E76" s="63">
        <f t="shared" si="15"/>
        <v>0</v>
      </c>
      <c r="F76" s="90"/>
      <c r="G76" s="102"/>
    </row>
    <row r="77" spans="1:7" ht="15.75" thickBot="1" x14ac:dyDescent="0.3">
      <c r="A77" s="24" t="s">
        <v>88</v>
      </c>
      <c r="B77" s="23">
        <f>+'Despacho Horario Producto No. 3'!AB68</f>
        <v>2034815.9440008476</v>
      </c>
      <c r="C77" s="91"/>
      <c r="D77" s="94"/>
      <c r="E77" s="63">
        <f t="shared" si="15"/>
        <v>0</v>
      </c>
      <c r="F77" s="91"/>
      <c r="G77" s="102"/>
    </row>
    <row r="78" spans="1:7" ht="15.75" thickBot="1" x14ac:dyDescent="0.3">
      <c r="A78" s="21" t="s">
        <v>142</v>
      </c>
      <c r="B78" s="23">
        <f>+'Despacho Horario Producto No. 3'!AB69</f>
        <v>2053778.8104513262</v>
      </c>
      <c r="C78" s="87">
        <f t="shared" ref="C78" si="16">SUM(B78:B89)</f>
        <v>24196689.469134916</v>
      </c>
      <c r="D78" s="92"/>
      <c r="E78" s="63">
        <f>+$D$78*B78</f>
        <v>0</v>
      </c>
      <c r="F78" s="87">
        <f t="shared" ref="F78" si="17">SUM(E78:E89)</f>
        <v>0</v>
      </c>
      <c r="G78" s="41"/>
    </row>
    <row r="79" spans="1:7" ht="15.75" thickBot="1" x14ac:dyDescent="0.3">
      <c r="A79" s="19" t="s">
        <v>143</v>
      </c>
      <c r="B79" s="23">
        <f>+'Despacho Horario Producto No. 3'!AB70</f>
        <v>1934644.7547237026</v>
      </c>
      <c r="C79" s="90"/>
      <c r="D79" s="93"/>
      <c r="E79" s="63">
        <f t="shared" ref="E79:E89" si="18">+$D$78*B79</f>
        <v>0</v>
      </c>
      <c r="F79" s="90"/>
      <c r="G79" s="41"/>
    </row>
    <row r="80" spans="1:7" ht="15.75" thickBot="1" x14ac:dyDescent="0.3">
      <c r="A80" s="19" t="s">
        <v>144</v>
      </c>
      <c r="B80" s="23">
        <f>+'Despacho Horario Producto No. 3'!AB71</f>
        <v>2049788.6222126761</v>
      </c>
      <c r="C80" s="90"/>
      <c r="D80" s="93"/>
      <c r="E80" s="63">
        <f t="shared" si="18"/>
        <v>0</v>
      </c>
      <c r="F80" s="90"/>
      <c r="G80" s="41"/>
    </row>
    <row r="81" spans="1:12" ht="15.75" thickBot="1" x14ac:dyDescent="0.3">
      <c r="A81" s="19" t="s">
        <v>145</v>
      </c>
      <c r="B81" s="23">
        <f>+'Despacho Horario Producto No. 3'!AB72</f>
        <v>1980867.1675839974</v>
      </c>
      <c r="C81" s="90"/>
      <c r="D81" s="93"/>
      <c r="E81" s="63">
        <f t="shared" si="18"/>
        <v>0</v>
      </c>
      <c r="F81" s="90"/>
      <c r="G81" s="41"/>
    </row>
    <row r="82" spans="1:12" ht="15.75" thickBot="1" x14ac:dyDescent="0.3">
      <c r="A82" s="19" t="s">
        <v>146</v>
      </c>
      <c r="B82" s="23">
        <f>+'Despacho Horario Producto No. 3'!AB73</f>
        <v>2050178.5447463281</v>
      </c>
      <c r="C82" s="90"/>
      <c r="D82" s="93"/>
      <c r="E82" s="63">
        <f t="shared" si="18"/>
        <v>0</v>
      </c>
      <c r="F82" s="90"/>
      <c r="G82" s="41"/>
    </row>
    <row r="83" spans="1:12" ht="15.75" thickBot="1" x14ac:dyDescent="0.3">
      <c r="A83" s="19" t="s">
        <v>147</v>
      </c>
      <c r="B83" s="23">
        <f>+'Despacho Horario Producto No. 3'!AB74</f>
        <v>1971844.4836301382</v>
      </c>
      <c r="C83" s="90"/>
      <c r="D83" s="93"/>
      <c r="E83" s="63">
        <f t="shared" si="18"/>
        <v>0</v>
      </c>
      <c r="F83" s="90"/>
      <c r="G83" s="41"/>
    </row>
    <row r="84" spans="1:12" ht="15.75" thickBot="1" x14ac:dyDescent="0.3">
      <c r="A84" s="19" t="s">
        <v>148</v>
      </c>
      <c r="B84" s="23">
        <f>+'Despacho Horario Producto No. 3'!AB75</f>
        <v>2043179.3019234415</v>
      </c>
      <c r="C84" s="90"/>
      <c r="D84" s="93"/>
      <c r="E84" s="63">
        <f t="shared" si="18"/>
        <v>0</v>
      </c>
      <c r="F84" s="90"/>
      <c r="G84" s="41"/>
    </row>
    <row r="85" spans="1:12" ht="15.75" thickBot="1" x14ac:dyDescent="0.3">
      <c r="A85" s="19" t="s">
        <v>149</v>
      </c>
      <c r="B85" s="23">
        <f>+'Despacho Horario Producto No. 3'!AB76</f>
        <v>2040963.5114560795</v>
      </c>
      <c r="C85" s="90"/>
      <c r="D85" s="93"/>
      <c r="E85" s="63">
        <f t="shared" si="18"/>
        <v>0</v>
      </c>
      <c r="F85" s="90"/>
      <c r="G85" s="41"/>
    </row>
    <row r="86" spans="1:12" ht="15.75" thickBot="1" x14ac:dyDescent="0.3">
      <c r="A86" s="19" t="s">
        <v>150</v>
      </c>
      <c r="B86" s="23">
        <f>+'Despacho Horario Producto No. 3'!AB77</f>
        <v>1989563.1056510606</v>
      </c>
      <c r="C86" s="90"/>
      <c r="D86" s="93"/>
      <c r="E86" s="63">
        <f t="shared" si="18"/>
        <v>0</v>
      </c>
      <c r="F86" s="90"/>
      <c r="G86" s="41"/>
    </row>
    <row r="87" spans="1:12" ht="15.75" thickBot="1" x14ac:dyDescent="0.3">
      <c r="A87" s="19" t="s">
        <v>151</v>
      </c>
      <c r="B87" s="23">
        <f>+'Despacho Horario Producto No. 3'!AB78</f>
        <v>2035289.8018865334</v>
      </c>
      <c r="C87" s="90"/>
      <c r="D87" s="93"/>
      <c r="E87" s="63">
        <f t="shared" si="18"/>
        <v>0</v>
      </c>
      <c r="F87" s="90"/>
      <c r="G87" s="41"/>
      <c r="J87" s="5"/>
    </row>
    <row r="88" spans="1:12" ht="15.75" thickBot="1" x14ac:dyDescent="0.3">
      <c r="A88" s="19" t="s">
        <v>152</v>
      </c>
      <c r="B88" s="23">
        <f>+'Despacho Horario Producto No. 3'!AB79</f>
        <v>1974015.6450045765</v>
      </c>
      <c r="C88" s="90"/>
      <c r="D88" s="93"/>
      <c r="E88" s="63">
        <f t="shared" si="18"/>
        <v>0</v>
      </c>
      <c r="F88" s="90"/>
      <c r="G88" s="41"/>
      <c r="J88" s="5"/>
    </row>
    <row r="89" spans="1:12" ht="15.75" thickBot="1" x14ac:dyDescent="0.3">
      <c r="A89" s="24" t="s">
        <v>153</v>
      </c>
      <c r="B89" s="23">
        <f>+'Despacho Horario Producto No. 3'!AB80</f>
        <v>2072575.7198650534</v>
      </c>
      <c r="C89" s="91"/>
      <c r="D89" s="94"/>
      <c r="E89" s="63">
        <f t="shared" si="18"/>
        <v>0</v>
      </c>
      <c r="F89" s="91"/>
      <c r="G89" s="41"/>
    </row>
    <row r="90" spans="1:12" s="3" customFormat="1" ht="15.75" thickBot="1" x14ac:dyDescent="0.3">
      <c r="A90" s="7" t="s">
        <v>89</v>
      </c>
      <c r="B90" s="23">
        <f>+'Despacho Horario Producto No. 3'!AB81</f>
        <v>2091538.5862779308</v>
      </c>
      <c r="C90" s="87">
        <f t="shared" ref="C90" si="19">SUM(B90:B101)</f>
        <v>24574568.49002257</v>
      </c>
      <c r="D90" s="92"/>
      <c r="E90" s="63">
        <f>+$D$90*B90</f>
        <v>0</v>
      </c>
      <c r="F90" s="87">
        <f t="shared" ref="F90" si="20">SUM(E90:E101)</f>
        <v>0</v>
      </c>
      <c r="G90" s="103"/>
      <c r="J90" s="5"/>
      <c r="K90" s="4"/>
      <c r="L90" s="4"/>
    </row>
    <row r="91" spans="1:12" ht="15.75" thickBot="1" x14ac:dyDescent="0.3">
      <c r="A91" s="19" t="s">
        <v>90</v>
      </c>
      <c r="B91" s="23">
        <f>+'Despacho Horario Producto No. 3'!AB82</f>
        <v>1902038.4706305363</v>
      </c>
      <c r="C91" s="90"/>
      <c r="D91" s="93"/>
      <c r="E91" s="63">
        <f t="shared" ref="E91:E101" si="21">+$D$90*B91</f>
        <v>0</v>
      </c>
      <c r="F91" s="90"/>
      <c r="G91" s="102"/>
      <c r="K91" s="5"/>
    </row>
    <row r="92" spans="1:12" ht="15.75" thickBot="1" x14ac:dyDescent="0.3">
      <c r="A92" s="19" t="s">
        <v>91</v>
      </c>
      <c r="B92" s="23">
        <f>+'Despacho Horario Producto No. 3'!AB83</f>
        <v>2087548.398057685</v>
      </c>
      <c r="C92" s="90"/>
      <c r="D92" s="93"/>
      <c r="E92" s="63">
        <f t="shared" si="21"/>
        <v>0</v>
      </c>
      <c r="F92" s="90"/>
      <c r="G92" s="102"/>
    </row>
    <row r="93" spans="1:12" ht="20.25" thickBot="1" x14ac:dyDescent="0.3">
      <c r="A93" s="19" t="s">
        <v>92</v>
      </c>
      <c r="B93" s="23">
        <f>+'Despacho Horario Producto No. 3'!AB84</f>
        <v>2017408.8861341912</v>
      </c>
      <c r="C93" s="90"/>
      <c r="D93" s="93"/>
      <c r="E93" s="63">
        <f t="shared" si="21"/>
        <v>0</v>
      </c>
      <c r="F93" s="90"/>
      <c r="G93" s="102"/>
      <c r="H93" s="6"/>
      <c r="J93" s="6"/>
      <c r="K93" s="6"/>
    </row>
    <row r="94" spans="1:12" ht="15.75" thickBot="1" x14ac:dyDescent="0.3">
      <c r="A94" s="19" t="s">
        <v>93</v>
      </c>
      <c r="B94" s="23">
        <f>+'Despacho Horario Producto No. 3'!AB85</f>
        <v>2087938.3205777085</v>
      </c>
      <c r="C94" s="90"/>
      <c r="D94" s="93"/>
      <c r="E94" s="63">
        <f t="shared" si="21"/>
        <v>0</v>
      </c>
      <c r="F94" s="90"/>
      <c r="G94" s="102"/>
    </row>
    <row r="95" spans="1:12" ht="15.75" thickBot="1" x14ac:dyDescent="0.3">
      <c r="A95" s="19" t="s">
        <v>94</v>
      </c>
      <c r="B95" s="23">
        <f>+'Despacho Horario Producto No. 3'!AB86</f>
        <v>2008386.2021746198</v>
      </c>
      <c r="C95" s="90"/>
      <c r="D95" s="93"/>
      <c r="E95" s="63">
        <f t="shared" si="21"/>
        <v>0</v>
      </c>
      <c r="F95" s="90"/>
      <c r="G95" s="102"/>
    </row>
    <row r="96" spans="1:12" ht="15.75" thickBot="1" x14ac:dyDescent="0.3">
      <c r="A96" s="19" t="s">
        <v>95</v>
      </c>
      <c r="B96" s="23">
        <f>+'Despacho Horario Producto No. 3'!AB87</f>
        <v>2080939.0777508372</v>
      </c>
      <c r="C96" s="90"/>
      <c r="D96" s="93"/>
      <c r="E96" s="63">
        <f t="shared" si="21"/>
        <v>0</v>
      </c>
      <c r="F96" s="90"/>
      <c r="G96" s="102"/>
    </row>
    <row r="97" spans="1:12" ht="15.75" thickBot="1" x14ac:dyDescent="0.3">
      <c r="A97" s="19" t="s">
        <v>96</v>
      </c>
      <c r="B97" s="23">
        <f>+'Despacho Horario Producto No. 3'!AB88</f>
        <v>2078723.2872819414</v>
      </c>
      <c r="C97" s="90"/>
      <c r="D97" s="93"/>
      <c r="E97" s="63">
        <f t="shared" si="21"/>
        <v>0</v>
      </c>
      <c r="F97" s="90"/>
      <c r="G97" s="102"/>
    </row>
    <row r="98" spans="1:12" ht="15.75" thickBot="1" x14ac:dyDescent="0.3">
      <c r="A98" s="19" t="s">
        <v>97</v>
      </c>
      <c r="B98" s="23">
        <f>+'Despacho Horario Producto No. 3'!AB89</f>
        <v>2026104.8241900904</v>
      </c>
      <c r="C98" s="90"/>
      <c r="D98" s="93"/>
      <c r="E98" s="63">
        <f t="shared" si="21"/>
        <v>0</v>
      </c>
      <c r="F98" s="90"/>
      <c r="G98" s="102"/>
    </row>
    <row r="99" spans="1:12" ht="15.75" thickBot="1" x14ac:dyDescent="0.3">
      <c r="A99" s="19" t="s">
        <v>98</v>
      </c>
      <c r="B99" s="23">
        <f>+'Despacho Horario Producto No. 3'!AB90</f>
        <v>2073049.5777110045</v>
      </c>
      <c r="C99" s="90"/>
      <c r="D99" s="93"/>
      <c r="E99" s="63">
        <f t="shared" si="21"/>
        <v>0</v>
      </c>
      <c r="F99" s="90"/>
      <c r="G99" s="102"/>
    </row>
    <row r="100" spans="1:12" ht="15.75" thickBot="1" x14ac:dyDescent="0.3">
      <c r="A100" s="19" t="s">
        <v>99</v>
      </c>
      <c r="B100" s="23">
        <f>+'Despacho Horario Producto No. 3'!AB91</f>
        <v>2010557.3635445982</v>
      </c>
      <c r="C100" s="90"/>
      <c r="D100" s="93"/>
      <c r="E100" s="63">
        <f t="shared" si="21"/>
        <v>0</v>
      </c>
      <c r="F100" s="90"/>
      <c r="G100" s="102"/>
    </row>
    <row r="101" spans="1:12" ht="15.75" thickBot="1" x14ac:dyDescent="0.3">
      <c r="A101" s="20" t="s">
        <v>100</v>
      </c>
      <c r="B101" s="23">
        <f>+'Despacho Horario Producto No. 3'!AB92</f>
        <v>2110335.4956914242</v>
      </c>
      <c r="C101" s="91"/>
      <c r="D101" s="94"/>
      <c r="E101" s="63">
        <f t="shared" si="21"/>
        <v>0</v>
      </c>
      <c r="F101" s="91"/>
      <c r="G101" s="104"/>
    </row>
    <row r="102" spans="1:12" s="3" customFormat="1" ht="15.75" thickBot="1" x14ac:dyDescent="0.3">
      <c r="A102" s="7" t="s">
        <v>160</v>
      </c>
      <c r="B102" s="23">
        <f>+'Despacho Horario Producto No. 3'!AB93</f>
        <v>2129298.3621024559</v>
      </c>
      <c r="C102" s="87">
        <f t="shared" ref="C102" si="22">SUM(B102:B113)</f>
        <v>25019159.398926962</v>
      </c>
      <c r="D102" s="92"/>
      <c r="E102" s="63">
        <f>+$D$102*B102</f>
        <v>0</v>
      </c>
      <c r="F102" s="87">
        <f t="shared" ref="F102" si="23">SUM(E102:E113)</f>
        <v>0</v>
      </c>
      <c r="G102" s="103"/>
      <c r="J102" s="5"/>
      <c r="K102" s="4"/>
      <c r="L102" s="4"/>
    </row>
    <row r="103" spans="1:12" ht="15.75" thickBot="1" x14ac:dyDescent="0.3">
      <c r="A103" s="19" t="s">
        <v>161</v>
      </c>
      <c r="B103" s="23">
        <f>+'Despacho Horario Producto No. 3'!AB94</f>
        <v>1936144.0746024663</v>
      </c>
      <c r="C103" s="90"/>
      <c r="D103" s="93"/>
      <c r="E103" s="63">
        <f t="shared" ref="E103:E113" si="24">+$D$102*B103</f>
        <v>0</v>
      </c>
      <c r="F103" s="90"/>
      <c r="G103" s="102"/>
      <c r="K103" s="5"/>
    </row>
    <row r="104" spans="1:12" ht="15.75" thickBot="1" x14ac:dyDescent="0.3">
      <c r="A104" s="19" t="s">
        <v>162</v>
      </c>
      <c r="B104" s="23">
        <f>+'Despacho Horario Producto No. 3'!AB95</f>
        <v>2125308.1738831135</v>
      </c>
      <c r="C104" s="90"/>
      <c r="D104" s="93"/>
      <c r="E104" s="63">
        <f t="shared" si="24"/>
        <v>0</v>
      </c>
      <c r="F104" s="90"/>
      <c r="G104" s="102"/>
    </row>
    <row r="105" spans="1:12" ht="20.25" thickBot="1" x14ac:dyDescent="0.3">
      <c r="A105" s="19" t="s">
        <v>163</v>
      </c>
      <c r="B105" s="23">
        <f>+'Despacho Horario Producto No. 3'!AB96</f>
        <v>2053950.6046744618</v>
      </c>
      <c r="C105" s="90"/>
      <c r="D105" s="93"/>
      <c r="E105" s="63">
        <f t="shared" si="24"/>
        <v>0</v>
      </c>
      <c r="F105" s="90"/>
      <c r="G105" s="102"/>
      <c r="H105" s="6"/>
      <c r="J105" s="6"/>
      <c r="K105" s="6"/>
    </row>
    <row r="106" spans="1:12" ht="15.75" thickBot="1" x14ac:dyDescent="0.3">
      <c r="A106" s="19" t="s">
        <v>164</v>
      </c>
      <c r="B106" s="23">
        <f>+'Despacho Horario Producto No. 3'!AB97</f>
        <v>2125698.0964024682</v>
      </c>
      <c r="C106" s="90"/>
      <c r="D106" s="93"/>
      <c r="E106" s="63">
        <f t="shared" si="24"/>
        <v>0</v>
      </c>
      <c r="F106" s="90"/>
      <c r="G106" s="102"/>
    </row>
    <row r="107" spans="1:12" ht="15.75" thickBot="1" x14ac:dyDescent="0.3">
      <c r="A107" s="19" t="s">
        <v>165</v>
      </c>
      <c r="B107" s="23">
        <f>+'Despacho Horario Producto No. 3'!AB98</f>
        <v>2044927.9207146107</v>
      </c>
      <c r="C107" s="90"/>
      <c r="D107" s="93"/>
      <c r="E107" s="63">
        <f t="shared" si="24"/>
        <v>0</v>
      </c>
      <c r="F107" s="90"/>
      <c r="G107" s="102"/>
    </row>
    <row r="108" spans="1:12" ht="15.75" thickBot="1" x14ac:dyDescent="0.3">
      <c r="A108" s="19" t="s">
        <v>166</v>
      </c>
      <c r="B108" s="23">
        <f>+'Despacho Horario Producto No. 3'!AB99</f>
        <v>2118698.853575401</v>
      </c>
      <c r="C108" s="90"/>
      <c r="D108" s="93"/>
      <c r="E108" s="63">
        <f t="shared" si="24"/>
        <v>0</v>
      </c>
      <c r="F108" s="90"/>
      <c r="G108" s="102"/>
    </row>
    <row r="109" spans="1:12" ht="15.75" thickBot="1" x14ac:dyDescent="0.3">
      <c r="A109" s="19" t="s">
        <v>167</v>
      </c>
      <c r="B109" s="23">
        <f>+'Despacho Horario Producto No. 3'!AB100</f>
        <v>2116483.0631064312</v>
      </c>
      <c r="C109" s="90"/>
      <c r="D109" s="93"/>
      <c r="E109" s="63">
        <f t="shared" si="24"/>
        <v>0</v>
      </c>
      <c r="F109" s="90"/>
      <c r="G109" s="102"/>
    </row>
    <row r="110" spans="1:12" ht="15.75" thickBot="1" x14ac:dyDescent="0.3">
      <c r="A110" s="19" t="s">
        <v>168</v>
      </c>
      <c r="B110" s="23">
        <f>+'Despacho Horario Producto No. 3'!AB101</f>
        <v>2062646.5427298143</v>
      </c>
      <c r="C110" s="90"/>
      <c r="D110" s="93"/>
      <c r="E110" s="63">
        <f t="shared" si="24"/>
        <v>0</v>
      </c>
      <c r="F110" s="90"/>
      <c r="G110" s="102"/>
    </row>
    <row r="111" spans="1:12" ht="15.75" thickBot="1" x14ac:dyDescent="0.3">
      <c r="A111" s="19" t="s">
        <v>169</v>
      </c>
      <c r="B111" s="23">
        <f>+'Despacho Horario Producto No. 3'!AB102</f>
        <v>2110809.3535354258</v>
      </c>
      <c r="C111" s="90"/>
      <c r="D111" s="93"/>
      <c r="E111" s="63">
        <f t="shared" si="24"/>
        <v>0</v>
      </c>
      <c r="F111" s="90"/>
      <c r="G111" s="102"/>
    </row>
    <row r="112" spans="1:12" ht="15.75" thickBot="1" x14ac:dyDescent="0.3">
      <c r="A112" s="19" t="s">
        <v>170</v>
      </c>
      <c r="B112" s="23">
        <f>+'Despacho Horario Producto No. 3'!AB103</f>
        <v>2047099.0820843724</v>
      </c>
      <c r="C112" s="90"/>
      <c r="D112" s="93"/>
      <c r="E112" s="63">
        <f t="shared" si="24"/>
        <v>0</v>
      </c>
      <c r="F112" s="90"/>
      <c r="G112" s="102"/>
    </row>
    <row r="113" spans="1:12" ht="15.75" thickBot="1" x14ac:dyDescent="0.3">
      <c r="A113" s="20" t="s">
        <v>171</v>
      </c>
      <c r="B113" s="23">
        <f>+'Despacho Horario Producto No. 3'!AB104</f>
        <v>2148095.2715159389</v>
      </c>
      <c r="C113" s="91"/>
      <c r="D113" s="94"/>
      <c r="E113" s="63">
        <f t="shared" si="24"/>
        <v>0</v>
      </c>
      <c r="F113" s="91"/>
      <c r="G113" s="104"/>
    </row>
    <row r="114" spans="1:12" s="3" customFormat="1" ht="15.75" thickBot="1" x14ac:dyDescent="0.3">
      <c r="A114" s="7" t="s">
        <v>172</v>
      </c>
      <c r="B114" s="23">
        <f>+'Despacho Horario Producto No. 3'!AB105</f>
        <v>2167058.1379268803</v>
      </c>
      <c r="C114" s="87">
        <f t="shared" ref="C114" si="25">SUM(B114:B125)</f>
        <v>25463750.30782757</v>
      </c>
      <c r="D114" s="92"/>
      <c r="E114" s="63">
        <f>+$D$114*B114</f>
        <v>0</v>
      </c>
      <c r="F114" s="87">
        <f>SUM(E114:E125)</f>
        <v>0</v>
      </c>
      <c r="G114" s="103"/>
      <c r="J114" s="5"/>
      <c r="K114" s="4"/>
      <c r="L114" s="4"/>
    </row>
    <row r="115" spans="1:12" ht="15.75" thickBot="1" x14ac:dyDescent="0.3">
      <c r="A115" s="19" t="s">
        <v>173</v>
      </c>
      <c r="B115" s="23">
        <f>+'Despacho Horario Producto No. 3'!AB106</f>
        <v>1970249.6785729816</v>
      </c>
      <c r="C115" s="90"/>
      <c r="D115" s="93"/>
      <c r="E115" s="63">
        <f t="shared" ref="E115:E125" si="26">+$D$114*B115</f>
        <v>0</v>
      </c>
      <c r="F115" s="90"/>
      <c r="G115" s="102"/>
      <c r="K115" s="5"/>
    </row>
    <row r="116" spans="1:12" ht="15.75" thickBot="1" x14ac:dyDescent="0.3">
      <c r="A116" s="19" t="s">
        <v>174</v>
      </c>
      <c r="B116" s="23">
        <f>+'Despacho Horario Producto No. 3'!AB107</f>
        <v>2163067.9497075826</v>
      </c>
      <c r="C116" s="90"/>
      <c r="D116" s="93"/>
      <c r="E116" s="63">
        <f t="shared" si="26"/>
        <v>0</v>
      </c>
      <c r="F116" s="90"/>
      <c r="G116" s="102"/>
    </row>
    <row r="117" spans="1:12" ht="20.25" thickBot="1" x14ac:dyDescent="0.3">
      <c r="A117" s="19" t="s">
        <v>175</v>
      </c>
      <c r="B117" s="23">
        <f>+'Despacho Horario Producto No. 3'!AB108</f>
        <v>2090492.3232142483</v>
      </c>
      <c r="C117" s="90"/>
      <c r="D117" s="93"/>
      <c r="E117" s="63">
        <f t="shared" si="26"/>
        <v>0</v>
      </c>
      <c r="F117" s="90"/>
      <c r="G117" s="102"/>
      <c r="H117" s="6"/>
      <c r="J117" s="6"/>
      <c r="K117" s="6"/>
    </row>
    <row r="118" spans="1:12" ht="15.75" thickBot="1" x14ac:dyDescent="0.3">
      <c r="A118" s="19" t="s">
        <v>176</v>
      </c>
      <c r="B118" s="23">
        <f>+'Despacho Horario Producto No. 3'!AB109</f>
        <v>2163457.8722269037</v>
      </c>
      <c r="C118" s="90"/>
      <c r="D118" s="93"/>
      <c r="E118" s="63">
        <f t="shared" si="26"/>
        <v>0</v>
      </c>
      <c r="F118" s="90"/>
      <c r="G118" s="102"/>
    </row>
    <row r="119" spans="1:12" ht="15.75" thickBot="1" x14ac:dyDescent="0.3">
      <c r="A119" s="19" t="s">
        <v>177</v>
      </c>
      <c r="B119" s="23">
        <f>+'Despacho Horario Producto No. 3'!AB110</f>
        <v>2081469.6392543819</v>
      </c>
      <c r="C119" s="90"/>
      <c r="D119" s="93"/>
      <c r="E119" s="63">
        <f t="shared" si="26"/>
        <v>0</v>
      </c>
      <c r="F119" s="90"/>
      <c r="G119" s="102"/>
    </row>
    <row r="120" spans="1:12" ht="15.75" thickBot="1" x14ac:dyDescent="0.3">
      <c r="A120" s="19" t="s">
        <v>178</v>
      </c>
      <c r="B120" s="23">
        <f>+'Despacho Horario Producto No. 3'!AB111</f>
        <v>2156458.6293998272</v>
      </c>
      <c r="C120" s="90"/>
      <c r="D120" s="93"/>
      <c r="E120" s="63">
        <f t="shared" si="26"/>
        <v>0</v>
      </c>
      <c r="F120" s="90"/>
      <c r="G120" s="102"/>
    </row>
    <row r="121" spans="1:12" ht="15.75" thickBot="1" x14ac:dyDescent="0.3">
      <c r="A121" s="19" t="s">
        <v>179</v>
      </c>
      <c r="B121" s="23">
        <f>+'Despacho Horario Producto No. 3'!AB112</f>
        <v>2154242.8389308522</v>
      </c>
      <c r="C121" s="90"/>
      <c r="D121" s="93"/>
      <c r="E121" s="63">
        <f t="shared" si="26"/>
        <v>0</v>
      </c>
      <c r="F121" s="90"/>
      <c r="G121" s="102"/>
    </row>
    <row r="122" spans="1:12" ht="15.75" thickBot="1" x14ac:dyDescent="0.3">
      <c r="A122" s="19" t="s">
        <v>180</v>
      </c>
      <c r="B122" s="23">
        <f>+'Despacho Horario Producto No. 3'!AB113</f>
        <v>2099188.2612695722</v>
      </c>
      <c r="C122" s="90"/>
      <c r="D122" s="93"/>
      <c r="E122" s="63">
        <f t="shared" si="26"/>
        <v>0</v>
      </c>
      <c r="F122" s="90"/>
      <c r="G122" s="102"/>
    </row>
    <row r="123" spans="1:12" ht="15.75" thickBot="1" x14ac:dyDescent="0.3">
      <c r="A123" s="19" t="s">
        <v>181</v>
      </c>
      <c r="B123" s="23">
        <f>+'Despacho Horario Producto No. 3'!AB114</f>
        <v>2148569.1293598437</v>
      </c>
      <c r="C123" s="90"/>
      <c r="D123" s="93"/>
      <c r="E123" s="63">
        <f t="shared" si="26"/>
        <v>0</v>
      </c>
      <c r="F123" s="90"/>
      <c r="G123" s="102"/>
    </row>
    <row r="124" spans="1:12" ht="15.75" thickBot="1" x14ac:dyDescent="0.3">
      <c r="A124" s="19" t="s">
        <v>182</v>
      </c>
      <c r="B124" s="23">
        <f>+'Despacho Horario Producto No. 3'!AB115</f>
        <v>2083640.8006241312</v>
      </c>
      <c r="C124" s="90"/>
      <c r="D124" s="93"/>
      <c r="E124" s="63">
        <f t="shared" si="26"/>
        <v>0</v>
      </c>
      <c r="F124" s="90"/>
      <c r="G124" s="102"/>
    </row>
    <row r="125" spans="1:12" ht="15.75" thickBot="1" x14ac:dyDescent="0.3">
      <c r="A125" s="20" t="s">
        <v>183</v>
      </c>
      <c r="B125" s="23">
        <f>+'Despacho Horario Producto No. 3'!AB116</f>
        <v>2185855.0473403614</v>
      </c>
      <c r="C125" s="91"/>
      <c r="D125" s="94"/>
      <c r="E125" s="63">
        <f t="shared" si="26"/>
        <v>0</v>
      </c>
      <c r="F125" s="91"/>
      <c r="G125" s="104"/>
    </row>
    <row r="126" spans="1:12" ht="15.75" thickBot="1" x14ac:dyDescent="0.3">
      <c r="A126" s="38" t="s">
        <v>7</v>
      </c>
      <c r="B126" s="37">
        <f>SUM(B11:B125)</f>
        <v>225859364.35070378</v>
      </c>
      <c r="C126" s="37">
        <f>SUM(C11:C125)</f>
        <v>225859364.35070384</v>
      </c>
      <c r="D126" s="18"/>
      <c r="E126" s="37">
        <f>SUM(E11:E101)</f>
        <v>0</v>
      </c>
      <c r="F126" s="37">
        <f>SUM(F11:F101)</f>
        <v>0</v>
      </c>
      <c r="G126" s="37" t="str">
        <f>IFERROR(SUMPRODUCT(F11:F125,G11:G125)/SUM(F11:F125),"")</f>
        <v/>
      </c>
    </row>
    <row r="127" spans="1:12" x14ac:dyDescent="0.25">
      <c r="A127" s="25"/>
      <c r="B127" s="26"/>
      <c r="C127" s="26"/>
      <c r="D127" s="27"/>
      <c r="E127" s="26"/>
      <c r="F127" s="26"/>
      <c r="G127" s="28"/>
      <c r="K127" s="86"/>
    </row>
    <row r="128" spans="1:12" x14ac:dyDescent="0.25">
      <c r="A128" s="29" t="s">
        <v>1</v>
      </c>
      <c r="B128" s="26"/>
      <c r="C128" s="85"/>
      <c r="D128" s="27"/>
      <c r="E128" s="26"/>
      <c r="F128" s="26"/>
      <c r="G128" s="30"/>
    </row>
    <row r="129" spans="1:7" x14ac:dyDescent="0.25">
      <c r="A129" s="97" t="s">
        <v>8</v>
      </c>
      <c r="B129" s="97"/>
      <c r="C129" s="97"/>
      <c r="D129" s="97"/>
      <c r="E129" s="97"/>
      <c r="F129" s="97"/>
      <c r="G129" s="97"/>
    </row>
    <row r="130" spans="1:7" x14ac:dyDescent="0.25">
      <c r="A130" s="97" t="s">
        <v>185</v>
      </c>
      <c r="B130" s="97"/>
      <c r="C130" s="97"/>
      <c r="D130" s="97"/>
      <c r="E130" s="97"/>
      <c r="F130" s="97"/>
      <c r="G130" s="97"/>
    </row>
    <row r="131" spans="1:7" x14ac:dyDescent="0.25">
      <c r="A131" s="97" t="s">
        <v>158</v>
      </c>
      <c r="B131" s="97"/>
      <c r="C131" s="97"/>
      <c r="D131" s="97"/>
      <c r="E131" s="97"/>
      <c r="F131" s="97"/>
      <c r="G131" s="97"/>
    </row>
    <row r="132" spans="1:7" x14ac:dyDescent="0.25">
      <c r="A132" s="97" t="s">
        <v>102</v>
      </c>
      <c r="B132" s="97"/>
      <c r="C132" s="97"/>
      <c r="D132" s="97"/>
      <c r="E132" s="97"/>
      <c r="F132" s="97"/>
      <c r="G132" s="97"/>
    </row>
    <row r="133" spans="1:7" x14ac:dyDescent="0.25">
      <c r="A133" s="97" t="s">
        <v>13</v>
      </c>
      <c r="B133" s="97"/>
      <c r="C133" s="97"/>
      <c r="D133" s="97"/>
      <c r="E133" s="97"/>
      <c r="F133" s="97"/>
      <c r="G133" s="97"/>
    </row>
    <row r="134" spans="1:7" x14ac:dyDescent="0.25">
      <c r="A134" s="97" t="s">
        <v>156</v>
      </c>
      <c r="B134" s="97"/>
      <c r="C134" s="97"/>
      <c r="D134" s="97"/>
      <c r="E134" s="97"/>
      <c r="F134" s="97"/>
      <c r="G134" s="97"/>
    </row>
    <row r="135" spans="1:7" x14ac:dyDescent="0.25">
      <c r="A135" s="31" t="s">
        <v>15</v>
      </c>
      <c r="B135" s="32"/>
      <c r="C135" s="32"/>
      <c r="D135" s="39"/>
      <c r="E135" s="31"/>
      <c r="F135" s="31"/>
      <c r="G135" s="31"/>
    </row>
    <row r="136" spans="1:7" x14ac:dyDescent="0.25">
      <c r="A136" s="97" t="s">
        <v>103</v>
      </c>
      <c r="B136" s="97"/>
      <c r="C136" s="97"/>
      <c r="D136" s="97"/>
      <c r="E136" s="97"/>
      <c r="F136" s="97"/>
      <c r="G136" s="97"/>
    </row>
    <row r="137" spans="1:7" x14ac:dyDescent="0.25">
      <c r="A137" s="25"/>
      <c r="B137" s="26"/>
      <c r="C137" s="26"/>
      <c r="D137" s="27"/>
      <c r="E137" s="26"/>
      <c r="F137" s="26"/>
      <c r="G137" s="30"/>
    </row>
    <row r="138" spans="1:7" x14ac:dyDescent="0.25">
      <c r="A138" s="33" t="s">
        <v>10</v>
      </c>
      <c r="B138" s="34"/>
      <c r="C138" s="34"/>
      <c r="D138" s="35"/>
      <c r="E138" s="34"/>
      <c r="F138" s="34"/>
      <c r="G138" s="30"/>
    </row>
    <row r="139" spans="1:7" x14ac:dyDescent="0.25">
      <c r="A139" s="33"/>
      <c r="B139" s="34"/>
      <c r="C139" s="34"/>
      <c r="D139" s="35"/>
      <c r="E139" s="34"/>
      <c r="F139" s="34"/>
      <c r="G139" s="30"/>
    </row>
    <row r="140" spans="1:7" x14ac:dyDescent="0.25">
      <c r="A140" s="33"/>
      <c r="B140" s="34"/>
      <c r="C140" s="34"/>
      <c r="D140" s="35"/>
      <c r="E140" s="34"/>
      <c r="F140" s="34"/>
      <c r="G140" s="30"/>
    </row>
    <row r="141" spans="1:7" x14ac:dyDescent="0.25">
      <c r="A141" s="96" t="s">
        <v>11</v>
      </c>
      <c r="B141" s="96"/>
      <c r="C141" s="96"/>
      <c r="D141" s="96"/>
      <c r="E141" s="96"/>
      <c r="F141" s="36"/>
      <c r="G141" s="30"/>
    </row>
    <row r="142" spans="1:7" x14ac:dyDescent="0.25">
      <c r="A142" s="95" t="s">
        <v>12</v>
      </c>
      <c r="B142" s="96"/>
      <c r="C142" s="96"/>
      <c r="D142" s="96"/>
      <c r="E142" s="96"/>
      <c r="F142" s="36"/>
      <c r="G142" s="30"/>
    </row>
    <row r="143" spans="1:7" x14ac:dyDescent="0.25">
      <c r="B143" s="3"/>
      <c r="C143" s="3"/>
      <c r="E143" s="3"/>
      <c r="F143" s="3"/>
      <c r="G143" s="3"/>
    </row>
    <row r="144" spans="1:7" x14ac:dyDescent="0.25">
      <c r="B144" s="3"/>
      <c r="C144" s="3"/>
      <c r="E144" s="3"/>
      <c r="F144" s="3"/>
      <c r="G144" s="3"/>
    </row>
    <row r="145" spans="2:7" x14ac:dyDescent="0.25">
      <c r="B145" s="3"/>
      <c r="C145" s="3"/>
      <c r="E145" s="3"/>
      <c r="F145" s="3"/>
      <c r="G145" s="3"/>
    </row>
    <row r="146" spans="2:7" x14ac:dyDescent="0.25">
      <c r="B146" s="3"/>
      <c r="C146" s="3"/>
      <c r="E146" s="3"/>
      <c r="F146" s="3"/>
      <c r="G146" s="3"/>
    </row>
    <row r="147" spans="2:7" x14ac:dyDescent="0.25">
      <c r="B147" s="3"/>
      <c r="C147" s="3"/>
      <c r="E147" s="3"/>
      <c r="F147" s="3"/>
      <c r="G147" s="3"/>
    </row>
    <row r="148" spans="2:7" x14ac:dyDescent="0.25">
      <c r="B148" s="3"/>
      <c r="C148" s="3"/>
      <c r="E148" s="3"/>
      <c r="F148" s="3"/>
      <c r="G148" s="3"/>
    </row>
  </sheetData>
  <protectedRanges>
    <protectedRange sqref="J101:XFD101 A137:G143 H101 J113:XFD113 H113 J125:XFD131 H125:H131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slNfYeAD4q8rlj1W28rNOkyHKUlwLL/uTNg4yqt94wgnvDpOR2LJBDarywTJdp/1duoQiwm3FUarr5gO85Ja+g==" saltValue="u83Hy/MGETHjdp1P1pJP5A==" spinCount="100000" sqref="G93 G21 G33 G45 G57 G69 G105 G117" name="Oferta Económica"/>
  </protectedRanges>
  <mergeCells count="50">
    <mergeCell ref="A5:G6"/>
    <mergeCell ref="B8:G8"/>
    <mergeCell ref="C11:C17"/>
    <mergeCell ref="D11:D17"/>
    <mergeCell ref="F11:F17"/>
    <mergeCell ref="G11:G17"/>
    <mergeCell ref="C18:C29"/>
    <mergeCell ref="D18:D29"/>
    <mergeCell ref="F18:F29"/>
    <mergeCell ref="G18:G29"/>
    <mergeCell ref="C30:C41"/>
    <mergeCell ref="D30:D41"/>
    <mergeCell ref="F30:F41"/>
    <mergeCell ref="G30:G41"/>
    <mergeCell ref="C42:C53"/>
    <mergeCell ref="D42:D53"/>
    <mergeCell ref="F42:F53"/>
    <mergeCell ref="G42:G53"/>
    <mergeCell ref="C54:C65"/>
    <mergeCell ref="D54:D65"/>
    <mergeCell ref="F54:F65"/>
    <mergeCell ref="G54:G65"/>
    <mergeCell ref="C66:C77"/>
    <mergeCell ref="D66:D77"/>
    <mergeCell ref="F66:F77"/>
    <mergeCell ref="G66:G77"/>
    <mergeCell ref="C78:C89"/>
    <mergeCell ref="D78:D89"/>
    <mergeCell ref="F78:F89"/>
    <mergeCell ref="C90:C101"/>
    <mergeCell ref="D90:D101"/>
    <mergeCell ref="F90:F101"/>
    <mergeCell ref="G90:G101"/>
    <mergeCell ref="A129:G129"/>
    <mergeCell ref="A142:E142"/>
    <mergeCell ref="C102:C113"/>
    <mergeCell ref="D102:D113"/>
    <mergeCell ref="F102:F113"/>
    <mergeCell ref="G102:G113"/>
    <mergeCell ref="C114:C125"/>
    <mergeCell ref="D114:D125"/>
    <mergeCell ref="F114:F125"/>
    <mergeCell ref="G114:G125"/>
    <mergeCell ref="A131:G131"/>
    <mergeCell ref="A132:G132"/>
    <mergeCell ref="A133:G133"/>
    <mergeCell ref="A134:G134"/>
    <mergeCell ref="A136:G136"/>
    <mergeCell ref="A141:E141"/>
    <mergeCell ref="A130:G130"/>
  </mergeCells>
  <conditionalFormatting sqref="G11:G126">
    <cfRule type="containsText" dxfId="0" priority="1" operator="containsText" text="No cumple con la relación requerida para ofertar">
      <formula>NOT(ISERROR(SEARCH("No cumple con la relación requerida para ofertar",G11)))</formula>
    </cfRule>
  </conditionalFormatting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C681-4786-43F5-BFA8-2A924A84DC49}">
  <dimension ref="A1:AD117"/>
  <sheetViews>
    <sheetView topLeftCell="A87" zoomScale="60" zoomScaleNormal="60" workbookViewId="0">
      <selection activeCell="AA124" sqref="AA124"/>
    </sheetView>
  </sheetViews>
  <sheetFormatPr baseColWidth="10" defaultColWidth="8.140625" defaultRowHeight="15" x14ac:dyDescent="0.25"/>
  <cols>
    <col min="1" max="1" width="8.42578125" customWidth="1"/>
    <col min="2" max="2" width="9.7109375" customWidth="1"/>
    <col min="3" max="3" width="15" customWidth="1"/>
    <col min="4" max="8" width="4.7109375" customWidth="1"/>
    <col min="9" max="9" width="6.42578125" customWidth="1"/>
    <col min="10" max="21" width="10" customWidth="1"/>
    <col min="22" max="22" width="7.140625" customWidth="1"/>
    <col min="23" max="27" width="6.140625" customWidth="1"/>
    <col min="28" max="28" width="15.85546875" customWidth="1"/>
    <col min="30" max="30" width="8.140625" style="65"/>
  </cols>
  <sheetData>
    <row r="1" spans="1:28" ht="15.75" thickBot="1" x14ac:dyDescent="0.3">
      <c r="A1" t="s">
        <v>105</v>
      </c>
      <c r="B1" s="67" t="s">
        <v>9</v>
      </c>
      <c r="C1" s="68" t="s">
        <v>159</v>
      </c>
      <c r="D1" s="69" t="s">
        <v>108</v>
      </c>
      <c r="E1" s="70" t="s">
        <v>109</v>
      </c>
      <c r="F1" s="71" t="s">
        <v>110</v>
      </c>
      <c r="G1" s="71" t="s">
        <v>111</v>
      </c>
      <c r="H1" s="71" t="s">
        <v>112</v>
      </c>
      <c r="I1" s="71" t="s">
        <v>113</v>
      </c>
      <c r="J1" s="71" t="s">
        <v>114</v>
      </c>
      <c r="K1" s="71" t="s">
        <v>115</v>
      </c>
      <c r="L1" s="71" t="s">
        <v>116</v>
      </c>
      <c r="M1" s="71" t="s">
        <v>117</v>
      </c>
      <c r="N1" s="71" t="s">
        <v>118</v>
      </c>
      <c r="O1" s="71" t="s">
        <v>119</v>
      </c>
      <c r="P1" s="71" t="s">
        <v>120</v>
      </c>
      <c r="Q1" s="71" t="s">
        <v>121</v>
      </c>
      <c r="R1" s="71" t="s">
        <v>122</v>
      </c>
      <c r="S1" s="71" t="s">
        <v>123</v>
      </c>
      <c r="T1" s="71" t="s">
        <v>124</v>
      </c>
      <c r="U1" s="71" t="s">
        <v>125</v>
      </c>
      <c r="V1" s="71" t="s">
        <v>126</v>
      </c>
      <c r="W1" s="71" t="s">
        <v>127</v>
      </c>
      <c r="X1" s="71" t="s">
        <v>128</v>
      </c>
      <c r="Y1" s="71" t="s">
        <v>129</v>
      </c>
      <c r="Z1" s="71" t="s">
        <v>130</v>
      </c>
      <c r="AA1" s="72" t="s">
        <v>131</v>
      </c>
      <c r="AB1" s="73" t="s">
        <v>133</v>
      </c>
    </row>
    <row r="2" spans="1:28" x14ac:dyDescent="0.25">
      <c r="A2">
        <f>+YEAR(B2)</f>
        <v>2026</v>
      </c>
      <c r="B2" s="74">
        <v>46174</v>
      </c>
      <c r="C2" s="75">
        <v>1752241.087385586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1.375151428940836</v>
      </c>
      <c r="J2" s="75">
        <v>221.84281514268901</v>
      </c>
      <c r="K2" s="75">
        <v>2256.6261695639846</v>
      </c>
      <c r="L2" s="75">
        <v>4960.204339731803</v>
      </c>
      <c r="M2" s="75">
        <v>6407.6537668746105</v>
      </c>
      <c r="N2" s="75">
        <v>7181.2814802133253</v>
      </c>
      <c r="O2" s="75">
        <v>7378.0393795479595</v>
      </c>
      <c r="P2" s="75">
        <v>7318.0573455082776</v>
      </c>
      <c r="Q2" s="75">
        <v>6945.3203958705717</v>
      </c>
      <c r="R2" s="75">
        <v>6408.6090267211921</v>
      </c>
      <c r="S2" s="75">
        <v>5441.9307176566126</v>
      </c>
      <c r="T2" s="75">
        <v>3261.8619367950569</v>
      </c>
      <c r="U2" s="75">
        <v>624.59310028146695</v>
      </c>
      <c r="V2" s="75">
        <v>0.64062084969737609</v>
      </c>
      <c r="W2" s="75">
        <v>0</v>
      </c>
      <c r="X2" s="75">
        <v>0</v>
      </c>
      <c r="Y2" s="75">
        <v>0</v>
      </c>
      <c r="Z2" s="75">
        <v>0</v>
      </c>
      <c r="AA2" s="76">
        <v>0</v>
      </c>
      <c r="AB2" s="77">
        <f>SUM(D2:AA2)*_xlfn.DAYS(B3,B2)</f>
        <v>1752241.0873855858</v>
      </c>
    </row>
    <row r="3" spans="1:28" x14ac:dyDescent="0.25">
      <c r="A3">
        <f t="shared" ref="A3:A66" si="0">+YEAR(B3)</f>
        <v>2026</v>
      </c>
      <c r="B3" s="78">
        <v>46204</v>
      </c>
      <c r="C3" s="79">
        <v>1816398.0287731397</v>
      </c>
      <c r="D3" s="75">
        <v>0</v>
      </c>
      <c r="E3" s="75">
        <v>0</v>
      </c>
      <c r="F3" s="75">
        <v>0</v>
      </c>
      <c r="G3" s="75">
        <v>0</v>
      </c>
      <c r="H3" s="75">
        <v>0</v>
      </c>
      <c r="I3" s="75">
        <v>1.3795176062508496</v>
      </c>
      <c r="J3" s="75">
        <v>222.54717761905391</v>
      </c>
      <c r="K3" s="75">
        <v>2263.7910750219398</v>
      </c>
      <c r="L3" s="75">
        <v>4975.9532464960921</v>
      </c>
      <c r="M3" s="75">
        <v>6427.9984008535012</v>
      </c>
      <c r="N3" s="75">
        <v>7204.0824224192875</v>
      </c>
      <c r="O3" s="75">
        <v>7401.4650383179023</v>
      </c>
      <c r="P3" s="75">
        <v>7341.2925582004136</v>
      </c>
      <c r="Q3" s="75">
        <v>6967.3721493611529</v>
      </c>
      <c r="R3" s="75">
        <v>6428.9566936997799</v>
      </c>
      <c r="S3" s="75">
        <v>5459.209130725927</v>
      </c>
      <c r="T3" s="75">
        <v>3272.2185180973793</v>
      </c>
      <c r="U3" s="75">
        <v>626.57621586062919</v>
      </c>
      <c r="V3" s="75">
        <v>0.6426548542145547</v>
      </c>
      <c r="W3" s="75">
        <v>0</v>
      </c>
      <c r="X3" s="75">
        <v>0</v>
      </c>
      <c r="Y3" s="75">
        <v>0</v>
      </c>
      <c r="Z3" s="75">
        <v>0</v>
      </c>
      <c r="AA3" s="76">
        <v>0</v>
      </c>
      <c r="AB3" s="80">
        <f t="shared" ref="AB3:AB66" si="1">SUM(D3:AA3)*_xlfn.DAYS(B4,B3)</f>
        <v>1816398.0287731392</v>
      </c>
    </row>
    <row r="4" spans="1:28" x14ac:dyDescent="0.25">
      <c r="A4">
        <f t="shared" si="0"/>
        <v>2026</v>
      </c>
      <c r="B4" s="78">
        <v>46235</v>
      </c>
      <c r="C4" s="79">
        <v>1814296.9613033491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1.377921887955309</v>
      </c>
      <c r="J4" s="75">
        <v>222.28975241379484</v>
      </c>
      <c r="K4" s="75">
        <v>2261.1724981952825</v>
      </c>
      <c r="L4" s="75">
        <v>4970.1974521537722</v>
      </c>
      <c r="M4" s="75">
        <v>6420.5629940087674</v>
      </c>
      <c r="N4" s="75">
        <v>7195.7493021517766</v>
      </c>
      <c r="O4" s="75">
        <v>7392.9036012460356</v>
      </c>
      <c r="P4" s="75">
        <v>7332.8007239570852</v>
      </c>
      <c r="Q4" s="75">
        <v>6959.3128370622744</v>
      </c>
      <c r="R4" s="75">
        <v>6421.520178376677</v>
      </c>
      <c r="S4" s="75">
        <v>5452.8943436948593</v>
      </c>
      <c r="T4" s="75">
        <v>3268.4334711123502</v>
      </c>
      <c r="U4" s="75">
        <v>625.85144139840497</v>
      </c>
      <c r="V4" s="75">
        <v>0.64191148123842046</v>
      </c>
      <c r="W4" s="75">
        <v>0</v>
      </c>
      <c r="X4" s="75">
        <v>0</v>
      </c>
      <c r="Y4" s="75">
        <v>0</v>
      </c>
      <c r="Z4" s="75">
        <v>0</v>
      </c>
      <c r="AA4" s="76">
        <v>0</v>
      </c>
      <c r="AB4" s="80">
        <f t="shared" si="1"/>
        <v>1814296.9613033487</v>
      </c>
    </row>
    <row r="5" spans="1:28" x14ac:dyDescent="0.25">
      <c r="A5">
        <f t="shared" si="0"/>
        <v>2026</v>
      </c>
      <c r="B5" s="78">
        <v>46266</v>
      </c>
      <c r="C5" s="79">
        <v>1770367.7724690519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1.389377175086123</v>
      </c>
      <c r="J5" s="75">
        <v>224.137747545011</v>
      </c>
      <c r="K5" s="75">
        <v>2279.970646657503</v>
      </c>
      <c r="L5" s="75">
        <v>5011.5169488603287</v>
      </c>
      <c r="M5" s="75">
        <v>6473.9400346674283</v>
      </c>
      <c r="N5" s="75">
        <v>7255.5708167804605</v>
      </c>
      <c r="O5" s="75">
        <v>7454.3641486275501</v>
      </c>
      <c r="P5" s="75">
        <v>7393.7616089682197</v>
      </c>
      <c r="Q5" s="75">
        <v>7017.1687485464936</v>
      </c>
      <c r="R5" s="75">
        <v>6474.9051765413969</v>
      </c>
      <c r="S5" s="75">
        <v>5498.2267177191288</v>
      </c>
      <c r="T5" s="75">
        <v>3295.6054350725954</v>
      </c>
      <c r="U5" s="75">
        <v>631.0544271591516</v>
      </c>
      <c r="V5" s="75">
        <v>0.64724798136548056</v>
      </c>
      <c r="W5" s="75">
        <v>0</v>
      </c>
      <c r="X5" s="75">
        <v>0</v>
      </c>
      <c r="Y5" s="75">
        <v>0</v>
      </c>
      <c r="Z5" s="75">
        <v>0</v>
      </c>
      <c r="AA5" s="76">
        <v>0</v>
      </c>
      <c r="AB5" s="80">
        <f t="shared" si="1"/>
        <v>1770367.7724690516</v>
      </c>
    </row>
    <row r="6" spans="1:28" x14ac:dyDescent="0.25">
      <c r="A6">
        <f t="shared" si="0"/>
        <v>2026</v>
      </c>
      <c r="B6" s="78">
        <v>46296</v>
      </c>
      <c r="C6" s="79">
        <v>1808727.2829305532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1.3736918297551159</v>
      </c>
      <c r="J6" s="75">
        <v>221.60734900745069</v>
      </c>
      <c r="K6" s="75">
        <v>2254.2309644612947</v>
      </c>
      <c r="L6" s="75">
        <v>4954.9395302985213</v>
      </c>
      <c r="M6" s="75">
        <v>6400.8526204527134</v>
      </c>
      <c r="N6" s="75">
        <v>7173.6591977647513</v>
      </c>
      <c r="O6" s="75">
        <v>7370.2082563392996</v>
      </c>
      <c r="P6" s="75">
        <v>7310.289887817612</v>
      </c>
      <c r="Q6" s="75">
        <v>6937.9485648263444</v>
      </c>
      <c r="R6" s="75">
        <v>6401.8068663771446</v>
      </c>
      <c r="S6" s="75">
        <v>5436.1545991309931</v>
      </c>
      <c r="T6" s="75">
        <v>3258.3997646104672</v>
      </c>
      <c r="U6" s="75">
        <v>623.93015105173777</v>
      </c>
      <c r="V6" s="75">
        <v>0.63994088845754826</v>
      </c>
      <c r="W6" s="75">
        <v>0</v>
      </c>
      <c r="X6" s="75">
        <v>0</v>
      </c>
      <c r="Y6" s="75">
        <v>0</v>
      </c>
      <c r="Z6" s="75">
        <v>0</v>
      </c>
      <c r="AA6" s="76">
        <v>0</v>
      </c>
      <c r="AB6" s="80">
        <f t="shared" si="1"/>
        <v>1808727.282930553</v>
      </c>
    </row>
    <row r="7" spans="1:28" x14ac:dyDescent="0.25">
      <c r="A7">
        <f t="shared" si="0"/>
        <v>2026</v>
      </c>
      <c r="B7" s="78">
        <v>46327</v>
      </c>
      <c r="C7" s="79">
        <v>1754745.6004481013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1.3771169602490065</v>
      </c>
      <c r="J7" s="75">
        <v>222.15989949389495</v>
      </c>
      <c r="K7" s="75">
        <v>2259.8516102636545</v>
      </c>
      <c r="L7" s="75">
        <v>4967.2940585216638</v>
      </c>
      <c r="M7" s="75">
        <v>6416.8123539404787</v>
      </c>
      <c r="N7" s="75">
        <v>7191.5458287680258</v>
      </c>
      <c r="O7" s="75">
        <v>7388.5849580844151</v>
      </c>
      <c r="P7" s="75">
        <v>7328.5171905296102</v>
      </c>
      <c r="Q7" s="75">
        <v>6955.2474805508909</v>
      </c>
      <c r="R7" s="75">
        <v>6417.7689791589728</v>
      </c>
      <c r="S7" s="75">
        <v>5449.7089775466429</v>
      </c>
      <c r="T7" s="75">
        <v>3266.5241809848749</v>
      </c>
      <c r="U7" s="75">
        <v>625.48584363149644</v>
      </c>
      <c r="V7" s="75">
        <v>0.6415365018286594</v>
      </c>
      <c r="W7" s="75">
        <v>0</v>
      </c>
      <c r="X7" s="75">
        <v>0</v>
      </c>
      <c r="Y7" s="75">
        <v>0</v>
      </c>
      <c r="Z7" s="75">
        <v>0</v>
      </c>
      <c r="AA7" s="76">
        <v>0</v>
      </c>
      <c r="AB7" s="80">
        <f t="shared" si="1"/>
        <v>1754745.6004481008</v>
      </c>
    </row>
    <row r="8" spans="1:28" x14ac:dyDescent="0.25">
      <c r="A8">
        <f t="shared" si="0"/>
        <v>2026</v>
      </c>
      <c r="B8" s="78">
        <v>46357</v>
      </c>
      <c r="C8" s="79">
        <v>1845870.5713389958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1.401901406897252</v>
      </c>
      <c r="J8" s="75">
        <v>226.15818746457711</v>
      </c>
      <c r="K8" s="75">
        <v>2300.5229354192197</v>
      </c>
      <c r="L8" s="75">
        <v>5056.6921547859893</v>
      </c>
      <c r="M8" s="75">
        <v>6532.297928534872</v>
      </c>
      <c r="N8" s="75">
        <v>7320.9745476469834</v>
      </c>
      <c r="O8" s="75">
        <v>7521.5598578101144</v>
      </c>
      <c r="P8" s="75">
        <v>7460.4110300235243</v>
      </c>
      <c r="Q8" s="75">
        <v>7080.4234569442742</v>
      </c>
      <c r="R8" s="75">
        <v>6533.2717704657971</v>
      </c>
      <c r="S8" s="75">
        <v>5547.789260704325</v>
      </c>
      <c r="T8" s="75">
        <v>3325.3129379501397</v>
      </c>
      <c r="U8" s="75">
        <v>636.74292706609049</v>
      </c>
      <c r="V8" s="75">
        <v>0.6530824544684406</v>
      </c>
      <c r="W8" s="75">
        <v>0</v>
      </c>
      <c r="X8" s="75">
        <v>0</v>
      </c>
      <c r="Y8" s="75">
        <v>0</v>
      </c>
      <c r="Z8" s="75">
        <v>0</v>
      </c>
      <c r="AA8" s="76">
        <v>0</v>
      </c>
      <c r="AB8" s="80">
        <f t="shared" si="1"/>
        <v>1845870.5713389956</v>
      </c>
    </row>
    <row r="9" spans="1:28" x14ac:dyDescent="0.25">
      <c r="A9">
        <f t="shared" si="0"/>
        <v>2027</v>
      </c>
      <c r="B9" s="78">
        <v>46388</v>
      </c>
      <c r="C9" s="79">
        <v>1864971.9116549594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1.4164084889637629</v>
      </c>
      <c r="J9" s="75">
        <v>228.49850567056521</v>
      </c>
      <c r="K9" s="75">
        <v>2324.3290853066655</v>
      </c>
      <c r="L9" s="75">
        <v>5109.0195493614192</v>
      </c>
      <c r="M9" s="75">
        <v>6599.8951088115446</v>
      </c>
      <c r="N9" s="75">
        <v>7396.7330696422014</v>
      </c>
      <c r="O9" s="75">
        <v>7599.3940661136257</v>
      </c>
      <c r="P9" s="75">
        <v>7537.612461258258</v>
      </c>
      <c r="Q9" s="75">
        <v>7153.692720852694</v>
      </c>
      <c r="R9" s="75">
        <v>6600.8790282020855</v>
      </c>
      <c r="S9" s="75">
        <v>5605.1986004030932</v>
      </c>
      <c r="T9" s="75">
        <v>3359.7237655948902</v>
      </c>
      <c r="U9" s="75">
        <v>643.33203658033403</v>
      </c>
      <c r="V9" s="75">
        <v>0.65984064781681662</v>
      </c>
      <c r="W9" s="75">
        <v>0</v>
      </c>
      <c r="X9" s="75">
        <v>0</v>
      </c>
      <c r="Y9" s="75">
        <v>0</v>
      </c>
      <c r="Z9" s="75">
        <v>0</v>
      </c>
      <c r="AA9" s="76">
        <v>0</v>
      </c>
      <c r="AB9" s="80">
        <f t="shared" si="1"/>
        <v>1864971.911654959</v>
      </c>
    </row>
    <row r="10" spans="1:28" x14ac:dyDescent="0.25">
      <c r="A10">
        <f t="shared" si="0"/>
        <v>2027</v>
      </c>
      <c r="B10" s="78">
        <v>46419</v>
      </c>
      <c r="C10" s="79">
        <v>1697293.210470767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1.4271734640568996</v>
      </c>
      <c r="J10" s="75">
        <v>230.2351379638115</v>
      </c>
      <c r="K10" s="75">
        <v>2341.9944303723996</v>
      </c>
      <c r="L10" s="75">
        <v>5147.849073914369</v>
      </c>
      <c r="M10" s="75">
        <v>6650.055572418798</v>
      </c>
      <c r="N10" s="75">
        <v>7452.9496539720039</v>
      </c>
      <c r="O10" s="75">
        <v>7657.1509127310128</v>
      </c>
      <c r="P10" s="75">
        <v>7594.8997558765823</v>
      </c>
      <c r="Q10" s="75">
        <v>7208.0621521036119</v>
      </c>
      <c r="R10" s="75">
        <v>6651.0469697846647</v>
      </c>
      <c r="S10" s="75">
        <v>5647.7991805292186</v>
      </c>
      <c r="T10" s="75">
        <v>3385.2583080226241</v>
      </c>
      <c r="U10" s="75">
        <v>648.22148295428997</v>
      </c>
      <c r="V10" s="75">
        <v>0.66485556278981561</v>
      </c>
      <c r="W10" s="75">
        <v>0</v>
      </c>
      <c r="X10" s="75">
        <v>0</v>
      </c>
      <c r="Y10" s="75">
        <v>0</v>
      </c>
      <c r="Z10" s="75">
        <v>0</v>
      </c>
      <c r="AA10" s="76">
        <v>0</v>
      </c>
      <c r="AB10" s="80">
        <f t="shared" si="1"/>
        <v>1697293.2104707665</v>
      </c>
    </row>
    <row r="11" spans="1:28" x14ac:dyDescent="0.25">
      <c r="A11">
        <f t="shared" si="0"/>
        <v>2027</v>
      </c>
      <c r="B11" s="78">
        <v>46447</v>
      </c>
      <c r="C11" s="79">
        <v>1860913.9065968567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1.4133265161058157</v>
      </c>
      <c r="J11" s="75">
        <v>228.00131421905581</v>
      </c>
      <c r="K11" s="75">
        <v>2319.2715618523316</v>
      </c>
      <c r="L11" s="75">
        <v>5097.9027989998249</v>
      </c>
      <c r="M11" s="75">
        <v>6585.5343521872055</v>
      </c>
      <c r="N11" s="75">
        <v>7380.6384678830755</v>
      </c>
      <c r="O11" s="75">
        <v>7582.8584929148637</v>
      </c>
      <c r="P11" s="75">
        <v>7521.211319073409</v>
      </c>
      <c r="Q11" s="75">
        <v>7138.1269522403554</v>
      </c>
      <c r="R11" s="75">
        <v>6586.516130660857</v>
      </c>
      <c r="S11" s="75">
        <v>5593.0022106719898</v>
      </c>
      <c r="T11" s="75">
        <v>3352.4133198185168</v>
      </c>
      <c r="U11" s="75">
        <v>641.93220602944621</v>
      </c>
      <c r="V11" s="75">
        <v>0.65840489606653618</v>
      </c>
      <c r="W11" s="75">
        <v>0</v>
      </c>
      <c r="X11" s="75">
        <v>0</v>
      </c>
      <c r="Y11" s="75">
        <v>0</v>
      </c>
      <c r="Z11" s="75">
        <v>0</v>
      </c>
      <c r="AA11" s="76">
        <v>0</v>
      </c>
      <c r="AB11" s="80">
        <f t="shared" si="1"/>
        <v>1860913.906596856</v>
      </c>
    </row>
    <row r="12" spans="1:28" x14ac:dyDescent="0.25">
      <c r="A12">
        <f t="shared" si="0"/>
        <v>2027</v>
      </c>
      <c r="B12" s="78">
        <v>46478</v>
      </c>
      <c r="C12" s="79">
        <v>1798120.1511876339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1.411157125074801</v>
      </c>
      <c r="J12" s="75">
        <v>227.65134271530928</v>
      </c>
      <c r="K12" s="75">
        <v>2315.7115869509666</v>
      </c>
      <c r="L12" s="75">
        <v>5090.0777532774764</v>
      </c>
      <c r="M12" s="75">
        <v>6575.425860628271</v>
      </c>
      <c r="N12" s="75">
        <v>7369.309528170329</v>
      </c>
      <c r="O12" s="75">
        <v>7571.2191547884495</v>
      </c>
      <c r="P12" s="75">
        <v>7509.6666065161698</v>
      </c>
      <c r="Q12" s="75">
        <v>7127.1702565214482</v>
      </c>
      <c r="R12" s="75">
        <v>6576.4061321172376</v>
      </c>
      <c r="S12" s="75">
        <v>5584.4172101827116</v>
      </c>
      <c r="T12" s="75">
        <v>3347.2675199588307</v>
      </c>
      <c r="U12" s="75">
        <v>640.94686969392126</v>
      </c>
      <c r="V12" s="75">
        <v>0.65739427491139191</v>
      </c>
      <c r="W12" s="75">
        <v>0</v>
      </c>
      <c r="X12" s="75">
        <v>0</v>
      </c>
      <c r="Y12" s="75">
        <v>0</v>
      </c>
      <c r="Z12" s="75">
        <v>0</v>
      </c>
      <c r="AA12" s="76">
        <v>0</v>
      </c>
      <c r="AB12" s="80">
        <f t="shared" si="1"/>
        <v>1798120.1511876332</v>
      </c>
    </row>
    <row r="13" spans="1:28" x14ac:dyDescent="0.25">
      <c r="A13">
        <f t="shared" si="0"/>
        <v>2027</v>
      </c>
      <c r="B13" s="78">
        <v>46508</v>
      </c>
      <c r="C13" s="79">
        <v>1861354.0236931359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1.4136607761487752</v>
      </c>
      <c r="J13" s="75">
        <v>228.05523787237803</v>
      </c>
      <c r="K13" s="75">
        <v>2319.820083232964</v>
      </c>
      <c r="L13" s="75">
        <v>5099.1084830290838</v>
      </c>
      <c r="M13" s="75">
        <v>6587.0918698382138</v>
      </c>
      <c r="N13" s="75">
        <v>7382.3840323391505</v>
      </c>
      <c r="O13" s="75">
        <v>7584.6518835975639</v>
      </c>
      <c r="P13" s="75">
        <v>7522.9901298365057</v>
      </c>
      <c r="Q13" s="75">
        <v>7139.8151612950332</v>
      </c>
      <c r="R13" s="75">
        <v>6588.0738805082556</v>
      </c>
      <c r="S13" s="75">
        <v>5594.3249886273361</v>
      </c>
      <c r="T13" s="75">
        <v>3353.2061853082182</v>
      </c>
      <c r="U13" s="75">
        <v>642.08402677597519</v>
      </c>
      <c r="V13" s="75">
        <v>0.65856061270125288</v>
      </c>
      <c r="W13" s="75">
        <v>0</v>
      </c>
      <c r="X13" s="75">
        <v>0</v>
      </c>
      <c r="Y13" s="75">
        <v>0</v>
      </c>
      <c r="Z13" s="75">
        <v>0</v>
      </c>
      <c r="AA13" s="76">
        <v>0</v>
      </c>
      <c r="AB13" s="80">
        <f t="shared" si="1"/>
        <v>1861354.0236931357</v>
      </c>
    </row>
    <row r="14" spans="1:28" x14ac:dyDescent="0.25">
      <c r="A14">
        <f t="shared" si="0"/>
        <v>2027</v>
      </c>
      <c r="B14" s="78">
        <v>46539</v>
      </c>
      <c r="C14" s="79">
        <v>1789118.4991760564</v>
      </c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1.4040926664705242</v>
      </c>
      <c r="J14" s="75">
        <v>226.51168685541688</v>
      </c>
      <c r="K14" s="75">
        <v>2304.1187966409634</v>
      </c>
      <c r="L14" s="75">
        <v>5064.5960808672035</v>
      </c>
      <c r="M14" s="75">
        <v>6542.5083187241835</v>
      </c>
      <c r="N14" s="75">
        <v>7332.4176887154554</v>
      </c>
      <c r="O14" s="75">
        <v>7533.3165262628863</v>
      </c>
      <c r="P14" s="75">
        <v>7472.0721190342447</v>
      </c>
      <c r="Q14" s="75">
        <v>7091.4906016140176</v>
      </c>
      <c r="R14" s="75">
        <v>6543.4836828309526</v>
      </c>
      <c r="S14" s="75">
        <v>5556.4608022750836</v>
      </c>
      <c r="T14" s="75">
        <v>3330.5106100357516</v>
      </c>
      <c r="U14" s="75">
        <v>637.73819608271481</v>
      </c>
      <c r="V14" s="75">
        <v>0.65410326318826151</v>
      </c>
      <c r="W14" s="75">
        <v>0</v>
      </c>
      <c r="X14" s="75">
        <v>0</v>
      </c>
      <c r="Y14" s="75">
        <v>0</v>
      </c>
      <c r="Z14" s="75">
        <v>0</v>
      </c>
      <c r="AA14" s="76">
        <v>0</v>
      </c>
      <c r="AB14" s="80">
        <f t="shared" si="1"/>
        <v>1789118.4991760559</v>
      </c>
    </row>
    <row r="15" spans="1:28" x14ac:dyDescent="0.25">
      <c r="A15">
        <f t="shared" si="0"/>
        <v>2027</v>
      </c>
      <c r="B15" s="78">
        <v>46569</v>
      </c>
      <c r="C15" s="79">
        <v>1854369.457304236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1.4083561390852657</v>
      </c>
      <c r="J15" s="75">
        <v>227.19948075740672</v>
      </c>
      <c r="K15" s="75">
        <v>2311.1151634942162</v>
      </c>
      <c r="L15" s="75">
        <v>5079.9745293208816</v>
      </c>
      <c r="M15" s="75">
        <v>6562.3743900417685</v>
      </c>
      <c r="N15" s="75">
        <v>7354.6822890243984</v>
      </c>
      <c r="O15" s="75">
        <v>7556.191148055932</v>
      </c>
      <c r="P15" s="75">
        <v>7494.760774573595</v>
      </c>
      <c r="Q15" s="75">
        <v>7113.0236362204014</v>
      </c>
      <c r="R15" s="75">
        <v>6563.3527158036022</v>
      </c>
      <c r="S15" s="75">
        <v>5573.3327787700073</v>
      </c>
      <c r="T15" s="75">
        <v>3340.6235755957005</v>
      </c>
      <c r="U15" s="75">
        <v>639.67466323997746</v>
      </c>
      <c r="V15" s="75">
        <v>0.65608942223346645</v>
      </c>
      <c r="W15" s="75">
        <v>0</v>
      </c>
      <c r="X15" s="75">
        <v>0</v>
      </c>
      <c r="Y15" s="75">
        <v>0</v>
      </c>
      <c r="Z15" s="75">
        <v>0</v>
      </c>
      <c r="AA15" s="76">
        <v>0</v>
      </c>
      <c r="AB15" s="80">
        <f t="shared" si="1"/>
        <v>1854369.4573042355</v>
      </c>
    </row>
    <row r="16" spans="1:28" x14ac:dyDescent="0.25">
      <c r="A16">
        <f t="shared" si="0"/>
        <v>2027</v>
      </c>
      <c r="B16" s="78">
        <v>46600</v>
      </c>
      <c r="C16" s="79">
        <v>1852159.3134329168</v>
      </c>
      <c r="D16" s="75">
        <v>0</v>
      </c>
      <c r="E16" s="75">
        <v>0</v>
      </c>
      <c r="F16" s="75">
        <v>0</v>
      </c>
      <c r="G16" s="75">
        <v>0</v>
      </c>
      <c r="H16" s="75">
        <v>0</v>
      </c>
      <c r="I16" s="75">
        <v>1.4066775794664297</v>
      </c>
      <c r="J16" s="75">
        <v>226.9286913858578</v>
      </c>
      <c r="K16" s="75">
        <v>2308.3606438949046</v>
      </c>
      <c r="L16" s="75">
        <v>5073.9199243292969</v>
      </c>
      <c r="M16" s="75">
        <v>6554.5529758773346</v>
      </c>
      <c r="N16" s="75">
        <v>7345.9165568653825</v>
      </c>
      <c r="O16" s="75">
        <v>7547.1852460817536</v>
      </c>
      <c r="P16" s="75">
        <v>7485.8280888416984</v>
      </c>
      <c r="Q16" s="75">
        <v>7104.5459267034457</v>
      </c>
      <c r="R16" s="75">
        <v>6555.5301356144155</v>
      </c>
      <c r="S16" s="75">
        <v>5566.6901611215653</v>
      </c>
      <c r="T16" s="75">
        <v>3336.6420288263098</v>
      </c>
      <c r="U16" s="75">
        <v>638.91226228960079</v>
      </c>
      <c r="V16" s="75">
        <v>0.65530745723189943</v>
      </c>
      <c r="W16" s="75">
        <v>0</v>
      </c>
      <c r="X16" s="75">
        <v>0</v>
      </c>
      <c r="Y16" s="75">
        <v>0</v>
      </c>
      <c r="Z16" s="75">
        <v>0</v>
      </c>
      <c r="AA16" s="76">
        <v>0</v>
      </c>
      <c r="AB16" s="80">
        <f t="shared" si="1"/>
        <v>1852159.3134329161</v>
      </c>
    </row>
    <row r="17" spans="1:28" x14ac:dyDescent="0.25">
      <c r="A17">
        <f t="shared" si="0"/>
        <v>2027</v>
      </c>
      <c r="B17" s="78">
        <v>46631</v>
      </c>
      <c r="C17" s="79">
        <v>1806857.2003438091</v>
      </c>
      <c r="D17" s="75">
        <v>0</v>
      </c>
      <c r="E17" s="75">
        <v>0</v>
      </c>
      <c r="F17" s="75">
        <v>0</v>
      </c>
      <c r="G17" s="75">
        <v>0</v>
      </c>
      <c r="H17" s="75">
        <v>0</v>
      </c>
      <c r="I17" s="75">
        <v>1.4180139244720615</v>
      </c>
      <c r="J17" s="75">
        <v>228.75749848051731</v>
      </c>
      <c r="K17" s="75">
        <v>2326.9636080983587</v>
      </c>
      <c r="L17" s="75">
        <v>5114.8103939243019</v>
      </c>
      <c r="M17" s="75">
        <v>6607.3757939679035</v>
      </c>
      <c r="N17" s="75">
        <v>7405.1169348957192</v>
      </c>
      <c r="O17" s="75">
        <v>7608.0076385190114</v>
      </c>
      <c r="P17" s="75">
        <v>7546.1560069849229</v>
      </c>
      <c r="Q17" s="75">
        <v>7161.8011107691618</v>
      </c>
      <c r="R17" s="75">
        <v>6608.3608285869541</v>
      </c>
      <c r="S17" s="75">
        <v>5611.5518416708983</v>
      </c>
      <c r="T17" s="75">
        <v>3363.5318618279944</v>
      </c>
      <c r="U17" s="75">
        <v>644.06122459579683</v>
      </c>
      <c r="V17" s="75">
        <v>0.66058854760284436</v>
      </c>
      <c r="W17" s="75">
        <v>0</v>
      </c>
      <c r="X17" s="75">
        <v>0</v>
      </c>
      <c r="Y17" s="75">
        <v>0</v>
      </c>
      <c r="Z17" s="75">
        <v>0</v>
      </c>
      <c r="AA17" s="76">
        <v>0</v>
      </c>
      <c r="AB17" s="80">
        <f t="shared" si="1"/>
        <v>1806857.2003438086</v>
      </c>
    </row>
    <row r="18" spans="1:28" x14ac:dyDescent="0.25">
      <c r="A18">
        <f t="shared" si="0"/>
        <v>2027</v>
      </c>
      <c r="B18" s="78">
        <v>46661</v>
      </c>
      <c r="C18" s="79">
        <v>1846490.7252583758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1.4023724012700809</v>
      </c>
      <c r="J18" s="75">
        <v>226.23416943673362</v>
      </c>
      <c r="K18" s="75">
        <v>2301.2958381011172</v>
      </c>
      <c r="L18" s="75">
        <v>5058.3910428378276</v>
      </c>
      <c r="M18" s="75">
        <v>6534.492573287238</v>
      </c>
      <c r="N18" s="75">
        <v>7323.4341627087852</v>
      </c>
      <c r="O18" s="75">
        <v>7524.0868631690482</v>
      </c>
      <c r="P18" s="75">
        <v>7462.9174913173392</v>
      </c>
      <c r="Q18" s="75">
        <v>7082.8022544752985</v>
      </c>
      <c r="R18" s="75">
        <v>6535.4667423981418</v>
      </c>
      <c r="S18" s="75">
        <v>5549.653141795091</v>
      </c>
      <c r="T18" s="75">
        <v>3326.4301375434675</v>
      </c>
      <c r="U18" s="75">
        <v>636.95685247775737</v>
      </c>
      <c r="V18" s="75">
        <v>0.65330186944265678</v>
      </c>
      <c r="W18" s="75">
        <v>0</v>
      </c>
      <c r="X18" s="75">
        <v>0</v>
      </c>
      <c r="Y18" s="75">
        <v>0</v>
      </c>
      <c r="Z18" s="75">
        <v>0</v>
      </c>
      <c r="AA18" s="76">
        <v>0</v>
      </c>
      <c r="AB18" s="80">
        <f t="shared" si="1"/>
        <v>1846490.7252583751</v>
      </c>
    </row>
    <row r="19" spans="1:28" x14ac:dyDescent="0.25">
      <c r="A19">
        <f t="shared" si="0"/>
        <v>2027</v>
      </c>
      <c r="B19" s="78">
        <v>46692</v>
      </c>
      <c r="C19" s="79">
        <v>1791306.078711719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1.4058094696810208</v>
      </c>
      <c r="J19" s="75">
        <v>226.78864577735612</v>
      </c>
      <c r="K19" s="75">
        <v>2306.936074048574</v>
      </c>
      <c r="L19" s="75">
        <v>5070.7886314154221</v>
      </c>
      <c r="M19" s="75">
        <v>6550.5079326773875</v>
      </c>
      <c r="N19" s="75">
        <v>7341.3831356046067</v>
      </c>
      <c r="O19" s="75">
        <v>7542.5276148945841</v>
      </c>
      <c r="P19" s="75">
        <v>7481.2083232957975</v>
      </c>
      <c r="Q19" s="75">
        <v>7100.1614636751838</v>
      </c>
      <c r="R19" s="75">
        <v>6551.4844893751215</v>
      </c>
      <c r="S19" s="75">
        <v>5563.2547625115722</v>
      </c>
      <c r="T19" s="75">
        <v>3334.5828706809662</v>
      </c>
      <c r="U19" s="75">
        <v>638.51796725354734</v>
      </c>
      <c r="V19" s="75">
        <v>0.65490304414934353</v>
      </c>
      <c r="W19" s="75">
        <v>0</v>
      </c>
      <c r="X19" s="75">
        <v>0</v>
      </c>
      <c r="Y19" s="75">
        <v>0</v>
      </c>
      <c r="Z19" s="75">
        <v>0</v>
      </c>
      <c r="AA19" s="76">
        <v>0</v>
      </c>
      <c r="AB19" s="80">
        <f t="shared" si="1"/>
        <v>1791306.0787117183</v>
      </c>
    </row>
    <row r="20" spans="1:28" x14ac:dyDescent="0.25">
      <c r="A20">
        <f t="shared" si="0"/>
        <v>2027</v>
      </c>
      <c r="B20" s="78">
        <v>46722</v>
      </c>
      <c r="C20" s="79">
        <v>1883769.6443274755</v>
      </c>
      <c r="D20" s="75">
        <v>0</v>
      </c>
      <c r="E20" s="75">
        <v>0</v>
      </c>
      <c r="F20" s="75">
        <v>0</v>
      </c>
      <c r="G20" s="75">
        <v>0</v>
      </c>
      <c r="H20" s="75">
        <v>0</v>
      </c>
      <c r="I20" s="75">
        <v>1.4306849871588465</v>
      </c>
      <c r="J20" s="75">
        <v>230.80162551854897</v>
      </c>
      <c r="K20" s="75">
        <v>2347.7568466126131</v>
      </c>
      <c r="L20" s="75">
        <v>5160.5152223564792</v>
      </c>
      <c r="M20" s="75">
        <v>6666.417860788004</v>
      </c>
      <c r="N20" s="75">
        <v>7471.2874422974492</v>
      </c>
      <c r="O20" s="75">
        <v>7675.991132930114</v>
      </c>
      <c r="P20" s="75">
        <v>7613.5868087271301</v>
      </c>
      <c r="Q20" s="75">
        <v>7225.7974011149208</v>
      </c>
      <c r="R20" s="75">
        <v>6667.4116974612443</v>
      </c>
      <c r="S20" s="75">
        <v>5661.6954431749718</v>
      </c>
      <c r="T20" s="75">
        <v>3393.587647835941</v>
      </c>
      <c r="U20" s="75">
        <v>649.81641501398622</v>
      </c>
      <c r="V20" s="75">
        <v>0.66649142256929728</v>
      </c>
      <c r="W20" s="75">
        <v>0</v>
      </c>
      <c r="X20" s="75">
        <v>0</v>
      </c>
      <c r="Y20" s="75">
        <v>0</v>
      </c>
      <c r="Z20" s="75">
        <v>0</v>
      </c>
      <c r="AA20" s="76">
        <v>0</v>
      </c>
      <c r="AB20" s="80">
        <f t="shared" si="1"/>
        <v>1883769.6443274748</v>
      </c>
    </row>
    <row r="21" spans="1:28" x14ac:dyDescent="0.25">
      <c r="A21">
        <f t="shared" si="0"/>
        <v>2028</v>
      </c>
      <c r="B21" s="78">
        <v>46753</v>
      </c>
      <c r="C21" s="79">
        <v>1902739.3115749443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1.4450920661900206</v>
      </c>
      <c r="J21" s="75">
        <v>233.12581098859613</v>
      </c>
      <c r="K21" s="75">
        <v>2371.3988913245648</v>
      </c>
      <c r="L21" s="75">
        <v>5212.4819035737837</v>
      </c>
      <c r="M21" s="75">
        <v>6733.5490670544041</v>
      </c>
      <c r="N21" s="75">
        <v>7546.5237309367512</v>
      </c>
      <c r="O21" s="75">
        <v>7753.2887993537552</v>
      </c>
      <c r="P21" s="75">
        <v>7690.256060063768</v>
      </c>
      <c r="Q21" s="75">
        <v>7298.5615911046743</v>
      </c>
      <c r="R21" s="75">
        <v>6734.5529117193582</v>
      </c>
      <c r="S21" s="75">
        <v>5718.7090376645901</v>
      </c>
      <c r="T21" s="75">
        <v>3427.7612680810803</v>
      </c>
      <c r="U21" s="75">
        <v>656.36010319893899</v>
      </c>
      <c r="V21" s="75">
        <v>0.67320302902686147</v>
      </c>
      <c r="W21" s="75">
        <v>0</v>
      </c>
      <c r="X21" s="75">
        <v>0</v>
      </c>
      <c r="Y21" s="75">
        <v>0</v>
      </c>
      <c r="Z21" s="75">
        <v>0</v>
      </c>
      <c r="AA21" s="76">
        <v>0</v>
      </c>
      <c r="AB21" s="80">
        <f t="shared" si="1"/>
        <v>1902739.3115749441</v>
      </c>
    </row>
    <row r="22" spans="1:28" x14ac:dyDescent="0.25">
      <c r="A22">
        <f t="shared" si="0"/>
        <v>2028</v>
      </c>
      <c r="B22" s="78">
        <v>46784</v>
      </c>
      <c r="C22" s="79">
        <v>1793344.4310783849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1.4559405103836138</v>
      </c>
      <c r="J22" s="75">
        <v>234.87590872268981</v>
      </c>
      <c r="K22" s="75">
        <v>2389.2012093464955</v>
      </c>
      <c r="L22" s="75">
        <v>5251.6125031833444</v>
      </c>
      <c r="M22" s="75">
        <v>6784.0984631709816</v>
      </c>
      <c r="N22" s="75">
        <v>7603.1762055202835</v>
      </c>
      <c r="O22" s="75">
        <v>7811.4934790585994</v>
      </c>
      <c r="P22" s="75">
        <v>7747.9875469731105</v>
      </c>
      <c r="Q22" s="75">
        <v>7353.35259021614</v>
      </c>
      <c r="R22" s="75">
        <v>6785.1098437937344</v>
      </c>
      <c r="S22" s="75">
        <v>5761.6399327307217</v>
      </c>
      <c r="T22" s="75">
        <v>3453.4937993818567</v>
      </c>
      <c r="U22" s="75">
        <v>661.28746119712389</v>
      </c>
      <c r="V22" s="75">
        <v>0.67825682847827684</v>
      </c>
      <c r="W22" s="75">
        <v>0</v>
      </c>
      <c r="X22" s="75">
        <v>0</v>
      </c>
      <c r="Y22" s="75">
        <v>0</v>
      </c>
      <c r="Z22" s="75">
        <v>0</v>
      </c>
      <c r="AA22" s="76">
        <v>0</v>
      </c>
      <c r="AB22" s="80">
        <f t="shared" si="1"/>
        <v>1793344.4310783844</v>
      </c>
    </row>
    <row r="23" spans="1:28" x14ac:dyDescent="0.25">
      <c r="A23">
        <f t="shared" si="0"/>
        <v>2028</v>
      </c>
      <c r="B23" s="78">
        <v>46813</v>
      </c>
      <c r="C23" s="79">
        <v>1898745.7943481791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1.4420590705371295</v>
      </c>
      <c r="J23" s="75">
        <v>232.63652066042397</v>
      </c>
      <c r="K23" s="75">
        <v>2366.4217395589885</v>
      </c>
      <c r="L23" s="75">
        <v>5201.5418151709764</v>
      </c>
      <c r="M23" s="75">
        <v>6719.4165245495178</v>
      </c>
      <c r="N23" s="75">
        <v>7530.6848967158166</v>
      </c>
      <c r="O23" s="75">
        <v>7737.0160013955956</v>
      </c>
      <c r="P23" s="75">
        <v>7674.1155568076065</v>
      </c>
      <c r="Q23" s="75">
        <v>7283.2431860728466</v>
      </c>
      <c r="R23" s="75">
        <v>6720.4182623199868</v>
      </c>
      <c r="S23" s="75">
        <v>5706.7064669930096</v>
      </c>
      <c r="T23" s="75">
        <v>3420.5669963329501</v>
      </c>
      <c r="U23" s="75">
        <v>654.98251807041356</v>
      </c>
      <c r="V23" s="75">
        <v>0.67179009354107277</v>
      </c>
      <c r="W23" s="75">
        <v>0</v>
      </c>
      <c r="X23" s="75">
        <v>0</v>
      </c>
      <c r="Y23" s="75">
        <v>0</v>
      </c>
      <c r="Z23" s="75">
        <v>0</v>
      </c>
      <c r="AA23" s="76">
        <v>0</v>
      </c>
      <c r="AB23" s="80">
        <f t="shared" si="1"/>
        <v>1898745.7943481787</v>
      </c>
    </row>
    <row r="24" spans="1:28" x14ac:dyDescent="0.25">
      <c r="A24">
        <f t="shared" si="0"/>
        <v>2028</v>
      </c>
      <c r="B24" s="78">
        <v>46844</v>
      </c>
      <c r="C24" s="79">
        <v>1834698.406260496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1.4398635856718753</v>
      </c>
      <c r="J24" s="75">
        <v>232.28233963507586</v>
      </c>
      <c r="K24" s="75">
        <v>2362.8189446248844</v>
      </c>
      <c r="L24" s="75">
        <v>5193.6226483597729</v>
      </c>
      <c r="M24" s="75">
        <v>6709.1864461953128</v>
      </c>
      <c r="N24" s="75">
        <v>7519.2196904329849</v>
      </c>
      <c r="O24" s="75">
        <v>7725.2366631698987</v>
      </c>
      <c r="P24" s="75">
        <v>7662.4319823248316</v>
      </c>
      <c r="Q24" s="75">
        <v>7272.1547012030624</v>
      </c>
      <c r="R24" s="75">
        <v>6710.1866588548073</v>
      </c>
      <c r="S24" s="75">
        <v>5698.0182045391957</v>
      </c>
      <c r="T24" s="75">
        <v>3415.3593018463162</v>
      </c>
      <c r="U24" s="75">
        <v>653.98532992825653</v>
      </c>
      <c r="V24" s="75">
        <v>0.67076731644883636</v>
      </c>
      <c r="W24" s="75">
        <v>0</v>
      </c>
      <c r="X24" s="75">
        <v>0</v>
      </c>
      <c r="Y24" s="75">
        <v>0</v>
      </c>
      <c r="Z24" s="75">
        <v>0</v>
      </c>
      <c r="AA24" s="76">
        <v>0</v>
      </c>
      <c r="AB24" s="80">
        <f t="shared" si="1"/>
        <v>1834698.4062604953</v>
      </c>
    </row>
    <row r="25" spans="1:28" x14ac:dyDescent="0.25">
      <c r="A25">
        <f t="shared" si="0"/>
        <v>2028</v>
      </c>
      <c r="B25" s="78">
        <v>46874</v>
      </c>
      <c r="C25" s="79">
        <v>1899138.1820693803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1.4423570810839914</v>
      </c>
      <c r="J25" s="75">
        <v>232.68459645576309</v>
      </c>
      <c r="K25" s="75">
        <v>2366.9107754460201</v>
      </c>
      <c r="L25" s="75">
        <v>5202.6167463943475</v>
      </c>
      <c r="M25" s="75">
        <v>6720.8051340967886</v>
      </c>
      <c r="N25" s="75">
        <v>7532.24115995785</v>
      </c>
      <c r="O25" s="75">
        <v>7738.6149042538527</v>
      </c>
      <c r="P25" s="75">
        <v>7675.7014608946811</v>
      </c>
      <c r="Q25" s="75">
        <v>7284.7483139342203</v>
      </c>
      <c r="R25" s="75">
        <v>6721.8070788826462</v>
      </c>
      <c r="S25" s="75">
        <v>5707.88579365844</v>
      </c>
      <c r="T25" s="75">
        <v>3421.2738779454876</v>
      </c>
      <c r="U25" s="75">
        <v>655.11787431370715</v>
      </c>
      <c r="V25" s="75">
        <v>0.67192892317520014</v>
      </c>
      <c r="W25" s="75">
        <v>0</v>
      </c>
      <c r="X25" s="75">
        <v>0</v>
      </c>
      <c r="Y25" s="75">
        <v>0</v>
      </c>
      <c r="Z25" s="75">
        <v>0</v>
      </c>
      <c r="AA25" s="76">
        <v>0</v>
      </c>
      <c r="AB25" s="80">
        <f t="shared" si="1"/>
        <v>1899138.1820693798</v>
      </c>
    </row>
    <row r="26" spans="1:28" x14ac:dyDescent="0.25">
      <c r="A26">
        <f t="shared" si="0"/>
        <v>2028</v>
      </c>
      <c r="B26" s="78">
        <v>46905</v>
      </c>
      <c r="C26" s="79">
        <v>1825676.7553129066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1.4327834319868058</v>
      </c>
      <c r="J26" s="75">
        <v>231.14015180609729</v>
      </c>
      <c r="K26" s="75">
        <v>2351.2003986567734</v>
      </c>
      <c r="L26" s="75">
        <v>5168.0843634148923</v>
      </c>
      <c r="M26" s="75">
        <v>6676.1957715136687</v>
      </c>
      <c r="N26" s="75">
        <v>7482.2458885188089</v>
      </c>
      <c r="O26" s="75">
        <v>7687.2498265188042</v>
      </c>
      <c r="P26" s="75">
        <v>7624.7539713131591</v>
      </c>
      <c r="Q26" s="75">
        <v>7236.3957769421268</v>
      </c>
      <c r="R26" s="75">
        <v>6677.1910658882516</v>
      </c>
      <c r="S26" s="75">
        <v>5669.9996859865259</v>
      </c>
      <c r="T26" s="75">
        <v>3398.5651631602404</v>
      </c>
      <c r="U26" s="75">
        <v>650.7695276191007</v>
      </c>
      <c r="V26" s="75">
        <v>0.66746899309748686</v>
      </c>
      <c r="W26" s="75">
        <v>0</v>
      </c>
      <c r="X26" s="75">
        <v>0</v>
      </c>
      <c r="Y26" s="75">
        <v>0</v>
      </c>
      <c r="Z26" s="75">
        <v>0</v>
      </c>
      <c r="AA26" s="76">
        <v>0</v>
      </c>
      <c r="AB26" s="80">
        <f t="shared" si="1"/>
        <v>1825676.7553129059</v>
      </c>
    </row>
    <row r="27" spans="1:28" x14ac:dyDescent="0.25">
      <c r="A27">
        <f t="shared" si="0"/>
        <v>2028</v>
      </c>
      <c r="B27" s="78">
        <v>46935</v>
      </c>
      <c r="C27" s="79">
        <v>1892139.6600790115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1.4370418450231106</v>
      </c>
      <c r="J27" s="75">
        <v>231.82712948443327</v>
      </c>
      <c r="K27" s="75">
        <v>2358.188462731971</v>
      </c>
      <c r="L27" s="75">
        <v>5183.4445618472346</v>
      </c>
      <c r="M27" s="75">
        <v>6696.0382672263058</v>
      </c>
      <c r="N27" s="75">
        <v>7504.4840668234838</v>
      </c>
      <c r="O27" s="75">
        <v>7710.0973023785609</v>
      </c>
      <c r="P27" s="75">
        <v>7647.4157016104109</v>
      </c>
      <c r="Q27" s="75">
        <v>7257.9032577130765</v>
      </c>
      <c r="R27" s="75">
        <v>6697.0365197412793</v>
      </c>
      <c r="S27" s="75">
        <v>5686.8516400499302</v>
      </c>
      <c r="T27" s="75">
        <v>3408.666127390029</v>
      </c>
      <c r="U27" s="75">
        <v>652.70369671833464</v>
      </c>
      <c r="V27" s="75">
        <v>0.66945279511395372</v>
      </c>
      <c r="W27" s="75">
        <v>0</v>
      </c>
      <c r="X27" s="75">
        <v>0</v>
      </c>
      <c r="Y27" s="75">
        <v>0</v>
      </c>
      <c r="Z27" s="75">
        <v>0</v>
      </c>
      <c r="AA27" s="76">
        <v>0</v>
      </c>
      <c r="AB27" s="80">
        <f t="shared" si="1"/>
        <v>1892139.6600790108</v>
      </c>
    </row>
    <row r="28" spans="1:28" x14ac:dyDescent="0.25">
      <c r="A28">
        <f t="shared" si="0"/>
        <v>2028</v>
      </c>
      <c r="B28" s="78">
        <v>46966</v>
      </c>
      <c r="C28" s="79">
        <v>1889924.1469202391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1.4353592075389294</v>
      </c>
      <c r="J28" s="75">
        <v>231.55568226160423</v>
      </c>
      <c r="K28" s="75">
        <v>2355.4272513476967</v>
      </c>
      <c r="L28" s="75">
        <v>5177.375247897091</v>
      </c>
      <c r="M28" s="75">
        <v>6688.1978518459418</v>
      </c>
      <c r="N28" s="75">
        <v>7495.6970393378124</v>
      </c>
      <c r="O28" s="75">
        <v>7701.069521613098</v>
      </c>
      <c r="P28" s="75">
        <v>7638.4613149575725</v>
      </c>
      <c r="Q28" s="75">
        <v>7249.4049525869705</v>
      </c>
      <c r="R28" s="75">
        <v>6689.1949355034403</v>
      </c>
      <c r="S28" s="75">
        <v>5680.1928849345768</v>
      </c>
      <c r="T28" s="75">
        <v>3404.6749079158935</v>
      </c>
      <c r="U28" s="75">
        <v>651.93944360353112</v>
      </c>
      <c r="V28" s="75">
        <v>0.66866893041937303</v>
      </c>
      <c r="W28" s="75">
        <v>0</v>
      </c>
      <c r="X28" s="75">
        <v>0</v>
      </c>
      <c r="Y28" s="75">
        <v>0</v>
      </c>
      <c r="Z28" s="75">
        <v>0</v>
      </c>
      <c r="AA28" s="76">
        <v>0</v>
      </c>
      <c r="AB28" s="80">
        <f t="shared" si="1"/>
        <v>1889924.1469202386</v>
      </c>
    </row>
    <row r="29" spans="1:28" x14ac:dyDescent="0.25">
      <c r="A29">
        <f t="shared" si="0"/>
        <v>2028</v>
      </c>
      <c r="B29" s="78">
        <v>46997</v>
      </c>
      <c r="C29" s="79">
        <v>1843396.3634208811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1.4466897058354062</v>
      </c>
      <c r="J29" s="75">
        <v>233.38354615074394</v>
      </c>
      <c r="K29" s="75">
        <v>2374.0206210900551</v>
      </c>
      <c r="L29" s="75">
        <v>5218.2446282712899</v>
      </c>
      <c r="M29" s="75">
        <v>6740.9934266183163</v>
      </c>
      <c r="N29" s="75">
        <v>7554.8668848294801</v>
      </c>
      <c r="O29" s="75">
        <v>7761.8605449592997</v>
      </c>
      <c r="P29" s="75">
        <v>7698.7581190343881</v>
      </c>
      <c r="Q29" s="75">
        <v>7306.6306073459582</v>
      </c>
      <c r="R29" s="75">
        <v>6741.9983810963204</v>
      </c>
      <c r="S29" s="75">
        <v>5725.0314281148303</v>
      </c>
      <c r="T29" s="75">
        <v>3431.5508725117807</v>
      </c>
      <c r="U29" s="75">
        <v>657.08575033731461</v>
      </c>
      <c r="V29" s="75">
        <v>0.67394729707298162</v>
      </c>
      <c r="W29" s="75">
        <v>0</v>
      </c>
      <c r="X29" s="75">
        <v>0</v>
      </c>
      <c r="Y29" s="75">
        <v>0</v>
      </c>
      <c r="Z29" s="75">
        <v>0</v>
      </c>
      <c r="AA29" s="76">
        <v>0</v>
      </c>
      <c r="AB29" s="80">
        <f t="shared" si="1"/>
        <v>1843396.3634208804</v>
      </c>
    </row>
    <row r="30" spans="1:28" x14ac:dyDescent="0.25">
      <c r="A30">
        <f t="shared" si="0"/>
        <v>2028</v>
      </c>
      <c r="B30" s="78">
        <v>47027</v>
      </c>
      <c r="C30" s="79">
        <v>1884250.688869121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1.4310503307697062</v>
      </c>
      <c r="J30" s="75">
        <v>230.86056364959535</v>
      </c>
      <c r="K30" s="75">
        <v>2348.356376188628</v>
      </c>
      <c r="L30" s="75">
        <v>5161.8330255641422</v>
      </c>
      <c r="M30" s="75">
        <v>6668.1202153906042</v>
      </c>
      <c r="N30" s="75">
        <v>7473.1953305862335</v>
      </c>
      <c r="O30" s="75">
        <v>7677.9512949102882</v>
      </c>
      <c r="P30" s="75">
        <v>7615.5310349692872</v>
      </c>
      <c r="Q30" s="75">
        <v>7227.6426003988709</v>
      </c>
      <c r="R30" s="75">
        <v>6669.1143058526823</v>
      </c>
      <c r="S30" s="75">
        <v>5663.1412291274091</v>
      </c>
      <c r="T30" s="75">
        <v>3394.4542436108022</v>
      </c>
      <c r="U30" s="75">
        <v>649.98235390171351</v>
      </c>
      <c r="V30" s="75">
        <v>0.6666616196323224</v>
      </c>
      <c r="W30" s="75">
        <v>0</v>
      </c>
      <c r="X30" s="75">
        <v>0</v>
      </c>
      <c r="Y30" s="75">
        <v>0</v>
      </c>
      <c r="Z30" s="75">
        <v>0</v>
      </c>
      <c r="AA30" s="76">
        <v>0</v>
      </c>
      <c r="AB30" s="80">
        <f t="shared" si="1"/>
        <v>1884250.6888691206</v>
      </c>
    </row>
    <row r="31" spans="1:28" x14ac:dyDescent="0.25">
      <c r="A31">
        <f t="shared" si="0"/>
        <v>2028</v>
      </c>
      <c r="B31" s="78">
        <v>47058</v>
      </c>
      <c r="C31" s="79">
        <v>1827848.723025209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1.4344879831040513</v>
      </c>
      <c r="J31" s="75">
        <v>231.41513419017963</v>
      </c>
      <c r="K31" s="75">
        <v>2353.9975703555283</v>
      </c>
      <c r="L31" s="75">
        <v>5174.2327203675286</v>
      </c>
      <c r="M31" s="75">
        <v>6684.1382956294747</v>
      </c>
      <c r="N31" s="75">
        <v>7491.1473528322913</v>
      </c>
      <c r="O31" s="75">
        <v>7696.3951795343446</v>
      </c>
      <c r="P31" s="75">
        <v>7633.8249743764063</v>
      </c>
      <c r="Q31" s="75">
        <v>7245.004758754063</v>
      </c>
      <c r="R31" s="75">
        <v>6685.1347740840101</v>
      </c>
      <c r="S31" s="75">
        <v>5676.7451606226523</v>
      </c>
      <c r="T31" s="75">
        <v>3402.6083618157859</v>
      </c>
      <c r="U31" s="75">
        <v>651.54373389522607</v>
      </c>
      <c r="V31" s="75">
        <v>0.66826306636251154</v>
      </c>
      <c r="W31" s="75">
        <v>0</v>
      </c>
      <c r="X31" s="75">
        <v>0</v>
      </c>
      <c r="Y31" s="75">
        <v>0</v>
      </c>
      <c r="Z31" s="75">
        <v>0</v>
      </c>
      <c r="AA31" s="76">
        <v>0</v>
      </c>
      <c r="AB31" s="80">
        <f t="shared" si="1"/>
        <v>1827848.7230252088</v>
      </c>
    </row>
    <row r="32" spans="1:28" x14ac:dyDescent="0.25">
      <c r="A32">
        <f t="shared" si="0"/>
        <v>2028</v>
      </c>
      <c r="B32" s="78">
        <v>47088</v>
      </c>
      <c r="C32" s="79">
        <v>1921536.2631841174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1.4593679711832745</v>
      </c>
      <c r="J32" s="75">
        <v>235.42883513979984</v>
      </c>
      <c r="K32" s="75">
        <v>2394.8256791851563</v>
      </c>
      <c r="L32" s="75">
        <v>5263.9754368755503</v>
      </c>
      <c r="M32" s="75">
        <v>6800.0690549484098</v>
      </c>
      <c r="N32" s="75">
        <v>7621.0750057882069</v>
      </c>
      <c r="O32" s="75">
        <v>7829.8826834906031</v>
      </c>
      <c r="P32" s="75">
        <v>7766.2272507275675</v>
      </c>
      <c r="Q32" s="75">
        <v>7370.6632753501144</v>
      </c>
      <c r="R32" s="75">
        <v>6801.0828164839904</v>
      </c>
      <c r="S32" s="75">
        <v>5775.2035329399023</v>
      </c>
      <c r="T32" s="75">
        <v>3461.6237432462076</v>
      </c>
      <c r="U32" s="75">
        <v>662.84421220061313</v>
      </c>
      <c r="V32" s="75">
        <v>0.67985352743344163</v>
      </c>
      <c r="W32" s="75">
        <v>0</v>
      </c>
      <c r="X32" s="75">
        <v>0</v>
      </c>
      <c r="Y32" s="75">
        <v>0</v>
      </c>
      <c r="Z32" s="75">
        <v>0</v>
      </c>
      <c r="AA32" s="76">
        <v>0</v>
      </c>
      <c r="AB32" s="80">
        <f t="shared" si="1"/>
        <v>1921536.2631841172</v>
      </c>
    </row>
    <row r="33" spans="1:28" x14ac:dyDescent="0.25">
      <c r="A33">
        <f t="shared" si="0"/>
        <v>2029</v>
      </c>
      <c r="B33" s="78">
        <v>47119</v>
      </c>
      <c r="C33" s="79">
        <v>1940499.4635506347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1.4737701387490159</v>
      </c>
      <c r="J33" s="75">
        <v>237.75222828014773</v>
      </c>
      <c r="K33" s="75">
        <v>2418.4596641727808</v>
      </c>
      <c r="L33" s="75">
        <v>5315.924402318692</v>
      </c>
      <c r="M33" s="75">
        <v>6867.1773757570209</v>
      </c>
      <c r="N33" s="75">
        <v>7696.2856458952729</v>
      </c>
      <c r="O33" s="75">
        <v>7907.1539986451317</v>
      </c>
      <c r="P33" s="75">
        <v>7842.8703650258176</v>
      </c>
      <c r="Q33" s="75">
        <v>7443.4026595618816</v>
      </c>
      <c r="R33" s="75">
        <v>6868.201141872526</v>
      </c>
      <c r="S33" s="75">
        <v>5832.1976911303291</v>
      </c>
      <c r="T33" s="75">
        <v>3495.7857134855276</v>
      </c>
      <c r="U33" s="75">
        <v>669.38566960039054</v>
      </c>
      <c r="V33" s="75">
        <v>0.6865628458614168</v>
      </c>
      <c r="W33" s="75">
        <v>0</v>
      </c>
      <c r="X33" s="75">
        <v>0</v>
      </c>
      <c r="Y33" s="75">
        <v>0</v>
      </c>
      <c r="Z33" s="75">
        <v>0</v>
      </c>
      <c r="AA33" s="76">
        <v>0</v>
      </c>
      <c r="AB33" s="80">
        <f t="shared" si="1"/>
        <v>1940499.463550634</v>
      </c>
    </row>
    <row r="34" spans="1:28" x14ac:dyDescent="0.25">
      <c r="A34">
        <f t="shared" si="0"/>
        <v>2029</v>
      </c>
      <c r="B34" s="78">
        <v>47150</v>
      </c>
      <c r="C34" s="79">
        <v>1765615.7855147657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1.4846226811381287</v>
      </c>
      <c r="J34" s="75">
        <v>239.50298714523541</v>
      </c>
      <c r="K34" s="75">
        <v>2436.26870734153</v>
      </c>
      <c r="L34" s="75">
        <v>5355.0697842182426</v>
      </c>
      <c r="M34" s="75">
        <v>6917.7458678199819</v>
      </c>
      <c r="N34" s="75">
        <v>7752.9595219731909</v>
      </c>
      <c r="O34" s="75">
        <v>7965.3806662178504</v>
      </c>
      <c r="P34" s="75">
        <v>7900.62366104592</v>
      </c>
      <c r="Q34" s="75">
        <v>7498.2143569617892</v>
      </c>
      <c r="R34" s="75">
        <v>6918.7771727401305</v>
      </c>
      <c r="S34" s="75">
        <v>5875.1448041166213</v>
      </c>
      <c r="T34" s="75">
        <v>3521.5279657142646</v>
      </c>
      <c r="U34" s="75">
        <v>674.31488899695751</v>
      </c>
      <c r="V34" s="75">
        <v>0.69161855447675458</v>
      </c>
      <c r="W34" s="75">
        <v>0</v>
      </c>
      <c r="X34" s="75">
        <v>0</v>
      </c>
      <c r="Y34" s="75">
        <v>0</v>
      </c>
      <c r="Z34" s="75">
        <v>0</v>
      </c>
      <c r="AA34" s="76">
        <v>0</v>
      </c>
      <c r="AB34" s="80">
        <f t="shared" si="1"/>
        <v>1765615.7855147654</v>
      </c>
    </row>
    <row r="35" spans="1:28" x14ac:dyDescent="0.25">
      <c r="A35">
        <f t="shared" si="0"/>
        <v>2029</v>
      </c>
      <c r="B35" s="78">
        <v>47178</v>
      </c>
      <c r="C35" s="79">
        <v>1936509.1118647552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1.4707395472604743</v>
      </c>
      <c r="J35" s="75">
        <v>237.26332579768928</v>
      </c>
      <c r="K35" s="75">
        <v>2413.486457645578</v>
      </c>
      <c r="L35" s="75">
        <v>5304.9929857946254</v>
      </c>
      <c r="M35" s="75">
        <v>6853.0560356931346</v>
      </c>
      <c r="N35" s="75">
        <v>7680.4593666414185</v>
      </c>
      <c r="O35" s="75">
        <v>7890.8940996440415</v>
      </c>
      <c r="P35" s="75">
        <v>7826.7426558606976</v>
      </c>
      <c r="Q35" s="75">
        <v>7428.0963969685827</v>
      </c>
      <c r="R35" s="75">
        <v>6854.0776965842288</v>
      </c>
      <c r="S35" s="75">
        <v>5820.2046345351982</v>
      </c>
      <c r="T35" s="75">
        <v>3488.5971444200377</v>
      </c>
      <c r="U35" s="75">
        <v>668.00917644212609</v>
      </c>
      <c r="V35" s="75">
        <v>0.68515103036705305</v>
      </c>
      <c r="W35" s="75">
        <v>0</v>
      </c>
      <c r="X35" s="75">
        <v>0</v>
      </c>
      <c r="Y35" s="75">
        <v>0</v>
      </c>
      <c r="Z35" s="75">
        <v>0</v>
      </c>
      <c r="AA35" s="76">
        <v>0</v>
      </c>
      <c r="AB35" s="80">
        <f t="shared" si="1"/>
        <v>1936509.1118647547</v>
      </c>
    </row>
    <row r="36" spans="1:28" x14ac:dyDescent="0.25">
      <c r="A36">
        <f t="shared" si="0"/>
        <v>2029</v>
      </c>
      <c r="B36" s="78">
        <v>47209</v>
      </c>
      <c r="C36" s="79">
        <v>1871241.9193055818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1.4685427808718048</v>
      </c>
      <c r="J36" s="75">
        <v>236.90893803382778</v>
      </c>
      <c r="K36" s="75">
        <v>2409.8815597290563</v>
      </c>
      <c r="L36" s="75">
        <v>5297.0691964975822</v>
      </c>
      <c r="M36" s="75">
        <v>6842.819985954131</v>
      </c>
      <c r="N36" s="75">
        <v>7668.9874680189814</v>
      </c>
      <c r="O36" s="75">
        <v>7879.1078857172197</v>
      </c>
      <c r="P36" s="75">
        <v>7815.0522615749214</v>
      </c>
      <c r="Q36" s="75">
        <v>7417.0014396547249</v>
      </c>
      <c r="R36" s="75">
        <v>6843.8401208440282</v>
      </c>
      <c r="S36" s="75">
        <v>5811.5113006677975</v>
      </c>
      <c r="T36" s="75">
        <v>3483.3864101573026</v>
      </c>
      <c r="U36" s="75">
        <v>667.01140623266622</v>
      </c>
      <c r="V36" s="75">
        <v>0.68412765627102357</v>
      </c>
      <c r="W36" s="75">
        <v>0</v>
      </c>
      <c r="X36" s="75">
        <v>0</v>
      </c>
      <c r="Y36" s="75">
        <v>0</v>
      </c>
      <c r="Z36" s="75">
        <v>0</v>
      </c>
      <c r="AA36" s="76">
        <v>0</v>
      </c>
      <c r="AB36" s="80">
        <f t="shared" si="1"/>
        <v>1871241.9193055816</v>
      </c>
    </row>
    <row r="37" spans="1:28" x14ac:dyDescent="0.25">
      <c r="A37">
        <f t="shared" si="0"/>
        <v>2029</v>
      </c>
      <c r="B37" s="78">
        <v>47239</v>
      </c>
      <c r="C37" s="79">
        <v>1936899.1554380155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1.4710357774743339</v>
      </c>
      <c r="J37" s="75">
        <v>237.311114385324</v>
      </c>
      <c r="K37" s="75">
        <v>2413.97257200269</v>
      </c>
      <c r="L37" s="75">
        <v>5306.0614953139575</v>
      </c>
      <c r="M37" s="75">
        <v>6854.4363496031183</v>
      </c>
      <c r="N37" s="75">
        <v>7682.0063326728668</v>
      </c>
      <c r="O37" s="75">
        <v>7892.483450560072</v>
      </c>
      <c r="P37" s="75">
        <v>7828.3190856609908</v>
      </c>
      <c r="Q37" s="75">
        <v>7429.592533105224</v>
      </c>
      <c r="R37" s="75">
        <v>6855.4582162728784</v>
      </c>
      <c r="S37" s="75">
        <v>5821.3769158319155</v>
      </c>
      <c r="T37" s="75">
        <v>3489.2998030791368</v>
      </c>
      <c r="U37" s="75">
        <v>668.14372405904862</v>
      </c>
      <c r="V37" s="75">
        <v>0.68528903062456292</v>
      </c>
      <c r="W37" s="75">
        <v>0</v>
      </c>
      <c r="X37" s="75">
        <v>0</v>
      </c>
      <c r="Y37" s="75">
        <v>0</v>
      </c>
      <c r="Z37" s="75">
        <v>0</v>
      </c>
      <c r="AA37" s="76">
        <v>0</v>
      </c>
      <c r="AB37" s="80">
        <f t="shared" si="1"/>
        <v>1936899.1554380148</v>
      </c>
    </row>
    <row r="38" spans="1:28" x14ac:dyDescent="0.25">
      <c r="A38">
        <f t="shared" si="0"/>
        <v>2029</v>
      </c>
      <c r="B38" s="78">
        <v>47270</v>
      </c>
      <c r="C38" s="79">
        <v>1862219.2860720668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1.4614618562928761</v>
      </c>
      <c r="J38" s="75">
        <v>235.76662584235333</v>
      </c>
      <c r="K38" s="75">
        <v>2398.2617487226235</v>
      </c>
      <c r="L38" s="75">
        <v>5271.5281309199763</v>
      </c>
      <c r="M38" s="75">
        <v>6809.8257192164865</v>
      </c>
      <c r="N38" s="75">
        <v>7632.0096403621301</v>
      </c>
      <c r="O38" s="75">
        <v>7841.1169130232638</v>
      </c>
      <c r="P38" s="75">
        <v>7777.3701481456155</v>
      </c>
      <c r="Q38" s="75">
        <v>7381.238621928147</v>
      </c>
      <c r="R38" s="75">
        <v>6810.8409352859653</v>
      </c>
      <c r="S38" s="75">
        <v>5783.4897314322106</v>
      </c>
      <c r="T38" s="75">
        <v>3466.5904429094526</v>
      </c>
      <c r="U38" s="75">
        <v>663.79525378390008</v>
      </c>
      <c r="V38" s="75">
        <v>0.68082897379509422</v>
      </c>
      <c r="W38" s="75">
        <v>0</v>
      </c>
      <c r="X38" s="75">
        <v>0</v>
      </c>
      <c r="Y38" s="75">
        <v>0</v>
      </c>
      <c r="Z38" s="75">
        <v>0</v>
      </c>
      <c r="AA38" s="76">
        <v>0</v>
      </c>
      <c r="AB38" s="80">
        <f t="shared" si="1"/>
        <v>1862219.2860720661</v>
      </c>
    </row>
    <row r="39" spans="1:28" x14ac:dyDescent="0.25">
      <c r="A39">
        <f t="shared" si="0"/>
        <v>2029</v>
      </c>
      <c r="B39" s="78">
        <v>47300</v>
      </c>
      <c r="C39" s="79">
        <v>1929899.9480077776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1.4657200208357208</v>
      </c>
      <c r="J39" s="75">
        <v>236.45356343311235</v>
      </c>
      <c r="K39" s="75">
        <v>2405.2494050195692</v>
      </c>
      <c r="L39" s="75">
        <v>5286.8874330304197</v>
      </c>
      <c r="M39" s="75">
        <v>6829.667057049327</v>
      </c>
      <c r="N39" s="75">
        <v>7654.2465209904567</v>
      </c>
      <c r="O39" s="75">
        <v>7863.9630556520078</v>
      </c>
      <c r="P39" s="75">
        <v>7800.0305560507641</v>
      </c>
      <c r="Q39" s="75">
        <v>7402.7448476615327</v>
      </c>
      <c r="R39" s="75">
        <v>6830.6852310865779</v>
      </c>
      <c r="S39" s="75">
        <v>5800.3407021245002</v>
      </c>
      <c r="T39" s="75">
        <v>3476.6908177122568</v>
      </c>
      <c r="U39" s="75">
        <v>665.72931001752693</v>
      </c>
      <c r="V39" s="75">
        <v>0.68281266004969776</v>
      </c>
      <c r="W39" s="75">
        <v>0</v>
      </c>
      <c r="X39" s="75">
        <v>0</v>
      </c>
      <c r="Y39" s="75">
        <v>0</v>
      </c>
      <c r="Z39" s="75">
        <v>0</v>
      </c>
      <c r="AA39" s="76">
        <v>0</v>
      </c>
      <c r="AB39" s="80">
        <f t="shared" si="1"/>
        <v>1929899.9480077771</v>
      </c>
    </row>
    <row r="40" spans="1:28" x14ac:dyDescent="0.25">
      <c r="A40">
        <f t="shared" si="0"/>
        <v>2029</v>
      </c>
      <c r="B40" s="78">
        <v>47331</v>
      </c>
      <c r="C40" s="79">
        <v>1927684.1711561147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1.4640371830821164</v>
      </c>
      <c r="J40" s="75">
        <v>236.18208390232675</v>
      </c>
      <c r="K40" s="75">
        <v>2402.4878649927819</v>
      </c>
      <c r="L40" s="75">
        <v>5280.81739670364</v>
      </c>
      <c r="M40" s="75">
        <v>6821.825708493825</v>
      </c>
      <c r="N40" s="75">
        <v>7645.4584476628006</v>
      </c>
      <c r="O40" s="75">
        <v>7854.9342003898291</v>
      </c>
      <c r="P40" s="75">
        <v>7791.0751036366628</v>
      </c>
      <c r="Q40" s="75">
        <v>7394.245531057506</v>
      </c>
      <c r="R40" s="75">
        <v>6822.8427135344837</v>
      </c>
      <c r="S40" s="75">
        <v>5793.6811544765542</v>
      </c>
      <c r="T40" s="75">
        <v>3472.699123198649</v>
      </c>
      <c r="U40" s="75">
        <v>664.96496594045038</v>
      </c>
      <c r="V40" s="75">
        <v>0.68202870205865151</v>
      </c>
      <c r="W40" s="75">
        <v>0</v>
      </c>
      <c r="X40" s="75">
        <v>0</v>
      </c>
      <c r="Y40" s="75">
        <v>0</v>
      </c>
      <c r="Z40" s="75">
        <v>0</v>
      </c>
      <c r="AA40" s="76">
        <v>0</v>
      </c>
      <c r="AB40" s="80">
        <f t="shared" si="1"/>
        <v>1927684.1711561142</v>
      </c>
    </row>
    <row r="41" spans="1:28" x14ac:dyDescent="0.25">
      <c r="A41">
        <f t="shared" si="0"/>
        <v>2029</v>
      </c>
      <c r="B41" s="78">
        <v>47362</v>
      </c>
      <c r="C41" s="79">
        <v>1879937.9565092784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1.4753673942614087</v>
      </c>
      <c r="J41" s="75">
        <v>238.00990147301522</v>
      </c>
      <c r="K41" s="75">
        <v>2421.0807635752826</v>
      </c>
      <c r="L41" s="75">
        <v>5321.6857414392389</v>
      </c>
      <c r="M41" s="75">
        <v>6874.619945415352</v>
      </c>
      <c r="N41" s="75">
        <v>7704.6267937782741</v>
      </c>
      <c r="O41" s="75">
        <v>7915.7236832788531</v>
      </c>
      <c r="P41" s="75">
        <v>7851.3703797799189</v>
      </c>
      <c r="Q41" s="75">
        <v>7451.4697357064942</v>
      </c>
      <c r="R41" s="75">
        <v>6875.6448210770686</v>
      </c>
      <c r="S41" s="75">
        <v>5838.5185614387965</v>
      </c>
      <c r="T41" s="75">
        <v>3499.5744067520027</v>
      </c>
      <c r="U41" s="75">
        <v>670.11114226575046</v>
      </c>
      <c r="V41" s="75">
        <v>0.68730693495735085</v>
      </c>
      <c r="W41" s="75">
        <v>0</v>
      </c>
      <c r="X41" s="75">
        <v>0</v>
      </c>
      <c r="Y41" s="75">
        <v>0</v>
      </c>
      <c r="Z41" s="75">
        <v>0</v>
      </c>
      <c r="AA41" s="76">
        <v>0</v>
      </c>
      <c r="AB41" s="80">
        <f t="shared" si="1"/>
        <v>1879937.9565092779</v>
      </c>
    </row>
    <row r="42" spans="1:28" x14ac:dyDescent="0.25">
      <c r="A42">
        <f t="shared" si="0"/>
        <v>2029</v>
      </c>
      <c r="B42" s="78">
        <v>47392</v>
      </c>
      <c r="C42" s="79">
        <v>1922010.4739359913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1.4597281246688658</v>
      </c>
      <c r="J42" s="75">
        <v>235.48693598705603</v>
      </c>
      <c r="K42" s="75">
        <v>2395.4166917555112</v>
      </c>
      <c r="L42" s="75">
        <v>5265.2745191763088</v>
      </c>
      <c r="M42" s="75">
        <v>6801.7472256502206</v>
      </c>
      <c r="N42" s="75">
        <v>7622.9557903343148</v>
      </c>
      <c r="O42" s="75">
        <v>7831.8149991203218</v>
      </c>
      <c r="P42" s="75">
        <v>7768.1438570047176</v>
      </c>
      <c r="Q42" s="75">
        <v>7372.4822614606455</v>
      </c>
      <c r="R42" s="75">
        <v>6802.7612373692773</v>
      </c>
      <c r="S42" s="75">
        <v>5776.6287798436706</v>
      </c>
      <c r="T42" s="75">
        <v>3462.4780280335626</v>
      </c>
      <c r="U42" s="75">
        <v>663.00779373600517</v>
      </c>
      <c r="V42" s="75">
        <v>0.68002130665186467</v>
      </c>
      <c r="W42" s="75">
        <v>0</v>
      </c>
      <c r="X42" s="75">
        <v>0</v>
      </c>
      <c r="Y42" s="75">
        <v>0</v>
      </c>
      <c r="Z42" s="75">
        <v>0</v>
      </c>
      <c r="AA42" s="76">
        <v>0</v>
      </c>
      <c r="AB42" s="80">
        <f t="shared" si="1"/>
        <v>1922010.4739359908</v>
      </c>
    </row>
    <row r="43" spans="1:28" x14ac:dyDescent="0.25">
      <c r="A43">
        <f t="shared" si="0"/>
        <v>2029</v>
      </c>
      <c r="B43" s="78">
        <v>47423</v>
      </c>
      <c r="C43" s="79">
        <v>1864390.4870373304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1.4631658056702732</v>
      </c>
      <c r="J43" s="75">
        <v>236.04151115228134</v>
      </c>
      <c r="K43" s="75">
        <v>2401.0579329651164</v>
      </c>
      <c r="L43" s="75">
        <v>5277.6743173824798</v>
      </c>
      <c r="M43" s="75">
        <v>6817.7654394660949</v>
      </c>
      <c r="N43" s="75">
        <v>7640.9079622847894</v>
      </c>
      <c r="O43" s="75">
        <v>7850.2590375505051</v>
      </c>
      <c r="P43" s="75">
        <v>7786.4379489675503</v>
      </c>
      <c r="Q43" s="75">
        <v>7389.8445646012979</v>
      </c>
      <c r="R43" s="75">
        <v>6818.7818391975234</v>
      </c>
      <c r="S43" s="75">
        <v>5790.2328247839951</v>
      </c>
      <c r="T43" s="75">
        <v>3470.6322142368749</v>
      </c>
      <c r="U43" s="75">
        <v>664.56918675008319</v>
      </c>
      <c r="V43" s="75">
        <v>0.68162276673674149</v>
      </c>
      <c r="W43" s="75">
        <v>0</v>
      </c>
      <c r="X43" s="75">
        <v>0</v>
      </c>
      <c r="Y43" s="75">
        <v>0</v>
      </c>
      <c r="Z43" s="75">
        <v>0</v>
      </c>
      <c r="AA43" s="76">
        <v>0</v>
      </c>
      <c r="AB43" s="80">
        <f t="shared" si="1"/>
        <v>1864390.4870373302</v>
      </c>
    </row>
    <row r="44" spans="1:28" x14ac:dyDescent="0.25">
      <c r="A44">
        <f t="shared" si="0"/>
        <v>2029</v>
      </c>
      <c r="B44" s="78">
        <v>47453</v>
      </c>
      <c r="C44" s="79">
        <v>1959296.3750409822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1.4880460132728326</v>
      </c>
      <c r="J44" s="75">
        <v>240.0552475159468</v>
      </c>
      <c r="K44" s="75">
        <v>2441.8864020329661</v>
      </c>
      <c r="L44" s="75">
        <v>5367.4178257164649</v>
      </c>
      <c r="M44" s="75">
        <v>6933.6972216756767</v>
      </c>
      <c r="N44" s="75">
        <v>7770.8367616299929</v>
      </c>
      <c r="O44" s="75">
        <v>7983.7477193056493</v>
      </c>
      <c r="P44" s="75">
        <v>7918.8413935423196</v>
      </c>
      <c r="Q44" s="75">
        <v>7515.5041899188118</v>
      </c>
      <c r="R44" s="75">
        <v>6934.7309046406435</v>
      </c>
      <c r="S44" s="75">
        <v>5888.6920658279632</v>
      </c>
      <c r="T44" s="75">
        <v>3529.6481163770886</v>
      </c>
      <c r="U44" s="75">
        <v>675.86976476286122</v>
      </c>
      <c r="V44" s="75">
        <v>0.69321333007366437</v>
      </c>
      <c r="W44" s="75">
        <v>0</v>
      </c>
      <c r="X44" s="75">
        <v>0</v>
      </c>
      <c r="Y44" s="75">
        <v>0</v>
      </c>
      <c r="Z44" s="75">
        <v>0</v>
      </c>
      <c r="AA44" s="76">
        <v>0</v>
      </c>
      <c r="AB44" s="80">
        <f t="shared" si="1"/>
        <v>1959296.3750409817</v>
      </c>
    </row>
    <row r="45" spans="1:28" x14ac:dyDescent="0.25">
      <c r="A45">
        <f t="shared" si="0"/>
        <v>2030</v>
      </c>
      <c r="B45" s="78">
        <v>47484</v>
      </c>
      <c r="C45" s="79">
        <v>1978259.2578506882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1.5024479396605916</v>
      </c>
      <c r="J45" s="75">
        <v>242.37860174886868</v>
      </c>
      <c r="K45" s="75">
        <v>2465.5199912470521</v>
      </c>
      <c r="L45" s="75">
        <v>5419.3659212248131</v>
      </c>
      <c r="M45" s="75">
        <v>7000.8044186916813</v>
      </c>
      <c r="N45" s="75">
        <v>7846.046142263418</v>
      </c>
      <c r="O45" s="75">
        <v>8061.0177404785736</v>
      </c>
      <c r="P45" s="75">
        <v>7995.483224378786</v>
      </c>
      <c r="Q45" s="75">
        <v>7588.2423560404659</v>
      </c>
      <c r="R45" s="75">
        <v>7001.8481060690383</v>
      </c>
      <c r="S45" s="75">
        <v>5945.6852695970483</v>
      </c>
      <c r="T45" s="75">
        <v>3563.8095145417537</v>
      </c>
      <c r="U45" s="75">
        <v>682.4111126197181</v>
      </c>
      <c r="V45" s="75">
        <v>0.69992253614772659</v>
      </c>
      <c r="W45" s="75">
        <v>0</v>
      </c>
      <c r="X45" s="75">
        <v>0</v>
      </c>
      <c r="Y45" s="75">
        <v>0</v>
      </c>
      <c r="Z45" s="75">
        <v>0</v>
      </c>
      <c r="AA45" s="76">
        <v>0</v>
      </c>
      <c r="AB45" s="80">
        <f t="shared" si="1"/>
        <v>1978259.257850688</v>
      </c>
    </row>
    <row r="46" spans="1:28" x14ac:dyDescent="0.25">
      <c r="A46">
        <f t="shared" si="0"/>
        <v>2030</v>
      </c>
      <c r="B46" s="78">
        <v>47515</v>
      </c>
      <c r="C46" s="79">
        <v>1799721.6455000592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1.5133006832885938</v>
      </c>
      <c r="J46" s="75">
        <v>244.12939307830959</v>
      </c>
      <c r="K46" s="75">
        <v>2483.3293646492107</v>
      </c>
      <c r="L46" s="75">
        <v>5458.5120289978868</v>
      </c>
      <c r="M46" s="75">
        <v>7051.3738484471069</v>
      </c>
      <c r="N46" s="75">
        <v>7902.7210692460449</v>
      </c>
      <c r="O46" s="75">
        <v>8119.2454877494401</v>
      </c>
      <c r="P46" s="75">
        <v>8053.2375913192991</v>
      </c>
      <c r="Q46" s="75">
        <v>7643.0550698146681</v>
      </c>
      <c r="R46" s="75">
        <v>7052.4250747688966</v>
      </c>
      <c r="S46" s="75">
        <v>5988.6331789524329</v>
      </c>
      <c r="T46" s="75">
        <v>3589.5522441095372</v>
      </c>
      <c r="U46" s="75">
        <v>687.34042341888949</v>
      </c>
      <c r="V46" s="75">
        <v>0.70497833851116054</v>
      </c>
      <c r="W46" s="75">
        <v>0</v>
      </c>
      <c r="X46" s="75">
        <v>0</v>
      </c>
      <c r="Y46" s="75">
        <v>0</v>
      </c>
      <c r="Z46" s="75">
        <v>0</v>
      </c>
      <c r="AA46" s="76">
        <v>0</v>
      </c>
      <c r="AB46" s="80">
        <f t="shared" si="1"/>
        <v>1799721.6455000585</v>
      </c>
    </row>
    <row r="47" spans="1:28" x14ac:dyDescent="0.25">
      <c r="A47">
        <f t="shared" si="0"/>
        <v>2030</v>
      </c>
      <c r="B47" s="78">
        <v>47543</v>
      </c>
      <c r="C47" s="79">
        <v>1974269.0616044377</v>
      </c>
      <c r="D47" s="75">
        <v>0</v>
      </c>
      <c r="E47" s="75">
        <v>0</v>
      </c>
      <c r="F47" s="75">
        <v>0</v>
      </c>
      <c r="G47" s="75">
        <v>0</v>
      </c>
      <c r="H47" s="75">
        <v>0</v>
      </c>
      <c r="I47" s="75">
        <v>1.4994174662253079</v>
      </c>
      <c r="J47" s="75">
        <v>241.88971831105243</v>
      </c>
      <c r="K47" s="75">
        <v>2460.5469784454754</v>
      </c>
      <c r="L47" s="75">
        <v>5408.434930521692</v>
      </c>
      <c r="M47" s="75">
        <v>6986.6836287086007</v>
      </c>
      <c r="N47" s="75">
        <v>7830.2204795043408</v>
      </c>
      <c r="O47" s="75">
        <v>8044.7584748634272</v>
      </c>
      <c r="P47" s="75">
        <v>7979.3561434503044</v>
      </c>
      <c r="Q47" s="75">
        <v>7572.9366896852844</v>
      </c>
      <c r="R47" s="75">
        <v>6987.7252109435485</v>
      </c>
      <c r="S47" s="75">
        <v>5933.69268017785</v>
      </c>
      <c r="T47" s="75">
        <v>3556.6212254988268</v>
      </c>
      <c r="U47" s="75">
        <v>681.03467308118502</v>
      </c>
      <c r="V47" s="75">
        <v>0.69851077564903585</v>
      </c>
      <c r="W47" s="75">
        <v>0</v>
      </c>
      <c r="X47" s="75">
        <v>0</v>
      </c>
      <c r="Y47" s="75">
        <v>0</v>
      </c>
      <c r="Z47" s="75">
        <v>0</v>
      </c>
      <c r="AA47" s="76">
        <v>0</v>
      </c>
      <c r="AB47" s="80">
        <f t="shared" si="1"/>
        <v>1974269.0616044374</v>
      </c>
    </row>
    <row r="48" spans="1:28" x14ac:dyDescent="0.25">
      <c r="A48">
        <f t="shared" si="0"/>
        <v>2030</v>
      </c>
      <c r="B48" s="78">
        <v>47574</v>
      </c>
      <c r="C48" s="79">
        <v>1907783.7259649199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1.4972206369073828</v>
      </c>
      <c r="J48" s="75">
        <v>241.53532039528847</v>
      </c>
      <c r="K48" s="75">
        <v>2456.9419772619231</v>
      </c>
      <c r="L48" s="75">
        <v>5400.5109142373076</v>
      </c>
      <c r="M48" s="75">
        <v>6976.4472857445198</v>
      </c>
      <c r="N48" s="75">
        <v>7818.748252254316</v>
      </c>
      <c r="O48" s="75">
        <v>8032.9719233050419</v>
      </c>
      <c r="P48" s="75">
        <v>7967.6654142778425</v>
      </c>
      <c r="Q48" s="75">
        <v>7561.8414145418164</v>
      </c>
      <c r="R48" s="75">
        <v>6977.4873419345586</v>
      </c>
      <c r="S48" s="75">
        <v>5924.9990972784935</v>
      </c>
      <c r="T48" s="75">
        <v>3551.4103419677708</v>
      </c>
      <c r="U48" s="75">
        <v>680.03687428928845</v>
      </c>
      <c r="V48" s="75">
        <v>0.69748737223711255</v>
      </c>
      <c r="W48" s="75">
        <v>0</v>
      </c>
      <c r="X48" s="75">
        <v>0</v>
      </c>
      <c r="Y48" s="75">
        <v>0</v>
      </c>
      <c r="Z48" s="75">
        <v>0</v>
      </c>
      <c r="AA48" s="76">
        <v>0</v>
      </c>
      <c r="AB48" s="80">
        <f t="shared" si="1"/>
        <v>1907783.7259649192</v>
      </c>
    </row>
    <row r="49" spans="1:28" x14ac:dyDescent="0.25">
      <c r="A49">
        <f t="shared" si="0"/>
        <v>2030</v>
      </c>
      <c r="B49" s="78">
        <v>47604</v>
      </c>
      <c r="C49" s="79">
        <v>1974658.9900680664</v>
      </c>
      <c r="D49" s="75">
        <v>0</v>
      </c>
      <c r="E49" s="75">
        <v>0</v>
      </c>
      <c r="F49" s="75">
        <v>0</v>
      </c>
      <c r="G49" s="75">
        <v>0</v>
      </c>
      <c r="H49" s="75">
        <v>0</v>
      </c>
      <c r="I49" s="75">
        <v>1.4997136090157279</v>
      </c>
      <c r="J49" s="75">
        <v>241.93749279532261</v>
      </c>
      <c r="K49" s="75">
        <v>2461.0329493405529</v>
      </c>
      <c r="L49" s="75">
        <v>5409.5031247025709</v>
      </c>
      <c r="M49" s="75">
        <v>6988.0635352604404</v>
      </c>
      <c r="N49" s="75">
        <v>7831.766988995284</v>
      </c>
      <c r="O49" s="75">
        <v>8046.3473567303281</v>
      </c>
      <c r="P49" s="75">
        <v>7980.9321080147456</v>
      </c>
      <c r="Q49" s="75">
        <v>7574.432384282336</v>
      </c>
      <c r="R49" s="75">
        <v>6989.1053232133272</v>
      </c>
      <c r="S49" s="75">
        <v>5934.8646155109936</v>
      </c>
      <c r="T49" s="75">
        <v>3557.3236767893522</v>
      </c>
      <c r="U49" s="75">
        <v>681.16918099042437</v>
      </c>
      <c r="V49" s="75">
        <v>0.69864873517991954</v>
      </c>
      <c r="W49" s="75">
        <v>0</v>
      </c>
      <c r="X49" s="75">
        <v>0</v>
      </c>
      <c r="Y49" s="75">
        <v>0</v>
      </c>
      <c r="Z49" s="75">
        <v>0</v>
      </c>
      <c r="AA49" s="76">
        <v>0</v>
      </c>
      <c r="AB49" s="80">
        <f t="shared" si="1"/>
        <v>1974658.9900680664</v>
      </c>
    </row>
    <row r="50" spans="1:28" x14ac:dyDescent="0.25">
      <c r="A50">
        <f t="shared" si="0"/>
        <v>2030</v>
      </c>
      <c r="B50" s="78">
        <v>47635</v>
      </c>
      <c r="C50" s="79">
        <v>1898761.0444959532</v>
      </c>
      <c r="D50" s="75">
        <v>0</v>
      </c>
      <c r="E50" s="75">
        <v>0</v>
      </c>
      <c r="F50" s="75">
        <v>0</v>
      </c>
      <c r="G50" s="75">
        <v>0</v>
      </c>
      <c r="H50" s="75">
        <v>0</v>
      </c>
      <c r="I50" s="75">
        <v>1.4901396744734747</v>
      </c>
      <c r="J50" s="75">
        <v>240.39300209695557</v>
      </c>
      <c r="K50" s="75">
        <v>2445.322104135395</v>
      </c>
      <c r="L50" s="75">
        <v>5374.9697121158788</v>
      </c>
      <c r="M50" s="75">
        <v>6943.452842617864</v>
      </c>
      <c r="N50" s="75">
        <v>7781.7702269121346</v>
      </c>
      <c r="O50" s="75">
        <v>7994.9807475094349</v>
      </c>
      <c r="P50" s="75">
        <v>7929.9830993980631</v>
      </c>
      <c r="Q50" s="75">
        <v>7526.0784056254142</v>
      </c>
      <c r="R50" s="75">
        <v>6944.4879799611899</v>
      </c>
      <c r="S50" s="75">
        <v>5896.9773782381862</v>
      </c>
      <c r="T50" s="75">
        <v>3534.6142849278349</v>
      </c>
      <c r="U50" s="75">
        <v>676.82070464680942</v>
      </c>
      <c r="V50" s="75">
        <v>0.69418867212626068</v>
      </c>
      <c r="W50" s="75">
        <v>0</v>
      </c>
      <c r="X50" s="75">
        <v>0</v>
      </c>
      <c r="Y50" s="75">
        <v>0</v>
      </c>
      <c r="Z50" s="75">
        <v>0</v>
      </c>
      <c r="AA50" s="76">
        <v>0</v>
      </c>
      <c r="AB50" s="80">
        <f t="shared" si="1"/>
        <v>1898761.0444959528</v>
      </c>
    </row>
    <row r="51" spans="1:28" x14ac:dyDescent="0.25">
      <c r="A51">
        <f t="shared" si="0"/>
        <v>2030</v>
      </c>
      <c r="B51" s="78">
        <v>47665</v>
      </c>
      <c r="C51" s="79">
        <v>1967659.7489791387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1.4943978268140197</v>
      </c>
      <c r="J51" s="75">
        <v>241.07993771920951</v>
      </c>
      <c r="K51" s="75">
        <v>2452.3097404083428</v>
      </c>
      <c r="L51" s="75">
        <v>5390.3289702123329</v>
      </c>
      <c r="M51" s="75">
        <v>6963.2941235928847</v>
      </c>
      <c r="N51" s="75">
        <v>7804.0070438179164</v>
      </c>
      <c r="O51" s="75">
        <v>8017.8268246697162</v>
      </c>
      <c r="P51" s="75">
        <v>7952.6434423669953</v>
      </c>
      <c r="Q51" s="75">
        <v>7547.5845697300392</v>
      </c>
      <c r="R51" s="75">
        <v>6964.3322188955062</v>
      </c>
      <c r="S51" s="75">
        <v>5913.8283006419251</v>
      </c>
      <c r="T51" s="75">
        <v>3544.7146307867602</v>
      </c>
      <c r="U51" s="75">
        <v>678.75475533815768</v>
      </c>
      <c r="V51" s="75">
        <v>0.69617235269636457</v>
      </c>
      <c r="W51" s="75">
        <v>0</v>
      </c>
      <c r="X51" s="75">
        <v>0</v>
      </c>
      <c r="Y51" s="75">
        <v>0</v>
      </c>
      <c r="Z51" s="75">
        <v>0</v>
      </c>
      <c r="AA51" s="76">
        <v>0</v>
      </c>
      <c r="AB51" s="80">
        <f t="shared" si="1"/>
        <v>1967659.7489791382</v>
      </c>
    </row>
    <row r="52" spans="1:28" x14ac:dyDescent="0.25">
      <c r="A52">
        <f t="shared" si="0"/>
        <v>2030</v>
      </c>
      <c r="B52" s="78">
        <v>47696</v>
      </c>
      <c r="C52" s="79">
        <v>1965443.9591788382</v>
      </c>
      <c r="D52" s="75">
        <v>0</v>
      </c>
      <c r="E52" s="75">
        <v>0</v>
      </c>
      <c r="F52" s="75">
        <v>0</v>
      </c>
      <c r="G52" s="75">
        <v>0</v>
      </c>
      <c r="H52" s="75">
        <v>0</v>
      </c>
      <c r="I52" s="75">
        <v>1.4927149792261867</v>
      </c>
      <c r="J52" s="75">
        <v>240.80845660194194</v>
      </c>
      <c r="K52" s="75">
        <v>2449.5481842435674</v>
      </c>
      <c r="L52" s="75">
        <v>5384.2588984132544</v>
      </c>
      <c r="M52" s="75">
        <v>6955.4527292138246</v>
      </c>
      <c r="N52" s="75">
        <v>7795.2189191341968</v>
      </c>
      <c r="O52" s="75">
        <v>8008.7979166443838</v>
      </c>
      <c r="P52" s="75">
        <v>7943.6879376186944</v>
      </c>
      <c r="Q52" s="75">
        <v>7539.0852034573936</v>
      </c>
      <c r="R52" s="75">
        <v>6956.4896555130208</v>
      </c>
      <c r="S52" s="75">
        <v>5907.1687140766717</v>
      </c>
      <c r="T52" s="75">
        <v>3540.7229129463412</v>
      </c>
      <c r="U52" s="75">
        <v>677.99040679437917</v>
      </c>
      <c r="V52" s="75">
        <v>0.69538839012399589</v>
      </c>
      <c r="W52" s="75">
        <v>0</v>
      </c>
      <c r="X52" s="75">
        <v>0</v>
      </c>
      <c r="Y52" s="75">
        <v>0</v>
      </c>
      <c r="Z52" s="75">
        <v>0</v>
      </c>
      <c r="AA52" s="76">
        <v>0</v>
      </c>
      <c r="AB52" s="80">
        <f t="shared" si="1"/>
        <v>1965443.9591788375</v>
      </c>
    </row>
    <row r="53" spans="1:28" x14ac:dyDescent="0.25">
      <c r="A53">
        <f t="shared" si="0"/>
        <v>2030</v>
      </c>
      <c r="B53" s="78">
        <v>47727</v>
      </c>
      <c r="C53" s="79">
        <v>1916479.6688888881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1.5040451763066529</v>
      </c>
      <c r="J53" s="75">
        <v>242.63627189817305</v>
      </c>
      <c r="K53" s="75">
        <v>2468.1410596898668</v>
      </c>
      <c r="L53" s="75">
        <v>5425.1271922940468</v>
      </c>
      <c r="M53" s="75">
        <v>7008.2469004404793</v>
      </c>
      <c r="N53" s="75">
        <v>7854.3871916231328</v>
      </c>
      <c r="O53" s="75">
        <v>8069.5873238895965</v>
      </c>
      <c r="P53" s="75">
        <v>8003.9831387331087</v>
      </c>
      <c r="Q53" s="75">
        <v>7596.3093368990512</v>
      </c>
      <c r="R53" s="75">
        <v>7009.2916973509382</v>
      </c>
      <c r="S53" s="75">
        <v>5952.0060652451775</v>
      </c>
      <c r="T53" s="75">
        <v>3567.5981630572514</v>
      </c>
      <c r="U53" s="75">
        <v>683.13657671599947</v>
      </c>
      <c r="V53" s="75">
        <v>0.70066661645469008</v>
      </c>
      <c r="W53" s="75">
        <v>0</v>
      </c>
      <c r="X53" s="75">
        <v>0</v>
      </c>
      <c r="Y53" s="75">
        <v>0</v>
      </c>
      <c r="Z53" s="75">
        <v>0</v>
      </c>
      <c r="AA53" s="76">
        <v>0</v>
      </c>
      <c r="AB53" s="80">
        <f t="shared" si="1"/>
        <v>1916479.6688888876</v>
      </c>
    </row>
    <row r="54" spans="1:28" x14ac:dyDescent="0.25">
      <c r="A54">
        <f t="shared" si="0"/>
        <v>2030</v>
      </c>
      <c r="B54" s="78">
        <v>47757</v>
      </c>
      <c r="C54" s="79">
        <v>1959770.250214315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1.4884059118933015</v>
      </c>
      <c r="J54" s="75">
        <v>240.11330724773376</v>
      </c>
      <c r="K54" s="75">
        <v>2442.4769963691592</v>
      </c>
      <c r="L54" s="75">
        <v>5368.7159887125854</v>
      </c>
      <c r="M54" s="75">
        <v>6935.3742048083022</v>
      </c>
      <c r="N54" s="75">
        <v>7772.7162152258188</v>
      </c>
      <c r="O54" s="75">
        <v>7985.678667518755</v>
      </c>
      <c r="P54" s="75">
        <v>7920.7566435196895</v>
      </c>
      <c r="Q54" s="75">
        <v>7517.3218888111533</v>
      </c>
      <c r="R54" s="75">
        <v>6936.4081377797011</v>
      </c>
      <c r="S54" s="75">
        <v>5890.1163041458331</v>
      </c>
      <c r="T54" s="75">
        <v>3530.5017966238647</v>
      </c>
      <c r="U54" s="75">
        <v>676.0332305386404</v>
      </c>
      <c r="V54" s="75">
        <v>0.6933809905619549</v>
      </c>
      <c r="W54" s="75">
        <v>0</v>
      </c>
      <c r="X54" s="75">
        <v>0</v>
      </c>
      <c r="Y54" s="75">
        <v>0</v>
      </c>
      <c r="Z54" s="75">
        <v>0</v>
      </c>
      <c r="AA54" s="76">
        <v>0</v>
      </c>
      <c r="AB54" s="80">
        <f t="shared" si="1"/>
        <v>1959770.2502143148</v>
      </c>
    </row>
    <row r="55" spans="1:28" x14ac:dyDescent="0.25">
      <c r="A55">
        <f t="shared" si="0"/>
        <v>2030</v>
      </c>
      <c r="B55" s="78">
        <v>47788</v>
      </c>
      <c r="C55" s="79">
        <v>1900932.2078100264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1.491843594302376</v>
      </c>
      <c r="J55" s="75">
        <v>240.66788264004748</v>
      </c>
      <c r="K55" s="75">
        <v>2448.118239888749</v>
      </c>
      <c r="L55" s="75">
        <v>5381.1157919962461</v>
      </c>
      <c r="M55" s="75">
        <v>6951.3924251833414</v>
      </c>
      <c r="N55" s="75">
        <v>7790.668394527378</v>
      </c>
      <c r="O55" s="75">
        <v>8004.1227135014324</v>
      </c>
      <c r="P55" s="75">
        <v>7939.0507429736153</v>
      </c>
      <c r="Q55" s="75">
        <v>7534.6841990613502</v>
      </c>
      <c r="R55" s="75">
        <v>6952.4287461680906</v>
      </c>
      <c r="S55" s="75">
        <v>5903.7203546567644</v>
      </c>
      <c r="T55" s="75">
        <v>3538.6559861661658</v>
      </c>
      <c r="U55" s="75">
        <v>677.59462419208035</v>
      </c>
      <c r="V55" s="75">
        <v>0.69498245130260017</v>
      </c>
      <c r="W55" s="75">
        <v>0</v>
      </c>
      <c r="X55" s="75">
        <v>0</v>
      </c>
      <c r="Y55" s="75">
        <v>0</v>
      </c>
      <c r="Z55" s="75">
        <v>0</v>
      </c>
      <c r="AA55" s="76">
        <v>0</v>
      </c>
      <c r="AB55" s="80">
        <f t="shared" si="1"/>
        <v>1900932.2078100261</v>
      </c>
    </row>
    <row r="56" spans="1:28" x14ac:dyDescent="0.25">
      <c r="A56">
        <f t="shared" si="0"/>
        <v>2030</v>
      </c>
      <c r="B56" s="78">
        <v>47818</v>
      </c>
      <c r="C56" s="79">
        <v>1997056.1673661671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1.5167238126845355</v>
      </c>
      <c r="J56" s="75">
        <v>244.68162074270452</v>
      </c>
      <c r="K56" s="75">
        <v>2488.9467266459433</v>
      </c>
      <c r="L56" s="75">
        <v>5470.8593392125085</v>
      </c>
      <c r="M56" s="75">
        <v>7067.3242576215325</v>
      </c>
      <c r="N56" s="75">
        <v>7920.5972501655388</v>
      </c>
      <c r="O56" s="75">
        <v>8137.6114530918885</v>
      </c>
      <c r="P56" s="75">
        <v>8071.454244913507</v>
      </c>
      <c r="Q56" s="75">
        <v>7660.3438788221592</v>
      </c>
      <c r="R56" s="75">
        <v>7068.3778618473079</v>
      </c>
      <c r="S56" s="75">
        <v>6002.1796383591873</v>
      </c>
      <c r="T56" s="75">
        <v>3597.6719138756125</v>
      </c>
      <c r="U56" s="75">
        <v>688.89520710094735</v>
      </c>
      <c r="V56" s="75">
        <v>0.70657301966125119</v>
      </c>
      <c r="W56" s="75">
        <v>0</v>
      </c>
      <c r="X56" s="75">
        <v>0</v>
      </c>
      <c r="Y56" s="75">
        <v>0</v>
      </c>
      <c r="Z56" s="75">
        <v>0</v>
      </c>
      <c r="AA56" s="76">
        <v>0</v>
      </c>
      <c r="AB56" s="80">
        <f t="shared" si="1"/>
        <v>1997056.1673661666</v>
      </c>
    </row>
    <row r="57" spans="1:28" x14ac:dyDescent="0.25">
      <c r="A57">
        <f t="shared" si="0"/>
        <v>2031</v>
      </c>
      <c r="B57" s="78">
        <v>47849</v>
      </c>
      <c r="C57" s="79">
        <v>2016019.034582359</v>
      </c>
      <c r="D57" s="75">
        <v>0</v>
      </c>
      <c r="E57" s="75">
        <v>0</v>
      </c>
      <c r="F57" s="75">
        <v>0</v>
      </c>
      <c r="G57" s="75">
        <v>0</v>
      </c>
      <c r="H57" s="75">
        <v>0</v>
      </c>
      <c r="I57" s="75">
        <v>1.5311257272293355</v>
      </c>
      <c r="J57" s="75">
        <v>247.00497306509106</v>
      </c>
      <c r="K57" s="75">
        <v>2512.5802964257105</v>
      </c>
      <c r="L57" s="75">
        <v>5522.8073920030174</v>
      </c>
      <c r="M57" s="75">
        <v>7134.4313994541026</v>
      </c>
      <c r="N57" s="75">
        <v>7995.8065689529594</v>
      </c>
      <c r="O57" s="75">
        <v>8214.881410724307</v>
      </c>
      <c r="P57" s="75">
        <v>8148.0960127260387</v>
      </c>
      <c r="Q57" s="75">
        <v>7733.081985129932</v>
      </c>
      <c r="R57" s="75">
        <v>7135.495008084039</v>
      </c>
      <c r="S57" s="75">
        <v>6059.172795261753</v>
      </c>
      <c r="T57" s="75">
        <v>3631.8332839487548</v>
      </c>
      <c r="U57" s="75">
        <v>695.43654957873798</v>
      </c>
      <c r="V57" s="75">
        <v>0.71328222021821441</v>
      </c>
      <c r="W57" s="75">
        <v>0</v>
      </c>
      <c r="X57" s="75">
        <v>0</v>
      </c>
      <c r="Y57" s="75">
        <v>0</v>
      </c>
      <c r="Z57" s="75">
        <v>0</v>
      </c>
      <c r="AA57" s="76">
        <v>0</v>
      </c>
      <c r="AB57" s="80">
        <f t="shared" si="1"/>
        <v>2016019.0345823588</v>
      </c>
    </row>
    <row r="58" spans="1:28" x14ac:dyDescent="0.25">
      <c r="A58">
        <f t="shared" si="0"/>
        <v>2031</v>
      </c>
      <c r="B58" s="78">
        <v>47880</v>
      </c>
      <c r="C58" s="79">
        <v>1833827.26204202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1.5419784807390924</v>
      </c>
      <c r="J58" s="75">
        <v>248.75576598868099</v>
      </c>
      <c r="K58" s="75">
        <v>2530.3896860438476</v>
      </c>
      <c r="L58" s="75">
        <v>5561.9535354198179</v>
      </c>
      <c r="M58" s="75">
        <v>7185.0008752545364</v>
      </c>
      <c r="N58" s="75">
        <v>8052.4815475398382</v>
      </c>
      <c r="O58" s="75">
        <v>8273.1092110133177</v>
      </c>
      <c r="P58" s="75">
        <v>8205.8504322536683</v>
      </c>
      <c r="Q58" s="75">
        <v>7787.8947488127851</v>
      </c>
      <c r="R58" s="75">
        <v>7186.0720228357723</v>
      </c>
      <c r="S58" s="75">
        <v>6102.1207437225203</v>
      </c>
      <c r="T58" s="75">
        <v>3657.5760369560803</v>
      </c>
      <c r="U58" s="75">
        <v>700.3658648661974</v>
      </c>
      <c r="V58" s="75">
        <v>0.71833802718511086</v>
      </c>
      <c r="W58" s="75">
        <v>0</v>
      </c>
      <c r="X58" s="75">
        <v>0</v>
      </c>
      <c r="Y58" s="75">
        <v>0</v>
      </c>
      <c r="Z58" s="75">
        <v>0</v>
      </c>
      <c r="AA58" s="76">
        <v>0</v>
      </c>
      <c r="AB58" s="80">
        <f t="shared" si="1"/>
        <v>1833827.2620420197</v>
      </c>
    </row>
    <row r="59" spans="1:28" x14ac:dyDescent="0.25">
      <c r="A59">
        <f t="shared" si="0"/>
        <v>2031</v>
      </c>
      <c r="B59" s="78">
        <v>47908</v>
      </c>
      <c r="C59" s="79">
        <v>2012028.8459689028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1.5280952595910049</v>
      </c>
      <c r="J59" s="75">
        <v>246.5160905624536</v>
      </c>
      <c r="K59" s="75">
        <v>2507.6072931369449</v>
      </c>
      <c r="L59" s="75">
        <v>5511.8764222096461</v>
      </c>
      <c r="M59" s="75">
        <v>7120.3106364824944</v>
      </c>
      <c r="N59" s="75">
        <v>7979.9809364665853</v>
      </c>
      <c r="O59" s="75">
        <v>8198.6221762112982</v>
      </c>
      <c r="P59" s="75">
        <v>8131.9689626468407</v>
      </c>
      <c r="Q59" s="75">
        <v>7717.7763480527601</v>
      </c>
      <c r="R59" s="75">
        <v>7121.3721399740507</v>
      </c>
      <c r="S59" s="75">
        <v>6047.1802287830214</v>
      </c>
      <c r="T59" s="75">
        <v>3624.6450086562127</v>
      </c>
      <c r="U59" s="75">
        <v>694.0601126731782</v>
      </c>
      <c r="V59" s="75">
        <v>0.71187046242006191</v>
      </c>
      <c r="W59" s="75">
        <v>0</v>
      </c>
      <c r="X59" s="75">
        <v>0</v>
      </c>
      <c r="Y59" s="75">
        <v>0</v>
      </c>
      <c r="Z59" s="75">
        <v>0</v>
      </c>
      <c r="AA59" s="76">
        <v>0</v>
      </c>
      <c r="AB59" s="80">
        <f t="shared" si="1"/>
        <v>2012028.8459689023</v>
      </c>
    </row>
    <row r="60" spans="1:28" x14ac:dyDescent="0.25">
      <c r="A60">
        <f t="shared" si="0"/>
        <v>2031</v>
      </c>
      <c r="B60" s="78">
        <v>47939</v>
      </c>
      <c r="C60" s="79">
        <v>1944325.4488317603</v>
      </c>
      <c r="D60" s="75">
        <v>0</v>
      </c>
      <c r="E60" s="75">
        <v>0</v>
      </c>
      <c r="F60" s="75">
        <v>0</v>
      </c>
      <c r="G60" s="75">
        <v>0</v>
      </c>
      <c r="H60" s="75">
        <v>0</v>
      </c>
      <c r="I60" s="75">
        <v>1.5258984271829616</v>
      </c>
      <c r="J60" s="75">
        <v>246.1616921481841</v>
      </c>
      <c r="K60" s="75">
        <v>2504.0022868825026</v>
      </c>
      <c r="L60" s="75">
        <v>5503.9523947791304</v>
      </c>
      <c r="M60" s="75">
        <v>7110.0742791197044</v>
      </c>
      <c r="N60" s="75">
        <v>7968.5086930794223</v>
      </c>
      <c r="O60" s="75">
        <v>8186.8356080736376</v>
      </c>
      <c r="P60" s="75">
        <v>8120.2782170298906</v>
      </c>
      <c r="Q60" s="75">
        <v>7706.6810573023849</v>
      </c>
      <c r="R60" s="75">
        <v>7111.1342565642053</v>
      </c>
      <c r="S60" s="75">
        <v>6038.4866336550422</v>
      </c>
      <c r="T60" s="75">
        <v>3619.4341177953902</v>
      </c>
      <c r="U60" s="75">
        <v>693.06231247775145</v>
      </c>
      <c r="V60" s="75">
        <v>0.71084705756859234</v>
      </c>
      <c r="W60" s="75">
        <v>0</v>
      </c>
      <c r="X60" s="75">
        <v>0</v>
      </c>
      <c r="Y60" s="75">
        <v>0</v>
      </c>
      <c r="Z60" s="75">
        <v>0</v>
      </c>
      <c r="AA60" s="76">
        <v>0</v>
      </c>
      <c r="AB60" s="80">
        <f t="shared" si="1"/>
        <v>1944325.4488317599</v>
      </c>
    </row>
    <row r="61" spans="1:28" x14ac:dyDescent="0.25">
      <c r="A61">
        <f t="shared" si="0"/>
        <v>2031</v>
      </c>
      <c r="B61" s="78">
        <v>47969</v>
      </c>
      <c r="C61" s="79">
        <v>2012418.7687801153</v>
      </c>
      <c r="D61" s="75">
        <v>0</v>
      </c>
      <c r="E61" s="75">
        <v>0</v>
      </c>
      <c r="F61" s="75">
        <v>0</v>
      </c>
      <c r="G61" s="75">
        <v>0</v>
      </c>
      <c r="H61" s="75">
        <v>0</v>
      </c>
      <c r="I61" s="75">
        <v>1.5283913980885289</v>
      </c>
      <c r="J61" s="75">
        <v>246.56386435418318</v>
      </c>
      <c r="K61" s="75">
        <v>2508.0932569873712</v>
      </c>
      <c r="L61" s="75">
        <v>5512.9446009059448</v>
      </c>
      <c r="M61" s="75">
        <v>7121.6905230311613</v>
      </c>
      <c r="N61" s="75">
        <v>7981.5274235392735</v>
      </c>
      <c r="O61" s="75">
        <v>8200.2110350457115</v>
      </c>
      <c r="P61" s="75">
        <v>8133.5449043660465</v>
      </c>
      <c r="Q61" s="75">
        <v>7719.2720209681702</v>
      </c>
      <c r="R61" s="75">
        <v>7122.7522322376735</v>
      </c>
      <c r="S61" s="75">
        <v>6048.3521471277509</v>
      </c>
      <c r="T61" s="75">
        <v>3625.34744976398</v>
      </c>
      <c r="U61" s="75">
        <v>694.1946186325863</v>
      </c>
      <c r="V61" s="75">
        <v>0.71200841995107944</v>
      </c>
      <c r="W61" s="75">
        <v>0</v>
      </c>
      <c r="X61" s="75">
        <v>0</v>
      </c>
      <c r="Y61" s="75">
        <v>0</v>
      </c>
      <c r="Z61" s="75">
        <v>0</v>
      </c>
      <c r="AA61" s="76">
        <v>0</v>
      </c>
      <c r="AB61" s="80">
        <f t="shared" si="1"/>
        <v>2012418.7687801144</v>
      </c>
    </row>
    <row r="62" spans="1:28" x14ac:dyDescent="0.25">
      <c r="A62">
        <f t="shared" si="0"/>
        <v>2031</v>
      </c>
      <c r="B62" s="78">
        <v>48000</v>
      </c>
      <c r="C62" s="79">
        <v>1935302.7649942092</v>
      </c>
      <c r="D62" s="75">
        <v>0</v>
      </c>
      <c r="E62" s="75">
        <v>0</v>
      </c>
      <c r="F62" s="75">
        <v>0</v>
      </c>
      <c r="G62" s="75">
        <v>0</v>
      </c>
      <c r="H62" s="75">
        <v>0</v>
      </c>
      <c r="I62" s="75">
        <v>1.518817462890198</v>
      </c>
      <c r="J62" s="75">
        <v>245.01937354997611</v>
      </c>
      <c r="K62" s="75">
        <v>2492.3824107055898</v>
      </c>
      <c r="L62" s="75">
        <v>5478.4111859527666</v>
      </c>
      <c r="M62" s="75">
        <v>7077.0798273315286</v>
      </c>
      <c r="N62" s="75">
        <v>7931.5306580299739</v>
      </c>
      <c r="O62" s="75">
        <v>8148.8444223047954</v>
      </c>
      <c r="P62" s="75">
        <v>8082.5958922579566</v>
      </c>
      <c r="Q62" s="75">
        <v>7670.9180389976746</v>
      </c>
      <c r="R62" s="75">
        <v>7078.1348859280224</v>
      </c>
      <c r="S62" s="75">
        <v>6010.464907258628</v>
      </c>
      <c r="T62" s="75">
        <v>3602.6380563462458</v>
      </c>
      <c r="U62" s="75">
        <v>689.84614199098121</v>
      </c>
      <c r="V62" s="75">
        <v>0.70754835659178372</v>
      </c>
      <c r="W62" s="75">
        <v>0</v>
      </c>
      <c r="X62" s="75">
        <v>0</v>
      </c>
      <c r="Y62" s="75">
        <v>0</v>
      </c>
      <c r="Z62" s="75">
        <v>0</v>
      </c>
      <c r="AA62" s="76">
        <v>0</v>
      </c>
      <c r="AB62" s="80">
        <f t="shared" si="1"/>
        <v>1935302.7649942085</v>
      </c>
    </row>
    <row r="63" spans="1:28" x14ac:dyDescent="0.25">
      <c r="A63">
        <f t="shared" si="0"/>
        <v>2031</v>
      </c>
      <c r="B63" s="78">
        <v>48030</v>
      </c>
      <c r="C63" s="79">
        <v>2005419.5260383897</v>
      </c>
      <c r="D63" s="75">
        <v>0</v>
      </c>
      <c r="E63" s="75">
        <v>0</v>
      </c>
      <c r="F63" s="75">
        <v>0</v>
      </c>
      <c r="G63" s="75">
        <v>0</v>
      </c>
      <c r="H63" s="75">
        <v>0</v>
      </c>
      <c r="I63" s="75">
        <v>1.5230756146315541</v>
      </c>
      <c r="J63" s="75">
        <v>245.70630907556739</v>
      </c>
      <c r="K63" s="75">
        <v>2499.3700459952674</v>
      </c>
      <c r="L63" s="75">
        <v>5493.7704418879312</v>
      </c>
      <c r="M63" s="75">
        <v>7096.9211055145688</v>
      </c>
      <c r="N63" s="75">
        <v>7953.7674718066846</v>
      </c>
      <c r="O63" s="75">
        <v>8171.6904962502758</v>
      </c>
      <c r="P63" s="75">
        <v>8105.2562320382222</v>
      </c>
      <c r="Q63" s="75">
        <v>7692.4242000760423</v>
      </c>
      <c r="R63" s="75">
        <v>7097.9791220699435</v>
      </c>
      <c r="S63" s="75">
        <v>6027.315827291176</v>
      </c>
      <c r="T63" s="75">
        <v>3612.7384007838928</v>
      </c>
      <c r="U63" s="75">
        <v>691.78019241017819</v>
      </c>
      <c r="V63" s="75">
        <v>0.70953203688275268</v>
      </c>
      <c r="W63" s="75">
        <v>0</v>
      </c>
      <c r="X63" s="75">
        <v>0</v>
      </c>
      <c r="Y63" s="75">
        <v>0</v>
      </c>
      <c r="Z63" s="75">
        <v>0</v>
      </c>
      <c r="AA63" s="76">
        <v>0</v>
      </c>
      <c r="AB63" s="80">
        <f t="shared" si="1"/>
        <v>2005419.5260383892</v>
      </c>
    </row>
    <row r="64" spans="1:28" x14ac:dyDescent="0.25">
      <c r="A64">
        <f t="shared" si="0"/>
        <v>2031</v>
      </c>
      <c r="B64" s="78">
        <v>48061</v>
      </c>
      <c r="C64" s="79">
        <v>2003203.7356022499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1.5213927665608136</v>
      </c>
      <c r="J64" s="75">
        <v>245.43482788039606</v>
      </c>
      <c r="K64" s="75">
        <v>2496.6084890380398</v>
      </c>
      <c r="L64" s="75">
        <v>5487.7003683469948</v>
      </c>
      <c r="M64" s="75">
        <v>7089.079708885356</v>
      </c>
      <c r="N64" s="75">
        <v>7944.9793446011408</v>
      </c>
      <c r="O64" s="75">
        <v>8162.661585634024</v>
      </c>
      <c r="P64" s="75">
        <v>8096.3007247200649</v>
      </c>
      <c r="Q64" s="75">
        <v>7683.9248313644348</v>
      </c>
      <c r="R64" s="75">
        <v>7090.1365564369698</v>
      </c>
      <c r="S64" s="75">
        <v>6020.6562388148996</v>
      </c>
      <c r="T64" s="75">
        <v>3608.7466817980185</v>
      </c>
      <c r="U64" s="75">
        <v>691.01584364706355</v>
      </c>
      <c r="V64" s="75">
        <v>0.70874807408541951</v>
      </c>
      <c r="W64" s="75">
        <v>0</v>
      </c>
      <c r="X64" s="75">
        <v>0</v>
      </c>
      <c r="Y64" s="75">
        <v>0</v>
      </c>
      <c r="Z64" s="75">
        <v>0</v>
      </c>
      <c r="AA64" s="76">
        <v>0</v>
      </c>
      <c r="AB64" s="80">
        <f t="shared" si="1"/>
        <v>2003203.7356022496</v>
      </c>
    </row>
    <row r="65" spans="1:28" x14ac:dyDescent="0.25">
      <c r="A65">
        <f t="shared" si="0"/>
        <v>2031</v>
      </c>
      <c r="B65" s="78">
        <v>48092</v>
      </c>
      <c r="C65" s="79">
        <v>1953021.3871261564</v>
      </c>
      <c r="D65" s="75">
        <v>0</v>
      </c>
      <c r="E65" s="75">
        <v>0</v>
      </c>
      <c r="F65" s="75">
        <v>0</v>
      </c>
      <c r="G65" s="75">
        <v>0</v>
      </c>
      <c r="H65" s="75">
        <v>0</v>
      </c>
      <c r="I65" s="75">
        <v>1.5327229629489627</v>
      </c>
      <c r="J65" s="75">
        <v>247.26264306494079</v>
      </c>
      <c r="K65" s="75">
        <v>2515.2013633482456</v>
      </c>
      <c r="L65" s="75">
        <v>5528.5686597305812</v>
      </c>
      <c r="M65" s="75">
        <v>7141.8738768860894</v>
      </c>
      <c r="N65" s="75">
        <v>8004.1476134746736</v>
      </c>
      <c r="O65" s="75">
        <v>8223.4509891647758</v>
      </c>
      <c r="P65" s="75">
        <v>8156.5959221502171</v>
      </c>
      <c r="Q65" s="75">
        <v>7741.1489613094818</v>
      </c>
      <c r="R65" s="75">
        <v>7142.9385950484857</v>
      </c>
      <c r="S65" s="75">
        <v>6065.4935872436754</v>
      </c>
      <c r="T65" s="75">
        <v>3635.6219302667491</v>
      </c>
      <c r="U65" s="75">
        <v>696.16201325423356</v>
      </c>
      <c r="V65" s="75">
        <v>0.71402630009359414</v>
      </c>
      <c r="W65" s="75">
        <v>0</v>
      </c>
      <c r="X65" s="75">
        <v>0</v>
      </c>
      <c r="Y65" s="75">
        <v>0</v>
      </c>
      <c r="Z65" s="75">
        <v>0</v>
      </c>
      <c r="AA65" s="76">
        <v>0</v>
      </c>
      <c r="AB65" s="80">
        <f t="shared" si="1"/>
        <v>1953021.3871261557</v>
      </c>
    </row>
    <row r="66" spans="1:28" x14ac:dyDescent="0.25">
      <c r="A66">
        <f t="shared" si="0"/>
        <v>2031</v>
      </c>
      <c r="B66" s="78">
        <v>48122</v>
      </c>
      <c r="C66" s="79">
        <v>1997530.0260610227</v>
      </c>
      <c r="D66" s="75">
        <v>0</v>
      </c>
      <c r="E66" s="75">
        <v>0</v>
      </c>
      <c r="F66" s="75">
        <v>0</v>
      </c>
      <c r="G66" s="75">
        <v>0</v>
      </c>
      <c r="H66" s="75">
        <v>0</v>
      </c>
      <c r="I66" s="75">
        <v>1.5170836987899337</v>
      </c>
      <c r="J66" s="75">
        <v>244.73967845552946</v>
      </c>
      <c r="K66" s="75">
        <v>2489.5373004448811</v>
      </c>
      <c r="L66" s="75">
        <v>5472.157457066467</v>
      </c>
      <c r="M66" s="75">
        <v>7069.0011824389512</v>
      </c>
      <c r="N66" s="75">
        <v>7922.4766384054747</v>
      </c>
      <c r="O66" s="75">
        <v>8139.5423341584374</v>
      </c>
      <c r="P66" s="75">
        <v>8073.3694282902088</v>
      </c>
      <c r="Q66" s="75">
        <v>7662.1615145060623</v>
      </c>
      <c r="R66" s="75">
        <v>7070.055036662463</v>
      </c>
      <c r="S66" s="75">
        <v>6003.6038271507678</v>
      </c>
      <c r="T66" s="75">
        <v>3598.5255644366157</v>
      </c>
      <c r="U66" s="75">
        <v>689.05866719238747</v>
      </c>
      <c r="V66" s="75">
        <v>0.70674067431933629</v>
      </c>
      <c r="W66" s="75">
        <v>0</v>
      </c>
      <c r="X66" s="75">
        <v>0</v>
      </c>
      <c r="Y66" s="75">
        <v>0</v>
      </c>
      <c r="Z66" s="75">
        <v>0</v>
      </c>
      <c r="AA66" s="76">
        <v>0</v>
      </c>
      <c r="AB66" s="80">
        <f t="shared" si="1"/>
        <v>1997530.0260610222</v>
      </c>
    </row>
    <row r="67" spans="1:28" x14ac:dyDescent="0.25">
      <c r="A67">
        <f t="shared" ref="A67:A116" si="2">+YEAR(B67)</f>
        <v>2031</v>
      </c>
      <c r="B67" s="78">
        <v>48153</v>
      </c>
      <c r="C67" s="79">
        <v>1937473.926459434</v>
      </c>
      <c r="D67" s="75">
        <v>0</v>
      </c>
      <c r="E67" s="75">
        <v>0</v>
      </c>
      <c r="F67" s="75">
        <v>0</v>
      </c>
      <c r="G67" s="75">
        <v>0</v>
      </c>
      <c r="H67" s="75">
        <v>0</v>
      </c>
      <c r="I67" s="75">
        <v>1.5205213812681309</v>
      </c>
      <c r="J67" s="75">
        <v>245.29425385899421</v>
      </c>
      <c r="K67" s="75">
        <v>2495.1785440779017</v>
      </c>
      <c r="L67" s="75">
        <v>5484.5572605994548</v>
      </c>
      <c r="M67" s="75">
        <v>7085.0194031360752</v>
      </c>
      <c r="N67" s="75">
        <v>7940.4288180680051</v>
      </c>
      <c r="O67" s="75">
        <v>8157.9863805119776</v>
      </c>
      <c r="P67" s="75">
        <v>8091.6635281119816</v>
      </c>
      <c r="Q67" s="75">
        <v>7679.5238251053679</v>
      </c>
      <c r="R67" s="75">
        <v>7086.0756453729855</v>
      </c>
      <c r="S67" s="75">
        <v>6017.2078779352414</v>
      </c>
      <c r="T67" s="75">
        <v>3606.6797541428764</v>
      </c>
      <c r="U67" s="75">
        <v>690.62006087722284</v>
      </c>
      <c r="V67" s="75">
        <v>0.7083421350921828</v>
      </c>
      <c r="W67" s="75">
        <v>0</v>
      </c>
      <c r="X67" s="75">
        <v>0</v>
      </c>
      <c r="Y67" s="75">
        <v>0</v>
      </c>
      <c r="Z67" s="75">
        <v>0</v>
      </c>
      <c r="AA67" s="76">
        <v>0</v>
      </c>
      <c r="AB67" s="80">
        <f t="shared" ref="AB67:AB116" si="3">SUM(D67:AA67)*_xlfn.DAYS(B68,B67)</f>
        <v>1937473.926459433</v>
      </c>
    </row>
    <row r="68" spans="1:28" x14ac:dyDescent="0.25">
      <c r="A68">
        <f t="shared" si="2"/>
        <v>2031</v>
      </c>
      <c r="B68" s="78">
        <v>48183</v>
      </c>
      <c r="C68" s="79">
        <v>2034815.9440008483</v>
      </c>
      <c r="D68" s="75">
        <v>0</v>
      </c>
      <c r="E68" s="75">
        <v>0</v>
      </c>
      <c r="F68" s="75">
        <v>0</v>
      </c>
      <c r="G68" s="75">
        <v>0</v>
      </c>
      <c r="H68" s="75">
        <v>0</v>
      </c>
      <c r="I68" s="75">
        <v>1.5454016001796176</v>
      </c>
      <c r="J68" s="75">
        <v>249.30799204704363</v>
      </c>
      <c r="K68" s="75">
        <v>2536.007031703723</v>
      </c>
      <c r="L68" s="75">
        <v>5574.3008097250131</v>
      </c>
      <c r="M68" s="75">
        <v>7200.9512380407186</v>
      </c>
      <c r="N68" s="75">
        <v>8070.3576764704057</v>
      </c>
      <c r="O68" s="75">
        <v>8291.4751229424091</v>
      </c>
      <c r="P68" s="75">
        <v>8224.0670328687593</v>
      </c>
      <c r="Q68" s="75">
        <v>7805.183507539592</v>
      </c>
      <c r="R68" s="75">
        <v>7202.0247635190226</v>
      </c>
      <c r="S68" s="75">
        <v>6115.667163732388</v>
      </c>
      <c r="T68" s="75">
        <v>3665.6956831078883</v>
      </c>
      <c r="U68" s="75">
        <v>701.9206440265101</v>
      </c>
      <c r="V68" s="75">
        <v>0.71993270369742324</v>
      </c>
      <c r="W68" s="75">
        <v>0</v>
      </c>
      <c r="X68" s="75">
        <v>0</v>
      </c>
      <c r="Y68" s="75">
        <v>0</v>
      </c>
      <c r="Z68" s="75">
        <v>0</v>
      </c>
      <c r="AA68" s="76">
        <v>0</v>
      </c>
      <c r="AB68" s="80">
        <f t="shared" si="3"/>
        <v>2034815.9440008476</v>
      </c>
    </row>
    <row r="69" spans="1:28" x14ac:dyDescent="0.25">
      <c r="A69">
        <f t="shared" si="2"/>
        <v>2032</v>
      </c>
      <c r="B69" s="78">
        <v>48214</v>
      </c>
      <c r="C69" s="79">
        <v>2053778.8104513271</v>
      </c>
      <c r="D69" s="75">
        <v>0</v>
      </c>
      <c r="E69" s="75">
        <v>0</v>
      </c>
      <c r="F69" s="75">
        <v>0</v>
      </c>
      <c r="G69" s="75">
        <v>0</v>
      </c>
      <c r="H69" s="75">
        <v>0</v>
      </c>
      <c r="I69" s="75">
        <v>1.5598035141428737</v>
      </c>
      <c r="J69" s="75">
        <v>251.63134427561414</v>
      </c>
      <c r="K69" s="75">
        <v>2559.640600529176</v>
      </c>
      <c r="L69" s="75">
        <v>5626.2488604178816</v>
      </c>
      <c r="M69" s="75">
        <v>7268.0583771635283</v>
      </c>
      <c r="N69" s="75">
        <v>8145.5669922209036</v>
      </c>
      <c r="O69" s="75">
        <v>8368.7450774546978</v>
      </c>
      <c r="P69" s="75">
        <v>8300.7087975865288</v>
      </c>
      <c r="Q69" s="75">
        <v>7877.921610910229</v>
      </c>
      <c r="R69" s="75">
        <v>7269.1419070455904</v>
      </c>
      <c r="S69" s="75">
        <v>6172.6603183335919</v>
      </c>
      <c r="T69" s="75">
        <v>3699.8570518016077</v>
      </c>
      <c r="U69" s="75">
        <v>708.46198624016404</v>
      </c>
      <c r="V69" s="75">
        <v>0.72664190398347184</v>
      </c>
      <c r="W69" s="75">
        <v>0</v>
      </c>
      <c r="X69" s="75">
        <v>0</v>
      </c>
      <c r="Y69" s="75">
        <v>0</v>
      </c>
      <c r="Z69" s="75">
        <v>0</v>
      </c>
      <c r="AA69" s="76">
        <v>0</v>
      </c>
      <c r="AB69" s="80">
        <f t="shared" si="3"/>
        <v>2053778.8104513262</v>
      </c>
    </row>
    <row r="70" spans="1:28" x14ac:dyDescent="0.25">
      <c r="A70">
        <f t="shared" si="2"/>
        <v>2032</v>
      </c>
      <c r="B70" s="78">
        <v>48245</v>
      </c>
      <c r="C70" s="79">
        <v>1934644.7547237028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1.5706562681378711</v>
      </c>
      <c r="J70" s="75">
        <v>253.38213727748419</v>
      </c>
      <c r="K70" s="75">
        <v>2577.4499909435926</v>
      </c>
      <c r="L70" s="75">
        <v>5665.3950055849537</v>
      </c>
      <c r="M70" s="75">
        <v>7318.627855224986</v>
      </c>
      <c r="N70" s="75">
        <v>8202.2419733417901</v>
      </c>
      <c r="O70" s="75">
        <v>8426.9728803471444</v>
      </c>
      <c r="P70" s="75">
        <v>8358.4632196964285</v>
      </c>
      <c r="Q70" s="75">
        <v>7932.7343770438265</v>
      </c>
      <c r="R70" s="75">
        <v>7319.7189240586858</v>
      </c>
      <c r="S70" s="75">
        <v>6215.6082687146154</v>
      </c>
      <c r="T70" s="75">
        <v>3725.5998059599242</v>
      </c>
      <c r="U70" s="75">
        <v>713.39130174801926</v>
      </c>
      <c r="V70" s="75">
        <v>0.73169771117641957</v>
      </c>
      <c r="W70" s="75">
        <v>0</v>
      </c>
      <c r="X70" s="75">
        <v>0</v>
      </c>
      <c r="Y70" s="75">
        <v>0</v>
      </c>
      <c r="Z70" s="75">
        <v>0</v>
      </c>
      <c r="AA70" s="76">
        <v>0</v>
      </c>
      <c r="AB70" s="80">
        <f t="shared" si="3"/>
        <v>1934644.7547237026</v>
      </c>
    </row>
    <row r="71" spans="1:28" x14ac:dyDescent="0.25">
      <c r="A71">
        <f t="shared" si="2"/>
        <v>2032</v>
      </c>
      <c r="B71" s="78">
        <v>48274</v>
      </c>
      <c r="C71" s="79">
        <v>2049788.6222126766</v>
      </c>
      <c r="D71" s="75">
        <v>0</v>
      </c>
      <c r="E71" s="75">
        <v>0</v>
      </c>
      <c r="F71" s="75">
        <v>0</v>
      </c>
      <c r="G71" s="75">
        <v>0</v>
      </c>
      <c r="H71" s="75">
        <v>0</v>
      </c>
      <c r="I71" s="75">
        <v>1.5567730467892005</v>
      </c>
      <c r="J71" s="75">
        <v>251.14246181889831</v>
      </c>
      <c r="K71" s="75">
        <v>2554.6675977075338</v>
      </c>
      <c r="L71" s="75">
        <v>5615.3178916512752</v>
      </c>
      <c r="M71" s="75">
        <v>7253.9376155183099</v>
      </c>
      <c r="N71" s="75">
        <v>8129.7413612210585</v>
      </c>
      <c r="O71" s="75">
        <v>8352.4858444689471</v>
      </c>
      <c r="P71" s="75">
        <v>8284.5817490221725</v>
      </c>
      <c r="Q71" s="75">
        <v>7862.6159752707408</v>
      </c>
      <c r="R71" s="75">
        <v>7255.0190402621902</v>
      </c>
      <c r="S71" s="75">
        <v>6160.6677529813442</v>
      </c>
      <c r="T71" s="75">
        <v>3692.6687771842735</v>
      </c>
      <c r="U71" s="75">
        <v>707.0855494638954</v>
      </c>
      <c r="V71" s="75">
        <v>0.72523014631792826</v>
      </c>
      <c r="W71" s="75">
        <v>0</v>
      </c>
      <c r="X71" s="75">
        <v>0</v>
      </c>
      <c r="Y71" s="75">
        <v>0</v>
      </c>
      <c r="Z71" s="75">
        <v>0</v>
      </c>
      <c r="AA71" s="76">
        <v>0</v>
      </c>
      <c r="AB71" s="80">
        <f t="shared" si="3"/>
        <v>2049788.6222126761</v>
      </c>
    </row>
    <row r="72" spans="1:28" x14ac:dyDescent="0.25">
      <c r="A72">
        <f t="shared" si="2"/>
        <v>2032</v>
      </c>
      <c r="B72" s="78">
        <v>48305</v>
      </c>
      <c r="C72" s="79">
        <v>1980867.1675839983</v>
      </c>
      <c r="D72" s="75">
        <v>0</v>
      </c>
      <c r="E72" s="75">
        <v>0</v>
      </c>
      <c r="F72" s="75">
        <v>0</v>
      </c>
      <c r="G72" s="75">
        <v>0</v>
      </c>
      <c r="H72" s="75">
        <v>0</v>
      </c>
      <c r="I72" s="75">
        <v>1.5545762142294175</v>
      </c>
      <c r="J72" s="75">
        <v>250.78806338014977</v>
      </c>
      <c r="K72" s="75">
        <v>2551.0625912040859</v>
      </c>
      <c r="L72" s="75">
        <v>5607.3938636734301</v>
      </c>
      <c r="M72" s="75">
        <v>7243.7012574484706</v>
      </c>
      <c r="N72" s="75">
        <v>8118.2691170414837</v>
      </c>
      <c r="O72" s="75">
        <v>8340.699275517165</v>
      </c>
      <c r="P72" s="75">
        <v>8272.8910025977184</v>
      </c>
      <c r="Q72" s="75">
        <v>7851.5206837539909</v>
      </c>
      <c r="R72" s="75">
        <v>7244.7811561451908</v>
      </c>
      <c r="S72" s="75">
        <v>6151.9741572528801</v>
      </c>
      <c r="T72" s="75">
        <v>3687.4578859635239</v>
      </c>
      <c r="U72" s="75">
        <v>706.0877491995484</v>
      </c>
      <c r="V72" s="75">
        <v>0.7242067413957699</v>
      </c>
      <c r="W72" s="75">
        <v>0</v>
      </c>
      <c r="X72" s="75">
        <v>0</v>
      </c>
      <c r="Y72" s="75">
        <v>0</v>
      </c>
      <c r="Z72" s="75">
        <v>0</v>
      </c>
      <c r="AA72" s="76">
        <v>0</v>
      </c>
      <c r="AB72" s="80">
        <f t="shared" si="3"/>
        <v>1980867.1675839974</v>
      </c>
    </row>
    <row r="73" spans="1:28" x14ac:dyDescent="0.25">
      <c r="A73">
        <f t="shared" si="2"/>
        <v>2032</v>
      </c>
      <c r="B73" s="78">
        <v>48335</v>
      </c>
      <c r="C73" s="79">
        <v>2050178.5447463284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1.5570691850759228</v>
      </c>
      <c r="J73" s="75">
        <v>251.19023557662084</v>
      </c>
      <c r="K73" s="75">
        <v>2555.1535612120342</v>
      </c>
      <c r="L73" s="75">
        <v>5616.3860695872081</v>
      </c>
      <c r="M73" s="75">
        <v>7255.3175010847262</v>
      </c>
      <c r="N73" s="75">
        <v>8131.2878471929052</v>
      </c>
      <c r="O73" s="75">
        <v>8354.0747021723582</v>
      </c>
      <c r="P73" s="75">
        <v>8286.1576896195693</v>
      </c>
      <c r="Q73" s="75">
        <v>7864.1116471214809</v>
      </c>
      <c r="R73" s="75">
        <v>7256.3991315434159</v>
      </c>
      <c r="S73" s="75">
        <v>6161.8396704918614</v>
      </c>
      <c r="T73" s="75">
        <v>3693.3712177920188</v>
      </c>
      <c r="U73" s="75">
        <v>707.22005532755747</v>
      </c>
      <c r="V73" s="75">
        <v>0.72536810375074279</v>
      </c>
      <c r="W73" s="75">
        <v>0</v>
      </c>
      <c r="X73" s="75">
        <v>0</v>
      </c>
      <c r="Y73" s="75">
        <v>0</v>
      </c>
      <c r="Z73" s="75">
        <v>0</v>
      </c>
      <c r="AA73" s="76">
        <v>0</v>
      </c>
      <c r="AB73" s="80">
        <f t="shared" si="3"/>
        <v>2050178.5447463281</v>
      </c>
    </row>
    <row r="74" spans="1:28" x14ac:dyDescent="0.25">
      <c r="A74">
        <f t="shared" si="2"/>
        <v>2032</v>
      </c>
      <c r="B74" s="78">
        <v>48366</v>
      </c>
      <c r="C74" s="79">
        <v>1971844.4836301387</v>
      </c>
      <c r="D74" s="75">
        <v>0</v>
      </c>
      <c r="E74" s="75">
        <v>0</v>
      </c>
      <c r="F74" s="75">
        <v>0</v>
      </c>
      <c r="G74" s="75">
        <v>0</v>
      </c>
      <c r="H74" s="75">
        <v>0</v>
      </c>
      <c r="I74" s="75">
        <v>1.5474952498453758</v>
      </c>
      <c r="J74" s="75">
        <v>249.64574476721648</v>
      </c>
      <c r="K74" s="75">
        <v>2539.4427148773848</v>
      </c>
      <c r="L74" s="75">
        <v>5581.8526545178229</v>
      </c>
      <c r="M74" s="75">
        <v>7210.706805234975</v>
      </c>
      <c r="N74" s="75">
        <v>8081.2910815153646</v>
      </c>
      <c r="O74" s="75">
        <v>8302.7080892585891</v>
      </c>
      <c r="P74" s="75">
        <v>8235.2086773400333</v>
      </c>
      <c r="Q74" s="75">
        <v>7815.7576649882722</v>
      </c>
      <c r="R74" s="75">
        <v>7211.7817850836254</v>
      </c>
      <c r="S74" s="75">
        <v>6123.9524304952465</v>
      </c>
      <c r="T74" s="75">
        <v>3670.6618242978666</v>
      </c>
      <c r="U74" s="75">
        <v>702.87157867131964</v>
      </c>
      <c r="V74" s="75">
        <v>0.72090804037643885</v>
      </c>
      <c r="W74" s="75">
        <v>0</v>
      </c>
      <c r="X74" s="75">
        <v>0</v>
      </c>
      <c r="Y74" s="75">
        <v>0</v>
      </c>
      <c r="Z74" s="75">
        <v>0</v>
      </c>
      <c r="AA74" s="76">
        <v>0</v>
      </c>
      <c r="AB74" s="80">
        <f t="shared" si="3"/>
        <v>1971844.4836301382</v>
      </c>
    </row>
    <row r="75" spans="1:28" x14ac:dyDescent="0.25">
      <c r="A75">
        <f t="shared" si="2"/>
        <v>2032</v>
      </c>
      <c r="B75" s="78">
        <v>48396</v>
      </c>
      <c r="C75" s="79">
        <v>2043179.3019234419</v>
      </c>
      <c r="D75" s="75">
        <v>0</v>
      </c>
      <c r="E75" s="75">
        <v>0</v>
      </c>
      <c r="F75" s="75">
        <v>0</v>
      </c>
      <c r="G75" s="75">
        <v>0</v>
      </c>
      <c r="H75" s="75">
        <v>0</v>
      </c>
      <c r="I75" s="75">
        <v>1.5517534015573078</v>
      </c>
      <c r="J75" s="75">
        <v>250.33268028806111</v>
      </c>
      <c r="K75" s="75">
        <v>2546.4303501187783</v>
      </c>
      <c r="L75" s="75">
        <v>5597.2119103468558</v>
      </c>
      <c r="M75" s="75">
        <v>7230.5480832809144</v>
      </c>
      <c r="N75" s="75">
        <v>8103.5278951384207</v>
      </c>
      <c r="O75" s="75">
        <v>8325.5541630462048</v>
      </c>
      <c r="P75" s="75">
        <v>8257.8690169637175</v>
      </c>
      <c r="Q75" s="75">
        <v>7837.263825918033</v>
      </c>
      <c r="R75" s="75">
        <v>7231.6260210884229</v>
      </c>
      <c r="S75" s="75">
        <v>6140.8033504113555</v>
      </c>
      <c r="T75" s="75">
        <v>3680.7621686657212</v>
      </c>
      <c r="U75" s="75">
        <v>704.80562907715239</v>
      </c>
      <c r="V75" s="75">
        <v>0.72289172065370066</v>
      </c>
      <c r="W75" s="75">
        <v>0</v>
      </c>
      <c r="X75" s="75">
        <v>0</v>
      </c>
      <c r="Y75" s="75">
        <v>0</v>
      </c>
      <c r="Z75" s="75">
        <v>0</v>
      </c>
      <c r="AA75" s="76">
        <v>0</v>
      </c>
      <c r="AB75" s="80">
        <f t="shared" si="3"/>
        <v>2043179.3019234415</v>
      </c>
    </row>
    <row r="76" spans="1:28" x14ac:dyDescent="0.25">
      <c r="A76">
        <f t="shared" si="2"/>
        <v>2032</v>
      </c>
      <c r="B76" s="78">
        <v>48427</v>
      </c>
      <c r="C76" s="79">
        <v>2040963.51145608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1.5500705534628552</v>
      </c>
      <c r="J76" s="75">
        <v>250.06119908906442</v>
      </c>
      <c r="K76" s="75">
        <v>2543.6687931226388</v>
      </c>
      <c r="L76" s="75">
        <v>5591.1418367203878</v>
      </c>
      <c r="M76" s="75">
        <v>7222.7066865412098</v>
      </c>
      <c r="N76" s="75">
        <v>8094.7397678090456</v>
      </c>
      <c r="O76" s="75">
        <v>8316.5252523027302</v>
      </c>
      <c r="P76" s="75">
        <v>8248.9135095193706</v>
      </c>
      <c r="Q76" s="75">
        <v>7828.7644570866632</v>
      </c>
      <c r="R76" s="75">
        <v>7223.7834553449429</v>
      </c>
      <c r="S76" s="75">
        <v>6134.143761841241</v>
      </c>
      <c r="T76" s="75">
        <v>3676.7704496236001</v>
      </c>
      <c r="U76" s="75">
        <v>704.04128030326751</v>
      </c>
      <c r="V76" s="75">
        <v>0.722107757845321</v>
      </c>
      <c r="W76" s="75">
        <v>0</v>
      </c>
      <c r="X76" s="75">
        <v>0</v>
      </c>
      <c r="Y76" s="75">
        <v>0</v>
      </c>
      <c r="Z76" s="75">
        <v>0</v>
      </c>
      <c r="AA76" s="76">
        <v>0</v>
      </c>
      <c r="AB76" s="80">
        <f t="shared" si="3"/>
        <v>2040963.5114560795</v>
      </c>
    </row>
    <row r="77" spans="1:28" x14ac:dyDescent="0.25">
      <c r="A77">
        <f t="shared" si="2"/>
        <v>2032</v>
      </c>
      <c r="B77" s="78">
        <v>48458</v>
      </c>
      <c r="C77" s="79">
        <v>1989563.1056510613</v>
      </c>
      <c r="D77" s="75">
        <v>0</v>
      </c>
      <c r="E77" s="75">
        <v>0</v>
      </c>
      <c r="F77" s="75">
        <v>0</v>
      </c>
      <c r="G77" s="75">
        <v>0</v>
      </c>
      <c r="H77" s="75">
        <v>0</v>
      </c>
      <c r="I77" s="75">
        <v>1.5614007498170088</v>
      </c>
      <c r="J77" s="75">
        <v>251.88901426812492</v>
      </c>
      <c r="K77" s="75">
        <v>2562.2616673770572</v>
      </c>
      <c r="L77" s="75">
        <v>5632.0101279813516</v>
      </c>
      <c r="M77" s="75">
        <v>7275.5008543835384</v>
      </c>
      <c r="N77" s="75">
        <v>8153.9080365050468</v>
      </c>
      <c r="O77" s="75">
        <v>8377.3146556510856</v>
      </c>
      <c r="P77" s="75">
        <v>8309.2087067686116</v>
      </c>
      <c r="Q77" s="75">
        <v>7885.988586860014</v>
      </c>
      <c r="R77" s="75">
        <v>7276.5854937980293</v>
      </c>
      <c r="S77" s="75">
        <v>6178.9811101354862</v>
      </c>
      <c r="T77" s="75">
        <v>3703.6456980116941</v>
      </c>
      <c r="U77" s="75">
        <v>709.1874498949968</v>
      </c>
      <c r="V77" s="75">
        <v>0.72738598383765862</v>
      </c>
      <c r="W77" s="75">
        <v>0</v>
      </c>
      <c r="X77" s="75">
        <v>0</v>
      </c>
      <c r="Y77" s="75">
        <v>0</v>
      </c>
      <c r="Z77" s="75">
        <v>0</v>
      </c>
      <c r="AA77" s="76">
        <v>0</v>
      </c>
      <c r="AB77" s="80">
        <f t="shared" si="3"/>
        <v>1989563.1056510606</v>
      </c>
    </row>
    <row r="78" spans="1:28" x14ac:dyDescent="0.25">
      <c r="A78">
        <f t="shared" si="2"/>
        <v>2032</v>
      </c>
      <c r="B78" s="78">
        <v>48488</v>
      </c>
      <c r="C78" s="79">
        <v>2035289.8018865336</v>
      </c>
      <c r="D78" s="75">
        <v>0</v>
      </c>
      <c r="E78" s="75">
        <v>0</v>
      </c>
      <c r="F78" s="75">
        <v>0</v>
      </c>
      <c r="G78" s="75">
        <v>0</v>
      </c>
      <c r="H78" s="75">
        <v>0</v>
      </c>
      <c r="I78" s="75">
        <v>1.5457614856704673</v>
      </c>
      <c r="J78" s="75">
        <v>249.36604966072815</v>
      </c>
      <c r="K78" s="75">
        <v>2536.5976044941854</v>
      </c>
      <c r="L78" s="75">
        <v>5575.5989253622811</v>
      </c>
      <c r="M78" s="75">
        <v>7202.6281599945887</v>
      </c>
      <c r="N78" s="75">
        <v>8072.2370615010632</v>
      </c>
      <c r="O78" s="75">
        <v>8293.4060007117478</v>
      </c>
      <c r="P78" s="75">
        <v>8225.9822129750573</v>
      </c>
      <c r="Q78" s="75">
        <v>7807.0011401196643</v>
      </c>
      <c r="R78" s="75">
        <v>7203.7019354702043</v>
      </c>
      <c r="S78" s="75">
        <v>6117.0913500919969</v>
      </c>
      <c r="T78" s="75">
        <v>3666.5493322111815</v>
      </c>
      <c r="U78" s="75">
        <v>702.08410383882278</v>
      </c>
      <c r="V78" s="75">
        <v>0.72010035806921824</v>
      </c>
      <c r="W78" s="75">
        <v>0</v>
      </c>
      <c r="X78" s="75">
        <v>0</v>
      </c>
      <c r="Y78" s="75">
        <v>0</v>
      </c>
      <c r="Z78" s="75">
        <v>0</v>
      </c>
      <c r="AA78" s="76">
        <v>0</v>
      </c>
      <c r="AB78" s="80">
        <f t="shared" si="3"/>
        <v>2035289.8018865334</v>
      </c>
    </row>
    <row r="79" spans="1:28" x14ac:dyDescent="0.25">
      <c r="A79">
        <f t="shared" si="2"/>
        <v>2032</v>
      </c>
      <c r="B79" s="78">
        <v>48519</v>
      </c>
      <c r="C79" s="79">
        <v>1974015.645004577</v>
      </c>
      <c r="D79" s="75">
        <v>0</v>
      </c>
      <c r="E79" s="75">
        <v>0</v>
      </c>
      <c r="F79" s="75">
        <v>0</v>
      </c>
      <c r="G79" s="75">
        <v>0</v>
      </c>
      <c r="H79" s="75">
        <v>0</v>
      </c>
      <c r="I79" s="75">
        <v>1.5491991681520596</v>
      </c>
      <c r="J79" s="75">
        <v>249.92062506474053</v>
      </c>
      <c r="K79" s="75">
        <v>2542.2388481327771</v>
      </c>
      <c r="L79" s="75">
        <v>5587.9987289075152</v>
      </c>
      <c r="M79" s="75">
        <v>7218.6463807075324</v>
      </c>
      <c r="N79" s="75">
        <v>8090.1892411813224</v>
      </c>
      <c r="O79" s="75">
        <v>8311.8500470835043</v>
      </c>
      <c r="P79" s="75">
        <v>8244.2763128148981</v>
      </c>
      <c r="Q79" s="75">
        <v>7824.3634507361166</v>
      </c>
      <c r="R79" s="75">
        <v>7219.7225441965475</v>
      </c>
      <c r="S79" s="75">
        <v>6130.6954008899047</v>
      </c>
      <c r="T79" s="75">
        <v>3674.7035219254949</v>
      </c>
      <c r="U79" s="75">
        <v>703.64549752520008</v>
      </c>
      <c r="V79" s="75">
        <v>0.72170181884364637</v>
      </c>
      <c r="W79" s="75">
        <v>0</v>
      </c>
      <c r="X79" s="75">
        <v>0</v>
      </c>
      <c r="Y79" s="75">
        <v>0</v>
      </c>
      <c r="Z79" s="75">
        <v>0</v>
      </c>
      <c r="AA79" s="76">
        <v>0</v>
      </c>
      <c r="AB79" s="80">
        <f t="shared" si="3"/>
        <v>1974015.6450045765</v>
      </c>
    </row>
    <row r="80" spans="1:28" x14ac:dyDescent="0.25">
      <c r="A80">
        <f t="shared" si="2"/>
        <v>2032</v>
      </c>
      <c r="B80" s="78">
        <v>48549</v>
      </c>
      <c r="C80" s="79">
        <v>2072575.7198650539</v>
      </c>
      <c r="D80" s="75">
        <v>0</v>
      </c>
      <c r="E80" s="75">
        <v>0</v>
      </c>
      <c r="F80" s="75">
        <v>0</v>
      </c>
      <c r="G80" s="75">
        <v>0</v>
      </c>
      <c r="H80" s="75">
        <v>0</v>
      </c>
      <c r="I80" s="75">
        <v>1.5740793870895389</v>
      </c>
      <c r="J80" s="75">
        <v>253.9343632569832</v>
      </c>
      <c r="K80" s="75">
        <v>2583.0673358012527</v>
      </c>
      <c r="L80" s="75">
        <v>5677.7422781268297</v>
      </c>
      <c r="M80" s="75">
        <v>7334.5782157332906</v>
      </c>
      <c r="N80" s="75">
        <v>8220.1180997194606</v>
      </c>
      <c r="O80" s="75">
        <v>8445.3387896533914</v>
      </c>
      <c r="P80" s="75">
        <v>8376.679817709999</v>
      </c>
      <c r="Q80" s="75">
        <v>7950.0231333016181</v>
      </c>
      <c r="R80" s="75">
        <v>7335.6716624637193</v>
      </c>
      <c r="S80" s="75">
        <v>6229.1546867899133</v>
      </c>
      <c r="T80" s="75">
        <v>3733.7194509521614</v>
      </c>
      <c r="U80" s="75">
        <v>714.94608068629327</v>
      </c>
      <c r="V80" s="75">
        <v>0.73329238746099557</v>
      </c>
      <c r="W80" s="75">
        <v>0</v>
      </c>
      <c r="X80" s="75">
        <v>0</v>
      </c>
      <c r="Y80" s="75">
        <v>0</v>
      </c>
      <c r="Z80" s="75">
        <v>0</v>
      </c>
      <c r="AA80" s="76">
        <v>0</v>
      </c>
      <c r="AB80" s="80">
        <f t="shared" si="3"/>
        <v>2072575.7198650534</v>
      </c>
    </row>
    <row r="81" spans="1:28" x14ac:dyDescent="0.25">
      <c r="A81">
        <f t="shared" si="2"/>
        <v>2033</v>
      </c>
      <c r="B81" s="78">
        <v>48580</v>
      </c>
      <c r="C81" s="79">
        <v>2091538.5862779317</v>
      </c>
      <c r="D81" s="75">
        <v>0</v>
      </c>
      <c r="E81" s="75">
        <v>0</v>
      </c>
      <c r="F81" s="75">
        <v>0</v>
      </c>
      <c r="G81" s="75">
        <v>0</v>
      </c>
      <c r="H81" s="75">
        <v>0</v>
      </c>
      <c r="I81" s="75">
        <v>1.5884813010242378</v>
      </c>
      <c r="J81" s="75">
        <v>256.25771548094679</v>
      </c>
      <c r="K81" s="75">
        <v>2606.7009045798427</v>
      </c>
      <c r="L81" s="75">
        <v>5729.6903287166906</v>
      </c>
      <c r="M81" s="75">
        <v>7401.685354723033</v>
      </c>
      <c r="N81" s="75">
        <v>8295.3274153208276</v>
      </c>
      <c r="O81" s="75">
        <v>8522.6087440124629</v>
      </c>
      <c r="P81" s="75">
        <v>8453.3215822757957</v>
      </c>
      <c r="Q81" s="75">
        <v>8022.7612365280238</v>
      </c>
      <c r="R81" s="75">
        <v>7402.7888058572007</v>
      </c>
      <c r="S81" s="75">
        <v>6286.1478412781062</v>
      </c>
      <c r="T81" s="75">
        <v>3767.880819578143</v>
      </c>
      <c r="U81" s="75">
        <v>721.48742288697645</v>
      </c>
      <c r="V81" s="75">
        <v>0.74000158773374047</v>
      </c>
      <c r="W81" s="75">
        <v>0</v>
      </c>
      <c r="X81" s="75">
        <v>0</v>
      </c>
      <c r="Y81" s="75">
        <v>0</v>
      </c>
      <c r="Z81" s="75">
        <v>0</v>
      </c>
      <c r="AA81" s="76">
        <v>0</v>
      </c>
      <c r="AB81" s="80">
        <f t="shared" si="3"/>
        <v>2091538.5862779308</v>
      </c>
    </row>
    <row r="82" spans="1:28" x14ac:dyDescent="0.25">
      <c r="A82">
        <f t="shared" si="2"/>
        <v>2033</v>
      </c>
      <c r="B82" s="78">
        <v>48611</v>
      </c>
      <c r="C82" s="79">
        <v>1902038.4706305368</v>
      </c>
      <c r="D82" s="75">
        <v>0</v>
      </c>
      <c r="E82" s="75">
        <v>0</v>
      </c>
      <c r="F82" s="75">
        <v>0</v>
      </c>
      <c r="G82" s="75">
        <v>0</v>
      </c>
      <c r="H82" s="75">
        <v>0</v>
      </c>
      <c r="I82" s="75">
        <v>1.5993340550430633</v>
      </c>
      <c r="J82" s="75">
        <v>258.00850848666084</v>
      </c>
      <c r="K82" s="75">
        <v>2624.5102950333621</v>
      </c>
      <c r="L82" s="75">
        <v>5768.8364739697117</v>
      </c>
      <c r="M82" s="75">
        <v>7452.2548328955218</v>
      </c>
      <c r="N82" s="75">
        <v>8352.0023965661494</v>
      </c>
      <c r="O82" s="75">
        <v>8580.8365470327553</v>
      </c>
      <c r="P82" s="75">
        <v>8511.0760045125025</v>
      </c>
      <c r="Q82" s="75">
        <v>8077.5740027819693</v>
      </c>
      <c r="R82" s="75">
        <v>7453.3658229813409</v>
      </c>
      <c r="S82" s="75">
        <v>6329.0957917534261</v>
      </c>
      <c r="T82" s="75">
        <v>3793.6235737929801</v>
      </c>
      <c r="U82" s="75">
        <v>726.41673840565431</v>
      </c>
      <c r="V82" s="75">
        <v>0.74505739493778878</v>
      </c>
      <c r="W82" s="75">
        <v>0</v>
      </c>
      <c r="X82" s="75">
        <v>0</v>
      </c>
      <c r="Y82" s="75">
        <v>0</v>
      </c>
      <c r="Z82" s="75">
        <v>0</v>
      </c>
      <c r="AA82" s="76">
        <v>0</v>
      </c>
      <c r="AB82" s="80">
        <f t="shared" si="3"/>
        <v>1902038.4706305363</v>
      </c>
    </row>
    <row r="83" spans="1:28" x14ac:dyDescent="0.25">
      <c r="A83">
        <f t="shared" si="2"/>
        <v>2033</v>
      </c>
      <c r="B83" s="78">
        <v>48639</v>
      </c>
      <c r="C83" s="79">
        <v>2087548.3980576859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1.5854508336845425</v>
      </c>
      <c r="J83" s="75">
        <v>255.76883302648588</v>
      </c>
      <c r="K83" s="75">
        <v>2601.7279017811388</v>
      </c>
      <c r="L83" s="75">
        <v>5718.7593600005039</v>
      </c>
      <c r="M83" s="75">
        <v>7387.5645931429481</v>
      </c>
      <c r="N83" s="75">
        <v>8279.5017843939786</v>
      </c>
      <c r="O83" s="75">
        <v>8506.3495111017091</v>
      </c>
      <c r="P83" s="75">
        <v>8437.1945337858269</v>
      </c>
      <c r="Q83" s="75">
        <v>8007.4556009591342</v>
      </c>
      <c r="R83" s="75">
        <v>7388.6659391389412</v>
      </c>
      <c r="S83" s="75">
        <v>6274.1552759811748</v>
      </c>
      <c r="T83" s="75">
        <v>3760.6925449939645</v>
      </c>
      <c r="U83" s="75">
        <v>720.11098611705654</v>
      </c>
      <c r="V83" s="75">
        <v>0.7385898300747088</v>
      </c>
      <c r="W83" s="75">
        <v>0</v>
      </c>
      <c r="X83" s="75">
        <v>0</v>
      </c>
      <c r="Y83" s="75">
        <v>0</v>
      </c>
      <c r="Z83" s="75">
        <v>0</v>
      </c>
      <c r="AA83" s="76">
        <v>0</v>
      </c>
      <c r="AB83" s="80">
        <f t="shared" si="3"/>
        <v>2087548.398057685</v>
      </c>
    </row>
    <row r="84" spans="1:28" x14ac:dyDescent="0.25">
      <c r="A84">
        <f t="shared" si="2"/>
        <v>2033</v>
      </c>
      <c r="B84" s="78">
        <v>48670</v>
      </c>
      <c r="C84" s="79">
        <v>2017408.8861341919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1.5832540011173095</v>
      </c>
      <c r="J84" s="75">
        <v>255.41443458653552</v>
      </c>
      <c r="K84" s="75">
        <v>2598.1228952654656</v>
      </c>
      <c r="L84" s="75">
        <v>5710.835331995786</v>
      </c>
      <c r="M84" s="75">
        <v>7377.3282350383961</v>
      </c>
      <c r="N84" s="75">
        <v>8268.0295401754993</v>
      </c>
      <c r="O84" s="75">
        <v>8494.5629421099547</v>
      </c>
      <c r="P84" s="75">
        <v>8425.5037873217261</v>
      </c>
      <c r="Q84" s="75">
        <v>7996.3603094047576</v>
      </c>
      <c r="R84" s="75">
        <v>7378.4280549872237</v>
      </c>
      <c r="S84" s="75">
        <v>6265.4616802232285</v>
      </c>
      <c r="T84" s="75">
        <v>3755.4816537555439</v>
      </c>
      <c r="U84" s="75">
        <v>719.11318584932587</v>
      </c>
      <c r="V84" s="75">
        <v>0.73756642514907977</v>
      </c>
      <c r="W84" s="75">
        <v>0</v>
      </c>
      <c r="X84" s="75">
        <v>0</v>
      </c>
      <c r="Y84" s="75">
        <v>0</v>
      </c>
      <c r="Z84" s="75">
        <v>0</v>
      </c>
      <c r="AA84" s="76">
        <v>0</v>
      </c>
      <c r="AB84" s="80">
        <f t="shared" si="3"/>
        <v>2017408.8861341912</v>
      </c>
    </row>
    <row r="85" spans="1:28" x14ac:dyDescent="0.25">
      <c r="A85">
        <f t="shared" si="2"/>
        <v>2033</v>
      </c>
      <c r="B85" s="78">
        <v>48700</v>
      </c>
      <c r="C85" s="79">
        <v>2087938.3205777088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1.5857469719609141</v>
      </c>
      <c r="J85" s="75">
        <v>255.81660678253854</v>
      </c>
      <c r="K85" s="75">
        <v>2602.2138652686535</v>
      </c>
      <c r="L85" s="75">
        <v>5719.8275378991002</v>
      </c>
      <c r="M85" s="75">
        <v>7388.944478661133</v>
      </c>
      <c r="N85" s="75">
        <v>8281.0482703117705</v>
      </c>
      <c r="O85" s="75">
        <v>8507.9383687495847</v>
      </c>
      <c r="P85" s="75">
        <v>8438.7704743281392</v>
      </c>
      <c r="Q85" s="75">
        <v>8008.9512727575966</v>
      </c>
      <c r="R85" s="75">
        <v>7390.0460303719283</v>
      </c>
      <c r="S85" s="75">
        <v>6275.3271934507302</v>
      </c>
      <c r="T85" s="75">
        <v>3761.3949855771575</v>
      </c>
      <c r="U85" s="75">
        <v>720.24549197601732</v>
      </c>
      <c r="V85" s="75">
        <v>0.73872778750270118</v>
      </c>
      <c r="W85" s="75">
        <v>0</v>
      </c>
      <c r="X85" s="75">
        <v>0</v>
      </c>
      <c r="Y85" s="75">
        <v>0</v>
      </c>
      <c r="Z85" s="75">
        <v>0</v>
      </c>
      <c r="AA85" s="76">
        <v>0</v>
      </c>
      <c r="AB85" s="80">
        <f t="shared" si="3"/>
        <v>2087938.3205777085</v>
      </c>
    </row>
    <row r="86" spans="1:28" x14ac:dyDescent="0.25">
      <c r="A86">
        <f t="shared" si="2"/>
        <v>2033</v>
      </c>
      <c r="B86" s="78">
        <v>48731</v>
      </c>
      <c r="C86" s="79">
        <v>2008386.20217462</v>
      </c>
      <c r="D86" s="75">
        <v>0</v>
      </c>
      <c r="E86" s="75">
        <v>0</v>
      </c>
      <c r="F86" s="75">
        <v>0</v>
      </c>
      <c r="G86" s="75">
        <v>0</v>
      </c>
      <c r="H86" s="75">
        <v>0</v>
      </c>
      <c r="I86" s="75">
        <v>1.5761730367287852</v>
      </c>
      <c r="J86" s="75">
        <v>254.27211597287905</v>
      </c>
      <c r="K86" s="75">
        <v>2586.503018931408</v>
      </c>
      <c r="L86" s="75">
        <v>5685.2941228240097</v>
      </c>
      <c r="M86" s="75">
        <v>7344.3337828040112</v>
      </c>
      <c r="N86" s="75">
        <v>8231.0515046259698</v>
      </c>
      <c r="O86" s="75">
        <v>8456.57175582733</v>
      </c>
      <c r="P86" s="75">
        <v>8387.8214620401868</v>
      </c>
      <c r="Q86" s="75">
        <v>7960.597290616397</v>
      </c>
      <c r="R86" s="75">
        <v>7345.4286839047672</v>
      </c>
      <c r="S86" s="75">
        <v>6237.4399534478544</v>
      </c>
      <c r="T86" s="75">
        <v>3738.6855920792532</v>
      </c>
      <c r="U86" s="75">
        <v>715.89701531906098</v>
      </c>
      <c r="V86" s="75">
        <v>0.7342677241276605</v>
      </c>
      <c r="W86" s="75">
        <v>0</v>
      </c>
      <c r="X86" s="75">
        <v>0</v>
      </c>
      <c r="Y86" s="75">
        <v>0</v>
      </c>
      <c r="Z86" s="75">
        <v>0</v>
      </c>
      <c r="AA86" s="76">
        <v>0</v>
      </c>
      <c r="AB86" s="80">
        <f t="shared" si="3"/>
        <v>2008386.2021746198</v>
      </c>
    </row>
    <row r="87" spans="1:28" x14ac:dyDescent="0.25">
      <c r="A87">
        <f t="shared" si="2"/>
        <v>2033</v>
      </c>
      <c r="B87" s="78">
        <v>48761</v>
      </c>
      <c r="C87" s="79">
        <v>2080939.0777508372</v>
      </c>
      <c r="D87" s="75">
        <v>0</v>
      </c>
      <c r="E87" s="75">
        <v>0</v>
      </c>
      <c r="F87" s="75">
        <v>0</v>
      </c>
      <c r="G87" s="75">
        <v>0</v>
      </c>
      <c r="H87" s="75">
        <v>0</v>
      </c>
      <c r="I87" s="75">
        <v>1.5804311884392725</v>
      </c>
      <c r="J87" s="75">
        <v>254.95905149349065</v>
      </c>
      <c r="K87" s="75">
        <v>2593.4906541704313</v>
      </c>
      <c r="L87" s="75">
        <v>5700.6533786478321</v>
      </c>
      <c r="M87" s="75">
        <v>7364.1750608432194</v>
      </c>
      <c r="N87" s="75">
        <v>8253.2883182414807</v>
      </c>
      <c r="O87" s="75">
        <v>8479.4178296071932</v>
      </c>
      <c r="P87" s="75">
        <v>8410.4818016561821</v>
      </c>
      <c r="Q87" s="75">
        <v>7982.1034515388619</v>
      </c>
      <c r="R87" s="75">
        <v>7365.2729199028317</v>
      </c>
      <c r="S87" s="75">
        <v>6254.2908733582481</v>
      </c>
      <c r="T87" s="75">
        <v>3748.7859364436813</v>
      </c>
      <c r="U87" s="75">
        <v>717.83106572423765</v>
      </c>
      <c r="V87" s="75">
        <v>0.73625140440424919</v>
      </c>
      <c r="W87" s="75">
        <v>0</v>
      </c>
      <c r="X87" s="75">
        <v>0</v>
      </c>
      <c r="Y87" s="75">
        <v>0</v>
      </c>
      <c r="Z87" s="75">
        <v>0</v>
      </c>
      <c r="AA87" s="76">
        <v>0</v>
      </c>
      <c r="AB87" s="80">
        <f t="shared" si="3"/>
        <v>2080939.0777508372</v>
      </c>
    </row>
    <row r="88" spans="1:28" x14ac:dyDescent="0.25">
      <c r="A88">
        <f t="shared" si="2"/>
        <v>2033</v>
      </c>
      <c r="B88" s="78">
        <v>48792</v>
      </c>
      <c r="C88" s="79">
        <v>2078723.2872819421</v>
      </c>
      <c r="D88" s="75">
        <v>0</v>
      </c>
      <c r="E88" s="75">
        <v>0</v>
      </c>
      <c r="F88" s="75">
        <v>0</v>
      </c>
      <c r="G88" s="75">
        <v>0</v>
      </c>
      <c r="H88" s="75">
        <v>0</v>
      </c>
      <c r="I88" s="75">
        <v>1.5787483403436555</v>
      </c>
      <c r="J88" s="75">
        <v>254.68757029430608</v>
      </c>
      <c r="K88" s="75">
        <v>2590.7290971723805</v>
      </c>
      <c r="L88" s="75">
        <v>5694.5833050171641</v>
      </c>
      <c r="M88" s="75">
        <v>7356.3336640980888</v>
      </c>
      <c r="N88" s="75">
        <v>8244.5001909060265</v>
      </c>
      <c r="O88" s="75">
        <v>8470.3889188574703</v>
      </c>
      <c r="P88" s="75">
        <v>8401.5262942056397</v>
      </c>
      <c r="Q88" s="75">
        <v>7973.6040827016113</v>
      </c>
      <c r="R88" s="75">
        <v>7357.4303541539248</v>
      </c>
      <c r="S88" s="75">
        <v>6247.6312847835252</v>
      </c>
      <c r="T88" s="75">
        <v>3744.7942173987985</v>
      </c>
      <c r="U88" s="75">
        <v>717.0667169498239</v>
      </c>
      <c r="V88" s="75">
        <v>0.73546744159532706</v>
      </c>
      <c r="W88" s="75">
        <v>0</v>
      </c>
      <c r="X88" s="75">
        <v>0</v>
      </c>
      <c r="Y88" s="75">
        <v>0</v>
      </c>
      <c r="Z88" s="75">
        <v>0</v>
      </c>
      <c r="AA88" s="76">
        <v>0</v>
      </c>
      <c r="AB88" s="80">
        <f t="shared" si="3"/>
        <v>2078723.2872819414</v>
      </c>
    </row>
    <row r="89" spans="1:28" x14ac:dyDescent="0.25">
      <c r="A89">
        <f t="shared" si="2"/>
        <v>2033</v>
      </c>
      <c r="B89" s="78">
        <v>48823</v>
      </c>
      <c r="C89" s="79">
        <v>2026104.8241900909</v>
      </c>
      <c r="D89" s="75">
        <v>0</v>
      </c>
      <c r="E89" s="75">
        <v>0</v>
      </c>
      <c r="F89" s="75">
        <v>0</v>
      </c>
      <c r="G89" s="75">
        <v>0</v>
      </c>
      <c r="H89" s="75">
        <v>0</v>
      </c>
      <c r="I89" s="75">
        <v>1.5900785366961396</v>
      </c>
      <c r="J89" s="75">
        <v>256.51538547309724</v>
      </c>
      <c r="K89" s="75">
        <v>2609.3219714240595</v>
      </c>
      <c r="L89" s="75">
        <v>5735.4515962721052</v>
      </c>
      <c r="M89" s="75">
        <v>7409.1278319326375</v>
      </c>
      <c r="N89" s="75">
        <v>8303.6684595933075</v>
      </c>
      <c r="O89" s="75">
        <v>8531.178322196869</v>
      </c>
      <c r="P89" s="75">
        <v>8461.821491445995</v>
      </c>
      <c r="Q89" s="75">
        <v>8030.8282124665293</v>
      </c>
      <c r="R89" s="75">
        <v>7410.2323925992314</v>
      </c>
      <c r="S89" s="75">
        <v>6292.468633071162</v>
      </c>
      <c r="T89" s="75">
        <v>3771.6694657829321</v>
      </c>
      <c r="U89" s="75">
        <v>722.2128865407949</v>
      </c>
      <c r="V89" s="75">
        <v>0.74074566758688698</v>
      </c>
      <c r="W89" s="75">
        <v>0</v>
      </c>
      <c r="X89" s="75">
        <v>0</v>
      </c>
      <c r="Y89" s="75">
        <v>0</v>
      </c>
      <c r="Z89" s="75">
        <v>0</v>
      </c>
      <c r="AA89" s="76">
        <v>0</v>
      </c>
      <c r="AB89" s="80">
        <f t="shared" si="3"/>
        <v>2026104.8241900904</v>
      </c>
    </row>
    <row r="90" spans="1:28" x14ac:dyDescent="0.25">
      <c r="A90">
        <f t="shared" si="2"/>
        <v>2033</v>
      </c>
      <c r="B90" s="78">
        <v>48853</v>
      </c>
      <c r="C90" s="79">
        <v>2073049.5777110048</v>
      </c>
      <c r="D90" s="75">
        <v>0</v>
      </c>
      <c r="E90" s="75">
        <v>0</v>
      </c>
      <c r="F90" s="75">
        <v>0</v>
      </c>
      <c r="G90" s="75">
        <v>0</v>
      </c>
      <c r="H90" s="75">
        <v>0</v>
      </c>
      <c r="I90" s="75">
        <v>1.5744392725502112</v>
      </c>
      <c r="J90" s="75">
        <v>253.99242086579937</v>
      </c>
      <c r="K90" s="75">
        <v>2583.6579085421936</v>
      </c>
      <c r="L90" s="75">
        <v>5679.0403936552466</v>
      </c>
      <c r="M90" s="75">
        <v>7336.2551375465464</v>
      </c>
      <c r="N90" s="75">
        <v>8221.9974845925244</v>
      </c>
      <c r="O90" s="75">
        <v>8447.2696672608217</v>
      </c>
      <c r="P90" s="75">
        <v>8378.5949976557058</v>
      </c>
      <c r="Q90" s="75">
        <v>7951.8407657292773</v>
      </c>
      <c r="R90" s="75">
        <v>7337.3488342742639</v>
      </c>
      <c r="S90" s="75">
        <v>6230.5788730301001</v>
      </c>
      <c r="T90" s="75">
        <v>3734.5730999838743</v>
      </c>
      <c r="U90" s="75">
        <v>715.1095404848993</v>
      </c>
      <c r="V90" s="75">
        <v>0.73346004181873226</v>
      </c>
      <c r="W90" s="75">
        <v>0</v>
      </c>
      <c r="X90" s="75">
        <v>0</v>
      </c>
      <c r="Y90" s="75">
        <v>0</v>
      </c>
      <c r="Z90" s="75">
        <v>0</v>
      </c>
      <c r="AA90" s="76">
        <v>0</v>
      </c>
      <c r="AB90" s="80">
        <f t="shared" si="3"/>
        <v>2073049.5777110045</v>
      </c>
    </row>
    <row r="91" spans="1:28" x14ac:dyDescent="0.25">
      <c r="A91">
        <f t="shared" si="2"/>
        <v>2033</v>
      </c>
      <c r="B91" s="78">
        <v>48884</v>
      </c>
      <c r="C91" s="79">
        <v>2010557.3635445989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1.5778769550319693</v>
      </c>
      <c r="J91" s="75">
        <v>254.54699626983853</v>
      </c>
      <c r="K91" s="75">
        <v>2589.2991521810573</v>
      </c>
      <c r="L91" s="75">
        <v>5691.4401972010783</v>
      </c>
      <c r="M91" s="75">
        <v>7352.2733582602614</v>
      </c>
      <c r="N91" s="75">
        <v>8239.9496642736503</v>
      </c>
      <c r="O91" s="75">
        <v>8465.7137136334659</v>
      </c>
      <c r="P91" s="75">
        <v>8396.8890974964252</v>
      </c>
      <c r="Q91" s="75">
        <v>7969.2030763465673</v>
      </c>
      <c r="R91" s="75">
        <v>7353.3694430013793</v>
      </c>
      <c r="S91" s="75">
        <v>6244.1829238286628</v>
      </c>
      <c r="T91" s="75">
        <v>3742.7272896985805</v>
      </c>
      <c r="U91" s="75">
        <v>716.67093417135186</v>
      </c>
      <c r="V91" s="75">
        <v>0.73506150259323744</v>
      </c>
      <c r="W91" s="75">
        <v>0</v>
      </c>
      <c r="X91" s="75">
        <v>0</v>
      </c>
      <c r="Y91" s="75">
        <v>0</v>
      </c>
      <c r="Z91" s="75">
        <v>0</v>
      </c>
      <c r="AA91" s="76">
        <v>0</v>
      </c>
      <c r="AB91" s="80">
        <f t="shared" si="3"/>
        <v>2010557.3635445982</v>
      </c>
    </row>
    <row r="92" spans="1:28" x14ac:dyDescent="0.25">
      <c r="A92">
        <f t="shared" si="2"/>
        <v>2033</v>
      </c>
      <c r="B92" s="78">
        <v>48914</v>
      </c>
      <c r="C92" s="79">
        <v>2110335.4956914252</v>
      </c>
      <c r="D92" s="75">
        <v>0</v>
      </c>
      <c r="E92" s="75">
        <v>0</v>
      </c>
      <c r="F92" s="75">
        <v>0</v>
      </c>
      <c r="G92" s="75">
        <v>0</v>
      </c>
      <c r="H92" s="75">
        <v>0</v>
      </c>
      <c r="I92" s="75">
        <v>1.6027571739707263</v>
      </c>
      <c r="J92" s="75">
        <v>258.56073446228726</v>
      </c>
      <c r="K92" s="75">
        <v>2630.1276398516293</v>
      </c>
      <c r="L92" s="75">
        <v>5781.1837464250011</v>
      </c>
      <c r="M92" s="75">
        <v>7468.2051932919721</v>
      </c>
      <c r="N92" s="75">
        <v>8369.8785228184606</v>
      </c>
      <c r="O92" s="75">
        <v>8599.2024562102088</v>
      </c>
      <c r="P92" s="75">
        <v>8529.2926023983273</v>
      </c>
      <c r="Q92" s="75">
        <v>8094.8627589185207</v>
      </c>
      <c r="R92" s="75">
        <v>7469.3185612745037</v>
      </c>
      <c r="S92" s="75">
        <v>6342.6422097337272</v>
      </c>
      <c r="T92" s="75">
        <v>3801.7432187282775</v>
      </c>
      <c r="U92" s="75">
        <v>727.97151733302519</v>
      </c>
      <c r="V92" s="75">
        <v>0.74665207121118193</v>
      </c>
      <c r="W92" s="75">
        <v>0</v>
      </c>
      <c r="X92" s="75">
        <v>0</v>
      </c>
      <c r="Y92" s="75">
        <v>0</v>
      </c>
      <c r="Z92" s="75">
        <v>0</v>
      </c>
      <c r="AA92" s="76">
        <v>0</v>
      </c>
      <c r="AB92" s="80">
        <f t="shared" si="3"/>
        <v>2110335.4956914242</v>
      </c>
    </row>
    <row r="93" spans="1:28" x14ac:dyDescent="0.25">
      <c r="A93">
        <f t="shared" si="2"/>
        <v>2034</v>
      </c>
      <c r="B93" s="78">
        <v>48945</v>
      </c>
      <c r="C93" s="79">
        <v>2129298.3621024569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1.6171590879040232</v>
      </c>
      <c r="J93" s="75">
        <v>260.8840866860246</v>
      </c>
      <c r="K93" s="75">
        <v>2653.7612086279187</v>
      </c>
      <c r="L93" s="75">
        <v>5833.1317970098034</v>
      </c>
      <c r="M93" s="75">
        <v>7535.3123322751817</v>
      </c>
      <c r="N93" s="75">
        <v>8445.0878384125044</v>
      </c>
      <c r="O93" s="75">
        <v>8676.472410561757</v>
      </c>
      <c r="P93" s="75">
        <v>8605.9343669566606</v>
      </c>
      <c r="Q93" s="75">
        <v>8167.6008621378442</v>
      </c>
      <c r="R93" s="75">
        <v>7536.4357046614514</v>
      </c>
      <c r="S93" s="75">
        <v>6399.6353642163722</v>
      </c>
      <c r="T93" s="75">
        <v>3835.9045873509331</v>
      </c>
      <c r="U93" s="75">
        <v>734.51285953307161</v>
      </c>
      <c r="V93" s="75">
        <v>0.75336127148327359</v>
      </c>
      <c r="W93" s="75">
        <v>0</v>
      </c>
      <c r="X93" s="75">
        <v>0</v>
      </c>
      <c r="Y93" s="75">
        <v>0</v>
      </c>
      <c r="Z93" s="75">
        <v>0</v>
      </c>
      <c r="AA93" s="76">
        <v>0</v>
      </c>
      <c r="AB93" s="80">
        <f t="shared" si="3"/>
        <v>2129298.3621024559</v>
      </c>
    </row>
    <row r="94" spans="1:28" x14ac:dyDescent="0.25">
      <c r="A94">
        <f t="shared" si="2"/>
        <v>2034</v>
      </c>
      <c r="B94" s="78">
        <v>48976</v>
      </c>
      <c r="C94" s="79">
        <v>1936144.0746024672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1.6280118419240184</v>
      </c>
      <c r="J94" s="75">
        <v>262.63487969192744</v>
      </c>
      <c r="K94" s="75">
        <v>2671.5705990833576</v>
      </c>
      <c r="L94" s="75">
        <v>5872.2779422670455</v>
      </c>
      <c r="M94" s="75">
        <v>7585.8818104531219</v>
      </c>
      <c r="N94" s="75">
        <v>8501.7628196639362</v>
      </c>
      <c r="O94" s="75">
        <v>8734.7002135883249</v>
      </c>
      <c r="P94" s="75">
        <v>8663.6887891995939</v>
      </c>
      <c r="Q94" s="75">
        <v>8222.4136283976986</v>
      </c>
      <c r="R94" s="75">
        <v>7587.0127217910449</v>
      </c>
      <c r="S94" s="75">
        <v>6442.5833146963214</v>
      </c>
      <c r="T94" s="75">
        <v>3861.647341568545</v>
      </c>
      <c r="U94" s="75">
        <v>739.44217505228096</v>
      </c>
      <c r="V94" s="75">
        <v>0.75841707868786701</v>
      </c>
      <c r="W94" s="75">
        <v>0</v>
      </c>
      <c r="X94" s="75">
        <v>0</v>
      </c>
      <c r="Y94" s="75">
        <v>0</v>
      </c>
      <c r="Z94" s="75">
        <v>0</v>
      </c>
      <c r="AA94" s="76">
        <v>0</v>
      </c>
      <c r="AB94" s="80">
        <f t="shared" si="3"/>
        <v>1936144.0746024663</v>
      </c>
    </row>
    <row r="95" spans="1:28" x14ac:dyDescent="0.25">
      <c r="A95">
        <f t="shared" si="2"/>
        <v>2034</v>
      </c>
      <c r="B95" s="78">
        <v>49004</v>
      </c>
      <c r="C95" s="79">
        <v>2125308.1738831145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1.6141286205650136</v>
      </c>
      <c r="J95" s="75">
        <v>260.39520423167443</v>
      </c>
      <c r="K95" s="75">
        <v>2648.7882058303403</v>
      </c>
      <c r="L95" s="75">
        <v>5822.2008282960915</v>
      </c>
      <c r="M95" s="75">
        <v>7521.1915706982927</v>
      </c>
      <c r="N95" s="75">
        <v>8429.2622074892406</v>
      </c>
      <c r="O95" s="75">
        <v>8660.2131776546848</v>
      </c>
      <c r="P95" s="75">
        <v>8589.8073184703426</v>
      </c>
      <c r="Q95" s="75">
        <v>8152.2952265724198</v>
      </c>
      <c r="R95" s="75">
        <v>7522.3128379463888</v>
      </c>
      <c r="S95" s="75">
        <v>6387.6427989221556</v>
      </c>
      <c r="T95" s="75">
        <v>3828.7163127683816</v>
      </c>
      <c r="U95" s="75">
        <v>733.13642276346332</v>
      </c>
      <c r="V95" s="75">
        <v>0.75194951382456154</v>
      </c>
      <c r="W95" s="75">
        <v>0</v>
      </c>
      <c r="X95" s="75">
        <v>0</v>
      </c>
      <c r="Y95" s="75">
        <v>0</v>
      </c>
      <c r="Z95" s="75">
        <v>0</v>
      </c>
      <c r="AA95" s="76">
        <v>0</v>
      </c>
      <c r="AB95" s="80">
        <f t="shared" si="3"/>
        <v>2125308.1738831135</v>
      </c>
    </row>
    <row r="96" spans="1:28" x14ac:dyDescent="0.25">
      <c r="A96">
        <f t="shared" si="2"/>
        <v>2034</v>
      </c>
      <c r="B96" s="78">
        <v>49035</v>
      </c>
      <c r="C96" s="79">
        <v>2053950.6046744627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1.6119317879974147</v>
      </c>
      <c r="J96" s="75">
        <v>260.04080579166498</v>
      </c>
      <c r="K96" s="75">
        <v>2645.1831993140659</v>
      </c>
      <c r="L96" s="75">
        <v>5814.2768002900539</v>
      </c>
      <c r="M96" s="75">
        <v>7510.9552125920354</v>
      </c>
      <c r="N96" s="75">
        <v>8417.7899632688477</v>
      </c>
      <c r="O96" s="75">
        <v>8648.4266086609659</v>
      </c>
      <c r="P96" s="75">
        <v>8578.1165720042936</v>
      </c>
      <c r="Q96" s="75">
        <v>8141.1999350161941</v>
      </c>
      <c r="R96" s="75">
        <v>7512.0749537929651</v>
      </c>
      <c r="S96" s="75">
        <v>6378.9492031627597</v>
      </c>
      <c r="T96" s="75">
        <v>3823.505421529092</v>
      </c>
      <c r="U96" s="75">
        <v>732.13862249556632</v>
      </c>
      <c r="V96" s="75">
        <v>0.75092610889876188</v>
      </c>
      <c r="W96" s="75">
        <v>0</v>
      </c>
      <c r="X96" s="75">
        <v>0</v>
      </c>
      <c r="Y96" s="75">
        <v>0</v>
      </c>
      <c r="Z96" s="75">
        <v>0</v>
      </c>
      <c r="AA96" s="76">
        <v>0</v>
      </c>
      <c r="AB96" s="80">
        <f t="shared" si="3"/>
        <v>2053950.6046744618</v>
      </c>
    </row>
    <row r="97" spans="1:28" x14ac:dyDescent="0.25">
      <c r="A97">
        <f t="shared" si="2"/>
        <v>2034</v>
      </c>
      <c r="B97" s="78">
        <v>49065</v>
      </c>
      <c r="C97" s="79">
        <v>2125698.0964024686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1.6144247588408775</v>
      </c>
      <c r="J97" s="75">
        <v>260.44297798764518</v>
      </c>
      <c r="K97" s="75">
        <v>2649.2741693170219</v>
      </c>
      <c r="L97" s="75">
        <v>5823.269006192857</v>
      </c>
      <c r="M97" s="75">
        <v>7522.571456214112</v>
      </c>
      <c r="N97" s="75">
        <v>8430.8086934043804</v>
      </c>
      <c r="O97" s="75">
        <v>8661.8020352998356</v>
      </c>
      <c r="P97" s="75">
        <v>8591.3832590099519</v>
      </c>
      <c r="Q97" s="75">
        <v>8153.7908983683174</v>
      </c>
      <c r="R97" s="75">
        <v>7523.6929291770111</v>
      </c>
      <c r="S97" s="75">
        <v>6388.8147163897011</v>
      </c>
      <c r="T97" s="75">
        <v>3829.41875335037</v>
      </c>
      <c r="U97" s="75">
        <v>733.27092862219342</v>
      </c>
      <c r="V97" s="75">
        <v>0.75208747125231745</v>
      </c>
      <c r="W97" s="75">
        <v>0</v>
      </c>
      <c r="X97" s="75">
        <v>0</v>
      </c>
      <c r="Y97" s="75">
        <v>0</v>
      </c>
      <c r="Z97" s="75">
        <v>0</v>
      </c>
      <c r="AA97" s="76">
        <v>0</v>
      </c>
      <c r="AB97" s="80">
        <f t="shared" si="3"/>
        <v>2125698.0964024682</v>
      </c>
    </row>
    <row r="98" spans="1:28" x14ac:dyDescent="0.25">
      <c r="A98">
        <f t="shared" si="2"/>
        <v>2034</v>
      </c>
      <c r="B98" s="78">
        <v>49096</v>
      </c>
      <c r="C98" s="79">
        <v>2044927.9207146114</v>
      </c>
      <c r="D98" s="75">
        <v>0</v>
      </c>
      <c r="E98" s="75">
        <v>0</v>
      </c>
      <c r="F98" s="75">
        <v>0</v>
      </c>
      <c r="G98" s="75">
        <v>0</v>
      </c>
      <c r="H98" s="75">
        <v>0</v>
      </c>
      <c r="I98" s="75">
        <v>1.6048508236086707</v>
      </c>
      <c r="J98" s="75">
        <v>258.89848717797321</v>
      </c>
      <c r="K98" s="75">
        <v>2633.563322979649</v>
      </c>
      <c r="L98" s="75">
        <v>5788.7355911174873</v>
      </c>
      <c r="M98" s="75">
        <v>7477.9607603566292</v>
      </c>
      <c r="N98" s="75">
        <v>8380.8119277181722</v>
      </c>
      <c r="O98" s="75">
        <v>8610.4354223771625</v>
      </c>
      <c r="P98" s="75">
        <v>8540.4342467215865</v>
      </c>
      <c r="Q98" s="75">
        <v>8105.4369162267267</v>
      </c>
      <c r="R98" s="75">
        <v>7479.0755827094872</v>
      </c>
      <c r="S98" s="75">
        <v>6350.9274763865187</v>
      </c>
      <c r="T98" s="75">
        <v>3806.7093598522815</v>
      </c>
      <c r="U98" s="75">
        <v>728.92245196520184</v>
      </c>
      <c r="V98" s="75">
        <v>0.74762740787724047</v>
      </c>
      <c r="W98" s="75">
        <v>0</v>
      </c>
      <c r="X98" s="75">
        <v>0</v>
      </c>
      <c r="Y98" s="75">
        <v>0</v>
      </c>
      <c r="Z98" s="75">
        <v>0</v>
      </c>
      <c r="AA98" s="76">
        <v>0</v>
      </c>
      <c r="AB98" s="80">
        <f t="shared" si="3"/>
        <v>2044927.9207146107</v>
      </c>
    </row>
    <row r="99" spans="1:28" x14ac:dyDescent="0.25">
      <c r="A99">
        <f t="shared" si="2"/>
        <v>2034</v>
      </c>
      <c r="B99" s="78">
        <v>49126</v>
      </c>
      <c r="C99" s="79">
        <v>2118698.8535754015</v>
      </c>
      <c r="D99" s="75">
        <v>0</v>
      </c>
      <c r="E99" s="75">
        <v>0</v>
      </c>
      <c r="F99" s="75">
        <v>0</v>
      </c>
      <c r="G99" s="75">
        <v>0</v>
      </c>
      <c r="H99" s="75">
        <v>0</v>
      </c>
      <c r="I99" s="75">
        <v>1.6091089753190877</v>
      </c>
      <c r="J99" s="75">
        <v>259.58542269857332</v>
      </c>
      <c r="K99" s="75">
        <v>2640.5509582185555</v>
      </c>
      <c r="L99" s="75">
        <v>5804.0948469410532</v>
      </c>
      <c r="M99" s="75">
        <v>7497.8020383955063</v>
      </c>
      <c r="N99" s="75">
        <v>8403.0487413333158</v>
      </c>
      <c r="O99" s="75">
        <v>8633.2814961566455</v>
      </c>
      <c r="P99" s="75">
        <v>8563.0945863372071</v>
      </c>
      <c r="Q99" s="75">
        <v>8126.9430771488342</v>
      </c>
      <c r="R99" s="75">
        <v>7498.9198187072225</v>
      </c>
      <c r="S99" s="75">
        <v>6367.7783962966314</v>
      </c>
      <c r="T99" s="75">
        <v>3816.8097042165418</v>
      </c>
      <c r="U99" s="75">
        <v>730.85650237034633</v>
      </c>
      <c r="V99" s="75">
        <v>0.74961108815379629</v>
      </c>
      <c r="W99" s="75">
        <v>0</v>
      </c>
      <c r="X99" s="75">
        <v>0</v>
      </c>
      <c r="Y99" s="75">
        <v>0</v>
      </c>
      <c r="Z99" s="75">
        <v>0</v>
      </c>
      <c r="AA99" s="76">
        <v>0</v>
      </c>
      <c r="AB99" s="80">
        <f t="shared" si="3"/>
        <v>2118698.853575401</v>
      </c>
    </row>
    <row r="100" spans="1:28" x14ac:dyDescent="0.25">
      <c r="A100">
        <f t="shared" si="2"/>
        <v>2034</v>
      </c>
      <c r="B100" s="78">
        <v>49157</v>
      </c>
      <c r="C100" s="79">
        <v>2116483.0631064316</v>
      </c>
      <c r="D100" s="75">
        <v>0</v>
      </c>
      <c r="E100" s="75">
        <v>0</v>
      </c>
      <c r="F100" s="75">
        <v>0</v>
      </c>
      <c r="G100" s="75">
        <v>0</v>
      </c>
      <c r="H100" s="75">
        <v>0</v>
      </c>
      <c r="I100" s="75">
        <v>1.6074261272234136</v>
      </c>
      <c r="J100" s="75">
        <v>259.31394149937961</v>
      </c>
      <c r="K100" s="75">
        <v>2637.7894012204124</v>
      </c>
      <c r="L100" s="75">
        <v>5798.0247733101805</v>
      </c>
      <c r="M100" s="75">
        <v>7489.9606416501119</v>
      </c>
      <c r="N100" s="75">
        <v>8394.2606139975614</v>
      </c>
      <c r="O100" s="75">
        <v>8624.2525854066189</v>
      </c>
      <c r="P100" s="75">
        <v>8554.1390788863591</v>
      </c>
      <c r="Q100" s="75">
        <v>8118.4437083112953</v>
      </c>
      <c r="R100" s="75">
        <v>7491.0772529580499</v>
      </c>
      <c r="S100" s="75">
        <v>6361.118807721683</v>
      </c>
      <c r="T100" s="75">
        <v>3812.817985171524</v>
      </c>
      <c r="U100" s="75">
        <v>730.09215359590678</v>
      </c>
      <c r="V100" s="75">
        <v>0.74882712534484752</v>
      </c>
      <c r="W100" s="75">
        <v>0</v>
      </c>
      <c r="X100" s="75">
        <v>0</v>
      </c>
      <c r="Y100" s="75">
        <v>0</v>
      </c>
      <c r="Z100" s="75">
        <v>0</v>
      </c>
      <c r="AA100" s="76">
        <v>0</v>
      </c>
      <c r="AB100" s="80">
        <f t="shared" si="3"/>
        <v>2116483.0631064312</v>
      </c>
    </row>
    <row r="101" spans="1:28" x14ac:dyDescent="0.25">
      <c r="A101">
        <f t="shared" si="2"/>
        <v>2034</v>
      </c>
      <c r="B101" s="78">
        <v>49188</v>
      </c>
      <c r="C101" s="79">
        <v>2062646.5427298143</v>
      </c>
      <c r="D101" s="75">
        <v>0</v>
      </c>
      <c r="E101" s="75">
        <v>0</v>
      </c>
      <c r="F101" s="75">
        <v>0</v>
      </c>
      <c r="G101" s="75">
        <v>0</v>
      </c>
      <c r="H101" s="75">
        <v>0</v>
      </c>
      <c r="I101" s="75">
        <v>1.6187563235758149</v>
      </c>
      <c r="J101" s="75">
        <v>261.14175667815749</v>
      </c>
      <c r="K101" s="75">
        <v>2656.3822754719558</v>
      </c>
      <c r="L101" s="75">
        <v>5838.8930645648243</v>
      </c>
      <c r="M101" s="75">
        <v>7542.7548094842768</v>
      </c>
      <c r="N101" s="75">
        <v>8453.4288826844149</v>
      </c>
      <c r="O101" s="75">
        <v>8685.0419887455755</v>
      </c>
      <c r="P101" s="75">
        <v>8614.4342761262778</v>
      </c>
      <c r="Q101" s="75">
        <v>8175.6678380757985</v>
      </c>
      <c r="R101" s="75">
        <v>7543.8792914029727</v>
      </c>
      <c r="S101" s="75">
        <v>6405.9561560089951</v>
      </c>
      <c r="T101" s="75">
        <v>3839.693233555462</v>
      </c>
      <c r="U101" s="75">
        <v>735.23832318684026</v>
      </c>
      <c r="V101" s="75">
        <v>0.75410535133636913</v>
      </c>
      <c r="W101" s="75">
        <v>0</v>
      </c>
      <c r="X101" s="75">
        <v>0</v>
      </c>
      <c r="Y101" s="75">
        <v>0</v>
      </c>
      <c r="Z101" s="75">
        <v>0</v>
      </c>
      <c r="AA101" s="76">
        <v>0</v>
      </c>
      <c r="AB101" s="80">
        <f t="shared" si="3"/>
        <v>2062646.5427298143</v>
      </c>
    </row>
    <row r="102" spans="1:28" x14ac:dyDescent="0.25">
      <c r="A102">
        <f t="shared" si="2"/>
        <v>2034</v>
      </c>
      <c r="B102" s="78">
        <v>49218</v>
      </c>
      <c r="C102" s="79">
        <v>2110809.3535354263</v>
      </c>
      <c r="D102" s="75">
        <v>0</v>
      </c>
      <c r="E102" s="75">
        <v>0</v>
      </c>
      <c r="F102" s="75">
        <v>0</v>
      </c>
      <c r="G102" s="75">
        <v>0</v>
      </c>
      <c r="H102" s="75">
        <v>0</v>
      </c>
      <c r="I102" s="75">
        <v>1.6031170594299176</v>
      </c>
      <c r="J102" s="75">
        <v>258.61879207086457</v>
      </c>
      <c r="K102" s="75">
        <v>2630.7182125901404</v>
      </c>
      <c r="L102" s="75">
        <v>5782.4818619480766</v>
      </c>
      <c r="M102" s="75">
        <v>7469.8821150983276</v>
      </c>
      <c r="N102" s="75">
        <v>8371.7579076837937</v>
      </c>
      <c r="O102" s="75">
        <v>8601.1333338096938</v>
      </c>
      <c r="P102" s="75">
        <v>8531.2077823361506</v>
      </c>
      <c r="Q102" s="75">
        <v>8096.6803913387012</v>
      </c>
      <c r="R102" s="75">
        <v>7470.9957330781472</v>
      </c>
      <c r="S102" s="75">
        <v>6344.0663959680551</v>
      </c>
      <c r="T102" s="75">
        <v>3802.596867756477</v>
      </c>
      <c r="U102" s="75">
        <v>728.13497713095876</v>
      </c>
      <c r="V102" s="75">
        <v>0.74681972556822873</v>
      </c>
      <c r="W102" s="75">
        <v>0</v>
      </c>
      <c r="X102" s="75">
        <v>0</v>
      </c>
      <c r="Y102" s="75">
        <v>0</v>
      </c>
      <c r="Z102" s="75">
        <v>0</v>
      </c>
      <c r="AA102" s="76">
        <v>0</v>
      </c>
      <c r="AB102" s="80">
        <f t="shared" si="3"/>
        <v>2110809.3535354258</v>
      </c>
    </row>
    <row r="103" spans="1:28" x14ac:dyDescent="0.25">
      <c r="A103">
        <f t="shared" si="2"/>
        <v>2034</v>
      </c>
      <c r="B103" s="78">
        <v>49249</v>
      </c>
      <c r="C103" s="79">
        <v>2047099.0820843724</v>
      </c>
      <c r="D103" s="75">
        <v>0</v>
      </c>
      <c r="E103" s="75">
        <v>0</v>
      </c>
      <c r="F103" s="75">
        <v>0</v>
      </c>
      <c r="G103" s="75">
        <v>0</v>
      </c>
      <c r="H103" s="75">
        <v>0</v>
      </c>
      <c r="I103" s="75">
        <v>1.6065547419116841</v>
      </c>
      <c r="J103" s="75">
        <v>259.17336747490509</v>
      </c>
      <c r="K103" s="75">
        <v>2636.3594562290182</v>
      </c>
      <c r="L103" s="75">
        <v>5794.8816654939383</v>
      </c>
      <c r="M103" s="75">
        <v>7485.9003358120826</v>
      </c>
      <c r="N103" s="75">
        <v>8389.7100873649615</v>
      </c>
      <c r="O103" s="75">
        <v>8619.5773801823834</v>
      </c>
      <c r="P103" s="75">
        <v>8549.5018821769172</v>
      </c>
      <c r="Q103" s="75">
        <v>8114.0427019560339</v>
      </c>
      <c r="R103" s="75">
        <v>7487.0163418053035</v>
      </c>
      <c r="S103" s="75">
        <v>6357.6704467666514</v>
      </c>
      <c r="T103" s="75">
        <v>3810.7510574712041</v>
      </c>
      <c r="U103" s="75">
        <v>729.69637081741519</v>
      </c>
      <c r="V103" s="75">
        <v>0.74842118634273791</v>
      </c>
      <c r="W103" s="75">
        <v>0</v>
      </c>
      <c r="X103" s="75">
        <v>0</v>
      </c>
      <c r="Y103" s="75">
        <v>0</v>
      </c>
      <c r="Z103" s="75">
        <v>0</v>
      </c>
      <c r="AA103" s="76">
        <v>0</v>
      </c>
      <c r="AB103" s="80">
        <f t="shared" si="3"/>
        <v>2047099.0820843724</v>
      </c>
    </row>
    <row r="104" spans="1:28" x14ac:dyDescent="0.25">
      <c r="A104">
        <f t="shared" si="2"/>
        <v>2034</v>
      </c>
      <c r="B104" s="78">
        <v>49279</v>
      </c>
      <c r="C104" s="79">
        <v>2148095.2715159394</v>
      </c>
      <c r="D104" s="75">
        <v>0</v>
      </c>
      <c r="E104" s="75">
        <v>0</v>
      </c>
      <c r="F104" s="75">
        <v>0</v>
      </c>
      <c r="G104" s="75">
        <v>0</v>
      </c>
      <c r="H104" s="75">
        <v>0</v>
      </c>
      <c r="I104" s="75">
        <v>1.6314349608505028</v>
      </c>
      <c r="J104" s="75">
        <v>263.18710566736377</v>
      </c>
      <c r="K104" s="75">
        <v>2677.1879438996912</v>
      </c>
      <c r="L104" s="75">
        <v>5884.625214718084</v>
      </c>
      <c r="M104" s="75">
        <v>7601.8321708440817</v>
      </c>
      <c r="N104" s="75">
        <v>8519.6389459100938</v>
      </c>
      <c r="O104" s="75">
        <v>8753.0661227594574</v>
      </c>
      <c r="P104" s="75">
        <v>8681.9053870791467</v>
      </c>
      <c r="Q104" s="75">
        <v>8239.7023845282984</v>
      </c>
      <c r="R104" s="75">
        <v>7602.9654600787144</v>
      </c>
      <c r="S104" s="75">
        <v>6456.1297326719596</v>
      </c>
      <c r="T104" s="75">
        <v>3869.7669865010466</v>
      </c>
      <c r="U104" s="75">
        <v>740.9969539791166</v>
      </c>
      <c r="V104" s="75">
        <v>0.76001175496071127</v>
      </c>
      <c r="W104" s="75">
        <v>0</v>
      </c>
      <c r="X104" s="75">
        <v>0</v>
      </c>
      <c r="Y104" s="75">
        <v>0</v>
      </c>
      <c r="Z104" s="75">
        <v>0</v>
      </c>
      <c r="AA104" s="76">
        <v>0</v>
      </c>
      <c r="AB104" s="80">
        <f t="shared" si="3"/>
        <v>2148095.2715159389</v>
      </c>
    </row>
    <row r="105" spans="1:28" x14ac:dyDescent="0.25">
      <c r="A105">
        <f t="shared" si="2"/>
        <v>2035</v>
      </c>
      <c r="B105" s="78">
        <v>49310</v>
      </c>
      <c r="C105" s="79">
        <v>2167058.1379268807</v>
      </c>
      <c r="D105" s="75">
        <v>0</v>
      </c>
      <c r="E105" s="75">
        <v>0</v>
      </c>
      <c r="F105" s="75">
        <v>0</v>
      </c>
      <c r="G105" s="75">
        <v>0</v>
      </c>
      <c r="H105" s="75">
        <v>0</v>
      </c>
      <c r="I105" s="75">
        <v>1.6458368747837311</v>
      </c>
      <c r="J105" s="75">
        <v>265.51045789109014</v>
      </c>
      <c r="K105" s="75">
        <v>2700.8215126758682</v>
      </c>
      <c r="L105" s="75">
        <v>5936.5732653026398</v>
      </c>
      <c r="M105" s="75">
        <v>7668.939309826972</v>
      </c>
      <c r="N105" s="75">
        <v>8594.848261503781</v>
      </c>
      <c r="O105" s="75">
        <v>8830.3360771106381</v>
      </c>
      <c r="P105" s="75">
        <v>8758.5471516371163</v>
      </c>
      <c r="Q105" s="75">
        <v>8312.4404877472771</v>
      </c>
      <c r="R105" s="75">
        <v>7670.0826034653437</v>
      </c>
      <c r="S105" s="75">
        <v>6513.1228871543344</v>
      </c>
      <c r="T105" s="75">
        <v>3903.9283551235403</v>
      </c>
      <c r="U105" s="75">
        <v>747.53829617913186</v>
      </c>
      <c r="V105" s="75">
        <v>0.76672095523277095</v>
      </c>
      <c r="W105" s="75">
        <v>0</v>
      </c>
      <c r="X105" s="75">
        <v>0</v>
      </c>
      <c r="Y105" s="75">
        <v>0</v>
      </c>
      <c r="Z105" s="75">
        <v>0</v>
      </c>
      <c r="AA105" s="76">
        <v>0</v>
      </c>
      <c r="AB105" s="80">
        <f t="shared" si="3"/>
        <v>2167058.1379268803</v>
      </c>
    </row>
    <row r="106" spans="1:28" x14ac:dyDescent="0.25">
      <c r="A106">
        <f t="shared" si="2"/>
        <v>2035</v>
      </c>
      <c r="B106" s="78">
        <v>49341</v>
      </c>
      <c r="C106" s="79">
        <v>1970249.6785729825</v>
      </c>
      <c r="D106" s="75">
        <v>0</v>
      </c>
      <c r="E106" s="75">
        <v>0</v>
      </c>
      <c r="F106" s="75">
        <v>0</v>
      </c>
      <c r="G106" s="75">
        <v>0</v>
      </c>
      <c r="H106" s="75">
        <v>0</v>
      </c>
      <c r="I106" s="75">
        <v>1.6566896288037833</v>
      </c>
      <c r="J106" s="75">
        <v>267.26125089700213</v>
      </c>
      <c r="K106" s="75">
        <v>2718.6309031314004</v>
      </c>
      <c r="L106" s="75">
        <v>5975.7194105600884</v>
      </c>
      <c r="M106" s="75">
        <v>7719.5087880051778</v>
      </c>
      <c r="N106" s="75">
        <v>8651.5232427555111</v>
      </c>
      <c r="O106" s="75">
        <v>8888.5638801375135</v>
      </c>
      <c r="P106" s="75">
        <v>8816.3015738803533</v>
      </c>
      <c r="Q106" s="75">
        <v>8367.2532540074189</v>
      </c>
      <c r="R106" s="75">
        <v>7720.6596205952028</v>
      </c>
      <c r="S106" s="75">
        <v>6556.0708376345101</v>
      </c>
      <c r="T106" s="75">
        <v>3929.6711093412878</v>
      </c>
      <c r="U106" s="75">
        <v>752.46761169836702</v>
      </c>
      <c r="V106" s="75">
        <v>0.7717767624373908</v>
      </c>
      <c r="W106" s="75">
        <v>0</v>
      </c>
      <c r="X106" s="75">
        <v>0</v>
      </c>
      <c r="Y106" s="75">
        <v>0</v>
      </c>
      <c r="Z106" s="75">
        <v>0</v>
      </c>
      <c r="AA106" s="76">
        <v>0</v>
      </c>
      <c r="AB106" s="80">
        <f t="shared" si="3"/>
        <v>1970249.6785729816</v>
      </c>
    </row>
    <row r="107" spans="1:28" x14ac:dyDescent="0.25">
      <c r="A107">
        <f t="shared" si="2"/>
        <v>2035</v>
      </c>
      <c r="B107" s="78">
        <v>49369</v>
      </c>
      <c r="C107" s="79">
        <v>2163067.9497075831</v>
      </c>
      <c r="D107" s="75">
        <v>0</v>
      </c>
      <c r="E107" s="75">
        <v>0</v>
      </c>
      <c r="F107" s="75">
        <v>0</v>
      </c>
      <c r="G107" s="75">
        <v>0</v>
      </c>
      <c r="H107" s="75">
        <v>0</v>
      </c>
      <c r="I107" s="75">
        <v>1.6428064074447559</v>
      </c>
      <c r="J107" s="75">
        <v>265.02157543674537</v>
      </c>
      <c r="K107" s="75">
        <v>2695.8485098783453</v>
      </c>
      <c r="L107" s="75">
        <v>5925.6422965890506</v>
      </c>
      <c r="M107" s="75">
        <v>7654.8185482502413</v>
      </c>
      <c r="N107" s="75">
        <v>8579.0226305806937</v>
      </c>
      <c r="O107" s="75">
        <v>8814.0768442037461</v>
      </c>
      <c r="P107" s="75">
        <v>8742.4201031509801</v>
      </c>
      <c r="Q107" s="75">
        <v>8297.1348521820237</v>
      </c>
      <c r="R107" s="75">
        <v>7655.9597367504402</v>
      </c>
      <c r="S107" s="75">
        <v>6501.1303218602516</v>
      </c>
      <c r="T107" s="75">
        <v>3896.7400805410693</v>
      </c>
      <c r="U107" s="75">
        <v>746.16185940953903</v>
      </c>
      <c r="V107" s="75">
        <v>0.76530919757407467</v>
      </c>
      <c r="W107" s="75">
        <v>0</v>
      </c>
      <c r="X107" s="75">
        <v>0</v>
      </c>
      <c r="Y107" s="75">
        <v>0</v>
      </c>
      <c r="Z107" s="75">
        <v>0</v>
      </c>
      <c r="AA107" s="76">
        <v>0</v>
      </c>
      <c r="AB107" s="80">
        <f t="shared" si="3"/>
        <v>2163067.9497075826</v>
      </c>
    </row>
    <row r="108" spans="1:28" x14ac:dyDescent="0.25">
      <c r="A108">
        <f t="shared" si="2"/>
        <v>2035</v>
      </c>
      <c r="B108" s="78">
        <v>49400</v>
      </c>
      <c r="C108" s="79">
        <v>2090492.3232142481</v>
      </c>
      <c r="D108" s="75">
        <v>0</v>
      </c>
      <c r="E108" s="75">
        <v>0</v>
      </c>
      <c r="F108" s="75">
        <v>0</v>
      </c>
      <c r="G108" s="75">
        <v>0</v>
      </c>
      <c r="H108" s="75">
        <v>0</v>
      </c>
      <c r="I108" s="75">
        <v>1.6406095748771388</v>
      </c>
      <c r="J108" s="75">
        <v>264.66717699673308</v>
      </c>
      <c r="K108" s="75">
        <v>2692.2435033620422</v>
      </c>
      <c r="L108" s="75">
        <v>5917.7182685829484</v>
      </c>
      <c r="M108" s="75">
        <v>7644.5821901439003</v>
      </c>
      <c r="N108" s="75">
        <v>8567.5503863602062</v>
      </c>
      <c r="O108" s="75">
        <v>8802.2902752099326</v>
      </c>
      <c r="P108" s="75">
        <v>8730.7293566848348</v>
      </c>
      <c r="Q108" s="75">
        <v>8286.0395606257061</v>
      </c>
      <c r="R108" s="75">
        <v>7645.7218525969329</v>
      </c>
      <c r="S108" s="75">
        <v>6492.4367261007837</v>
      </c>
      <c r="T108" s="75">
        <v>3891.5291893017375</v>
      </c>
      <c r="U108" s="75">
        <v>745.16405914163386</v>
      </c>
      <c r="V108" s="75">
        <v>0.76428579264826668</v>
      </c>
      <c r="W108" s="75">
        <v>0</v>
      </c>
      <c r="X108" s="75">
        <v>0</v>
      </c>
      <c r="Y108" s="75">
        <v>0</v>
      </c>
      <c r="Z108" s="75">
        <v>0</v>
      </c>
      <c r="AA108" s="76">
        <v>0</v>
      </c>
      <c r="AB108" s="80">
        <f t="shared" si="3"/>
        <v>2090492.3232142483</v>
      </c>
    </row>
    <row r="109" spans="1:28" x14ac:dyDescent="0.25">
      <c r="A109">
        <f t="shared" si="2"/>
        <v>2035</v>
      </c>
      <c r="B109" s="78">
        <v>49430</v>
      </c>
      <c r="C109" s="79">
        <v>2163457.8722269041</v>
      </c>
      <c r="D109" s="75">
        <v>0</v>
      </c>
      <c r="E109" s="75">
        <v>0</v>
      </c>
      <c r="F109" s="75">
        <v>0</v>
      </c>
      <c r="G109" s="75">
        <v>0</v>
      </c>
      <c r="H109" s="75">
        <v>0</v>
      </c>
      <c r="I109" s="75">
        <v>1.6431025457205943</v>
      </c>
      <c r="J109" s="75">
        <v>265.06934919271208</v>
      </c>
      <c r="K109" s="75">
        <v>2696.3344733649856</v>
      </c>
      <c r="L109" s="75">
        <v>5926.7104744857243</v>
      </c>
      <c r="M109" s="75">
        <v>7656.1984337659433</v>
      </c>
      <c r="N109" s="75">
        <v>8580.5691164957025</v>
      </c>
      <c r="O109" s="75">
        <v>8815.6657018487622</v>
      </c>
      <c r="P109" s="75">
        <v>8743.9960436904548</v>
      </c>
      <c r="Q109" s="75">
        <v>8298.6305239777939</v>
      </c>
      <c r="R109" s="75">
        <v>7657.3398279809435</v>
      </c>
      <c r="S109" s="75">
        <v>6502.302239327697</v>
      </c>
      <c r="T109" s="75">
        <v>3897.4425211229982</v>
      </c>
      <c r="U109" s="75">
        <v>746.29636526825777</v>
      </c>
      <c r="V109" s="75">
        <v>0.76544715500181892</v>
      </c>
      <c r="W109" s="75">
        <v>0</v>
      </c>
      <c r="X109" s="75">
        <v>0</v>
      </c>
      <c r="Y109" s="75">
        <v>0</v>
      </c>
      <c r="Z109" s="75">
        <v>0</v>
      </c>
      <c r="AA109" s="76">
        <v>0</v>
      </c>
      <c r="AB109" s="80">
        <f t="shared" si="3"/>
        <v>2163457.8722269037</v>
      </c>
    </row>
    <row r="110" spans="1:28" x14ac:dyDescent="0.25">
      <c r="A110">
        <f t="shared" si="2"/>
        <v>2035</v>
      </c>
      <c r="B110" s="78">
        <v>49461</v>
      </c>
      <c r="C110" s="79">
        <v>2081469.6392543828</v>
      </c>
      <c r="D110" s="75">
        <v>0</v>
      </c>
      <c r="E110" s="75">
        <v>0</v>
      </c>
      <c r="F110" s="75">
        <v>0</v>
      </c>
      <c r="G110" s="75">
        <v>0</v>
      </c>
      <c r="H110" s="75">
        <v>0</v>
      </c>
      <c r="I110" s="75">
        <v>1.6335286104883839</v>
      </c>
      <c r="J110" s="75">
        <v>263.52485838303949</v>
      </c>
      <c r="K110" s="75">
        <v>2680.6236270276067</v>
      </c>
      <c r="L110" s="75">
        <v>5892.1770594103409</v>
      </c>
      <c r="M110" s="75">
        <v>7611.5877379084432</v>
      </c>
      <c r="N110" s="75">
        <v>8530.5723508094743</v>
      </c>
      <c r="O110" s="75">
        <v>8764.2990889260727</v>
      </c>
      <c r="P110" s="75">
        <v>8693.0470314020677</v>
      </c>
      <c r="Q110" s="75">
        <v>8250.2765418361832</v>
      </c>
      <c r="R110" s="75">
        <v>7612.7224815134032</v>
      </c>
      <c r="S110" s="75">
        <v>6464.414999324501</v>
      </c>
      <c r="T110" s="75">
        <v>3874.733127624901</v>
      </c>
      <c r="U110" s="75">
        <v>741.94788861126437</v>
      </c>
      <c r="V110" s="75">
        <v>0.76098709162674005</v>
      </c>
      <c r="W110" s="75">
        <v>0</v>
      </c>
      <c r="X110" s="75">
        <v>0</v>
      </c>
      <c r="Y110" s="75">
        <v>0</v>
      </c>
      <c r="Z110" s="75">
        <v>0</v>
      </c>
      <c r="AA110" s="76">
        <v>0</v>
      </c>
      <c r="AB110" s="80">
        <f t="shared" si="3"/>
        <v>2081469.6392543819</v>
      </c>
    </row>
    <row r="111" spans="1:28" x14ac:dyDescent="0.25">
      <c r="A111">
        <f t="shared" si="2"/>
        <v>2035</v>
      </c>
      <c r="B111" s="78">
        <v>49491</v>
      </c>
      <c r="C111" s="79">
        <v>2156458.6293998272</v>
      </c>
      <c r="D111" s="75">
        <v>0</v>
      </c>
      <c r="E111" s="75">
        <v>0</v>
      </c>
      <c r="F111" s="75">
        <v>0</v>
      </c>
      <c r="G111" s="75">
        <v>0</v>
      </c>
      <c r="H111" s="75">
        <v>0</v>
      </c>
      <c r="I111" s="75">
        <v>1.6377867621987969</v>
      </c>
      <c r="J111" s="75">
        <v>264.21179390363898</v>
      </c>
      <c r="K111" s="75">
        <v>2687.6112622665073</v>
      </c>
      <c r="L111" s="75">
        <v>5907.5363152338941</v>
      </c>
      <c r="M111" s="75">
        <v>7631.429015947303</v>
      </c>
      <c r="N111" s="75">
        <v>8552.8091644245978</v>
      </c>
      <c r="O111" s="75">
        <v>8787.1451627055358</v>
      </c>
      <c r="P111" s="75">
        <v>8715.7073710176701</v>
      </c>
      <c r="Q111" s="75">
        <v>8271.7827027582734</v>
      </c>
      <c r="R111" s="75">
        <v>7632.5667175111212</v>
      </c>
      <c r="S111" s="75">
        <v>6481.2659192345982</v>
      </c>
      <c r="T111" s="75">
        <v>3884.8334719891527</v>
      </c>
      <c r="U111" s="75">
        <v>743.88193901640716</v>
      </c>
      <c r="V111" s="75">
        <v>0.7629707719032941</v>
      </c>
      <c r="W111" s="75">
        <v>0</v>
      </c>
      <c r="X111" s="75">
        <v>0</v>
      </c>
      <c r="Y111" s="75">
        <v>0</v>
      </c>
      <c r="Z111" s="75">
        <v>0</v>
      </c>
      <c r="AA111" s="76">
        <v>0</v>
      </c>
      <c r="AB111" s="80">
        <f t="shared" si="3"/>
        <v>2156458.6293998272</v>
      </c>
    </row>
    <row r="112" spans="1:28" x14ac:dyDescent="0.25">
      <c r="A112">
        <f t="shared" si="2"/>
        <v>2035</v>
      </c>
      <c r="B112" s="78">
        <v>49522</v>
      </c>
      <c r="C112" s="79">
        <v>2154242.8389308532</v>
      </c>
      <c r="D112" s="75">
        <v>0</v>
      </c>
      <c r="E112" s="75">
        <v>0</v>
      </c>
      <c r="F112" s="75">
        <v>0</v>
      </c>
      <c r="G112" s="75">
        <v>0</v>
      </c>
      <c r="H112" s="75">
        <v>0</v>
      </c>
      <c r="I112" s="75">
        <v>1.6361039141031197</v>
      </c>
      <c r="J112" s="75">
        <v>263.94031270444475</v>
      </c>
      <c r="K112" s="75">
        <v>2684.8497052683588</v>
      </c>
      <c r="L112" s="75">
        <v>5901.4662416030096</v>
      </c>
      <c r="M112" s="75">
        <v>7623.5876192018914</v>
      </c>
      <c r="N112" s="75">
        <v>8544.0210370888271</v>
      </c>
      <c r="O112" s="75">
        <v>8778.1162519554891</v>
      </c>
      <c r="P112" s="75">
        <v>8706.7518635668057</v>
      </c>
      <c r="Q112" s="75">
        <v>8263.2833339207173</v>
      </c>
      <c r="R112" s="75">
        <v>7624.7241517619332</v>
      </c>
      <c r="S112" s="75">
        <v>6474.606330659637</v>
      </c>
      <c r="T112" s="75">
        <v>3880.8417529441267</v>
      </c>
      <c r="U112" s="75">
        <v>743.11759024196613</v>
      </c>
      <c r="V112" s="75">
        <v>0.76218680909434389</v>
      </c>
      <c r="W112" s="75">
        <v>0</v>
      </c>
      <c r="X112" s="75">
        <v>0</v>
      </c>
      <c r="Y112" s="75">
        <v>0</v>
      </c>
      <c r="Z112" s="75">
        <v>0</v>
      </c>
      <c r="AA112" s="76">
        <v>0</v>
      </c>
      <c r="AB112" s="80">
        <f t="shared" si="3"/>
        <v>2154242.8389308522</v>
      </c>
    </row>
    <row r="113" spans="1:28" x14ac:dyDescent="0.25">
      <c r="A113">
        <f t="shared" si="2"/>
        <v>2035</v>
      </c>
      <c r="B113" s="78">
        <v>49553</v>
      </c>
      <c r="C113" s="79">
        <v>2099188.2612695727</v>
      </c>
      <c r="D113" s="75">
        <v>0</v>
      </c>
      <c r="E113" s="75">
        <v>0</v>
      </c>
      <c r="F113" s="75">
        <v>0</v>
      </c>
      <c r="G113" s="75">
        <v>0</v>
      </c>
      <c r="H113" s="75">
        <v>0</v>
      </c>
      <c r="I113" s="75">
        <v>1.6474341104555179</v>
      </c>
      <c r="J113" s="75">
        <v>265.76812788322206</v>
      </c>
      <c r="K113" s="75">
        <v>2703.4425795198968</v>
      </c>
      <c r="L113" s="75">
        <v>5942.3345328576415</v>
      </c>
      <c r="M113" s="75">
        <v>7676.3817870360417</v>
      </c>
      <c r="N113" s="75">
        <v>8603.1893057756624</v>
      </c>
      <c r="O113" s="75">
        <v>8838.9056552944294</v>
      </c>
      <c r="P113" s="75">
        <v>8767.0470608067044</v>
      </c>
      <c r="Q113" s="75">
        <v>8320.5074636852023</v>
      </c>
      <c r="R113" s="75">
        <v>7677.5261902068396</v>
      </c>
      <c r="S113" s="75">
        <v>6519.4436789469346</v>
      </c>
      <c r="T113" s="75">
        <v>3907.7170013280565</v>
      </c>
      <c r="U113" s="75">
        <v>748.26375983289813</v>
      </c>
      <c r="V113" s="75">
        <v>0.76746503508586383</v>
      </c>
      <c r="W113" s="75">
        <v>0</v>
      </c>
      <c r="X113" s="75">
        <v>0</v>
      </c>
      <c r="Y113" s="75">
        <v>0</v>
      </c>
      <c r="Z113" s="75">
        <v>0</v>
      </c>
      <c r="AA113" s="76">
        <v>0</v>
      </c>
      <c r="AB113" s="80">
        <f t="shared" si="3"/>
        <v>2099188.2612695722</v>
      </c>
    </row>
    <row r="114" spans="1:28" x14ac:dyDescent="0.25">
      <c r="A114">
        <f t="shared" si="2"/>
        <v>2035</v>
      </c>
      <c r="B114" s="78">
        <v>49583</v>
      </c>
      <c r="C114" s="79">
        <v>2148569.1293598441</v>
      </c>
      <c r="D114" s="75">
        <v>0</v>
      </c>
      <c r="E114" s="75">
        <v>0</v>
      </c>
      <c r="F114" s="75">
        <v>0</v>
      </c>
      <c r="G114" s="75">
        <v>0</v>
      </c>
      <c r="H114" s="75">
        <v>0</v>
      </c>
      <c r="I114" s="75">
        <v>1.631794846309621</v>
      </c>
      <c r="J114" s="75">
        <v>263.24516327592926</v>
      </c>
      <c r="K114" s="75">
        <v>2677.7785166380818</v>
      </c>
      <c r="L114" s="75">
        <v>5885.9233302408957</v>
      </c>
      <c r="M114" s="75">
        <v>7603.5090926500943</v>
      </c>
      <c r="N114" s="75">
        <v>8521.5183307750431</v>
      </c>
      <c r="O114" s="75">
        <v>8754.9970003585477</v>
      </c>
      <c r="P114" s="75">
        <v>8683.8205670165808</v>
      </c>
      <c r="Q114" s="75">
        <v>8241.5200169481086</v>
      </c>
      <c r="R114" s="75">
        <v>7604.6426318820177</v>
      </c>
      <c r="S114" s="75">
        <v>6457.5539189059964</v>
      </c>
      <c r="T114" s="75">
        <v>3870.6206355290733</v>
      </c>
      <c r="U114" s="75">
        <v>741.16041377701674</v>
      </c>
      <c r="V114" s="75">
        <v>0.76017940931772388</v>
      </c>
      <c r="W114" s="75">
        <v>0</v>
      </c>
      <c r="X114" s="75">
        <v>0</v>
      </c>
      <c r="Y114" s="75">
        <v>0</v>
      </c>
      <c r="Z114" s="75">
        <v>0</v>
      </c>
      <c r="AA114" s="76">
        <v>0</v>
      </c>
      <c r="AB114" s="80">
        <f t="shared" si="3"/>
        <v>2148569.1293598437</v>
      </c>
    </row>
    <row r="115" spans="1:28" x14ac:dyDescent="0.25">
      <c r="A115">
        <f t="shared" si="2"/>
        <v>2035</v>
      </c>
      <c r="B115" s="78">
        <v>49614</v>
      </c>
      <c r="C115" s="79">
        <v>2083640.8006241322</v>
      </c>
      <c r="D115" s="75">
        <v>0</v>
      </c>
      <c r="E115" s="75">
        <v>0</v>
      </c>
      <c r="F115" s="75">
        <v>0</v>
      </c>
      <c r="G115" s="75">
        <v>0</v>
      </c>
      <c r="H115" s="75">
        <v>0</v>
      </c>
      <c r="I115" s="75">
        <v>1.6352325287913878</v>
      </c>
      <c r="J115" s="75">
        <v>263.79973867996989</v>
      </c>
      <c r="K115" s="75">
        <v>2683.4197602769605</v>
      </c>
      <c r="L115" s="75">
        <v>5898.3231337867592</v>
      </c>
      <c r="M115" s="75">
        <v>7619.5273133638511</v>
      </c>
      <c r="N115" s="75">
        <v>8539.4705104562163</v>
      </c>
      <c r="O115" s="75">
        <v>8773.4410467312409</v>
      </c>
      <c r="P115" s="75">
        <v>8702.1146668573492</v>
      </c>
      <c r="Q115" s="75">
        <v>8258.8823275654431</v>
      </c>
      <c r="R115" s="75">
        <v>7620.6632406091758</v>
      </c>
      <c r="S115" s="75">
        <v>6471.1579697045954</v>
      </c>
      <c r="T115" s="75">
        <v>3878.7748252438009</v>
      </c>
      <c r="U115" s="75">
        <v>742.7218074634734</v>
      </c>
      <c r="V115" s="75">
        <v>0.76178087009223316</v>
      </c>
      <c r="W115" s="75">
        <v>0</v>
      </c>
      <c r="X115" s="75">
        <v>0</v>
      </c>
      <c r="Y115" s="75">
        <v>0</v>
      </c>
      <c r="Z115" s="75">
        <v>0</v>
      </c>
      <c r="AA115" s="76">
        <v>0</v>
      </c>
      <c r="AB115" s="80">
        <f t="shared" si="3"/>
        <v>2083640.8006241312</v>
      </c>
    </row>
    <row r="116" spans="1:28" ht="15.75" thickBot="1" x14ac:dyDescent="0.3">
      <c r="A116">
        <f t="shared" si="2"/>
        <v>2035</v>
      </c>
      <c r="B116" s="78">
        <v>49644</v>
      </c>
      <c r="C116" s="79">
        <v>2185855.0473403619</v>
      </c>
      <c r="D116" s="75">
        <v>0</v>
      </c>
      <c r="E116" s="75">
        <v>0</v>
      </c>
      <c r="F116" s="75">
        <v>0</v>
      </c>
      <c r="G116" s="75">
        <v>0</v>
      </c>
      <c r="H116" s="75">
        <v>0</v>
      </c>
      <c r="I116" s="75">
        <v>1.6601127477302096</v>
      </c>
      <c r="J116" s="75">
        <v>267.81347687242908</v>
      </c>
      <c r="K116" s="75">
        <v>2724.2482479476389</v>
      </c>
      <c r="L116" s="75">
        <v>5988.0666830109158</v>
      </c>
      <c r="M116" s="75">
        <v>7735.4591483958648</v>
      </c>
      <c r="N116" s="75">
        <v>8669.3993690013649</v>
      </c>
      <c r="O116" s="75">
        <v>8906.9297893083312</v>
      </c>
      <c r="P116" s="75">
        <v>8834.5181717595951</v>
      </c>
      <c r="Q116" s="75">
        <v>8384.542010137724</v>
      </c>
      <c r="R116" s="75">
        <v>7736.6123588826013</v>
      </c>
      <c r="S116" s="75">
        <v>6569.6172556099154</v>
      </c>
      <c r="T116" s="75">
        <v>3937.7907542736511</v>
      </c>
      <c r="U116" s="75">
        <v>754.02239062517629</v>
      </c>
      <c r="V116" s="75">
        <v>0.77337143871020786</v>
      </c>
      <c r="W116" s="75">
        <v>0</v>
      </c>
      <c r="X116" s="75">
        <v>0</v>
      </c>
      <c r="Y116" s="75">
        <v>0</v>
      </c>
      <c r="Z116" s="75">
        <v>0</v>
      </c>
      <c r="AA116" s="76">
        <v>0</v>
      </c>
      <c r="AB116" s="80">
        <f t="shared" si="3"/>
        <v>2185855.0473403614</v>
      </c>
    </row>
    <row r="117" spans="1:28" ht="15.75" thickBot="1" x14ac:dyDescent="0.3">
      <c r="B117" s="78">
        <v>49675</v>
      </c>
      <c r="C117" s="81">
        <f>+SUM(C2:C116)</f>
        <v>225859364.35070384</v>
      </c>
      <c r="AB117" s="82">
        <f>+SUM(AB2:AB116)</f>
        <v>225859364.35070378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 No. 1 Plana 2025-2033</vt:lpstr>
      <vt:lpstr>Despacho Horario Producto No. 1</vt:lpstr>
      <vt:lpstr>Producto No. 2 Curva 2026-2033</vt:lpstr>
      <vt:lpstr>Despacho Horario Producto No, 2</vt:lpstr>
      <vt:lpstr>Producto No. 3 Curva 2026-2035</vt:lpstr>
      <vt:lpstr>Despacho Horario Producto No.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Vargas</dc:creator>
  <cp:lastModifiedBy>DISPAC S.A. E.S.P</cp:lastModifiedBy>
  <cp:lastPrinted>2022-09-26T20:25:01Z</cp:lastPrinted>
  <dcterms:created xsi:type="dcterms:W3CDTF">2022-09-26T20:08:45Z</dcterms:created>
  <dcterms:modified xsi:type="dcterms:W3CDTF">2025-06-12T00:33:33Z</dcterms:modified>
</cp:coreProperties>
</file>