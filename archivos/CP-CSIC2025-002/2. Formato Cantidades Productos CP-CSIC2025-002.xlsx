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iresasesp-my.sharepoint.com/personal/dirmercadeoyregula_air-e_com/Documents/CI_Compras de energía-CS/Convocatorias/CONVOCATORIA CP-CSIC2025-002/04. Pliegos Definitivos - copia/"/>
    </mc:Choice>
  </mc:AlternateContent>
  <xr:revisionPtr revIDLastSave="53" documentId="8_{113B32A8-4D5C-4C5F-8C06-83C247152151}" xr6:coauthVersionLast="47" xr6:coauthVersionMax="47" xr10:uidLastSave="{EEC685EF-4A69-4A6B-95B1-90575C654CD4}"/>
  <bookViews>
    <workbookView xWindow="28680" yWindow="-120" windowWidth="29040" windowHeight="15720" tabRatio="805" activeTab="4" xr2:uid="{6C5C1C21-FEB6-4A06-9030-2FE1DF407649}"/>
  </bookViews>
  <sheets>
    <sheet name="Producto 1" sheetId="2" r:id="rId1"/>
    <sheet name="Producto 2" sheetId="3" r:id="rId2"/>
    <sheet name="Producto 3" sheetId="4" r:id="rId3"/>
    <sheet name="R-Producto_1" sheetId="6" r:id="rId4"/>
    <sheet name="R-Producto_2" sheetId="7" r:id="rId5"/>
    <sheet name="R-Producto 3" sheetId="8" r:id="rId6"/>
  </sheets>
  <definedNames>
    <definedName name="_xlnm._FilterDatabase" localSheetId="0" hidden="1">'Producto 1'!$A$5:$AD$149</definedName>
    <definedName name="_xlnm._FilterDatabase" localSheetId="1" hidden="1">'Producto 2'!$A$5:$AD$545</definedName>
    <definedName name="_xlnm._FilterDatabase" localSheetId="2" hidden="1">'Producto 3'!$A$5:$AD$545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9" i="8" l="1"/>
  <c r="H188" i="8"/>
  <c r="H187" i="8"/>
  <c r="J187" i="8" s="1"/>
  <c r="H186" i="8"/>
  <c r="J186" i="8" s="1"/>
  <c r="H185" i="8"/>
  <c r="H184" i="8"/>
  <c r="H183" i="8"/>
  <c r="H182" i="8"/>
  <c r="H181" i="8"/>
  <c r="H180" i="8"/>
  <c r="H179" i="8"/>
  <c r="H178" i="8"/>
  <c r="H177" i="8"/>
  <c r="H176" i="8"/>
  <c r="H175" i="8"/>
  <c r="H174" i="8"/>
  <c r="H173" i="8"/>
  <c r="H172" i="8"/>
  <c r="H171" i="8"/>
  <c r="H170" i="8"/>
  <c r="H169" i="8"/>
  <c r="H168" i="8"/>
  <c r="H167" i="8"/>
  <c r="H166" i="8"/>
  <c r="H165" i="8"/>
  <c r="H164" i="8"/>
  <c r="H163" i="8"/>
  <c r="H162" i="8"/>
  <c r="H161" i="8"/>
  <c r="H160" i="8"/>
  <c r="H159" i="8"/>
  <c r="H158" i="8"/>
  <c r="H157" i="8"/>
  <c r="H156" i="8"/>
  <c r="H155" i="8"/>
  <c r="H154" i="8"/>
  <c r="H153" i="8"/>
  <c r="H152" i="8"/>
  <c r="H151" i="8"/>
  <c r="H150" i="8"/>
  <c r="H149" i="8"/>
  <c r="H148" i="8"/>
  <c r="H147" i="8"/>
  <c r="H146" i="8"/>
  <c r="H145" i="8"/>
  <c r="H144" i="8"/>
  <c r="H143" i="8"/>
  <c r="H142" i="8"/>
  <c r="H141" i="8"/>
  <c r="H140" i="8"/>
  <c r="H139" i="8"/>
  <c r="H138" i="8"/>
  <c r="H137" i="8"/>
  <c r="H136" i="8"/>
  <c r="H135" i="8"/>
  <c r="H134" i="8"/>
  <c r="H133" i="8"/>
  <c r="H132" i="8"/>
  <c r="H131" i="8"/>
  <c r="H130" i="8"/>
  <c r="H129" i="8"/>
  <c r="H128" i="8"/>
  <c r="H127" i="8"/>
  <c r="H126" i="8"/>
  <c r="H125" i="8"/>
  <c r="H124" i="8"/>
  <c r="H123" i="8"/>
  <c r="H122" i="8"/>
  <c r="H121" i="8"/>
  <c r="H120" i="8"/>
  <c r="H119" i="8"/>
  <c r="H118" i="8"/>
  <c r="H117" i="8"/>
  <c r="H116" i="8"/>
  <c r="H115" i="8"/>
  <c r="H114" i="8"/>
  <c r="H113" i="8"/>
  <c r="H112" i="8"/>
  <c r="H111" i="8"/>
  <c r="H110" i="8"/>
  <c r="H109" i="8"/>
  <c r="H108" i="8"/>
  <c r="H107" i="8"/>
  <c r="H106" i="8"/>
  <c r="H105" i="8"/>
  <c r="H104" i="8"/>
  <c r="H103" i="8"/>
  <c r="H102" i="8"/>
  <c r="H101" i="8"/>
  <c r="H100" i="8"/>
  <c r="H99" i="8"/>
  <c r="H98" i="8"/>
  <c r="H97" i="8"/>
  <c r="H96" i="8"/>
  <c r="H95" i="8"/>
  <c r="J95" i="8" s="1"/>
  <c r="H94" i="8"/>
  <c r="J94" i="8" s="1"/>
  <c r="H93" i="8"/>
  <c r="J93" i="8" s="1"/>
  <c r="H92" i="8"/>
  <c r="J92" i="8" s="1"/>
  <c r="H91" i="8"/>
  <c r="H90" i="8"/>
  <c r="J90" i="8" s="1"/>
  <c r="H89" i="8"/>
  <c r="H88" i="8"/>
  <c r="H87" i="8"/>
  <c r="J87" i="8" s="1"/>
  <c r="H86" i="8"/>
  <c r="J86" i="8" s="1"/>
  <c r="H85" i="8"/>
  <c r="J85" i="8" s="1"/>
  <c r="J84" i="8"/>
  <c r="H84" i="8"/>
  <c r="H83" i="8"/>
  <c r="H82" i="8"/>
  <c r="H81" i="8"/>
  <c r="H80" i="8"/>
  <c r="J80" i="8" s="1"/>
  <c r="H79" i="8"/>
  <c r="J78" i="8"/>
  <c r="H78" i="8"/>
  <c r="H77" i="8"/>
  <c r="H76" i="8"/>
  <c r="J76" i="8" s="1"/>
  <c r="H75" i="8"/>
  <c r="J75" i="8" s="1"/>
  <c r="H74" i="8"/>
  <c r="H73" i="8"/>
  <c r="H72" i="8"/>
  <c r="J72" i="8" s="1"/>
  <c r="H71" i="8"/>
  <c r="H70" i="8"/>
  <c r="J70" i="8" s="1"/>
  <c r="H69" i="8"/>
  <c r="H68" i="8"/>
  <c r="J68" i="8" s="1"/>
  <c r="H67" i="8"/>
  <c r="J67" i="8" s="1"/>
  <c r="H66" i="8"/>
  <c r="J66" i="8" s="1"/>
  <c r="H65" i="8"/>
  <c r="H64" i="8"/>
  <c r="J64" i="8" s="1"/>
  <c r="H63" i="8"/>
  <c r="H62" i="8"/>
  <c r="J62" i="8" s="1"/>
  <c r="H61" i="8"/>
  <c r="H60" i="8"/>
  <c r="J60" i="8" s="1"/>
  <c r="H59" i="8"/>
  <c r="J59" i="8" s="1"/>
  <c r="H58" i="8"/>
  <c r="H57" i="8"/>
  <c r="H56" i="8"/>
  <c r="J56" i="8" s="1"/>
  <c r="H55" i="8"/>
  <c r="J55" i="8" s="1"/>
  <c r="H54" i="8"/>
  <c r="J54" i="8" s="1"/>
  <c r="H53" i="8"/>
  <c r="J52" i="8"/>
  <c r="H52" i="8"/>
  <c r="H51" i="8"/>
  <c r="J51" i="8" s="1"/>
  <c r="H50" i="8"/>
  <c r="J50" i="8" s="1"/>
  <c r="H49" i="8"/>
  <c r="H48" i="8"/>
  <c r="J48" i="8" s="1"/>
  <c r="H47" i="8"/>
  <c r="H46" i="8"/>
  <c r="J46" i="8" s="1"/>
  <c r="H45" i="8"/>
  <c r="J44" i="8"/>
  <c r="H44" i="8"/>
  <c r="H43" i="8"/>
  <c r="H42" i="8"/>
  <c r="J42" i="8" s="1"/>
  <c r="H41" i="8"/>
  <c r="H40" i="8"/>
  <c r="J40" i="8" s="1"/>
  <c r="H39" i="8"/>
  <c r="J39" i="8" s="1"/>
  <c r="H38" i="8"/>
  <c r="J38" i="8" s="1"/>
  <c r="H37" i="8"/>
  <c r="H36" i="8"/>
  <c r="J36" i="8" s="1"/>
  <c r="H35" i="8"/>
  <c r="H34" i="8"/>
  <c r="J34" i="8" s="1"/>
  <c r="H33" i="8"/>
  <c r="H32" i="8"/>
  <c r="J32" i="8" s="1"/>
  <c r="H31" i="8"/>
  <c r="J31" i="8" s="1"/>
  <c r="H30" i="8"/>
  <c r="J30" i="8" s="1"/>
  <c r="J29" i="8"/>
  <c r="H29" i="8"/>
  <c r="H28" i="8"/>
  <c r="J28" i="8" s="1"/>
  <c r="H27" i="8"/>
  <c r="H26" i="8"/>
  <c r="H25" i="8"/>
  <c r="H24" i="8"/>
  <c r="H23" i="8"/>
  <c r="J23" i="8" s="1"/>
  <c r="H22" i="8"/>
  <c r="J22" i="8" s="1"/>
  <c r="H21" i="8"/>
  <c r="J21" i="8" s="1"/>
  <c r="H20" i="8"/>
  <c r="J20" i="8" s="1"/>
  <c r="H19" i="8"/>
  <c r="J19" i="8" s="1"/>
  <c r="H18" i="8"/>
  <c r="J18" i="8" s="1"/>
  <c r="H17" i="8"/>
  <c r="J17" i="8" s="1"/>
  <c r="H16" i="8"/>
  <c r="J16" i="8" s="1"/>
  <c r="H15" i="8"/>
  <c r="J15" i="8" s="1"/>
  <c r="H14" i="8"/>
  <c r="H13" i="8"/>
  <c r="J13" i="8" s="1"/>
  <c r="H12" i="8"/>
  <c r="J12" i="8" s="1"/>
  <c r="H11" i="8"/>
  <c r="J11" i="8"/>
  <c r="J10" i="8"/>
  <c r="F189" i="7"/>
  <c r="F188" i="7"/>
  <c r="F187" i="7"/>
  <c r="F186" i="7"/>
  <c r="F185" i="7"/>
  <c r="F184" i="7"/>
  <c r="F183" i="7"/>
  <c r="F182" i="7"/>
  <c r="F181" i="7"/>
  <c r="F180" i="7"/>
  <c r="F179" i="7"/>
  <c r="F178" i="7"/>
  <c r="F177" i="7"/>
  <c r="F176" i="7"/>
  <c r="F175" i="7"/>
  <c r="F174" i="7"/>
  <c r="F173" i="7"/>
  <c r="F172" i="7"/>
  <c r="F171" i="7"/>
  <c r="F170" i="7"/>
  <c r="F169" i="7"/>
  <c r="F168" i="7"/>
  <c r="F167" i="7"/>
  <c r="F165" i="7"/>
  <c r="F164" i="7"/>
  <c r="F163" i="7"/>
  <c r="F162" i="7"/>
  <c r="F161" i="7"/>
  <c r="F160" i="7"/>
  <c r="F159" i="7"/>
  <c r="F158" i="7"/>
  <c r="F157" i="7"/>
  <c r="F156" i="7"/>
  <c r="F155" i="7"/>
  <c r="F154" i="7"/>
  <c r="F153" i="7"/>
  <c r="F152" i="7"/>
  <c r="F151" i="7"/>
  <c r="F150" i="7"/>
  <c r="F149" i="7"/>
  <c r="F148" i="7"/>
  <c r="F147" i="7"/>
  <c r="F146" i="7"/>
  <c r="F145" i="7"/>
  <c r="F144" i="7"/>
  <c r="F143" i="7"/>
  <c r="F141" i="7"/>
  <c r="F140" i="7"/>
  <c r="F139" i="7"/>
  <c r="F138" i="7"/>
  <c r="F137" i="7"/>
  <c r="F136" i="7"/>
  <c r="F135" i="7"/>
  <c r="F134" i="7"/>
  <c r="F133" i="7"/>
  <c r="F131" i="7"/>
  <c r="F129" i="7"/>
  <c r="F128" i="7"/>
  <c r="F127" i="7"/>
  <c r="F126" i="7"/>
  <c r="F125" i="7"/>
  <c r="F124" i="7"/>
  <c r="F12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10" i="7"/>
  <c r="F109" i="7"/>
  <c r="F107" i="7"/>
  <c r="F105" i="7"/>
  <c r="F104" i="7"/>
  <c r="F103" i="7"/>
  <c r="F102" i="7"/>
  <c r="F101" i="7"/>
  <c r="F100" i="7"/>
  <c r="F99" i="7"/>
  <c r="F98" i="7"/>
  <c r="F97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1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5" i="7"/>
  <c r="F44" i="7"/>
  <c r="F43" i="7"/>
  <c r="F42" i="7"/>
  <c r="F41" i="7"/>
  <c r="F40" i="7"/>
  <c r="F39" i="7"/>
  <c r="F38" i="7"/>
  <c r="F37" i="7"/>
  <c r="F36" i="7"/>
  <c r="F35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AD545" i="4"/>
  <c r="AD544" i="4"/>
  <c r="AB543" i="4"/>
  <c r="AD542" i="4"/>
  <c r="AD541" i="4"/>
  <c r="AB540" i="4"/>
  <c r="AD539" i="4"/>
  <c r="AD538" i="4"/>
  <c r="AD537" i="4"/>
  <c r="AD536" i="4"/>
  <c r="AD535" i="4"/>
  <c r="AD534" i="4"/>
  <c r="AD533" i="4"/>
  <c r="AD532" i="4"/>
  <c r="AD531" i="4"/>
  <c r="AD530" i="4"/>
  <c r="AD529" i="4"/>
  <c r="AD528" i="4"/>
  <c r="AD527" i="4"/>
  <c r="AD526" i="4"/>
  <c r="AD525" i="4"/>
  <c r="AB525" i="4"/>
  <c r="AD524" i="4"/>
  <c r="AD523" i="4"/>
  <c r="AD522" i="4"/>
  <c r="AD521" i="4"/>
  <c r="AD520" i="4"/>
  <c r="AB519" i="4"/>
  <c r="AD518" i="4"/>
  <c r="AD517" i="4"/>
  <c r="AB516" i="4"/>
  <c r="AD515" i="4"/>
  <c r="AD514" i="4"/>
  <c r="AD513" i="4"/>
  <c r="AD512" i="4"/>
  <c r="AD511" i="4"/>
  <c r="AD510" i="4"/>
  <c r="AD509" i="4"/>
  <c r="AD508" i="4"/>
  <c r="AD507" i="4"/>
  <c r="AD506" i="4"/>
  <c r="AD505" i="4"/>
  <c r="AD504" i="4"/>
  <c r="AD503" i="4"/>
  <c r="AD502" i="4"/>
  <c r="AD501" i="4"/>
  <c r="AB501" i="4"/>
  <c r="AD500" i="4"/>
  <c r="AD499" i="4"/>
  <c r="AD498" i="4"/>
  <c r="AD497" i="4"/>
  <c r="AD496" i="4"/>
  <c r="AB495" i="4"/>
  <c r="AD494" i="4"/>
  <c r="AD493" i="4"/>
  <c r="AB492" i="4"/>
  <c r="AD491" i="4"/>
  <c r="AD490" i="4"/>
  <c r="AD489" i="4"/>
  <c r="AD488" i="4"/>
  <c r="AD487" i="4"/>
  <c r="AD486" i="4"/>
  <c r="AD485" i="4"/>
  <c r="AD484" i="4"/>
  <c r="AD483" i="4"/>
  <c r="AD482" i="4"/>
  <c r="AD481" i="4"/>
  <c r="AD480" i="4"/>
  <c r="AD479" i="4"/>
  <c r="AD478" i="4"/>
  <c r="AD477" i="4"/>
  <c r="AB477" i="4"/>
  <c r="AD476" i="4"/>
  <c r="AD475" i="4"/>
  <c r="AD474" i="4"/>
  <c r="AB474" i="4"/>
  <c r="AD473" i="4"/>
  <c r="AD472" i="4"/>
  <c r="AB471" i="4"/>
  <c r="AD470" i="4"/>
  <c r="AD469" i="4"/>
  <c r="AB468" i="4"/>
  <c r="AD467" i="4"/>
  <c r="AD466" i="4"/>
  <c r="AD465" i="4"/>
  <c r="AD464" i="4"/>
  <c r="AD463" i="4"/>
  <c r="AB462" i="4"/>
  <c r="AD462" i="4"/>
  <c r="AD461" i="4"/>
  <c r="AD460" i="4"/>
  <c r="AD459" i="4"/>
  <c r="AD458" i="4"/>
  <c r="AD457" i="4"/>
  <c r="AD456" i="4"/>
  <c r="AD455" i="4"/>
  <c r="AD454" i="4"/>
  <c r="AD453" i="4"/>
  <c r="AD452" i="4"/>
  <c r="AD451" i="4"/>
  <c r="AD450" i="4"/>
  <c r="AB450" i="4"/>
  <c r="AD449" i="4"/>
  <c r="AD448" i="4"/>
  <c r="AB447" i="4"/>
  <c r="AD446" i="4"/>
  <c r="AD445" i="4"/>
  <c r="AB444" i="4"/>
  <c r="AD443" i="4"/>
  <c r="AD442" i="4"/>
  <c r="AD441" i="4"/>
  <c r="AD440" i="4"/>
  <c r="AD439" i="4"/>
  <c r="AB438" i="4"/>
  <c r="AD438" i="4"/>
  <c r="AD437" i="4"/>
  <c r="AD436" i="4"/>
  <c r="AD435" i="4"/>
  <c r="AD434" i="4"/>
  <c r="AD433" i="4"/>
  <c r="AD432" i="4"/>
  <c r="AD431" i="4"/>
  <c r="AD430" i="4"/>
  <c r="AD429" i="4"/>
  <c r="AD428" i="4"/>
  <c r="AD427" i="4"/>
  <c r="AD426" i="4"/>
  <c r="AB426" i="4"/>
  <c r="AD425" i="4"/>
  <c r="AD424" i="4"/>
  <c r="AB423" i="4"/>
  <c r="AD422" i="4"/>
  <c r="AD421" i="4"/>
  <c r="AB420" i="4"/>
  <c r="AD419" i="4"/>
  <c r="AD418" i="4"/>
  <c r="AD417" i="4"/>
  <c r="AD416" i="4"/>
  <c r="AD415" i="4"/>
  <c r="AB414" i="4"/>
  <c r="AD414" i="4"/>
  <c r="AD413" i="4"/>
  <c r="AD412" i="4"/>
  <c r="AD411" i="4"/>
  <c r="AD410" i="4"/>
  <c r="AD409" i="4"/>
  <c r="AD408" i="4"/>
  <c r="AD407" i="4"/>
  <c r="AD406" i="4"/>
  <c r="AD405" i="4"/>
  <c r="AD404" i="4"/>
  <c r="AD403" i="4"/>
  <c r="AD402" i="4"/>
  <c r="AB402" i="4"/>
  <c r="AD401" i="4"/>
  <c r="AD400" i="4"/>
  <c r="AB399" i="4"/>
  <c r="AD398" i="4"/>
  <c r="AD397" i="4"/>
  <c r="AB396" i="4"/>
  <c r="AD395" i="4"/>
  <c r="AD394" i="4"/>
  <c r="AD393" i="4"/>
  <c r="AD392" i="4"/>
  <c r="AD391" i="4"/>
  <c r="AB390" i="4"/>
  <c r="AD390" i="4"/>
  <c r="AD389" i="4"/>
  <c r="AD388" i="4"/>
  <c r="AD387" i="4"/>
  <c r="AD386" i="4"/>
  <c r="AD385" i="4"/>
  <c r="AD384" i="4"/>
  <c r="AD383" i="4"/>
  <c r="AD382" i="4"/>
  <c r="AD381" i="4"/>
  <c r="AD380" i="4"/>
  <c r="AD379" i="4"/>
  <c r="AD378" i="4"/>
  <c r="AB378" i="4"/>
  <c r="AD377" i="4"/>
  <c r="AD376" i="4"/>
  <c r="AB375" i="4"/>
  <c r="AD374" i="4"/>
  <c r="AD373" i="4"/>
  <c r="AB372" i="4"/>
  <c r="AD371" i="4"/>
  <c r="AD370" i="4"/>
  <c r="AD369" i="4"/>
  <c r="AD368" i="4"/>
  <c r="AD367" i="4"/>
  <c r="AB366" i="4"/>
  <c r="AD366" i="4"/>
  <c r="AD365" i="4"/>
  <c r="AD364" i="4"/>
  <c r="AB363" i="4"/>
  <c r="AD363" i="4"/>
  <c r="AD362" i="4"/>
  <c r="AD361" i="4"/>
  <c r="AB360" i="4"/>
  <c r="AD360" i="4"/>
  <c r="AD359" i="4"/>
  <c r="AD358" i="4"/>
  <c r="AD357" i="4"/>
  <c r="AD356" i="4"/>
  <c r="AB354" i="4"/>
  <c r="AD354" i="4"/>
  <c r="AD353" i="4"/>
  <c r="AD352" i="4"/>
  <c r="AD351" i="4"/>
  <c r="AB351" i="4"/>
  <c r="AD350" i="4"/>
  <c r="AD349" i="4"/>
  <c r="AB348" i="4"/>
  <c r="AD347" i="4"/>
  <c r="AD346" i="4"/>
  <c r="AD345" i="4"/>
  <c r="AD344" i="4"/>
  <c r="AD343" i="4"/>
  <c r="AB342" i="4"/>
  <c r="AD342" i="4"/>
  <c r="AD341" i="4"/>
  <c r="AD340" i="4"/>
  <c r="AB339" i="4"/>
  <c r="AD339" i="4"/>
  <c r="AD338" i="4"/>
  <c r="AD337" i="4"/>
  <c r="AB336" i="4"/>
  <c r="AD336" i="4"/>
  <c r="AD335" i="4"/>
  <c r="AD334" i="4"/>
  <c r="AD333" i="4"/>
  <c r="AD332" i="4"/>
  <c r="AB330" i="4"/>
  <c r="AD330" i="4"/>
  <c r="AD329" i="4"/>
  <c r="AD328" i="4"/>
  <c r="AD327" i="4"/>
  <c r="AB327" i="4"/>
  <c r="AD326" i="4"/>
  <c r="AD325" i="4"/>
  <c r="AB324" i="4"/>
  <c r="AD323" i="4"/>
  <c r="AD322" i="4"/>
  <c r="AD321" i="4"/>
  <c r="AD320" i="4"/>
  <c r="AD319" i="4"/>
  <c r="AB318" i="4"/>
  <c r="AD318" i="4"/>
  <c r="AD317" i="4"/>
  <c r="AD316" i="4"/>
  <c r="AB315" i="4"/>
  <c r="AD315" i="4"/>
  <c r="AD314" i="4"/>
  <c r="AD313" i="4"/>
  <c r="AB312" i="4"/>
  <c r="AD312" i="4"/>
  <c r="AD311" i="4"/>
  <c r="AD310" i="4"/>
  <c r="AD309" i="4"/>
  <c r="AD308" i="4"/>
  <c r="AB306" i="4"/>
  <c r="AD306" i="4"/>
  <c r="AD305" i="4"/>
  <c r="AD304" i="4"/>
  <c r="AD303" i="4"/>
  <c r="AB303" i="4"/>
  <c r="AD302" i="4"/>
  <c r="AD301" i="4"/>
  <c r="AB300" i="4"/>
  <c r="AD299" i="4"/>
  <c r="AD298" i="4"/>
  <c r="AD297" i="4"/>
  <c r="AD296" i="4"/>
  <c r="AD295" i="4"/>
  <c r="AB294" i="4"/>
  <c r="AD294" i="4"/>
  <c r="AD293" i="4"/>
  <c r="AD292" i="4"/>
  <c r="AB291" i="4"/>
  <c r="AD291" i="4"/>
  <c r="AD290" i="4"/>
  <c r="AD289" i="4"/>
  <c r="AB288" i="4"/>
  <c r="AD288" i="4"/>
  <c r="AD287" i="4"/>
  <c r="AD286" i="4"/>
  <c r="AD285" i="4"/>
  <c r="AD284" i="4"/>
  <c r="AB282" i="4"/>
  <c r="AD282" i="4"/>
  <c r="AD281" i="4"/>
  <c r="AD280" i="4"/>
  <c r="AD279" i="4"/>
  <c r="AB279" i="4"/>
  <c r="AD278" i="4"/>
  <c r="AD277" i="4"/>
  <c r="AB276" i="4"/>
  <c r="AD275" i="4"/>
  <c r="AD274" i="4"/>
  <c r="AD273" i="4"/>
  <c r="AD270" i="4"/>
  <c r="AD269" i="4"/>
  <c r="AD268" i="4"/>
  <c r="AB267" i="4"/>
  <c r="AD262" i="4"/>
  <c r="AB261" i="4"/>
  <c r="AD260" i="4"/>
  <c r="AD257" i="4"/>
  <c r="AD256" i="4"/>
  <c r="AD255" i="4"/>
  <c r="AB255" i="4"/>
  <c r="AD250" i="4"/>
  <c r="AD249" i="4"/>
  <c r="AD248" i="4"/>
  <c r="AD245" i="4"/>
  <c r="AD244" i="4"/>
  <c r="AB243" i="4"/>
  <c r="AD243" i="4"/>
  <c r="AD238" i="4"/>
  <c r="AB237" i="4"/>
  <c r="AD236" i="4"/>
  <c r="AD233" i="4"/>
  <c r="AD231" i="4"/>
  <c r="AD230" i="4"/>
  <c r="AD226" i="4"/>
  <c r="AD223" i="4"/>
  <c r="AD221" i="4"/>
  <c r="AD219" i="4"/>
  <c r="AD214" i="4"/>
  <c r="AB213" i="4"/>
  <c r="AB210" i="4"/>
  <c r="AD209" i="4"/>
  <c r="AD207" i="4"/>
  <c r="AD206" i="4"/>
  <c r="AD202" i="4"/>
  <c r="AD199" i="4"/>
  <c r="AD198" i="4"/>
  <c r="AD197" i="4"/>
  <c r="AD196" i="4"/>
  <c r="AB195" i="4"/>
  <c r="AD195" i="4"/>
  <c r="AD192" i="4"/>
  <c r="AD190" i="4"/>
  <c r="AB189" i="4"/>
  <c r="AD189" i="4"/>
  <c r="AB186" i="4"/>
  <c r="AD184" i="4"/>
  <c r="AD181" i="4"/>
  <c r="AD180" i="4"/>
  <c r="AB177" i="4"/>
  <c r="AD176" i="4"/>
  <c r="AD175" i="4"/>
  <c r="AD174" i="4"/>
  <c r="AB171" i="4"/>
  <c r="AD172" i="4"/>
  <c r="AD171" i="4"/>
  <c r="AD169" i="4"/>
  <c r="AD167" i="4"/>
  <c r="AD166" i="4"/>
  <c r="AB165" i="4"/>
  <c r="AD164" i="4"/>
  <c r="AD163" i="4"/>
  <c r="AD162" i="4"/>
  <c r="AD161" i="4"/>
  <c r="AD160" i="4"/>
  <c r="AB159" i="4"/>
  <c r="AD159" i="4"/>
  <c r="AD157" i="4"/>
  <c r="AD156" i="4"/>
  <c r="AD155" i="4"/>
  <c r="AB153" i="4"/>
  <c r="AD152" i="4"/>
  <c r="AD151" i="4"/>
  <c r="AD150" i="4"/>
  <c r="AB147" i="4"/>
  <c r="AD148" i="4"/>
  <c r="AD147" i="4"/>
  <c r="AD145" i="4"/>
  <c r="AD143" i="4"/>
  <c r="AD142" i="4"/>
  <c r="AB141" i="4"/>
  <c r="AD140" i="4"/>
  <c r="AD139" i="4"/>
  <c r="AD138" i="4"/>
  <c r="AD137" i="4"/>
  <c r="AD136" i="4"/>
  <c r="AB135" i="4"/>
  <c r="AD135" i="4"/>
  <c r="AD133" i="4"/>
  <c r="AD132" i="4"/>
  <c r="AD131" i="4"/>
  <c r="AB129" i="4"/>
  <c r="AD128" i="4"/>
  <c r="AD127" i="4"/>
  <c r="AB126" i="4"/>
  <c r="AD126" i="4"/>
  <c r="AB123" i="4"/>
  <c r="AD124" i="4"/>
  <c r="AD123" i="4"/>
  <c r="AD121" i="4"/>
  <c r="AD119" i="4"/>
  <c r="AD118" i="4"/>
  <c r="AB117" i="4"/>
  <c r="AD116" i="4"/>
  <c r="AD115" i="4"/>
  <c r="AD114" i="4"/>
  <c r="AD113" i="4"/>
  <c r="AB111" i="4"/>
  <c r="AD111" i="4"/>
  <c r="AD110" i="4"/>
  <c r="AD109" i="4"/>
  <c r="AD108" i="4"/>
  <c r="AD107" i="4"/>
  <c r="AD106" i="4"/>
  <c r="AD105" i="4"/>
  <c r="AD104" i="4"/>
  <c r="AD103" i="4"/>
  <c r="AD102" i="4"/>
  <c r="AD101" i="4"/>
  <c r="AB99" i="4"/>
  <c r="AD99" i="4"/>
  <c r="AD98" i="4"/>
  <c r="AD97" i="4"/>
  <c r="AD96" i="4"/>
  <c r="AD95" i="4"/>
  <c r="AD94" i="4"/>
  <c r="AD93" i="4"/>
  <c r="AD92" i="4"/>
  <c r="AD91" i="4"/>
  <c r="AD90" i="4"/>
  <c r="AD89" i="4"/>
  <c r="AD88" i="4"/>
  <c r="AB87" i="4"/>
  <c r="AD86" i="4"/>
  <c r="AD85" i="4"/>
  <c r="AD84" i="4"/>
  <c r="AD83" i="4"/>
  <c r="AD82" i="4"/>
  <c r="AD81" i="4"/>
  <c r="AD80" i="4"/>
  <c r="AD79" i="4"/>
  <c r="AD78" i="4"/>
  <c r="AD77" i="4"/>
  <c r="AD76" i="4"/>
  <c r="AB75" i="4"/>
  <c r="AD74" i="4"/>
  <c r="AD73" i="4"/>
  <c r="AD72" i="4"/>
  <c r="AD71" i="4"/>
  <c r="AD70" i="4"/>
  <c r="AD69" i="4"/>
  <c r="AD68" i="4"/>
  <c r="AD67" i="4"/>
  <c r="AD66" i="4"/>
  <c r="AD65" i="4"/>
  <c r="AD64" i="4"/>
  <c r="AB63" i="4"/>
  <c r="AD62" i="4"/>
  <c r="AD61" i="4"/>
  <c r="AD60" i="4"/>
  <c r="AD59" i="4"/>
  <c r="AD58" i="4"/>
  <c r="AD57" i="4"/>
  <c r="AD56" i="4"/>
  <c r="AD55" i="4"/>
  <c r="AD54" i="4"/>
  <c r="AD53" i="4"/>
  <c r="AD52" i="4"/>
  <c r="AB51" i="4"/>
  <c r="AD50" i="4"/>
  <c r="AD49" i="4"/>
  <c r="AD48" i="4"/>
  <c r="AD47" i="4"/>
  <c r="AD46" i="4"/>
  <c r="AD45" i="4"/>
  <c r="AB42" i="4"/>
  <c r="AD43" i="4"/>
  <c r="AD42" i="4"/>
  <c r="AD41" i="4"/>
  <c r="AD40" i="4"/>
  <c r="AB39" i="4"/>
  <c r="AD38" i="4"/>
  <c r="AD37" i="4"/>
  <c r="AD36" i="4"/>
  <c r="AD35" i="4"/>
  <c r="AD34" i="4"/>
  <c r="AD33" i="4"/>
  <c r="AB33" i="4"/>
  <c r="AB30" i="4"/>
  <c r="AD31" i="4"/>
  <c r="AD30" i="4"/>
  <c r="AD29" i="4"/>
  <c r="AD28" i="4"/>
  <c r="AB27" i="4"/>
  <c r="AD26" i="4"/>
  <c r="AD25" i="4"/>
  <c r="AD24" i="4"/>
  <c r="AD23" i="4"/>
  <c r="AD22" i="4"/>
  <c r="AD21" i="4"/>
  <c r="AB21" i="4"/>
  <c r="AD20" i="4"/>
  <c r="AD19" i="4"/>
  <c r="AD18" i="4"/>
  <c r="AB18" i="4"/>
  <c r="AD17" i="4"/>
  <c r="AD16" i="4"/>
  <c r="AD15" i="4"/>
  <c r="AB15" i="4"/>
  <c r="AD14" i="4"/>
  <c r="AB12" i="4"/>
  <c r="AD12" i="4"/>
  <c r="AD11" i="4"/>
  <c r="AD10" i="4"/>
  <c r="AB9" i="4"/>
  <c r="AD8" i="4"/>
  <c r="AB6" i="4"/>
  <c r="AD7" i="4"/>
  <c r="AD6" i="4"/>
  <c r="AD545" i="3"/>
  <c r="AD544" i="3"/>
  <c r="AB543" i="3"/>
  <c r="AD543" i="3"/>
  <c r="AD542" i="3"/>
  <c r="AD541" i="3"/>
  <c r="AB540" i="3"/>
  <c r="AD539" i="3"/>
  <c r="AD538" i="3"/>
  <c r="AD537" i="3"/>
  <c r="AB537" i="3"/>
  <c r="AD536" i="3"/>
  <c r="AD535" i="3"/>
  <c r="AD534" i="3"/>
  <c r="AB534" i="3"/>
  <c r="AD533" i="3"/>
  <c r="AD532" i="3"/>
  <c r="AD531" i="3"/>
  <c r="AB531" i="3"/>
  <c r="AB528" i="3"/>
  <c r="AD529" i="3"/>
  <c r="AD528" i="3"/>
  <c r="AD527" i="3"/>
  <c r="AD526" i="3"/>
  <c r="AD525" i="3"/>
  <c r="AD524" i="3"/>
  <c r="AB522" i="3"/>
  <c r="AD522" i="3"/>
  <c r="AD521" i="3"/>
  <c r="AD520" i="3"/>
  <c r="AB519" i="3"/>
  <c r="AD519" i="3"/>
  <c r="AD518" i="3"/>
  <c r="AD517" i="3"/>
  <c r="AB516" i="3"/>
  <c r="AD515" i="3"/>
  <c r="AD514" i="3"/>
  <c r="AD513" i="3"/>
  <c r="AB513" i="3"/>
  <c r="AD512" i="3"/>
  <c r="AD511" i="3"/>
  <c r="AD510" i="3"/>
  <c r="AB510" i="3"/>
  <c r="AD509" i="3"/>
  <c r="AD508" i="3"/>
  <c r="AD507" i="3"/>
  <c r="AB507" i="3"/>
  <c r="AB504" i="3"/>
  <c r="AD505" i="3"/>
  <c r="AD504" i="3"/>
  <c r="AD503" i="3"/>
  <c r="AD502" i="3"/>
  <c r="AD501" i="3"/>
  <c r="AD500" i="3"/>
  <c r="AB498" i="3"/>
  <c r="AD498" i="3"/>
  <c r="AD497" i="3"/>
  <c r="AD496" i="3"/>
  <c r="AB495" i="3"/>
  <c r="AD495" i="3"/>
  <c r="AD494" i="3"/>
  <c r="AD493" i="3"/>
  <c r="AB492" i="3"/>
  <c r="AD491" i="3"/>
  <c r="AD490" i="3"/>
  <c r="AD489" i="3"/>
  <c r="AB489" i="3"/>
  <c r="AD488" i="3"/>
  <c r="AD487" i="3"/>
  <c r="AD486" i="3"/>
  <c r="AB486" i="3"/>
  <c r="AD485" i="3"/>
  <c r="AD484" i="3"/>
  <c r="AD483" i="3"/>
  <c r="AB483" i="3"/>
  <c r="AB480" i="3"/>
  <c r="AD481" i="3"/>
  <c r="AD480" i="3"/>
  <c r="AD479" i="3"/>
  <c r="AD478" i="3"/>
  <c r="AD477" i="3"/>
  <c r="AD476" i="3"/>
  <c r="AB474" i="3"/>
  <c r="AD474" i="3"/>
  <c r="AD473" i="3"/>
  <c r="AD472" i="3"/>
  <c r="AB471" i="3"/>
  <c r="AD471" i="3"/>
  <c r="AD470" i="3"/>
  <c r="AD469" i="3"/>
  <c r="AB468" i="3"/>
  <c r="AD468" i="3"/>
  <c r="AD467" i="3"/>
  <c r="AD466" i="3"/>
  <c r="AD465" i="3"/>
  <c r="AD464" i="3"/>
  <c r="AD463" i="3"/>
  <c r="AD462" i="3"/>
  <c r="AD461" i="3"/>
  <c r="AD460" i="3"/>
  <c r="AD459" i="3"/>
  <c r="AB459" i="3"/>
  <c r="AD458" i="3"/>
  <c r="AD457" i="3"/>
  <c r="AD456" i="3"/>
  <c r="AD455" i="3"/>
  <c r="AD454" i="3"/>
  <c r="AB453" i="3"/>
  <c r="AD453" i="3"/>
  <c r="AD452" i="3"/>
  <c r="AD451" i="3"/>
  <c r="AD450" i="3"/>
  <c r="AD449" i="3"/>
  <c r="AB447" i="3"/>
  <c r="AD448" i="3"/>
  <c r="AD447" i="3"/>
  <c r="AD446" i="3"/>
  <c r="AD445" i="3"/>
  <c r="AB444" i="3"/>
  <c r="AD444" i="3"/>
  <c r="AD443" i="3"/>
  <c r="AD442" i="3"/>
  <c r="AB441" i="3"/>
  <c r="AD441" i="3"/>
  <c r="AD440" i="3"/>
  <c r="AD439" i="3"/>
  <c r="AD438" i="3"/>
  <c r="AD437" i="3"/>
  <c r="AD436" i="3"/>
  <c r="AD435" i="3"/>
  <c r="AB435" i="3"/>
  <c r="AD434" i="3"/>
  <c r="AD433" i="3"/>
  <c r="AD432" i="3"/>
  <c r="AD431" i="3"/>
  <c r="AD430" i="3"/>
  <c r="AB429" i="3"/>
  <c r="AD429" i="3"/>
  <c r="AD428" i="3"/>
  <c r="AD427" i="3"/>
  <c r="AD426" i="3"/>
  <c r="AD425" i="3"/>
  <c r="AB423" i="3"/>
  <c r="AD424" i="3"/>
  <c r="AD423" i="3"/>
  <c r="AD422" i="3"/>
  <c r="AD421" i="3"/>
  <c r="AB420" i="3"/>
  <c r="AD419" i="3"/>
  <c r="AD418" i="3"/>
  <c r="AD417" i="3"/>
  <c r="AD416" i="3"/>
  <c r="AD415" i="3"/>
  <c r="AD414" i="3"/>
  <c r="AD413" i="3"/>
  <c r="AD412" i="3"/>
  <c r="AD411" i="3"/>
  <c r="AB411" i="3"/>
  <c r="AD410" i="3"/>
  <c r="AD409" i="3"/>
  <c r="AD408" i="3"/>
  <c r="AD407" i="3"/>
  <c r="AD406" i="3"/>
  <c r="AB405" i="3"/>
  <c r="AD405" i="3"/>
  <c r="AD404" i="3"/>
  <c r="AD403" i="3"/>
  <c r="AD402" i="3"/>
  <c r="AD401" i="3"/>
  <c r="AB399" i="3"/>
  <c r="AD399" i="3"/>
  <c r="AD398" i="3"/>
  <c r="AD397" i="3"/>
  <c r="AB396" i="3"/>
  <c r="AD395" i="3"/>
  <c r="AD394" i="3"/>
  <c r="AD393" i="3"/>
  <c r="AB393" i="3"/>
  <c r="AD392" i="3"/>
  <c r="AD391" i="3"/>
  <c r="AD390" i="3"/>
  <c r="AB390" i="3"/>
  <c r="AD389" i="3"/>
  <c r="AD388" i="3"/>
  <c r="AD387" i="3"/>
  <c r="AB387" i="3"/>
  <c r="AD386" i="3"/>
  <c r="AD385" i="3"/>
  <c r="AD384" i="3"/>
  <c r="AD383" i="3"/>
  <c r="AD382" i="3"/>
  <c r="AB381" i="3"/>
  <c r="AD381" i="3"/>
  <c r="AD380" i="3"/>
  <c r="AD379" i="3"/>
  <c r="AD378" i="3"/>
  <c r="AD377" i="3"/>
  <c r="AB375" i="3"/>
  <c r="AD375" i="3"/>
  <c r="AD374" i="3"/>
  <c r="AD373" i="3"/>
  <c r="AB372" i="3"/>
  <c r="AD371" i="3"/>
  <c r="AD370" i="3"/>
  <c r="AD369" i="3"/>
  <c r="AB369" i="3"/>
  <c r="AD368" i="3"/>
  <c r="AD367" i="3"/>
  <c r="AD366" i="3"/>
  <c r="AB366" i="3"/>
  <c r="AD365" i="3"/>
  <c r="AD364" i="3"/>
  <c r="AD363" i="3"/>
  <c r="AB363" i="3"/>
  <c r="AD362" i="3"/>
  <c r="AD361" i="3"/>
  <c r="AD360" i="3"/>
  <c r="AB357" i="3"/>
  <c r="AD358" i="3"/>
  <c r="AD357" i="3"/>
  <c r="AD356" i="3"/>
  <c r="AD355" i="3"/>
  <c r="AD354" i="3"/>
  <c r="AD353" i="3"/>
  <c r="AD352" i="3"/>
  <c r="AD351" i="3"/>
  <c r="AB351" i="3"/>
  <c r="AD350" i="3"/>
  <c r="AD349" i="3"/>
  <c r="AB348" i="3"/>
  <c r="AD347" i="3"/>
  <c r="AD346" i="3"/>
  <c r="AD345" i="3"/>
  <c r="AB345" i="3"/>
  <c r="AD344" i="3"/>
  <c r="AD343" i="3"/>
  <c r="AD342" i="3"/>
  <c r="AD341" i="3"/>
  <c r="AD340" i="3"/>
  <c r="AD339" i="3"/>
  <c r="AB339" i="3"/>
  <c r="AD338" i="3"/>
  <c r="AD337" i="3"/>
  <c r="AD336" i="3"/>
  <c r="AB333" i="3"/>
  <c r="AD335" i="3"/>
  <c r="AD334" i="3"/>
  <c r="AD333" i="3"/>
  <c r="AD332" i="3"/>
  <c r="AD331" i="3"/>
  <c r="AD330" i="3"/>
  <c r="AD329" i="3"/>
  <c r="AD328" i="3"/>
  <c r="AD327" i="3"/>
  <c r="AB327" i="3"/>
  <c r="AD326" i="3"/>
  <c r="AD325" i="3"/>
  <c r="AB324" i="3"/>
  <c r="AD323" i="3"/>
  <c r="AD322" i="3"/>
  <c r="AD321" i="3"/>
  <c r="AD320" i="3"/>
  <c r="AD319" i="3"/>
  <c r="AD318" i="3"/>
  <c r="AD317" i="3"/>
  <c r="AD316" i="3"/>
  <c r="AD315" i="3"/>
  <c r="AB315" i="3"/>
  <c r="AD314" i="3"/>
  <c r="AD313" i="3"/>
  <c r="AD312" i="3"/>
  <c r="AD311" i="3"/>
  <c r="AD310" i="3"/>
  <c r="AB309" i="3"/>
  <c r="AD309" i="3"/>
  <c r="AD308" i="3"/>
  <c r="AD307" i="3"/>
  <c r="AD306" i="3"/>
  <c r="AD305" i="3"/>
  <c r="AD304" i="3"/>
  <c r="AD303" i="3"/>
  <c r="AB303" i="3"/>
  <c r="AD302" i="3"/>
  <c r="AD301" i="3"/>
  <c r="AB300" i="3"/>
  <c r="AD299" i="3"/>
  <c r="AD298" i="3"/>
  <c r="AD297" i="3"/>
  <c r="AD296" i="3"/>
  <c r="AD295" i="3"/>
  <c r="AD294" i="3"/>
  <c r="AD293" i="3"/>
  <c r="AD292" i="3"/>
  <c r="AD291" i="3"/>
  <c r="AB291" i="3"/>
  <c r="AD290" i="3"/>
  <c r="AD289" i="3"/>
  <c r="AD288" i="3"/>
  <c r="AD287" i="3"/>
  <c r="AD286" i="3"/>
  <c r="AB285" i="3"/>
  <c r="AD285" i="3"/>
  <c r="AD284" i="3"/>
  <c r="AD283" i="3"/>
  <c r="AD282" i="3"/>
  <c r="AD281" i="3"/>
  <c r="AD280" i="3"/>
  <c r="AD279" i="3"/>
  <c r="AB279" i="3"/>
  <c r="AD278" i="3"/>
  <c r="AD277" i="3"/>
  <c r="AB276" i="3"/>
  <c r="AD275" i="3"/>
  <c r="AD274" i="3"/>
  <c r="AD273" i="3"/>
  <c r="AD272" i="3"/>
  <c r="AD271" i="3"/>
  <c r="AD270" i="3"/>
  <c r="AD269" i="3"/>
  <c r="AD268" i="3"/>
  <c r="AD267" i="3"/>
  <c r="AB267" i="3"/>
  <c r="AD266" i="3"/>
  <c r="AD265" i="3"/>
  <c r="AD264" i="3"/>
  <c r="AD263" i="3"/>
  <c r="AD262" i="3"/>
  <c r="AB261" i="3"/>
  <c r="AD261" i="3"/>
  <c r="AD260" i="3"/>
  <c r="AD259" i="3"/>
  <c r="AD258" i="3"/>
  <c r="AD257" i="3"/>
  <c r="AB255" i="3"/>
  <c r="AD256" i="3"/>
  <c r="AD255" i="3"/>
  <c r="AD254" i="3"/>
  <c r="AD253" i="3"/>
  <c r="AB252" i="3"/>
  <c r="AD251" i="3"/>
  <c r="AD250" i="3"/>
  <c r="AD249" i="3"/>
  <c r="AD248" i="3"/>
  <c r="AD247" i="3"/>
  <c r="AD246" i="3"/>
  <c r="AD245" i="3"/>
  <c r="AD244" i="3"/>
  <c r="AD243" i="3"/>
  <c r="AB243" i="3"/>
  <c r="AD242" i="3"/>
  <c r="AD241" i="3"/>
  <c r="AD240" i="3"/>
  <c r="AD239" i="3"/>
  <c r="AD238" i="3"/>
  <c r="AB237" i="3"/>
  <c r="AD237" i="3"/>
  <c r="AD236" i="3"/>
  <c r="AD235" i="3"/>
  <c r="AD234" i="3"/>
  <c r="AD233" i="3"/>
  <c r="AD232" i="3"/>
  <c r="AD231" i="3"/>
  <c r="AB231" i="3"/>
  <c r="AD230" i="3"/>
  <c r="AD229" i="3"/>
  <c r="AB228" i="3"/>
  <c r="AD227" i="3"/>
  <c r="AD226" i="3"/>
  <c r="AD221" i="3"/>
  <c r="AD220" i="3"/>
  <c r="AD219" i="3"/>
  <c r="AB219" i="3"/>
  <c r="AD214" i="3"/>
  <c r="AD213" i="3"/>
  <c r="AD212" i="3"/>
  <c r="AD210" i="3"/>
  <c r="AD207" i="3"/>
  <c r="AD206" i="3"/>
  <c r="AD205" i="3"/>
  <c r="AD203" i="3"/>
  <c r="AD201" i="3"/>
  <c r="AD200" i="3"/>
  <c r="AD199" i="3"/>
  <c r="AD198" i="3"/>
  <c r="AD197" i="3"/>
  <c r="AD193" i="3"/>
  <c r="AD190" i="3"/>
  <c r="AD189" i="3"/>
  <c r="AD186" i="3"/>
  <c r="AD184" i="3"/>
  <c r="AD180" i="3"/>
  <c r="AD178" i="3"/>
  <c r="AD175" i="3"/>
  <c r="AD174" i="3"/>
  <c r="AD172" i="3"/>
  <c r="AD169" i="3"/>
  <c r="AD163" i="3"/>
  <c r="AD162" i="3"/>
  <c r="AD160" i="3"/>
  <c r="AD151" i="3"/>
  <c r="AD148" i="3"/>
  <c r="AD147" i="3"/>
  <c r="AD145" i="3"/>
  <c r="AD142" i="3"/>
  <c r="AD139" i="3"/>
  <c r="AD136" i="3"/>
  <c r="AD134" i="3"/>
  <c r="AD133" i="3"/>
  <c r="AB132" i="3"/>
  <c r="AD129" i="3"/>
  <c r="AD127" i="3"/>
  <c r="AD124" i="3"/>
  <c r="AD122" i="3"/>
  <c r="AD121" i="3"/>
  <c r="AD120" i="3"/>
  <c r="AD117" i="3"/>
  <c r="AD116" i="3"/>
  <c r="AD115" i="3"/>
  <c r="AB114" i="3"/>
  <c r="AD113" i="3"/>
  <c r="AD112" i="3"/>
  <c r="AD111" i="3"/>
  <c r="AD110" i="3"/>
  <c r="AD109" i="3"/>
  <c r="AB108" i="3"/>
  <c r="AD107" i="3"/>
  <c r="AD106" i="3"/>
  <c r="AD105" i="3"/>
  <c r="AD104" i="3"/>
  <c r="AD103" i="3"/>
  <c r="AD102" i="3"/>
  <c r="AB102" i="3"/>
  <c r="AD101" i="3"/>
  <c r="AD100" i="3"/>
  <c r="AD99" i="3"/>
  <c r="AD98" i="3"/>
  <c r="AD97" i="3"/>
  <c r="AB96" i="3"/>
  <c r="AD95" i="3"/>
  <c r="AD94" i="3"/>
  <c r="AD93" i="3"/>
  <c r="AD92" i="3"/>
  <c r="AD91" i="3"/>
  <c r="AD90" i="3"/>
  <c r="AB90" i="3"/>
  <c r="AD89" i="3"/>
  <c r="AD88" i="3"/>
  <c r="AD87" i="3"/>
  <c r="AD86" i="3"/>
  <c r="AD85" i="3"/>
  <c r="AB84" i="3"/>
  <c r="AD83" i="3"/>
  <c r="AD82" i="3"/>
  <c r="AD81" i="3"/>
  <c r="AD80" i="3"/>
  <c r="AD79" i="3"/>
  <c r="AD78" i="3"/>
  <c r="AB78" i="3"/>
  <c r="AD77" i="3"/>
  <c r="AD76" i="3"/>
  <c r="AD75" i="3"/>
  <c r="AD74" i="3"/>
  <c r="AD73" i="3"/>
  <c r="AB72" i="3"/>
  <c r="AD71" i="3"/>
  <c r="AD70" i="3"/>
  <c r="AD69" i="3"/>
  <c r="AD68" i="3"/>
  <c r="AD67" i="3"/>
  <c r="AD66" i="3"/>
  <c r="AB66" i="3"/>
  <c r="AD65" i="3"/>
  <c r="AD64" i="3"/>
  <c r="AD63" i="3"/>
  <c r="AD62" i="3"/>
  <c r="AD61" i="3"/>
  <c r="AB60" i="3"/>
  <c r="AD59" i="3"/>
  <c r="AD58" i="3"/>
  <c r="AD57" i="3"/>
  <c r="AD56" i="3"/>
  <c r="AD55" i="3"/>
  <c r="AD54" i="3"/>
  <c r="AB54" i="3"/>
  <c r="AD53" i="3"/>
  <c r="AD52" i="3"/>
  <c r="AD51" i="3"/>
  <c r="AD50" i="3"/>
  <c r="AD49" i="3"/>
  <c r="AB48" i="3"/>
  <c r="AD47" i="3"/>
  <c r="AD46" i="3"/>
  <c r="AD45" i="3"/>
  <c r="AD44" i="3"/>
  <c r="AD43" i="3"/>
  <c r="AD42" i="3"/>
  <c r="AD41" i="3"/>
  <c r="AD40" i="3"/>
  <c r="AD39" i="3"/>
  <c r="AD38" i="3"/>
  <c r="AD37" i="3"/>
  <c r="AB36" i="3"/>
  <c r="AD35" i="3"/>
  <c r="AD34" i="3"/>
  <c r="AD33" i="3"/>
  <c r="AD32" i="3"/>
  <c r="AD31" i="3"/>
  <c r="AD30" i="3"/>
  <c r="AD29" i="3"/>
  <c r="AD28" i="3"/>
  <c r="AD27" i="3"/>
  <c r="AD26" i="3"/>
  <c r="AD25" i="3"/>
  <c r="AB24" i="3"/>
  <c r="AD23" i="3"/>
  <c r="AD22" i="3"/>
  <c r="AD21" i="3"/>
  <c r="AD20" i="3"/>
  <c r="AD19" i="3"/>
  <c r="AB18" i="3"/>
  <c r="AD17" i="3"/>
  <c r="AD16" i="3"/>
  <c r="AD15" i="3"/>
  <c r="AD14" i="3"/>
  <c r="AB12" i="3"/>
  <c r="AD13" i="3"/>
  <c r="AD12" i="3"/>
  <c r="AD11" i="3"/>
  <c r="AD10" i="3"/>
  <c r="AD9" i="3"/>
  <c r="AB9" i="3"/>
  <c r="AD8" i="3"/>
  <c r="AB6" i="3"/>
  <c r="AD6" i="3"/>
  <c r="AD149" i="2"/>
  <c r="AD148" i="2"/>
  <c r="AB147" i="2"/>
  <c r="AD146" i="2"/>
  <c r="AB144" i="2"/>
  <c r="AD144" i="2"/>
  <c r="AD143" i="2"/>
  <c r="AD142" i="2"/>
  <c r="AD141" i="2"/>
  <c r="AD140" i="2"/>
  <c r="AD139" i="2"/>
  <c r="AD138" i="2"/>
  <c r="AD137" i="2"/>
  <c r="AD136" i="2"/>
  <c r="AD135" i="2"/>
  <c r="AB135" i="2"/>
  <c r="AD134" i="2"/>
  <c r="AB132" i="2"/>
  <c r="AD133" i="2"/>
  <c r="AD132" i="2"/>
  <c r="AD131" i="2"/>
  <c r="AD130" i="2"/>
  <c r="AB129" i="2"/>
  <c r="AD129" i="2"/>
  <c r="AD128" i="2"/>
  <c r="AD127" i="2"/>
  <c r="AB126" i="2"/>
  <c r="AD126" i="2"/>
  <c r="AD125" i="2"/>
  <c r="AD124" i="2"/>
  <c r="AB123" i="2"/>
  <c r="AD122" i="2"/>
  <c r="AB120" i="2"/>
  <c r="AD120" i="2"/>
  <c r="AD119" i="2"/>
  <c r="AD118" i="2"/>
  <c r="AD117" i="2"/>
  <c r="AD116" i="2"/>
  <c r="AD115" i="2"/>
  <c r="AD114" i="2"/>
  <c r="AD113" i="2"/>
  <c r="AD112" i="2"/>
  <c r="AD111" i="2"/>
  <c r="AB111" i="2"/>
  <c r="AD110" i="2"/>
  <c r="AD109" i="2"/>
  <c r="AD108" i="2"/>
  <c r="AD107" i="2"/>
  <c r="AD106" i="2"/>
  <c r="AB105" i="2"/>
  <c r="AD105" i="2"/>
  <c r="AD104" i="2"/>
  <c r="AD103" i="2"/>
  <c r="AB102" i="2"/>
  <c r="AD102" i="2"/>
  <c r="AD101" i="2"/>
  <c r="AD100" i="2"/>
  <c r="AB99" i="2"/>
  <c r="AD98" i="2"/>
  <c r="AB96" i="2"/>
  <c r="AD96" i="2"/>
  <c r="AD95" i="2"/>
  <c r="AD94" i="2"/>
  <c r="AD93" i="2"/>
  <c r="AD92" i="2"/>
  <c r="AD91" i="2"/>
  <c r="AD90" i="2"/>
  <c r="AD89" i="2"/>
  <c r="AD88" i="2"/>
  <c r="AD87" i="2"/>
  <c r="AB87" i="2"/>
  <c r="AD86" i="2"/>
  <c r="AD85" i="2"/>
  <c r="AD84" i="2"/>
  <c r="AD83" i="2"/>
  <c r="AD82" i="2"/>
  <c r="AB81" i="2"/>
  <c r="AD81" i="2"/>
  <c r="AD80" i="2"/>
  <c r="AD79" i="2"/>
  <c r="AB78" i="2"/>
  <c r="AD78" i="2"/>
  <c r="AD77" i="2"/>
  <c r="AD76" i="2"/>
  <c r="AB75" i="2"/>
  <c r="AD74" i="2"/>
  <c r="AB72" i="2"/>
  <c r="AD72" i="2"/>
  <c r="AD71" i="2"/>
  <c r="AD70" i="2"/>
  <c r="AD69" i="2"/>
  <c r="AD68" i="2"/>
  <c r="AD67" i="2"/>
  <c r="AD66" i="2"/>
  <c r="AD65" i="2"/>
  <c r="AD64" i="2"/>
  <c r="AD63" i="2"/>
  <c r="AB63" i="2"/>
  <c r="AD62" i="2"/>
  <c r="AD61" i="2"/>
  <c r="AD60" i="2"/>
  <c r="AD59" i="2"/>
  <c r="AD58" i="2"/>
  <c r="AB57" i="2"/>
  <c r="AD57" i="2"/>
  <c r="AD56" i="2"/>
  <c r="AD55" i="2"/>
  <c r="AB54" i="2"/>
  <c r="AD54" i="2"/>
  <c r="AD53" i="2"/>
  <c r="AD52" i="2"/>
  <c r="AD51" i="2"/>
  <c r="AD50" i="2"/>
  <c r="AD49" i="2"/>
  <c r="AD48" i="2"/>
  <c r="AD47" i="2"/>
  <c r="AD46" i="2"/>
  <c r="AD45" i="2"/>
  <c r="AB45" i="2"/>
  <c r="AD44" i="2"/>
  <c r="AD43" i="2"/>
  <c r="AB42" i="2"/>
  <c r="AD42" i="2"/>
  <c r="AD41" i="2"/>
  <c r="AD40" i="2"/>
  <c r="AD39" i="2"/>
  <c r="AD38" i="2"/>
  <c r="AD37" i="2"/>
  <c r="AD36" i="2"/>
  <c r="AD35" i="2"/>
  <c r="AD34" i="2"/>
  <c r="AD33" i="2"/>
  <c r="AB33" i="2"/>
  <c r="AD32" i="2"/>
  <c r="AD31" i="2"/>
  <c r="AB30" i="2"/>
  <c r="AD30" i="2"/>
  <c r="AD29" i="2"/>
  <c r="AD28" i="2"/>
  <c r="AD27" i="2"/>
  <c r="AD26" i="2"/>
  <c r="AD25" i="2"/>
  <c r="AD24" i="2"/>
  <c r="AD23" i="2"/>
  <c r="AD22" i="2"/>
  <c r="AD21" i="2"/>
  <c r="AB21" i="2"/>
  <c r="AD20" i="2"/>
  <c r="AD19" i="2"/>
  <c r="AB18" i="2"/>
  <c r="AD18" i="2"/>
  <c r="AD17" i="2"/>
  <c r="AB15" i="2"/>
  <c r="AD15" i="2"/>
  <c r="AD14" i="2"/>
  <c r="AD13" i="2"/>
  <c r="AD12" i="2"/>
  <c r="AD11" i="2"/>
  <c r="AD10" i="2"/>
  <c r="AB9" i="2"/>
  <c r="AD9" i="2"/>
  <c r="AD8" i="2"/>
  <c r="AD7" i="2"/>
  <c r="AD6" i="2"/>
  <c r="AB6" i="2"/>
  <c r="D190" i="7" l="1"/>
  <c r="J24" i="8"/>
  <c r="J26" i="8"/>
  <c r="J37" i="8"/>
  <c r="J65" i="8"/>
  <c r="J81" i="8"/>
  <c r="J97" i="8"/>
  <c r="J101" i="8"/>
  <c r="J105" i="8"/>
  <c r="J109" i="8"/>
  <c r="J113" i="8"/>
  <c r="J117" i="8"/>
  <c r="J121" i="8"/>
  <c r="J125" i="8"/>
  <c r="J129" i="8"/>
  <c r="J133" i="8"/>
  <c r="J137" i="8"/>
  <c r="J141" i="8"/>
  <c r="J145" i="8"/>
  <c r="J149" i="8"/>
  <c r="J153" i="8"/>
  <c r="J157" i="8"/>
  <c r="J161" i="8"/>
  <c r="J165" i="8"/>
  <c r="J169" i="8"/>
  <c r="J173" i="8"/>
  <c r="J177" i="8"/>
  <c r="J181" i="8"/>
  <c r="D190" i="8"/>
  <c r="J35" i="8"/>
  <c r="J58" i="8"/>
  <c r="J63" i="8"/>
  <c r="J77" i="8"/>
  <c r="J79" i="8"/>
  <c r="J89" i="8"/>
  <c r="J53" i="8"/>
  <c r="J14" i="8"/>
  <c r="J33" i="8"/>
  <c r="J49" i="8"/>
  <c r="J61" i="8"/>
  <c r="J98" i="8"/>
  <c r="J102" i="8"/>
  <c r="J106" i="8"/>
  <c r="J110" i="8"/>
  <c r="J114" i="8"/>
  <c r="J118" i="8"/>
  <c r="J122" i="8"/>
  <c r="J126" i="8"/>
  <c r="J130" i="8"/>
  <c r="J134" i="8"/>
  <c r="J138" i="8"/>
  <c r="J142" i="8"/>
  <c r="J146" i="8"/>
  <c r="J150" i="8"/>
  <c r="J154" i="8"/>
  <c r="J158" i="8"/>
  <c r="J162" i="8"/>
  <c r="G190" i="8"/>
  <c r="J27" i="8"/>
  <c r="J47" i="8"/>
  <c r="J73" i="8"/>
  <c r="J82" i="8"/>
  <c r="J25" i="8"/>
  <c r="J45" i="8"/>
  <c r="E190" i="8"/>
  <c r="J71" i="8"/>
  <c r="J83" i="8"/>
  <c r="J99" i="8"/>
  <c r="J103" i="8"/>
  <c r="J107" i="8"/>
  <c r="J111" i="8"/>
  <c r="J115" i="8"/>
  <c r="J119" i="8"/>
  <c r="J123" i="8"/>
  <c r="J127" i="8"/>
  <c r="J131" i="8"/>
  <c r="J135" i="8"/>
  <c r="J139" i="8"/>
  <c r="J143" i="8"/>
  <c r="J147" i="8"/>
  <c r="J151" i="8"/>
  <c r="J155" i="8"/>
  <c r="J159" i="8"/>
  <c r="J163" i="8"/>
  <c r="J167" i="8"/>
  <c r="J171" i="8"/>
  <c r="J175" i="8"/>
  <c r="J179" i="8"/>
  <c r="J183" i="8"/>
  <c r="J43" i="8"/>
  <c r="F190" i="8"/>
  <c r="J57" i="8"/>
  <c r="J69" i="8"/>
  <c r="J91" i="8"/>
  <c r="J41" i="8"/>
  <c r="J74" i="8"/>
  <c r="J100" i="8"/>
  <c r="J104" i="8"/>
  <c r="J108" i="8"/>
  <c r="J112" i="8"/>
  <c r="J116" i="8"/>
  <c r="J120" i="8"/>
  <c r="J124" i="8"/>
  <c r="J128" i="8"/>
  <c r="J132" i="8"/>
  <c r="J136" i="8"/>
  <c r="J140" i="8"/>
  <c r="J144" i="8"/>
  <c r="J148" i="8"/>
  <c r="J152" i="8"/>
  <c r="J156" i="8"/>
  <c r="J160" i="8"/>
  <c r="J164" i="8"/>
  <c r="J88" i="8"/>
  <c r="J185" i="8"/>
  <c r="J188" i="8"/>
  <c r="J96" i="8"/>
  <c r="J166" i="8"/>
  <c r="J168" i="8"/>
  <c r="J170" i="8"/>
  <c r="J172" i="8"/>
  <c r="J174" i="8"/>
  <c r="J176" i="8"/>
  <c r="J178" i="8"/>
  <c r="J180" i="8"/>
  <c r="J182" i="8"/>
  <c r="J184" i="8"/>
  <c r="J189" i="8"/>
  <c r="F34" i="7"/>
  <c r="F46" i="7"/>
  <c r="F70" i="7"/>
  <c r="F106" i="7"/>
  <c r="F130" i="7"/>
  <c r="F142" i="7"/>
  <c r="F166" i="7"/>
  <c r="F10" i="7"/>
  <c r="F72" i="7"/>
  <c r="F96" i="7"/>
  <c r="F108" i="7"/>
  <c r="F132" i="7"/>
  <c r="F10" i="6"/>
  <c r="D58" i="6"/>
  <c r="AB114" i="4"/>
  <c r="AB138" i="4"/>
  <c r="AB162" i="4"/>
  <c r="AD194" i="4"/>
  <c r="AB204" i="4"/>
  <c r="AD204" i="4"/>
  <c r="AD220" i="4"/>
  <c r="AB231" i="4"/>
  <c r="AB249" i="4"/>
  <c r="AD44" i="4"/>
  <c r="AD51" i="4"/>
  <c r="AB54" i="4"/>
  <c r="AD63" i="4"/>
  <c r="AB66" i="4"/>
  <c r="AD75" i="4"/>
  <c r="AB78" i="4"/>
  <c r="AD87" i="4"/>
  <c r="AB90" i="4"/>
  <c r="AB102" i="4"/>
  <c r="AD122" i="4"/>
  <c r="AD146" i="4"/>
  <c r="AD170" i="4"/>
  <c r="AD237" i="4"/>
  <c r="AD261" i="4"/>
  <c r="AD9" i="4"/>
  <c r="AD27" i="4"/>
  <c r="AD32" i="4"/>
  <c r="AD13" i="4"/>
  <c r="AD125" i="4"/>
  <c r="AD130" i="4"/>
  <c r="AD149" i="4"/>
  <c r="AD154" i="4"/>
  <c r="AD173" i="4"/>
  <c r="AD178" i="4"/>
  <c r="AD185" i="4"/>
  <c r="AD200" i="4"/>
  <c r="AD205" i="4"/>
  <c r="AD210" i="4"/>
  <c r="AD215" i="4"/>
  <c r="AB216" i="4"/>
  <c r="AD267" i="4"/>
  <c r="AD39" i="4"/>
  <c r="AB45" i="4"/>
  <c r="AB57" i="4"/>
  <c r="AB69" i="4"/>
  <c r="AB81" i="4"/>
  <c r="AB93" i="4"/>
  <c r="AB105" i="4"/>
  <c r="AD117" i="4"/>
  <c r="AB120" i="4"/>
  <c r="AD141" i="4"/>
  <c r="AB144" i="4"/>
  <c r="AD165" i="4"/>
  <c r="AB168" i="4"/>
  <c r="AD182" i="4"/>
  <c r="AD201" i="4"/>
  <c r="AB201" i="4"/>
  <c r="AD211" i="4"/>
  <c r="AD216" i="4"/>
  <c r="AB222" i="4"/>
  <c r="AD227" i="4"/>
  <c r="AD232" i="4"/>
  <c r="AD100" i="4"/>
  <c r="AD112" i="4"/>
  <c r="AD120" i="4"/>
  <c r="AD144" i="4"/>
  <c r="AB150" i="4"/>
  <c r="AD168" i="4"/>
  <c r="AB174" i="4"/>
  <c r="AD179" i="4"/>
  <c r="AB183" i="4"/>
  <c r="AD186" i="4"/>
  <c r="AB207" i="4"/>
  <c r="AD217" i="4"/>
  <c r="AB228" i="4"/>
  <c r="AD228" i="4"/>
  <c r="AD251" i="4"/>
  <c r="AB270" i="4"/>
  <c r="AB24" i="4"/>
  <c r="AB36" i="4"/>
  <c r="AB48" i="4"/>
  <c r="AB60" i="4"/>
  <c r="AB72" i="4"/>
  <c r="AB84" i="4"/>
  <c r="AB96" i="4"/>
  <c r="AB108" i="4"/>
  <c r="AD134" i="4"/>
  <c r="AD158" i="4"/>
  <c r="AD183" i="4"/>
  <c r="AD187" i="4"/>
  <c r="AD191" i="4"/>
  <c r="AB192" i="4"/>
  <c r="AD212" i="4"/>
  <c r="AD218" i="4"/>
  <c r="AD222" i="4"/>
  <c r="AD234" i="4"/>
  <c r="AD239" i="4"/>
  <c r="AD240" i="4"/>
  <c r="AB240" i="4"/>
  <c r="AB246" i="4"/>
  <c r="AB252" i="4"/>
  <c r="AD252" i="4"/>
  <c r="AD258" i="4"/>
  <c r="AD263" i="4"/>
  <c r="AD264" i="4"/>
  <c r="AB264" i="4"/>
  <c r="AD271" i="4"/>
  <c r="AB180" i="4"/>
  <c r="AD213" i="4"/>
  <c r="AB219" i="4"/>
  <c r="AD224" i="4"/>
  <c r="AD229" i="4"/>
  <c r="AB234" i="4"/>
  <c r="AD235" i="4"/>
  <c r="AD241" i="4"/>
  <c r="AD247" i="4"/>
  <c r="AB258" i="4"/>
  <c r="AD259" i="4"/>
  <c r="AD265" i="4"/>
  <c r="AD272" i="4"/>
  <c r="AD129" i="4"/>
  <c r="AB132" i="4"/>
  <c r="AD153" i="4"/>
  <c r="AB156" i="4"/>
  <c r="AD177" i="4"/>
  <c r="AD188" i="4"/>
  <c r="AD193" i="4"/>
  <c r="AB198" i="4"/>
  <c r="AD203" i="4"/>
  <c r="AD208" i="4"/>
  <c r="AD225" i="4"/>
  <c r="AB225" i="4"/>
  <c r="AD242" i="4"/>
  <c r="AD246" i="4"/>
  <c r="AD253" i="4"/>
  <c r="AD254" i="4"/>
  <c r="AD266" i="4"/>
  <c r="AB273" i="4"/>
  <c r="AB297" i="4"/>
  <c r="AB321" i="4"/>
  <c r="AB345" i="4"/>
  <c r="AB369" i="4"/>
  <c r="AD375" i="4"/>
  <c r="AB393" i="4"/>
  <c r="AD399" i="4"/>
  <c r="AB417" i="4"/>
  <c r="AD423" i="4"/>
  <c r="AB441" i="4"/>
  <c r="AD447" i="4"/>
  <c r="AB465" i="4"/>
  <c r="AD471" i="4"/>
  <c r="AB489" i="4"/>
  <c r="AD495" i="4"/>
  <c r="AB513" i="4"/>
  <c r="AD519" i="4"/>
  <c r="AB537" i="4"/>
  <c r="AD543" i="4"/>
  <c r="AD276" i="4"/>
  <c r="AD283" i="4"/>
  <c r="AD300" i="4"/>
  <c r="AD307" i="4"/>
  <c r="AD324" i="4"/>
  <c r="AD331" i="4"/>
  <c r="AD348" i="4"/>
  <c r="AD355" i="4"/>
  <c r="AD372" i="4"/>
  <c r="AD396" i="4"/>
  <c r="AD420" i="4"/>
  <c r="AD444" i="4"/>
  <c r="AD468" i="4"/>
  <c r="AB486" i="4"/>
  <c r="AD492" i="4"/>
  <c r="AB510" i="4"/>
  <c r="AD516" i="4"/>
  <c r="AB534" i="4"/>
  <c r="AD540" i="4"/>
  <c r="AB387" i="4"/>
  <c r="AB411" i="4"/>
  <c r="AB435" i="4"/>
  <c r="AB459" i="4"/>
  <c r="AB483" i="4"/>
  <c r="AB507" i="4"/>
  <c r="AB531" i="4"/>
  <c r="AB384" i="4"/>
  <c r="AB408" i="4"/>
  <c r="AB432" i="4"/>
  <c r="AB456" i="4"/>
  <c r="AB480" i="4"/>
  <c r="AB504" i="4"/>
  <c r="AB528" i="4"/>
  <c r="AB285" i="4"/>
  <c r="AB309" i="4"/>
  <c r="AB333" i="4"/>
  <c r="AB357" i="4"/>
  <c r="AB381" i="4"/>
  <c r="AB405" i="4"/>
  <c r="AB429" i="4"/>
  <c r="AB453" i="4"/>
  <c r="AB498" i="4"/>
  <c r="AB522" i="4"/>
  <c r="AD119" i="3"/>
  <c r="AD126" i="3"/>
  <c r="AB126" i="3"/>
  <c r="AD138" i="3"/>
  <c r="AB138" i="3"/>
  <c r="AD173" i="3"/>
  <c r="AB171" i="3"/>
  <c r="AD24" i="3"/>
  <c r="AB27" i="3"/>
  <c r="AD36" i="3"/>
  <c r="AB39" i="3"/>
  <c r="AD48" i="3"/>
  <c r="AB51" i="3"/>
  <c r="AD60" i="3"/>
  <c r="AB63" i="3"/>
  <c r="AD72" i="3"/>
  <c r="AB75" i="3"/>
  <c r="AD84" i="3"/>
  <c r="AB87" i="3"/>
  <c r="AD96" i="3"/>
  <c r="AB99" i="3"/>
  <c r="AD108" i="3"/>
  <c r="AB111" i="3"/>
  <c r="AD130" i="3"/>
  <c r="AD143" i="3"/>
  <c r="AD157" i="3"/>
  <c r="AD158" i="3"/>
  <c r="AD168" i="3"/>
  <c r="AB168" i="3"/>
  <c r="AD179" i="3"/>
  <c r="AD185" i="3"/>
  <c r="AD191" i="3"/>
  <c r="AD192" i="3"/>
  <c r="AB15" i="3"/>
  <c r="AB120" i="3"/>
  <c r="AD123" i="3"/>
  <c r="AD131" i="3"/>
  <c r="AD152" i="3"/>
  <c r="AB153" i="3"/>
  <c r="AD153" i="3"/>
  <c r="AB207" i="3"/>
  <c r="AD7" i="3"/>
  <c r="AB30" i="3"/>
  <c r="AB42" i="3"/>
  <c r="AD135" i="3"/>
  <c r="AD144" i="3"/>
  <c r="AB144" i="3"/>
  <c r="AD159" i="3"/>
  <c r="AD170" i="3"/>
  <c r="AD187" i="3"/>
  <c r="AD194" i="3"/>
  <c r="AB201" i="3"/>
  <c r="AD18" i="3"/>
  <c r="AB21" i="3"/>
  <c r="AD114" i="3"/>
  <c r="AB117" i="3"/>
  <c r="AD149" i="3"/>
  <c r="AB147" i="3"/>
  <c r="AD154" i="3"/>
  <c r="AD164" i="3"/>
  <c r="AB165" i="3"/>
  <c r="AD165" i="3"/>
  <c r="AD188" i="3"/>
  <c r="AB195" i="3"/>
  <c r="AD195" i="3"/>
  <c r="AB213" i="3"/>
  <c r="AD222" i="3"/>
  <c r="AB33" i="3"/>
  <c r="AB45" i="3"/>
  <c r="AB57" i="3"/>
  <c r="AB69" i="3"/>
  <c r="AB81" i="3"/>
  <c r="AB93" i="3"/>
  <c r="AB105" i="3"/>
  <c r="AD128" i="3"/>
  <c r="AD132" i="3"/>
  <c r="AD140" i="3"/>
  <c r="AD150" i="3"/>
  <c r="AD155" i="3"/>
  <c r="AD171" i="3"/>
  <c r="AD181" i="3"/>
  <c r="AD182" i="3"/>
  <c r="AB189" i="3"/>
  <c r="AD202" i="3"/>
  <c r="AD208" i="3"/>
  <c r="AD209" i="3"/>
  <c r="AD215" i="3"/>
  <c r="AD216" i="3"/>
  <c r="AD223" i="3"/>
  <c r="AB129" i="3"/>
  <c r="AB141" i="3"/>
  <c r="AD141" i="3"/>
  <c r="AD146" i="3"/>
  <c r="AD161" i="3"/>
  <c r="AB159" i="3"/>
  <c r="AD166" i="3"/>
  <c r="AD176" i="3"/>
  <c r="AB177" i="3"/>
  <c r="AD177" i="3"/>
  <c r="AD183" i="3"/>
  <c r="AD196" i="3"/>
  <c r="AD217" i="3"/>
  <c r="AD224" i="3"/>
  <c r="AD118" i="3"/>
  <c r="AD125" i="3"/>
  <c r="AB123" i="3"/>
  <c r="AD137" i="3"/>
  <c r="AB135" i="3"/>
  <c r="AD156" i="3"/>
  <c r="AB156" i="3"/>
  <c r="AD167" i="3"/>
  <c r="AB204" i="3"/>
  <c r="AD204" i="3"/>
  <c r="AD211" i="3"/>
  <c r="AD218" i="3"/>
  <c r="AD225" i="3"/>
  <c r="AB225" i="3"/>
  <c r="AB249" i="3"/>
  <c r="AB273" i="3"/>
  <c r="AB297" i="3"/>
  <c r="AB321" i="3"/>
  <c r="AB417" i="3"/>
  <c r="AB465" i="3"/>
  <c r="AB180" i="3"/>
  <c r="AB198" i="3"/>
  <c r="AB222" i="3"/>
  <c r="AD228" i="3"/>
  <c r="AB246" i="3"/>
  <c r="AD252" i="3"/>
  <c r="AB270" i="3"/>
  <c r="AD276" i="3"/>
  <c r="AB294" i="3"/>
  <c r="AD300" i="3"/>
  <c r="AB318" i="3"/>
  <c r="AD324" i="3"/>
  <c r="AB342" i="3"/>
  <c r="AD348" i="3"/>
  <c r="AD372" i="3"/>
  <c r="AD396" i="3"/>
  <c r="AB414" i="3"/>
  <c r="AD420" i="3"/>
  <c r="AB438" i="3"/>
  <c r="AB462" i="3"/>
  <c r="AD475" i="3"/>
  <c r="AD482" i="3"/>
  <c r="AD492" i="3"/>
  <c r="AD499" i="3"/>
  <c r="AD506" i="3"/>
  <c r="AD516" i="3"/>
  <c r="AD523" i="3"/>
  <c r="AD530" i="3"/>
  <c r="AD540" i="3"/>
  <c r="AD359" i="3"/>
  <c r="AD376" i="3"/>
  <c r="AD400" i="3"/>
  <c r="AB183" i="3"/>
  <c r="AB192" i="3"/>
  <c r="AB216" i="3"/>
  <c r="AB240" i="3"/>
  <c r="AB264" i="3"/>
  <c r="AB288" i="3"/>
  <c r="AB312" i="3"/>
  <c r="AB336" i="3"/>
  <c r="AB360" i="3"/>
  <c r="AB384" i="3"/>
  <c r="AB408" i="3"/>
  <c r="AB432" i="3"/>
  <c r="AB456" i="3"/>
  <c r="AB477" i="3"/>
  <c r="AB501" i="3"/>
  <c r="AB525" i="3"/>
  <c r="AB150" i="3"/>
  <c r="AB162" i="3"/>
  <c r="AB174" i="3"/>
  <c r="AB186" i="3"/>
  <c r="AB210" i="3"/>
  <c r="AB234" i="3"/>
  <c r="AB258" i="3"/>
  <c r="AB282" i="3"/>
  <c r="AB306" i="3"/>
  <c r="AB330" i="3"/>
  <c r="AB354" i="3"/>
  <c r="AB378" i="3"/>
  <c r="AB402" i="3"/>
  <c r="AB426" i="3"/>
  <c r="AB450" i="3"/>
  <c r="AB12" i="2"/>
  <c r="AB24" i="2"/>
  <c r="AB36" i="2"/>
  <c r="AB48" i="2"/>
  <c r="AB69" i="2"/>
  <c r="AD75" i="2"/>
  <c r="AB93" i="2"/>
  <c r="AD99" i="2"/>
  <c r="AB117" i="2"/>
  <c r="AD123" i="2"/>
  <c r="AB141" i="2"/>
  <c r="AD147" i="2"/>
  <c r="AB66" i="2"/>
  <c r="AB90" i="2"/>
  <c r="AB114" i="2"/>
  <c r="AB138" i="2"/>
  <c r="AB51" i="2"/>
  <c r="AB60" i="2"/>
  <c r="AD73" i="2"/>
  <c r="AB84" i="2"/>
  <c r="AD97" i="2"/>
  <c r="AB108" i="2"/>
  <c r="AD121" i="2"/>
  <c r="AD145" i="2"/>
  <c r="AD16" i="2"/>
  <c r="AB27" i="2"/>
  <c r="AB39" i="2"/>
  <c r="AD546" i="3" l="1"/>
  <c r="AD150" i="2"/>
  <c r="AD546" i="4"/>
</calcChain>
</file>

<file path=xl/sharedStrings.xml><?xml version="1.0" encoding="utf-8"?>
<sst xmlns="http://schemas.openxmlformats.org/spreadsheetml/2006/main" count="3010" uniqueCount="90">
  <si>
    <t>ANEXO 3.1 - CANTIDADES DE  ENERGÍA SOLICITADA EN kWh</t>
  </si>
  <si>
    <t>AIR-E S.A.S E.S.P. - INTERVENIDA</t>
  </si>
  <si>
    <t>PERÍODO ENERO 2026  A DICIEMBRE 31 DE 2029</t>
  </si>
  <si>
    <t>Año</t>
  </si>
  <si>
    <t>Mes</t>
  </si>
  <si>
    <t>Dias\Horas</t>
  </si>
  <si>
    <t>HO1</t>
  </si>
  <si>
    <t>HO2</t>
  </si>
  <si>
    <t>HO3</t>
  </si>
  <si>
    <t>HO4</t>
  </si>
  <si>
    <t>HO5</t>
  </si>
  <si>
    <t>HO6</t>
  </si>
  <si>
    <t>HO7</t>
  </si>
  <si>
    <t>HO8</t>
  </si>
  <si>
    <t>HO9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</si>
  <si>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</si>
  <si>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</si>
  <si>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</si>
  <si>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</si>
  <si>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</si>
  <si>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</si>
  <si>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</si>
  <si>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</si>
  <si>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</si>
  <si>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</si>
  <si>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</si>
  <si>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</si>
  <si>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</si>
  <si>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</si>
  <si>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</si>
  <si>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Total</t>
  </si>
  <si>
    <t>N. Días</t>
  </si>
  <si>
    <t>Ene</t>
  </si>
  <si>
    <t>Habil</t>
  </si>
  <si>
    <t>Sabado</t>
  </si>
  <si>
    <t>Feb</t>
  </si>
  <si>
    <t>Festivo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</si>
  <si>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</si>
  <si>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</si>
  <si>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</si>
  <si>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</si>
  <si>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</si>
  <si>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</si>
  <si>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</si>
  <si>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</si>
  <si>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</si>
  <si>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</si>
  <si>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ANEXO 3.2 - CANTIDADES DE  ENERGÍA SOLICITADA EN kWh</t>
  </si>
  <si>
    <t>PERÍODO ENERO 2026  A DICIEMBRE 31 DE 2040</t>
  </si>
  <si>
    <t>ANEXO 3.3 - CANTIDADES DE  ENERGÍA SOLICITADA EN kWh</t>
  </si>
  <si>
    <t>Sabados</t>
  </si>
  <si>
    <t>ANEXO 4.1- OFERTAS PRODUCTO 1</t>
  </si>
  <si>
    <t>NOMBRE DEL OFERENTE</t>
  </si>
  <si>
    <t xml:space="preserve"> PRECIOS Y CANTIDADES DE ENERGÍA OFERTADA</t>
  </si>
  <si>
    <t>EN PESOS DE ABRIL 2025 PROVISIONAL</t>
  </si>
  <si>
    <t>PRODUCTO  1</t>
  </si>
  <si>
    <t>AÑO</t>
  </si>
  <si>
    <t>MES</t>
  </si>
  <si>
    <t>PERIODO 2026-2029</t>
  </si>
  <si>
    <t>E. Solicitada
[kWh]</t>
  </si>
  <si>
    <t>% E. Ofertado</t>
  </si>
  <si>
    <t>E. Ofertada
[kWh]</t>
  </si>
  <si>
    <t>$/kWh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</si>
  <si>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</si>
  <si>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</si>
  <si>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</si>
  <si>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</si>
  <si>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</si>
  <si>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</si>
  <si>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</si>
  <si>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</si>
  <si>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</si>
  <si>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</si>
  <si>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</si>
  <si>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</si>
  <si>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PRODUCTO</t>
  </si>
  <si>
    <t xml:space="preserve">  - Por favor complete los campos azules</t>
  </si>
  <si>
    <t xml:space="preserve"> - El Porcentaje ofertado debe tener máximo dos decimales.</t>
  </si>
  <si>
    <t xml:space="preserve"> - La tarifa ofertada debe tener dos decimales</t>
  </si>
  <si>
    <t>- Los porcentajes de energia ofertada serán aplicados a cada una de las horas de cada día en cada uno de los meses del año ofertado.</t>
  </si>
  <si>
    <t>ANEXO 4.2- OFERTAS PRODUCTO 2</t>
  </si>
  <si>
    <t>PRODUCTO  2</t>
  </si>
  <si>
    <t>PERIODO 2026-2040</t>
  </si>
  <si>
    <t>ANEXO 4.3- OFERTAS PRODUCTO FNCER</t>
  </si>
  <si>
    <t>PRODUCTO 3</t>
  </si>
  <si>
    <t>E. Solcitidad Bloque 1
[kWh]</t>
  </si>
  <si>
    <t>E. Solcitidad Bloque 2
[kWh]</t>
  </si>
  <si>
    <t>E. Solcitidad Bloque 3
[kWh]</t>
  </si>
  <si>
    <t>E. Solicitada total
[kWh]</t>
  </si>
  <si>
    <t xml:space="preserve">Bloque a ofertar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</si>
</sst>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#,##0.0000"/>
    <numFmt numFmtId="167" formatCode="_(* #,##0_);_(* \(#,##0\);_(* &quot;-&quot;_);_(@_)"/>
    <numFmt numFmtId="168" formatCode="_-* #,##0\ _€_-;\-* #,##0\ _€_-;_-* &quot;-&quot;\ _€_-;_-@_-"/>
    <numFmt numFmtId="169" formatCode="_-* #,##0_-;\-* #,##0_-;_-* &quot;-&quot;??_-;_-@_-"/>
  </numFmts>
  <fonts count="9" x14ac:knownFonts="1">
    <font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2"/>
      <name val="Calibri"/>
      <family val="2"/>
    </font>
    <font>
      <b/>
      <sz val="10"/>
      <color indexed="9"/>
      <name val="Calibri"/>
      <family val="2"/>
    </font>
    <font>
      <b/>
      <sz val="10"/>
      <name val="Calibri"/>
      <family val="2"/>
    </font>
    <font>
      <sz val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164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16">
    <xf numFmtId="0" fontId="0" fillId="0" borderId="0" xfId="0"/>
    <xf numFmtId="0" fontId="1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0" xfId="1" applyFont="1" applyFill="1"/>
    <xf numFmtId="3" fontId="6" fillId="2" borderId="2" xfId="1" applyNumberFormat="1" applyFont="1" applyFill="1" applyBorder="1" applyAlignment="1">
      <alignment horizontal="center"/>
    </xf>
    <xf numFmtId="3" fontId="6" fillId="2" borderId="3" xfId="1" applyNumberFormat="1" applyFont="1" applyFill="1" applyBorder="1" applyAlignment="1">
      <alignment horizontal="center"/>
    </xf>
    <xf numFmtId="3" fontId="6" fillId="2" borderId="4" xfId="1" applyNumberFormat="1" applyFont="1" applyFill="1" applyBorder="1" applyAlignment="1">
      <alignment horizontal="center"/>
    </xf>
    <xf numFmtId="3" fontId="6" fillId="2" borderId="5" xfId="1" applyNumberFormat="1" applyFont="1" applyFill="1" applyBorder="1" applyAlignment="1">
      <alignment horizontal="center"/>
    </xf>
    <xf numFmtId="3" fontId="6" fillId="2" borderId="0" xfId="1" applyNumberFormat="1" applyFont="1" applyFill="1" applyAlignment="1">
      <alignment horizontal="center"/>
    </xf>
    <xf numFmtId="3" fontId="6" fillId="3" borderId="0" xfId="1" applyNumberFormat="1" applyFont="1" applyFill="1" applyAlignment="1">
      <alignment horizontal="center"/>
    </xf>
    <xf numFmtId="0" fontId="1" fillId="0" borderId="6" xfId="1" applyFont="1" applyBorder="1" applyAlignment="1">
      <alignment horizontal="center"/>
    </xf>
    <xf numFmtId="0" fontId="7" fillId="0" borderId="7" xfId="1" applyFont="1" applyBorder="1" applyAlignment="1">
      <alignment horizontal="center"/>
    </xf>
    <xf numFmtId="4" fontId="7" fillId="4" borderId="8" xfId="1" applyNumberFormat="1" applyFont="1" applyFill="1" applyBorder="1"/>
    <xf numFmtId="165" fontId="1" fillId="0" borderId="9" xfId="2" applyNumberFormat="1" applyFont="1" applyFill="1" applyBorder="1" applyAlignment="1">
      <alignment horizontal="center"/>
    </xf>
    <xf numFmtId="165" fontId="1" fillId="0" borderId="10" xfId="2" applyNumberFormat="1" applyFont="1" applyFill="1" applyBorder="1" applyAlignment="1">
      <alignment horizontal="center"/>
    </xf>
    <xf numFmtId="165" fontId="1" fillId="0" borderId="11" xfId="2" applyNumberFormat="1" applyFont="1" applyFill="1" applyBorder="1" applyAlignment="1">
      <alignment horizontal="center"/>
    </xf>
    <xf numFmtId="3" fontId="7" fillId="0" borderId="12" xfId="1" applyNumberFormat="1" applyFont="1" applyBorder="1"/>
    <xf numFmtId="3" fontId="1" fillId="0" borderId="0" xfId="1" applyNumberFormat="1" applyFont="1"/>
    <xf numFmtId="0" fontId="1" fillId="0" borderId="13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4" fontId="7" fillId="4" borderId="14" xfId="1" applyNumberFormat="1" applyFont="1" applyFill="1" applyBorder="1"/>
    <xf numFmtId="165" fontId="1" fillId="0" borderId="15" xfId="2" applyNumberFormat="1" applyFont="1" applyFill="1" applyBorder="1" applyAlignment="1">
      <alignment horizontal="center"/>
    </xf>
    <xf numFmtId="165" fontId="1" fillId="0" borderId="16" xfId="2" applyNumberFormat="1" applyFont="1" applyFill="1" applyBorder="1" applyAlignment="1">
      <alignment horizontal="center"/>
    </xf>
    <xf numFmtId="165" fontId="1" fillId="0" borderId="17" xfId="2" applyNumberFormat="1" applyFont="1" applyFill="1" applyBorder="1" applyAlignment="1">
      <alignment horizontal="center"/>
    </xf>
    <xf numFmtId="3" fontId="7" fillId="0" borderId="18" xfId="1" applyNumberFormat="1" applyFont="1" applyBorder="1"/>
    <xf numFmtId="0" fontId="7" fillId="0" borderId="19" xfId="1" applyFont="1" applyBorder="1" applyAlignment="1">
      <alignment horizontal="center"/>
    </xf>
    <xf numFmtId="4" fontId="7" fillId="4" borderId="20" xfId="1" applyNumberFormat="1" applyFont="1" applyFill="1" applyBorder="1"/>
    <xf numFmtId="3" fontId="7" fillId="0" borderId="21" xfId="1" applyNumberFormat="1" applyFont="1" applyBorder="1"/>
    <xf numFmtId="0" fontId="1" fillId="0" borderId="22" xfId="1" applyFont="1" applyBorder="1" applyAlignment="1">
      <alignment horizontal="center"/>
    </xf>
    <xf numFmtId="165" fontId="1" fillId="0" borderId="23" xfId="2" applyNumberFormat="1" applyFont="1" applyFill="1" applyBorder="1" applyAlignment="1">
      <alignment horizontal="center"/>
    </xf>
    <xf numFmtId="165" fontId="1" fillId="0" borderId="24" xfId="2" applyNumberFormat="1" applyFont="1" applyFill="1" applyBorder="1" applyAlignment="1">
      <alignment horizontal="center"/>
    </xf>
    <xf numFmtId="165" fontId="1" fillId="0" borderId="25" xfId="2" applyNumberFormat="1" applyFont="1" applyFill="1" applyBorder="1" applyAlignment="1">
      <alignment horizontal="center"/>
    </xf>
    <xf numFmtId="3" fontId="7" fillId="0" borderId="7" xfId="1" applyNumberFormat="1" applyFont="1" applyBorder="1"/>
    <xf numFmtId="0" fontId="4" fillId="0" borderId="0" xfId="1"/>
    <xf numFmtId="3" fontId="3" fillId="0" borderId="26" xfId="1" applyNumberFormat="1" applyFont="1" applyBorder="1"/>
    <xf numFmtId="4" fontId="1" fillId="0" borderId="0" xfId="1" applyNumberFormat="1" applyFont="1"/>
    <xf numFmtId="0" fontId="6" fillId="3" borderId="1" xfId="1" applyFont="1" applyFill="1" applyBorder="1" applyAlignment="1">
      <alignment horizontal="center"/>
    </xf>
    <xf numFmtId="0" fontId="6" fillId="3" borderId="0" xfId="1" applyFont="1" applyFill="1"/>
    <xf numFmtId="3" fontId="6" fillId="3" borderId="2" xfId="1" applyNumberFormat="1" applyFont="1" applyFill="1" applyBorder="1" applyAlignment="1">
      <alignment horizontal="center"/>
    </xf>
    <xf numFmtId="3" fontId="6" fillId="3" borderId="3" xfId="1" applyNumberFormat="1" applyFont="1" applyFill="1" applyBorder="1" applyAlignment="1">
      <alignment horizontal="center"/>
    </xf>
    <xf numFmtId="3" fontId="6" fillId="3" borderId="4" xfId="1" applyNumberFormat="1" applyFont="1" applyFill="1" applyBorder="1" applyAlignment="1">
      <alignment horizontal="center"/>
    </xf>
    <xf numFmtId="3" fontId="6" fillId="3" borderId="5" xfId="1" applyNumberFormat="1" applyFont="1" applyFill="1" applyBorder="1" applyAlignment="1">
      <alignment horizontal="center"/>
    </xf>
    <xf numFmtId="3" fontId="7" fillId="0" borderId="26" xfId="1" applyNumberFormat="1" applyFont="1" applyBorder="1"/>
    <xf numFmtId="166" fontId="1" fillId="0" borderId="0" xfId="1" applyNumberFormat="1" applyFont="1"/>
    <xf numFmtId="0" fontId="7" fillId="0" borderId="0" xfId="1" applyFont="1" applyAlignment="1">
      <alignment horizontal="center"/>
    </xf>
    <xf numFmtId="0" fontId="7" fillId="0" borderId="32" xfId="1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7" fillId="0" borderId="12" xfId="1" applyFont="1" applyBorder="1" applyAlignment="1">
      <alignment horizontal="center" vertical="center"/>
    </xf>
    <xf numFmtId="17" fontId="7" fillId="0" borderId="12" xfId="1" applyNumberFormat="1" applyFont="1" applyBorder="1" applyAlignment="1">
      <alignment horizontal="center" vertical="center"/>
    </xf>
    <xf numFmtId="167" fontId="8" fillId="0" borderId="33" xfId="3" applyFont="1" applyFill="1" applyBorder="1" applyAlignment="1">
      <alignment horizontal="center" vertical="center"/>
    </xf>
    <xf numFmtId="167" fontId="8" fillId="7" borderId="33" xfId="3" quotePrefix="1" applyFont="1" applyFill="1" applyBorder="1" applyAlignment="1">
      <alignment horizontal="center" vertical="center"/>
    </xf>
    <xf numFmtId="167" fontId="8" fillId="7" borderId="12" xfId="3" applyFont="1" applyFill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17" fontId="7" fillId="0" borderId="18" xfId="1" applyNumberFormat="1" applyFont="1" applyBorder="1" applyAlignment="1">
      <alignment horizontal="center" vertical="center"/>
    </xf>
    <xf numFmtId="167" fontId="8" fillId="0" borderId="34" xfId="3" applyFont="1" applyFill="1" applyBorder="1" applyAlignment="1">
      <alignment horizontal="center" vertical="center"/>
    </xf>
    <xf numFmtId="167" fontId="8" fillId="7" borderId="33" xfId="3" applyFont="1" applyFill="1" applyBorder="1" applyAlignment="1">
      <alignment horizontal="center" vertical="center"/>
    </xf>
    <xf numFmtId="0" fontId="7" fillId="0" borderId="21" xfId="1" applyFont="1" applyBorder="1" applyAlignment="1">
      <alignment horizontal="center" vertical="center"/>
    </xf>
    <xf numFmtId="17" fontId="7" fillId="0" borderId="21" xfId="1" applyNumberFormat="1" applyFont="1" applyBorder="1" applyAlignment="1">
      <alignment horizontal="center" vertical="center"/>
    </xf>
    <xf numFmtId="167" fontId="8" fillId="0" borderId="35" xfId="3" applyFont="1" applyFill="1" applyBorder="1" applyAlignment="1">
      <alignment horizontal="center" vertical="center"/>
    </xf>
    <xf numFmtId="167" fontId="8" fillId="7" borderId="26" xfId="3" applyFont="1" applyFill="1" applyBorder="1" applyAlignment="1">
      <alignment horizontal="center" vertical="center"/>
    </xf>
    <xf numFmtId="17" fontId="7" fillId="0" borderId="19" xfId="1" applyNumberFormat="1" applyFont="1" applyBorder="1" applyAlignment="1">
      <alignment horizontal="center" vertical="center"/>
    </xf>
    <xf numFmtId="167" fontId="7" fillId="0" borderId="26" xfId="3" applyFont="1" applyFill="1" applyBorder="1" applyAlignment="1">
      <alignment horizontal="center" vertical="center"/>
    </xf>
    <xf numFmtId="0" fontId="8" fillId="0" borderId="0" xfId="1" applyFont="1"/>
    <xf numFmtId="168" fontId="1" fillId="0" borderId="0" xfId="1" applyNumberFormat="1" applyFont="1"/>
    <xf numFmtId="0" fontId="7" fillId="0" borderId="36" xfId="1" applyFont="1" applyBorder="1" applyAlignment="1">
      <alignment horizontal="center" vertical="center" wrapText="1"/>
    </xf>
    <xf numFmtId="0" fontId="7" fillId="0" borderId="37" xfId="1" applyFont="1" applyBorder="1" applyAlignment="1">
      <alignment horizontal="center" vertical="center" wrapText="1"/>
    </xf>
    <xf numFmtId="0" fontId="7" fillId="0" borderId="38" xfId="1" applyFont="1" applyBorder="1" applyAlignment="1">
      <alignment horizontal="center" vertical="center" wrapText="1"/>
    </xf>
    <xf numFmtId="2" fontId="8" fillId="7" borderId="12" xfId="2" quotePrefix="1" applyNumberFormat="1" applyFont="1" applyFill="1" applyBorder="1" applyAlignment="1" applyProtection="1">
      <alignment vertical="center"/>
      <protection locked="0"/>
    </xf>
    <xf numFmtId="167" fontId="8" fillId="7" borderId="34" xfId="3" applyFont="1" applyFill="1" applyBorder="1" applyAlignment="1">
      <alignment horizontal="center" vertical="center"/>
    </xf>
    <xf numFmtId="2" fontId="8" fillId="7" borderId="18" xfId="2" quotePrefix="1" applyNumberFormat="1" applyFont="1" applyFill="1" applyBorder="1" applyAlignment="1" applyProtection="1">
      <alignment vertical="center"/>
      <protection locked="0"/>
    </xf>
    <xf numFmtId="167" fontId="8" fillId="7" borderId="35" xfId="3" applyFont="1" applyFill="1" applyBorder="1" applyAlignment="1">
      <alignment horizontal="center" vertical="center"/>
    </xf>
    <xf numFmtId="2" fontId="8" fillId="7" borderId="21" xfId="2" quotePrefix="1" applyNumberFormat="1" applyFont="1" applyFill="1" applyBorder="1" applyAlignment="1" applyProtection="1">
      <alignment vertical="center"/>
      <protection locked="0"/>
    </xf>
    <xf numFmtId="169" fontId="8" fillId="0" borderId="33" xfId="2" applyNumberFormat="1" applyFont="1" applyBorder="1" applyAlignment="1">
      <alignment horizontal="center" vertical="center"/>
    </xf>
    <xf numFmtId="167" fontId="8" fillId="0" borderId="12" xfId="3" applyFont="1" applyFill="1" applyBorder="1" applyAlignment="1">
      <alignment horizontal="center" vertical="center"/>
    </xf>
    <xf numFmtId="167" fontId="8" fillId="0" borderId="8" xfId="3" applyFont="1" applyFill="1" applyBorder="1" applyAlignment="1">
      <alignment horizontal="center" vertical="center"/>
    </xf>
    <xf numFmtId="9" fontId="8" fillId="7" borderId="8" xfId="4" applyFont="1" applyFill="1" applyBorder="1" applyAlignment="1">
      <alignment horizontal="center" vertical="center"/>
    </xf>
    <xf numFmtId="169" fontId="8" fillId="0" borderId="39" xfId="2" applyNumberFormat="1" applyFont="1" applyBorder="1" applyAlignment="1">
      <alignment horizontal="center" vertical="center"/>
    </xf>
    <xf numFmtId="167" fontId="8" fillId="0" borderId="18" xfId="3" applyFont="1" applyFill="1" applyBorder="1" applyAlignment="1">
      <alignment horizontal="center" vertical="center"/>
    </xf>
    <xf numFmtId="167" fontId="8" fillId="0" borderId="14" xfId="3" applyFont="1" applyFill="1" applyBorder="1" applyAlignment="1">
      <alignment horizontal="center" vertical="center"/>
    </xf>
    <xf numFmtId="9" fontId="8" fillId="7" borderId="14" xfId="4" applyFont="1" applyFill="1" applyBorder="1" applyAlignment="1">
      <alignment horizontal="center" vertical="center"/>
    </xf>
    <xf numFmtId="167" fontId="8" fillId="0" borderId="33" xfId="3" applyFont="1" applyBorder="1" applyAlignment="1">
      <alignment horizontal="center" vertical="center"/>
    </xf>
    <xf numFmtId="167" fontId="8" fillId="7" borderId="18" xfId="3" applyFont="1" applyFill="1" applyBorder="1" applyAlignment="1">
      <alignment horizontal="center" vertical="center"/>
    </xf>
    <xf numFmtId="169" fontId="8" fillId="0" borderId="22" xfId="2" applyNumberFormat="1" applyFont="1" applyBorder="1" applyAlignment="1">
      <alignment horizontal="center" vertical="center"/>
    </xf>
    <xf numFmtId="167" fontId="8" fillId="0" borderId="21" xfId="3" applyFont="1" applyFill="1" applyBorder="1" applyAlignment="1">
      <alignment horizontal="center" vertical="center"/>
    </xf>
    <xf numFmtId="167" fontId="8" fillId="0" borderId="34" xfId="3" applyFont="1" applyBorder="1" applyAlignment="1">
      <alignment horizontal="center" vertical="center"/>
    </xf>
    <xf numFmtId="9" fontId="8" fillId="7" borderId="20" xfId="4" applyFont="1" applyFill="1" applyBorder="1" applyAlignment="1">
      <alignment horizontal="center" vertical="center"/>
    </xf>
    <xf numFmtId="167" fontId="8" fillId="7" borderId="21" xfId="3" applyFont="1" applyFill="1" applyBorder="1" applyAlignment="1">
      <alignment horizontal="center" vertical="center"/>
    </xf>
    <xf numFmtId="167" fontId="8" fillId="0" borderId="12" xfId="3" applyFont="1" applyBorder="1" applyAlignment="1">
      <alignment horizontal="center" vertical="center"/>
    </xf>
    <xf numFmtId="9" fontId="8" fillId="7" borderId="33" xfId="4" applyFont="1" applyFill="1" applyBorder="1" applyAlignment="1">
      <alignment horizontal="center" vertical="center"/>
    </xf>
    <xf numFmtId="167" fontId="8" fillId="0" borderId="18" xfId="3" applyFont="1" applyBorder="1" applyAlignment="1">
      <alignment horizontal="center" vertical="center"/>
    </xf>
    <xf numFmtId="9" fontId="8" fillId="7" borderId="34" xfId="4" applyFont="1" applyFill="1" applyBorder="1" applyAlignment="1">
      <alignment horizontal="center" vertical="center"/>
    </xf>
    <xf numFmtId="167" fontId="8" fillId="0" borderId="21" xfId="3" applyFont="1" applyBorder="1" applyAlignment="1">
      <alignment horizontal="center" vertical="center"/>
    </xf>
    <xf numFmtId="9" fontId="8" fillId="7" borderId="35" xfId="4" applyFont="1" applyFill="1" applyBorder="1" applyAlignment="1">
      <alignment horizontal="center" vertical="center"/>
    </xf>
    <xf numFmtId="169" fontId="7" fillId="0" borderId="26" xfId="3" applyNumberFormat="1" applyFont="1" applyBorder="1" applyAlignment="1">
      <alignment horizontal="center" vertical="center"/>
    </xf>
    <xf numFmtId="167" fontId="7" fillId="0" borderId="0" xfId="3" applyFont="1" applyFill="1" applyBorder="1" applyAlignment="1">
      <alignment horizontal="center" vertical="center"/>
    </xf>
    <xf numFmtId="165" fontId="1" fillId="0" borderId="7" xfId="2" applyNumberFormat="1" applyFont="1" applyFill="1" applyBorder="1" applyAlignment="1">
      <alignment vertical="center"/>
    </xf>
    <xf numFmtId="165" fontId="1" fillId="0" borderId="1" xfId="2" applyNumberFormat="1" applyFont="1" applyFill="1" applyBorder="1" applyAlignment="1">
      <alignment vertical="center"/>
    </xf>
    <xf numFmtId="165" fontId="1" fillId="0" borderId="19" xfId="2" applyNumberFormat="1" applyFont="1" applyFill="1" applyBorder="1" applyAlignment="1">
      <alignment vertical="center"/>
    </xf>
    <xf numFmtId="0" fontId="5" fillId="0" borderId="0" xfId="1" applyFont="1" applyAlignment="1">
      <alignment horizontal="center"/>
    </xf>
    <xf numFmtId="49" fontId="8" fillId="0" borderId="0" xfId="1" applyNumberFormat="1" applyFont="1" applyAlignment="1">
      <alignment horizontal="left" vertical="top" wrapText="1"/>
    </xf>
    <xf numFmtId="0" fontId="7" fillId="0" borderId="0" xfId="1" applyFont="1" applyAlignment="1">
      <alignment horizontal="center"/>
    </xf>
    <xf numFmtId="0" fontId="7" fillId="5" borderId="0" xfId="1" applyFont="1" applyFill="1" applyAlignment="1" applyProtection="1">
      <alignment horizontal="center"/>
      <protection locked="0"/>
    </xf>
    <xf numFmtId="0" fontId="2" fillId="6" borderId="27" xfId="1" applyFont="1" applyFill="1" applyBorder="1" applyAlignment="1">
      <alignment horizontal="center" vertical="center"/>
    </xf>
    <xf numFmtId="0" fontId="2" fillId="6" borderId="28" xfId="1" applyFont="1" applyFill="1" applyBorder="1" applyAlignment="1">
      <alignment horizontal="center" vertical="center"/>
    </xf>
    <xf numFmtId="0" fontId="2" fillId="6" borderId="29" xfId="1" applyFont="1" applyFill="1" applyBorder="1" applyAlignment="1">
      <alignment horizontal="center" vertical="center"/>
    </xf>
    <xf numFmtId="0" fontId="2" fillId="6" borderId="30" xfId="1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 wrapText="1"/>
    </xf>
    <xf numFmtId="0" fontId="7" fillId="0" borderId="13" xfId="1" applyFont="1" applyBorder="1" applyAlignment="1">
      <alignment horizontal="center" vertical="center" wrapText="1"/>
    </xf>
    <xf numFmtId="0" fontId="7" fillId="0" borderId="27" xfId="1" applyFont="1" applyBorder="1" applyAlignment="1">
      <alignment horizontal="center" vertical="center" wrapText="1"/>
    </xf>
    <xf numFmtId="0" fontId="7" fillId="0" borderId="28" xfId="1" applyFont="1" applyBorder="1" applyAlignment="1">
      <alignment horizontal="center" vertical="center" wrapText="1"/>
    </xf>
    <xf numFmtId="0" fontId="7" fillId="0" borderId="31" xfId="1" applyFont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0" fontId="2" fillId="6" borderId="31" xfId="1" applyFont="1" applyFill="1" applyBorder="1" applyAlignment="1">
      <alignment horizontal="center" vertical="center"/>
    </xf>
    <xf numFmtId="0" fontId="7" fillId="0" borderId="6" xfId="1" applyFont="1" applyBorder="1" applyAlignment="1">
      <alignment horizontal="center" vertical="center" wrapText="1"/>
    </xf>
    <xf numFmtId="1" fontId="1" fillId="0" borderId="0" xfId="1" applyNumberFormat="1" applyFont="1"/>
  </cellXfs>
  <cellStyles count="5">
    <cellStyle name="Millares [0] 2" xfId="3" xr:uid="{B92BE8BB-BA93-46DE-BD76-66EA74F0E142}"/>
    <cellStyle name="Millares 2" xfId="2" xr:uid="{C46F752D-E6E2-4F6C-B7F7-70E7E073D33E}"/>
    <cellStyle name="Normal" xfId="0" builtinId="0"/>
    <cellStyle name="Normal 2" xfId="1" xr:uid="{26EA6FAF-7693-4E7F-A6EE-4FA7D207A447}"/>
    <cellStyle name="Porcentaje 2" xfId="4" xr:uid="{20BF24F2-21AF-410E-B9A7-D43E1ECBE8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7C277-568B-45BC-A168-499DACD067C7}">
  <dimension ref="A1:AD581"/>
  <sheetViews>
    <sheetView topLeftCell="A5" zoomScale="90" zoomScaleNormal="90" workbookViewId="0">
      <selection activeCell="E24" sqref="E24"/>
    </sheetView>
  </sheetViews>
  <sheetFormatPr baseColWidth="10" defaultColWidth="12.59765625" defaultRowHeight="13" x14ac:dyDescent="0.3"/>
  <cols>
    <col min="1" max="1" width="9.59765625" style="1" bestFit="1" customWidth="1"/>
    <col min="2" max="2" width="9.69921875" style="1" bestFit="1" customWidth="1"/>
    <col min="3" max="3" width="12.8984375" style="1" bestFit="1" customWidth="1"/>
    <col min="4" max="12" width="9.8984375" style="1" bestFit="1" customWidth="1"/>
    <col min="13" max="27" width="9.59765625" style="1" bestFit="1" customWidth="1"/>
    <col min="28" max="28" width="13.19921875" style="1" customWidth="1"/>
    <col min="29" max="29" width="11.8984375" style="1" bestFit="1" customWidth="1"/>
    <col min="30" max="30" width="13.796875" style="1" bestFit="1" customWidth="1"/>
    <col min="31" max="16384" width="12.59765625" style="1"/>
  </cols>
  <sheetData>
    <row r="1" spans="1:30" ht="15.5" x14ac:dyDescent="0.35">
      <c r="A1" s="99" t="s">
        <v>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</row>
    <row r="2" spans="1:30" ht="15.5" x14ac:dyDescent="0.35">
      <c r="A2" s="99" t="s">
        <v>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</row>
    <row r="3" spans="1:30" ht="15.5" x14ac:dyDescent="0.35">
      <c r="A3" s="99" t="s">
        <v>2</v>
      </c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</row>
    <row r="5" spans="1:30" ht="13.5" thickBot="1" x14ac:dyDescent="0.35">
      <c r="A5" s="2" t="s">
        <v>3</v>
      </c>
      <c r="B5" s="2" t="s">
        <v>4</v>
      </c>
      <c r="C5" s="3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5" t="s">
        <v>17</v>
      </c>
      <c r="P5" s="6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  <c r="Y5" s="4" t="s">
        <v>27</v>
      </c>
      <c r="Z5" s="4" t="s">
        <v>28</v>
      </c>
      <c r="AA5" s="7" t="s">
        <v>29</v>
      </c>
      <c r="AB5" s="8" t="s">
        <v>30</v>
      </c>
      <c r="AC5" s="8" t="s">
        <v>31</v>
      </c>
      <c r="AD5" s="8" t="s">
        <v>30</v>
      </c>
    </row>
    <row r="6" spans="1:30" ht="13.5" thickBot="1" x14ac:dyDescent="0.35">
      <c r="A6" s="10">
        <v>2026</v>
      </c>
      <c r="B6" s="11" t="s">
        <v>32</v>
      </c>
      <c r="C6" s="12" t="s">
        <v>33</v>
      </c>
      <c r="D6" s="13">
        <v>342010.09737561742</v>
      </c>
      <c r="E6" s="14">
        <v>327888.43428935885</v>
      </c>
      <c r="F6" s="14">
        <v>314628.61135304824</v>
      </c>
      <c r="G6" s="14">
        <v>302254.32469146524</v>
      </c>
      <c r="H6" s="14">
        <v>290241.97478325258</v>
      </c>
      <c r="I6" s="14">
        <v>277551.70450399199</v>
      </c>
      <c r="J6" s="14">
        <v>260241.95189951424</v>
      </c>
      <c r="K6" s="14">
        <v>190920.22188365064</v>
      </c>
      <c r="L6" s="14">
        <v>189774.78026249382</v>
      </c>
      <c r="M6" s="14">
        <v>191783.7891810619</v>
      </c>
      <c r="N6" s="14">
        <v>198252.18326652184</v>
      </c>
      <c r="O6" s="14">
        <v>207722.03602098394</v>
      </c>
      <c r="P6" s="14">
        <v>212020.91562440543</v>
      </c>
      <c r="Q6" s="14">
        <v>228409.68366855438</v>
      </c>
      <c r="R6" s="14">
        <v>244295.28255476485</v>
      </c>
      <c r="S6" s="14">
        <v>250883.39235475991</v>
      </c>
      <c r="T6" s="14">
        <v>252227.65795984393</v>
      </c>
      <c r="U6" s="14">
        <v>268843.30220786028</v>
      </c>
      <c r="V6" s="14">
        <v>279213.59601976996</v>
      </c>
      <c r="W6" s="14">
        <v>292289.2675867182</v>
      </c>
      <c r="X6" s="14">
        <v>307899.59105818567</v>
      </c>
      <c r="Y6" s="14">
        <v>326991.61165745032</v>
      </c>
      <c r="Z6" s="14">
        <v>336751.72139478131</v>
      </c>
      <c r="AA6" s="15">
        <v>330182.15213918121</v>
      </c>
      <c r="AB6" s="96">
        <f>+SUM(D6:AA6)*AC6+SUM(D7:AA7)*AC7+SUM(D8:AA8)*AC8</f>
        <v>199527149.68572468</v>
      </c>
      <c r="AC6" s="16">
        <v>20</v>
      </c>
      <c r="AD6" s="16">
        <f t="shared" ref="AD6:AD69" si="0">+SUM(D6:AA6)*AC6</f>
        <v>128465565.6747447</v>
      </c>
    </row>
    <row r="7" spans="1:30" ht="13.5" thickBot="1" x14ac:dyDescent="0.35">
      <c r="A7" s="18">
        <v>2026</v>
      </c>
      <c r="B7" s="19" t="s">
        <v>32</v>
      </c>
      <c r="C7" s="20" t="s">
        <v>34</v>
      </c>
      <c r="D7" s="21">
        <v>348243.62635611382</v>
      </c>
      <c r="E7" s="22">
        <v>333831.93876432843</v>
      </c>
      <c r="F7" s="22">
        <v>319152.08298436919</v>
      </c>
      <c r="G7" s="22">
        <v>306117.5196926943</v>
      </c>
      <c r="H7" s="22">
        <v>292705.874767904</v>
      </c>
      <c r="I7" s="22">
        <v>280430.7351561159</v>
      </c>
      <c r="J7" s="22">
        <v>262636.02496156743</v>
      </c>
      <c r="K7" s="22">
        <v>195886.81355128068</v>
      </c>
      <c r="L7" s="22">
        <v>197999.57366839287</v>
      </c>
      <c r="M7" s="22">
        <v>202026.66501664888</v>
      </c>
      <c r="N7" s="22">
        <v>211086.88751425891</v>
      </c>
      <c r="O7" s="22">
        <v>225810.65045591336</v>
      </c>
      <c r="P7" s="22">
        <v>235649.24322550316</v>
      </c>
      <c r="Q7" s="22">
        <v>254854.15835704166</v>
      </c>
      <c r="R7" s="22">
        <v>275670.73798697384</v>
      </c>
      <c r="S7" s="22">
        <v>280113.84775092377</v>
      </c>
      <c r="T7" s="22">
        <v>270971.11207038566</v>
      </c>
      <c r="U7" s="22">
        <v>284568.23051260301</v>
      </c>
      <c r="V7" s="22">
        <v>290372.23009634402</v>
      </c>
      <c r="W7" s="22">
        <v>300837.0841717188</v>
      </c>
      <c r="X7" s="22">
        <v>318559.20659586583</v>
      </c>
      <c r="Y7" s="22">
        <v>336225.76102714712</v>
      </c>
      <c r="Z7" s="22">
        <v>344063.73748897947</v>
      </c>
      <c r="AA7" s="23">
        <v>338977.76499619387</v>
      </c>
      <c r="AB7" s="97"/>
      <c r="AC7" s="24">
        <v>5</v>
      </c>
      <c r="AD7" s="16">
        <f t="shared" si="0"/>
        <v>33533957.535846345</v>
      </c>
    </row>
    <row r="8" spans="1:30" ht="13.5" thickBot="1" x14ac:dyDescent="0.35">
      <c r="A8" s="18">
        <v>2026</v>
      </c>
      <c r="B8" s="25" t="s">
        <v>32</v>
      </c>
      <c r="C8" s="26" t="s">
        <v>36</v>
      </c>
      <c r="D8" s="21">
        <v>333571.15568231989</v>
      </c>
      <c r="E8" s="22">
        <v>323738.96330044861</v>
      </c>
      <c r="F8" s="22">
        <v>313276.35737423593</v>
      </c>
      <c r="G8" s="22">
        <v>302488.77442414704</v>
      </c>
      <c r="H8" s="22">
        <v>291423.46252665587</v>
      </c>
      <c r="I8" s="22">
        <v>280921.09037731221</v>
      </c>
      <c r="J8" s="22">
        <v>262950.58517748275</v>
      </c>
      <c r="K8" s="22">
        <v>191126.12138879066</v>
      </c>
      <c r="L8" s="22">
        <v>191025.99246870089</v>
      </c>
      <c r="M8" s="22">
        <v>194077.46360725653</v>
      </c>
      <c r="N8" s="22">
        <v>200611.03531231135</v>
      </c>
      <c r="O8" s="22">
        <v>207604.23369818318</v>
      </c>
      <c r="P8" s="22">
        <v>210694.40764353718</v>
      </c>
      <c r="Q8" s="22">
        <v>222009.41732567991</v>
      </c>
      <c r="R8" s="22">
        <v>231975.3597030919</v>
      </c>
      <c r="S8" s="22">
        <v>235731.42666197833</v>
      </c>
      <c r="T8" s="22">
        <v>238790.84225114938</v>
      </c>
      <c r="U8" s="22">
        <v>266418.25497735356</v>
      </c>
      <c r="V8" s="22">
        <v>272263.50669735222</v>
      </c>
      <c r="W8" s="22">
        <v>277493.25643539638</v>
      </c>
      <c r="X8" s="22">
        <v>286026.29956232372</v>
      </c>
      <c r="Y8" s="22">
        <v>298546.18920526677</v>
      </c>
      <c r="Z8" s="22">
        <v>309750.80580002401</v>
      </c>
      <c r="AA8" s="23">
        <v>312089.41092127131</v>
      </c>
      <c r="AB8" s="97"/>
      <c r="AC8" s="27">
        <v>6</v>
      </c>
      <c r="AD8" s="16">
        <f t="shared" si="0"/>
        <v>37527626.475133613</v>
      </c>
    </row>
    <row r="9" spans="1:30" ht="13.5" thickBot="1" x14ac:dyDescent="0.35">
      <c r="A9" s="18">
        <v>2026</v>
      </c>
      <c r="B9" s="11" t="s">
        <v>35</v>
      </c>
      <c r="C9" s="12" t="s">
        <v>33</v>
      </c>
      <c r="D9" s="21">
        <v>345530.66773114738</v>
      </c>
      <c r="E9" s="22">
        <v>331886.44002332893</v>
      </c>
      <c r="F9" s="22">
        <v>319165.24472025887</v>
      </c>
      <c r="G9" s="22">
        <v>307374.86280349636</v>
      </c>
      <c r="H9" s="22">
        <v>294284.14516707615</v>
      </c>
      <c r="I9" s="22">
        <v>277463.93109630619</v>
      </c>
      <c r="J9" s="22">
        <v>253530.57445836501</v>
      </c>
      <c r="K9" s="22">
        <v>182980.27234761993</v>
      </c>
      <c r="L9" s="22">
        <v>181628.49212845266</v>
      </c>
      <c r="M9" s="22">
        <v>185700.37410357996</v>
      </c>
      <c r="N9" s="22">
        <v>196161.14126927621</v>
      </c>
      <c r="O9" s="22">
        <v>208720.10620129187</v>
      </c>
      <c r="P9" s="22">
        <v>216525.17388925882</v>
      </c>
      <c r="Q9" s="22">
        <v>242259.90856809486</v>
      </c>
      <c r="R9" s="22">
        <v>257667.02327976376</v>
      </c>
      <c r="S9" s="22">
        <v>262749.2825597896</v>
      </c>
      <c r="T9" s="22">
        <v>262495.36508730904</v>
      </c>
      <c r="U9" s="22">
        <v>277872.06351944467</v>
      </c>
      <c r="V9" s="22">
        <v>286775.28416904603</v>
      </c>
      <c r="W9" s="22">
        <v>304663.98128866928</v>
      </c>
      <c r="X9" s="22">
        <v>323936.94579755771</v>
      </c>
      <c r="Y9" s="22">
        <v>342412.3398966617</v>
      </c>
      <c r="Z9" s="22">
        <v>344196.93556730112</v>
      </c>
      <c r="AA9" s="23">
        <v>334922.00665013911</v>
      </c>
      <c r="AB9" s="96">
        <f>+SUM(D9:AA9)*AC9+SUM(D10:AA10)*AC10+SUM(D11:AA11)*AC11</f>
        <v>185219438.78659061</v>
      </c>
      <c r="AC9" s="16">
        <v>20</v>
      </c>
      <c r="AD9" s="16">
        <f t="shared" si="0"/>
        <v>130818051.2464647</v>
      </c>
    </row>
    <row r="10" spans="1:30" ht="13.5" thickBot="1" x14ac:dyDescent="0.35">
      <c r="A10" s="18">
        <v>2026</v>
      </c>
      <c r="B10" s="19" t="s">
        <v>35</v>
      </c>
      <c r="C10" s="20" t="s">
        <v>34</v>
      </c>
      <c r="D10" s="21">
        <v>357343.20916782005</v>
      </c>
      <c r="E10" s="22">
        <v>341625.11409201578</v>
      </c>
      <c r="F10" s="22">
        <v>327681.51940878719</v>
      </c>
      <c r="G10" s="22">
        <v>314309.08486575575</v>
      </c>
      <c r="H10" s="22">
        <v>298648.64545126294</v>
      </c>
      <c r="I10" s="22">
        <v>282531.36211335752</v>
      </c>
      <c r="J10" s="22">
        <v>256617.14679766985</v>
      </c>
      <c r="K10" s="22">
        <v>189069.76557165393</v>
      </c>
      <c r="L10" s="22">
        <v>192231.70704553317</v>
      </c>
      <c r="M10" s="22">
        <v>199031.82247037234</v>
      </c>
      <c r="N10" s="22">
        <v>211326.887297993</v>
      </c>
      <c r="O10" s="22">
        <v>229118.42769947642</v>
      </c>
      <c r="P10" s="22">
        <v>239264.42592386331</v>
      </c>
      <c r="Q10" s="22">
        <v>268728.09049391013</v>
      </c>
      <c r="R10" s="22">
        <v>295156.65908444108</v>
      </c>
      <c r="S10" s="22">
        <v>296687.21383753867</v>
      </c>
      <c r="T10" s="22">
        <v>290046.21604163002</v>
      </c>
      <c r="U10" s="22">
        <v>297285.4020662104</v>
      </c>
      <c r="V10" s="22">
        <v>299377.65130096115</v>
      </c>
      <c r="W10" s="22">
        <v>313515.3593533372</v>
      </c>
      <c r="X10" s="22">
        <v>328201.68077488663</v>
      </c>
      <c r="Y10" s="22">
        <v>345597.87066415121</v>
      </c>
      <c r="Z10" s="22">
        <v>355151.20365221211</v>
      </c>
      <c r="AA10" s="23">
        <v>348902.65582354873</v>
      </c>
      <c r="AB10" s="97"/>
      <c r="AC10" s="24">
        <v>4</v>
      </c>
      <c r="AD10" s="16">
        <f t="shared" si="0"/>
        <v>27509796.483993556</v>
      </c>
    </row>
    <row r="11" spans="1:30" ht="13.5" thickBot="1" x14ac:dyDescent="0.35">
      <c r="A11" s="18">
        <v>2026</v>
      </c>
      <c r="B11" s="25" t="s">
        <v>35</v>
      </c>
      <c r="C11" s="26" t="s">
        <v>36</v>
      </c>
      <c r="D11" s="21">
        <v>359024.87838553236</v>
      </c>
      <c r="E11" s="22">
        <v>344213.77721547172</v>
      </c>
      <c r="F11" s="22">
        <v>331506.47521686676</v>
      </c>
      <c r="G11" s="22">
        <v>318562.49451527075</v>
      </c>
      <c r="H11" s="22">
        <v>305755.48074889265</v>
      </c>
      <c r="I11" s="22">
        <v>295257.00502517697</v>
      </c>
      <c r="J11" s="22">
        <v>274621.48933190998</v>
      </c>
      <c r="K11" s="22">
        <v>202654.24746474047</v>
      </c>
      <c r="L11" s="22">
        <v>205456.06104772474</v>
      </c>
      <c r="M11" s="22">
        <v>214338.18146797759</v>
      </c>
      <c r="N11" s="22">
        <v>225974.65108293583</v>
      </c>
      <c r="O11" s="22">
        <v>238713.10790279476</v>
      </c>
      <c r="P11" s="22">
        <v>236960.79094731234</v>
      </c>
      <c r="Q11" s="22">
        <v>249817.34612138729</v>
      </c>
      <c r="R11" s="22">
        <v>258056.95173971151</v>
      </c>
      <c r="S11" s="22">
        <v>266442.69813450996</v>
      </c>
      <c r="T11" s="22">
        <v>267834.71157415118</v>
      </c>
      <c r="U11" s="22">
        <v>286554.74705826712</v>
      </c>
      <c r="V11" s="22">
        <v>292388.58118574799</v>
      </c>
      <c r="W11" s="22">
        <v>298316.98550999188</v>
      </c>
      <c r="X11" s="22">
        <v>301185.05685833748</v>
      </c>
      <c r="Y11" s="22">
        <v>310088.51305808517</v>
      </c>
      <c r="Z11" s="22">
        <v>319184.67464562826</v>
      </c>
      <c r="AA11" s="23">
        <v>319988.85779466137</v>
      </c>
      <c r="AB11" s="97"/>
      <c r="AC11" s="27">
        <v>4</v>
      </c>
      <c r="AD11" s="16">
        <f t="shared" si="0"/>
        <v>26891591.056132339</v>
      </c>
    </row>
    <row r="12" spans="1:30" ht="13.5" thickBot="1" x14ac:dyDescent="0.35">
      <c r="A12" s="18">
        <v>2026</v>
      </c>
      <c r="B12" s="11" t="s">
        <v>37</v>
      </c>
      <c r="C12" s="12" t="s">
        <v>33</v>
      </c>
      <c r="D12" s="21">
        <v>422759.2527501912</v>
      </c>
      <c r="E12" s="22">
        <v>408062.17579422216</v>
      </c>
      <c r="F12" s="22">
        <v>393771.91082574282</v>
      </c>
      <c r="G12" s="22">
        <v>380849.47167778609</v>
      </c>
      <c r="H12" s="22">
        <v>367154.8139232953</v>
      </c>
      <c r="I12" s="22">
        <v>345948.44179888361</v>
      </c>
      <c r="J12" s="22">
        <v>317879.69612546108</v>
      </c>
      <c r="K12" s="22">
        <v>248648.73828367345</v>
      </c>
      <c r="L12" s="22">
        <v>248267.97963413649</v>
      </c>
      <c r="M12" s="22">
        <v>254123.01920602942</v>
      </c>
      <c r="N12" s="22">
        <v>265158.06831078167</v>
      </c>
      <c r="O12" s="22">
        <v>279903.40322673059</v>
      </c>
      <c r="P12" s="22">
        <v>290178.44484709023</v>
      </c>
      <c r="Q12" s="22">
        <v>314979.82537937991</v>
      </c>
      <c r="R12" s="22">
        <v>330033.19637049531</v>
      </c>
      <c r="S12" s="22">
        <v>335213.63557311427</v>
      </c>
      <c r="T12" s="22">
        <v>335349.82448224298</v>
      </c>
      <c r="U12" s="22">
        <v>348904.68929048453</v>
      </c>
      <c r="V12" s="22">
        <v>359077.7533319486</v>
      </c>
      <c r="W12" s="22">
        <v>381750.0070735389</v>
      </c>
      <c r="X12" s="22">
        <v>401459.1381075292</v>
      </c>
      <c r="Y12" s="22">
        <v>421454.61896977673</v>
      </c>
      <c r="Z12" s="22">
        <v>425924.59917425993</v>
      </c>
      <c r="AA12" s="23">
        <v>414596.52561069082</v>
      </c>
      <c r="AB12" s="96">
        <f>+SUM(D12:AA12)*AC12+SUM(D13:AA13)*AC13+SUM(D14:AA14)*AC14</f>
        <v>258980266.09327894</v>
      </c>
      <c r="AC12" s="16">
        <v>21</v>
      </c>
      <c r="AD12" s="16">
        <f t="shared" si="0"/>
        <v>174120433.82511723</v>
      </c>
    </row>
    <row r="13" spans="1:30" ht="13.5" thickBot="1" x14ac:dyDescent="0.35">
      <c r="A13" s="18">
        <v>2026</v>
      </c>
      <c r="B13" s="19" t="s">
        <v>37</v>
      </c>
      <c r="C13" s="20" t="s">
        <v>34</v>
      </c>
      <c r="D13" s="21">
        <v>436524.53659410123</v>
      </c>
      <c r="E13" s="22">
        <v>419515.27701520332</v>
      </c>
      <c r="F13" s="22">
        <v>403427.82410400524</v>
      </c>
      <c r="G13" s="22">
        <v>387804.63338967646</v>
      </c>
      <c r="H13" s="22">
        <v>370517.69486292952</v>
      </c>
      <c r="I13" s="22">
        <v>346374.44178590423</v>
      </c>
      <c r="J13" s="22">
        <v>314916.70912544138</v>
      </c>
      <c r="K13" s="22">
        <v>249262.10838573211</v>
      </c>
      <c r="L13" s="22">
        <v>253903.3825586095</v>
      </c>
      <c r="M13" s="22">
        <v>262323.75821218232</v>
      </c>
      <c r="N13" s="22">
        <v>277019.07488336577</v>
      </c>
      <c r="O13" s="22">
        <v>292640.9189817424</v>
      </c>
      <c r="P13" s="22">
        <v>305151.4310227196</v>
      </c>
      <c r="Q13" s="22">
        <v>334023.26278503984</v>
      </c>
      <c r="R13" s="22">
        <v>357339.09006637079</v>
      </c>
      <c r="S13" s="22">
        <v>359794.47496624553</v>
      </c>
      <c r="T13" s="22">
        <v>353061.9015516626</v>
      </c>
      <c r="U13" s="22">
        <v>361553.21614032978</v>
      </c>
      <c r="V13" s="22">
        <v>370447.00488782453</v>
      </c>
      <c r="W13" s="22">
        <v>390374.8758628025</v>
      </c>
      <c r="X13" s="22">
        <v>407652.94219403848</v>
      </c>
      <c r="Y13" s="22">
        <v>429179.49264801963</v>
      </c>
      <c r="Z13" s="22">
        <v>438032.78298282286</v>
      </c>
      <c r="AA13" s="23">
        <v>428421.31079773139</v>
      </c>
      <c r="AB13" s="97"/>
      <c r="AC13" s="24">
        <v>4</v>
      </c>
      <c r="AD13" s="16">
        <f t="shared" si="0"/>
        <v>34197048.583218008</v>
      </c>
    </row>
    <row r="14" spans="1:30" ht="13.5" thickBot="1" x14ac:dyDescent="0.35">
      <c r="A14" s="18">
        <v>2026</v>
      </c>
      <c r="B14" s="25" t="s">
        <v>37</v>
      </c>
      <c r="C14" s="26" t="s">
        <v>36</v>
      </c>
      <c r="D14" s="21">
        <v>436408.24341959553</v>
      </c>
      <c r="E14" s="22">
        <v>420188.20730383531</v>
      </c>
      <c r="F14" s="22">
        <v>406490.15649652452</v>
      </c>
      <c r="G14" s="22">
        <v>393484.77170238987</v>
      </c>
      <c r="H14" s="22">
        <v>380350.47594557499</v>
      </c>
      <c r="I14" s="22">
        <v>364903.50032114534</v>
      </c>
      <c r="J14" s="22">
        <v>341785.85361359641</v>
      </c>
      <c r="K14" s="22">
        <v>270097.05577577587</v>
      </c>
      <c r="L14" s="22">
        <v>269148.54172359896</v>
      </c>
      <c r="M14" s="22">
        <v>272724.62528401852</v>
      </c>
      <c r="N14" s="22">
        <v>280608.37201397849</v>
      </c>
      <c r="O14" s="22">
        <v>289696.36157324584</v>
      </c>
      <c r="P14" s="22">
        <v>296925.06711756816</v>
      </c>
      <c r="Q14" s="22">
        <v>312472.32697095722</v>
      </c>
      <c r="R14" s="22">
        <v>328991.79418264254</v>
      </c>
      <c r="S14" s="22">
        <v>332913.31277276197</v>
      </c>
      <c r="T14" s="22">
        <v>332499.0174631034</v>
      </c>
      <c r="U14" s="22">
        <v>354567.16301715205</v>
      </c>
      <c r="V14" s="22">
        <v>365095.9019291235</v>
      </c>
      <c r="W14" s="22">
        <v>376970.80872364814</v>
      </c>
      <c r="X14" s="22">
        <v>386328.54370074446</v>
      </c>
      <c r="Y14" s="22">
        <v>401393.60836850828</v>
      </c>
      <c r="Z14" s="22">
        <v>414114.77754433645</v>
      </c>
      <c r="AA14" s="23">
        <v>415638.79386012303</v>
      </c>
      <c r="AB14" s="97"/>
      <c r="AC14" s="27">
        <v>6</v>
      </c>
      <c r="AD14" s="16">
        <f t="shared" si="0"/>
        <v>50662783.684943691</v>
      </c>
    </row>
    <row r="15" spans="1:30" ht="13.5" thickBot="1" x14ac:dyDescent="0.35">
      <c r="A15" s="18">
        <v>2026</v>
      </c>
      <c r="B15" s="11" t="s">
        <v>38</v>
      </c>
      <c r="C15" s="12" t="s">
        <v>33</v>
      </c>
      <c r="D15" s="21">
        <v>412979.71787959477</v>
      </c>
      <c r="E15" s="22">
        <v>396537.31006057793</v>
      </c>
      <c r="F15" s="22">
        <v>381337.82426070742</v>
      </c>
      <c r="G15" s="22">
        <v>368026.8508412512</v>
      </c>
      <c r="H15" s="22">
        <v>354064.25195017218</v>
      </c>
      <c r="I15" s="22">
        <v>331812.02064351458</v>
      </c>
      <c r="J15" s="22">
        <v>309795.56147759949</v>
      </c>
      <c r="K15" s="22">
        <v>243147.77225842862</v>
      </c>
      <c r="L15" s="22">
        <v>237181.39728608384</v>
      </c>
      <c r="M15" s="22">
        <v>235932.67821237416</v>
      </c>
      <c r="N15" s="22">
        <v>241536.08738424041</v>
      </c>
      <c r="O15" s="22">
        <v>253354.86192425992</v>
      </c>
      <c r="P15" s="22">
        <v>262059.47621414717</v>
      </c>
      <c r="Q15" s="22">
        <v>285946.67888915841</v>
      </c>
      <c r="R15" s="22">
        <v>302644.08462559979</v>
      </c>
      <c r="S15" s="22">
        <v>309247.05075623962</v>
      </c>
      <c r="T15" s="22">
        <v>314864.73710298893</v>
      </c>
      <c r="U15" s="22">
        <v>340666.54735599126</v>
      </c>
      <c r="V15" s="22">
        <v>348822.47677871585</v>
      </c>
      <c r="W15" s="22">
        <v>368781.0755403213</v>
      </c>
      <c r="X15" s="22">
        <v>388316.01077547745</v>
      </c>
      <c r="Y15" s="22">
        <v>407536.72990728001</v>
      </c>
      <c r="Z15" s="22">
        <v>414184.30861626845</v>
      </c>
      <c r="AA15" s="23">
        <v>403102.46412352531</v>
      </c>
      <c r="AB15" s="96">
        <f>+SUM(D15:AA15)*AC15+SUM(D16:AA16)*AC16+SUM(D17:AA17)*AC17</f>
        <v>238384321.27785775</v>
      </c>
      <c r="AC15" s="16">
        <v>20</v>
      </c>
      <c r="AD15" s="16">
        <f t="shared" si="0"/>
        <v>158237559.49729037</v>
      </c>
    </row>
    <row r="16" spans="1:30" ht="13.5" thickBot="1" x14ac:dyDescent="0.35">
      <c r="A16" s="18">
        <v>2026</v>
      </c>
      <c r="B16" s="19" t="s">
        <v>38</v>
      </c>
      <c r="C16" s="20" t="s">
        <v>34</v>
      </c>
      <c r="D16" s="21">
        <v>412288.00412959483</v>
      </c>
      <c r="E16" s="22">
        <v>396121.81456057815</v>
      </c>
      <c r="F16" s="22">
        <v>380472.40376070741</v>
      </c>
      <c r="G16" s="22">
        <v>367033.85009125131</v>
      </c>
      <c r="H16" s="22">
        <v>353316.54695017217</v>
      </c>
      <c r="I16" s="22">
        <v>330593.06514351466</v>
      </c>
      <c r="J16" s="22">
        <v>307705.13747759949</v>
      </c>
      <c r="K16" s="22">
        <v>241911.87500842867</v>
      </c>
      <c r="L16" s="22">
        <v>237992.7322860838</v>
      </c>
      <c r="M16" s="22">
        <v>238599.23196237424</v>
      </c>
      <c r="N16" s="22">
        <v>245918.82938424038</v>
      </c>
      <c r="O16" s="22">
        <v>259669.85067425994</v>
      </c>
      <c r="P16" s="22">
        <v>269878.41146414715</v>
      </c>
      <c r="Q16" s="22">
        <v>294199.24313915835</v>
      </c>
      <c r="R16" s="22">
        <v>311811.88662559981</v>
      </c>
      <c r="S16" s="22">
        <v>317629.05900623964</v>
      </c>
      <c r="T16" s="22">
        <v>320688.31535298895</v>
      </c>
      <c r="U16" s="22">
        <v>341763.77110599127</v>
      </c>
      <c r="V16" s="22">
        <v>348638.83177871589</v>
      </c>
      <c r="W16" s="22">
        <v>370712.50854032137</v>
      </c>
      <c r="X16" s="22">
        <v>392307.51752547745</v>
      </c>
      <c r="Y16" s="22">
        <v>411997.38190727984</v>
      </c>
      <c r="Z16" s="22">
        <v>417474.28936626844</v>
      </c>
      <c r="AA16" s="23">
        <v>404377.97787352512</v>
      </c>
      <c r="AB16" s="97"/>
      <c r="AC16" s="24">
        <v>4</v>
      </c>
      <c r="AD16" s="16">
        <f t="shared" si="0"/>
        <v>31892410.140458077</v>
      </c>
    </row>
    <row r="17" spans="1:30" ht="13.5" thickBot="1" x14ac:dyDescent="0.35">
      <c r="A17" s="18">
        <v>2026</v>
      </c>
      <c r="B17" s="25" t="s">
        <v>38</v>
      </c>
      <c r="C17" s="26" t="s">
        <v>36</v>
      </c>
      <c r="D17" s="21">
        <v>416644.1489386296</v>
      </c>
      <c r="E17" s="22">
        <v>399895.53803374589</v>
      </c>
      <c r="F17" s="22">
        <v>384105.02028189885</v>
      </c>
      <c r="G17" s="22">
        <v>370464.68653848121</v>
      </c>
      <c r="H17" s="22">
        <v>357361.42953427671</v>
      </c>
      <c r="I17" s="22">
        <v>336665.97580142756</v>
      </c>
      <c r="J17" s="22">
        <v>315835.86508834962</v>
      </c>
      <c r="K17" s="22">
        <v>248981.12343089038</v>
      </c>
      <c r="L17" s="22">
        <v>248523.81403722541</v>
      </c>
      <c r="M17" s="22">
        <v>251071.88653952305</v>
      </c>
      <c r="N17" s="22">
        <v>258447.16544894598</v>
      </c>
      <c r="O17" s="22">
        <v>270750.63776131021</v>
      </c>
      <c r="P17" s="22">
        <v>276104.07164908975</v>
      </c>
      <c r="Q17" s="22">
        <v>292164.61049350083</v>
      </c>
      <c r="R17" s="22">
        <v>310715.16970791109</v>
      </c>
      <c r="S17" s="22">
        <v>315918.59559687064</v>
      </c>
      <c r="T17" s="22">
        <v>320312.67378401256</v>
      </c>
      <c r="U17" s="22">
        <v>346758.04850741179</v>
      </c>
      <c r="V17" s="22">
        <v>355024.87574171129</v>
      </c>
      <c r="W17" s="22">
        <v>370131.59007430408</v>
      </c>
      <c r="X17" s="22">
        <v>383384.89859782398</v>
      </c>
      <c r="Y17" s="22">
        <v>399150.476689281</v>
      </c>
      <c r="Z17" s="22">
        <v>408983.96048600966</v>
      </c>
      <c r="AA17" s="23">
        <v>404995.6772555848</v>
      </c>
      <c r="AB17" s="97"/>
      <c r="AC17" s="27">
        <v>6</v>
      </c>
      <c r="AD17" s="16">
        <f t="shared" si="0"/>
        <v>48254351.640109301</v>
      </c>
    </row>
    <row r="18" spans="1:30" ht="13.5" thickBot="1" x14ac:dyDescent="0.35">
      <c r="A18" s="18">
        <v>2026</v>
      </c>
      <c r="B18" s="11" t="s">
        <v>39</v>
      </c>
      <c r="C18" s="12" t="s">
        <v>33</v>
      </c>
      <c r="D18" s="21">
        <v>420632.4960855309</v>
      </c>
      <c r="E18" s="22">
        <v>403552.48234171869</v>
      </c>
      <c r="F18" s="22">
        <v>388182.8662343747</v>
      </c>
      <c r="G18" s="22">
        <v>374618.33701592078</v>
      </c>
      <c r="H18" s="22">
        <v>360607.26210906805</v>
      </c>
      <c r="I18" s="22">
        <v>338853.79230662622</v>
      </c>
      <c r="J18" s="22">
        <v>315375.37986326631</v>
      </c>
      <c r="K18" s="22">
        <v>249517.79833575813</v>
      </c>
      <c r="L18" s="22">
        <v>245165.19615785146</v>
      </c>
      <c r="M18" s="22">
        <v>244857.87208719918</v>
      </c>
      <c r="N18" s="22">
        <v>251973.13353246887</v>
      </c>
      <c r="O18" s="22">
        <v>264623.67037574988</v>
      </c>
      <c r="P18" s="22">
        <v>273690.77805736894</v>
      </c>
      <c r="Q18" s="22">
        <v>298660.72652806796</v>
      </c>
      <c r="R18" s="22">
        <v>316246.42396730295</v>
      </c>
      <c r="S18" s="22">
        <v>321931.46764254314</v>
      </c>
      <c r="T18" s="22">
        <v>325833.28292471473</v>
      </c>
      <c r="U18" s="22">
        <v>348629.791964203</v>
      </c>
      <c r="V18" s="22">
        <v>357384.16059696971</v>
      </c>
      <c r="W18" s="22">
        <v>377413.13007277047</v>
      </c>
      <c r="X18" s="22">
        <v>397744.89574971283</v>
      </c>
      <c r="Y18" s="22">
        <v>416578.31407791155</v>
      </c>
      <c r="Z18" s="22">
        <v>422680.7249785515</v>
      </c>
      <c r="AA18" s="23">
        <v>410941.64758184174</v>
      </c>
      <c r="AB18" s="96">
        <f>+SUM(D18:AA18)*AC18+SUM(D19:AA19)*AC19+SUM(D20:AA20)*AC20</f>
        <v>252154852.2506488</v>
      </c>
      <c r="AC18" s="16">
        <v>19</v>
      </c>
      <c r="AD18" s="16">
        <f t="shared" si="0"/>
        <v>154388216.98116231</v>
      </c>
    </row>
    <row r="19" spans="1:30" ht="13.5" thickBot="1" x14ac:dyDescent="0.35">
      <c r="A19" s="18">
        <v>2026</v>
      </c>
      <c r="B19" s="19" t="s">
        <v>39</v>
      </c>
      <c r="C19" s="20" t="s">
        <v>34</v>
      </c>
      <c r="D19" s="21">
        <v>422058.61674261244</v>
      </c>
      <c r="E19" s="22">
        <v>404526.0946912106</v>
      </c>
      <c r="F19" s="22">
        <v>389254.86694580625</v>
      </c>
      <c r="G19" s="22">
        <v>375247.44517851784</v>
      </c>
      <c r="H19" s="22">
        <v>361083.49875604198</v>
      </c>
      <c r="I19" s="22">
        <v>337832.24535994011</v>
      </c>
      <c r="J19" s="22">
        <v>312996.34729379311</v>
      </c>
      <c r="K19" s="22">
        <v>249546.73984484427</v>
      </c>
      <c r="L19" s="22">
        <v>248433.61944585346</v>
      </c>
      <c r="M19" s="22">
        <v>250765.86138583213</v>
      </c>
      <c r="N19" s="22">
        <v>259995.79687371891</v>
      </c>
      <c r="O19" s="22">
        <v>274090.51622639841</v>
      </c>
      <c r="P19" s="22">
        <v>283076.38488238241</v>
      </c>
      <c r="Q19" s="22">
        <v>313625.66917036963</v>
      </c>
      <c r="R19" s="22">
        <v>331429.28440804931</v>
      </c>
      <c r="S19" s="22">
        <v>336247.78069629148</v>
      </c>
      <c r="T19" s="22">
        <v>338619.34860101214</v>
      </c>
      <c r="U19" s="22">
        <v>356242.22312773141</v>
      </c>
      <c r="V19" s="22">
        <v>363475.37212684203</v>
      </c>
      <c r="W19" s="22">
        <v>385729.62134774053</v>
      </c>
      <c r="X19" s="22">
        <v>408539.04661640211</v>
      </c>
      <c r="Y19" s="22">
        <v>427746.3833112304</v>
      </c>
      <c r="Z19" s="22">
        <v>431630.30835603614</v>
      </c>
      <c r="AA19" s="23">
        <v>416278.25613174372</v>
      </c>
      <c r="AB19" s="97"/>
      <c r="AC19" s="24">
        <v>5</v>
      </c>
      <c r="AD19" s="16">
        <f t="shared" si="0"/>
        <v>41392356.637602009</v>
      </c>
    </row>
    <row r="20" spans="1:30" ht="13.5" thickBot="1" x14ac:dyDescent="0.35">
      <c r="A20" s="18">
        <v>2026</v>
      </c>
      <c r="B20" s="25" t="s">
        <v>39</v>
      </c>
      <c r="C20" s="26" t="s">
        <v>36</v>
      </c>
      <c r="D20" s="21">
        <v>420638.39556678419</v>
      </c>
      <c r="E20" s="22">
        <v>404695.52022913069</v>
      </c>
      <c r="F20" s="22">
        <v>389092.27659012575</v>
      </c>
      <c r="G20" s="22">
        <v>375833.64136508957</v>
      </c>
      <c r="H20" s="22">
        <v>363259.17277346057</v>
      </c>
      <c r="I20" s="22">
        <v>345942.08312818065</v>
      </c>
      <c r="J20" s="22">
        <v>326650.74211979756</v>
      </c>
      <c r="K20" s="22">
        <v>256413.44543867177</v>
      </c>
      <c r="L20" s="22">
        <v>250894.02780485371</v>
      </c>
      <c r="M20" s="22">
        <v>250481.64588364243</v>
      </c>
      <c r="N20" s="22">
        <v>255628.3361736506</v>
      </c>
      <c r="O20" s="22">
        <v>266458.19273299334</v>
      </c>
      <c r="P20" s="22">
        <v>271822.09709230164</v>
      </c>
      <c r="Q20" s="22">
        <v>283194.62214201305</v>
      </c>
      <c r="R20" s="22">
        <v>299990.23083546117</v>
      </c>
      <c r="S20" s="22">
        <v>307304.99135739729</v>
      </c>
      <c r="T20" s="22">
        <v>313881.13006318029</v>
      </c>
      <c r="U20" s="22">
        <v>345400.69564878976</v>
      </c>
      <c r="V20" s="22">
        <v>357372.58975892997</v>
      </c>
      <c r="W20" s="22">
        <v>371168.01864312793</v>
      </c>
      <c r="X20" s="22">
        <v>383057.88579368492</v>
      </c>
      <c r="Y20" s="22">
        <v>399054.65635799657</v>
      </c>
      <c r="Z20" s="22">
        <v>409210.6021193309</v>
      </c>
      <c r="AA20" s="23">
        <v>406023.37636490364</v>
      </c>
      <c r="AB20" s="97"/>
      <c r="AC20" s="27">
        <v>7</v>
      </c>
      <c r="AD20" s="16">
        <f t="shared" si="0"/>
        <v>56374278.631884478</v>
      </c>
    </row>
    <row r="21" spans="1:30" ht="13.5" thickBot="1" x14ac:dyDescent="0.35">
      <c r="A21" s="18">
        <v>2026</v>
      </c>
      <c r="B21" s="11" t="s">
        <v>40</v>
      </c>
      <c r="C21" s="12" t="s">
        <v>33</v>
      </c>
      <c r="D21" s="21">
        <v>431560.3401346</v>
      </c>
      <c r="E21" s="22">
        <v>414465.18041305325</v>
      </c>
      <c r="F21" s="22">
        <v>398931.27794247441</v>
      </c>
      <c r="G21" s="22">
        <v>385585.72650454193</v>
      </c>
      <c r="H21" s="22">
        <v>371770.67414639978</v>
      </c>
      <c r="I21" s="22">
        <v>350173.07630720478</v>
      </c>
      <c r="J21" s="22">
        <v>326935.32839360292</v>
      </c>
      <c r="K21" s="22">
        <v>259793.98466592905</v>
      </c>
      <c r="L21" s="22">
        <v>253168.15623104866</v>
      </c>
      <c r="M21" s="22">
        <v>251885.28976196982</v>
      </c>
      <c r="N21" s="22">
        <v>258265.12872699791</v>
      </c>
      <c r="O21" s="22">
        <v>270882.57042231178</v>
      </c>
      <c r="P21" s="22">
        <v>280747.64839057624</v>
      </c>
      <c r="Q21" s="22">
        <v>304872.81678224745</v>
      </c>
      <c r="R21" s="22">
        <v>321616.40625658375</v>
      </c>
      <c r="S21" s="22">
        <v>327438.45816094987</v>
      </c>
      <c r="T21" s="22">
        <v>331014.16441329179</v>
      </c>
      <c r="U21" s="22">
        <v>354162.60016116704</v>
      </c>
      <c r="V21" s="22">
        <v>366699.21839843754</v>
      </c>
      <c r="W21" s="22">
        <v>387438.6209928501</v>
      </c>
      <c r="X21" s="22">
        <v>408318.88681853394</v>
      </c>
      <c r="Y21" s="22">
        <v>427573.66345277405</v>
      </c>
      <c r="Z21" s="22">
        <v>433384.53412389458</v>
      </c>
      <c r="AA21" s="23">
        <v>421607.50108272844</v>
      </c>
      <c r="AB21" s="96">
        <f>+SUM(D21:AA21)*AC21+SUM(D22:AA22)*AC22+SUM(D23:AA23)*AC23</f>
        <v>250024862.29819569</v>
      </c>
      <c r="AC21" s="16">
        <v>19</v>
      </c>
      <c r="AD21" s="16">
        <f t="shared" si="0"/>
        <v>158427533.80099922</v>
      </c>
    </row>
    <row r="22" spans="1:30" ht="13.5" thickBot="1" x14ac:dyDescent="0.35">
      <c r="A22" s="18">
        <v>2026</v>
      </c>
      <c r="B22" s="19" t="s">
        <v>40</v>
      </c>
      <c r="C22" s="20" t="s">
        <v>34</v>
      </c>
      <c r="D22" s="21">
        <v>433058.4486119941</v>
      </c>
      <c r="E22" s="22">
        <v>414766.10606741754</v>
      </c>
      <c r="F22" s="22">
        <v>399047.4544992483</v>
      </c>
      <c r="G22" s="22">
        <v>385041.20250933623</v>
      </c>
      <c r="H22" s="22">
        <v>370581.70053043374</v>
      </c>
      <c r="I22" s="22">
        <v>347300.61148138664</v>
      </c>
      <c r="J22" s="22">
        <v>322827.90669603151</v>
      </c>
      <c r="K22" s="22">
        <v>259776.88135045717</v>
      </c>
      <c r="L22" s="22">
        <v>259324.08144019084</v>
      </c>
      <c r="M22" s="22">
        <v>261437.52556766625</v>
      </c>
      <c r="N22" s="22">
        <v>269974.30919807905</v>
      </c>
      <c r="O22" s="22">
        <v>284121.20561198733</v>
      </c>
      <c r="P22" s="22">
        <v>293533.86350139952</v>
      </c>
      <c r="Q22" s="22">
        <v>324159.34177542222</v>
      </c>
      <c r="R22" s="22">
        <v>343700.06322855846</v>
      </c>
      <c r="S22" s="22">
        <v>347871.81844238238</v>
      </c>
      <c r="T22" s="22">
        <v>348380.08782761684</v>
      </c>
      <c r="U22" s="22">
        <v>365100.27658782754</v>
      </c>
      <c r="V22" s="22">
        <v>374446.10671379836</v>
      </c>
      <c r="W22" s="22">
        <v>395975.60235246067</v>
      </c>
      <c r="X22" s="22">
        <v>419419.22393633262</v>
      </c>
      <c r="Y22" s="22">
        <v>439371.66447415989</v>
      </c>
      <c r="Z22" s="22">
        <v>443727.68952260591</v>
      </c>
      <c r="AA22" s="23">
        <v>428555.36640656524</v>
      </c>
      <c r="AB22" s="97"/>
      <c r="AC22" s="24">
        <v>4</v>
      </c>
      <c r="AD22" s="16">
        <f t="shared" si="0"/>
        <v>34125994.153333426</v>
      </c>
    </row>
    <row r="23" spans="1:30" ht="13.5" thickBot="1" x14ac:dyDescent="0.35">
      <c r="A23" s="18">
        <v>2026</v>
      </c>
      <c r="B23" s="25" t="s">
        <v>40</v>
      </c>
      <c r="C23" s="26" t="s">
        <v>36</v>
      </c>
      <c r="D23" s="21">
        <v>427706.84853945376</v>
      </c>
      <c r="E23" s="22">
        <v>411947.72928099433</v>
      </c>
      <c r="F23" s="22">
        <v>396341.76102643617</v>
      </c>
      <c r="G23" s="22">
        <v>382869.05531351001</v>
      </c>
      <c r="H23" s="22">
        <v>370413.06736291462</v>
      </c>
      <c r="I23" s="22">
        <v>354119.86246291082</v>
      </c>
      <c r="J23" s="22">
        <v>335005.85385313787</v>
      </c>
      <c r="K23" s="22">
        <v>263754.55970572674</v>
      </c>
      <c r="L23" s="22">
        <v>256418.71938463836</v>
      </c>
      <c r="M23" s="22">
        <v>253961.46721791686</v>
      </c>
      <c r="N23" s="22">
        <v>258626.12797755265</v>
      </c>
      <c r="O23" s="22">
        <v>269713.76782587974</v>
      </c>
      <c r="P23" s="22">
        <v>276074.67051854648</v>
      </c>
      <c r="Q23" s="22">
        <v>288587.05212263588</v>
      </c>
      <c r="R23" s="22">
        <v>305653.02242699958</v>
      </c>
      <c r="S23" s="22">
        <v>313094.62950513547</v>
      </c>
      <c r="T23" s="22">
        <v>319060.06377789559</v>
      </c>
      <c r="U23" s="22">
        <v>348990.51534531586</v>
      </c>
      <c r="V23" s="22">
        <v>362919.40910146013</v>
      </c>
      <c r="W23" s="22">
        <v>378473.74911645881</v>
      </c>
      <c r="X23" s="22">
        <v>392384.03980864695</v>
      </c>
      <c r="Y23" s="22">
        <v>409899.37822612148</v>
      </c>
      <c r="Z23" s="22">
        <v>419402.32602853043</v>
      </c>
      <c r="AA23" s="23">
        <v>414772.94462304568</v>
      </c>
      <c r="AB23" s="97"/>
      <c r="AC23" s="27">
        <v>7</v>
      </c>
      <c r="AD23" s="16">
        <f t="shared" si="0"/>
        <v>57471334.34386304</v>
      </c>
    </row>
    <row r="24" spans="1:30" ht="13.5" thickBot="1" x14ac:dyDescent="0.35">
      <c r="A24" s="18">
        <v>2026</v>
      </c>
      <c r="B24" s="11" t="s">
        <v>41</v>
      </c>
      <c r="C24" s="12" t="s">
        <v>33</v>
      </c>
      <c r="D24" s="21">
        <v>416928.78939693084</v>
      </c>
      <c r="E24" s="22">
        <v>400048.8059856802</v>
      </c>
      <c r="F24" s="22">
        <v>384775.68130174145</v>
      </c>
      <c r="G24" s="22">
        <v>371610.00291393953</v>
      </c>
      <c r="H24" s="22">
        <v>358154.08817931864</v>
      </c>
      <c r="I24" s="22">
        <v>336608.35914228647</v>
      </c>
      <c r="J24" s="22">
        <v>313254.2610052643</v>
      </c>
      <c r="K24" s="22">
        <v>247770.10475656844</v>
      </c>
      <c r="L24" s="22">
        <v>243056.16708920524</v>
      </c>
      <c r="M24" s="22">
        <v>242975.18065612373</v>
      </c>
      <c r="N24" s="22">
        <v>249823.09237703515</v>
      </c>
      <c r="O24" s="22">
        <v>262314.14805322426</v>
      </c>
      <c r="P24" s="22">
        <v>270793.18413770472</v>
      </c>
      <c r="Q24" s="22">
        <v>295717.11349986074</v>
      </c>
      <c r="R24" s="22">
        <v>313150.66673754354</v>
      </c>
      <c r="S24" s="22">
        <v>318462.35504799342</v>
      </c>
      <c r="T24" s="22">
        <v>321950.66158427333</v>
      </c>
      <c r="U24" s="22">
        <v>344714.86760149268</v>
      </c>
      <c r="V24" s="22">
        <v>357897.24462800001</v>
      </c>
      <c r="W24" s="22">
        <v>376775.89299454814</v>
      </c>
      <c r="X24" s="22">
        <v>396941.10281903949</v>
      </c>
      <c r="Y24" s="22">
        <v>415044.65341354086</v>
      </c>
      <c r="Z24" s="22">
        <v>419487.60196762811</v>
      </c>
      <c r="AA24" s="23">
        <v>406586.51001466898</v>
      </c>
      <c r="AB24" s="96">
        <f>+SUM(D24:AA24)*AC24+SUM(D25:AA25)*AC25+SUM(D26:AA26)*AC26</f>
        <v>250424849.68652076</v>
      </c>
      <c r="AC24" s="16">
        <v>22</v>
      </c>
      <c r="AD24" s="16">
        <f t="shared" si="0"/>
        <v>177426491.77667946</v>
      </c>
    </row>
    <row r="25" spans="1:30" ht="13.5" thickBot="1" x14ac:dyDescent="0.35">
      <c r="A25" s="18">
        <v>2026</v>
      </c>
      <c r="B25" s="19" t="s">
        <v>41</v>
      </c>
      <c r="C25" s="20" t="s">
        <v>34</v>
      </c>
      <c r="D25" s="21">
        <v>415139.86190709658</v>
      </c>
      <c r="E25" s="22">
        <v>397619.38546101889</v>
      </c>
      <c r="F25" s="22">
        <v>382403.9399768805</v>
      </c>
      <c r="G25" s="22">
        <v>368976.8251482062</v>
      </c>
      <c r="H25" s="22">
        <v>355041.26606250292</v>
      </c>
      <c r="I25" s="22">
        <v>332217.99057362054</v>
      </c>
      <c r="J25" s="22">
        <v>308039.0560765565</v>
      </c>
      <c r="K25" s="22">
        <v>246598.91126032011</v>
      </c>
      <c r="L25" s="22">
        <v>246236.19946005082</v>
      </c>
      <c r="M25" s="22">
        <v>248954.89111898813</v>
      </c>
      <c r="N25" s="22">
        <v>258482.86087316193</v>
      </c>
      <c r="O25" s="22">
        <v>273921.07200992783</v>
      </c>
      <c r="P25" s="22">
        <v>284776.12198251137</v>
      </c>
      <c r="Q25" s="22">
        <v>315095.30655116669</v>
      </c>
      <c r="R25" s="22">
        <v>335461.23893025902</v>
      </c>
      <c r="S25" s="22">
        <v>340978.11895903962</v>
      </c>
      <c r="T25" s="22">
        <v>342597.19360085018</v>
      </c>
      <c r="U25" s="22">
        <v>359159.83338162635</v>
      </c>
      <c r="V25" s="22">
        <v>369217.88005044335</v>
      </c>
      <c r="W25" s="22">
        <v>390875.60536688461</v>
      </c>
      <c r="X25" s="22">
        <v>413205.32948002615</v>
      </c>
      <c r="Y25" s="22">
        <v>432472.95129586873</v>
      </c>
      <c r="Z25" s="22">
        <v>435543.86552899826</v>
      </c>
      <c r="AA25" s="23">
        <v>419339.35586340545</v>
      </c>
      <c r="AB25" s="97"/>
      <c r="AC25" s="24">
        <v>4</v>
      </c>
      <c r="AD25" s="16">
        <f t="shared" si="0"/>
        <v>33089420.243677638</v>
      </c>
    </row>
    <row r="26" spans="1:30" ht="13.5" thickBot="1" x14ac:dyDescent="0.35">
      <c r="A26" s="18">
        <v>2026</v>
      </c>
      <c r="B26" s="25" t="s">
        <v>41</v>
      </c>
      <c r="C26" s="26" t="s">
        <v>36</v>
      </c>
      <c r="D26" s="21">
        <v>416435.55880989612</v>
      </c>
      <c r="E26" s="22">
        <v>400221.25875298656</v>
      </c>
      <c r="F26" s="22">
        <v>384500.65784914914</v>
      </c>
      <c r="G26" s="22">
        <v>371158.38097375893</v>
      </c>
      <c r="H26" s="22">
        <v>358777.68256457755</v>
      </c>
      <c r="I26" s="22">
        <v>341819.74812307663</v>
      </c>
      <c r="J26" s="22">
        <v>323207.35491817235</v>
      </c>
      <c r="K26" s="22">
        <v>254544.12084233054</v>
      </c>
      <c r="L26" s="22">
        <v>249945.15541241606</v>
      </c>
      <c r="M26" s="22">
        <v>249837.19395093387</v>
      </c>
      <c r="N26" s="22">
        <v>255327.97900703573</v>
      </c>
      <c r="O26" s="22">
        <v>266122.19907175843</v>
      </c>
      <c r="P26" s="22">
        <v>271959.20886798314</v>
      </c>
      <c r="Q26" s="22">
        <v>283682.97887391853</v>
      </c>
      <c r="R26" s="22">
        <v>301829.8126983486</v>
      </c>
      <c r="S26" s="22">
        <v>307104.77441154968</v>
      </c>
      <c r="T26" s="22">
        <v>311585.85052910238</v>
      </c>
      <c r="U26" s="22">
        <v>342065.39487482741</v>
      </c>
      <c r="V26" s="22">
        <v>356819.89160026761</v>
      </c>
      <c r="W26" s="22">
        <v>367103.90288591711</v>
      </c>
      <c r="X26" s="22">
        <v>377399.21368129936</v>
      </c>
      <c r="Y26" s="22">
        <v>391240.83556064276</v>
      </c>
      <c r="Z26" s="22">
        <v>400679.12879256532</v>
      </c>
      <c r="AA26" s="23">
        <v>398419.25018021406</v>
      </c>
      <c r="AB26" s="97"/>
      <c r="AC26" s="27">
        <v>5</v>
      </c>
      <c r="AD26" s="16">
        <f t="shared" si="0"/>
        <v>39908937.666163638</v>
      </c>
    </row>
    <row r="27" spans="1:30" ht="13.5" thickBot="1" x14ac:dyDescent="0.35">
      <c r="A27" s="18">
        <v>2026</v>
      </c>
      <c r="B27" s="11" t="s">
        <v>42</v>
      </c>
      <c r="C27" s="12" t="s">
        <v>33</v>
      </c>
      <c r="D27" s="21">
        <v>431669.184039324</v>
      </c>
      <c r="E27" s="22">
        <v>414651.60694071231</v>
      </c>
      <c r="F27" s="22">
        <v>399310.71799537807</v>
      </c>
      <c r="G27" s="22">
        <v>385924.67451704311</v>
      </c>
      <c r="H27" s="22">
        <v>372300.43895714433</v>
      </c>
      <c r="I27" s="22">
        <v>350071.26770998474</v>
      </c>
      <c r="J27" s="22">
        <v>326927.34309601458</v>
      </c>
      <c r="K27" s="22">
        <v>260094.88517410657</v>
      </c>
      <c r="L27" s="22">
        <v>253521.52551941673</v>
      </c>
      <c r="M27" s="22">
        <v>252395.71325929591</v>
      </c>
      <c r="N27" s="22">
        <v>258599.06587453652</v>
      </c>
      <c r="O27" s="22">
        <v>270835.36641916208</v>
      </c>
      <c r="P27" s="22">
        <v>280640.6186688072</v>
      </c>
      <c r="Q27" s="22">
        <v>305501.47012872377</v>
      </c>
      <c r="R27" s="22">
        <v>322928.79250085319</v>
      </c>
      <c r="S27" s="22">
        <v>329181.21478120791</v>
      </c>
      <c r="T27" s="22">
        <v>332681.16293530026</v>
      </c>
      <c r="U27" s="22">
        <v>355210.69789755868</v>
      </c>
      <c r="V27" s="22">
        <v>367616.67496951902</v>
      </c>
      <c r="W27" s="22">
        <v>389697.33342162112</v>
      </c>
      <c r="X27" s="22">
        <v>410162.91297836357</v>
      </c>
      <c r="Y27" s="22">
        <v>429542.15052134841</v>
      </c>
      <c r="Z27" s="22">
        <v>435596.65639098058</v>
      </c>
      <c r="AA27" s="23">
        <v>424039.54526030162</v>
      </c>
      <c r="AB27" s="96">
        <f>+SUM(D27:AA27)*AC27+SUM(D28:AA28)*AC28+SUM(D29:AA29)*AC29</f>
        <v>260767326.76998991</v>
      </c>
      <c r="AC27" s="16">
        <v>19</v>
      </c>
      <c r="AD27" s="16">
        <f t="shared" si="0"/>
        <v>158822919.37917742</v>
      </c>
    </row>
    <row r="28" spans="1:30" ht="13.5" thickBot="1" x14ac:dyDescent="0.35">
      <c r="A28" s="18">
        <v>2026</v>
      </c>
      <c r="B28" s="19" t="s">
        <v>42</v>
      </c>
      <c r="C28" s="20" t="s">
        <v>34</v>
      </c>
      <c r="D28" s="21">
        <v>442823.32155509002</v>
      </c>
      <c r="E28" s="22">
        <v>424588.57379771757</v>
      </c>
      <c r="F28" s="22">
        <v>408609.99282105983</v>
      </c>
      <c r="G28" s="22">
        <v>394817.8612891098</v>
      </c>
      <c r="H28" s="22">
        <v>380662.47243510315</v>
      </c>
      <c r="I28" s="22">
        <v>356025.1597182572</v>
      </c>
      <c r="J28" s="22">
        <v>330672.33671921236</v>
      </c>
      <c r="K28" s="22">
        <v>267992.5735515228</v>
      </c>
      <c r="L28" s="22">
        <v>266925.00278309872</v>
      </c>
      <c r="M28" s="22">
        <v>268626.73822893848</v>
      </c>
      <c r="N28" s="22">
        <v>277181.2124811759</v>
      </c>
      <c r="O28" s="22">
        <v>291226.41719737946</v>
      </c>
      <c r="P28" s="22">
        <v>300241.89214707853</v>
      </c>
      <c r="Q28" s="22">
        <v>329832.48127371684</v>
      </c>
      <c r="R28" s="22">
        <v>349651.32107762224</v>
      </c>
      <c r="S28" s="22">
        <v>354225.59933466086</v>
      </c>
      <c r="T28" s="22">
        <v>354268.81055719464</v>
      </c>
      <c r="U28" s="22">
        <v>370049.00436695857</v>
      </c>
      <c r="V28" s="22">
        <v>378393.21561867243</v>
      </c>
      <c r="W28" s="22">
        <v>402399.44334542216</v>
      </c>
      <c r="X28" s="22">
        <v>426075.64526445593</v>
      </c>
      <c r="Y28" s="22">
        <v>445923.30320273573</v>
      </c>
      <c r="Z28" s="22">
        <v>449174.58634205535</v>
      </c>
      <c r="AA28" s="23">
        <v>432324.19902406412</v>
      </c>
      <c r="AB28" s="97"/>
      <c r="AC28" s="24">
        <v>5</v>
      </c>
      <c r="AD28" s="16">
        <f t="shared" si="0"/>
        <v>43513555.820661522</v>
      </c>
    </row>
    <row r="29" spans="1:30" ht="13.5" thickBot="1" x14ac:dyDescent="0.35">
      <c r="A29" s="18">
        <v>2026</v>
      </c>
      <c r="B29" s="25" t="s">
        <v>42</v>
      </c>
      <c r="C29" s="26" t="s">
        <v>36</v>
      </c>
      <c r="D29" s="21">
        <v>432149.93811289972</v>
      </c>
      <c r="E29" s="22">
        <v>415681.32821416308</v>
      </c>
      <c r="F29" s="22">
        <v>399935.6714228341</v>
      </c>
      <c r="G29" s="22">
        <v>386306.05973576335</v>
      </c>
      <c r="H29" s="22">
        <v>373507.19906205375</v>
      </c>
      <c r="I29" s="22">
        <v>356149.86971071718</v>
      </c>
      <c r="J29" s="22">
        <v>336986.67029211216</v>
      </c>
      <c r="K29" s="22">
        <v>267646.26245199825</v>
      </c>
      <c r="L29" s="22">
        <v>262679.70523843094</v>
      </c>
      <c r="M29" s="22">
        <v>261867.32820162521</v>
      </c>
      <c r="N29" s="22">
        <v>267267.28536682675</v>
      </c>
      <c r="O29" s="22">
        <v>278038.75216956</v>
      </c>
      <c r="P29" s="22">
        <v>284128.01384570537</v>
      </c>
      <c r="Q29" s="22">
        <v>296051.72024690697</v>
      </c>
      <c r="R29" s="22">
        <v>314433.74500049237</v>
      </c>
      <c r="S29" s="22">
        <v>321773.07459642884</v>
      </c>
      <c r="T29" s="22">
        <v>327007.48871643079</v>
      </c>
      <c r="U29" s="22">
        <v>356870.03310369764</v>
      </c>
      <c r="V29" s="22">
        <v>370882.39444412041</v>
      </c>
      <c r="W29" s="22">
        <v>385873.85272303317</v>
      </c>
      <c r="X29" s="22">
        <v>397406.82396011945</v>
      </c>
      <c r="Y29" s="22">
        <v>412852.53058631282</v>
      </c>
      <c r="Z29" s="22">
        <v>422770.16472889937</v>
      </c>
      <c r="AA29" s="23">
        <v>418998.59809043241</v>
      </c>
      <c r="AB29" s="97"/>
      <c r="AC29" s="27">
        <v>7</v>
      </c>
      <c r="AD29" s="16">
        <f t="shared" si="0"/>
        <v>58430851.570150957</v>
      </c>
    </row>
    <row r="30" spans="1:30" ht="13.5" thickBot="1" x14ac:dyDescent="0.35">
      <c r="A30" s="18">
        <v>2026</v>
      </c>
      <c r="B30" s="11" t="s">
        <v>43</v>
      </c>
      <c r="C30" s="12" t="s">
        <v>33</v>
      </c>
      <c r="D30" s="21">
        <v>435785.0581135024</v>
      </c>
      <c r="E30" s="22">
        <v>418469.90725990577</v>
      </c>
      <c r="F30" s="22">
        <v>402947.55757893267</v>
      </c>
      <c r="G30" s="22">
        <v>389302.69480380858</v>
      </c>
      <c r="H30" s="22">
        <v>375295.96671670978</v>
      </c>
      <c r="I30" s="22">
        <v>352265.26154363086</v>
      </c>
      <c r="J30" s="22">
        <v>328829.50750474032</v>
      </c>
      <c r="K30" s="22">
        <v>263159.99386610335</v>
      </c>
      <c r="L30" s="22">
        <v>257341.14154202127</v>
      </c>
      <c r="M30" s="22">
        <v>256670.84723748884</v>
      </c>
      <c r="N30" s="22">
        <v>262925.57258283877</v>
      </c>
      <c r="O30" s="22">
        <v>275289.24469998974</v>
      </c>
      <c r="P30" s="22">
        <v>283966.82082490664</v>
      </c>
      <c r="Q30" s="22">
        <v>309074.90690501052</v>
      </c>
      <c r="R30" s="22">
        <v>327163.84723975457</v>
      </c>
      <c r="S30" s="22">
        <v>332907.9548917099</v>
      </c>
      <c r="T30" s="22">
        <v>335760.81053847878</v>
      </c>
      <c r="U30" s="22">
        <v>356382.47508834756</v>
      </c>
      <c r="V30" s="22">
        <v>364731.21268518904</v>
      </c>
      <c r="W30" s="22">
        <v>389123.51021238783</v>
      </c>
      <c r="X30" s="22">
        <v>410496.29640670825</v>
      </c>
      <c r="Y30" s="22">
        <v>429834.17621312122</v>
      </c>
      <c r="Z30" s="22">
        <v>435834.66521163663</v>
      </c>
      <c r="AA30" s="23">
        <v>423706.33112478774</v>
      </c>
      <c r="AB30" s="96">
        <f>+SUM(D30:AA30)*AC30+SUM(D31:AA31)*AC31+SUM(D32:AA32)*AC32</f>
        <v>254428254.16417238</v>
      </c>
      <c r="AC30" s="16">
        <v>22</v>
      </c>
      <c r="AD30" s="16">
        <f t="shared" si="0"/>
        <v>185179846.73741761</v>
      </c>
    </row>
    <row r="31" spans="1:30" ht="13.5" thickBot="1" x14ac:dyDescent="0.35">
      <c r="A31" s="18">
        <v>2026</v>
      </c>
      <c r="B31" s="19" t="s">
        <v>43</v>
      </c>
      <c r="C31" s="20" t="s">
        <v>34</v>
      </c>
      <c r="D31" s="21">
        <v>435476.61273576366</v>
      </c>
      <c r="E31" s="22">
        <v>417621.88578645629</v>
      </c>
      <c r="F31" s="22">
        <v>402203.38945232664</v>
      </c>
      <c r="G31" s="22">
        <v>388424.09448855638</v>
      </c>
      <c r="H31" s="22">
        <v>374113.8079654235</v>
      </c>
      <c r="I31" s="22">
        <v>349938.43822360458</v>
      </c>
      <c r="J31" s="22">
        <v>325712.81905461004</v>
      </c>
      <c r="K31" s="22">
        <v>264295.2254217983</v>
      </c>
      <c r="L31" s="22">
        <v>264748.10524603288</v>
      </c>
      <c r="M31" s="22">
        <v>267881.27408175578</v>
      </c>
      <c r="N31" s="22">
        <v>277485.63979865436</v>
      </c>
      <c r="O31" s="22">
        <v>292877.03444419056</v>
      </c>
      <c r="P31" s="22">
        <v>301780.86004876927</v>
      </c>
      <c r="Q31" s="22">
        <v>332419.47961712076</v>
      </c>
      <c r="R31" s="22">
        <v>353192.08263254486</v>
      </c>
      <c r="S31" s="22">
        <v>357427.91123466613</v>
      </c>
      <c r="T31" s="22">
        <v>357817.53874738922</v>
      </c>
      <c r="U31" s="22">
        <v>372129.35023832135</v>
      </c>
      <c r="V31" s="22">
        <v>378161.41039190028</v>
      </c>
      <c r="W31" s="22">
        <v>405181.19921719411</v>
      </c>
      <c r="X31" s="22">
        <v>429882.91722154763</v>
      </c>
      <c r="Y31" s="22">
        <v>450423.03583488689</v>
      </c>
      <c r="Z31" s="22">
        <v>454128.61185176473</v>
      </c>
      <c r="AA31" s="23">
        <v>437698.96616369969</v>
      </c>
      <c r="AB31" s="97"/>
      <c r="AC31" s="24">
        <v>4</v>
      </c>
      <c r="AD31" s="16">
        <f t="shared" si="0"/>
        <v>34764086.759595916</v>
      </c>
    </row>
    <row r="32" spans="1:30" ht="13.5" thickBot="1" x14ac:dyDescent="0.35">
      <c r="A32" s="18">
        <v>2026</v>
      </c>
      <c r="B32" s="25" t="s">
        <v>43</v>
      </c>
      <c r="C32" s="26" t="s">
        <v>36</v>
      </c>
      <c r="D32" s="21">
        <v>441464.6492596906</v>
      </c>
      <c r="E32" s="22">
        <v>423525.46843660623</v>
      </c>
      <c r="F32" s="22">
        <v>406607.7057470266</v>
      </c>
      <c r="G32" s="22">
        <v>392172.87778854318</v>
      </c>
      <c r="H32" s="22">
        <v>378946.99812464556</v>
      </c>
      <c r="I32" s="22">
        <v>360275.48628772615</v>
      </c>
      <c r="J32" s="22">
        <v>341013.70246916864</v>
      </c>
      <c r="K32" s="22">
        <v>272540.78642284084</v>
      </c>
      <c r="L32" s="22">
        <v>271209.03034977318</v>
      </c>
      <c r="M32" s="22">
        <v>273239.33236401493</v>
      </c>
      <c r="N32" s="22">
        <v>280954.67462435452</v>
      </c>
      <c r="O32" s="22">
        <v>294332.12130052212</v>
      </c>
      <c r="P32" s="22">
        <v>301020.705028333</v>
      </c>
      <c r="Q32" s="22">
        <v>313642.0829728212</v>
      </c>
      <c r="R32" s="22">
        <v>333439.71125169657</v>
      </c>
      <c r="S32" s="22">
        <v>339608.33770744572</v>
      </c>
      <c r="T32" s="22">
        <v>343462.59545848035</v>
      </c>
      <c r="U32" s="22">
        <v>372051.95591753762</v>
      </c>
      <c r="V32" s="22">
        <v>382713.00421935529</v>
      </c>
      <c r="W32" s="22">
        <v>398932.54054840788</v>
      </c>
      <c r="X32" s="22">
        <v>408209.49537297164</v>
      </c>
      <c r="Y32" s="22">
        <v>422779.83809983206</v>
      </c>
      <c r="Z32" s="22">
        <v>434601.50531977316</v>
      </c>
      <c r="AA32" s="23">
        <v>434335.5617181501</v>
      </c>
      <c r="AB32" s="97"/>
      <c r="AC32" s="27">
        <v>4</v>
      </c>
      <c r="AD32" s="16">
        <f t="shared" si="0"/>
        <v>34484320.667158864</v>
      </c>
    </row>
    <row r="33" spans="1:30" ht="13.5" thickBot="1" x14ac:dyDescent="0.35">
      <c r="A33" s="18">
        <v>2026</v>
      </c>
      <c r="B33" s="11" t="s">
        <v>44</v>
      </c>
      <c r="C33" s="12" t="s">
        <v>33</v>
      </c>
      <c r="D33" s="21">
        <v>427810.9800521498</v>
      </c>
      <c r="E33" s="22">
        <v>410877.62432232639</v>
      </c>
      <c r="F33" s="22">
        <v>395461.1705853595</v>
      </c>
      <c r="G33" s="22">
        <v>382034.56037363538</v>
      </c>
      <c r="H33" s="22">
        <v>368199.20023273869</v>
      </c>
      <c r="I33" s="22">
        <v>344960.34460457403</v>
      </c>
      <c r="J33" s="22">
        <v>321862.14357510721</v>
      </c>
      <c r="K33" s="22">
        <v>254846.09450602109</v>
      </c>
      <c r="L33" s="22">
        <v>248727.80323273386</v>
      </c>
      <c r="M33" s="22">
        <v>247231.49017369645</v>
      </c>
      <c r="N33" s="22">
        <v>253232.78855214608</v>
      </c>
      <c r="O33" s="22">
        <v>265721.3210211696</v>
      </c>
      <c r="P33" s="22">
        <v>275397.18137495534</v>
      </c>
      <c r="Q33" s="22">
        <v>300666.47611274099</v>
      </c>
      <c r="R33" s="22">
        <v>318005.93409889791</v>
      </c>
      <c r="S33" s="22">
        <v>324578.64948031236</v>
      </c>
      <c r="T33" s="22">
        <v>328585.43134777789</v>
      </c>
      <c r="U33" s="22">
        <v>346976.71857666847</v>
      </c>
      <c r="V33" s="22">
        <v>353467.32024212129</v>
      </c>
      <c r="W33" s="22">
        <v>380096.29074300086</v>
      </c>
      <c r="X33" s="22">
        <v>401929.24460459128</v>
      </c>
      <c r="Y33" s="22">
        <v>422016.57821161585</v>
      </c>
      <c r="Z33" s="22">
        <v>428656.75804629247</v>
      </c>
      <c r="AA33" s="23">
        <v>417591.97601726349</v>
      </c>
      <c r="AB33" s="96">
        <f>+SUM(D33:AA33)*AC33+SUM(D34:AA34)*AC34+SUM(D35:AA35)*AC35</f>
        <v>255290726.06314325</v>
      </c>
      <c r="AC33" s="16">
        <v>21</v>
      </c>
      <c r="AD33" s="16">
        <f t="shared" si="0"/>
        <v>172597615.68184581</v>
      </c>
    </row>
    <row r="34" spans="1:30" ht="13.5" thickBot="1" x14ac:dyDescent="0.35">
      <c r="A34" s="18">
        <v>2026</v>
      </c>
      <c r="B34" s="19" t="s">
        <v>44</v>
      </c>
      <c r="C34" s="20" t="s">
        <v>34</v>
      </c>
      <c r="D34" s="21">
        <v>422504.02640163677</v>
      </c>
      <c r="E34" s="22">
        <v>404673.56177848839</v>
      </c>
      <c r="F34" s="22">
        <v>389021.67913341173</v>
      </c>
      <c r="G34" s="22">
        <v>375162.33314685064</v>
      </c>
      <c r="H34" s="22">
        <v>361718.88063502387</v>
      </c>
      <c r="I34" s="22">
        <v>337213.29873276839</v>
      </c>
      <c r="J34" s="22">
        <v>313837.53000338905</v>
      </c>
      <c r="K34" s="22">
        <v>251499.52514342903</v>
      </c>
      <c r="L34" s="22">
        <v>249905.85218226799</v>
      </c>
      <c r="M34" s="22">
        <v>251549.00210803264</v>
      </c>
      <c r="N34" s="22">
        <v>260208.11746552686</v>
      </c>
      <c r="O34" s="22">
        <v>276462.32489899371</v>
      </c>
      <c r="P34" s="22">
        <v>287521.71827427601</v>
      </c>
      <c r="Q34" s="22">
        <v>318663.28456153284</v>
      </c>
      <c r="R34" s="22">
        <v>339951.25695985567</v>
      </c>
      <c r="S34" s="22">
        <v>345313.01821475709</v>
      </c>
      <c r="T34" s="22">
        <v>345994.03397660551</v>
      </c>
      <c r="U34" s="22">
        <v>356736.75896412117</v>
      </c>
      <c r="V34" s="22">
        <v>362297.74683537445</v>
      </c>
      <c r="W34" s="22">
        <v>390136.207498706</v>
      </c>
      <c r="X34" s="22">
        <v>414674.88605124707</v>
      </c>
      <c r="Y34" s="22">
        <v>435306.2031271804</v>
      </c>
      <c r="Z34" s="22">
        <v>439424.10521917616</v>
      </c>
      <c r="AA34" s="23">
        <v>424381.17464109248</v>
      </c>
      <c r="AB34" s="97"/>
      <c r="AC34" s="24">
        <v>5</v>
      </c>
      <c r="AD34" s="16">
        <f t="shared" si="0"/>
        <v>41770782.629768707</v>
      </c>
    </row>
    <row r="35" spans="1:30" ht="13.5" thickBot="1" x14ac:dyDescent="0.35">
      <c r="A35" s="18">
        <v>2026</v>
      </c>
      <c r="B35" s="25" t="s">
        <v>44</v>
      </c>
      <c r="C35" s="26" t="s">
        <v>36</v>
      </c>
      <c r="D35" s="21">
        <v>426641.52701832372</v>
      </c>
      <c r="E35" s="22">
        <v>410144.22415330011</v>
      </c>
      <c r="F35" s="22">
        <v>394028.18183305598</v>
      </c>
      <c r="G35" s="22">
        <v>380252.49403334979</v>
      </c>
      <c r="H35" s="22">
        <v>367503.35583462159</v>
      </c>
      <c r="I35" s="22">
        <v>349487.81126777903</v>
      </c>
      <c r="J35" s="22">
        <v>331980.87628066901</v>
      </c>
      <c r="K35" s="22">
        <v>262790.95442490058</v>
      </c>
      <c r="L35" s="22">
        <v>258536.3138422817</v>
      </c>
      <c r="M35" s="22">
        <v>257837.57198675844</v>
      </c>
      <c r="N35" s="22">
        <v>262987.33246410394</v>
      </c>
      <c r="O35" s="22">
        <v>273682.4017341024</v>
      </c>
      <c r="P35" s="22">
        <v>278875.86762694048</v>
      </c>
      <c r="Q35" s="22">
        <v>290547.10180308524</v>
      </c>
      <c r="R35" s="22">
        <v>309793.40751818696</v>
      </c>
      <c r="S35" s="22">
        <v>317500.42945551354</v>
      </c>
      <c r="T35" s="22">
        <v>321855.37145874044</v>
      </c>
      <c r="U35" s="22">
        <v>346728.77544916456</v>
      </c>
      <c r="V35" s="22">
        <v>355650.06599150662</v>
      </c>
      <c r="W35" s="22">
        <v>373785.16543873819</v>
      </c>
      <c r="X35" s="22">
        <v>385571.08325754164</v>
      </c>
      <c r="Y35" s="22">
        <v>402095.37106588157</v>
      </c>
      <c r="Z35" s="22">
        <v>413837.81208338391</v>
      </c>
      <c r="AA35" s="23">
        <v>412352.05428381695</v>
      </c>
      <c r="AB35" s="97"/>
      <c r="AC35" s="27">
        <v>5</v>
      </c>
      <c r="AD35" s="16">
        <f t="shared" si="0"/>
        <v>40922327.75152874</v>
      </c>
    </row>
    <row r="36" spans="1:30" ht="13.5" thickBot="1" x14ac:dyDescent="0.35">
      <c r="A36" s="18">
        <v>2026</v>
      </c>
      <c r="B36" s="11" t="s">
        <v>45</v>
      </c>
      <c r="C36" s="12" t="s">
        <v>33</v>
      </c>
      <c r="D36" s="21">
        <v>411701.16118296765</v>
      </c>
      <c r="E36" s="22">
        <v>395749.89063551574</v>
      </c>
      <c r="F36" s="22">
        <v>381038.63127887592</v>
      </c>
      <c r="G36" s="22">
        <v>368081.26051361562</v>
      </c>
      <c r="H36" s="22">
        <v>354518.96799903119</v>
      </c>
      <c r="I36" s="22">
        <v>331642.18062525673</v>
      </c>
      <c r="J36" s="22">
        <v>309924.9670720679</v>
      </c>
      <c r="K36" s="22">
        <v>242311.03768659392</v>
      </c>
      <c r="L36" s="22">
        <v>234802.44530095166</v>
      </c>
      <c r="M36" s="22">
        <v>232881.89955744604</v>
      </c>
      <c r="N36" s="22">
        <v>238737.51293438056</v>
      </c>
      <c r="O36" s="22">
        <v>251127.8630886687</v>
      </c>
      <c r="P36" s="22">
        <v>261469.89438956848</v>
      </c>
      <c r="Q36" s="22">
        <v>285315.97205071466</v>
      </c>
      <c r="R36" s="22">
        <v>301899.87225555332</v>
      </c>
      <c r="S36" s="22">
        <v>307600.6965737702</v>
      </c>
      <c r="T36" s="22">
        <v>311417.00776807143</v>
      </c>
      <c r="U36" s="22">
        <v>329413.67217048089</v>
      </c>
      <c r="V36" s="22">
        <v>337817.44853166194</v>
      </c>
      <c r="W36" s="22">
        <v>364694.39476364694</v>
      </c>
      <c r="X36" s="22">
        <v>385969.97674996516</v>
      </c>
      <c r="Y36" s="22">
        <v>405686.5544661865</v>
      </c>
      <c r="Z36" s="22">
        <v>412338.11064210656</v>
      </c>
      <c r="AA36" s="23">
        <v>401607.837445774</v>
      </c>
      <c r="AB36" s="96">
        <f>+SUM(D36:AA36)*AC36+SUM(D37:AA37)*AC37+SUM(D38:AA38)*AC38</f>
        <v>237711095.91979927</v>
      </c>
      <c r="AC36" s="16">
        <v>19</v>
      </c>
      <c r="AD36" s="16">
        <f t="shared" si="0"/>
        <v>149297235.85797453</v>
      </c>
    </row>
    <row r="37" spans="1:30" ht="13.5" thickBot="1" x14ac:dyDescent="0.35">
      <c r="A37" s="18">
        <v>2026</v>
      </c>
      <c r="B37" s="19" t="s">
        <v>45</v>
      </c>
      <c r="C37" s="20" t="s">
        <v>34</v>
      </c>
      <c r="D37" s="21">
        <v>416384.20414284972</v>
      </c>
      <c r="E37" s="22">
        <v>399182.23177683546</v>
      </c>
      <c r="F37" s="22">
        <v>384353.55076624511</v>
      </c>
      <c r="G37" s="22">
        <v>370884.94898531324</v>
      </c>
      <c r="H37" s="22">
        <v>357087.76952268527</v>
      </c>
      <c r="I37" s="22">
        <v>331977.60534058925</v>
      </c>
      <c r="J37" s="22">
        <v>308315.53303019627</v>
      </c>
      <c r="K37" s="22">
        <v>246452.03990114809</v>
      </c>
      <c r="L37" s="22">
        <v>246026.82822247539</v>
      </c>
      <c r="M37" s="22">
        <v>247780.82503595296</v>
      </c>
      <c r="N37" s="22">
        <v>256875.08919042686</v>
      </c>
      <c r="O37" s="22">
        <v>272314.42466351419</v>
      </c>
      <c r="P37" s="22">
        <v>282519.59184301383</v>
      </c>
      <c r="Q37" s="22">
        <v>313514.05518101773</v>
      </c>
      <c r="R37" s="22">
        <v>333841.70429801213</v>
      </c>
      <c r="S37" s="22">
        <v>338123.33194754389</v>
      </c>
      <c r="T37" s="22">
        <v>337911.44017738465</v>
      </c>
      <c r="U37" s="22">
        <v>347858.49296400952</v>
      </c>
      <c r="V37" s="22">
        <v>353273.2493687825</v>
      </c>
      <c r="W37" s="22">
        <v>381207.78535269853</v>
      </c>
      <c r="X37" s="22">
        <v>405634.98701981315</v>
      </c>
      <c r="Y37" s="22">
        <v>426025.02492776886</v>
      </c>
      <c r="Z37" s="22">
        <v>430975.07743602933</v>
      </c>
      <c r="AA37" s="23">
        <v>415786.85425614606</v>
      </c>
      <c r="AB37" s="97"/>
      <c r="AC37" s="24">
        <v>4</v>
      </c>
      <c r="AD37" s="16">
        <f t="shared" si="0"/>
        <v>32817226.581401806</v>
      </c>
    </row>
    <row r="38" spans="1:30" ht="13.5" thickBot="1" x14ac:dyDescent="0.35">
      <c r="A38" s="18">
        <v>2026</v>
      </c>
      <c r="B38" s="25" t="s">
        <v>45</v>
      </c>
      <c r="C38" s="26" t="s">
        <v>36</v>
      </c>
      <c r="D38" s="21">
        <v>420847.9890460936</v>
      </c>
      <c r="E38" s="22">
        <v>404595.92525051429</v>
      </c>
      <c r="F38" s="22">
        <v>389088.99489595607</v>
      </c>
      <c r="G38" s="22">
        <v>375556.44471839169</v>
      </c>
      <c r="H38" s="22">
        <v>362919.03239913849</v>
      </c>
      <c r="I38" s="22">
        <v>343499.85291134095</v>
      </c>
      <c r="J38" s="22">
        <v>325019.17664503865</v>
      </c>
      <c r="K38" s="22">
        <v>253669.02433095576</v>
      </c>
      <c r="L38" s="22">
        <v>247271.54239430284</v>
      </c>
      <c r="M38" s="22">
        <v>245723.27758440175</v>
      </c>
      <c r="N38" s="22">
        <v>250216.52669982312</v>
      </c>
      <c r="O38" s="22">
        <v>260892.07719746759</v>
      </c>
      <c r="P38" s="22">
        <v>267185.07440568187</v>
      </c>
      <c r="Q38" s="22">
        <v>278811.92779892345</v>
      </c>
      <c r="R38" s="22">
        <v>296082.06390352326</v>
      </c>
      <c r="S38" s="22">
        <v>302787.83571741171</v>
      </c>
      <c r="T38" s="22">
        <v>307575.23143533006</v>
      </c>
      <c r="U38" s="22">
        <v>333147.76810381917</v>
      </c>
      <c r="V38" s="22">
        <v>342441.62215657806</v>
      </c>
      <c r="W38" s="22">
        <v>363217.10445909778</v>
      </c>
      <c r="X38" s="22">
        <v>375782.02952466352</v>
      </c>
      <c r="Y38" s="22">
        <v>392030.85387970734</v>
      </c>
      <c r="Z38" s="22">
        <v>403317.65009764535</v>
      </c>
      <c r="AA38" s="23">
        <v>400697.18593318766</v>
      </c>
      <c r="AB38" s="97"/>
      <c r="AC38" s="27">
        <v>7</v>
      </c>
      <c r="AD38" s="16">
        <f t="shared" si="0"/>
        <v>55596633.480422959</v>
      </c>
    </row>
    <row r="39" spans="1:30" ht="13.5" thickBot="1" x14ac:dyDescent="0.35">
      <c r="A39" s="18">
        <v>2026</v>
      </c>
      <c r="B39" s="11" t="s">
        <v>46</v>
      </c>
      <c r="C39" s="12" t="s">
        <v>33</v>
      </c>
      <c r="D39" s="21">
        <v>415278.68792143452</v>
      </c>
      <c r="E39" s="22">
        <v>398678.54720284929</v>
      </c>
      <c r="F39" s="22">
        <v>383589.94760932424</v>
      </c>
      <c r="G39" s="22">
        <v>370339.60268741957</v>
      </c>
      <c r="H39" s="22">
        <v>356565.62112315884</v>
      </c>
      <c r="I39" s="22">
        <v>332734.20014551067</v>
      </c>
      <c r="J39" s="22">
        <v>310440.29484864196</v>
      </c>
      <c r="K39" s="22">
        <v>244698.00522342417</v>
      </c>
      <c r="L39" s="22">
        <v>238864.15436644587</v>
      </c>
      <c r="M39" s="22">
        <v>237901.76818752533</v>
      </c>
      <c r="N39" s="22">
        <v>244739.57140943359</v>
      </c>
      <c r="O39" s="22">
        <v>257634.56070473231</v>
      </c>
      <c r="P39" s="22">
        <v>266943.03142099123</v>
      </c>
      <c r="Q39" s="22">
        <v>291847.77766605228</v>
      </c>
      <c r="R39" s="22">
        <v>309138.33164582413</v>
      </c>
      <c r="S39" s="22">
        <v>314678.50963805395</v>
      </c>
      <c r="T39" s="22">
        <v>318929.27583665663</v>
      </c>
      <c r="U39" s="22">
        <v>338783.56434935547</v>
      </c>
      <c r="V39" s="22">
        <v>345412.23485028202</v>
      </c>
      <c r="W39" s="22">
        <v>372668.37809911021</v>
      </c>
      <c r="X39" s="22">
        <v>395211.57893257763</v>
      </c>
      <c r="Y39" s="22">
        <v>415398.15047165519</v>
      </c>
      <c r="Z39" s="22">
        <v>421166.63251454337</v>
      </c>
      <c r="AA39" s="23">
        <v>408426.77555834857</v>
      </c>
      <c r="AB39" s="96">
        <f>+SUM(D39:AA39)*AC39+SUM(D40:AA40)*AC40+SUM(D41:AA41)*AC41</f>
        <v>248100427.36013824</v>
      </c>
      <c r="AC39" s="16">
        <v>21</v>
      </c>
      <c r="AD39" s="16">
        <f t="shared" si="0"/>
        <v>167791453.25068036</v>
      </c>
    </row>
    <row r="40" spans="1:30" ht="13.5" thickBot="1" x14ac:dyDescent="0.35">
      <c r="A40" s="18">
        <v>2026</v>
      </c>
      <c r="B40" s="19" t="s">
        <v>46</v>
      </c>
      <c r="C40" s="20" t="s">
        <v>34</v>
      </c>
      <c r="D40" s="21">
        <v>421348.45638482278</v>
      </c>
      <c r="E40" s="22">
        <v>403720.35939059692</v>
      </c>
      <c r="F40" s="22">
        <v>388009.84581151529</v>
      </c>
      <c r="G40" s="22">
        <v>374168.15395925543</v>
      </c>
      <c r="H40" s="22">
        <v>359779.95202145074</v>
      </c>
      <c r="I40" s="22">
        <v>334859.12142649764</v>
      </c>
      <c r="J40" s="22">
        <v>311685.23910733446</v>
      </c>
      <c r="K40" s="22">
        <v>248771.99445402683</v>
      </c>
      <c r="L40" s="22">
        <v>247395.13332591881</v>
      </c>
      <c r="M40" s="22">
        <v>248776.3289442769</v>
      </c>
      <c r="N40" s="22">
        <v>257653.635324453</v>
      </c>
      <c r="O40" s="22">
        <v>271928.80009184667</v>
      </c>
      <c r="P40" s="22">
        <v>281471.65370441793</v>
      </c>
      <c r="Q40" s="22">
        <v>310239.64628785092</v>
      </c>
      <c r="R40" s="22">
        <v>329336.57460195699</v>
      </c>
      <c r="S40" s="22">
        <v>334031.23710305576</v>
      </c>
      <c r="T40" s="22">
        <v>337013.01375405071</v>
      </c>
      <c r="U40" s="22">
        <v>352110.64729461248</v>
      </c>
      <c r="V40" s="22">
        <v>355299.94699270645</v>
      </c>
      <c r="W40" s="22">
        <v>383700.13180920761</v>
      </c>
      <c r="X40" s="22">
        <v>407574.88182565168</v>
      </c>
      <c r="Y40" s="22">
        <v>427433.30914937594</v>
      </c>
      <c r="Z40" s="22">
        <v>431092.38390841475</v>
      </c>
      <c r="AA40" s="23">
        <v>415507.24152051535</v>
      </c>
      <c r="AB40" s="97"/>
      <c r="AC40" s="24">
        <v>4</v>
      </c>
      <c r="AD40" s="16">
        <f t="shared" si="0"/>
        <v>32931630.752775256</v>
      </c>
    </row>
    <row r="41" spans="1:30" ht="13.5" thickBot="1" x14ac:dyDescent="0.35">
      <c r="A41" s="28">
        <v>2026</v>
      </c>
      <c r="B41" s="25" t="s">
        <v>46</v>
      </c>
      <c r="C41" s="26" t="s">
        <v>36</v>
      </c>
      <c r="D41" s="29">
        <v>417103.55447598052</v>
      </c>
      <c r="E41" s="30">
        <v>400287.41849848529</v>
      </c>
      <c r="F41" s="30">
        <v>384513.34871108667</v>
      </c>
      <c r="G41" s="30">
        <v>370746.49438077112</v>
      </c>
      <c r="H41" s="30">
        <v>358247.13005677471</v>
      </c>
      <c r="I41" s="30">
        <v>338723.19349942112</v>
      </c>
      <c r="J41" s="30">
        <v>321049.50421978743</v>
      </c>
      <c r="K41" s="30">
        <v>251581.8815930947</v>
      </c>
      <c r="L41" s="30">
        <v>244574.90955706395</v>
      </c>
      <c r="M41" s="30">
        <v>242341.42542366046</v>
      </c>
      <c r="N41" s="30">
        <v>246894.49137569315</v>
      </c>
      <c r="O41" s="30">
        <v>257776.22854220247</v>
      </c>
      <c r="P41" s="30">
        <v>263839.22692490509</v>
      </c>
      <c r="Q41" s="30">
        <v>275336.37271842296</v>
      </c>
      <c r="R41" s="30">
        <v>291988.70616871648</v>
      </c>
      <c r="S41" s="30">
        <v>299120.00614810787</v>
      </c>
      <c r="T41" s="30">
        <v>306336.23322732135</v>
      </c>
      <c r="U41" s="30">
        <v>335797.14010669704</v>
      </c>
      <c r="V41" s="30">
        <v>345090.17751461273</v>
      </c>
      <c r="W41" s="30">
        <v>365709.98532077501</v>
      </c>
      <c r="X41" s="30">
        <v>378954.78387057851</v>
      </c>
      <c r="Y41" s="30">
        <v>395141.96751196217</v>
      </c>
      <c r="Z41" s="30">
        <v>404614.20019874355</v>
      </c>
      <c r="AA41" s="31">
        <v>400455.51273557096</v>
      </c>
      <c r="AB41" s="97"/>
      <c r="AC41" s="27">
        <v>6</v>
      </c>
      <c r="AD41" s="16">
        <f t="shared" si="0"/>
        <v>47377343.356682613</v>
      </c>
    </row>
    <row r="42" spans="1:30" ht="13.5" thickBot="1" x14ac:dyDescent="0.35">
      <c r="A42" s="10">
        <v>2027</v>
      </c>
      <c r="B42" s="11" t="s">
        <v>32</v>
      </c>
      <c r="C42" s="12" t="s">
        <v>33</v>
      </c>
      <c r="D42" s="13">
        <v>294055.7823199663</v>
      </c>
      <c r="E42" s="14">
        <v>281463.89800022042</v>
      </c>
      <c r="F42" s="14">
        <v>269889.84393612621</v>
      </c>
      <c r="G42" s="14">
        <v>259303.67041450352</v>
      </c>
      <c r="H42" s="14">
        <v>249586.90827085817</v>
      </c>
      <c r="I42" s="14">
        <v>239550.00563158904</v>
      </c>
      <c r="J42" s="14">
        <v>225042.67500644049</v>
      </c>
      <c r="K42" s="14">
        <v>171954.6985446162</v>
      </c>
      <c r="L42" s="14">
        <v>171099.9367206459</v>
      </c>
      <c r="M42" s="14">
        <v>172737.92918984315</v>
      </c>
      <c r="N42" s="14">
        <v>177608.36301843377</v>
      </c>
      <c r="O42" s="14">
        <v>185174.06565762102</v>
      </c>
      <c r="P42" s="14">
        <v>189665.05085202778</v>
      </c>
      <c r="Q42" s="14">
        <v>202881.93409793868</v>
      </c>
      <c r="R42" s="14">
        <v>214584.3314283572</v>
      </c>
      <c r="S42" s="14">
        <v>219509.02406631631</v>
      </c>
      <c r="T42" s="14">
        <v>219968.74582755627</v>
      </c>
      <c r="U42" s="14">
        <v>234324.84009790042</v>
      </c>
      <c r="V42" s="14">
        <v>245182.32543140254</v>
      </c>
      <c r="W42" s="14">
        <v>255508.14192850859</v>
      </c>
      <c r="X42" s="14">
        <v>267727.05673308461</v>
      </c>
      <c r="Y42" s="14">
        <v>282252.25986312662</v>
      </c>
      <c r="Z42" s="14">
        <v>289921.11187807546</v>
      </c>
      <c r="AA42" s="15">
        <v>284780.03205331886</v>
      </c>
      <c r="AB42" s="96">
        <f t="shared" ref="AB42" si="1">+SUM(D42:AA42)*AC42+SUM(D43:AA43)*AC43+SUM(D44:AA44)*AC44</f>
        <v>175354132.92189598</v>
      </c>
      <c r="AC42" s="16">
        <v>19</v>
      </c>
      <c r="AD42" s="16">
        <f t="shared" si="0"/>
        <v>106471679.98840109</v>
      </c>
    </row>
    <row r="43" spans="1:30" ht="13.5" thickBot="1" x14ac:dyDescent="0.35">
      <c r="A43" s="18">
        <v>2027</v>
      </c>
      <c r="B43" s="19" t="s">
        <v>32</v>
      </c>
      <c r="C43" s="20" t="s">
        <v>34</v>
      </c>
      <c r="D43" s="21">
        <v>291768.16860238503</v>
      </c>
      <c r="E43" s="22">
        <v>280376.66436159157</v>
      </c>
      <c r="F43" s="22">
        <v>268704.79836491158</v>
      </c>
      <c r="G43" s="22">
        <v>257896.63821981559</v>
      </c>
      <c r="H43" s="22">
        <v>247002.46898211041</v>
      </c>
      <c r="I43" s="22">
        <v>235911.59342380922</v>
      </c>
      <c r="J43" s="22">
        <v>223056.63946672698</v>
      </c>
      <c r="K43" s="22">
        <v>173538.82940023372</v>
      </c>
      <c r="L43" s="22">
        <v>176881.02941095066</v>
      </c>
      <c r="M43" s="22">
        <v>180290.04626535956</v>
      </c>
      <c r="N43" s="22">
        <v>187133.22364719032</v>
      </c>
      <c r="O43" s="22">
        <v>195385.5621743126</v>
      </c>
      <c r="P43" s="22">
        <v>197652.60968807415</v>
      </c>
      <c r="Q43" s="22">
        <v>213042.99747290072</v>
      </c>
      <c r="R43" s="22">
        <v>229866.40630305855</v>
      </c>
      <c r="S43" s="22">
        <v>234135.19496896645</v>
      </c>
      <c r="T43" s="22">
        <v>231004.06644872428</v>
      </c>
      <c r="U43" s="22">
        <v>243549.13883559997</v>
      </c>
      <c r="V43" s="22">
        <v>251582.21423776419</v>
      </c>
      <c r="W43" s="22">
        <v>263301.99560257816</v>
      </c>
      <c r="X43" s="22">
        <v>277304.09277814202</v>
      </c>
      <c r="Y43" s="22">
        <v>293380.63025411742</v>
      </c>
      <c r="Z43" s="22">
        <v>299683.79488684359</v>
      </c>
      <c r="AA43" s="23">
        <v>290848.49498855241</v>
      </c>
      <c r="AB43" s="97"/>
      <c r="AC43" s="24">
        <v>5</v>
      </c>
      <c r="AD43" s="16">
        <f t="shared" si="0"/>
        <v>28716486.493923593</v>
      </c>
    </row>
    <row r="44" spans="1:30" ht="13.5" thickBot="1" x14ac:dyDescent="0.35">
      <c r="A44" s="18">
        <v>2027</v>
      </c>
      <c r="B44" s="25" t="s">
        <v>32</v>
      </c>
      <c r="C44" s="26" t="s">
        <v>36</v>
      </c>
      <c r="D44" s="21">
        <v>288444.03673070023</v>
      </c>
      <c r="E44" s="22">
        <v>278868.08936941775</v>
      </c>
      <c r="F44" s="22">
        <v>269092.67382913962</v>
      </c>
      <c r="G44" s="22">
        <v>259667.17332420908</v>
      </c>
      <c r="H44" s="22">
        <v>249876.12734180063</v>
      </c>
      <c r="I44" s="22">
        <v>240997.60366056766</v>
      </c>
      <c r="J44" s="22">
        <v>227316.53662834378</v>
      </c>
      <c r="K44" s="22">
        <v>175587.1450172055</v>
      </c>
      <c r="L44" s="22">
        <v>178506.38848797037</v>
      </c>
      <c r="M44" s="22">
        <v>182185.45419147794</v>
      </c>
      <c r="N44" s="22">
        <v>189737.10761012</v>
      </c>
      <c r="O44" s="22">
        <v>200235.3985433534</v>
      </c>
      <c r="P44" s="22">
        <v>205649.8380602042</v>
      </c>
      <c r="Q44" s="22">
        <v>218042.05677813952</v>
      </c>
      <c r="R44" s="22">
        <v>231848.80830847664</v>
      </c>
      <c r="S44" s="22">
        <v>235065.9588495935</v>
      </c>
      <c r="T44" s="22">
        <v>231227.51757185976</v>
      </c>
      <c r="U44" s="22">
        <v>243152.24016830945</v>
      </c>
      <c r="V44" s="22">
        <v>250300.57132247899</v>
      </c>
      <c r="W44" s="22">
        <v>257873.67877170653</v>
      </c>
      <c r="X44" s="22">
        <v>268559.37050555187</v>
      </c>
      <c r="Y44" s="22">
        <v>280998.69358453451</v>
      </c>
      <c r="Z44" s="22">
        <v>288232.37198460085</v>
      </c>
      <c r="AA44" s="23">
        <v>286530.36501327954</v>
      </c>
      <c r="AB44" s="97"/>
      <c r="AC44" s="27">
        <v>7</v>
      </c>
      <c r="AD44" s="16">
        <f t="shared" si="0"/>
        <v>40165966.439571291</v>
      </c>
    </row>
    <row r="45" spans="1:30" ht="13.5" thickBot="1" x14ac:dyDescent="0.35">
      <c r="A45" s="18">
        <v>2027</v>
      </c>
      <c r="B45" s="11" t="s">
        <v>35</v>
      </c>
      <c r="C45" s="12" t="s">
        <v>33</v>
      </c>
      <c r="D45" s="21">
        <v>294702.22303409036</v>
      </c>
      <c r="E45" s="22">
        <v>282981.3879838594</v>
      </c>
      <c r="F45" s="22">
        <v>272202.89199472923</v>
      </c>
      <c r="G45" s="22">
        <v>262348.10147898935</v>
      </c>
      <c r="H45" s="22">
        <v>251947.40884466338</v>
      </c>
      <c r="I45" s="22">
        <v>239208.4610712518</v>
      </c>
      <c r="J45" s="22">
        <v>221386.36188973152</v>
      </c>
      <c r="K45" s="22">
        <v>167472.39163686818</v>
      </c>
      <c r="L45" s="22">
        <v>166410.65649578074</v>
      </c>
      <c r="M45" s="22">
        <v>169522.9429285166</v>
      </c>
      <c r="N45" s="22">
        <v>177779.91104469914</v>
      </c>
      <c r="O45" s="22">
        <v>188106.66391472804</v>
      </c>
      <c r="P45" s="22">
        <v>192874.00083362559</v>
      </c>
      <c r="Q45" s="22">
        <v>211801.64845336429</v>
      </c>
      <c r="R45" s="22">
        <v>222821.18790043736</v>
      </c>
      <c r="S45" s="22">
        <v>227525.13389397491</v>
      </c>
      <c r="T45" s="22">
        <v>227008.15752483922</v>
      </c>
      <c r="U45" s="22">
        <v>239724.07450488937</v>
      </c>
      <c r="V45" s="22">
        <v>248725.56525531519</v>
      </c>
      <c r="W45" s="22">
        <v>262981.98557703767</v>
      </c>
      <c r="X45" s="22">
        <v>276714.8074007167</v>
      </c>
      <c r="Y45" s="22">
        <v>290633.48729615594</v>
      </c>
      <c r="Z45" s="22">
        <v>293097.08758427727</v>
      </c>
      <c r="AA45" s="23">
        <v>286266.89165655465</v>
      </c>
      <c r="AB45" s="96">
        <f t="shared" ref="AB45" si="2">+SUM(D45:AA45)*AC45+SUM(D46:AA46)*AC46+SUM(D47:AA47)*AC47</f>
        <v>161314320.29831585</v>
      </c>
      <c r="AC45" s="16">
        <v>20</v>
      </c>
      <c r="AD45" s="16">
        <f t="shared" si="0"/>
        <v>113484868.60398191</v>
      </c>
    </row>
    <row r="46" spans="1:30" ht="13.5" thickBot="1" x14ac:dyDescent="0.35">
      <c r="A46" s="18">
        <v>2027</v>
      </c>
      <c r="B46" s="19" t="s">
        <v>35</v>
      </c>
      <c r="C46" s="20" t="s">
        <v>34</v>
      </c>
      <c r="D46" s="21">
        <v>301957.54310834059</v>
      </c>
      <c r="E46" s="22">
        <v>288630.23864775756</v>
      </c>
      <c r="F46" s="22">
        <v>276488.56703926227</v>
      </c>
      <c r="G46" s="22">
        <v>265499.60075447906</v>
      </c>
      <c r="H46" s="22">
        <v>253809.47702874674</v>
      </c>
      <c r="I46" s="22">
        <v>238758.80301247683</v>
      </c>
      <c r="J46" s="22">
        <v>215629.871822291</v>
      </c>
      <c r="K46" s="22">
        <v>164813.55415482938</v>
      </c>
      <c r="L46" s="22">
        <v>169895.79139282432</v>
      </c>
      <c r="M46" s="22">
        <v>178230.9828270108</v>
      </c>
      <c r="N46" s="22">
        <v>188958.15088721705</v>
      </c>
      <c r="O46" s="22">
        <v>202448.64435889065</v>
      </c>
      <c r="P46" s="22">
        <v>212273.76836368113</v>
      </c>
      <c r="Q46" s="22">
        <v>234256.36171063542</v>
      </c>
      <c r="R46" s="22">
        <v>252632.50905573339</v>
      </c>
      <c r="S46" s="22">
        <v>254766.42252512544</v>
      </c>
      <c r="T46" s="22">
        <v>251742.89435259139</v>
      </c>
      <c r="U46" s="22">
        <v>255750.11450242641</v>
      </c>
      <c r="V46" s="22">
        <v>261412.78117995747</v>
      </c>
      <c r="W46" s="22">
        <v>276587.14558092714</v>
      </c>
      <c r="X46" s="22">
        <v>292682.33462928672</v>
      </c>
      <c r="Y46" s="22">
        <v>309711.27092684235</v>
      </c>
      <c r="Z46" s="22">
        <v>311933.84786195972</v>
      </c>
      <c r="AA46" s="23">
        <v>300636.79964439763</v>
      </c>
      <c r="AB46" s="97"/>
      <c r="AC46" s="24">
        <v>4</v>
      </c>
      <c r="AD46" s="16">
        <f t="shared" si="0"/>
        <v>23838029.901470762</v>
      </c>
    </row>
    <row r="47" spans="1:30" ht="13.5" thickBot="1" x14ac:dyDescent="0.35">
      <c r="A47" s="18">
        <v>2027</v>
      </c>
      <c r="B47" s="25" t="s">
        <v>35</v>
      </c>
      <c r="C47" s="26" t="s">
        <v>36</v>
      </c>
      <c r="D47" s="21">
        <v>305477.623650108</v>
      </c>
      <c r="E47" s="22">
        <v>291220.80878135504</v>
      </c>
      <c r="F47" s="22">
        <v>279231.96803303238</v>
      </c>
      <c r="G47" s="22">
        <v>267521.56047901628</v>
      </c>
      <c r="H47" s="22">
        <v>254759.06000340244</v>
      </c>
      <c r="I47" s="22">
        <v>243238.45182358345</v>
      </c>
      <c r="J47" s="22">
        <v>222576.46837055482</v>
      </c>
      <c r="K47" s="22">
        <v>171501.11660606429</v>
      </c>
      <c r="L47" s="22">
        <v>177255.35343147171</v>
      </c>
      <c r="M47" s="22">
        <v>183865.60932271433</v>
      </c>
      <c r="N47" s="22">
        <v>194653.22941961669</v>
      </c>
      <c r="O47" s="22">
        <v>209025.21404284783</v>
      </c>
      <c r="P47" s="22">
        <v>216450.51054640417</v>
      </c>
      <c r="Q47" s="22">
        <v>239024.41803477361</v>
      </c>
      <c r="R47" s="22">
        <v>259178.24368401448</v>
      </c>
      <c r="S47" s="22">
        <v>260550.73599449956</v>
      </c>
      <c r="T47" s="22">
        <v>253393.81361583539</v>
      </c>
      <c r="U47" s="22">
        <v>258130.04283757869</v>
      </c>
      <c r="V47" s="22">
        <v>260881.16000530042</v>
      </c>
      <c r="W47" s="22">
        <v>271986.9448597334</v>
      </c>
      <c r="X47" s="22">
        <v>282159.21032384195</v>
      </c>
      <c r="Y47" s="22">
        <v>294514.93152777693</v>
      </c>
      <c r="Z47" s="22">
        <v>302672.31921952049</v>
      </c>
      <c r="AA47" s="23">
        <v>298586.65360274789</v>
      </c>
      <c r="AB47" s="97"/>
      <c r="AC47" s="27">
        <v>4</v>
      </c>
      <c r="AD47" s="16">
        <f t="shared" si="0"/>
        <v>23991421.792863179</v>
      </c>
    </row>
    <row r="48" spans="1:30" ht="13.5" thickBot="1" x14ac:dyDescent="0.35">
      <c r="A48" s="18">
        <v>2027</v>
      </c>
      <c r="B48" s="11" t="s">
        <v>37</v>
      </c>
      <c r="C48" s="12" t="s">
        <v>33</v>
      </c>
      <c r="D48" s="21">
        <v>314850.33435457572</v>
      </c>
      <c r="E48" s="22">
        <v>304095.83731468383</v>
      </c>
      <c r="F48" s="22">
        <v>293795.07619793573</v>
      </c>
      <c r="G48" s="22">
        <v>284285.88933611178</v>
      </c>
      <c r="H48" s="22">
        <v>274338.99854564143</v>
      </c>
      <c r="I48" s="22">
        <v>260550.93031582926</v>
      </c>
      <c r="J48" s="22">
        <v>241854.1400620619</v>
      </c>
      <c r="K48" s="22">
        <v>188978.24578730876</v>
      </c>
      <c r="L48" s="22">
        <v>185018.31821673963</v>
      </c>
      <c r="M48" s="22">
        <v>187120.78239115298</v>
      </c>
      <c r="N48" s="22">
        <v>194071.2671812581</v>
      </c>
      <c r="O48" s="22">
        <v>204010.60719876614</v>
      </c>
      <c r="P48" s="22">
        <v>211183.79364598071</v>
      </c>
      <c r="Q48" s="22">
        <v>227038.50869366745</v>
      </c>
      <c r="R48" s="22">
        <v>237318.38812546298</v>
      </c>
      <c r="S48" s="22">
        <v>241295.61111296862</v>
      </c>
      <c r="T48" s="22">
        <v>242557.31902398728</v>
      </c>
      <c r="U48" s="22">
        <v>255615.11725049978</v>
      </c>
      <c r="V48" s="22">
        <v>264080.66283982212</v>
      </c>
      <c r="W48" s="22">
        <v>279046.00225133117</v>
      </c>
      <c r="X48" s="22">
        <v>292452.81504491746</v>
      </c>
      <c r="Y48" s="22">
        <v>306835.65722013213</v>
      </c>
      <c r="Z48" s="22">
        <v>311582.57625965739</v>
      </c>
      <c r="AA48" s="23">
        <v>305742.43086478242</v>
      </c>
      <c r="AB48" s="96">
        <f t="shared" ref="AB48" si="3">+SUM(D48:AA48)*AC48+SUM(D49:AA49)*AC49+SUM(D50:AA50)*AC50</f>
        <v>193030827.0781295</v>
      </c>
      <c r="AC48" s="16">
        <v>20</v>
      </c>
      <c r="AD48" s="16">
        <f t="shared" si="0"/>
        <v>122154386.18470548</v>
      </c>
    </row>
    <row r="49" spans="1:30" ht="13.5" thickBot="1" x14ac:dyDescent="0.35">
      <c r="A49" s="18">
        <v>2027</v>
      </c>
      <c r="B49" s="19" t="s">
        <v>37</v>
      </c>
      <c r="C49" s="20" t="s">
        <v>34</v>
      </c>
      <c r="D49" s="21">
        <v>317290.1876978802</v>
      </c>
      <c r="E49" s="22">
        <v>304258.1845510953</v>
      </c>
      <c r="F49" s="22">
        <v>292127.85034827964</v>
      </c>
      <c r="G49" s="22">
        <v>281575.7589558058</v>
      </c>
      <c r="H49" s="22">
        <v>270481.15399926575</v>
      </c>
      <c r="I49" s="22">
        <v>252569.08354719036</v>
      </c>
      <c r="J49" s="22">
        <v>228880.21940522717</v>
      </c>
      <c r="K49" s="22">
        <v>181471.32226474021</v>
      </c>
      <c r="L49" s="22">
        <v>188078.04178261623</v>
      </c>
      <c r="M49" s="22">
        <v>194941.57962718295</v>
      </c>
      <c r="N49" s="22">
        <v>204111.23689160991</v>
      </c>
      <c r="O49" s="22">
        <v>216371.66513945701</v>
      </c>
      <c r="P49" s="22">
        <v>224468.14164966941</v>
      </c>
      <c r="Q49" s="22">
        <v>250049.05369894678</v>
      </c>
      <c r="R49" s="22">
        <v>266754.92842028412</v>
      </c>
      <c r="S49" s="22">
        <v>269614.23625930276</v>
      </c>
      <c r="T49" s="22">
        <v>267415.49596880248</v>
      </c>
      <c r="U49" s="22">
        <v>271236.20849507803</v>
      </c>
      <c r="V49" s="22">
        <v>275343.57661137718</v>
      </c>
      <c r="W49" s="22">
        <v>294654.37452337897</v>
      </c>
      <c r="X49" s="22">
        <v>310823.21299882</v>
      </c>
      <c r="Y49" s="22">
        <v>326214.12957486126</v>
      </c>
      <c r="Z49" s="22">
        <v>330344.23219115712</v>
      </c>
      <c r="AA49" s="23">
        <v>319621.72705649422</v>
      </c>
      <c r="AB49" s="97"/>
      <c r="AC49" s="24">
        <v>4</v>
      </c>
      <c r="AD49" s="16">
        <f t="shared" si="0"/>
        <v>25354782.406634089</v>
      </c>
    </row>
    <row r="50" spans="1:30" ht="13.5" thickBot="1" x14ac:dyDescent="0.35">
      <c r="A50" s="18">
        <v>2027</v>
      </c>
      <c r="B50" s="25" t="s">
        <v>37</v>
      </c>
      <c r="C50" s="26" t="s">
        <v>36</v>
      </c>
      <c r="D50" s="21">
        <v>329886.09890357673</v>
      </c>
      <c r="E50" s="22">
        <v>316627.49988399452</v>
      </c>
      <c r="F50" s="22">
        <v>304651.24099331949</v>
      </c>
      <c r="G50" s="22">
        <v>293431.54272037244</v>
      </c>
      <c r="H50" s="22">
        <v>281449.01744073268</v>
      </c>
      <c r="I50" s="22">
        <v>263444.26204640575</v>
      </c>
      <c r="J50" s="22">
        <v>239189.91190772512</v>
      </c>
      <c r="K50" s="22">
        <v>190482.62307569056</v>
      </c>
      <c r="L50" s="22">
        <v>197141.18968829888</v>
      </c>
      <c r="M50" s="22">
        <v>204915.15818890629</v>
      </c>
      <c r="N50" s="22">
        <v>215461.22413977486</v>
      </c>
      <c r="O50" s="22">
        <v>225922.79106315813</v>
      </c>
      <c r="P50" s="22">
        <v>234038.18838657514</v>
      </c>
      <c r="Q50" s="22">
        <v>253025.7664710528</v>
      </c>
      <c r="R50" s="22">
        <v>269876.78093862953</v>
      </c>
      <c r="S50" s="22">
        <v>273377.98876503942</v>
      </c>
      <c r="T50" s="22">
        <v>269523.21057790442</v>
      </c>
      <c r="U50" s="22">
        <v>276110.18065513606</v>
      </c>
      <c r="V50" s="22">
        <v>283957.92906737147</v>
      </c>
      <c r="W50" s="22">
        <v>298307.90823642164</v>
      </c>
      <c r="X50" s="22">
        <v>308858.6773195389</v>
      </c>
      <c r="Y50" s="22">
        <v>322881.35416903847</v>
      </c>
      <c r="Z50" s="22">
        <v>328689.28477538133</v>
      </c>
      <c r="AA50" s="23">
        <v>321844.24012737803</v>
      </c>
      <c r="AB50" s="97"/>
      <c r="AC50" s="27">
        <v>7</v>
      </c>
      <c r="AD50" s="16">
        <f t="shared" si="0"/>
        <v>45521658.486789949</v>
      </c>
    </row>
    <row r="51" spans="1:30" ht="13.5" thickBot="1" x14ac:dyDescent="0.35">
      <c r="A51" s="18">
        <v>2027</v>
      </c>
      <c r="B51" s="11" t="s">
        <v>38</v>
      </c>
      <c r="C51" s="12" t="s">
        <v>33</v>
      </c>
      <c r="D51" s="21">
        <v>310065.44698957598</v>
      </c>
      <c r="E51" s="22">
        <v>297510.33972896443</v>
      </c>
      <c r="F51" s="22">
        <v>285838.90700341907</v>
      </c>
      <c r="G51" s="22">
        <v>275670.45926374284</v>
      </c>
      <c r="H51" s="22">
        <v>265261.17181704065</v>
      </c>
      <c r="I51" s="22">
        <v>248884.62376815241</v>
      </c>
      <c r="J51" s="22">
        <v>232803.40523247971</v>
      </c>
      <c r="K51" s="22">
        <v>183256.39189977638</v>
      </c>
      <c r="L51" s="22">
        <v>178901.2475662925</v>
      </c>
      <c r="M51" s="22">
        <v>178014.1914843836</v>
      </c>
      <c r="N51" s="22">
        <v>182059.6998416674</v>
      </c>
      <c r="O51" s="22">
        <v>190740.94013983262</v>
      </c>
      <c r="P51" s="22">
        <v>196683.78263892495</v>
      </c>
      <c r="Q51" s="22">
        <v>213035.36948667318</v>
      </c>
      <c r="R51" s="22">
        <v>226075.98109647541</v>
      </c>
      <c r="S51" s="22">
        <v>231249.13440951591</v>
      </c>
      <c r="T51" s="22">
        <v>235855.21649949515</v>
      </c>
      <c r="U51" s="22">
        <v>255511.04670638562</v>
      </c>
      <c r="V51" s="22">
        <v>262312.86550540198</v>
      </c>
      <c r="W51" s="22">
        <v>276589.83586921915</v>
      </c>
      <c r="X51" s="22">
        <v>289944.29147519363</v>
      </c>
      <c r="Y51" s="22">
        <v>303692.29563920858</v>
      </c>
      <c r="Z51" s="22">
        <v>309292.92755071272</v>
      </c>
      <c r="AA51" s="23">
        <v>302275.04839883879</v>
      </c>
      <c r="AB51" s="96">
        <f t="shared" ref="AB51" si="4">+SUM(D51:AA51)*AC51+SUM(D52:AA52)*AC52+SUM(D53:AA53)*AC53</f>
        <v>178292789.61719382</v>
      </c>
      <c r="AC51" s="16">
        <v>22</v>
      </c>
      <c r="AD51" s="16">
        <f t="shared" si="0"/>
        <v>130493541.64025019</v>
      </c>
    </row>
    <row r="52" spans="1:30" ht="13.5" thickBot="1" x14ac:dyDescent="0.35">
      <c r="A52" s="18">
        <v>2027</v>
      </c>
      <c r="B52" s="19" t="s">
        <v>38</v>
      </c>
      <c r="C52" s="20" t="s">
        <v>34</v>
      </c>
      <c r="D52" s="21">
        <v>308730.76887214393</v>
      </c>
      <c r="E52" s="22">
        <v>296416.53966824501</v>
      </c>
      <c r="F52" s="22">
        <v>284610.83308638528</v>
      </c>
      <c r="G52" s="22">
        <v>274457.34271357988</v>
      </c>
      <c r="H52" s="22">
        <v>264141.9402238467</v>
      </c>
      <c r="I52" s="22">
        <v>247094.74799059212</v>
      </c>
      <c r="J52" s="22">
        <v>229986.30438631657</v>
      </c>
      <c r="K52" s="22">
        <v>181282.93925293462</v>
      </c>
      <c r="L52" s="22">
        <v>177906.05340001255</v>
      </c>
      <c r="M52" s="22">
        <v>177966.23740459367</v>
      </c>
      <c r="N52" s="22">
        <v>183239.38453271915</v>
      </c>
      <c r="O52" s="22">
        <v>193448.42110233699</v>
      </c>
      <c r="P52" s="22">
        <v>201055.64378656493</v>
      </c>
      <c r="Q52" s="22">
        <v>219372.83882360935</v>
      </c>
      <c r="R52" s="22">
        <v>232717.25823032187</v>
      </c>
      <c r="S52" s="22">
        <v>237349.33284000773</v>
      </c>
      <c r="T52" s="22">
        <v>240021.99249874629</v>
      </c>
      <c r="U52" s="22">
        <v>255503.22113041204</v>
      </c>
      <c r="V52" s="22">
        <v>261178.20266826299</v>
      </c>
      <c r="W52" s="22">
        <v>278080.26477669331</v>
      </c>
      <c r="X52" s="22">
        <v>294299.39088489866</v>
      </c>
      <c r="Y52" s="22">
        <v>309055.60567955847</v>
      </c>
      <c r="Z52" s="22">
        <v>313101.82981226471</v>
      </c>
      <c r="AA52" s="23">
        <v>303207.51165290462</v>
      </c>
      <c r="AB52" s="97"/>
      <c r="AC52" s="24">
        <v>4</v>
      </c>
      <c r="AD52" s="16">
        <f t="shared" si="0"/>
        <v>23856898.421671808</v>
      </c>
    </row>
    <row r="53" spans="1:30" ht="13.5" thickBot="1" x14ac:dyDescent="0.35">
      <c r="A53" s="18">
        <v>2027</v>
      </c>
      <c r="B53" s="25" t="s">
        <v>38</v>
      </c>
      <c r="C53" s="26" t="s">
        <v>36</v>
      </c>
      <c r="D53" s="21">
        <v>308714.43927214388</v>
      </c>
      <c r="E53" s="22">
        <v>296214.26052824501</v>
      </c>
      <c r="F53" s="22">
        <v>284837.34580638533</v>
      </c>
      <c r="G53" s="22">
        <v>274872.01249357988</v>
      </c>
      <c r="H53" s="22">
        <v>264741.67880384671</v>
      </c>
      <c r="I53" s="22">
        <v>247844.30309059215</v>
      </c>
      <c r="J53" s="22">
        <v>230597.53038631659</v>
      </c>
      <c r="K53" s="22">
        <v>182123.7737929346</v>
      </c>
      <c r="L53" s="22">
        <v>179836.1629800126</v>
      </c>
      <c r="M53" s="22">
        <v>180298.35376459366</v>
      </c>
      <c r="N53" s="22">
        <v>185946.8133127192</v>
      </c>
      <c r="O53" s="22">
        <v>196063.31926233706</v>
      </c>
      <c r="P53" s="22">
        <v>202703.3382265649</v>
      </c>
      <c r="Q53" s="22">
        <v>221082.43076360933</v>
      </c>
      <c r="R53" s="22">
        <v>234080.42073032184</v>
      </c>
      <c r="S53" s="22">
        <v>238223.93412000773</v>
      </c>
      <c r="T53" s="22">
        <v>240929.25675874628</v>
      </c>
      <c r="U53" s="22">
        <v>256411.25651041203</v>
      </c>
      <c r="V53" s="22">
        <v>262059.53612826296</v>
      </c>
      <c r="W53" s="22">
        <v>278435.25213669334</v>
      </c>
      <c r="X53" s="22">
        <v>294124.35798489867</v>
      </c>
      <c r="Y53" s="22">
        <v>308591.73919955856</v>
      </c>
      <c r="Z53" s="22">
        <v>312926.93677226477</v>
      </c>
      <c r="AA53" s="23">
        <v>303928.93599290465</v>
      </c>
      <c r="AB53" s="97"/>
      <c r="AC53" s="27">
        <v>4</v>
      </c>
      <c r="AD53" s="16">
        <f t="shared" si="0"/>
        <v>23942349.555271804</v>
      </c>
    </row>
    <row r="54" spans="1:30" ht="13.5" thickBot="1" x14ac:dyDescent="0.35">
      <c r="A54" s="18">
        <v>2027</v>
      </c>
      <c r="B54" s="11" t="s">
        <v>39</v>
      </c>
      <c r="C54" s="12" t="s">
        <v>33</v>
      </c>
      <c r="D54" s="21">
        <v>311314.45994197577</v>
      </c>
      <c r="E54" s="22">
        <v>298766.9566823683</v>
      </c>
      <c r="F54" s="22">
        <v>287226.83117556764</v>
      </c>
      <c r="G54" s="22">
        <v>277113.98768531444</v>
      </c>
      <c r="H54" s="22">
        <v>266879.11693194252</v>
      </c>
      <c r="I54" s="22">
        <v>251431.50796243313</v>
      </c>
      <c r="J54" s="22">
        <v>234896.69287645695</v>
      </c>
      <c r="K54" s="22">
        <v>184929.61843897816</v>
      </c>
      <c r="L54" s="22">
        <v>180191.51926873566</v>
      </c>
      <c r="M54" s="22">
        <v>179085.53682193585</v>
      </c>
      <c r="N54" s="22">
        <v>183530.88394298399</v>
      </c>
      <c r="O54" s="22">
        <v>192396.70802423655</v>
      </c>
      <c r="P54" s="22">
        <v>198842.22330506123</v>
      </c>
      <c r="Q54" s="22">
        <v>214821.39408190304</v>
      </c>
      <c r="R54" s="22">
        <v>227756.24168689584</v>
      </c>
      <c r="S54" s="22">
        <v>232640.61926811337</v>
      </c>
      <c r="T54" s="22">
        <v>236673.06515833872</v>
      </c>
      <c r="U54" s="22">
        <v>255551.20304384045</v>
      </c>
      <c r="V54" s="22">
        <v>263249.9176371572</v>
      </c>
      <c r="W54" s="22">
        <v>277595.54238374915</v>
      </c>
      <c r="X54" s="22">
        <v>291357.87504370825</v>
      </c>
      <c r="Y54" s="22">
        <v>304942.32037257013</v>
      </c>
      <c r="Z54" s="22">
        <v>310232.81940701691</v>
      </c>
      <c r="AA54" s="23">
        <v>303043.05943138071</v>
      </c>
      <c r="AB54" s="96">
        <f t="shared" ref="AB54" si="5">+SUM(D54:AA54)*AC54+SUM(D55:AA55)*AC55+SUM(D56:AA56)*AC56</f>
        <v>186349103.88719469</v>
      </c>
      <c r="AC54" s="16">
        <v>19</v>
      </c>
      <c r="AD54" s="16">
        <f t="shared" si="0"/>
        <v>113324931.91088063</v>
      </c>
    </row>
    <row r="55" spans="1:30" ht="13.5" thickBot="1" x14ac:dyDescent="0.35">
      <c r="A55" s="18">
        <v>2027</v>
      </c>
      <c r="B55" s="19" t="s">
        <v>39</v>
      </c>
      <c r="C55" s="20" t="s">
        <v>34</v>
      </c>
      <c r="D55" s="21">
        <v>312571.41497425345</v>
      </c>
      <c r="E55" s="22">
        <v>299374.39486658428</v>
      </c>
      <c r="F55" s="22">
        <v>287866.29885393829</v>
      </c>
      <c r="G55" s="22">
        <v>277379.85925837554</v>
      </c>
      <c r="H55" s="22">
        <v>266808.96523943113</v>
      </c>
      <c r="I55" s="22">
        <v>249399.4095460657</v>
      </c>
      <c r="J55" s="22">
        <v>231018.36153814144</v>
      </c>
      <c r="K55" s="22">
        <v>184107.0638941325</v>
      </c>
      <c r="L55" s="22">
        <v>182865.21076908664</v>
      </c>
      <c r="M55" s="22">
        <v>184207.93010996975</v>
      </c>
      <c r="N55" s="22">
        <v>190810.90434664555</v>
      </c>
      <c r="O55" s="22">
        <v>201247.82887604673</v>
      </c>
      <c r="P55" s="22">
        <v>207947.33687269632</v>
      </c>
      <c r="Q55" s="22">
        <v>230529.92553874745</v>
      </c>
      <c r="R55" s="22">
        <v>244083.89001870374</v>
      </c>
      <c r="S55" s="22">
        <v>247996.76262191139</v>
      </c>
      <c r="T55" s="22">
        <v>250139.70552034164</v>
      </c>
      <c r="U55" s="22">
        <v>263120.6759688374</v>
      </c>
      <c r="V55" s="22">
        <v>268809.67837860447</v>
      </c>
      <c r="W55" s="22">
        <v>285693.3413312895</v>
      </c>
      <c r="X55" s="22">
        <v>302640.06391919154</v>
      </c>
      <c r="Y55" s="22">
        <v>316950.08631302061</v>
      </c>
      <c r="Z55" s="22">
        <v>319885.23305298871</v>
      </c>
      <c r="AA55" s="23">
        <v>308490.48746212473</v>
      </c>
      <c r="AB55" s="97"/>
      <c r="AC55" s="24">
        <v>4</v>
      </c>
      <c r="AD55" s="16">
        <f t="shared" si="0"/>
        <v>24455779.31708451</v>
      </c>
    </row>
    <row r="56" spans="1:30" ht="13.5" thickBot="1" x14ac:dyDescent="0.35">
      <c r="A56" s="18">
        <v>2027</v>
      </c>
      <c r="B56" s="25" t="s">
        <v>39</v>
      </c>
      <c r="C56" s="26" t="s">
        <v>36</v>
      </c>
      <c r="D56" s="21">
        <v>312095.34350892581</v>
      </c>
      <c r="E56" s="22">
        <v>299195.33651796111</v>
      </c>
      <c r="F56" s="22">
        <v>287444.25254145131</v>
      </c>
      <c r="G56" s="22">
        <v>277295.00135137944</v>
      </c>
      <c r="H56" s="22">
        <v>267238.68113259214</v>
      </c>
      <c r="I56" s="22">
        <v>251502.73185570363</v>
      </c>
      <c r="J56" s="22">
        <v>234565.63899456558</v>
      </c>
      <c r="K56" s="22">
        <v>186472.01406785709</v>
      </c>
      <c r="L56" s="22">
        <v>185205.90954744918</v>
      </c>
      <c r="M56" s="22">
        <v>186229.32152735654</v>
      </c>
      <c r="N56" s="22">
        <v>191851.70185050211</v>
      </c>
      <c r="O56" s="22">
        <v>201569.74706055108</v>
      </c>
      <c r="P56" s="22">
        <v>206745.78945197031</v>
      </c>
      <c r="Q56" s="22">
        <v>223585.73534527692</v>
      </c>
      <c r="R56" s="22">
        <v>237423.83036516511</v>
      </c>
      <c r="S56" s="22">
        <v>242093.7462032552</v>
      </c>
      <c r="T56" s="22">
        <v>245008.08192500685</v>
      </c>
      <c r="U56" s="22">
        <v>261388.38014121744</v>
      </c>
      <c r="V56" s="22">
        <v>267918.98432881321</v>
      </c>
      <c r="W56" s="22">
        <v>281932.35834075295</v>
      </c>
      <c r="X56" s="22">
        <v>295508.77321480546</v>
      </c>
      <c r="Y56" s="22">
        <v>308944.00392177317</v>
      </c>
      <c r="Z56" s="22">
        <v>313825.60189692577</v>
      </c>
      <c r="AA56" s="23">
        <v>306008.11731243279</v>
      </c>
      <c r="AB56" s="97"/>
      <c r="AC56" s="27">
        <v>8</v>
      </c>
      <c r="AD56" s="16">
        <f t="shared" si="0"/>
        <v>48568392.659229539</v>
      </c>
    </row>
    <row r="57" spans="1:30" ht="13.5" thickBot="1" x14ac:dyDescent="0.35">
      <c r="A57" s="18">
        <v>2027</v>
      </c>
      <c r="B57" s="11" t="s">
        <v>40</v>
      </c>
      <c r="C57" s="12" t="s">
        <v>33</v>
      </c>
      <c r="D57" s="21">
        <v>321618.68361634831</v>
      </c>
      <c r="E57" s="22">
        <v>309161.47836042353</v>
      </c>
      <c r="F57" s="22">
        <v>297499.20984107337</v>
      </c>
      <c r="G57" s="22">
        <v>287525.77240817685</v>
      </c>
      <c r="H57" s="22">
        <v>277410.03642647818</v>
      </c>
      <c r="I57" s="22">
        <v>262250.29756479728</v>
      </c>
      <c r="J57" s="22">
        <v>245994.13199335997</v>
      </c>
      <c r="K57" s="22">
        <v>194474.38944780469</v>
      </c>
      <c r="L57" s="22">
        <v>187306.57893505017</v>
      </c>
      <c r="M57" s="22">
        <v>185048.54820138987</v>
      </c>
      <c r="N57" s="22">
        <v>188710.17436210538</v>
      </c>
      <c r="O57" s="22">
        <v>197456.58272103156</v>
      </c>
      <c r="P57" s="22">
        <v>204708.65080873456</v>
      </c>
      <c r="Q57" s="22">
        <v>219560.03470708337</v>
      </c>
      <c r="R57" s="22">
        <v>231596.64202755952</v>
      </c>
      <c r="S57" s="22">
        <v>236775.48938596409</v>
      </c>
      <c r="T57" s="22">
        <v>240885.02644183021</v>
      </c>
      <c r="U57" s="22">
        <v>260719.0745739924</v>
      </c>
      <c r="V57" s="22">
        <v>271410.75905429508</v>
      </c>
      <c r="W57" s="22">
        <v>286507.16876069596</v>
      </c>
      <c r="X57" s="22">
        <v>300764.11715371627</v>
      </c>
      <c r="Y57" s="22">
        <v>314900.34145632392</v>
      </c>
      <c r="Z57" s="22">
        <v>320106.78367605031</v>
      </c>
      <c r="AA57" s="23">
        <v>312955.07549943449</v>
      </c>
      <c r="AB57" s="96">
        <f t="shared" ref="AB57" si="6">+SUM(D57:AA57)*AC57+SUM(D58:AA58)*AC58+SUM(D59:AA59)*AC59</f>
        <v>186529267.13325414</v>
      </c>
      <c r="AC57" s="16">
        <v>21</v>
      </c>
      <c r="AD57" s="16">
        <f t="shared" si="0"/>
        <v>129262245.99589813</v>
      </c>
    </row>
    <row r="58" spans="1:30" ht="13.5" thickBot="1" x14ac:dyDescent="0.35">
      <c r="A58" s="18">
        <v>2027</v>
      </c>
      <c r="B58" s="19" t="s">
        <v>40</v>
      </c>
      <c r="C58" s="20" t="s">
        <v>34</v>
      </c>
      <c r="D58" s="21">
        <v>323599.6959087014</v>
      </c>
      <c r="E58" s="22">
        <v>309760.06101111113</v>
      </c>
      <c r="F58" s="22">
        <v>297831.4752281977</v>
      </c>
      <c r="G58" s="22">
        <v>287234.61079898116</v>
      </c>
      <c r="H58" s="22">
        <v>276360.56491676858</v>
      </c>
      <c r="I58" s="22">
        <v>258746.66251974777</v>
      </c>
      <c r="J58" s="22">
        <v>240424.10009893024</v>
      </c>
      <c r="K58" s="22">
        <v>193777.72711548637</v>
      </c>
      <c r="L58" s="22">
        <v>193062.70479228013</v>
      </c>
      <c r="M58" s="22">
        <v>194337.36945392645</v>
      </c>
      <c r="N58" s="22">
        <v>200584.10257144575</v>
      </c>
      <c r="O58" s="22">
        <v>211174.70380569578</v>
      </c>
      <c r="P58" s="22">
        <v>218218.02296402724</v>
      </c>
      <c r="Q58" s="22">
        <v>241042.70468887134</v>
      </c>
      <c r="R58" s="22">
        <v>255845.75747683897</v>
      </c>
      <c r="S58" s="22">
        <v>259314.35813986286</v>
      </c>
      <c r="T58" s="22">
        <v>260151.38463009518</v>
      </c>
      <c r="U58" s="22">
        <v>272407.15740056959</v>
      </c>
      <c r="V58" s="22">
        <v>279559.70592674304</v>
      </c>
      <c r="W58" s="22">
        <v>296164.4492631983</v>
      </c>
      <c r="X58" s="22">
        <v>313696.49038018443</v>
      </c>
      <c r="Y58" s="22">
        <v>328640.89879634313</v>
      </c>
      <c r="Z58" s="22">
        <v>331918.23760975775</v>
      </c>
      <c r="AA58" s="23">
        <v>320527.57664586528</v>
      </c>
      <c r="AB58" s="97"/>
      <c r="AC58" s="24">
        <v>4</v>
      </c>
      <c r="AD58" s="16">
        <f t="shared" si="0"/>
        <v>25457522.088574521</v>
      </c>
    </row>
    <row r="59" spans="1:30" ht="13.5" thickBot="1" x14ac:dyDescent="0.35">
      <c r="A59" s="18">
        <v>2027</v>
      </c>
      <c r="B59" s="25" t="s">
        <v>40</v>
      </c>
      <c r="C59" s="26" t="s">
        <v>36</v>
      </c>
      <c r="D59" s="21">
        <v>322889.22183926066</v>
      </c>
      <c r="E59" s="22">
        <v>309210.6800672281</v>
      </c>
      <c r="F59" s="22">
        <v>296952.48014869139</v>
      </c>
      <c r="G59" s="22">
        <v>286205.3780159498</v>
      </c>
      <c r="H59" s="22">
        <v>275826.68888208683</v>
      </c>
      <c r="I59" s="22">
        <v>259537.75060209708</v>
      </c>
      <c r="J59" s="22">
        <v>241730.5820979542</v>
      </c>
      <c r="K59" s="22">
        <v>195064.35979283499</v>
      </c>
      <c r="L59" s="22">
        <v>195893.46163191958</v>
      </c>
      <c r="M59" s="22">
        <v>197479.52841931611</v>
      </c>
      <c r="N59" s="22">
        <v>204063.38202993554</v>
      </c>
      <c r="O59" s="22">
        <v>214667.80684566282</v>
      </c>
      <c r="P59" s="22">
        <v>219755.92263132351</v>
      </c>
      <c r="Q59" s="22">
        <v>239474.13616326259</v>
      </c>
      <c r="R59" s="22">
        <v>255044.9761371518</v>
      </c>
      <c r="S59" s="22">
        <v>259105.02629507793</v>
      </c>
      <c r="T59" s="22">
        <v>260456.61771050567</v>
      </c>
      <c r="U59" s="22">
        <v>273314.1719860484</v>
      </c>
      <c r="V59" s="22">
        <v>279962.65454576846</v>
      </c>
      <c r="W59" s="22">
        <v>294788.51643676672</v>
      </c>
      <c r="X59" s="22">
        <v>309636.74738013878</v>
      </c>
      <c r="Y59" s="22">
        <v>323676.83538050496</v>
      </c>
      <c r="Z59" s="22">
        <v>328115.84135818284</v>
      </c>
      <c r="AA59" s="23">
        <v>319047.043358628</v>
      </c>
      <c r="AB59" s="97"/>
      <c r="AC59" s="27">
        <v>5</v>
      </c>
      <c r="AD59" s="16">
        <f t="shared" si="0"/>
        <v>31809499.048781477</v>
      </c>
    </row>
    <row r="60" spans="1:30" ht="13.5" thickBot="1" x14ac:dyDescent="0.35">
      <c r="A60" s="18">
        <v>2027</v>
      </c>
      <c r="B60" s="11" t="s">
        <v>41</v>
      </c>
      <c r="C60" s="12" t="s">
        <v>33</v>
      </c>
      <c r="D60" s="21">
        <v>309659.93443693104</v>
      </c>
      <c r="E60" s="22">
        <v>297087.76282061951</v>
      </c>
      <c r="F60" s="22">
        <v>285541.89405920001</v>
      </c>
      <c r="G60" s="22">
        <v>275621.64894963178</v>
      </c>
      <c r="H60" s="22">
        <v>265672.12880094146</v>
      </c>
      <c r="I60" s="22">
        <v>250092.75207247859</v>
      </c>
      <c r="J60" s="22">
        <v>233404.83524865806</v>
      </c>
      <c r="K60" s="22">
        <v>184107.66823516303</v>
      </c>
      <c r="L60" s="22">
        <v>179703.55386749763</v>
      </c>
      <c r="M60" s="22">
        <v>179066.98271064161</v>
      </c>
      <c r="N60" s="22">
        <v>183586.03815654159</v>
      </c>
      <c r="O60" s="22">
        <v>192509.2047338702</v>
      </c>
      <c r="P60" s="22">
        <v>198508.78011813603</v>
      </c>
      <c r="Q60" s="22">
        <v>215064.58149325135</v>
      </c>
      <c r="R60" s="22">
        <v>228156.59601259432</v>
      </c>
      <c r="S60" s="22">
        <v>232666.43076229733</v>
      </c>
      <c r="T60" s="22">
        <v>236185.99497282208</v>
      </c>
      <c r="U60" s="22">
        <v>254451.45406198624</v>
      </c>
      <c r="V60" s="22">
        <v>264785.26609166671</v>
      </c>
      <c r="W60" s="22">
        <v>278455.13528436952</v>
      </c>
      <c r="X60" s="22">
        <v>292276.69833758014</v>
      </c>
      <c r="Y60" s="22">
        <v>305386.94562375022</v>
      </c>
      <c r="Z60" s="22">
        <v>309488.19955742615</v>
      </c>
      <c r="AA60" s="23">
        <v>301292.29173781612</v>
      </c>
      <c r="AB60" s="96">
        <f t="shared" ref="AB60" si="7">+SUM(D60:AA60)*AC60+SUM(D61:AA61)*AC61+SUM(D62:AA62)*AC62</f>
        <v>185658004.74732736</v>
      </c>
      <c r="AC60" s="16">
        <v>20</v>
      </c>
      <c r="AD60" s="16">
        <f t="shared" si="0"/>
        <v>119055455.56291743</v>
      </c>
    </row>
    <row r="61" spans="1:30" ht="13.5" thickBot="1" x14ac:dyDescent="0.35">
      <c r="A61" s="18">
        <v>2027</v>
      </c>
      <c r="B61" s="19" t="s">
        <v>41</v>
      </c>
      <c r="C61" s="20" t="s">
        <v>34</v>
      </c>
      <c r="D61" s="21">
        <v>308474.13395515166</v>
      </c>
      <c r="E61" s="22">
        <v>295266.1944575606</v>
      </c>
      <c r="F61" s="22">
        <v>283778.08762440446</v>
      </c>
      <c r="G61" s="22">
        <v>273657.12139428232</v>
      </c>
      <c r="H61" s="22">
        <v>263221.53613387729</v>
      </c>
      <c r="I61" s="22">
        <v>246068.20673924443</v>
      </c>
      <c r="J61" s="22">
        <v>228093.9992621174</v>
      </c>
      <c r="K61" s="22">
        <v>182488.65783558667</v>
      </c>
      <c r="L61" s="22">
        <v>181742.92488923518</v>
      </c>
      <c r="M61" s="22">
        <v>183343.5075635502</v>
      </c>
      <c r="N61" s="22">
        <v>190151.53486967224</v>
      </c>
      <c r="O61" s="22">
        <v>201482.47034660549</v>
      </c>
      <c r="P61" s="22">
        <v>209414.1532229369</v>
      </c>
      <c r="Q61" s="22">
        <v>231872.3920100402</v>
      </c>
      <c r="R61" s="22">
        <v>247120.7623945525</v>
      </c>
      <c r="S61" s="22">
        <v>251492.63278368223</v>
      </c>
      <c r="T61" s="22">
        <v>253139.08140554614</v>
      </c>
      <c r="U61" s="22">
        <v>265418.39161945548</v>
      </c>
      <c r="V61" s="22">
        <v>272967.03700953786</v>
      </c>
      <c r="W61" s="22">
        <v>289485.5255209895</v>
      </c>
      <c r="X61" s="22">
        <v>306140.27057831507</v>
      </c>
      <c r="Y61" s="22">
        <v>320508.74529567343</v>
      </c>
      <c r="Z61" s="22">
        <v>322915.97813748854</v>
      </c>
      <c r="AA61" s="23">
        <v>310948.49863605789</v>
      </c>
      <c r="AB61" s="97"/>
      <c r="AC61" s="24">
        <v>5</v>
      </c>
      <c r="AD61" s="16">
        <f t="shared" si="0"/>
        <v>30595959.218427818</v>
      </c>
    </row>
    <row r="62" spans="1:30" ht="13.5" thickBot="1" x14ac:dyDescent="0.35">
      <c r="A62" s="18">
        <v>2027</v>
      </c>
      <c r="B62" s="25" t="s">
        <v>41</v>
      </c>
      <c r="C62" s="26" t="s">
        <v>36</v>
      </c>
      <c r="D62" s="21">
        <v>308490.65352601762</v>
      </c>
      <c r="E62" s="22">
        <v>295634.18330540392</v>
      </c>
      <c r="F62" s="22">
        <v>284011.16309195507</v>
      </c>
      <c r="G62" s="22">
        <v>273958.17480911495</v>
      </c>
      <c r="H62" s="22">
        <v>264037.16537505965</v>
      </c>
      <c r="I62" s="22">
        <v>248497.50283617122</v>
      </c>
      <c r="J62" s="22">
        <v>231833.8618160515</v>
      </c>
      <c r="K62" s="22">
        <v>184446.45099956045</v>
      </c>
      <c r="L62" s="22">
        <v>182688.19098730458</v>
      </c>
      <c r="M62" s="22">
        <v>183239.64080254061</v>
      </c>
      <c r="N62" s="22">
        <v>188875.51358174931</v>
      </c>
      <c r="O62" s="22">
        <v>198635.56296134405</v>
      </c>
      <c r="P62" s="22">
        <v>204864.60973538039</v>
      </c>
      <c r="Q62" s="22">
        <v>222769.46019138597</v>
      </c>
      <c r="R62" s="22">
        <v>236909.2741145989</v>
      </c>
      <c r="S62" s="22">
        <v>240397.43639769906</v>
      </c>
      <c r="T62" s="22">
        <v>242011.79376251937</v>
      </c>
      <c r="U62" s="22">
        <v>257466.6784844897</v>
      </c>
      <c r="V62" s="22">
        <v>265924.37007412553</v>
      </c>
      <c r="W62" s="22">
        <v>278765.28316918941</v>
      </c>
      <c r="X62" s="22">
        <v>292554.40834194294</v>
      </c>
      <c r="Y62" s="22">
        <v>305279.98376020318</v>
      </c>
      <c r="Z62" s="22">
        <v>309096.26421964151</v>
      </c>
      <c r="AA62" s="23">
        <v>300710.70132023352</v>
      </c>
      <c r="AB62" s="97"/>
      <c r="AC62" s="27">
        <v>6</v>
      </c>
      <c r="AD62" s="16">
        <f t="shared" si="0"/>
        <v>36006589.965982109</v>
      </c>
    </row>
    <row r="63" spans="1:30" ht="13.5" thickBot="1" x14ac:dyDescent="0.35">
      <c r="A63" s="18">
        <v>2027</v>
      </c>
      <c r="B63" s="11" t="s">
        <v>42</v>
      </c>
      <c r="C63" s="12" t="s">
        <v>33</v>
      </c>
      <c r="D63" s="21">
        <v>324652.54615984735</v>
      </c>
      <c r="E63" s="22">
        <v>311908.05392346409</v>
      </c>
      <c r="F63" s="22">
        <v>300154.89272227784</v>
      </c>
      <c r="G63" s="22">
        <v>289965.68471453333</v>
      </c>
      <c r="H63" s="22">
        <v>279828.63408325525</v>
      </c>
      <c r="I63" s="22">
        <v>263860.88076955016</v>
      </c>
      <c r="J63" s="22">
        <v>247365.31743115603</v>
      </c>
      <c r="K63" s="22">
        <v>196727.70324591041</v>
      </c>
      <c r="L63" s="22">
        <v>190777.35614544561</v>
      </c>
      <c r="M63" s="22">
        <v>189320.51201806162</v>
      </c>
      <c r="N63" s="22">
        <v>193303.71639792903</v>
      </c>
      <c r="O63" s="22">
        <v>202029.08462161029</v>
      </c>
      <c r="P63" s="22">
        <v>208910.48724590091</v>
      </c>
      <c r="Q63" s="22">
        <v>224753.29188733411</v>
      </c>
      <c r="R63" s="22">
        <v>237816.49744568055</v>
      </c>
      <c r="S63" s="22">
        <v>243035.75577723279</v>
      </c>
      <c r="T63" s="22">
        <v>246711.46349822875</v>
      </c>
      <c r="U63" s="22">
        <v>265416.87305749988</v>
      </c>
      <c r="V63" s="22">
        <v>275691.33533271198</v>
      </c>
      <c r="W63" s="22">
        <v>291415.79985927546</v>
      </c>
      <c r="X63" s="22">
        <v>305203.47206769738</v>
      </c>
      <c r="Y63" s="22">
        <v>319221.08912098192</v>
      </c>
      <c r="Z63" s="22">
        <v>324700.38387869607</v>
      </c>
      <c r="AA63" s="23">
        <v>317788.05780247325</v>
      </c>
      <c r="AB63" s="96">
        <f t="shared" ref="AB63" si="8">+SUM(D63:AA63)*AC63+SUM(D64:AA64)*AC64+SUM(D65:AA65)*AC65</f>
        <v>195638825.76584631</v>
      </c>
      <c r="AC63" s="16">
        <v>21</v>
      </c>
      <c r="AD63" s="16">
        <f t="shared" si="0"/>
        <v>131261736.67334181</v>
      </c>
    </row>
    <row r="64" spans="1:30" ht="13.5" thickBot="1" x14ac:dyDescent="0.35">
      <c r="A64" s="18">
        <v>2027</v>
      </c>
      <c r="B64" s="19" t="s">
        <v>42</v>
      </c>
      <c r="C64" s="20" t="s">
        <v>34</v>
      </c>
      <c r="D64" s="21">
        <v>332070.67314726475</v>
      </c>
      <c r="E64" s="22">
        <v>318190.16882733727</v>
      </c>
      <c r="F64" s="22">
        <v>306022.38715305424</v>
      </c>
      <c r="G64" s="22">
        <v>295505.51652361453</v>
      </c>
      <c r="H64" s="22">
        <v>284771.20866372256</v>
      </c>
      <c r="I64" s="22">
        <v>266169.50397055788</v>
      </c>
      <c r="J64" s="22">
        <v>247173.8160498277</v>
      </c>
      <c r="K64" s="22">
        <v>200793.32386925435</v>
      </c>
      <c r="L64" s="22">
        <v>199742.28926516642</v>
      </c>
      <c r="M64" s="22">
        <v>200798.15868456438</v>
      </c>
      <c r="N64" s="22">
        <v>207114.76854984052</v>
      </c>
      <c r="O64" s="22">
        <v>217705.39454090572</v>
      </c>
      <c r="P64" s="22">
        <v>224523.06943905109</v>
      </c>
      <c r="Q64" s="22">
        <v>246771.41197137965</v>
      </c>
      <c r="R64" s="22">
        <v>261811.75385837804</v>
      </c>
      <c r="S64" s="22">
        <v>265523.15038090321</v>
      </c>
      <c r="T64" s="22">
        <v>265994.06093247683</v>
      </c>
      <c r="U64" s="22">
        <v>277541.59981424257</v>
      </c>
      <c r="V64" s="22">
        <v>284082.06350301445</v>
      </c>
      <c r="W64" s="22">
        <v>302413.89421360212</v>
      </c>
      <c r="X64" s="22">
        <v>320190.25464697951</v>
      </c>
      <c r="Y64" s="22">
        <v>335145.40472229716</v>
      </c>
      <c r="Z64" s="22">
        <v>337717.50838049757</v>
      </c>
      <c r="AA64" s="23">
        <v>325166.91639652685</v>
      </c>
      <c r="AB64" s="97"/>
      <c r="AC64" s="24">
        <v>3</v>
      </c>
      <c r="AD64" s="16">
        <f t="shared" si="0"/>
        <v>19568814.892513379</v>
      </c>
    </row>
    <row r="65" spans="1:30" ht="13.5" thickBot="1" x14ac:dyDescent="0.35">
      <c r="A65" s="18">
        <v>2027</v>
      </c>
      <c r="B65" s="25" t="s">
        <v>42</v>
      </c>
      <c r="C65" s="26" t="s">
        <v>36</v>
      </c>
      <c r="D65" s="21">
        <v>325192.6666947967</v>
      </c>
      <c r="E65" s="22">
        <v>311681.49544991291</v>
      </c>
      <c r="F65" s="22">
        <v>299708.48713794071</v>
      </c>
      <c r="G65" s="22">
        <v>289173.95063287386</v>
      </c>
      <c r="H65" s="22">
        <v>278723.22883929557</v>
      </c>
      <c r="I65" s="22">
        <v>262310.23538876203</v>
      </c>
      <c r="J65" s="22">
        <v>244775.73547429041</v>
      </c>
      <c r="K65" s="22">
        <v>197726.02366338251</v>
      </c>
      <c r="L65" s="22">
        <v>197091.59145266152</v>
      </c>
      <c r="M65" s="22">
        <v>197999.9850190733</v>
      </c>
      <c r="N65" s="22">
        <v>204148.06602440364</v>
      </c>
      <c r="O65" s="22">
        <v>214262.15601224831</v>
      </c>
      <c r="P65" s="22">
        <v>220389.59611087499</v>
      </c>
      <c r="Q65" s="22">
        <v>239259.31891484003</v>
      </c>
      <c r="R65" s="22">
        <v>254261.760554407</v>
      </c>
      <c r="S65" s="22">
        <v>258812.36932007229</v>
      </c>
      <c r="T65" s="22">
        <v>260401.61448595175</v>
      </c>
      <c r="U65" s="22">
        <v>274462.4267189175</v>
      </c>
      <c r="V65" s="22">
        <v>282114.76535454189</v>
      </c>
      <c r="W65" s="22">
        <v>298006.56932302954</v>
      </c>
      <c r="X65" s="22">
        <v>312630.69873495819</v>
      </c>
      <c r="Y65" s="22">
        <v>326353.77107835142</v>
      </c>
      <c r="Z65" s="22">
        <v>330582.41529916943</v>
      </c>
      <c r="AA65" s="23">
        <v>321113.10088540014</v>
      </c>
      <c r="AB65" s="97"/>
      <c r="AC65" s="27">
        <v>7</v>
      </c>
      <c r="AD65" s="16">
        <f t="shared" si="0"/>
        <v>44808274.199991092</v>
      </c>
    </row>
    <row r="66" spans="1:30" ht="13.5" thickBot="1" x14ac:dyDescent="0.35">
      <c r="A66" s="18">
        <v>2027</v>
      </c>
      <c r="B66" s="11" t="s">
        <v>43</v>
      </c>
      <c r="C66" s="12" t="s">
        <v>33</v>
      </c>
      <c r="D66" s="21">
        <v>325730.35366492387</v>
      </c>
      <c r="E66" s="22">
        <v>312746.51618257095</v>
      </c>
      <c r="F66" s="22">
        <v>300893.40540192055</v>
      </c>
      <c r="G66" s="22">
        <v>290543.67138821131</v>
      </c>
      <c r="H66" s="22">
        <v>280154.4912550319</v>
      </c>
      <c r="I66" s="22">
        <v>263542.3018128752</v>
      </c>
      <c r="J66" s="22">
        <v>246759.60683462519</v>
      </c>
      <c r="K66" s="22">
        <v>197209.23404442973</v>
      </c>
      <c r="L66" s="22">
        <v>192148.60932969683</v>
      </c>
      <c r="M66" s="22">
        <v>191197.11228639595</v>
      </c>
      <c r="N66" s="22">
        <v>195357.87708197458</v>
      </c>
      <c r="O66" s="22">
        <v>204231.89987242155</v>
      </c>
      <c r="P66" s="22">
        <v>210294.07808270707</v>
      </c>
      <c r="Q66" s="22">
        <v>226716.48803119911</v>
      </c>
      <c r="R66" s="22">
        <v>240367.28773341377</v>
      </c>
      <c r="S66" s="22">
        <v>245170.91685510863</v>
      </c>
      <c r="T66" s="22">
        <v>248290.65271188662</v>
      </c>
      <c r="U66" s="22">
        <v>265349.43936573056</v>
      </c>
      <c r="V66" s="22">
        <v>272696.77975166385</v>
      </c>
      <c r="W66" s="22">
        <v>289897.47800545738</v>
      </c>
      <c r="X66" s="22">
        <v>304336.07989217457</v>
      </c>
      <c r="Y66" s="22">
        <v>318250.91588218889</v>
      </c>
      <c r="Z66" s="22">
        <v>323580.82457270357</v>
      </c>
      <c r="AA66" s="23">
        <v>316139.11854740768</v>
      </c>
      <c r="AB66" s="96">
        <f t="shared" ref="AB66" si="9">+SUM(D66:AA66)*AC66+SUM(D67:AA67)*AC67+SUM(D68:AA68)*AC68</f>
        <v>189803729.13102126</v>
      </c>
      <c r="AC66" s="16">
        <v>22</v>
      </c>
      <c r="AD66" s="16">
        <f t="shared" si="0"/>
        <v>137755313.04890782</v>
      </c>
    </row>
    <row r="67" spans="1:30" ht="13.5" thickBot="1" x14ac:dyDescent="0.35">
      <c r="A67" s="18">
        <v>2027</v>
      </c>
      <c r="B67" s="19" t="s">
        <v>43</v>
      </c>
      <c r="C67" s="20" t="s">
        <v>34</v>
      </c>
      <c r="D67" s="21">
        <v>325386.83729791438</v>
      </c>
      <c r="E67" s="22">
        <v>311823.96206288587</v>
      </c>
      <c r="F67" s="22">
        <v>300083.33671146195</v>
      </c>
      <c r="G67" s="22">
        <v>289627.60414489714</v>
      </c>
      <c r="H67" s="22">
        <v>278843.91063687857</v>
      </c>
      <c r="I67" s="22">
        <v>260632.25092238048</v>
      </c>
      <c r="J67" s="22">
        <v>242459.45773585077</v>
      </c>
      <c r="K67" s="22">
        <v>196863.76678256635</v>
      </c>
      <c r="L67" s="22">
        <v>196734.03001581042</v>
      </c>
      <c r="M67" s="22">
        <v>198672.0998331391</v>
      </c>
      <c r="N67" s="22">
        <v>205619.14511336945</v>
      </c>
      <c r="O67" s="22">
        <v>217030.64502153691</v>
      </c>
      <c r="P67" s="22">
        <v>223745.64581400444</v>
      </c>
      <c r="Q67" s="22">
        <v>246594.39320812869</v>
      </c>
      <c r="R67" s="22">
        <v>262216.21369135444</v>
      </c>
      <c r="S67" s="22">
        <v>265733.92680971982</v>
      </c>
      <c r="T67" s="22">
        <v>266501.24490654067</v>
      </c>
      <c r="U67" s="22">
        <v>277189.94712151051</v>
      </c>
      <c r="V67" s="22">
        <v>282178.64298392343</v>
      </c>
      <c r="W67" s="22">
        <v>302390.46803026879</v>
      </c>
      <c r="X67" s="22">
        <v>320757.44465946883</v>
      </c>
      <c r="Y67" s="22">
        <v>336096.34825553768</v>
      </c>
      <c r="Z67" s="22">
        <v>338950.1108840169</v>
      </c>
      <c r="AA67" s="23">
        <v>326728.80586101336</v>
      </c>
      <c r="AB67" s="97"/>
      <c r="AC67" s="24">
        <v>4</v>
      </c>
      <c r="AD67" s="16">
        <f t="shared" si="0"/>
        <v>25891440.954016715</v>
      </c>
    </row>
    <row r="68" spans="1:30" ht="13.5" thickBot="1" x14ac:dyDescent="0.35">
      <c r="A68" s="18">
        <v>2027</v>
      </c>
      <c r="B68" s="25" t="s">
        <v>43</v>
      </c>
      <c r="C68" s="26" t="s">
        <v>36</v>
      </c>
      <c r="D68" s="21">
        <v>327740.3371179144</v>
      </c>
      <c r="E68" s="22">
        <v>313341.35612288589</v>
      </c>
      <c r="F68" s="22">
        <v>300974.63803146192</v>
      </c>
      <c r="G68" s="22">
        <v>290137.26910489716</v>
      </c>
      <c r="H68" s="22">
        <v>279247.34625687863</v>
      </c>
      <c r="I68" s="22">
        <v>261010.08838238046</v>
      </c>
      <c r="J68" s="22">
        <v>242261.19295585074</v>
      </c>
      <c r="K68" s="22">
        <v>196794.81202256633</v>
      </c>
      <c r="L68" s="22">
        <v>198183.96619581035</v>
      </c>
      <c r="M68" s="22">
        <v>200594.05217313909</v>
      </c>
      <c r="N68" s="22">
        <v>208663.77257336938</v>
      </c>
      <c r="O68" s="22">
        <v>221158.56378153691</v>
      </c>
      <c r="P68" s="22">
        <v>229121.89067400448</v>
      </c>
      <c r="Q68" s="22">
        <v>252721.82990812868</v>
      </c>
      <c r="R68" s="22">
        <v>268167.24157135451</v>
      </c>
      <c r="S68" s="22">
        <v>271793.53518971987</v>
      </c>
      <c r="T68" s="22">
        <v>271736.91156654072</v>
      </c>
      <c r="U68" s="22">
        <v>282065.10006151051</v>
      </c>
      <c r="V68" s="22">
        <v>286572.22770392342</v>
      </c>
      <c r="W68" s="22">
        <v>306033.17843026877</v>
      </c>
      <c r="X68" s="22">
        <v>322671.31157946883</v>
      </c>
      <c r="Y68" s="22">
        <v>337324.49671553774</v>
      </c>
      <c r="Z68" s="22">
        <v>340897.69162401685</v>
      </c>
      <c r="AA68" s="23">
        <v>330030.97228101338</v>
      </c>
      <c r="AB68" s="97"/>
      <c r="AC68" s="27">
        <v>4</v>
      </c>
      <c r="AD68" s="16">
        <f t="shared" si="0"/>
        <v>26156975.128096715</v>
      </c>
    </row>
    <row r="69" spans="1:30" ht="13.5" thickBot="1" x14ac:dyDescent="0.35">
      <c r="A69" s="18">
        <v>2027</v>
      </c>
      <c r="B69" s="11" t="s">
        <v>44</v>
      </c>
      <c r="C69" s="12" t="s">
        <v>33</v>
      </c>
      <c r="D69" s="21">
        <v>317241.77453753963</v>
      </c>
      <c r="E69" s="22">
        <v>304771.87694303581</v>
      </c>
      <c r="F69" s="22">
        <v>293176.4718256559</v>
      </c>
      <c r="G69" s="22">
        <v>283132.18314427591</v>
      </c>
      <c r="H69" s="22">
        <v>272985.16764997167</v>
      </c>
      <c r="I69" s="22">
        <v>256534.78758595634</v>
      </c>
      <c r="J69" s="22">
        <v>240209.24703073446</v>
      </c>
      <c r="K69" s="22">
        <v>189388.60783101182</v>
      </c>
      <c r="L69" s="22">
        <v>183378.69106071378</v>
      </c>
      <c r="M69" s="22">
        <v>181432.21762437047</v>
      </c>
      <c r="N69" s="22">
        <v>185132.00455478154</v>
      </c>
      <c r="O69" s="22">
        <v>193912.79988612331</v>
      </c>
      <c r="P69" s="22">
        <v>200825.48899348156</v>
      </c>
      <c r="Q69" s="22">
        <v>217032.36156440535</v>
      </c>
      <c r="R69" s="22">
        <v>229787.29479210824</v>
      </c>
      <c r="S69" s="22">
        <v>235281.35602099038</v>
      </c>
      <c r="T69" s="22">
        <v>239405.71669844966</v>
      </c>
      <c r="U69" s="22">
        <v>255442.95145993988</v>
      </c>
      <c r="V69" s="22">
        <v>261727.93197498136</v>
      </c>
      <c r="W69" s="22">
        <v>280508.55346786755</v>
      </c>
      <c r="X69" s="22">
        <v>295353.90946169267</v>
      </c>
      <c r="Y69" s="22">
        <v>309845.0213960117</v>
      </c>
      <c r="Z69" s="22">
        <v>315482.43968472432</v>
      </c>
      <c r="AA69" s="23">
        <v>308667.69771043735</v>
      </c>
      <c r="AB69" s="96">
        <f t="shared" ref="AB69" si="10">+SUM(D69:AA69)*AC69+SUM(D70:AA70)*AC70+SUM(D71:AA71)*AC71</f>
        <v>189313277.90924704</v>
      </c>
      <c r="AC69" s="16">
        <v>20</v>
      </c>
      <c r="AD69" s="16">
        <f t="shared" si="0"/>
        <v>121013131.05798525</v>
      </c>
    </row>
    <row r="70" spans="1:30" ht="13.5" thickBot="1" x14ac:dyDescent="0.35">
      <c r="A70" s="18">
        <v>2027</v>
      </c>
      <c r="B70" s="19" t="s">
        <v>44</v>
      </c>
      <c r="C70" s="20" t="s">
        <v>34</v>
      </c>
      <c r="D70" s="21">
        <v>314091.42511865549</v>
      </c>
      <c r="E70" s="22">
        <v>300654.88305614871</v>
      </c>
      <c r="F70" s="22">
        <v>288858.51879817899</v>
      </c>
      <c r="G70" s="22">
        <v>278434.95660005708</v>
      </c>
      <c r="H70" s="22">
        <v>268302.10524111951</v>
      </c>
      <c r="I70" s="22">
        <v>250014.84070999309</v>
      </c>
      <c r="J70" s="22">
        <v>232534.69696415245</v>
      </c>
      <c r="K70" s="22">
        <v>186328.56335343778</v>
      </c>
      <c r="L70" s="22">
        <v>184783.61046482038</v>
      </c>
      <c r="M70" s="22">
        <v>185686.75187861329</v>
      </c>
      <c r="N70" s="22">
        <v>191939.57407808999</v>
      </c>
      <c r="O70" s="22">
        <v>203824.52858575751</v>
      </c>
      <c r="P70" s="22">
        <v>211901.71068003745</v>
      </c>
      <c r="Q70" s="22">
        <v>234934.19410086446</v>
      </c>
      <c r="R70" s="22">
        <v>250809.49803244072</v>
      </c>
      <c r="S70" s="22">
        <v>255082.37234186186</v>
      </c>
      <c r="T70" s="22">
        <v>256109.52948890775</v>
      </c>
      <c r="U70" s="22">
        <v>264568.7697690127</v>
      </c>
      <c r="V70" s="22">
        <v>269187.83721716795</v>
      </c>
      <c r="W70" s="22">
        <v>289786.87421653373</v>
      </c>
      <c r="X70" s="22">
        <v>307917.7135726884</v>
      </c>
      <c r="Y70" s="22">
        <v>323204.80874414701</v>
      </c>
      <c r="Z70" s="22">
        <v>326303.27047732938</v>
      </c>
      <c r="AA70" s="23">
        <v>315076.09251497028</v>
      </c>
      <c r="AB70" s="97"/>
      <c r="AC70" s="24">
        <v>5</v>
      </c>
      <c r="AD70" s="16">
        <f t="shared" ref="AD70:AD133" si="11">+SUM(D70:AA70)*AC70</f>
        <v>30951685.630024932</v>
      </c>
    </row>
    <row r="71" spans="1:30" ht="13.5" thickBot="1" x14ac:dyDescent="0.35">
      <c r="A71" s="18">
        <v>2027</v>
      </c>
      <c r="B71" s="25" t="s">
        <v>44</v>
      </c>
      <c r="C71" s="26" t="s">
        <v>36</v>
      </c>
      <c r="D71" s="21">
        <v>317396.87217180425</v>
      </c>
      <c r="E71" s="22">
        <v>303797.04730766761</v>
      </c>
      <c r="F71" s="22">
        <v>291667.65118067566</v>
      </c>
      <c r="G71" s="22">
        <v>281089.28140081157</v>
      </c>
      <c r="H71" s="22">
        <v>270673.69525212818</v>
      </c>
      <c r="I71" s="22">
        <v>253532.10147614498</v>
      </c>
      <c r="J71" s="22">
        <v>236822.52321344553</v>
      </c>
      <c r="K71" s="22">
        <v>190697.02055283877</v>
      </c>
      <c r="L71" s="22">
        <v>191389.59746595015</v>
      </c>
      <c r="M71" s="22">
        <v>192811.88913580438</v>
      </c>
      <c r="N71" s="22">
        <v>199135.24307740803</v>
      </c>
      <c r="O71" s="22">
        <v>209372.835683935</v>
      </c>
      <c r="P71" s="22">
        <v>214821.88591925552</v>
      </c>
      <c r="Q71" s="22">
        <v>234690.16915564929</v>
      </c>
      <c r="R71" s="22">
        <v>250535.07506971876</v>
      </c>
      <c r="S71" s="22">
        <v>255117.23884936786</v>
      </c>
      <c r="T71" s="22">
        <v>255772.09601355155</v>
      </c>
      <c r="U71" s="22">
        <v>265479.54936943279</v>
      </c>
      <c r="V71" s="22">
        <v>269129.49215124996</v>
      </c>
      <c r="W71" s="22">
        <v>287152.59194555663</v>
      </c>
      <c r="X71" s="22">
        <v>302274.054949007</v>
      </c>
      <c r="Y71" s="22">
        <v>316615.1146939022</v>
      </c>
      <c r="Z71" s="22">
        <v>321656.43796287541</v>
      </c>
      <c r="AA71" s="23">
        <v>313114.07287462667</v>
      </c>
      <c r="AB71" s="97"/>
      <c r="AC71" s="27">
        <v>6</v>
      </c>
      <c r="AD71" s="16">
        <f t="shared" si="11"/>
        <v>37348461.221236855</v>
      </c>
    </row>
    <row r="72" spans="1:30" ht="13.5" thickBot="1" x14ac:dyDescent="0.35">
      <c r="A72" s="18">
        <v>2027</v>
      </c>
      <c r="B72" s="11" t="s">
        <v>45</v>
      </c>
      <c r="C72" s="12" t="s">
        <v>33</v>
      </c>
      <c r="D72" s="21">
        <v>308577.69376728416</v>
      </c>
      <c r="E72" s="22">
        <v>296778.06646139664</v>
      </c>
      <c r="F72" s="22">
        <v>285621.37234340806</v>
      </c>
      <c r="G72" s="22">
        <v>275868.75561341137</v>
      </c>
      <c r="H72" s="22">
        <v>265885.16880080447</v>
      </c>
      <c r="I72" s="22">
        <v>249738.67112253708</v>
      </c>
      <c r="J72" s="22">
        <v>234357.29384163214</v>
      </c>
      <c r="K72" s="22">
        <v>182815.21132382032</v>
      </c>
      <c r="L72" s="22">
        <v>175485.65956523168</v>
      </c>
      <c r="M72" s="22">
        <v>173040.87382649234</v>
      </c>
      <c r="N72" s="22">
        <v>176517.81695136294</v>
      </c>
      <c r="O72" s="22">
        <v>185199.61021022851</v>
      </c>
      <c r="P72" s="22">
        <v>192672.06503201349</v>
      </c>
      <c r="Q72" s="22">
        <v>207691.88465087808</v>
      </c>
      <c r="R72" s="22">
        <v>219818.03121597139</v>
      </c>
      <c r="S72" s="22">
        <v>224835.09930718975</v>
      </c>
      <c r="T72" s="22">
        <v>228965.55958108738</v>
      </c>
      <c r="U72" s="22">
        <v>245076.92079908369</v>
      </c>
      <c r="V72" s="22">
        <v>252856.31503309234</v>
      </c>
      <c r="W72" s="22">
        <v>271930.00957199995</v>
      </c>
      <c r="X72" s="22">
        <v>286468.04777393339</v>
      </c>
      <c r="Y72" s="22">
        <v>300845.06367828464</v>
      </c>
      <c r="Z72" s="22">
        <v>306552.05152224761</v>
      </c>
      <c r="AA72" s="23">
        <v>299993.51340669987</v>
      </c>
      <c r="AB72" s="96">
        <f t="shared" ref="AB72" si="12">+SUM(D72:AA72)*AC72+SUM(D73:AA73)*AC73+SUM(D74:AA74)*AC74</f>
        <v>178200968.99059027</v>
      </c>
      <c r="AC72" s="16">
        <v>20</v>
      </c>
      <c r="AD72" s="16">
        <f t="shared" si="11"/>
        <v>116951815.10800183</v>
      </c>
    </row>
    <row r="73" spans="1:30" ht="13.5" thickBot="1" x14ac:dyDescent="0.35">
      <c r="A73" s="18">
        <v>2027</v>
      </c>
      <c r="B73" s="19" t="s">
        <v>45</v>
      </c>
      <c r="C73" s="20" t="s">
        <v>34</v>
      </c>
      <c r="D73" s="21">
        <v>312283.6577800003</v>
      </c>
      <c r="E73" s="22">
        <v>299176.94153922895</v>
      </c>
      <c r="F73" s="22">
        <v>287847.75750359509</v>
      </c>
      <c r="G73" s="22">
        <v>277617.5047361076</v>
      </c>
      <c r="H73" s="22">
        <v>267191.48178704007</v>
      </c>
      <c r="I73" s="22">
        <v>248404.60743668009</v>
      </c>
      <c r="J73" s="22">
        <v>230636.33034650548</v>
      </c>
      <c r="K73" s="22">
        <v>184732.24893815219</v>
      </c>
      <c r="L73" s="22">
        <v>183997.32847074815</v>
      </c>
      <c r="M73" s="22">
        <v>185010.02505245368</v>
      </c>
      <c r="N73" s="22">
        <v>191599.56998768981</v>
      </c>
      <c r="O73" s="22">
        <v>203017.25372245361</v>
      </c>
      <c r="P73" s="22">
        <v>210571.71191520779</v>
      </c>
      <c r="Q73" s="22">
        <v>233617.40007587525</v>
      </c>
      <c r="R73" s="22">
        <v>248929.77356790612</v>
      </c>
      <c r="S73" s="22">
        <v>252488.7551547226</v>
      </c>
      <c r="T73" s="22">
        <v>252890.85741741117</v>
      </c>
      <c r="U73" s="22">
        <v>260764.3959680812</v>
      </c>
      <c r="V73" s="22">
        <v>265332.99461702944</v>
      </c>
      <c r="W73" s="22">
        <v>286104.78364756447</v>
      </c>
      <c r="X73" s="22">
        <v>304258.25425942172</v>
      </c>
      <c r="Y73" s="22">
        <v>319469.77864208375</v>
      </c>
      <c r="Z73" s="22">
        <v>323131.60863023868</v>
      </c>
      <c r="AA73" s="23">
        <v>311745.50961922656</v>
      </c>
      <c r="AB73" s="97"/>
      <c r="AC73" s="24">
        <v>4</v>
      </c>
      <c r="AD73" s="16">
        <f t="shared" si="11"/>
        <v>24563282.123261694</v>
      </c>
    </row>
    <row r="74" spans="1:30" ht="13.5" thickBot="1" x14ac:dyDescent="0.35">
      <c r="A74" s="18">
        <v>2027</v>
      </c>
      <c r="B74" s="25" t="s">
        <v>45</v>
      </c>
      <c r="C74" s="26" t="s">
        <v>36</v>
      </c>
      <c r="D74" s="21">
        <v>316839.97841520543</v>
      </c>
      <c r="E74" s="22">
        <v>303313.71836823499</v>
      </c>
      <c r="F74" s="22">
        <v>291317.66414172598</v>
      </c>
      <c r="G74" s="22">
        <v>280729.52432959207</v>
      </c>
      <c r="H74" s="22">
        <v>270455.20440799632</v>
      </c>
      <c r="I74" s="22">
        <v>252936.44401486436</v>
      </c>
      <c r="J74" s="22">
        <v>236247.64991299852</v>
      </c>
      <c r="K74" s="22">
        <v>188053.06129234712</v>
      </c>
      <c r="L74" s="22">
        <v>187568.8510038869</v>
      </c>
      <c r="M74" s="22">
        <v>188663.60512197646</v>
      </c>
      <c r="N74" s="22">
        <v>194326.62216484759</v>
      </c>
      <c r="O74" s="22">
        <v>204166.05821527421</v>
      </c>
      <c r="P74" s="22">
        <v>209462.00418909543</v>
      </c>
      <c r="Q74" s="22">
        <v>226729.68051792169</v>
      </c>
      <c r="R74" s="22">
        <v>241621.50032728529</v>
      </c>
      <c r="S74" s="22">
        <v>245654.3711170895</v>
      </c>
      <c r="T74" s="22">
        <v>247049.59619694614</v>
      </c>
      <c r="U74" s="22">
        <v>258993.6614253358</v>
      </c>
      <c r="V74" s="22">
        <v>263492.51804022834</v>
      </c>
      <c r="W74" s="22">
        <v>281592.07271193579</v>
      </c>
      <c r="X74" s="22">
        <v>295118.39830231789</v>
      </c>
      <c r="Y74" s="22">
        <v>308391.47400873061</v>
      </c>
      <c r="Z74" s="22">
        <v>314314.98363335215</v>
      </c>
      <c r="AA74" s="23">
        <v>307273.31802860211</v>
      </c>
      <c r="AB74" s="97"/>
      <c r="AC74" s="27">
        <v>6</v>
      </c>
      <c r="AD74" s="16">
        <f t="shared" si="11"/>
        <v>36685871.759326749</v>
      </c>
    </row>
    <row r="75" spans="1:30" ht="13.5" thickBot="1" x14ac:dyDescent="0.35">
      <c r="A75" s="18">
        <v>2027</v>
      </c>
      <c r="B75" s="11" t="s">
        <v>46</v>
      </c>
      <c r="C75" s="12" t="s">
        <v>33</v>
      </c>
      <c r="D75" s="21">
        <v>311791.55931003165</v>
      </c>
      <c r="E75" s="22">
        <v>299272.24544252572</v>
      </c>
      <c r="F75" s="22">
        <v>287719.47178392363</v>
      </c>
      <c r="G75" s="22">
        <v>277639.03745986713</v>
      </c>
      <c r="H75" s="22">
        <v>267405.75891659153</v>
      </c>
      <c r="I75" s="22">
        <v>250235.23906901421</v>
      </c>
      <c r="J75" s="22">
        <v>234169.84372081503</v>
      </c>
      <c r="K75" s="22">
        <v>184684.20455232545</v>
      </c>
      <c r="L75" s="22">
        <v>179721.37526788079</v>
      </c>
      <c r="M75" s="22">
        <v>178632.70759524134</v>
      </c>
      <c r="N75" s="22">
        <v>183217.17496729174</v>
      </c>
      <c r="O75" s="22">
        <v>192459.42187064758</v>
      </c>
      <c r="P75" s="22">
        <v>198925.53962777441</v>
      </c>
      <c r="Q75" s="22">
        <v>215367.47956392058</v>
      </c>
      <c r="R75" s="22">
        <v>228523.36516151924</v>
      </c>
      <c r="S75" s="22">
        <v>233164.90349897204</v>
      </c>
      <c r="T75" s="22">
        <v>237151.13262508775</v>
      </c>
      <c r="U75" s="22">
        <v>253560.73708191654</v>
      </c>
      <c r="V75" s="22">
        <v>259692.29219715472</v>
      </c>
      <c r="W75" s="22">
        <v>278779.42359276529</v>
      </c>
      <c r="X75" s="22">
        <v>294031.56085526437</v>
      </c>
      <c r="Y75" s="22">
        <v>308490.91875174316</v>
      </c>
      <c r="Z75" s="22">
        <v>313613.65208736341</v>
      </c>
      <c r="AA75" s="23">
        <v>305691.89776696655</v>
      </c>
      <c r="AB75" s="96">
        <f t="shared" ref="AB75" si="13">+SUM(D75:AA75)*AC75+SUM(D76:AA76)*AC76+SUM(D77:AA77)*AC77</f>
        <v>185916416.39025897</v>
      </c>
      <c r="AC75" s="16">
        <v>22</v>
      </c>
      <c r="AD75" s="16">
        <f t="shared" si="11"/>
        <v>131426700.74086529</v>
      </c>
    </row>
    <row r="76" spans="1:30" ht="13.5" thickBot="1" x14ac:dyDescent="0.35">
      <c r="A76" s="18">
        <v>2027</v>
      </c>
      <c r="B76" s="19" t="s">
        <v>46</v>
      </c>
      <c r="C76" s="20" t="s">
        <v>34</v>
      </c>
      <c r="D76" s="21">
        <v>315567.75694478833</v>
      </c>
      <c r="E76" s="22">
        <v>302180.90151446912</v>
      </c>
      <c r="F76" s="22">
        <v>290273.41897958209</v>
      </c>
      <c r="G76" s="22">
        <v>279798.02182888432</v>
      </c>
      <c r="H76" s="22">
        <v>268984.21452848578</v>
      </c>
      <c r="I76" s="22">
        <v>250319.76795266059</v>
      </c>
      <c r="J76" s="22">
        <v>232869.59812929222</v>
      </c>
      <c r="K76" s="22">
        <v>186294.08932454605</v>
      </c>
      <c r="L76" s="22">
        <v>184948.58177150655</v>
      </c>
      <c r="M76" s="22">
        <v>185725.47874558312</v>
      </c>
      <c r="N76" s="22">
        <v>192178.01761153887</v>
      </c>
      <c r="O76" s="22">
        <v>202836.05638971654</v>
      </c>
      <c r="P76" s="22">
        <v>209957.09491757365</v>
      </c>
      <c r="Q76" s="22">
        <v>231544.69603208298</v>
      </c>
      <c r="R76" s="22">
        <v>246048.27434037821</v>
      </c>
      <c r="S76" s="22">
        <v>249870.31550028015</v>
      </c>
      <c r="T76" s="22">
        <v>252350.8869141897</v>
      </c>
      <c r="U76" s="22">
        <v>263579.56679491937</v>
      </c>
      <c r="V76" s="22">
        <v>266692.01491746632</v>
      </c>
      <c r="W76" s="22">
        <v>287770.21420830744</v>
      </c>
      <c r="X76" s="22">
        <v>305563.43965596461</v>
      </c>
      <c r="Y76" s="22">
        <v>320428.1762006919</v>
      </c>
      <c r="Z76" s="22">
        <v>323245.18490554369</v>
      </c>
      <c r="AA76" s="23">
        <v>311598.33053781395</v>
      </c>
      <c r="AB76" s="97"/>
      <c r="AC76" s="24">
        <v>3</v>
      </c>
      <c r="AD76" s="16">
        <f t="shared" si="11"/>
        <v>18481872.295938797</v>
      </c>
    </row>
    <row r="77" spans="1:30" ht="13.5" thickBot="1" x14ac:dyDescent="0.35">
      <c r="A77" s="28">
        <v>2027</v>
      </c>
      <c r="B77" s="25" t="s">
        <v>46</v>
      </c>
      <c r="C77" s="26" t="s">
        <v>36</v>
      </c>
      <c r="D77" s="29">
        <v>311733.95974645048</v>
      </c>
      <c r="E77" s="30">
        <v>298490.41732633201</v>
      </c>
      <c r="F77" s="30">
        <v>286810.97539249377</v>
      </c>
      <c r="G77" s="30">
        <v>276457.74004021281</v>
      </c>
      <c r="H77" s="30">
        <v>266403.808200536</v>
      </c>
      <c r="I77" s="30">
        <v>249137.86536638474</v>
      </c>
      <c r="J77" s="30">
        <v>232996.29470687232</v>
      </c>
      <c r="K77" s="30">
        <v>184799.4561760622</v>
      </c>
      <c r="L77" s="30">
        <v>180987.80642262331</v>
      </c>
      <c r="M77" s="30">
        <v>179882.28672440269</v>
      </c>
      <c r="N77" s="30">
        <v>184815.85540168922</v>
      </c>
      <c r="O77" s="30">
        <v>194678.45989809037</v>
      </c>
      <c r="P77" s="30">
        <v>201337.81524618421</v>
      </c>
      <c r="Q77" s="30">
        <v>219211.72394315375</v>
      </c>
      <c r="R77" s="30">
        <v>232197.75357218462</v>
      </c>
      <c r="S77" s="30">
        <v>236987.00678357377</v>
      </c>
      <c r="T77" s="30">
        <v>240453.01016358388</v>
      </c>
      <c r="U77" s="30">
        <v>255334.69769809305</v>
      </c>
      <c r="V77" s="30">
        <v>260431.35274678931</v>
      </c>
      <c r="W77" s="30">
        <v>280472.36580840941</v>
      </c>
      <c r="X77" s="30">
        <v>296599.59486073104</v>
      </c>
      <c r="Y77" s="30">
        <v>311171.7845810515</v>
      </c>
      <c r="Z77" s="30">
        <v>314923.46312152228</v>
      </c>
      <c r="AA77" s="31">
        <v>304991.73164838884</v>
      </c>
      <c r="AB77" s="97"/>
      <c r="AC77" s="27">
        <v>6</v>
      </c>
      <c r="AD77" s="16">
        <f t="shared" si="11"/>
        <v>36007843.353454895</v>
      </c>
    </row>
    <row r="78" spans="1:30" ht="13.5" thickBot="1" x14ac:dyDescent="0.35">
      <c r="A78" s="10">
        <v>2028</v>
      </c>
      <c r="B78" s="11" t="s">
        <v>32</v>
      </c>
      <c r="C78" s="12" t="s">
        <v>33</v>
      </c>
      <c r="D78" s="13">
        <v>368416.70061205339</v>
      </c>
      <c r="E78" s="14">
        <v>352789.01129069203</v>
      </c>
      <c r="F78" s="14">
        <v>338234.11622333509</v>
      </c>
      <c r="G78" s="14">
        <v>325363.42065479932</v>
      </c>
      <c r="H78" s="14">
        <v>313661.31488174398</v>
      </c>
      <c r="I78" s="14">
        <v>302367.92270855897</v>
      </c>
      <c r="J78" s="14">
        <v>286255.70832740969</v>
      </c>
      <c r="K78" s="14">
        <v>227186.97951287465</v>
      </c>
      <c r="L78" s="14">
        <v>228138.74958505138</v>
      </c>
      <c r="M78" s="14">
        <v>231183.99668037071</v>
      </c>
      <c r="N78" s="14">
        <v>237880.90500780311</v>
      </c>
      <c r="O78" s="14">
        <v>248320.62904088694</v>
      </c>
      <c r="P78" s="14">
        <v>254387.73746876759</v>
      </c>
      <c r="Q78" s="14">
        <v>270029.48431571794</v>
      </c>
      <c r="R78" s="14">
        <v>284979.44352131122</v>
      </c>
      <c r="S78" s="14">
        <v>289644.54393448605</v>
      </c>
      <c r="T78" s="14">
        <v>287180.76762928144</v>
      </c>
      <c r="U78" s="14">
        <v>309956.07923317875</v>
      </c>
      <c r="V78" s="14">
        <v>325284.71968505392</v>
      </c>
      <c r="W78" s="14">
        <v>337742.75775397092</v>
      </c>
      <c r="X78" s="14">
        <v>352084.59255952446</v>
      </c>
      <c r="Y78" s="14">
        <v>368252.85487203737</v>
      </c>
      <c r="Z78" s="14">
        <v>375971.25471495383</v>
      </c>
      <c r="AA78" s="15">
        <v>369484.51979732187</v>
      </c>
      <c r="AB78" s="96">
        <f t="shared" ref="AB78" si="14">+SUM(D78:AA78)*AC78+SUM(D79:AA79)*AC79+SUM(D80:AA80)*AC80</f>
        <v>226613155.67801452</v>
      </c>
      <c r="AC78" s="16">
        <v>20</v>
      </c>
      <c r="AD78" s="16">
        <f t="shared" si="11"/>
        <v>145695964.20022368</v>
      </c>
    </row>
    <row r="79" spans="1:30" ht="13.5" thickBot="1" x14ac:dyDescent="0.35">
      <c r="A79" s="18">
        <v>2028</v>
      </c>
      <c r="B79" s="19" t="s">
        <v>32</v>
      </c>
      <c r="C79" s="20" t="s">
        <v>34</v>
      </c>
      <c r="D79" s="21">
        <v>375789.34766896843</v>
      </c>
      <c r="E79" s="22">
        <v>359252.86706561991</v>
      </c>
      <c r="F79" s="22">
        <v>344045.51723429683</v>
      </c>
      <c r="G79" s="22">
        <v>329528.913359728</v>
      </c>
      <c r="H79" s="22">
        <v>317402.20730342023</v>
      </c>
      <c r="I79" s="22">
        <v>304763.19822307106</v>
      </c>
      <c r="J79" s="22">
        <v>287102.47190439416</v>
      </c>
      <c r="K79" s="22">
        <v>229013.74976566696</v>
      </c>
      <c r="L79" s="22">
        <v>234417.60865029431</v>
      </c>
      <c r="M79" s="22">
        <v>238768.61436222022</v>
      </c>
      <c r="N79" s="22">
        <v>246203.66391176375</v>
      </c>
      <c r="O79" s="22">
        <v>256325.08552513848</v>
      </c>
      <c r="P79" s="22">
        <v>261695.37975905815</v>
      </c>
      <c r="Q79" s="22">
        <v>280217.02614640043</v>
      </c>
      <c r="R79" s="22">
        <v>296272.5163773711</v>
      </c>
      <c r="S79" s="22">
        <v>301755.15022735693</v>
      </c>
      <c r="T79" s="22">
        <v>297754.25015420036</v>
      </c>
      <c r="U79" s="22">
        <v>314367.69313572772</v>
      </c>
      <c r="V79" s="22">
        <v>327736.84980556474</v>
      </c>
      <c r="W79" s="22">
        <v>340837.66900592152</v>
      </c>
      <c r="X79" s="22">
        <v>356319.94866027532</v>
      </c>
      <c r="Y79" s="22">
        <v>374434.5041905485</v>
      </c>
      <c r="Z79" s="22">
        <v>382533.9063197152</v>
      </c>
      <c r="AA79" s="23">
        <v>371946.92179028591</v>
      </c>
      <c r="AB79" s="97"/>
      <c r="AC79" s="24">
        <v>4</v>
      </c>
      <c r="AD79" s="16">
        <f t="shared" si="11"/>
        <v>29713940.242188025</v>
      </c>
    </row>
    <row r="80" spans="1:30" ht="13.5" thickBot="1" x14ac:dyDescent="0.35">
      <c r="A80" s="18">
        <v>2028</v>
      </c>
      <c r="B80" s="25" t="s">
        <v>32</v>
      </c>
      <c r="C80" s="26" t="s">
        <v>36</v>
      </c>
      <c r="D80" s="21">
        <v>357712.01521901804</v>
      </c>
      <c r="E80" s="22">
        <v>346726.88000327063</v>
      </c>
      <c r="F80" s="22">
        <v>335805.26601492101</v>
      </c>
      <c r="G80" s="22">
        <v>324947.22230421886</v>
      </c>
      <c r="H80" s="22">
        <v>313630.9465449542</v>
      </c>
      <c r="I80" s="22">
        <v>301744.61051564413</v>
      </c>
      <c r="J80" s="22">
        <v>286756.85374690162</v>
      </c>
      <c r="K80" s="22">
        <v>228698.17055811122</v>
      </c>
      <c r="L80" s="22">
        <v>232666.31089134136</v>
      </c>
      <c r="M80" s="22">
        <v>236013.87963306796</v>
      </c>
      <c r="N80" s="22">
        <v>243407.51028622905</v>
      </c>
      <c r="O80" s="22">
        <v>252561.83452817207</v>
      </c>
      <c r="P80" s="22">
        <v>256496.02588756211</v>
      </c>
      <c r="Q80" s="22">
        <v>272235.84464036749</v>
      </c>
      <c r="R80" s="22">
        <v>288518.76890485332</v>
      </c>
      <c r="S80" s="22">
        <v>293058.54356426344</v>
      </c>
      <c r="T80" s="22">
        <v>290255.06727386214</v>
      </c>
      <c r="U80" s="22">
        <v>312796.4874077334</v>
      </c>
      <c r="V80" s="22">
        <v>326186.90202296484</v>
      </c>
      <c r="W80" s="22">
        <v>339655.15649905457</v>
      </c>
      <c r="X80" s="22">
        <v>354129.27867374371</v>
      </c>
      <c r="Y80" s="22">
        <v>371094.66706670821</v>
      </c>
      <c r="Z80" s="22">
        <v>378835.84728820826</v>
      </c>
      <c r="AA80" s="23">
        <v>370816.08703951212</v>
      </c>
      <c r="AB80" s="97"/>
      <c r="AC80" s="27">
        <v>7</v>
      </c>
      <c r="AD80" s="16">
        <f t="shared" si="11"/>
        <v>51203251.235602781</v>
      </c>
    </row>
    <row r="81" spans="1:30" ht="13.5" thickBot="1" x14ac:dyDescent="0.35">
      <c r="A81" s="18">
        <v>2028</v>
      </c>
      <c r="B81" s="11" t="s">
        <v>35</v>
      </c>
      <c r="C81" s="12" t="s">
        <v>33</v>
      </c>
      <c r="D81" s="21">
        <v>380842.24954837258</v>
      </c>
      <c r="E81" s="22">
        <v>365541.98078883416</v>
      </c>
      <c r="F81" s="22">
        <v>351639.39753237244</v>
      </c>
      <c r="G81" s="22">
        <v>339301.96706154564</v>
      </c>
      <c r="H81" s="22">
        <v>326665.63236958615</v>
      </c>
      <c r="I81" s="22">
        <v>312250.72706409299</v>
      </c>
      <c r="J81" s="22">
        <v>291803.85373592033</v>
      </c>
      <c r="K81" s="22">
        <v>231524.28280991712</v>
      </c>
      <c r="L81" s="22">
        <v>232800.33546070874</v>
      </c>
      <c r="M81" s="22">
        <v>237625.49424840035</v>
      </c>
      <c r="N81" s="22">
        <v>247642.24240119307</v>
      </c>
      <c r="O81" s="22">
        <v>261098.99175145463</v>
      </c>
      <c r="P81" s="22">
        <v>267528.66727176646</v>
      </c>
      <c r="Q81" s="22">
        <v>289194.9385987058</v>
      </c>
      <c r="R81" s="22">
        <v>303850.25836258905</v>
      </c>
      <c r="S81" s="22">
        <v>308103.55218955345</v>
      </c>
      <c r="T81" s="22">
        <v>304260.2084337335</v>
      </c>
      <c r="U81" s="22">
        <v>323865.30530361889</v>
      </c>
      <c r="V81" s="22">
        <v>335632.39483324019</v>
      </c>
      <c r="W81" s="22">
        <v>353276.16153097292</v>
      </c>
      <c r="X81" s="22">
        <v>368615.8202960582</v>
      </c>
      <c r="Y81" s="22">
        <v>384775.48591586889</v>
      </c>
      <c r="Z81" s="22">
        <v>389268.25783026597</v>
      </c>
      <c r="AA81" s="23">
        <v>380542.74442483956</v>
      </c>
      <c r="AB81" s="96">
        <f t="shared" ref="AB81" si="15">+SUM(D81:AA81)*AC81+SUM(D82:AA82)*AC82+SUM(D83:AA83)*AC83</f>
        <v>221385379.48032746</v>
      </c>
      <c r="AC81" s="16">
        <v>21</v>
      </c>
      <c r="AD81" s="16">
        <f t="shared" si="11"/>
        <v>159340669.94503582</v>
      </c>
    </row>
    <row r="82" spans="1:30" ht="13.5" thickBot="1" x14ac:dyDescent="0.35">
      <c r="A82" s="18">
        <v>2028</v>
      </c>
      <c r="B82" s="19" t="s">
        <v>35</v>
      </c>
      <c r="C82" s="20" t="s">
        <v>34</v>
      </c>
      <c r="D82" s="21">
        <v>383868.50315827446</v>
      </c>
      <c r="E82" s="22">
        <v>367449.08100211027</v>
      </c>
      <c r="F82" s="22">
        <v>353080.63333043188</v>
      </c>
      <c r="G82" s="22">
        <v>339891.14052446344</v>
      </c>
      <c r="H82" s="22">
        <v>326890.97906646394</v>
      </c>
      <c r="I82" s="22">
        <v>310008.53026844643</v>
      </c>
      <c r="J82" s="22">
        <v>285212.07227847195</v>
      </c>
      <c r="K82" s="22">
        <v>224908.67191239248</v>
      </c>
      <c r="L82" s="22">
        <v>229355.47501924314</v>
      </c>
      <c r="M82" s="22">
        <v>234746.38032436915</v>
      </c>
      <c r="N82" s="22">
        <v>247770.39327379636</v>
      </c>
      <c r="O82" s="22">
        <v>262702.64555591135</v>
      </c>
      <c r="P82" s="22">
        <v>270922.61434062547</v>
      </c>
      <c r="Q82" s="22">
        <v>298875.56956532365</v>
      </c>
      <c r="R82" s="22">
        <v>318217.94622021366</v>
      </c>
      <c r="S82" s="22">
        <v>322026.16769924259</v>
      </c>
      <c r="T82" s="22">
        <v>318132.51393602049</v>
      </c>
      <c r="U82" s="22">
        <v>331476.3512842065</v>
      </c>
      <c r="V82" s="22">
        <v>342374.22194111475</v>
      </c>
      <c r="W82" s="22">
        <v>363449.94866860047</v>
      </c>
      <c r="X82" s="22">
        <v>382890.3910974664</v>
      </c>
      <c r="Y82" s="22">
        <v>401614.21769340534</v>
      </c>
      <c r="Z82" s="22">
        <v>403366.70366553438</v>
      </c>
      <c r="AA82" s="23">
        <v>391728.80537935888</v>
      </c>
      <c r="AB82" s="97"/>
      <c r="AC82" s="24">
        <v>4</v>
      </c>
      <c r="AD82" s="16">
        <f t="shared" si="11"/>
        <v>30843839.828821953</v>
      </c>
    </row>
    <row r="83" spans="1:30" ht="13.5" thickBot="1" x14ac:dyDescent="0.35">
      <c r="A83" s="18">
        <v>2028</v>
      </c>
      <c r="B83" s="25" t="s">
        <v>35</v>
      </c>
      <c r="C83" s="26" t="s">
        <v>36</v>
      </c>
      <c r="D83" s="21">
        <v>386992.04956233094</v>
      </c>
      <c r="E83" s="22">
        <v>369933.87476994609</v>
      </c>
      <c r="F83" s="22">
        <v>354842.49043188838</v>
      </c>
      <c r="G83" s="22">
        <v>341183.60258667864</v>
      </c>
      <c r="H83" s="22">
        <v>327428.99645690795</v>
      </c>
      <c r="I83" s="22">
        <v>310134.02771273744</v>
      </c>
      <c r="J83" s="22">
        <v>284021.01652712584</v>
      </c>
      <c r="K83" s="22">
        <v>226095.47689548688</v>
      </c>
      <c r="L83" s="22">
        <v>233199.06185959553</v>
      </c>
      <c r="M83" s="22">
        <v>242701.87974421936</v>
      </c>
      <c r="N83" s="22">
        <v>255077.2271128312</v>
      </c>
      <c r="O83" s="22">
        <v>270925.89581168455</v>
      </c>
      <c r="P83" s="22">
        <v>282386.53202207352</v>
      </c>
      <c r="Q83" s="22">
        <v>306581.37900282739</v>
      </c>
      <c r="R83" s="22">
        <v>326883.85437938455</v>
      </c>
      <c r="S83" s="22">
        <v>328958.68267046544</v>
      </c>
      <c r="T83" s="22">
        <v>323549.58711456152</v>
      </c>
      <c r="U83" s="22">
        <v>336015.10055449698</v>
      </c>
      <c r="V83" s="22">
        <v>346084.1779041749</v>
      </c>
      <c r="W83" s="22">
        <v>364942.39433237968</v>
      </c>
      <c r="X83" s="22">
        <v>382912.05026617687</v>
      </c>
      <c r="Y83" s="22">
        <v>401918.25877825334</v>
      </c>
      <c r="Z83" s="22">
        <v>405054.16870359069</v>
      </c>
      <c r="AA83" s="23">
        <v>392395.64141760254</v>
      </c>
      <c r="AB83" s="97"/>
      <c r="AC83" s="27">
        <v>4</v>
      </c>
      <c r="AD83" s="16">
        <f t="shared" si="11"/>
        <v>31200869.706469677</v>
      </c>
    </row>
    <row r="84" spans="1:30" ht="13.5" thickBot="1" x14ac:dyDescent="0.35">
      <c r="A84" s="18">
        <v>2028</v>
      </c>
      <c r="B84" s="11" t="s">
        <v>37</v>
      </c>
      <c r="C84" s="12" t="s">
        <v>33</v>
      </c>
      <c r="D84" s="21">
        <v>396647.33187406132</v>
      </c>
      <c r="E84" s="22">
        <v>381975.3098631723</v>
      </c>
      <c r="F84" s="22">
        <v>368809.093943669</v>
      </c>
      <c r="G84" s="22">
        <v>356635.00262821396</v>
      </c>
      <c r="H84" s="22">
        <v>344277.0985858505</v>
      </c>
      <c r="I84" s="22">
        <v>327360.63056669425</v>
      </c>
      <c r="J84" s="22">
        <v>305544.79063882586</v>
      </c>
      <c r="K84" s="22">
        <v>247670.28022988711</v>
      </c>
      <c r="L84" s="22">
        <v>246848.6288964613</v>
      </c>
      <c r="M84" s="22">
        <v>250719.66171170605</v>
      </c>
      <c r="N84" s="22">
        <v>259534.0049550051</v>
      </c>
      <c r="O84" s="22">
        <v>272130.96431632986</v>
      </c>
      <c r="P84" s="22">
        <v>281516.20626069047</v>
      </c>
      <c r="Q84" s="22">
        <v>300711.80490434269</v>
      </c>
      <c r="R84" s="22">
        <v>314673.57048241526</v>
      </c>
      <c r="S84" s="22">
        <v>318933.9747119674</v>
      </c>
      <c r="T84" s="22">
        <v>317230.52268865448</v>
      </c>
      <c r="U84" s="22">
        <v>337445.03780765855</v>
      </c>
      <c r="V84" s="22">
        <v>349414.40201933822</v>
      </c>
      <c r="W84" s="22">
        <v>368574.85293877893</v>
      </c>
      <c r="X84" s="22">
        <v>384356.41709694063</v>
      </c>
      <c r="Y84" s="22">
        <v>401074.70518882724</v>
      </c>
      <c r="Z84" s="22">
        <v>406480.27043333685</v>
      </c>
      <c r="AA84" s="23">
        <v>397588.97555481805</v>
      </c>
      <c r="AB84" s="96">
        <f t="shared" ref="AB84" si="16">+SUM(D84:AA84)*AC84+SUM(D85:AA85)*AC85+SUM(D86:AA86)*AC86</f>
        <v>246610802.53410688</v>
      </c>
      <c r="AC84" s="16">
        <v>22</v>
      </c>
      <c r="AD84" s="16">
        <f t="shared" si="11"/>
        <v>174595377.84254819</v>
      </c>
    </row>
    <row r="85" spans="1:30" ht="13.5" thickBot="1" x14ac:dyDescent="0.35">
      <c r="A85" s="18">
        <v>2028</v>
      </c>
      <c r="B85" s="19" t="s">
        <v>37</v>
      </c>
      <c r="C85" s="20" t="s">
        <v>34</v>
      </c>
      <c r="D85" s="21">
        <v>392719.77857131435</v>
      </c>
      <c r="E85" s="22">
        <v>378664.90191492892</v>
      </c>
      <c r="F85" s="22">
        <v>363391.97689177381</v>
      </c>
      <c r="G85" s="22">
        <v>350522.59175882139</v>
      </c>
      <c r="H85" s="22">
        <v>337583.1348639488</v>
      </c>
      <c r="I85" s="22">
        <v>319043.75780594826</v>
      </c>
      <c r="J85" s="22">
        <v>290516.10319975542</v>
      </c>
      <c r="K85" s="22">
        <v>234438.54540256955</v>
      </c>
      <c r="L85" s="22">
        <v>240304.3228573745</v>
      </c>
      <c r="M85" s="22">
        <v>248993.11959336902</v>
      </c>
      <c r="N85" s="22">
        <v>261597.2290542777</v>
      </c>
      <c r="O85" s="22">
        <v>276160.92030820705</v>
      </c>
      <c r="P85" s="22">
        <v>284836.02909802739</v>
      </c>
      <c r="Q85" s="22">
        <v>310198.63440534443</v>
      </c>
      <c r="R85" s="22">
        <v>326430.34812324808</v>
      </c>
      <c r="S85" s="22">
        <v>329148.15864956757</v>
      </c>
      <c r="T85" s="22">
        <v>325374.36180162075</v>
      </c>
      <c r="U85" s="22">
        <v>338512.25207938888</v>
      </c>
      <c r="V85" s="22">
        <v>346716.36041391949</v>
      </c>
      <c r="W85" s="22">
        <v>369180.98018013773</v>
      </c>
      <c r="X85" s="22">
        <v>386836.08020425285</v>
      </c>
      <c r="Y85" s="22">
        <v>406266.68676603498</v>
      </c>
      <c r="Z85" s="22">
        <v>410341.19037576835</v>
      </c>
      <c r="AA85" s="23">
        <v>397519.56109880848</v>
      </c>
      <c r="AB85" s="97"/>
      <c r="AC85" s="24">
        <v>4</v>
      </c>
      <c r="AD85" s="16">
        <f t="shared" si="11"/>
        <v>31701188.101673629</v>
      </c>
    </row>
    <row r="86" spans="1:30" ht="13.5" thickBot="1" x14ac:dyDescent="0.35">
      <c r="A86" s="18">
        <v>2028</v>
      </c>
      <c r="B86" s="25" t="s">
        <v>37</v>
      </c>
      <c r="C86" s="26" t="s">
        <v>36</v>
      </c>
      <c r="D86" s="21">
        <v>396610.55042630777</v>
      </c>
      <c r="E86" s="22">
        <v>380451.21918804856</v>
      </c>
      <c r="F86" s="22">
        <v>365850.96826092462</v>
      </c>
      <c r="G86" s="22">
        <v>353197.25381894328</v>
      </c>
      <c r="H86" s="22">
        <v>340283.72689639329</v>
      </c>
      <c r="I86" s="22">
        <v>320184.27486733074</v>
      </c>
      <c r="J86" s="22">
        <v>293103.62310369604</v>
      </c>
      <c r="K86" s="22">
        <v>239027.28717946549</v>
      </c>
      <c r="L86" s="22">
        <v>246513.33094331931</v>
      </c>
      <c r="M86" s="22">
        <v>254011.16329337371</v>
      </c>
      <c r="N86" s="22">
        <v>265689.38117898052</v>
      </c>
      <c r="O86" s="22">
        <v>279346.77951500932</v>
      </c>
      <c r="P86" s="22">
        <v>287746.97952546692</v>
      </c>
      <c r="Q86" s="22">
        <v>315780.11499437352</v>
      </c>
      <c r="R86" s="22">
        <v>335324.20622585824</v>
      </c>
      <c r="S86" s="22">
        <v>337495.49293875246</v>
      </c>
      <c r="T86" s="22">
        <v>333119.07467546343</v>
      </c>
      <c r="U86" s="22">
        <v>347310.11677042081</v>
      </c>
      <c r="V86" s="22">
        <v>356506.60847840447</v>
      </c>
      <c r="W86" s="22">
        <v>378860.86686890695</v>
      </c>
      <c r="X86" s="22">
        <v>395761.08171814447</v>
      </c>
      <c r="Y86" s="22">
        <v>413507.65797682758</v>
      </c>
      <c r="Z86" s="22">
        <v>419136.45798943238</v>
      </c>
      <c r="AA86" s="23">
        <v>408029.10114316421</v>
      </c>
      <c r="AB86" s="97"/>
      <c r="AC86" s="27">
        <v>5</v>
      </c>
      <c r="AD86" s="16">
        <f t="shared" si="11"/>
        <v>40314236.589885049</v>
      </c>
    </row>
    <row r="87" spans="1:30" ht="13.5" thickBot="1" x14ac:dyDescent="0.35">
      <c r="A87" s="18">
        <v>2028</v>
      </c>
      <c r="B87" s="11" t="s">
        <v>38</v>
      </c>
      <c r="C87" s="12" t="s">
        <v>33</v>
      </c>
      <c r="D87" s="21">
        <v>384577.19540222833</v>
      </c>
      <c r="E87" s="22">
        <v>369326.71426869213</v>
      </c>
      <c r="F87" s="22">
        <v>355277.16545009037</v>
      </c>
      <c r="G87" s="22">
        <v>343139.41063825414</v>
      </c>
      <c r="H87" s="22">
        <v>331396.65611253987</v>
      </c>
      <c r="I87" s="22">
        <v>312941.7241210629</v>
      </c>
      <c r="J87" s="22">
        <v>294927.3673215321</v>
      </c>
      <c r="K87" s="22">
        <v>238973.50097556179</v>
      </c>
      <c r="L87" s="22">
        <v>235241.89904587297</v>
      </c>
      <c r="M87" s="22">
        <v>234725.87656695221</v>
      </c>
      <c r="N87" s="22">
        <v>239984.19518594968</v>
      </c>
      <c r="O87" s="22">
        <v>250717.62554929545</v>
      </c>
      <c r="P87" s="22">
        <v>258266.33222343482</v>
      </c>
      <c r="Q87" s="22">
        <v>275538.00916401396</v>
      </c>
      <c r="R87" s="22">
        <v>289940.14474821993</v>
      </c>
      <c r="S87" s="22">
        <v>294882.27588470123</v>
      </c>
      <c r="T87" s="22">
        <v>297282.7035267991</v>
      </c>
      <c r="U87" s="22">
        <v>325354.86137373751</v>
      </c>
      <c r="V87" s="22">
        <v>336901.30219813064</v>
      </c>
      <c r="W87" s="22">
        <v>357362.9723693665</v>
      </c>
      <c r="X87" s="22">
        <v>373962.60677056725</v>
      </c>
      <c r="Y87" s="22">
        <v>389952.69346481183</v>
      </c>
      <c r="Z87" s="22">
        <v>395244.09109610174</v>
      </c>
      <c r="AA87" s="23">
        <v>385732.25333538471</v>
      </c>
      <c r="AB87" s="96">
        <f t="shared" ref="AB87" si="17">+SUM(D87:AA87)*AC87+SUM(D88:AA88)*AC88+SUM(D89:AA89)*AC89</f>
        <v>228176537.14560041</v>
      </c>
      <c r="AC87" s="16">
        <v>18</v>
      </c>
      <c r="AD87" s="16">
        <f t="shared" si="11"/>
        <v>136289692.38227943</v>
      </c>
    </row>
    <row r="88" spans="1:30" ht="13.5" thickBot="1" x14ac:dyDescent="0.35">
      <c r="A88" s="18">
        <v>2028</v>
      </c>
      <c r="B88" s="19" t="s">
        <v>38</v>
      </c>
      <c r="C88" s="20" t="s">
        <v>34</v>
      </c>
      <c r="D88" s="21">
        <v>386575.87646461377</v>
      </c>
      <c r="E88" s="22">
        <v>370257.77063611016</v>
      </c>
      <c r="F88" s="22">
        <v>355919.23116484314</v>
      </c>
      <c r="G88" s="22">
        <v>343424.55646254879</v>
      </c>
      <c r="H88" s="22">
        <v>331100.72945655411</v>
      </c>
      <c r="I88" s="22">
        <v>310333.31489105156</v>
      </c>
      <c r="J88" s="22">
        <v>290190.4649348688</v>
      </c>
      <c r="K88" s="22">
        <v>238045.62106318836</v>
      </c>
      <c r="L88" s="22">
        <v>238629.20199802978</v>
      </c>
      <c r="M88" s="22">
        <v>240470.07540620692</v>
      </c>
      <c r="N88" s="22">
        <v>247774.22578701517</v>
      </c>
      <c r="O88" s="22">
        <v>259942.34138810233</v>
      </c>
      <c r="P88" s="22">
        <v>267514.98007606657</v>
      </c>
      <c r="Q88" s="22">
        <v>291007.54512960621</v>
      </c>
      <c r="R88" s="22">
        <v>307114.25043269579</v>
      </c>
      <c r="S88" s="22">
        <v>310952.61661228235</v>
      </c>
      <c r="T88" s="22">
        <v>311176.16619691055</v>
      </c>
      <c r="U88" s="22">
        <v>333524.09979851014</v>
      </c>
      <c r="V88" s="22">
        <v>342575.76152721187</v>
      </c>
      <c r="W88" s="22">
        <v>364545.69090530643</v>
      </c>
      <c r="X88" s="22">
        <v>383666.11422875349</v>
      </c>
      <c r="Y88" s="22">
        <v>400142.14612627565</v>
      </c>
      <c r="Z88" s="22">
        <v>403867.56401924294</v>
      </c>
      <c r="AA88" s="23">
        <v>391106.32758498058</v>
      </c>
      <c r="AB88" s="97"/>
      <c r="AC88" s="24">
        <v>5</v>
      </c>
      <c r="AD88" s="16">
        <f t="shared" si="11"/>
        <v>38599283.361454874</v>
      </c>
    </row>
    <row r="89" spans="1:30" ht="13.5" thickBot="1" x14ac:dyDescent="0.35">
      <c r="A89" s="18">
        <v>2028</v>
      </c>
      <c r="B89" s="25" t="s">
        <v>38</v>
      </c>
      <c r="C89" s="26" t="s">
        <v>36</v>
      </c>
      <c r="D89" s="21">
        <v>384920.76583698078</v>
      </c>
      <c r="E89" s="22">
        <v>369481.23522000841</v>
      </c>
      <c r="F89" s="22">
        <v>355503.76683248143</v>
      </c>
      <c r="G89" s="22">
        <v>343366.79514649051</v>
      </c>
      <c r="H89" s="22">
        <v>331416.51228325005</v>
      </c>
      <c r="I89" s="22">
        <v>312093.99264846364</v>
      </c>
      <c r="J89" s="22">
        <v>293157.31336551084</v>
      </c>
      <c r="K89" s="22">
        <v>238265.88442042703</v>
      </c>
      <c r="L89" s="22">
        <v>235079.83277000187</v>
      </c>
      <c r="M89" s="22">
        <v>234798.64180286971</v>
      </c>
      <c r="N89" s="22">
        <v>240598.57008879233</v>
      </c>
      <c r="O89" s="22">
        <v>251909.57867974229</v>
      </c>
      <c r="P89" s="22">
        <v>260147.81476589121</v>
      </c>
      <c r="Q89" s="22">
        <v>280385.72602855519</v>
      </c>
      <c r="R89" s="22">
        <v>294865.73939768987</v>
      </c>
      <c r="S89" s="22">
        <v>299549.79026306106</v>
      </c>
      <c r="T89" s="22">
        <v>301229.26425129001</v>
      </c>
      <c r="U89" s="22">
        <v>327035.43121571612</v>
      </c>
      <c r="V89" s="22">
        <v>337806.73410231853</v>
      </c>
      <c r="W89" s="22">
        <v>359841.54699373856</v>
      </c>
      <c r="X89" s="22">
        <v>378486.98163486738</v>
      </c>
      <c r="Y89" s="22">
        <v>395299.2873947004</v>
      </c>
      <c r="Z89" s="22">
        <v>399501.23783396801</v>
      </c>
      <c r="AA89" s="23">
        <v>387766.32871834235</v>
      </c>
      <c r="AB89" s="97"/>
      <c r="AC89" s="27">
        <v>7</v>
      </c>
      <c r="AD89" s="16">
        <f t="shared" si="11"/>
        <v>53287561.401866116</v>
      </c>
    </row>
    <row r="90" spans="1:30" ht="13.5" thickBot="1" x14ac:dyDescent="0.35">
      <c r="A90" s="18">
        <v>2028</v>
      </c>
      <c r="B90" s="11" t="s">
        <v>39</v>
      </c>
      <c r="C90" s="12" t="s">
        <v>33</v>
      </c>
      <c r="D90" s="21">
        <v>398530.12130052689</v>
      </c>
      <c r="E90" s="22">
        <v>382676.05340796622</v>
      </c>
      <c r="F90" s="22">
        <v>368114.29406075703</v>
      </c>
      <c r="G90" s="22">
        <v>355532.17514319491</v>
      </c>
      <c r="H90" s="22">
        <v>343370.76999892364</v>
      </c>
      <c r="I90" s="22">
        <v>324179.06031094596</v>
      </c>
      <c r="J90" s="22">
        <v>305479.02694971481</v>
      </c>
      <c r="K90" s="22">
        <v>249825.92901268709</v>
      </c>
      <c r="L90" s="22">
        <v>246859.13876092894</v>
      </c>
      <c r="M90" s="22">
        <v>246869.12268499524</v>
      </c>
      <c r="N90" s="22">
        <v>252614.46501966447</v>
      </c>
      <c r="O90" s="22">
        <v>263824.67905682093</v>
      </c>
      <c r="P90" s="22">
        <v>271464.39396849467</v>
      </c>
      <c r="Q90" s="22">
        <v>289454.72818657139</v>
      </c>
      <c r="R90" s="22">
        <v>304400.57636347512</v>
      </c>
      <c r="S90" s="22">
        <v>309154.90746256901</v>
      </c>
      <c r="T90" s="22">
        <v>311083.34016757458</v>
      </c>
      <c r="U90" s="22">
        <v>338431.8277893241</v>
      </c>
      <c r="V90" s="22">
        <v>350173.76244803466</v>
      </c>
      <c r="W90" s="22">
        <v>371179.13572069054</v>
      </c>
      <c r="X90" s="22">
        <v>388236.83413885074</v>
      </c>
      <c r="Y90" s="22">
        <v>404641.9373693805</v>
      </c>
      <c r="Z90" s="22">
        <v>410118.71830286901</v>
      </c>
      <c r="AA90" s="23">
        <v>400316.58076557505</v>
      </c>
      <c r="AB90" s="96">
        <f t="shared" ref="AB90" si="18">+SUM(D90:AA90)*AC90+SUM(D91:AA91)*AC91+SUM(D92:AA92)*AC92</f>
        <v>245753929.0269376</v>
      </c>
      <c r="AC90" s="16">
        <v>21</v>
      </c>
      <c r="AD90" s="16">
        <f t="shared" si="11"/>
        <v>165617163.14620122</v>
      </c>
    </row>
    <row r="91" spans="1:30" ht="13.5" thickBot="1" x14ac:dyDescent="0.35">
      <c r="A91" s="18">
        <v>2028</v>
      </c>
      <c r="B91" s="19" t="s">
        <v>39</v>
      </c>
      <c r="C91" s="20" t="s">
        <v>34</v>
      </c>
      <c r="D91" s="21">
        <v>399758.91950059804</v>
      </c>
      <c r="E91" s="22">
        <v>382933.88678394642</v>
      </c>
      <c r="F91" s="22">
        <v>368149.91625155351</v>
      </c>
      <c r="G91" s="22">
        <v>355267.09070431313</v>
      </c>
      <c r="H91" s="22">
        <v>342560.4202886803</v>
      </c>
      <c r="I91" s="22">
        <v>321147.85971473734</v>
      </c>
      <c r="J91" s="22">
        <v>300379.26603841764</v>
      </c>
      <c r="K91" s="22">
        <v>248353.18320853144</v>
      </c>
      <c r="L91" s="22">
        <v>249344.17540580014</v>
      </c>
      <c r="M91" s="22">
        <v>251498.30310786472</v>
      </c>
      <c r="N91" s="22">
        <v>259170.89280191247</v>
      </c>
      <c r="O91" s="22">
        <v>271765.94962389895</v>
      </c>
      <c r="P91" s="22">
        <v>279560.92961900897</v>
      </c>
      <c r="Q91" s="22">
        <v>303709.86518390256</v>
      </c>
      <c r="R91" s="22">
        <v>320180.26331617683</v>
      </c>
      <c r="S91" s="22">
        <v>323898.05728853215</v>
      </c>
      <c r="T91" s="22">
        <v>323744.538629246</v>
      </c>
      <c r="U91" s="22">
        <v>345521.13435081003</v>
      </c>
      <c r="V91" s="22">
        <v>354853.98868611216</v>
      </c>
      <c r="W91" s="22">
        <v>377506.42055864516</v>
      </c>
      <c r="X91" s="22">
        <v>397220.82560995274</v>
      </c>
      <c r="Y91" s="22">
        <v>414208.69041667489</v>
      </c>
      <c r="Z91" s="22">
        <v>418049.8395421381</v>
      </c>
      <c r="AA91" s="23">
        <v>404892.17144218326</v>
      </c>
      <c r="AB91" s="97"/>
      <c r="AC91" s="24">
        <v>4</v>
      </c>
      <c r="AD91" s="16">
        <f t="shared" si="11"/>
        <v>32054706.352294557</v>
      </c>
    </row>
    <row r="92" spans="1:30" ht="13.5" thickBot="1" x14ac:dyDescent="0.35">
      <c r="A92" s="18">
        <v>2028</v>
      </c>
      <c r="B92" s="25" t="s">
        <v>39</v>
      </c>
      <c r="C92" s="26" t="s">
        <v>36</v>
      </c>
      <c r="D92" s="21">
        <v>399758.91950059804</v>
      </c>
      <c r="E92" s="22">
        <v>382933.88678394636</v>
      </c>
      <c r="F92" s="22">
        <v>368149.91625155351</v>
      </c>
      <c r="G92" s="22">
        <v>355267.09070431307</v>
      </c>
      <c r="H92" s="22">
        <v>342560.4202886803</v>
      </c>
      <c r="I92" s="22">
        <v>321147.85971473734</v>
      </c>
      <c r="J92" s="22">
        <v>300379.26603841764</v>
      </c>
      <c r="K92" s="22">
        <v>248353.18320853144</v>
      </c>
      <c r="L92" s="22">
        <v>249344.17540580014</v>
      </c>
      <c r="M92" s="22">
        <v>251498.30310786472</v>
      </c>
      <c r="N92" s="22">
        <v>259170.89280191247</v>
      </c>
      <c r="O92" s="22">
        <v>271765.94962389901</v>
      </c>
      <c r="P92" s="22">
        <v>279560.92961900897</v>
      </c>
      <c r="Q92" s="22">
        <v>303709.8651839025</v>
      </c>
      <c r="R92" s="22">
        <v>320180.26331617683</v>
      </c>
      <c r="S92" s="22">
        <v>323898.05728853215</v>
      </c>
      <c r="T92" s="22">
        <v>323744.538629246</v>
      </c>
      <c r="U92" s="22">
        <v>345521.13435081003</v>
      </c>
      <c r="V92" s="22">
        <v>354853.98868611216</v>
      </c>
      <c r="W92" s="22">
        <v>377506.42055864516</v>
      </c>
      <c r="X92" s="22">
        <v>397220.82560995274</v>
      </c>
      <c r="Y92" s="22">
        <v>414208.69041667489</v>
      </c>
      <c r="Z92" s="22">
        <v>418049.8395421381</v>
      </c>
      <c r="AA92" s="23">
        <v>404892.17144218326</v>
      </c>
      <c r="AB92" s="97"/>
      <c r="AC92" s="27">
        <v>6</v>
      </c>
      <c r="AD92" s="16">
        <f t="shared" si="11"/>
        <v>48082059.528441831</v>
      </c>
    </row>
    <row r="93" spans="1:30" ht="13.5" thickBot="1" x14ac:dyDescent="0.35">
      <c r="A93" s="18">
        <v>2028</v>
      </c>
      <c r="B93" s="11" t="s">
        <v>40</v>
      </c>
      <c r="C93" s="12" t="s">
        <v>33</v>
      </c>
      <c r="D93" s="21">
        <v>405031.77698585566</v>
      </c>
      <c r="E93" s="22">
        <v>389248.25126025168</v>
      </c>
      <c r="F93" s="22">
        <v>374611.26952079951</v>
      </c>
      <c r="G93" s="22">
        <v>361971.92523020552</v>
      </c>
      <c r="H93" s="22">
        <v>349728.93402961601</v>
      </c>
      <c r="I93" s="22">
        <v>330664.62318231876</v>
      </c>
      <c r="J93" s="22">
        <v>311991.26117193379</v>
      </c>
      <c r="K93" s="22">
        <v>255290.38352947746</v>
      </c>
      <c r="L93" s="22">
        <v>250938.07033396195</v>
      </c>
      <c r="M93" s="22">
        <v>250194.22490143953</v>
      </c>
      <c r="N93" s="22">
        <v>255554.18110668668</v>
      </c>
      <c r="O93" s="22">
        <v>266713.04374111316</v>
      </c>
      <c r="P93" s="22">
        <v>274874.0033398727</v>
      </c>
      <c r="Q93" s="22">
        <v>292325.33338798734</v>
      </c>
      <c r="R93" s="22">
        <v>306812.22722416883</v>
      </c>
      <c r="S93" s="22">
        <v>311870.76944419614</v>
      </c>
      <c r="T93" s="22">
        <v>314179.80994541792</v>
      </c>
      <c r="U93" s="22">
        <v>342436.57298892463</v>
      </c>
      <c r="V93" s="22">
        <v>354941.5209313482</v>
      </c>
      <c r="W93" s="22">
        <v>376602.11635731941</v>
      </c>
      <c r="X93" s="22">
        <v>394112.82229020417</v>
      </c>
      <c r="Y93" s="22">
        <v>411074.16181604785</v>
      </c>
      <c r="Z93" s="22">
        <v>416640.01701021963</v>
      </c>
      <c r="AA93" s="23">
        <v>406699.43067055277</v>
      </c>
      <c r="AB93" s="96">
        <f t="shared" ref="AB93" si="19">+SUM(D93:AA93)*AC93+SUM(D94:AA94)*AC94+SUM(D95:AA95)*AC95</f>
        <v>241612596.78269386</v>
      </c>
      <c r="AC93" s="16">
        <v>20</v>
      </c>
      <c r="AD93" s="16">
        <f t="shared" si="11"/>
        <v>160090134.60799837</v>
      </c>
    </row>
    <row r="94" spans="1:30" ht="13.5" thickBot="1" x14ac:dyDescent="0.35">
      <c r="A94" s="18">
        <v>2028</v>
      </c>
      <c r="B94" s="19" t="s">
        <v>40</v>
      </c>
      <c r="C94" s="20" t="s">
        <v>34</v>
      </c>
      <c r="D94" s="21">
        <v>406072.44118718605</v>
      </c>
      <c r="E94" s="22">
        <v>389004.63493993925</v>
      </c>
      <c r="F94" s="22">
        <v>374007.34198596119</v>
      </c>
      <c r="G94" s="22">
        <v>360938.62621818931</v>
      </c>
      <c r="H94" s="22">
        <v>348048.60737816605</v>
      </c>
      <c r="I94" s="22">
        <v>326327.07843446318</v>
      </c>
      <c r="J94" s="22">
        <v>305258.8083832314</v>
      </c>
      <c r="K94" s="22">
        <v>253181.63151472132</v>
      </c>
      <c r="L94" s="22">
        <v>254288.10584447582</v>
      </c>
      <c r="M94" s="22">
        <v>256539.87343567866</v>
      </c>
      <c r="N94" s="22">
        <v>264359.96091420104</v>
      </c>
      <c r="O94" s="22">
        <v>277149.4749217935</v>
      </c>
      <c r="P94" s="22">
        <v>285053.57677401276</v>
      </c>
      <c r="Q94" s="22">
        <v>309531.87785059575</v>
      </c>
      <c r="R94" s="22">
        <v>326204.40973167826</v>
      </c>
      <c r="S94" s="22">
        <v>329913.51653467468</v>
      </c>
      <c r="T94" s="22">
        <v>329657.96949944628</v>
      </c>
      <c r="U94" s="22">
        <v>351266.66196639492</v>
      </c>
      <c r="V94" s="22">
        <v>360734.18290447118</v>
      </c>
      <c r="W94" s="22">
        <v>383713.47362803161</v>
      </c>
      <c r="X94" s="22">
        <v>403712.34384493472</v>
      </c>
      <c r="Y94" s="22">
        <v>420945.33173616207</v>
      </c>
      <c r="Z94" s="22">
        <v>424841.90597433888</v>
      </c>
      <c r="AA94" s="23">
        <v>411494.38186680153</v>
      </c>
      <c r="AB94" s="97"/>
      <c r="AC94" s="24">
        <v>4</v>
      </c>
      <c r="AD94" s="16">
        <f t="shared" si="11"/>
        <v>32608984.869878199</v>
      </c>
    </row>
    <row r="95" spans="1:30" ht="13.5" thickBot="1" x14ac:dyDescent="0.35">
      <c r="A95" s="18">
        <v>2028</v>
      </c>
      <c r="B95" s="25" t="s">
        <v>40</v>
      </c>
      <c r="C95" s="26" t="s">
        <v>36</v>
      </c>
      <c r="D95" s="21">
        <v>406072.44118718611</v>
      </c>
      <c r="E95" s="22">
        <v>389004.63493993925</v>
      </c>
      <c r="F95" s="22">
        <v>374007.34198596119</v>
      </c>
      <c r="G95" s="22">
        <v>360938.62621818931</v>
      </c>
      <c r="H95" s="22">
        <v>348048.60737816611</v>
      </c>
      <c r="I95" s="22">
        <v>326327.07843446318</v>
      </c>
      <c r="J95" s="22">
        <v>305258.80838323146</v>
      </c>
      <c r="K95" s="22">
        <v>253181.63151472132</v>
      </c>
      <c r="L95" s="22">
        <v>254288.10584447582</v>
      </c>
      <c r="M95" s="22">
        <v>256539.87343567866</v>
      </c>
      <c r="N95" s="22">
        <v>264359.96091420104</v>
      </c>
      <c r="O95" s="22">
        <v>277149.4749217935</v>
      </c>
      <c r="P95" s="22">
        <v>285053.57677401276</v>
      </c>
      <c r="Q95" s="22">
        <v>309531.8778505958</v>
      </c>
      <c r="R95" s="22">
        <v>326204.40973167826</v>
      </c>
      <c r="S95" s="22">
        <v>329913.51653467468</v>
      </c>
      <c r="T95" s="22">
        <v>329657.96949944628</v>
      </c>
      <c r="U95" s="22">
        <v>351266.66196639492</v>
      </c>
      <c r="V95" s="22">
        <v>360734.18290447118</v>
      </c>
      <c r="W95" s="22">
        <v>383713.47362803161</v>
      </c>
      <c r="X95" s="22">
        <v>403712.34384493477</v>
      </c>
      <c r="Y95" s="22">
        <v>420945.33173616213</v>
      </c>
      <c r="Z95" s="22">
        <v>424841.90597433882</v>
      </c>
      <c r="AA95" s="23">
        <v>411494.38186680153</v>
      </c>
      <c r="AB95" s="97"/>
      <c r="AC95" s="27">
        <v>6</v>
      </c>
      <c r="AD95" s="16">
        <f t="shared" si="11"/>
        <v>48913477.304817297</v>
      </c>
    </row>
    <row r="96" spans="1:30" ht="13.5" thickBot="1" x14ac:dyDescent="0.35">
      <c r="A96" s="18">
        <v>2028</v>
      </c>
      <c r="B96" s="11" t="s">
        <v>41</v>
      </c>
      <c r="C96" s="12" t="s">
        <v>33</v>
      </c>
      <c r="D96" s="21">
        <v>392719.32760269736</v>
      </c>
      <c r="E96" s="22">
        <v>376967.2877217682</v>
      </c>
      <c r="F96" s="22">
        <v>362577.63222067693</v>
      </c>
      <c r="G96" s="22">
        <v>350131.58188925235</v>
      </c>
      <c r="H96" s="22">
        <v>338072.35607509909</v>
      </c>
      <c r="I96" s="22">
        <v>318882.79844555486</v>
      </c>
      <c r="J96" s="22">
        <v>300196.48691996525</v>
      </c>
      <c r="K96" s="22">
        <v>244884.0917990969</v>
      </c>
      <c r="L96" s="22">
        <v>242194.2758102334</v>
      </c>
      <c r="M96" s="22">
        <v>242305.73191010085</v>
      </c>
      <c r="N96" s="22">
        <v>248115.13435524472</v>
      </c>
      <c r="O96" s="22">
        <v>259305.2063821964</v>
      </c>
      <c r="P96" s="22">
        <v>266863.89031719556</v>
      </c>
      <c r="Q96" s="22">
        <v>285370.29605867167</v>
      </c>
      <c r="R96" s="22">
        <v>300373.54925590393</v>
      </c>
      <c r="S96" s="22">
        <v>305083.17864400259</v>
      </c>
      <c r="T96" s="22">
        <v>306968.82058054936</v>
      </c>
      <c r="U96" s="22">
        <v>333927.70007620368</v>
      </c>
      <c r="V96" s="22">
        <v>345226.89483544463</v>
      </c>
      <c r="W96" s="22">
        <v>366134.44880221831</v>
      </c>
      <c r="X96" s="22">
        <v>383265.99238084699</v>
      </c>
      <c r="Y96" s="22">
        <v>399512.93388875126</v>
      </c>
      <c r="Z96" s="22">
        <v>404725.47471539024</v>
      </c>
      <c r="AA96" s="23">
        <v>394668.32892860315</v>
      </c>
      <c r="AB96" s="96">
        <f t="shared" ref="AB96" si="20">+SUM(D96:AA96)*AC96+SUM(D97:AA97)*AC97+SUM(D98:AA98)*AC98</f>
        <v>242060528.65740111</v>
      </c>
      <c r="AC96" s="16">
        <v>19</v>
      </c>
      <c r="AD96" s="16">
        <f t="shared" si="11"/>
        <v>147600994.97269768</v>
      </c>
    </row>
    <row r="97" spans="1:30" ht="13.5" thickBot="1" x14ac:dyDescent="0.35">
      <c r="A97" s="18">
        <v>2028</v>
      </c>
      <c r="B97" s="19" t="s">
        <v>41</v>
      </c>
      <c r="C97" s="20" t="s">
        <v>34</v>
      </c>
      <c r="D97" s="21">
        <v>393457.20871390257</v>
      </c>
      <c r="E97" s="22">
        <v>376874.49536390917</v>
      </c>
      <c r="F97" s="22">
        <v>362303.44818426314</v>
      </c>
      <c r="G97" s="22">
        <v>349606.16510698094</v>
      </c>
      <c r="H97" s="22">
        <v>337082.50012018159</v>
      </c>
      <c r="I97" s="22">
        <v>315978.32991933287</v>
      </c>
      <c r="J97" s="22">
        <v>295508.85200408049</v>
      </c>
      <c r="K97" s="22">
        <v>243345.53631919553</v>
      </c>
      <c r="L97" s="22">
        <v>244082.43460574077</v>
      </c>
      <c r="M97" s="22">
        <v>246047.785135165</v>
      </c>
      <c r="N97" s="22">
        <v>253522.67850139603</v>
      </c>
      <c r="O97" s="22">
        <v>265906.19044991903</v>
      </c>
      <c r="P97" s="22">
        <v>273596.85497411725</v>
      </c>
      <c r="Q97" s="22">
        <v>297443.22928122751</v>
      </c>
      <c r="R97" s="22">
        <v>313760.61063795321</v>
      </c>
      <c r="S97" s="22">
        <v>317572.59860136395</v>
      </c>
      <c r="T97" s="22">
        <v>317657.86611202726</v>
      </c>
      <c r="U97" s="22">
        <v>339786.35507107741</v>
      </c>
      <c r="V97" s="22">
        <v>348984.79472857603</v>
      </c>
      <c r="W97" s="22">
        <v>371310.97921502282</v>
      </c>
      <c r="X97" s="22">
        <v>390741.45125850057</v>
      </c>
      <c r="Y97" s="22">
        <v>407484.651540038</v>
      </c>
      <c r="Z97" s="22">
        <v>411270.4792382564</v>
      </c>
      <c r="AA97" s="23">
        <v>398302.3119763906</v>
      </c>
      <c r="AB97" s="97"/>
      <c r="AC97" s="24">
        <v>5</v>
      </c>
      <c r="AD97" s="16">
        <f t="shared" si="11"/>
        <v>39358139.035293095</v>
      </c>
    </row>
    <row r="98" spans="1:30" ht="13.5" thickBot="1" x14ac:dyDescent="0.35">
      <c r="A98" s="18">
        <v>2028</v>
      </c>
      <c r="B98" s="25" t="s">
        <v>41</v>
      </c>
      <c r="C98" s="26" t="s">
        <v>36</v>
      </c>
      <c r="D98" s="21">
        <v>393457.20871390257</v>
      </c>
      <c r="E98" s="22">
        <v>376874.49536390923</v>
      </c>
      <c r="F98" s="22">
        <v>362303.44818426308</v>
      </c>
      <c r="G98" s="22">
        <v>349606.165106981</v>
      </c>
      <c r="H98" s="22">
        <v>337082.50012018159</v>
      </c>
      <c r="I98" s="22">
        <v>315978.32991933293</v>
      </c>
      <c r="J98" s="22">
        <v>295508.85200408049</v>
      </c>
      <c r="K98" s="22">
        <v>243345.53631919553</v>
      </c>
      <c r="L98" s="22">
        <v>244082.43460574074</v>
      </c>
      <c r="M98" s="22">
        <v>246047.78513516503</v>
      </c>
      <c r="N98" s="22">
        <v>253522.678501396</v>
      </c>
      <c r="O98" s="22">
        <v>265906.19044991903</v>
      </c>
      <c r="P98" s="22">
        <v>273596.85497411719</v>
      </c>
      <c r="Q98" s="22">
        <v>297443.22928122751</v>
      </c>
      <c r="R98" s="22">
        <v>313760.61063795321</v>
      </c>
      <c r="S98" s="22">
        <v>317572.59860136401</v>
      </c>
      <c r="T98" s="22">
        <v>317657.86611202726</v>
      </c>
      <c r="U98" s="22">
        <v>339786.35507107741</v>
      </c>
      <c r="V98" s="22">
        <v>348984.79472857603</v>
      </c>
      <c r="W98" s="22">
        <v>371310.97921502276</v>
      </c>
      <c r="X98" s="22">
        <v>390741.45125850057</v>
      </c>
      <c r="Y98" s="22">
        <v>407484.65154003806</v>
      </c>
      <c r="Z98" s="22">
        <v>411270.4792382564</v>
      </c>
      <c r="AA98" s="23">
        <v>398302.31197639054</v>
      </c>
      <c r="AB98" s="97"/>
      <c r="AC98" s="27">
        <v>7</v>
      </c>
      <c r="AD98" s="16">
        <f t="shared" si="11"/>
        <v>55101394.649410337</v>
      </c>
    </row>
    <row r="99" spans="1:30" ht="13.5" thickBot="1" x14ac:dyDescent="0.35">
      <c r="A99" s="18">
        <v>2028</v>
      </c>
      <c r="B99" s="11" t="s">
        <v>42</v>
      </c>
      <c r="C99" s="12" t="s">
        <v>33</v>
      </c>
      <c r="D99" s="21">
        <v>408051.9902429005</v>
      </c>
      <c r="E99" s="22">
        <v>391996.14952146925</v>
      </c>
      <c r="F99" s="22">
        <v>377170.55310836079</v>
      </c>
      <c r="G99" s="22">
        <v>364368.50150328298</v>
      </c>
      <c r="H99" s="22">
        <v>351999.33964701917</v>
      </c>
      <c r="I99" s="22">
        <v>332630.36564838112</v>
      </c>
      <c r="J99" s="22">
        <v>313722.02167234465</v>
      </c>
      <c r="K99" s="22">
        <v>257452.2940718263</v>
      </c>
      <c r="L99" s="22">
        <v>253933.08990766978</v>
      </c>
      <c r="M99" s="22">
        <v>253686.80600548146</v>
      </c>
      <c r="N99" s="22">
        <v>259361.35156770344</v>
      </c>
      <c r="O99" s="22">
        <v>270695.27982285555</v>
      </c>
      <c r="P99" s="22">
        <v>278618.49999549787</v>
      </c>
      <c r="Q99" s="22">
        <v>296407.13797886518</v>
      </c>
      <c r="R99" s="22">
        <v>311339.68815528316</v>
      </c>
      <c r="S99" s="22">
        <v>316239.88494941697</v>
      </c>
      <c r="T99" s="22">
        <v>318291.85113542184</v>
      </c>
      <c r="U99" s="22">
        <v>346084.94095001288</v>
      </c>
      <c r="V99" s="22">
        <v>358393.82674103801</v>
      </c>
      <c r="W99" s="22">
        <v>379883.67939759407</v>
      </c>
      <c r="X99" s="22">
        <v>397242.07468264463</v>
      </c>
      <c r="Y99" s="22">
        <v>414075.74749991583</v>
      </c>
      <c r="Z99" s="22">
        <v>419759.30266860855</v>
      </c>
      <c r="AA99" s="23">
        <v>409916.78390030324</v>
      </c>
      <c r="AB99" s="96">
        <f t="shared" ref="AB99" si="21">+SUM(D99:AA99)*AC99+SUM(D100:AA100)*AC100+SUM(D101:AA101)*AC101</f>
        <v>251517354.84029049</v>
      </c>
      <c r="AC99" s="16">
        <v>21</v>
      </c>
      <c r="AD99" s="16">
        <f t="shared" si="11"/>
        <v>169707744.37625182</v>
      </c>
    </row>
    <row r="100" spans="1:30" ht="13.5" thickBot="1" x14ac:dyDescent="0.35">
      <c r="A100" s="18">
        <v>2028</v>
      </c>
      <c r="B100" s="19" t="s">
        <v>42</v>
      </c>
      <c r="C100" s="20" t="s">
        <v>34</v>
      </c>
      <c r="D100" s="21">
        <v>409449.62345042592</v>
      </c>
      <c r="E100" s="22">
        <v>392251.95458415098</v>
      </c>
      <c r="F100" s="22">
        <v>377140.55278026446</v>
      </c>
      <c r="G100" s="22">
        <v>363972.40199241141</v>
      </c>
      <c r="H100" s="22">
        <v>350984.30777107447</v>
      </c>
      <c r="I100" s="22">
        <v>329097.50775521033</v>
      </c>
      <c r="J100" s="22">
        <v>307868.93703688594</v>
      </c>
      <c r="K100" s="22">
        <v>255790.34865113866</v>
      </c>
      <c r="L100" s="22">
        <v>256977.71232656139</v>
      </c>
      <c r="M100" s="22">
        <v>259294.28341995939</v>
      </c>
      <c r="N100" s="22">
        <v>267200.2196225581</v>
      </c>
      <c r="O100" s="22">
        <v>280096.15428297158</v>
      </c>
      <c r="P100" s="22">
        <v>288057.9930642515</v>
      </c>
      <c r="Q100" s="22">
        <v>312708.86981701496</v>
      </c>
      <c r="R100" s="22">
        <v>329482.81428048137</v>
      </c>
      <c r="S100" s="22">
        <v>333175.49773633364</v>
      </c>
      <c r="T100" s="22">
        <v>332846.51669732423</v>
      </c>
      <c r="U100" s="22">
        <v>354340.01704768452</v>
      </c>
      <c r="V100" s="22">
        <v>363879.57284758851</v>
      </c>
      <c r="W100" s="22">
        <v>387033.70448705467</v>
      </c>
      <c r="X100" s="22">
        <v>407184.73870361561</v>
      </c>
      <c r="Y100" s="22">
        <v>424548.84601984784</v>
      </c>
      <c r="Z100" s="22">
        <v>428475.06784884428</v>
      </c>
      <c r="AA100" s="23">
        <v>415025.98737178685</v>
      </c>
      <c r="AB100" s="97"/>
      <c r="AC100" s="24">
        <v>4</v>
      </c>
      <c r="AD100" s="16">
        <f t="shared" si="11"/>
        <v>32907534.518381763</v>
      </c>
    </row>
    <row r="101" spans="1:30" ht="13.5" thickBot="1" x14ac:dyDescent="0.35">
      <c r="A101" s="18">
        <v>2028</v>
      </c>
      <c r="B101" s="25" t="s">
        <v>42</v>
      </c>
      <c r="C101" s="26" t="s">
        <v>36</v>
      </c>
      <c r="D101" s="21">
        <v>407945.87560407241</v>
      </c>
      <c r="E101" s="22">
        <v>391303.71691483358</v>
      </c>
      <c r="F101" s="22">
        <v>376429.48086644063</v>
      </c>
      <c r="G101" s="22">
        <v>363494.29703473457</v>
      </c>
      <c r="H101" s="22">
        <v>350748.64564078191</v>
      </c>
      <c r="I101" s="22">
        <v>329768.3813138369</v>
      </c>
      <c r="J101" s="22">
        <v>309299.82950207486</v>
      </c>
      <c r="K101" s="22">
        <v>255539.8181028493</v>
      </c>
      <c r="L101" s="22">
        <v>254410.07904048951</v>
      </c>
      <c r="M101" s="22">
        <v>255419.15739541454</v>
      </c>
      <c r="N101" s="22">
        <v>262392.7762742482</v>
      </c>
      <c r="O101" s="22">
        <v>274749.33816980524</v>
      </c>
      <c r="P101" s="22">
        <v>283109.34043615166</v>
      </c>
      <c r="Q101" s="22">
        <v>305747.97060699342</v>
      </c>
      <c r="R101" s="22">
        <v>321514.77899441408</v>
      </c>
      <c r="S101" s="22">
        <v>325728.26431780629</v>
      </c>
      <c r="T101" s="22">
        <v>326302.25071901741</v>
      </c>
      <c r="U101" s="22">
        <v>349928.71603857353</v>
      </c>
      <c r="V101" s="22">
        <v>360507.9590609388</v>
      </c>
      <c r="W101" s="22">
        <v>383676.1947931787</v>
      </c>
      <c r="X101" s="22">
        <v>403514.93787185731</v>
      </c>
      <c r="Y101" s="22">
        <v>421065.27192834951</v>
      </c>
      <c r="Z101" s="22">
        <v>425278.18935165595</v>
      </c>
      <c r="AA101" s="23">
        <v>412470.72096429794</v>
      </c>
      <c r="AB101" s="97"/>
      <c r="AC101" s="27">
        <v>6</v>
      </c>
      <c r="AD101" s="16">
        <f t="shared" si="11"/>
        <v>48902075.945656896</v>
      </c>
    </row>
    <row r="102" spans="1:30" ht="13.5" thickBot="1" x14ac:dyDescent="0.35">
      <c r="A102" s="18">
        <v>2028</v>
      </c>
      <c r="B102" s="11" t="s">
        <v>43</v>
      </c>
      <c r="C102" s="12" t="s">
        <v>33</v>
      </c>
      <c r="D102" s="21">
        <v>408143.06030467106</v>
      </c>
      <c r="E102" s="22">
        <v>391748.55890983832</v>
      </c>
      <c r="F102" s="22">
        <v>376828.13497281767</v>
      </c>
      <c r="G102" s="22">
        <v>363913.83688092692</v>
      </c>
      <c r="H102" s="22">
        <v>351379.43383592647</v>
      </c>
      <c r="I102" s="22">
        <v>331319.47332906589</v>
      </c>
      <c r="J102" s="22">
        <v>311793.48133600329</v>
      </c>
      <c r="K102" s="22">
        <v>256644.17536504561</v>
      </c>
      <c r="L102" s="22">
        <v>254515.67098210787</v>
      </c>
      <c r="M102" s="22">
        <v>255024.52642592913</v>
      </c>
      <c r="N102" s="22">
        <v>261320.8334546941</v>
      </c>
      <c r="O102" s="22">
        <v>273066.69554079609</v>
      </c>
      <c r="P102" s="22">
        <v>280897.00579038367</v>
      </c>
      <c r="Q102" s="22">
        <v>300521.25058789988</v>
      </c>
      <c r="R102" s="22">
        <v>316073.45332589647</v>
      </c>
      <c r="S102" s="22">
        <v>320664.08715929481</v>
      </c>
      <c r="T102" s="22">
        <v>322122.20863318135</v>
      </c>
      <c r="U102" s="22">
        <v>348283.05879282975</v>
      </c>
      <c r="V102" s="22">
        <v>359780.99081329926</v>
      </c>
      <c r="W102" s="22">
        <v>381572.00214127637</v>
      </c>
      <c r="X102" s="22">
        <v>399537.91507130256</v>
      </c>
      <c r="Y102" s="22">
        <v>416412.46121117118</v>
      </c>
      <c r="Z102" s="22">
        <v>421672.20531210845</v>
      </c>
      <c r="AA102" s="23">
        <v>410973.46869201597</v>
      </c>
      <c r="AB102" s="96">
        <f t="shared" ref="AB102" si="22">+SUM(D102:AA102)*AC102+SUM(D103:AA103)*AC103+SUM(D104:AA104)*AC104</f>
        <v>244175488.86457074</v>
      </c>
      <c r="AC102" s="16">
        <v>21</v>
      </c>
      <c r="AD102" s="16">
        <f t="shared" si="11"/>
        <v>170398367.76623812</v>
      </c>
    </row>
    <row r="103" spans="1:30" ht="13.5" thickBot="1" x14ac:dyDescent="0.35">
      <c r="A103" s="18">
        <v>2028</v>
      </c>
      <c r="B103" s="19" t="s">
        <v>43</v>
      </c>
      <c r="C103" s="20" t="s">
        <v>34</v>
      </c>
      <c r="D103" s="21">
        <v>407193.05569293268</v>
      </c>
      <c r="E103" s="22">
        <v>390082.15851268481</v>
      </c>
      <c r="F103" s="22">
        <v>375047.00203151914</v>
      </c>
      <c r="G103" s="22">
        <v>361945.29179759283</v>
      </c>
      <c r="H103" s="22">
        <v>349022.72964590014</v>
      </c>
      <c r="I103" s="22">
        <v>327246.36055843008</v>
      </c>
      <c r="J103" s="22">
        <v>306124.89964013139</v>
      </c>
      <c r="K103" s="22">
        <v>253917.36372787328</v>
      </c>
      <c r="L103" s="22">
        <v>254954.87935275439</v>
      </c>
      <c r="M103" s="22">
        <v>257165.13387094424</v>
      </c>
      <c r="N103" s="22">
        <v>264978.87726505497</v>
      </c>
      <c r="O103" s="22">
        <v>277791.66116989043</v>
      </c>
      <c r="P103" s="22">
        <v>285718.09707598347</v>
      </c>
      <c r="Q103" s="22">
        <v>310271.73343449424</v>
      </c>
      <c r="R103" s="22">
        <v>327011.54863821989</v>
      </c>
      <c r="S103" s="22">
        <v>330774.22180687007</v>
      </c>
      <c r="T103" s="22">
        <v>330588.81057758781</v>
      </c>
      <c r="U103" s="22">
        <v>352286.46072670782</v>
      </c>
      <c r="V103" s="22">
        <v>361777.8842275691</v>
      </c>
      <c r="W103" s="22">
        <v>384815.19055446098</v>
      </c>
      <c r="X103" s="22">
        <v>404864.55173453328</v>
      </c>
      <c r="Y103" s="22">
        <v>422141.0475913345</v>
      </c>
      <c r="Z103" s="22">
        <v>426047.45947454881</v>
      </c>
      <c r="AA103" s="23">
        <v>412666.23699601332</v>
      </c>
      <c r="AB103" s="97"/>
      <c r="AC103" s="24">
        <v>5</v>
      </c>
      <c r="AD103" s="16">
        <f t="shared" si="11"/>
        <v>40872163.280520156</v>
      </c>
    </row>
    <row r="104" spans="1:30" ht="13.5" thickBot="1" x14ac:dyDescent="0.35">
      <c r="A104" s="18">
        <v>2028</v>
      </c>
      <c r="B104" s="25" t="s">
        <v>43</v>
      </c>
      <c r="C104" s="26" t="s">
        <v>36</v>
      </c>
      <c r="D104" s="21">
        <v>409519.12794151908</v>
      </c>
      <c r="E104" s="22">
        <v>392318.78642255784</v>
      </c>
      <c r="F104" s="22">
        <v>377205.03618825681</v>
      </c>
      <c r="G104" s="22">
        <v>364034.83896644536</v>
      </c>
      <c r="H104" s="22">
        <v>351044.72629335313</v>
      </c>
      <c r="I104" s="22">
        <v>329154.52489702823</v>
      </c>
      <c r="J104" s="22">
        <v>307922.6550922406</v>
      </c>
      <c r="K104" s="22">
        <v>255734.25929606563</v>
      </c>
      <c r="L104" s="22">
        <v>256842.32197075011</v>
      </c>
      <c r="M104" s="22">
        <v>259106.96806776445</v>
      </c>
      <c r="N104" s="22">
        <v>266985.23387907149</v>
      </c>
      <c r="O104" s="22">
        <v>279873.18087525544</v>
      </c>
      <c r="P104" s="22">
        <v>287838.89199494821</v>
      </c>
      <c r="Q104" s="22">
        <v>312508.59361997136</v>
      </c>
      <c r="R104" s="22">
        <v>329313.05018734821</v>
      </c>
      <c r="S104" s="22">
        <v>333055.27354203025</v>
      </c>
      <c r="T104" s="22">
        <v>332804.65099892567</v>
      </c>
      <c r="U104" s="22">
        <v>354403.26858823613</v>
      </c>
      <c r="V104" s="22">
        <v>363944.30690996506</v>
      </c>
      <c r="W104" s="22">
        <v>387102.03688317066</v>
      </c>
      <c r="X104" s="22">
        <v>407256.20272856735</v>
      </c>
      <c r="Y104" s="22">
        <v>424623.0085633269</v>
      </c>
      <c r="Z104" s="22">
        <v>428549.84055800323</v>
      </c>
      <c r="AA104" s="23">
        <v>415098.66998830921</v>
      </c>
      <c r="AB104" s="97"/>
      <c r="AC104" s="27">
        <v>4</v>
      </c>
      <c r="AD104" s="16">
        <f t="shared" si="11"/>
        <v>32904957.817812447</v>
      </c>
    </row>
    <row r="105" spans="1:30" ht="13.5" thickBot="1" x14ac:dyDescent="0.35">
      <c r="A105" s="18">
        <v>2028</v>
      </c>
      <c r="B105" s="11" t="s">
        <v>44</v>
      </c>
      <c r="C105" s="12" t="s">
        <v>33</v>
      </c>
      <c r="D105" s="21">
        <v>397530.73633162875</v>
      </c>
      <c r="E105" s="22">
        <v>381714.12446935748</v>
      </c>
      <c r="F105" s="22">
        <v>367186.69114335574</v>
      </c>
      <c r="G105" s="22">
        <v>354634.10711931798</v>
      </c>
      <c r="H105" s="22">
        <v>342500.55002972938</v>
      </c>
      <c r="I105" s="22">
        <v>323352.68371917488</v>
      </c>
      <c r="J105" s="22">
        <v>304694.64935226022</v>
      </c>
      <c r="K105" s="22">
        <v>248819.46090985657</v>
      </c>
      <c r="L105" s="22">
        <v>245662.86992136217</v>
      </c>
      <c r="M105" s="22">
        <v>245543.85013575054</v>
      </c>
      <c r="N105" s="22">
        <v>251205.55270891427</v>
      </c>
      <c r="O105" s="22">
        <v>262366.45976897597</v>
      </c>
      <c r="P105" s="22">
        <v>269998.99619293463</v>
      </c>
      <c r="Q105" s="22">
        <v>287987.84409988346</v>
      </c>
      <c r="R105" s="22">
        <v>302963.09661396581</v>
      </c>
      <c r="S105" s="22">
        <v>307824.72546290723</v>
      </c>
      <c r="T105" s="22">
        <v>309937.06419880688</v>
      </c>
      <c r="U105" s="22">
        <v>337530.11042859958</v>
      </c>
      <c r="V105" s="22">
        <v>349246.13974301174</v>
      </c>
      <c r="W105" s="22">
        <v>370209.39557383023</v>
      </c>
      <c r="X105" s="22">
        <v>387234.54327931855</v>
      </c>
      <c r="Y105" s="22">
        <v>403605.8936556105</v>
      </c>
      <c r="Z105" s="22">
        <v>409067.22500174615</v>
      </c>
      <c r="AA105" s="23">
        <v>399281.61546152656</v>
      </c>
      <c r="AB105" s="96">
        <f t="shared" ref="AB105" si="23">+SUM(D105:AA105)*AC105+SUM(D106:AA106)*AC106+SUM(D107:AA107)*AC107</f>
        <v>244960977.78055733</v>
      </c>
      <c r="AC105" s="16">
        <v>21</v>
      </c>
      <c r="AD105" s="16">
        <f t="shared" si="11"/>
        <v>165062066.09175831</v>
      </c>
    </row>
    <row r="106" spans="1:30" ht="13.5" thickBot="1" x14ac:dyDescent="0.35">
      <c r="A106" s="18">
        <v>2028</v>
      </c>
      <c r="B106" s="19" t="s">
        <v>44</v>
      </c>
      <c r="C106" s="20" t="s">
        <v>34</v>
      </c>
      <c r="D106" s="21">
        <v>398887.18497334886</v>
      </c>
      <c r="E106" s="22">
        <v>382095.67302045296</v>
      </c>
      <c r="F106" s="22">
        <v>367341.15681316797</v>
      </c>
      <c r="G106" s="22">
        <v>354483.99791151134</v>
      </c>
      <c r="H106" s="22">
        <v>341802.64318496478</v>
      </c>
      <c r="I106" s="22">
        <v>320432.74317498575</v>
      </c>
      <c r="J106" s="22">
        <v>299705.52707776986</v>
      </c>
      <c r="K106" s="22">
        <v>247452.23934262895</v>
      </c>
      <c r="L106" s="22">
        <v>248254.51093673188</v>
      </c>
      <c r="M106" s="22">
        <v>250281.50660298744</v>
      </c>
      <c r="N106" s="22">
        <v>257870.91361881499</v>
      </c>
      <c r="O106" s="22">
        <v>270417.40203165932</v>
      </c>
      <c r="P106" s="22">
        <v>278203.04275278078</v>
      </c>
      <c r="Q106" s="22">
        <v>302339.09333259653</v>
      </c>
      <c r="R106" s="22">
        <v>318842.23899160919</v>
      </c>
      <c r="S106" s="22">
        <v>322667.66854153806</v>
      </c>
      <c r="T106" s="22">
        <v>322698.67420521058</v>
      </c>
      <c r="U106" s="22">
        <v>344727.82515692397</v>
      </c>
      <c r="V106" s="22">
        <v>354042.08550726302</v>
      </c>
      <c r="W106" s="22">
        <v>376649.38660174172</v>
      </c>
      <c r="X106" s="22">
        <v>396324.51434967428</v>
      </c>
      <c r="Y106" s="22">
        <v>413278.5339798379</v>
      </c>
      <c r="Z106" s="22">
        <v>417112.03032657818</v>
      </c>
      <c r="AA106" s="23">
        <v>403980.57644512644</v>
      </c>
      <c r="AB106" s="97"/>
      <c r="AC106" s="24">
        <v>4</v>
      </c>
      <c r="AD106" s="16">
        <f t="shared" si="11"/>
        <v>31959564.675519615</v>
      </c>
    </row>
    <row r="107" spans="1:30" ht="13.5" thickBot="1" x14ac:dyDescent="0.35">
      <c r="A107" s="18">
        <v>2028</v>
      </c>
      <c r="B107" s="25" t="s">
        <v>44</v>
      </c>
      <c r="C107" s="26" t="s">
        <v>36</v>
      </c>
      <c r="D107" s="21">
        <v>398887.18497334886</v>
      </c>
      <c r="E107" s="22">
        <v>382095.67302045296</v>
      </c>
      <c r="F107" s="22">
        <v>367341.15681316797</v>
      </c>
      <c r="G107" s="22">
        <v>354483.9979115114</v>
      </c>
      <c r="H107" s="22">
        <v>341802.64318496478</v>
      </c>
      <c r="I107" s="22">
        <v>320432.74317498575</v>
      </c>
      <c r="J107" s="22">
        <v>299705.52707776986</v>
      </c>
      <c r="K107" s="22">
        <v>247452.23934262895</v>
      </c>
      <c r="L107" s="22">
        <v>248254.51093673191</v>
      </c>
      <c r="M107" s="22">
        <v>250281.50660298744</v>
      </c>
      <c r="N107" s="22">
        <v>257870.91361881499</v>
      </c>
      <c r="O107" s="22">
        <v>270417.40203165932</v>
      </c>
      <c r="P107" s="22">
        <v>278203.04275278078</v>
      </c>
      <c r="Q107" s="22">
        <v>302339.09333259653</v>
      </c>
      <c r="R107" s="22">
        <v>318842.23899160925</v>
      </c>
      <c r="S107" s="22">
        <v>322667.66854153806</v>
      </c>
      <c r="T107" s="22">
        <v>322698.67420521058</v>
      </c>
      <c r="U107" s="22">
        <v>344727.82515692391</v>
      </c>
      <c r="V107" s="22">
        <v>354042.08550726302</v>
      </c>
      <c r="W107" s="22">
        <v>376649.38660174172</v>
      </c>
      <c r="X107" s="22">
        <v>396324.51434967428</v>
      </c>
      <c r="Y107" s="22">
        <v>413278.53397983784</v>
      </c>
      <c r="Z107" s="22">
        <v>417112.03032657824</v>
      </c>
      <c r="AA107" s="23">
        <v>403980.57644512644</v>
      </c>
      <c r="AB107" s="97"/>
      <c r="AC107" s="27">
        <v>6</v>
      </c>
      <c r="AD107" s="16">
        <f t="shared" si="11"/>
        <v>47939347.013279423</v>
      </c>
    </row>
    <row r="108" spans="1:30" ht="13.5" thickBot="1" x14ac:dyDescent="0.35">
      <c r="A108" s="18">
        <v>2028</v>
      </c>
      <c r="B108" s="11" t="s">
        <v>45</v>
      </c>
      <c r="C108" s="12" t="s">
        <v>33</v>
      </c>
      <c r="D108" s="21">
        <v>389897.09437793307</v>
      </c>
      <c r="E108" s="22">
        <v>374648.44313768257</v>
      </c>
      <c r="F108" s="22">
        <v>360509.97158497362</v>
      </c>
      <c r="G108" s="22">
        <v>348300.85946708597</v>
      </c>
      <c r="H108" s="22">
        <v>336474.51366636122</v>
      </c>
      <c r="I108" s="22">
        <v>318054.26948495867</v>
      </c>
      <c r="J108" s="22">
        <v>300012.96526139235</v>
      </c>
      <c r="K108" s="22">
        <v>243136.20759909894</v>
      </c>
      <c r="L108" s="22">
        <v>238365.88027827028</v>
      </c>
      <c r="M108" s="22">
        <v>237272.61652740889</v>
      </c>
      <c r="N108" s="22">
        <v>242243.83255657484</v>
      </c>
      <c r="O108" s="22">
        <v>252951.84002720835</v>
      </c>
      <c r="P108" s="22">
        <v>260849.25418910943</v>
      </c>
      <c r="Q108" s="22">
        <v>277832.21764883184</v>
      </c>
      <c r="R108" s="22">
        <v>292039.24701628083</v>
      </c>
      <c r="S108" s="22">
        <v>297282.30272484344</v>
      </c>
      <c r="T108" s="22">
        <v>300084.36979251378</v>
      </c>
      <c r="U108" s="22">
        <v>328960.78403929772</v>
      </c>
      <c r="V108" s="22">
        <v>341028.59625483432</v>
      </c>
      <c r="W108" s="22">
        <v>361947.62869425566</v>
      </c>
      <c r="X108" s="22">
        <v>378861.60644707771</v>
      </c>
      <c r="Y108" s="22">
        <v>395240.76785921451</v>
      </c>
      <c r="Z108" s="22">
        <v>400613.89086416492</v>
      </c>
      <c r="AA108" s="23">
        <v>391008.08453446836</v>
      </c>
      <c r="AB108" s="96">
        <f t="shared" ref="AB108" si="24">+SUM(D108:AA108)*AC108+SUM(D109:AA109)*AC109+SUM(D110:AA110)*AC110</f>
        <v>231478338.09084278</v>
      </c>
      <c r="AC108" s="16">
        <v>20</v>
      </c>
      <c r="AD108" s="16">
        <f t="shared" si="11"/>
        <v>153352344.88067681</v>
      </c>
    </row>
    <row r="109" spans="1:30" ht="13.5" thickBot="1" x14ac:dyDescent="0.35">
      <c r="A109" s="18">
        <v>2028</v>
      </c>
      <c r="B109" s="19" t="s">
        <v>45</v>
      </c>
      <c r="C109" s="20" t="s">
        <v>34</v>
      </c>
      <c r="D109" s="21">
        <v>391022.64984622685</v>
      </c>
      <c r="E109" s="22">
        <v>374533.55246543215</v>
      </c>
      <c r="F109" s="22">
        <v>360044.76460458245</v>
      </c>
      <c r="G109" s="22">
        <v>347419.16270735709</v>
      </c>
      <c r="H109" s="22">
        <v>334966.19875789201</v>
      </c>
      <c r="I109" s="22">
        <v>313981.16993673128</v>
      </c>
      <c r="J109" s="22">
        <v>293627.2503124284</v>
      </c>
      <c r="K109" s="22">
        <v>241201.94233402863</v>
      </c>
      <c r="L109" s="22">
        <v>241686.54888738255</v>
      </c>
      <c r="M109" s="22">
        <v>243477.58501428057</v>
      </c>
      <c r="N109" s="22">
        <v>250820.06492171439</v>
      </c>
      <c r="O109" s="22">
        <v>263102.47545826779</v>
      </c>
      <c r="P109" s="22">
        <v>270757.94889705064</v>
      </c>
      <c r="Q109" s="22">
        <v>294516.50787569018</v>
      </c>
      <c r="R109" s="22">
        <v>310828.88373733492</v>
      </c>
      <c r="S109" s="22">
        <v>314772.20980557456</v>
      </c>
      <c r="T109" s="22">
        <v>315101.76892561727</v>
      </c>
      <c r="U109" s="22">
        <v>337570.82055636856</v>
      </c>
      <c r="V109" s="22">
        <v>346717.3313874153</v>
      </c>
      <c r="W109" s="22">
        <v>368917.47574067663</v>
      </c>
      <c r="X109" s="22">
        <v>388238.25509189413</v>
      </c>
      <c r="Y109" s="22">
        <v>404886.93339209061</v>
      </c>
      <c r="Z109" s="22">
        <v>408651.38859705627</v>
      </c>
      <c r="AA109" s="23">
        <v>395756.43176350393</v>
      </c>
      <c r="AB109" s="97"/>
      <c r="AC109" s="24">
        <v>4</v>
      </c>
      <c r="AD109" s="16">
        <f t="shared" si="11"/>
        <v>31250397.28406639</v>
      </c>
    </row>
    <row r="110" spans="1:30" ht="13.5" thickBot="1" x14ac:dyDescent="0.35">
      <c r="A110" s="18">
        <v>2028</v>
      </c>
      <c r="B110" s="25" t="s">
        <v>45</v>
      </c>
      <c r="C110" s="26" t="s">
        <v>36</v>
      </c>
      <c r="D110" s="21">
        <v>391022.64984622685</v>
      </c>
      <c r="E110" s="22">
        <v>374533.55246543215</v>
      </c>
      <c r="F110" s="22">
        <v>360044.76460458245</v>
      </c>
      <c r="G110" s="22">
        <v>347419.16270735714</v>
      </c>
      <c r="H110" s="22">
        <v>334966.19875789201</v>
      </c>
      <c r="I110" s="22">
        <v>313981.16993673128</v>
      </c>
      <c r="J110" s="22">
        <v>293627.2503124284</v>
      </c>
      <c r="K110" s="22">
        <v>241201.94233402863</v>
      </c>
      <c r="L110" s="22">
        <v>241686.54888738252</v>
      </c>
      <c r="M110" s="22">
        <v>243477.5850142806</v>
      </c>
      <c r="N110" s="22">
        <v>250820.06492171439</v>
      </c>
      <c r="O110" s="22">
        <v>263102.47545826779</v>
      </c>
      <c r="P110" s="22">
        <v>270757.94889705064</v>
      </c>
      <c r="Q110" s="22">
        <v>294516.50787569018</v>
      </c>
      <c r="R110" s="22">
        <v>310828.88373733492</v>
      </c>
      <c r="S110" s="22">
        <v>314772.20980557456</v>
      </c>
      <c r="T110" s="22">
        <v>315101.76892561727</v>
      </c>
      <c r="U110" s="22">
        <v>337570.82055636862</v>
      </c>
      <c r="V110" s="22">
        <v>346717.3313874153</v>
      </c>
      <c r="W110" s="22">
        <v>368917.47574067669</v>
      </c>
      <c r="X110" s="22">
        <v>388238.25509189413</v>
      </c>
      <c r="Y110" s="22">
        <v>404886.93339209066</v>
      </c>
      <c r="Z110" s="22">
        <v>408651.38859705627</v>
      </c>
      <c r="AA110" s="23">
        <v>395756.43176350393</v>
      </c>
      <c r="AB110" s="97"/>
      <c r="AC110" s="27">
        <v>6</v>
      </c>
      <c r="AD110" s="16">
        <f t="shared" si="11"/>
        <v>46875595.926099584</v>
      </c>
    </row>
    <row r="111" spans="1:30" ht="13.5" thickBot="1" x14ac:dyDescent="0.35">
      <c r="A111" s="18">
        <v>2028</v>
      </c>
      <c r="B111" s="11" t="s">
        <v>46</v>
      </c>
      <c r="C111" s="12" t="s">
        <v>33</v>
      </c>
      <c r="D111" s="21">
        <v>388422.06295482541</v>
      </c>
      <c r="E111" s="22">
        <v>372983.36974836775</v>
      </c>
      <c r="F111" s="22">
        <v>358795.6646680088</v>
      </c>
      <c r="G111" s="22">
        <v>346532.9640025355</v>
      </c>
      <c r="H111" s="22">
        <v>334656.58119744441</v>
      </c>
      <c r="I111" s="22">
        <v>315920.36818479729</v>
      </c>
      <c r="J111" s="22">
        <v>297637.21300788439</v>
      </c>
      <c r="K111" s="22">
        <v>241575.68361336301</v>
      </c>
      <c r="L111" s="22">
        <v>237914.1369319275</v>
      </c>
      <c r="M111" s="22">
        <v>237437.25286552182</v>
      </c>
      <c r="N111" s="22">
        <v>242805.00322486318</v>
      </c>
      <c r="O111" s="22">
        <v>253693.07072074583</v>
      </c>
      <c r="P111" s="22">
        <v>261317.87353966021</v>
      </c>
      <c r="Q111" s="22">
        <v>279083.77776597702</v>
      </c>
      <c r="R111" s="22">
        <v>293735.23861263046</v>
      </c>
      <c r="S111" s="22">
        <v>298733.52612619038</v>
      </c>
      <c r="T111" s="22">
        <v>301153.18452886608</v>
      </c>
      <c r="U111" s="22">
        <v>329114.07348749274</v>
      </c>
      <c r="V111" s="22">
        <v>340637.04718049866</v>
      </c>
      <c r="W111" s="22">
        <v>361363.25946210092</v>
      </c>
      <c r="X111" s="22">
        <v>378245.26884170016</v>
      </c>
      <c r="Y111" s="22">
        <v>394405.92431921524</v>
      </c>
      <c r="Z111" s="22">
        <v>399661.43090964336</v>
      </c>
      <c r="AA111" s="23">
        <v>389893.62705657707</v>
      </c>
      <c r="AB111" s="96">
        <f t="shared" ref="AB111" si="25">+SUM(D111:AA111)*AC111+SUM(D112:AA112)*AC112+SUM(D113:AA113)*AC113</f>
        <v>237605142.51943332</v>
      </c>
      <c r="AC111" s="16">
        <v>19</v>
      </c>
      <c r="AD111" s="16">
        <f t="shared" si="11"/>
        <v>145458634.45606589</v>
      </c>
    </row>
    <row r="112" spans="1:30" ht="13.5" thickBot="1" x14ac:dyDescent="0.35">
      <c r="A112" s="18">
        <v>2028</v>
      </c>
      <c r="B112" s="19" t="s">
        <v>46</v>
      </c>
      <c r="C112" s="20" t="s">
        <v>34</v>
      </c>
      <c r="D112" s="21">
        <v>389572.99699814548</v>
      </c>
      <c r="E112" s="22">
        <v>373139.64304511377</v>
      </c>
      <c r="F112" s="22">
        <v>358699.83631893992</v>
      </c>
      <c r="G112" s="22">
        <v>346116.91682640108</v>
      </c>
      <c r="H112" s="22">
        <v>333706.05165774381</v>
      </c>
      <c r="I112" s="22">
        <v>312791.96531519067</v>
      </c>
      <c r="J112" s="22">
        <v>292506.85462700296</v>
      </c>
      <c r="K112" s="22">
        <v>240090.41310373222</v>
      </c>
      <c r="L112" s="22">
        <v>240546.39045043843</v>
      </c>
      <c r="M112" s="22">
        <v>242313.61731551093</v>
      </c>
      <c r="N112" s="22">
        <v>249621.46180582762</v>
      </c>
      <c r="O112" s="22">
        <v>261858.95722074766</v>
      </c>
      <c r="P112" s="22">
        <v>269489.44515739166</v>
      </c>
      <c r="Q112" s="22">
        <v>293172.77689273207</v>
      </c>
      <c r="R112" s="22">
        <v>309439.48257069429</v>
      </c>
      <c r="S112" s="22">
        <v>313386.10515353753</v>
      </c>
      <c r="T112" s="22">
        <v>313741.17574747221</v>
      </c>
      <c r="U112" s="22">
        <v>336251.58528877515</v>
      </c>
      <c r="V112" s="22">
        <v>345367.17521165928</v>
      </c>
      <c r="W112" s="22">
        <v>367492.26923836215</v>
      </c>
      <c r="X112" s="22">
        <v>386747.73231160408</v>
      </c>
      <c r="Y112" s="22">
        <v>403340.12770105409</v>
      </c>
      <c r="Z112" s="22">
        <v>407091.85670082242</v>
      </c>
      <c r="AA112" s="23">
        <v>394240.49285954598</v>
      </c>
      <c r="AB112" s="97"/>
      <c r="AC112" s="24">
        <v>5</v>
      </c>
      <c r="AD112" s="16">
        <f t="shared" si="11"/>
        <v>38903626.647592232</v>
      </c>
    </row>
    <row r="113" spans="1:30" ht="13.5" thickBot="1" x14ac:dyDescent="0.35">
      <c r="A113" s="28">
        <v>2028</v>
      </c>
      <c r="B113" s="25" t="s">
        <v>46</v>
      </c>
      <c r="C113" s="26" t="s">
        <v>36</v>
      </c>
      <c r="D113" s="29">
        <v>377214.77424909855</v>
      </c>
      <c r="E113" s="30">
        <v>365381.1339886483</v>
      </c>
      <c r="F113" s="30">
        <v>354775.37106440123</v>
      </c>
      <c r="G113" s="30">
        <v>344395.09513856017</v>
      </c>
      <c r="H113" s="30">
        <v>333285.1843611612</v>
      </c>
      <c r="I113" s="30">
        <v>315038.32227111206</v>
      </c>
      <c r="J113" s="30">
        <v>295938.21146852436</v>
      </c>
      <c r="K113" s="30">
        <v>239898.28948750117</v>
      </c>
      <c r="L113" s="30">
        <v>237969.27421845941</v>
      </c>
      <c r="M113" s="30">
        <v>238044.60551880774</v>
      </c>
      <c r="N113" s="30">
        <v>243821.19638339925</v>
      </c>
      <c r="O113" s="30">
        <v>254432.32077994835</v>
      </c>
      <c r="P113" s="30">
        <v>261794.82597970965</v>
      </c>
      <c r="Q113" s="30">
        <v>281007.46549447486</v>
      </c>
      <c r="R113" s="30">
        <v>294550.48297188553</v>
      </c>
      <c r="S113" s="30">
        <v>299035.18486165843</v>
      </c>
      <c r="T113" s="30">
        <v>299796.21181631833</v>
      </c>
      <c r="U113" s="30">
        <v>326171.3345735874</v>
      </c>
      <c r="V113" s="30">
        <v>336423.28678163333</v>
      </c>
      <c r="W113" s="30">
        <v>357239.51452031796</v>
      </c>
      <c r="X113" s="30">
        <v>375342.22194741014</v>
      </c>
      <c r="Y113" s="30">
        <v>391909.1083930452</v>
      </c>
      <c r="Z113" s="30">
        <v>396462.37884378998</v>
      </c>
      <c r="AA113" s="31">
        <v>386200.12142585916</v>
      </c>
      <c r="AB113" s="97"/>
      <c r="AC113" s="27">
        <v>7</v>
      </c>
      <c r="AD113" s="16">
        <f t="shared" si="11"/>
        <v>53242881.41577518</v>
      </c>
    </row>
    <row r="114" spans="1:30" ht="13.5" thickBot="1" x14ac:dyDescent="0.35">
      <c r="A114" s="10">
        <v>2029</v>
      </c>
      <c r="B114" s="11" t="s">
        <v>32</v>
      </c>
      <c r="C114" s="12" t="s">
        <v>33</v>
      </c>
      <c r="D114" s="13">
        <v>360103.15952356067</v>
      </c>
      <c r="E114" s="14">
        <v>345071.26814814203</v>
      </c>
      <c r="F114" s="14">
        <v>330916.88034628279</v>
      </c>
      <c r="G114" s="14">
        <v>318307.4233769789</v>
      </c>
      <c r="H114" s="14">
        <v>306622.50446159241</v>
      </c>
      <c r="I114" s="14">
        <v>295188.62573133659</v>
      </c>
      <c r="J114" s="14">
        <v>279472.54696961702</v>
      </c>
      <c r="K114" s="14">
        <v>222382.0043323182</v>
      </c>
      <c r="L114" s="14">
        <v>222525.09788340787</v>
      </c>
      <c r="M114" s="14">
        <v>225459.7351450469</v>
      </c>
      <c r="N114" s="14">
        <v>232171.13233204989</v>
      </c>
      <c r="O114" s="14">
        <v>242384.82292125685</v>
      </c>
      <c r="P114" s="14">
        <v>247715.71539358524</v>
      </c>
      <c r="Q114" s="14">
        <v>262927.22999267332</v>
      </c>
      <c r="R114" s="14">
        <v>278126.21048055467</v>
      </c>
      <c r="S114" s="14">
        <v>283093.9010751638</v>
      </c>
      <c r="T114" s="14">
        <v>281548.86426115024</v>
      </c>
      <c r="U114" s="14">
        <v>303233.39421740448</v>
      </c>
      <c r="V114" s="14">
        <v>317942.57690401498</v>
      </c>
      <c r="W114" s="14">
        <v>330025.86440264381</v>
      </c>
      <c r="X114" s="14">
        <v>343596.81530866108</v>
      </c>
      <c r="Y114" s="14">
        <v>359068.22537465737</v>
      </c>
      <c r="Z114" s="14">
        <v>366579.34155961155</v>
      </c>
      <c r="AA114" s="15">
        <v>360477.6762261368</v>
      </c>
      <c r="AB114" s="96">
        <f t="shared" ref="AB114" si="26">+SUM(D114:AA114)*AC114+SUM(D115:AA115)*AC115+SUM(D116:AA116)*AC116</f>
        <v>221967042.21951401</v>
      </c>
      <c r="AC114" s="16">
        <v>21</v>
      </c>
      <c r="AD114" s="16">
        <f t="shared" si="11"/>
        <v>149413761.34372479</v>
      </c>
    </row>
    <row r="115" spans="1:30" ht="13.5" thickBot="1" x14ac:dyDescent="0.35">
      <c r="A115" s="18">
        <v>2029</v>
      </c>
      <c r="B115" s="19" t="s">
        <v>32</v>
      </c>
      <c r="C115" s="20" t="s">
        <v>34</v>
      </c>
      <c r="D115" s="21">
        <v>362440.94443740632</v>
      </c>
      <c r="E115" s="22">
        <v>346274.77463217138</v>
      </c>
      <c r="F115" s="22">
        <v>331049.04654053249</v>
      </c>
      <c r="G115" s="22">
        <v>318495.38561198581</v>
      </c>
      <c r="H115" s="22">
        <v>306692.46028636739</v>
      </c>
      <c r="I115" s="22">
        <v>294646.18225644541</v>
      </c>
      <c r="J115" s="22">
        <v>279097.30875465018</v>
      </c>
      <c r="K115" s="22">
        <v>225255.47153340233</v>
      </c>
      <c r="L115" s="22">
        <v>231915.6185420985</v>
      </c>
      <c r="M115" s="22">
        <v>237212.89276743171</v>
      </c>
      <c r="N115" s="22">
        <v>244894.30106937443</v>
      </c>
      <c r="O115" s="22">
        <v>256557.01849081833</v>
      </c>
      <c r="P115" s="22">
        <v>263350.2372824325</v>
      </c>
      <c r="Q115" s="22">
        <v>282128.60671249405</v>
      </c>
      <c r="R115" s="22">
        <v>297561.45764378656</v>
      </c>
      <c r="S115" s="22">
        <v>302832.05517288693</v>
      </c>
      <c r="T115" s="22">
        <v>299140.95845540887</v>
      </c>
      <c r="U115" s="22">
        <v>312536.69760653836</v>
      </c>
      <c r="V115" s="22">
        <v>324698.92419699754</v>
      </c>
      <c r="W115" s="22">
        <v>339022.84796458285</v>
      </c>
      <c r="X115" s="22">
        <v>354635.83811096929</v>
      </c>
      <c r="Y115" s="22">
        <v>372288.32435032591</v>
      </c>
      <c r="Z115" s="22">
        <v>379127.33212738275</v>
      </c>
      <c r="AA115" s="23">
        <v>369121.50719931553</v>
      </c>
      <c r="AB115" s="97"/>
      <c r="AC115" s="24">
        <v>4</v>
      </c>
      <c r="AD115" s="16">
        <f t="shared" si="11"/>
        <v>29323904.766983222</v>
      </c>
    </row>
    <row r="116" spans="1:30" ht="13.5" thickBot="1" x14ac:dyDescent="0.35">
      <c r="A116" s="18">
        <v>2029</v>
      </c>
      <c r="B116" s="25" t="s">
        <v>32</v>
      </c>
      <c r="C116" s="26" t="s">
        <v>36</v>
      </c>
      <c r="D116" s="21">
        <v>362490.87971189991</v>
      </c>
      <c r="E116" s="22">
        <v>347435.48936611775</v>
      </c>
      <c r="F116" s="22">
        <v>333367.38859743887</v>
      </c>
      <c r="G116" s="22">
        <v>319889.89050205314</v>
      </c>
      <c r="H116" s="22">
        <v>308476.75728858722</v>
      </c>
      <c r="I116" s="22">
        <v>296900.73847450374</v>
      </c>
      <c r="J116" s="22">
        <v>281288.17880179512</v>
      </c>
      <c r="K116" s="22">
        <v>226469.04469744946</v>
      </c>
      <c r="L116" s="22">
        <v>230399.4056618672</v>
      </c>
      <c r="M116" s="22">
        <v>232660.36970012993</v>
      </c>
      <c r="N116" s="22">
        <v>238883.87086356341</v>
      </c>
      <c r="O116" s="22">
        <v>247324.86131486131</v>
      </c>
      <c r="P116" s="22">
        <v>252121.44712676038</v>
      </c>
      <c r="Q116" s="22">
        <v>269296.83421531826</v>
      </c>
      <c r="R116" s="22">
        <v>284788.2456317051</v>
      </c>
      <c r="S116" s="22">
        <v>290325.0280185013</v>
      </c>
      <c r="T116" s="22">
        <v>288002.29991452541</v>
      </c>
      <c r="U116" s="22">
        <v>304639.56684142019</v>
      </c>
      <c r="V116" s="22">
        <v>319131.08978164685</v>
      </c>
      <c r="W116" s="22">
        <v>331243.68862564745</v>
      </c>
      <c r="X116" s="22">
        <v>345525.16860658408</v>
      </c>
      <c r="Y116" s="22">
        <v>362418.87236871611</v>
      </c>
      <c r="Z116" s="22">
        <v>370533.52938459319</v>
      </c>
      <c r="AA116" s="23">
        <v>361283.37263865024</v>
      </c>
      <c r="AB116" s="97"/>
      <c r="AC116" s="27">
        <v>6</v>
      </c>
      <c r="AD116" s="16">
        <f t="shared" si="11"/>
        <v>43229376.108806014</v>
      </c>
    </row>
    <row r="117" spans="1:30" ht="13.5" thickBot="1" x14ac:dyDescent="0.35">
      <c r="A117" s="18">
        <v>2029</v>
      </c>
      <c r="B117" s="11" t="s">
        <v>35</v>
      </c>
      <c r="C117" s="12" t="s">
        <v>33</v>
      </c>
      <c r="D117" s="21">
        <v>365029.61267479218</v>
      </c>
      <c r="E117" s="22">
        <v>350289.06194166758</v>
      </c>
      <c r="F117" s="22">
        <v>336918.74270250293</v>
      </c>
      <c r="G117" s="22">
        <v>325148.34288301464</v>
      </c>
      <c r="H117" s="22">
        <v>313195.89140654693</v>
      </c>
      <c r="I117" s="22">
        <v>299569.84687579976</v>
      </c>
      <c r="J117" s="22">
        <v>278998.94241013605</v>
      </c>
      <c r="K117" s="22">
        <v>221029.8624012061</v>
      </c>
      <c r="L117" s="22">
        <v>222048.75059236377</v>
      </c>
      <c r="M117" s="22">
        <v>227021.87589085259</v>
      </c>
      <c r="N117" s="22">
        <v>236034.76031845799</v>
      </c>
      <c r="O117" s="22">
        <v>248930.98224145314</v>
      </c>
      <c r="P117" s="22">
        <v>255355.08682934201</v>
      </c>
      <c r="Q117" s="22">
        <v>276002.70810969966</v>
      </c>
      <c r="R117" s="22">
        <v>291183.15131297073</v>
      </c>
      <c r="S117" s="22">
        <v>295066.15124580002</v>
      </c>
      <c r="T117" s="22">
        <v>291742.59068745561</v>
      </c>
      <c r="U117" s="22">
        <v>308988.63819984312</v>
      </c>
      <c r="V117" s="22">
        <v>320182.26226529019</v>
      </c>
      <c r="W117" s="22">
        <v>337132.70388658432</v>
      </c>
      <c r="X117" s="22">
        <v>351713.84855316591</v>
      </c>
      <c r="Y117" s="22">
        <v>367597.64591499424</v>
      </c>
      <c r="Z117" s="22">
        <v>372287.141126798</v>
      </c>
      <c r="AA117" s="23">
        <v>363559.90133519814</v>
      </c>
      <c r="AB117" s="96">
        <f t="shared" ref="AB117" si="27">+SUM(D117:AA117)*AC117+SUM(D118:AA118)*AC118+SUM(D119:AA119)*AC119</f>
        <v>203647496.77203706</v>
      </c>
      <c r="AC117" s="16">
        <v>20</v>
      </c>
      <c r="AD117" s="16">
        <f t="shared" si="11"/>
        <v>145100570.03611875</v>
      </c>
    </row>
    <row r="118" spans="1:30" ht="13.5" thickBot="1" x14ac:dyDescent="0.35">
      <c r="A118" s="18">
        <v>2029</v>
      </c>
      <c r="B118" s="19" t="s">
        <v>35</v>
      </c>
      <c r="C118" s="20" t="s">
        <v>34</v>
      </c>
      <c r="D118" s="21">
        <v>360886.48740919854</v>
      </c>
      <c r="E118" s="22">
        <v>345219.21779406018</v>
      </c>
      <c r="F118" s="22">
        <v>331556.95722270536</v>
      </c>
      <c r="G118" s="22">
        <v>318722.6743472931</v>
      </c>
      <c r="H118" s="22">
        <v>305231.13993876299</v>
      </c>
      <c r="I118" s="22">
        <v>288150.00487751735</v>
      </c>
      <c r="J118" s="22">
        <v>267647.75551763317</v>
      </c>
      <c r="K118" s="22">
        <v>213121.52819126789</v>
      </c>
      <c r="L118" s="22">
        <v>216746.37450467097</v>
      </c>
      <c r="M118" s="22">
        <v>220865.69640374195</v>
      </c>
      <c r="N118" s="22">
        <v>234521.17602001203</v>
      </c>
      <c r="O118" s="22">
        <v>249048.29747423157</v>
      </c>
      <c r="P118" s="22">
        <v>259092.82612732987</v>
      </c>
      <c r="Q118" s="22">
        <v>284976.01208033471</v>
      </c>
      <c r="R118" s="22">
        <v>301989.78838873521</v>
      </c>
      <c r="S118" s="22">
        <v>306190.1302035324</v>
      </c>
      <c r="T118" s="22">
        <v>301888.49694536685</v>
      </c>
      <c r="U118" s="22">
        <v>316297.2303866134</v>
      </c>
      <c r="V118" s="22">
        <v>325715.82171022758</v>
      </c>
      <c r="W118" s="22">
        <v>344858.35013653117</v>
      </c>
      <c r="X118" s="22">
        <v>364261.51507311215</v>
      </c>
      <c r="Y118" s="22">
        <v>381468.96823723312</v>
      </c>
      <c r="Z118" s="22">
        <v>381949.02304892137</v>
      </c>
      <c r="AA118" s="23">
        <v>369706.28768731322</v>
      </c>
      <c r="AB118" s="97"/>
      <c r="AC118" s="24">
        <v>4</v>
      </c>
      <c r="AD118" s="16">
        <f t="shared" si="11"/>
        <v>29160447.03890539</v>
      </c>
    </row>
    <row r="119" spans="1:30" ht="13.5" thickBot="1" x14ac:dyDescent="0.35">
      <c r="A119" s="18">
        <v>2029</v>
      </c>
      <c r="B119" s="25" t="s">
        <v>35</v>
      </c>
      <c r="C119" s="26" t="s">
        <v>36</v>
      </c>
      <c r="D119" s="21">
        <v>366703.1936969338</v>
      </c>
      <c r="E119" s="22">
        <v>351021.0364641262</v>
      </c>
      <c r="F119" s="22">
        <v>337297.76085579203</v>
      </c>
      <c r="G119" s="22">
        <v>324700.50267965515</v>
      </c>
      <c r="H119" s="22">
        <v>312284.07449495827</v>
      </c>
      <c r="I119" s="22">
        <v>296159.68144340737</v>
      </c>
      <c r="J119" s="22">
        <v>272476.63405495207</v>
      </c>
      <c r="K119" s="22">
        <v>214548.83841528225</v>
      </c>
      <c r="L119" s="22">
        <v>218000.29607715513</v>
      </c>
      <c r="M119" s="22">
        <v>222625.74957362306</v>
      </c>
      <c r="N119" s="22">
        <v>234775.66984492276</v>
      </c>
      <c r="O119" s="22">
        <v>248937.41311523254</v>
      </c>
      <c r="P119" s="22">
        <v>256814.66608629681</v>
      </c>
      <c r="Q119" s="22">
        <v>283662.57163941313</v>
      </c>
      <c r="R119" s="22">
        <v>302415.77769349655</v>
      </c>
      <c r="S119" s="22">
        <v>306543.16771278909</v>
      </c>
      <c r="T119" s="22">
        <v>303609.25174245081</v>
      </c>
      <c r="U119" s="22">
        <v>315827.69615807815</v>
      </c>
      <c r="V119" s="22">
        <v>326236.2306070372</v>
      </c>
      <c r="W119" s="22">
        <v>346365.61501488229</v>
      </c>
      <c r="X119" s="22">
        <v>364933.14266264217</v>
      </c>
      <c r="Y119" s="22">
        <v>382816.23196290142</v>
      </c>
      <c r="Z119" s="22">
        <v>384490.02780673996</v>
      </c>
      <c r="AA119" s="23">
        <v>373374.6944504616</v>
      </c>
      <c r="AB119" s="97"/>
      <c r="AC119" s="27">
        <v>4</v>
      </c>
      <c r="AD119" s="16">
        <f t="shared" si="11"/>
        <v>29386479.697012924</v>
      </c>
    </row>
    <row r="120" spans="1:30" ht="13.5" thickBot="1" x14ac:dyDescent="0.35">
      <c r="A120" s="18">
        <v>2029</v>
      </c>
      <c r="B120" s="11" t="s">
        <v>37</v>
      </c>
      <c r="C120" s="12" t="s">
        <v>33</v>
      </c>
      <c r="D120" s="21">
        <v>383313.10640056443</v>
      </c>
      <c r="E120" s="22">
        <v>368955.02187362016</v>
      </c>
      <c r="F120" s="22">
        <v>355695.09113424318</v>
      </c>
      <c r="G120" s="22">
        <v>343811.97241195006</v>
      </c>
      <c r="H120" s="22">
        <v>331849.72035713639</v>
      </c>
      <c r="I120" s="22">
        <v>315685.82595885661</v>
      </c>
      <c r="J120" s="22">
        <v>293994.72820350452</v>
      </c>
      <c r="K120" s="22">
        <v>238320.32288739481</v>
      </c>
      <c r="L120" s="22">
        <v>237563.4324308169</v>
      </c>
      <c r="M120" s="22">
        <v>241242.08124916907</v>
      </c>
      <c r="N120" s="22">
        <v>249344.92572661387</v>
      </c>
      <c r="O120" s="22">
        <v>261161.97285141717</v>
      </c>
      <c r="P120" s="22">
        <v>270642.18664438406</v>
      </c>
      <c r="Q120" s="22">
        <v>289703.65531277261</v>
      </c>
      <c r="R120" s="22">
        <v>304471.65386423108</v>
      </c>
      <c r="S120" s="22">
        <v>308577.96171869553</v>
      </c>
      <c r="T120" s="22">
        <v>306998.09658167744</v>
      </c>
      <c r="U120" s="22">
        <v>325223.56136146508</v>
      </c>
      <c r="V120" s="22">
        <v>336798.08387875091</v>
      </c>
      <c r="W120" s="22">
        <v>354654.14370618679</v>
      </c>
      <c r="X120" s="22">
        <v>369118.26608369476</v>
      </c>
      <c r="Y120" s="22">
        <v>385380.91568841023</v>
      </c>
      <c r="Z120" s="22">
        <v>391484.45949567837</v>
      </c>
      <c r="AA120" s="23">
        <v>383963.70820167783</v>
      </c>
      <c r="AB120" s="96">
        <f t="shared" ref="AB120" si="28">+SUM(D120:AA120)*AC120+SUM(D121:AA121)*AC121+SUM(D122:AA122)*AC122</f>
        <v>237478012.2479443</v>
      </c>
      <c r="AC120" s="16">
        <v>19</v>
      </c>
      <c r="AD120" s="16">
        <f t="shared" si="11"/>
        <v>145311142.98643529</v>
      </c>
    </row>
    <row r="121" spans="1:30" ht="13.5" thickBot="1" x14ac:dyDescent="0.35">
      <c r="A121" s="18">
        <v>2029</v>
      </c>
      <c r="B121" s="19" t="s">
        <v>37</v>
      </c>
      <c r="C121" s="20" t="s">
        <v>34</v>
      </c>
      <c r="D121" s="21">
        <v>379670.28925444675</v>
      </c>
      <c r="E121" s="22">
        <v>365169.81042905338</v>
      </c>
      <c r="F121" s="22">
        <v>353090.51798850915</v>
      </c>
      <c r="G121" s="22">
        <v>341102.5919382539</v>
      </c>
      <c r="H121" s="22">
        <v>328734.90014958294</v>
      </c>
      <c r="I121" s="22">
        <v>310394.11856320145</v>
      </c>
      <c r="J121" s="22">
        <v>287521.00816238474</v>
      </c>
      <c r="K121" s="22">
        <v>235610.48617048314</v>
      </c>
      <c r="L121" s="22">
        <v>237543.38420315823</v>
      </c>
      <c r="M121" s="22">
        <v>242598.04331625477</v>
      </c>
      <c r="N121" s="22">
        <v>253559.25055973916</v>
      </c>
      <c r="O121" s="22">
        <v>265902.13277545106</v>
      </c>
      <c r="P121" s="22">
        <v>272347.86011404626</v>
      </c>
      <c r="Q121" s="22">
        <v>295471.64019923221</v>
      </c>
      <c r="R121" s="22">
        <v>310663.96674463246</v>
      </c>
      <c r="S121" s="22">
        <v>315036.62171821896</v>
      </c>
      <c r="T121" s="22">
        <v>313053.52901201567</v>
      </c>
      <c r="U121" s="22">
        <v>327899.31812196574</v>
      </c>
      <c r="V121" s="22">
        <v>337303.3770472199</v>
      </c>
      <c r="W121" s="22">
        <v>358569.78539222473</v>
      </c>
      <c r="X121" s="22">
        <v>375806.13893172046</v>
      </c>
      <c r="Y121" s="22">
        <v>391631.25405641162</v>
      </c>
      <c r="Z121" s="22">
        <v>394094.96799309191</v>
      </c>
      <c r="AA121" s="23">
        <v>381601.31175778143</v>
      </c>
      <c r="AB121" s="97"/>
      <c r="AC121" s="24">
        <v>5</v>
      </c>
      <c r="AD121" s="16">
        <f t="shared" si="11"/>
        <v>38371881.522995412</v>
      </c>
    </row>
    <row r="122" spans="1:30" ht="13.5" thickBot="1" x14ac:dyDescent="0.35">
      <c r="A122" s="18">
        <v>2029</v>
      </c>
      <c r="B122" s="25" t="s">
        <v>37</v>
      </c>
      <c r="C122" s="26" t="s">
        <v>36</v>
      </c>
      <c r="D122" s="21">
        <v>379802.00822784618</v>
      </c>
      <c r="E122" s="22">
        <v>365863.08943430003</v>
      </c>
      <c r="F122" s="22">
        <v>352174.64091097284</v>
      </c>
      <c r="G122" s="22">
        <v>340349.33470177447</v>
      </c>
      <c r="H122" s="22">
        <v>328236.32654771407</v>
      </c>
      <c r="I122" s="22">
        <v>309968.54795688443</v>
      </c>
      <c r="J122" s="22">
        <v>284808.65222619061</v>
      </c>
      <c r="K122" s="22">
        <v>230763.53109759715</v>
      </c>
      <c r="L122" s="22">
        <v>234615.84955727481</v>
      </c>
      <c r="M122" s="22">
        <v>240894.9833942249</v>
      </c>
      <c r="N122" s="22">
        <v>251740.26225154666</v>
      </c>
      <c r="O122" s="22">
        <v>266053.49524093891</v>
      </c>
      <c r="P122" s="22">
        <v>274772.32068178558</v>
      </c>
      <c r="Q122" s="22">
        <v>298383.81751769409</v>
      </c>
      <c r="R122" s="22">
        <v>313045.17172115028</v>
      </c>
      <c r="S122" s="22">
        <v>316334.264821922</v>
      </c>
      <c r="T122" s="22">
        <v>314470.5693506063</v>
      </c>
      <c r="U122" s="22">
        <v>328313.83989861736</v>
      </c>
      <c r="V122" s="22">
        <v>337256.31577395432</v>
      </c>
      <c r="W122" s="22">
        <v>359346.04911271436</v>
      </c>
      <c r="X122" s="22">
        <v>376893.03101834853</v>
      </c>
      <c r="Y122" s="22">
        <v>394961.49434601702</v>
      </c>
      <c r="Z122" s="22">
        <v>399113.80646703969</v>
      </c>
      <c r="AA122" s="23">
        <v>386836.84610197146</v>
      </c>
      <c r="AB122" s="97"/>
      <c r="AC122" s="27">
        <v>7</v>
      </c>
      <c r="AD122" s="16">
        <f t="shared" si="11"/>
        <v>53794987.738513604</v>
      </c>
    </row>
    <row r="123" spans="1:30" ht="13.5" thickBot="1" x14ac:dyDescent="0.35">
      <c r="A123" s="18">
        <v>2029</v>
      </c>
      <c r="B123" s="11" t="s">
        <v>38</v>
      </c>
      <c r="C123" s="12" t="s">
        <v>33</v>
      </c>
      <c r="D123" s="21">
        <v>373961.77778930904</v>
      </c>
      <c r="E123" s="22">
        <v>359285.40339277731</v>
      </c>
      <c r="F123" s="22">
        <v>345715.9770743082</v>
      </c>
      <c r="G123" s="22">
        <v>333992.94691568281</v>
      </c>
      <c r="H123" s="22">
        <v>322627.60402896791</v>
      </c>
      <c r="I123" s="22">
        <v>304849.39125487086</v>
      </c>
      <c r="J123" s="22">
        <v>287447.34535935166</v>
      </c>
      <c r="K123" s="22">
        <v>233402.53928443755</v>
      </c>
      <c r="L123" s="22">
        <v>228629.44045035396</v>
      </c>
      <c r="M123" s="22">
        <v>227421.62184454553</v>
      </c>
      <c r="N123" s="22">
        <v>232134.27820786493</v>
      </c>
      <c r="O123" s="22">
        <v>242414.92008669054</v>
      </c>
      <c r="P123" s="22">
        <v>249983.21110560888</v>
      </c>
      <c r="Q123" s="22">
        <v>266667.91037239775</v>
      </c>
      <c r="R123" s="22">
        <v>280551.44192416361</v>
      </c>
      <c r="S123" s="22">
        <v>285796.94110112346</v>
      </c>
      <c r="T123" s="22">
        <v>288817.55421760661</v>
      </c>
      <c r="U123" s="22">
        <v>315135.83045500563</v>
      </c>
      <c r="V123" s="22">
        <v>326561.40066324954</v>
      </c>
      <c r="W123" s="22">
        <v>346665.96576744725</v>
      </c>
      <c r="X123" s="22">
        <v>362985.06574910972</v>
      </c>
      <c r="Y123" s="22">
        <v>378692.42709357821</v>
      </c>
      <c r="Z123" s="22">
        <v>383768.91973449581</v>
      </c>
      <c r="AA123" s="23">
        <v>374411.55203449877</v>
      </c>
      <c r="AB123" s="96">
        <f t="shared" ref="AB123" si="29">+SUM(D123:AA123)*AC123+SUM(D124:AA124)*AC124+SUM(D125:AA125)*AC125</f>
        <v>221980933.65968776</v>
      </c>
      <c r="AC123" s="16">
        <v>21</v>
      </c>
      <c r="AD123" s="16">
        <f t="shared" si="11"/>
        <v>154390350.7840564</v>
      </c>
    </row>
    <row r="124" spans="1:30" ht="13.5" thickBot="1" x14ac:dyDescent="0.35">
      <c r="A124" s="18">
        <v>2029</v>
      </c>
      <c r="B124" s="19" t="s">
        <v>38</v>
      </c>
      <c r="C124" s="20" t="s">
        <v>34</v>
      </c>
      <c r="D124" s="21">
        <v>376161.6193269717</v>
      </c>
      <c r="E124" s="22">
        <v>360311.95665204804</v>
      </c>
      <c r="F124" s="22">
        <v>346385.03300912795</v>
      </c>
      <c r="G124" s="22">
        <v>334249.04238953372</v>
      </c>
      <c r="H124" s="22">
        <v>322278.99494885956</v>
      </c>
      <c r="I124" s="22">
        <v>302107.74964914127</v>
      </c>
      <c r="J124" s="22">
        <v>282543.13960969448</v>
      </c>
      <c r="K124" s="22">
        <v>232558.73160154754</v>
      </c>
      <c r="L124" s="22">
        <v>232598.65434411407</v>
      </c>
      <c r="M124" s="22">
        <v>234040.08730927444</v>
      </c>
      <c r="N124" s="22">
        <v>240942.98757972528</v>
      </c>
      <c r="O124" s="22">
        <v>252695.55854307901</v>
      </c>
      <c r="P124" s="22">
        <v>260068.27713891424</v>
      </c>
      <c r="Q124" s="22">
        <v>282985.83613811748</v>
      </c>
      <c r="R124" s="22">
        <v>298815.14972317609</v>
      </c>
      <c r="S124" s="22">
        <v>302867.92129993287</v>
      </c>
      <c r="T124" s="22">
        <v>303604.82670378737</v>
      </c>
      <c r="U124" s="22">
        <v>324037.82239536504</v>
      </c>
      <c r="V124" s="22">
        <v>332829.63846490183</v>
      </c>
      <c r="W124" s="22">
        <v>354168.8780368407</v>
      </c>
      <c r="X124" s="22">
        <v>372740.41220038437</v>
      </c>
      <c r="Y124" s="22">
        <v>388743.46736753901</v>
      </c>
      <c r="Z124" s="22">
        <v>392361.93985124567</v>
      </c>
      <c r="AA124" s="23">
        <v>379967.03967571771</v>
      </c>
      <c r="AB124" s="97"/>
      <c r="AC124" s="24">
        <v>4</v>
      </c>
      <c r="AD124" s="16">
        <f t="shared" si="11"/>
        <v>30040259.055836156</v>
      </c>
    </row>
    <row r="125" spans="1:30" ht="13.5" thickBot="1" x14ac:dyDescent="0.35">
      <c r="A125" s="18">
        <v>2029</v>
      </c>
      <c r="B125" s="25" t="s">
        <v>38</v>
      </c>
      <c r="C125" s="26" t="s">
        <v>36</v>
      </c>
      <c r="D125" s="21">
        <v>376161.6193269717</v>
      </c>
      <c r="E125" s="22">
        <v>360311.95665204804</v>
      </c>
      <c r="F125" s="22">
        <v>346385.03300912795</v>
      </c>
      <c r="G125" s="22">
        <v>334249.04238953372</v>
      </c>
      <c r="H125" s="22">
        <v>322278.99494885956</v>
      </c>
      <c r="I125" s="22">
        <v>302107.74964914127</v>
      </c>
      <c r="J125" s="22">
        <v>282543.13960969448</v>
      </c>
      <c r="K125" s="22">
        <v>232558.73160154754</v>
      </c>
      <c r="L125" s="22">
        <v>232598.65434411407</v>
      </c>
      <c r="M125" s="22">
        <v>234040.08730927444</v>
      </c>
      <c r="N125" s="22">
        <v>240942.98757972528</v>
      </c>
      <c r="O125" s="22">
        <v>252695.55854307901</v>
      </c>
      <c r="P125" s="22">
        <v>260068.27713891427</v>
      </c>
      <c r="Q125" s="22">
        <v>282985.83613811748</v>
      </c>
      <c r="R125" s="22">
        <v>298815.14972317609</v>
      </c>
      <c r="S125" s="22">
        <v>302867.92129993287</v>
      </c>
      <c r="T125" s="22">
        <v>303604.82670378737</v>
      </c>
      <c r="U125" s="22">
        <v>324037.82239536504</v>
      </c>
      <c r="V125" s="22">
        <v>332829.63846490183</v>
      </c>
      <c r="W125" s="22">
        <v>354168.8780368407</v>
      </c>
      <c r="X125" s="22">
        <v>372740.41220038437</v>
      </c>
      <c r="Y125" s="22">
        <v>388743.46736753901</v>
      </c>
      <c r="Z125" s="22">
        <v>392361.93985124567</v>
      </c>
      <c r="AA125" s="23">
        <v>379967.03967571771</v>
      </c>
      <c r="AB125" s="97"/>
      <c r="AC125" s="27">
        <v>5</v>
      </c>
      <c r="AD125" s="16">
        <f t="shared" si="11"/>
        <v>37550323.819795191</v>
      </c>
    </row>
    <row r="126" spans="1:30" ht="13.5" thickBot="1" x14ac:dyDescent="0.35">
      <c r="A126" s="18">
        <v>2029</v>
      </c>
      <c r="B126" s="11" t="s">
        <v>39</v>
      </c>
      <c r="C126" s="12" t="s">
        <v>33</v>
      </c>
      <c r="D126" s="21">
        <v>383743.30137583951</v>
      </c>
      <c r="E126" s="22">
        <v>368490.76710276667</v>
      </c>
      <c r="F126" s="22">
        <v>354481.50872033183</v>
      </c>
      <c r="G126" s="22">
        <v>342376.7794282331</v>
      </c>
      <c r="H126" s="22">
        <v>330676.80122524081</v>
      </c>
      <c r="I126" s="22">
        <v>312213.2616618647</v>
      </c>
      <c r="J126" s="22">
        <v>294222.74328622286</v>
      </c>
      <c r="K126" s="22">
        <v>240847.65628051994</v>
      </c>
      <c r="L126" s="22">
        <v>237365.38341028267</v>
      </c>
      <c r="M126" s="22">
        <v>236961.86284858268</v>
      </c>
      <c r="N126" s="22">
        <v>242260.87258109139</v>
      </c>
      <c r="O126" s="22">
        <v>252966.80035385516</v>
      </c>
      <c r="P126" s="22">
        <v>260337.47017211161</v>
      </c>
      <c r="Q126" s="22">
        <v>277763.69006300421</v>
      </c>
      <c r="R126" s="22">
        <v>292362.95563995122</v>
      </c>
      <c r="S126" s="22">
        <v>297323.79934389127</v>
      </c>
      <c r="T126" s="22">
        <v>299798.61076789477</v>
      </c>
      <c r="U126" s="22">
        <v>325192.91719054157</v>
      </c>
      <c r="V126" s="22">
        <v>336489.34041944693</v>
      </c>
      <c r="W126" s="22">
        <v>356697.72970672941</v>
      </c>
      <c r="X126" s="22">
        <v>373108.22646414593</v>
      </c>
      <c r="Y126" s="22">
        <v>388890.88874190545</v>
      </c>
      <c r="Z126" s="22">
        <v>394159.87014530553</v>
      </c>
      <c r="AA126" s="23">
        <v>384729.64442972734</v>
      </c>
      <c r="AB126" s="96">
        <f t="shared" ref="AB126" si="30">+SUM(D126:AA126)*AC126+SUM(D127:AA127)*AC127+SUM(D128:AA128)*AC128</f>
        <v>236310558.17364123</v>
      </c>
      <c r="AC126" s="16">
        <v>21</v>
      </c>
      <c r="AD126" s="16">
        <f t="shared" si="11"/>
        <v>159252720.50854921</v>
      </c>
    </row>
    <row r="127" spans="1:30" ht="13.5" thickBot="1" x14ac:dyDescent="0.35">
      <c r="A127" s="18">
        <v>2029</v>
      </c>
      <c r="B127" s="19" t="s">
        <v>39</v>
      </c>
      <c r="C127" s="20" t="s">
        <v>34</v>
      </c>
      <c r="D127" s="21">
        <v>384925.47662501142</v>
      </c>
      <c r="E127" s="22">
        <v>368738.81778796174</v>
      </c>
      <c r="F127" s="22">
        <v>354515.77933716564</v>
      </c>
      <c r="G127" s="22">
        <v>342121.75279931369</v>
      </c>
      <c r="H127" s="22">
        <v>329897.19773089344</v>
      </c>
      <c r="I127" s="22">
        <v>309297.07060632342</v>
      </c>
      <c r="J127" s="22">
        <v>289316.47704520752</v>
      </c>
      <c r="K127" s="22">
        <v>239430.789265339</v>
      </c>
      <c r="L127" s="22">
        <v>239756.13301805532</v>
      </c>
      <c r="M127" s="22">
        <v>241415.40332378063</v>
      </c>
      <c r="N127" s="22">
        <v>248568.5369695219</v>
      </c>
      <c r="O127" s="22">
        <v>260606.76394660215</v>
      </c>
      <c r="P127" s="22">
        <v>268126.80779444962</v>
      </c>
      <c r="Q127" s="22">
        <v>291477.95993320999</v>
      </c>
      <c r="R127" s="22">
        <v>307543.93112810212</v>
      </c>
      <c r="S127" s="22">
        <v>311507.56590383337</v>
      </c>
      <c r="T127" s="22">
        <v>311979.41917514504</v>
      </c>
      <c r="U127" s="22">
        <v>332013.24191944744</v>
      </c>
      <c r="V127" s="22">
        <v>340991.9899341187</v>
      </c>
      <c r="W127" s="22">
        <v>362784.94527187047</v>
      </c>
      <c r="X127" s="22">
        <v>381751.34813806531</v>
      </c>
      <c r="Y127" s="22">
        <v>398094.66090465453</v>
      </c>
      <c r="Z127" s="22">
        <v>401790.06949512759</v>
      </c>
      <c r="AA127" s="23">
        <v>389131.62845600164</v>
      </c>
      <c r="AB127" s="97"/>
      <c r="AC127" s="24">
        <v>4</v>
      </c>
      <c r="AD127" s="16">
        <f t="shared" si="11"/>
        <v>30823135.066036806</v>
      </c>
    </row>
    <row r="128" spans="1:30" ht="13.5" thickBot="1" x14ac:dyDescent="0.35">
      <c r="A128" s="18">
        <v>2029</v>
      </c>
      <c r="B128" s="25" t="s">
        <v>39</v>
      </c>
      <c r="C128" s="26" t="s">
        <v>36</v>
      </c>
      <c r="D128" s="21">
        <v>384925.47662501136</v>
      </c>
      <c r="E128" s="22">
        <v>368738.81778796174</v>
      </c>
      <c r="F128" s="22">
        <v>354515.77933716564</v>
      </c>
      <c r="G128" s="22">
        <v>342121.75279931369</v>
      </c>
      <c r="H128" s="22">
        <v>329897.19773089344</v>
      </c>
      <c r="I128" s="22">
        <v>309297.07060632342</v>
      </c>
      <c r="J128" s="22">
        <v>289316.47704520752</v>
      </c>
      <c r="K128" s="22">
        <v>239430.789265339</v>
      </c>
      <c r="L128" s="22">
        <v>239756.13301805532</v>
      </c>
      <c r="M128" s="22">
        <v>241415.40332378066</v>
      </c>
      <c r="N128" s="22">
        <v>248568.53696952193</v>
      </c>
      <c r="O128" s="22">
        <v>260606.76394660215</v>
      </c>
      <c r="P128" s="22">
        <v>268126.80779444962</v>
      </c>
      <c r="Q128" s="22">
        <v>291477.95993320999</v>
      </c>
      <c r="R128" s="22">
        <v>307543.93112810212</v>
      </c>
      <c r="S128" s="22">
        <v>311507.56590383337</v>
      </c>
      <c r="T128" s="22">
        <v>311979.41917514504</v>
      </c>
      <c r="U128" s="22">
        <v>332013.24191944744</v>
      </c>
      <c r="V128" s="22">
        <v>340991.9899341187</v>
      </c>
      <c r="W128" s="22">
        <v>362784.94527187053</v>
      </c>
      <c r="X128" s="22">
        <v>381751.34813806531</v>
      </c>
      <c r="Y128" s="22">
        <v>398094.66090465453</v>
      </c>
      <c r="Z128" s="22">
        <v>401790.06949512759</v>
      </c>
      <c r="AA128" s="23">
        <v>389131.62845600164</v>
      </c>
      <c r="AB128" s="97"/>
      <c r="AC128" s="27">
        <v>6</v>
      </c>
      <c r="AD128" s="16">
        <f t="shared" si="11"/>
        <v>46234702.599055208</v>
      </c>
    </row>
    <row r="129" spans="1:30" ht="13.5" thickBot="1" x14ac:dyDescent="0.35">
      <c r="A129" s="18">
        <v>2029</v>
      </c>
      <c r="B129" s="11" t="s">
        <v>40</v>
      </c>
      <c r="C129" s="12" t="s">
        <v>33</v>
      </c>
      <c r="D129" s="21">
        <v>390166.33858464501</v>
      </c>
      <c r="E129" s="22">
        <v>375037.36236894556</v>
      </c>
      <c r="F129" s="22">
        <v>360966.29926580115</v>
      </c>
      <c r="G129" s="22">
        <v>348821.48533854372</v>
      </c>
      <c r="H129" s="22">
        <v>337068.94733782002</v>
      </c>
      <c r="I129" s="22">
        <v>318849.9408296615</v>
      </c>
      <c r="J129" s="22">
        <v>300994.27042938472</v>
      </c>
      <c r="K129" s="22">
        <v>246363.46676945663</v>
      </c>
      <c r="L129" s="22">
        <v>241268.56082566033</v>
      </c>
      <c r="M129" s="22">
        <v>239986.32607263356</v>
      </c>
      <c r="N129" s="22">
        <v>244792.81454582806</v>
      </c>
      <c r="O129" s="22">
        <v>255373.27521091257</v>
      </c>
      <c r="P129" s="22">
        <v>263262.41224216315</v>
      </c>
      <c r="Q129" s="22">
        <v>279832.61711511528</v>
      </c>
      <c r="R129" s="22">
        <v>293892.07625272998</v>
      </c>
      <c r="S129" s="22">
        <v>299219.48352230655</v>
      </c>
      <c r="T129" s="22">
        <v>302195.88625326927</v>
      </c>
      <c r="U129" s="22">
        <v>328804.87733542483</v>
      </c>
      <c r="V129" s="22">
        <v>340991.78676013683</v>
      </c>
      <c r="W129" s="22">
        <v>361776.05700280587</v>
      </c>
      <c r="X129" s="22">
        <v>378507.99609208805</v>
      </c>
      <c r="Y129" s="22">
        <v>394820.76378663001</v>
      </c>
      <c r="Z129" s="22">
        <v>400260.75763959123</v>
      </c>
      <c r="AA129" s="23">
        <v>390860.90659618843</v>
      </c>
      <c r="AB129" s="96">
        <f t="shared" ref="AB129" si="31">+SUM(D129:AA129)*AC129+SUM(D130:AA130)*AC130+SUM(D131:AA131)*AC131</f>
        <v>232129094.49215773</v>
      </c>
      <c r="AC129" s="16">
        <v>19</v>
      </c>
      <c r="AD129" s="16">
        <f t="shared" si="11"/>
        <v>146188179.4553771</v>
      </c>
    </row>
    <row r="130" spans="1:30" ht="13.5" thickBot="1" x14ac:dyDescent="0.35">
      <c r="A130" s="18">
        <v>2029</v>
      </c>
      <c r="B130" s="19" t="s">
        <v>40</v>
      </c>
      <c r="C130" s="20" t="s">
        <v>34</v>
      </c>
      <c r="D130" s="21">
        <v>388784.17350089049</v>
      </c>
      <c r="E130" s="22">
        <v>372449.13638772856</v>
      </c>
      <c r="F130" s="22">
        <v>358095.71958352096</v>
      </c>
      <c r="G130" s="22">
        <v>345588.08069921186</v>
      </c>
      <c r="H130" s="22">
        <v>333251.46677877306</v>
      </c>
      <c r="I130" s="22">
        <v>312462.50443000946</v>
      </c>
      <c r="J130" s="22">
        <v>292298.75472418522</v>
      </c>
      <c r="K130" s="22">
        <v>242327.14965827874</v>
      </c>
      <c r="L130" s="22">
        <v>242682.73804719938</v>
      </c>
      <c r="M130" s="22">
        <v>244375.15133937812</v>
      </c>
      <c r="N130" s="22">
        <v>251603.76755142928</v>
      </c>
      <c r="O130" s="22">
        <v>263755.772397255</v>
      </c>
      <c r="P130" s="22">
        <v>271343.84647883882</v>
      </c>
      <c r="Q130" s="22">
        <v>294903.90898085316</v>
      </c>
      <c r="R130" s="22">
        <v>311107.58105717332</v>
      </c>
      <c r="S130" s="22">
        <v>315090.75470089779</v>
      </c>
      <c r="T130" s="22">
        <v>315540.04002199171</v>
      </c>
      <c r="U130" s="22">
        <v>335524.79229673243</v>
      </c>
      <c r="V130" s="22">
        <v>344585.84581777646</v>
      </c>
      <c r="W130" s="22">
        <v>366578.5706803549</v>
      </c>
      <c r="X130" s="22">
        <v>385718.83290750079</v>
      </c>
      <c r="Y130" s="22">
        <v>402211.95995007403</v>
      </c>
      <c r="Z130" s="22">
        <v>405941.24324944807</v>
      </c>
      <c r="AA130" s="23">
        <v>393166.76605495706</v>
      </c>
      <c r="AB130" s="97"/>
      <c r="AC130" s="24">
        <v>5</v>
      </c>
      <c r="AD130" s="16">
        <f t="shared" si="11"/>
        <v>38946942.786472291</v>
      </c>
    </row>
    <row r="131" spans="1:30" ht="13.5" thickBot="1" x14ac:dyDescent="0.35">
      <c r="A131" s="18">
        <v>2029</v>
      </c>
      <c r="B131" s="25" t="s">
        <v>40</v>
      </c>
      <c r="C131" s="26" t="s">
        <v>36</v>
      </c>
      <c r="D131" s="21">
        <v>390712.14235795365</v>
      </c>
      <c r="E131" s="22">
        <v>374302.96915568929</v>
      </c>
      <c r="F131" s="22">
        <v>359884.40978830593</v>
      </c>
      <c r="G131" s="22">
        <v>347320.00535003055</v>
      </c>
      <c r="H131" s="22">
        <v>334927.40206743166</v>
      </c>
      <c r="I131" s="22">
        <v>314044.0896198983</v>
      </c>
      <c r="J131" s="22">
        <v>293788.82732463366</v>
      </c>
      <c r="K131" s="22">
        <v>243833.08657581845</v>
      </c>
      <c r="L131" s="22">
        <v>244247.14800445709</v>
      </c>
      <c r="M131" s="22">
        <v>245984.64384732788</v>
      </c>
      <c r="N131" s="22">
        <v>253266.73957232726</v>
      </c>
      <c r="O131" s="22">
        <v>265481.04347159318</v>
      </c>
      <c r="P131" s="22">
        <v>273101.67087937781</v>
      </c>
      <c r="Q131" s="22">
        <v>296757.93427083507</v>
      </c>
      <c r="R131" s="22">
        <v>313015.18444907077</v>
      </c>
      <c r="S131" s="22">
        <v>316981.40823043074</v>
      </c>
      <c r="T131" s="22">
        <v>317376.64304546075</v>
      </c>
      <c r="U131" s="22">
        <v>337279.31201807508</v>
      </c>
      <c r="V131" s="22">
        <v>346381.48886602349</v>
      </c>
      <c r="W131" s="22">
        <v>368474.02706840169</v>
      </c>
      <c r="X131" s="22">
        <v>387701.15681694256</v>
      </c>
      <c r="Y131" s="22">
        <v>404269.13743514806</v>
      </c>
      <c r="Z131" s="22">
        <v>408015.34597791493</v>
      </c>
      <c r="AA131" s="23">
        <v>395182.89219157613</v>
      </c>
      <c r="AB131" s="97"/>
      <c r="AC131" s="27">
        <v>6</v>
      </c>
      <c r="AD131" s="16">
        <f t="shared" si="11"/>
        <v>46993972.250308342</v>
      </c>
    </row>
    <row r="132" spans="1:30" ht="13.5" thickBot="1" x14ac:dyDescent="0.35">
      <c r="A132" s="18">
        <v>2029</v>
      </c>
      <c r="B132" s="11" t="s">
        <v>41</v>
      </c>
      <c r="C132" s="12" t="s">
        <v>33</v>
      </c>
      <c r="D132" s="21">
        <v>379835.88116740249</v>
      </c>
      <c r="E132" s="22">
        <v>364581.11468051968</v>
      </c>
      <c r="F132" s="22">
        <v>350673.61058561254</v>
      </c>
      <c r="G132" s="22">
        <v>338640.03150491521</v>
      </c>
      <c r="H132" s="22">
        <v>326969.78355696669</v>
      </c>
      <c r="I132" s="22">
        <v>308342.42427081894</v>
      </c>
      <c r="J132" s="22">
        <v>290207.49064215814</v>
      </c>
      <c r="K132" s="22">
        <v>237312.0847135472</v>
      </c>
      <c r="L132" s="22">
        <v>234297.44331613524</v>
      </c>
      <c r="M132" s="22">
        <v>234111.74098980133</v>
      </c>
      <c r="N132" s="22">
        <v>239591.75526695373</v>
      </c>
      <c r="O132" s="22">
        <v>250384.53672710765</v>
      </c>
      <c r="P132" s="22">
        <v>257711.02202296321</v>
      </c>
      <c r="Q132" s="22">
        <v>275953.76253511693</v>
      </c>
      <c r="R132" s="22">
        <v>290712.98905279057</v>
      </c>
      <c r="S132" s="22">
        <v>295577.17894086364</v>
      </c>
      <c r="T132" s="22">
        <v>297885.74501728587</v>
      </c>
      <c r="U132" s="22">
        <v>322621.84587715811</v>
      </c>
      <c r="V132" s="22">
        <v>333434.10761943407</v>
      </c>
      <c r="W132" s="22">
        <v>353696.89971892547</v>
      </c>
      <c r="X132" s="22">
        <v>370355.0155526218</v>
      </c>
      <c r="Y132" s="22">
        <v>386071.64950882283</v>
      </c>
      <c r="Z132" s="22">
        <v>391037.45943542244</v>
      </c>
      <c r="AA132" s="23">
        <v>381182.83358978399</v>
      </c>
      <c r="AB132" s="96">
        <f t="shared" ref="AB132" si="32">+SUM(D132:AA132)*AC132+SUM(D133:AA133)*AC133+SUM(D134:AA134)*AC134</f>
        <v>233888028.58907813</v>
      </c>
      <c r="AC132" s="16">
        <v>20</v>
      </c>
      <c r="AD132" s="16">
        <f t="shared" si="11"/>
        <v>150223768.12586254</v>
      </c>
    </row>
    <row r="133" spans="1:30" ht="13.5" thickBot="1" x14ac:dyDescent="0.35">
      <c r="A133" s="18">
        <v>2029</v>
      </c>
      <c r="B133" s="19" t="s">
        <v>41</v>
      </c>
      <c r="C133" s="20" t="s">
        <v>34</v>
      </c>
      <c r="D133" s="21">
        <v>380512.95363661734</v>
      </c>
      <c r="E133" s="22">
        <v>364495.96932321764</v>
      </c>
      <c r="F133" s="22">
        <v>350422.02200347523</v>
      </c>
      <c r="G133" s="22">
        <v>338157.91421970871</v>
      </c>
      <c r="H133" s="22">
        <v>326061.50144297112</v>
      </c>
      <c r="I133" s="22">
        <v>305677.31244325929</v>
      </c>
      <c r="J133" s="22">
        <v>285906.16282785527</v>
      </c>
      <c r="K133" s="22">
        <v>235900.32129802988</v>
      </c>
      <c r="L133" s="22">
        <v>236029.99930453245</v>
      </c>
      <c r="M133" s="22">
        <v>237545.41232052431</v>
      </c>
      <c r="N133" s="22">
        <v>244553.6647288216</v>
      </c>
      <c r="O133" s="22">
        <v>256441.53495366548</v>
      </c>
      <c r="P133" s="22">
        <v>263889.12434347399</v>
      </c>
      <c r="Q133" s="22">
        <v>287031.76762771246</v>
      </c>
      <c r="R133" s="22">
        <v>302996.82525327237</v>
      </c>
      <c r="S133" s="22">
        <v>307037.34817568719</v>
      </c>
      <c r="T133" s="22">
        <v>307693.90834013664</v>
      </c>
      <c r="U133" s="22">
        <v>327997.69022853032</v>
      </c>
      <c r="V133" s="22">
        <v>336882.31969732384</v>
      </c>
      <c r="W133" s="22">
        <v>358446.8332452607</v>
      </c>
      <c r="X133" s="22">
        <v>377214.42328639567</v>
      </c>
      <c r="Y133" s="22">
        <v>393386.41942510963</v>
      </c>
      <c r="Z133" s="22">
        <v>397043.09138076531</v>
      </c>
      <c r="AA133" s="23">
        <v>384517.34078597918</v>
      </c>
      <c r="AB133" s="97"/>
      <c r="AC133" s="24">
        <v>4</v>
      </c>
      <c r="AD133" s="16">
        <f t="shared" si="11"/>
        <v>30423367.441169303</v>
      </c>
    </row>
    <row r="134" spans="1:30" ht="13.5" thickBot="1" x14ac:dyDescent="0.35">
      <c r="A134" s="18">
        <v>2029</v>
      </c>
      <c r="B134" s="25" t="s">
        <v>41</v>
      </c>
      <c r="C134" s="26" t="s">
        <v>36</v>
      </c>
      <c r="D134" s="21">
        <v>380512.95363661734</v>
      </c>
      <c r="E134" s="22">
        <v>364495.96932321758</v>
      </c>
      <c r="F134" s="22">
        <v>350422.02200347517</v>
      </c>
      <c r="G134" s="22">
        <v>338157.91421970871</v>
      </c>
      <c r="H134" s="22">
        <v>326061.50144297112</v>
      </c>
      <c r="I134" s="22">
        <v>305677.31244325923</v>
      </c>
      <c r="J134" s="22">
        <v>285906.16282785527</v>
      </c>
      <c r="K134" s="22">
        <v>235900.32129802991</v>
      </c>
      <c r="L134" s="22">
        <v>236029.99930453248</v>
      </c>
      <c r="M134" s="22">
        <v>237545.41232052428</v>
      </c>
      <c r="N134" s="22">
        <v>244553.66472882166</v>
      </c>
      <c r="O134" s="22">
        <v>256441.53495366548</v>
      </c>
      <c r="P134" s="22">
        <v>263889.12434347399</v>
      </c>
      <c r="Q134" s="22">
        <v>287031.7676277124</v>
      </c>
      <c r="R134" s="22">
        <v>302996.82525327237</v>
      </c>
      <c r="S134" s="22">
        <v>307037.34817568719</v>
      </c>
      <c r="T134" s="22">
        <v>307693.90834013658</v>
      </c>
      <c r="U134" s="22">
        <v>327997.69022853026</v>
      </c>
      <c r="V134" s="22">
        <v>336882.31969732378</v>
      </c>
      <c r="W134" s="22">
        <v>358446.8332452607</v>
      </c>
      <c r="X134" s="22">
        <v>377214.42328639567</v>
      </c>
      <c r="Y134" s="22">
        <v>393386.41942510969</v>
      </c>
      <c r="Z134" s="22">
        <v>397043.09138076525</v>
      </c>
      <c r="AA134" s="23">
        <v>384517.34078597924</v>
      </c>
      <c r="AB134" s="97"/>
      <c r="AC134" s="27">
        <v>7</v>
      </c>
      <c r="AD134" s="16">
        <f t="shared" ref="AD134:AD149" si="33">+SUM(D134:AA134)*AC134</f>
        <v>53240893.022046283</v>
      </c>
    </row>
    <row r="135" spans="1:30" ht="13.5" thickBot="1" x14ac:dyDescent="0.35">
      <c r="A135" s="18">
        <v>2029</v>
      </c>
      <c r="B135" s="11" t="s">
        <v>42</v>
      </c>
      <c r="C135" s="12" t="s">
        <v>33</v>
      </c>
      <c r="D135" s="21">
        <v>393350.13021236903</v>
      </c>
      <c r="E135" s="22">
        <v>378025.49484391022</v>
      </c>
      <c r="F135" s="22">
        <v>363799.12010009075</v>
      </c>
      <c r="G135" s="22">
        <v>351522.26169328729</v>
      </c>
      <c r="H135" s="22">
        <v>339665.31367690291</v>
      </c>
      <c r="I135" s="22">
        <v>321243.53902997234</v>
      </c>
      <c r="J135" s="22">
        <v>303225.45176661049</v>
      </c>
      <c r="K135" s="22">
        <v>248790.28665538901</v>
      </c>
      <c r="L135" s="22">
        <v>244153.43533461119</v>
      </c>
      <c r="M135" s="22">
        <v>243157.1551001888</v>
      </c>
      <c r="N135" s="22">
        <v>248150.16783408966</v>
      </c>
      <c r="O135" s="22">
        <v>258851.17923299805</v>
      </c>
      <c r="P135" s="22">
        <v>266618.82790771133</v>
      </c>
      <c r="Q135" s="22">
        <v>283326.98765486456</v>
      </c>
      <c r="R135" s="22">
        <v>297657.21383410919</v>
      </c>
      <c r="S135" s="22">
        <v>302897.82347312343</v>
      </c>
      <c r="T135" s="22">
        <v>305722.58135186834</v>
      </c>
      <c r="U135" s="22">
        <v>332110.19839717314</v>
      </c>
      <c r="V135" s="22">
        <v>344262.17184388806</v>
      </c>
      <c r="W135" s="22">
        <v>364982.01526788261</v>
      </c>
      <c r="X135" s="22">
        <v>381629.28616188286</v>
      </c>
      <c r="Y135" s="22">
        <v>397908.03527419188</v>
      </c>
      <c r="Z135" s="22">
        <v>403465.87708570127</v>
      </c>
      <c r="AA135" s="23">
        <v>394154.52378017473</v>
      </c>
      <c r="AB135" s="96">
        <f t="shared" ref="AB135" si="34">+SUM(D135:AA135)*AC135+SUM(D136:AA136)*AC136+SUM(D137:AA137)*AC137</f>
        <v>242442749.93570089</v>
      </c>
      <c r="AC135" s="16">
        <v>21</v>
      </c>
      <c r="AD135" s="16">
        <f t="shared" si="33"/>
        <v>163142050.62777284</v>
      </c>
    </row>
    <row r="136" spans="1:30" ht="13.5" thickBot="1" x14ac:dyDescent="0.35">
      <c r="A136" s="18">
        <v>2029</v>
      </c>
      <c r="B136" s="19" t="s">
        <v>42</v>
      </c>
      <c r="C136" s="20" t="s">
        <v>34</v>
      </c>
      <c r="D136" s="21">
        <v>395111.60170937132</v>
      </c>
      <c r="E136" s="22">
        <v>378533.2563188299</v>
      </c>
      <c r="F136" s="22">
        <v>363966.04721694038</v>
      </c>
      <c r="G136" s="22">
        <v>351272.10865972919</v>
      </c>
      <c r="H136" s="22">
        <v>338751.74246123416</v>
      </c>
      <c r="I136" s="22">
        <v>317653.13119140943</v>
      </c>
      <c r="J136" s="22">
        <v>297189.0450264485</v>
      </c>
      <c r="K136" s="22">
        <v>247257.19371998712</v>
      </c>
      <c r="L136" s="22">
        <v>247795.60535049319</v>
      </c>
      <c r="M136" s="22">
        <v>249630.00277690223</v>
      </c>
      <c r="N136" s="22">
        <v>257030.83279472461</v>
      </c>
      <c r="O136" s="22">
        <v>269386.15634280763</v>
      </c>
      <c r="P136" s="22">
        <v>277081.36866254575</v>
      </c>
      <c r="Q136" s="22">
        <v>300958.86709576484</v>
      </c>
      <c r="R136" s="22">
        <v>317341.56574177393</v>
      </c>
      <c r="S136" s="22">
        <v>321274.70516487746</v>
      </c>
      <c r="T136" s="22">
        <v>321555.55871106737</v>
      </c>
      <c r="U136" s="22">
        <v>341282.97533816949</v>
      </c>
      <c r="V136" s="22">
        <v>350478.99208630488</v>
      </c>
      <c r="W136" s="22">
        <v>372799.29575780337</v>
      </c>
      <c r="X136" s="22">
        <v>392224.64972969465</v>
      </c>
      <c r="Y136" s="22">
        <v>408963.43977881828</v>
      </c>
      <c r="Z136" s="22">
        <v>412748.27027341112</v>
      </c>
      <c r="AA136" s="23">
        <v>399783.51888369897</v>
      </c>
      <c r="AB136" s="97"/>
      <c r="AC136" s="24">
        <v>4</v>
      </c>
      <c r="AD136" s="16">
        <f t="shared" si="33"/>
        <v>31720279.723171227</v>
      </c>
    </row>
    <row r="137" spans="1:30" ht="13.5" thickBot="1" x14ac:dyDescent="0.35">
      <c r="A137" s="18">
        <v>2029</v>
      </c>
      <c r="B137" s="25" t="s">
        <v>42</v>
      </c>
      <c r="C137" s="26" t="s">
        <v>36</v>
      </c>
      <c r="D137" s="21">
        <v>395111.60170937137</v>
      </c>
      <c r="E137" s="22">
        <v>378533.2563188299</v>
      </c>
      <c r="F137" s="22">
        <v>363966.04721694038</v>
      </c>
      <c r="G137" s="22">
        <v>351272.10865972919</v>
      </c>
      <c r="H137" s="22">
        <v>338751.74246123416</v>
      </c>
      <c r="I137" s="22">
        <v>317653.13119140943</v>
      </c>
      <c r="J137" s="22">
        <v>297189.0450264485</v>
      </c>
      <c r="K137" s="22">
        <v>247257.19371998709</v>
      </c>
      <c r="L137" s="22">
        <v>247795.60535049319</v>
      </c>
      <c r="M137" s="22">
        <v>249630.0027769022</v>
      </c>
      <c r="N137" s="22">
        <v>257030.83279472459</v>
      </c>
      <c r="O137" s="22">
        <v>269386.15634280763</v>
      </c>
      <c r="P137" s="22">
        <v>277081.36866254575</v>
      </c>
      <c r="Q137" s="22">
        <v>300958.86709576478</v>
      </c>
      <c r="R137" s="22">
        <v>317341.56574177393</v>
      </c>
      <c r="S137" s="22">
        <v>321274.70516487746</v>
      </c>
      <c r="T137" s="22">
        <v>321555.55871106737</v>
      </c>
      <c r="U137" s="22">
        <v>341282.97533816943</v>
      </c>
      <c r="V137" s="22">
        <v>350478.99208630488</v>
      </c>
      <c r="W137" s="22">
        <v>372799.29575780337</v>
      </c>
      <c r="X137" s="22">
        <v>392224.64972969465</v>
      </c>
      <c r="Y137" s="22">
        <v>408963.43977881828</v>
      </c>
      <c r="Z137" s="22">
        <v>412748.27027341112</v>
      </c>
      <c r="AA137" s="23">
        <v>399783.51888369903</v>
      </c>
      <c r="AB137" s="97"/>
      <c r="AC137" s="27">
        <v>6</v>
      </c>
      <c r="AD137" s="16">
        <f t="shared" si="33"/>
        <v>47580419.584756836</v>
      </c>
    </row>
    <row r="138" spans="1:30" ht="13.5" thickBot="1" x14ac:dyDescent="0.35">
      <c r="A138" s="18">
        <v>2029</v>
      </c>
      <c r="B138" s="11" t="s">
        <v>43</v>
      </c>
      <c r="C138" s="12" t="s">
        <v>33</v>
      </c>
      <c r="D138" s="21">
        <v>392663.35772232781</v>
      </c>
      <c r="E138" s="22">
        <v>376939.26679670386</v>
      </c>
      <c r="F138" s="22">
        <v>362603.01225517964</v>
      </c>
      <c r="G138" s="22">
        <v>350198.59675838088</v>
      </c>
      <c r="H138" s="22">
        <v>338169.04476221796</v>
      </c>
      <c r="I138" s="22">
        <v>318969.96935570048</v>
      </c>
      <c r="J138" s="22">
        <v>300278.31038540899</v>
      </c>
      <c r="K138" s="22">
        <v>247223.67223657132</v>
      </c>
      <c r="L138" s="22">
        <v>244370.38633628693</v>
      </c>
      <c r="M138" s="22">
        <v>244346.87517858171</v>
      </c>
      <c r="N138" s="22">
        <v>250087.77855218589</v>
      </c>
      <c r="O138" s="22">
        <v>261244.31571513676</v>
      </c>
      <c r="P138" s="22">
        <v>268788.00705643941</v>
      </c>
      <c r="Q138" s="22">
        <v>287536.42814617889</v>
      </c>
      <c r="R138" s="22">
        <v>302657.83184686478</v>
      </c>
      <c r="S138" s="22">
        <v>307513.53955090139</v>
      </c>
      <c r="T138" s="22">
        <v>309640.0096491265</v>
      </c>
      <c r="U138" s="22">
        <v>334140.58714865631</v>
      </c>
      <c r="V138" s="22">
        <v>345289.58511830744</v>
      </c>
      <c r="W138" s="22">
        <v>366175.29808389989</v>
      </c>
      <c r="X138" s="22">
        <v>383343.79748432746</v>
      </c>
      <c r="Y138" s="22">
        <v>399544.51221934351</v>
      </c>
      <c r="Z138" s="22">
        <v>404665.67913461092</v>
      </c>
      <c r="AA138" s="23">
        <v>394511.47801287327</v>
      </c>
      <c r="AB138" s="96">
        <f t="shared" ref="AB138" si="35">+SUM(D138:AA138)*AC138+SUM(D139:AA139)*AC139+SUM(D140:AA140)*AC140</f>
        <v>234608993.66931665</v>
      </c>
      <c r="AC138" s="16">
        <v>20</v>
      </c>
      <c r="AD138" s="16">
        <f t="shared" si="33"/>
        <v>155818026.79012421</v>
      </c>
    </row>
    <row r="139" spans="1:30" ht="13.5" thickBot="1" x14ac:dyDescent="0.35">
      <c r="A139" s="18">
        <v>2029</v>
      </c>
      <c r="B139" s="19" t="s">
        <v>43</v>
      </c>
      <c r="C139" s="20" t="s">
        <v>34</v>
      </c>
      <c r="D139" s="21">
        <v>394052.55867566069</v>
      </c>
      <c r="E139" s="22">
        <v>377514.93661341508</v>
      </c>
      <c r="F139" s="22">
        <v>362983.51065059268</v>
      </c>
      <c r="G139" s="22">
        <v>350320.75369896734</v>
      </c>
      <c r="H139" s="22">
        <v>337831.14273997745</v>
      </c>
      <c r="I139" s="22">
        <v>316784.35845608468</v>
      </c>
      <c r="J139" s="22">
        <v>296370.5406188452</v>
      </c>
      <c r="K139" s="22">
        <v>246305.07184467814</v>
      </c>
      <c r="L139" s="22">
        <v>246719.24309662645</v>
      </c>
      <c r="M139" s="22">
        <v>248468.28002010137</v>
      </c>
      <c r="N139" s="22">
        <v>255806.24053682317</v>
      </c>
      <c r="O139" s="22">
        <v>268115.76277360891</v>
      </c>
      <c r="P139" s="22">
        <v>275796.14726341353</v>
      </c>
      <c r="Q139" s="22">
        <v>299638.17948612606</v>
      </c>
      <c r="R139" s="22">
        <v>316023.78864227538</v>
      </c>
      <c r="S139" s="22">
        <v>320022.9885597105</v>
      </c>
      <c r="T139" s="22">
        <v>320424.4062303942</v>
      </c>
      <c r="U139" s="22">
        <v>340319.20879101352</v>
      </c>
      <c r="V139" s="22">
        <v>349492.63628791616</v>
      </c>
      <c r="W139" s="22">
        <v>371758.11198758351</v>
      </c>
      <c r="X139" s="22">
        <v>391135.74919109867</v>
      </c>
      <c r="Y139" s="22">
        <v>407833.4217929506</v>
      </c>
      <c r="Z139" s="22">
        <v>411608.95516583754</v>
      </c>
      <c r="AA139" s="23">
        <v>398676.05061093811</v>
      </c>
      <c r="AB139" s="97"/>
      <c r="AC139" s="24">
        <v>5</v>
      </c>
      <c r="AD139" s="16">
        <f t="shared" si="33"/>
        <v>39520010.218673192</v>
      </c>
    </row>
    <row r="140" spans="1:30" ht="13.5" thickBot="1" x14ac:dyDescent="0.35">
      <c r="A140" s="18">
        <v>2029</v>
      </c>
      <c r="B140" s="25" t="s">
        <v>43</v>
      </c>
      <c r="C140" s="26" t="s">
        <v>36</v>
      </c>
      <c r="D140" s="21">
        <v>391816.10867876996</v>
      </c>
      <c r="E140" s="22">
        <v>375364.48471531901</v>
      </c>
      <c r="F140" s="22">
        <v>360908.62433265516</v>
      </c>
      <c r="G140" s="22">
        <v>348311.71560390247</v>
      </c>
      <c r="H140" s="22">
        <v>335887.05248282512</v>
      </c>
      <c r="I140" s="22">
        <v>314949.71461313521</v>
      </c>
      <c r="J140" s="22">
        <v>294642.05167026533</v>
      </c>
      <c r="K140" s="22">
        <v>244558.18023789168</v>
      </c>
      <c r="L140" s="22">
        <v>244904.52257807288</v>
      </c>
      <c r="M140" s="22">
        <v>246601.26359957526</v>
      </c>
      <c r="N140" s="22">
        <v>253877.1877114409</v>
      </c>
      <c r="O140" s="22">
        <v>266114.44284839142</v>
      </c>
      <c r="P140" s="22">
        <v>273757.06537642272</v>
      </c>
      <c r="Q140" s="22">
        <v>297487.50426187395</v>
      </c>
      <c r="R140" s="22">
        <v>313810.96264965198</v>
      </c>
      <c r="S140" s="22">
        <v>317829.82446125796</v>
      </c>
      <c r="T140" s="22">
        <v>318293.94089062541</v>
      </c>
      <c r="U140" s="22">
        <v>338283.96034238505</v>
      </c>
      <c r="V140" s="22">
        <v>347409.68464948243</v>
      </c>
      <c r="W140" s="22">
        <v>369559.37655800243</v>
      </c>
      <c r="X140" s="22">
        <v>388836.24716083211</v>
      </c>
      <c r="Y140" s="22">
        <v>405447.08937723626</v>
      </c>
      <c r="Z140" s="22">
        <v>409202.98941403767</v>
      </c>
      <c r="AA140" s="23">
        <v>396337.33788979932</v>
      </c>
      <c r="AB140" s="97"/>
      <c r="AC140" s="27">
        <v>5</v>
      </c>
      <c r="AD140" s="16">
        <f t="shared" si="33"/>
        <v>39270956.660519257</v>
      </c>
    </row>
    <row r="141" spans="1:30" ht="13.5" thickBot="1" x14ac:dyDescent="0.35">
      <c r="A141" s="18">
        <v>2029</v>
      </c>
      <c r="B141" s="11" t="s">
        <v>44</v>
      </c>
      <c r="C141" s="12" t="s">
        <v>33</v>
      </c>
      <c r="D141" s="21">
        <v>383572.12685490365</v>
      </c>
      <c r="E141" s="22">
        <v>368286.36583226285</v>
      </c>
      <c r="F141" s="22">
        <v>354275.79293706792</v>
      </c>
      <c r="G141" s="22">
        <v>342165.06078408496</v>
      </c>
      <c r="H141" s="22">
        <v>330447.50572707684</v>
      </c>
      <c r="I141" s="22">
        <v>311896.65926206979</v>
      </c>
      <c r="J141" s="22">
        <v>293824.57784121629</v>
      </c>
      <c r="K141" s="22">
        <v>240390.02513674813</v>
      </c>
      <c r="L141" s="22">
        <v>236910.90816750654</v>
      </c>
      <c r="M141" s="22">
        <v>236488.6858178199</v>
      </c>
      <c r="N141" s="22">
        <v>241807.59088825641</v>
      </c>
      <c r="O141" s="22">
        <v>252547.73437710924</v>
      </c>
      <c r="P141" s="22">
        <v>259930.43494651784</v>
      </c>
      <c r="Q141" s="22">
        <v>277651.38656958722</v>
      </c>
      <c r="R141" s="22">
        <v>292364.8242469391</v>
      </c>
      <c r="S141" s="22">
        <v>297380.802938696</v>
      </c>
      <c r="T141" s="22">
        <v>299927.52034043847</v>
      </c>
      <c r="U141" s="22">
        <v>325295.82388908032</v>
      </c>
      <c r="V141" s="22">
        <v>336481.78258665168</v>
      </c>
      <c r="W141" s="22">
        <v>356756.86763845658</v>
      </c>
      <c r="X141" s="22">
        <v>373280.71832327306</v>
      </c>
      <c r="Y141" s="22">
        <v>389083.91923287086</v>
      </c>
      <c r="Z141" s="22">
        <v>394275.89709924062</v>
      </c>
      <c r="AA141" s="23">
        <v>384698.57413637039</v>
      </c>
      <c r="AB141" s="96">
        <f t="shared" ref="AB141" si="36">+SUM(D141:AA141)*AC141+SUM(D142:AA142)*AC142+SUM(D143:AA143)*AC143</f>
        <v>236046592.55223483</v>
      </c>
      <c r="AC141" s="16">
        <v>22</v>
      </c>
      <c r="AD141" s="16">
        <f t="shared" si="33"/>
        <v>166754314.88263336</v>
      </c>
    </row>
    <row r="142" spans="1:30" ht="13.5" thickBot="1" x14ac:dyDescent="0.35">
      <c r="A142" s="18">
        <v>2029</v>
      </c>
      <c r="B142" s="19" t="s">
        <v>44</v>
      </c>
      <c r="C142" s="20" t="s">
        <v>34</v>
      </c>
      <c r="D142" s="21">
        <v>384819.96572338464</v>
      </c>
      <c r="E142" s="22">
        <v>368637.36409170734</v>
      </c>
      <c r="F142" s="22">
        <v>354417.89066248806</v>
      </c>
      <c r="G142" s="22">
        <v>342026.97070219234</v>
      </c>
      <c r="H142" s="22">
        <v>329805.47973310185</v>
      </c>
      <c r="I142" s="22">
        <v>309210.51605500211</v>
      </c>
      <c r="J142" s="22">
        <v>289234.93065352866</v>
      </c>
      <c r="K142" s="22">
        <v>239132.27592241095</v>
      </c>
      <c r="L142" s="22">
        <v>239295.03853017694</v>
      </c>
      <c r="M142" s="22">
        <v>240847.00186717068</v>
      </c>
      <c r="N142" s="22">
        <v>247939.26160546165</v>
      </c>
      <c r="O142" s="22">
        <v>259954.04404065321</v>
      </c>
      <c r="P142" s="22">
        <v>267477.58996686718</v>
      </c>
      <c r="Q142" s="22">
        <v>290853.54259160097</v>
      </c>
      <c r="R142" s="22">
        <v>306972.53621444898</v>
      </c>
      <c r="S142" s="22">
        <v>311035.28326806502</v>
      </c>
      <c r="T142" s="22">
        <v>311667.31829562917</v>
      </c>
      <c r="U142" s="22">
        <v>331917.22327420709</v>
      </c>
      <c r="V142" s="22">
        <v>340893.7207549637</v>
      </c>
      <c r="W142" s="22">
        <v>362681.21366242861</v>
      </c>
      <c r="X142" s="22">
        <v>381642.86257709004</v>
      </c>
      <c r="Y142" s="22">
        <v>397982.07887281268</v>
      </c>
      <c r="Z142" s="22">
        <v>401676.5612047083</v>
      </c>
      <c r="AA142" s="23">
        <v>389021.29301894922</v>
      </c>
      <c r="AB142" s="97"/>
      <c r="AC142" s="24">
        <v>4</v>
      </c>
      <c r="AD142" s="16">
        <f t="shared" si="33"/>
        <v>30796567.853156198</v>
      </c>
    </row>
    <row r="143" spans="1:30" ht="13.5" thickBot="1" x14ac:dyDescent="0.35">
      <c r="A143" s="18">
        <v>2029</v>
      </c>
      <c r="B143" s="25" t="s">
        <v>44</v>
      </c>
      <c r="C143" s="26" t="s">
        <v>36</v>
      </c>
      <c r="D143" s="21">
        <v>384819.96572338464</v>
      </c>
      <c r="E143" s="22">
        <v>368637.36409170734</v>
      </c>
      <c r="F143" s="22">
        <v>354417.89066248806</v>
      </c>
      <c r="G143" s="22">
        <v>342026.97070219234</v>
      </c>
      <c r="H143" s="22">
        <v>329805.47973310185</v>
      </c>
      <c r="I143" s="22">
        <v>309210.51605500211</v>
      </c>
      <c r="J143" s="22">
        <v>289234.93065352866</v>
      </c>
      <c r="K143" s="22">
        <v>239132.27592241095</v>
      </c>
      <c r="L143" s="22">
        <v>239295.03853017691</v>
      </c>
      <c r="M143" s="22">
        <v>240847.00186717068</v>
      </c>
      <c r="N143" s="22">
        <v>247939.26160546165</v>
      </c>
      <c r="O143" s="22">
        <v>259954.04404065321</v>
      </c>
      <c r="P143" s="22">
        <v>267477.58996686718</v>
      </c>
      <c r="Q143" s="22">
        <v>290853.54259160097</v>
      </c>
      <c r="R143" s="22">
        <v>306972.53621444898</v>
      </c>
      <c r="S143" s="22">
        <v>311035.28326806502</v>
      </c>
      <c r="T143" s="22">
        <v>311667.31829562917</v>
      </c>
      <c r="U143" s="22">
        <v>331917.22327420709</v>
      </c>
      <c r="V143" s="22">
        <v>340893.7207549637</v>
      </c>
      <c r="W143" s="22">
        <v>362681.21366242861</v>
      </c>
      <c r="X143" s="22">
        <v>381642.86257709004</v>
      </c>
      <c r="Y143" s="22">
        <v>397982.07887281268</v>
      </c>
      <c r="Z143" s="22">
        <v>401676.5612047083</v>
      </c>
      <c r="AA143" s="23">
        <v>389021.29301894922</v>
      </c>
      <c r="AB143" s="97"/>
      <c r="AC143" s="27">
        <v>5</v>
      </c>
      <c r="AD143" s="16">
        <f t="shared" si="33"/>
        <v>38495709.816445246</v>
      </c>
    </row>
    <row r="144" spans="1:30" ht="13.5" thickBot="1" x14ac:dyDescent="0.35">
      <c r="A144" s="18">
        <v>2029</v>
      </c>
      <c r="B144" s="11" t="s">
        <v>45</v>
      </c>
      <c r="C144" s="12" t="s">
        <v>33</v>
      </c>
      <c r="D144" s="21">
        <v>374893.8091590564</v>
      </c>
      <c r="E144" s="22">
        <v>360243.11720472871</v>
      </c>
      <c r="F144" s="22">
        <v>346659.07044805575</v>
      </c>
      <c r="G144" s="22">
        <v>334928.72539282421</v>
      </c>
      <c r="H144" s="22">
        <v>323566.13688962423</v>
      </c>
      <c r="I144" s="22">
        <v>305868.2225643968</v>
      </c>
      <c r="J144" s="22">
        <v>288534.38847839693</v>
      </c>
      <c r="K144" s="22">
        <v>233960.37004678877</v>
      </c>
      <c r="L144" s="22">
        <v>228716.26093374653</v>
      </c>
      <c r="M144" s="22">
        <v>227231.16923103604</v>
      </c>
      <c r="N144" s="22">
        <v>231767.17699647805</v>
      </c>
      <c r="O144" s="22">
        <v>241972.20952667017</v>
      </c>
      <c r="P144" s="22">
        <v>249581.84269387921</v>
      </c>
      <c r="Q144" s="22">
        <v>266023.49769341463</v>
      </c>
      <c r="R144" s="22">
        <v>279905.41933690349</v>
      </c>
      <c r="S144" s="22">
        <v>285349.9792950406</v>
      </c>
      <c r="T144" s="22">
        <v>288694.06624234311</v>
      </c>
      <c r="U144" s="22">
        <v>315595.79568077717</v>
      </c>
      <c r="V144" s="22">
        <v>327190.38175576134</v>
      </c>
      <c r="W144" s="22">
        <v>347289.09707319015</v>
      </c>
      <c r="X144" s="22">
        <v>363539.81157080067</v>
      </c>
      <c r="Y144" s="22">
        <v>379276.68196927977</v>
      </c>
      <c r="Z144" s="22">
        <v>384439.1037951819</v>
      </c>
      <c r="AA144" s="23">
        <v>375209.97872096952</v>
      </c>
      <c r="AB144" s="96">
        <f t="shared" ref="AB144" si="37">+SUM(D144:AA144)*AC144+SUM(D145:AA145)*AC145+SUM(D146:AA146)*AC146</f>
        <v>222206057.00500607</v>
      </c>
      <c r="AC144" s="16">
        <v>20</v>
      </c>
      <c r="AD144" s="16">
        <f t="shared" si="33"/>
        <v>147208726.25398687</v>
      </c>
    </row>
    <row r="145" spans="1:30" ht="13.5" thickBot="1" x14ac:dyDescent="0.35">
      <c r="A145" s="18">
        <v>2029</v>
      </c>
      <c r="B145" s="19" t="s">
        <v>45</v>
      </c>
      <c r="C145" s="20" t="s">
        <v>34</v>
      </c>
      <c r="D145" s="21">
        <v>375975.22719293169</v>
      </c>
      <c r="E145" s="22">
        <v>360132.73184532573</v>
      </c>
      <c r="F145" s="22">
        <v>346212.10605380655</v>
      </c>
      <c r="G145" s="22">
        <v>334081.60341328679</v>
      </c>
      <c r="H145" s="22">
        <v>322116.96891103138</v>
      </c>
      <c r="I145" s="22">
        <v>301954.84518824739</v>
      </c>
      <c r="J145" s="22">
        <v>282399.08240106545</v>
      </c>
      <c r="K145" s="22">
        <v>232101.95489189946</v>
      </c>
      <c r="L145" s="22">
        <v>231906.71313230516</v>
      </c>
      <c r="M145" s="22">
        <v>233192.81662234815</v>
      </c>
      <c r="N145" s="22">
        <v>240007.10173019703</v>
      </c>
      <c r="O145" s="22">
        <v>251724.79882116397</v>
      </c>
      <c r="P145" s="22">
        <v>259101.97870776686</v>
      </c>
      <c r="Q145" s="22">
        <v>282053.5316117644</v>
      </c>
      <c r="R145" s="22">
        <v>297958.24087480135</v>
      </c>
      <c r="S145" s="22">
        <v>302154.03867789498</v>
      </c>
      <c r="T145" s="22">
        <v>303122.57438957726</v>
      </c>
      <c r="U145" s="22">
        <v>323868.19897334848</v>
      </c>
      <c r="V145" s="22">
        <v>332656.03932272125</v>
      </c>
      <c r="W145" s="22">
        <v>353985.62914262037</v>
      </c>
      <c r="X145" s="22">
        <v>372548.76512969343</v>
      </c>
      <c r="Y145" s="22">
        <v>388544.58360438194</v>
      </c>
      <c r="Z145" s="22">
        <v>392161.41978975147</v>
      </c>
      <c r="AA145" s="23">
        <v>379772.12467399368</v>
      </c>
      <c r="AB145" s="97"/>
      <c r="AC145" s="24">
        <v>4</v>
      </c>
      <c r="AD145" s="16">
        <f t="shared" si="33"/>
        <v>29998932.300407693</v>
      </c>
    </row>
    <row r="146" spans="1:30" ht="13.5" thickBot="1" x14ac:dyDescent="0.35">
      <c r="A146" s="18">
        <v>2029</v>
      </c>
      <c r="B146" s="25" t="s">
        <v>45</v>
      </c>
      <c r="C146" s="26" t="s">
        <v>36</v>
      </c>
      <c r="D146" s="21">
        <v>375975.22719293175</v>
      </c>
      <c r="E146" s="22">
        <v>360132.73184532573</v>
      </c>
      <c r="F146" s="22">
        <v>346212.10605380655</v>
      </c>
      <c r="G146" s="22">
        <v>334081.60341328679</v>
      </c>
      <c r="H146" s="22">
        <v>322116.96891103132</v>
      </c>
      <c r="I146" s="22">
        <v>301954.84518824745</v>
      </c>
      <c r="J146" s="22">
        <v>282399.08240106545</v>
      </c>
      <c r="K146" s="22">
        <v>232101.95489189946</v>
      </c>
      <c r="L146" s="22">
        <v>231906.71313230516</v>
      </c>
      <c r="M146" s="22">
        <v>233192.81662234812</v>
      </c>
      <c r="N146" s="22">
        <v>240007.101730197</v>
      </c>
      <c r="O146" s="22">
        <v>251724.79882116397</v>
      </c>
      <c r="P146" s="22">
        <v>259101.97870776686</v>
      </c>
      <c r="Q146" s="22">
        <v>282053.5316117644</v>
      </c>
      <c r="R146" s="22">
        <v>297958.24087480135</v>
      </c>
      <c r="S146" s="22">
        <v>302154.03867789498</v>
      </c>
      <c r="T146" s="22">
        <v>303122.57438957732</v>
      </c>
      <c r="U146" s="22">
        <v>323868.19897334842</v>
      </c>
      <c r="V146" s="22">
        <v>332656.03932272125</v>
      </c>
      <c r="W146" s="22">
        <v>353985.62914262037</v>
      </c>
      <c r="X146" s="22">
        <v>372548.76512969338</v>
      </c>
      <c r="Y146" s="22">
        <v>388544.58360438194</v>
      </c>
      <c r="Z146" s="22">
        <v>392161.41978975147</v>
      </c>
      <c r="AA146" s="23">
        <v>379772.12467399373</v>
      </c>
      <c r="AB146" s="97"/>
      <c r="AC146" s="27">
        <v>6</v>
      </c>
      <c r="AD146" s="16">
        <f t="shared" si="33"/>
        <v>44998398.450611539</v>
      </c>
    </row>
    <row r="147" spans="1:30" ht="13.5" thickBot="1" x14ac:dyDescent="0.35">
      <c r="A147" s="18">
        <v>2029</v>
      </c>
      <c r="B147" s="11" t="s">
        <v>46</v>
      </c>
      <c r="C147" s="12" t="s">
        <v>33</v>
      </c>
      <c r="D147" s="21">
        <v>370486.63484265347</v>
      </c>
      <c r="E147" s="22">
        <v>357115.81367855112</v>
      </c>
      <c r="F147" s="22">
        <v>344727.80560305191</v>
      </c>
      <c r="G147" s="22">
        <v>333640.997941376</v>
      </c>
      <c r="H147" s="22">
        <v>322612.00833454973</v>
      </c>
      <c r="I147" s="22">
        <v>305355.67282987473</v>
      </c>
      <c r="J147" s="22">
        <v>288044.49495078233</v>
      </c>
      <c r="K147" s="22">
        <v>233224.09419137385</v>
      </c>
      <c r="L147" s="22">
        <v>228475.18464758038</v>
      </c>
      <c r="M147" s="22">
        <v>227148.51126780076</v>
      </c>
      <c r="N147" s="22">
        <v>231673.26051268255</v>
      </c>
      <c r="O147" s="22">
        <v>241602.25191802127</v>
      </c>
      <c r="P147" s="22">
        <v>248878.43715176181</v>
      </c>
      <c r="Q147" s="22">
        <v>264888.070457489</v>
      </c>
      <c r="R147" s="22">
        <v>278379.00714819413</v>
      </c>
      <c r="S147" s="22">
        <v>283704.36194075114</v>
      </c>
      <c r="T147" s="22">
        <v>286680.05162300525</v>
      </c>
      <c r="U147" s="22">
        <v>313692.64843837806</v>
      </c>
      <c r="V147" s="22">
        <v>325061.29914490308</v>
      </c>
      <c r="W147" s="22">
        <v>344655.34413870133</v>
      </c>
      <c r="X147" s="22">
        <v>360645.40107810014</v>
      </c>
      <c r="Y147" s="22">
        <v>376227.06203220895</v>
      </c>
      <c r="Z147" s="22">
        <v>381488.14976585325</v>
      </c>
      <c r="AA147" s="23">
        <v>372802.17163058504</v>
      </c>
      <c r="AB147" s="96">
        <f t="shared" ref="AB147" si="38">+SUM(D147:AA147)*AC147+SUM(D148:AA148)*AC148+SUM(D149:AA149)*AC149</f>
        <v>228863630.23393202</v>
      </c>
      <c r="AC147" s="16">
        <v>20</v>
      </c>
      <c r="AD147" s="16">
        <f t="shared" si="33"/>
        <v>146424174.70536458</v>
      </c>
    </row>
    <row r="148" spans="1:30" ht="13.5" thickBot="1" x14ac:dyDescent="0.35">
      <c r="A148" s="18">
        <v>2029</v>
      </c>
      <c r="B148" s="19" t="s">
        <v>46</v>
      </c>
      <c r="C148" s="20" t="s">
        <v>34</v>
      </c>
      <c r="D148" s="21">
        <v>375707.170470463</v>
      </c>
      <c r="E148" s="22">
        <v>359874.98269446986</v>
      </c>
      <c r="F148" s="22">
        <v>345963.41405235109</v>
      </c>
      <c r="G148" s="22">
        <v>333840.80385692429</v>
      </c>
      <c r="H148" s="22">
        <v>321883.9538813011</v>
      </c>
      <c r="I148" s="22">
        <v>301734.94820145029</v>
      </c>
      <c r="J148" s="22">
        <v>282191.90894177771</v>
      </c>
      <c r="K148" s="22">
        <v>231929.48813723758</v>
      </c>
      <c r="L148" s="22">
        <v>231753.3408517818</v>
      </c>
      <c r="M148" s="22">
        <v>233051.08421584198</v>
      </c>
      <c r="N148" s="22">
        <v>239867.83186776988</v>
      </c>
      <c r="O148" s="22">
        <v>251580.2894147503</v>
      </c>
      <c r="P148" s="22">
        <v>258952.04071596611</v>
      </c>
      <c r="Q148" s="22">
        <v>281885.08272930532</v>
      </c>
      <c r="R148" s="22">
        <v>297772.78496613214</v>
      </c>
      <c r="S148" s="22">
        <v>301954.16821762524</v>
      </c>
      <c r="T148" s="22">
        <v>302903.36306894297</v>
      </c>
      <c r="U148" s="22">
        <v>323624.2578929275</v>
      </c>
      <c r="V148" s="22">
        <v>332406.38062700443</v>
      </c>
      <c r="W148" s="22">
        <v>353722.09281779802</v>
      </c>
      <c r="X148" s="22">
        <v>372273.15110818588</v>
      </c>
      <c r="Y148" s="22">
        <v>388258.56225493684</v>
      </c>
      <c r="Z148" s="22">
        <v>391873.04522528709</v>
      </c>
      <c r="AA148" s="23">
        <v>379491.81093226193</v>
      </c>
      <c r="AB148" s="97"/>
      <c r="AC148" s="24">
        <v>4</v>
      </c>
      <c r="AD148" s="16">
        <f t="shared" si="33"/>
        <v>29977983.828569967</v>
      </c>
    </row>
    <row r="149" spans="1:30" ht="13.5" thickBot="1" x14ac:dyDescent="0.35">
      <c r="A149" s="28">
        <v>2029</v>
      </c>
      <c r="B149" s="25" t="s">
        <v>46</v>
      </c>
      <c r="C149" s="26" t="s">
        <v>36</v>
      </c>
      <c r="D149" s="29">
        <v>375707.17047046305</v>
      </c>
      <c r="E149" s="30">
        <v>359874.98269446986</v>
      </c>
      <c r="F149" s="30">
        <v>345963.41405235109</v>
      </c>
      <c r="G149" s="30">
        <v>333840.80385692423</v>
      </c>
      <c r="H149" s="30">
        <v>321883.95388130104</v>
      </c>
      <c r="I149" s="30">
        <v>301734.94820145023</v>
      </c>
      <c r="J149" s="30">
        <v>282191.90894177771</v>
      </c>
      <c r="K149" s="30">
        <v>231929.48813723755</v>
      </c>
      <c r="L149" s="30">
        <v>231753.34085178183</v>
      </c>
      <c r="M149" s="30">
        <v>233051.08421584198</v>
      </c>
      <c r="N149" s="30">
        <v>239867.83186776986</v>
      </c>
      <c r="O149" s="30">
        <v>251580.28941475035</v>
      </c>
      <c r="P149" s="30">
        <v>258952.04071596611</v>
      </c>
      <c r="Q149" s="30">
        <v>281885.08272930532</v>
      </c>
      <c r="R149" s="30">
        <v>297772.78496613214</v>
      </c>
      <c r="S149" s="30">
        <v>301954.16821762518</v>
      </c>
      <c r="T149" s="30">
        <v>302903.36306894297</v>
      </c>
      <c r="U149" s="30">
        <v>323624.25789292756</v>
      </c>
      <c r="V149" s="30">
        <v>332406.38062700443</v>
      </c>
      <c r="W149" s="30">
        <v>353722.09281779797</v>
      </c>
      <c r="X149" s="30">
        <v>372273.15110818582</v>
      </c>
      <c r="Y149" s="30">
        <v>388258.56225493684</v>
      </c>
      <c r="Z149" s="30">
        <v>391873.04522528715</v>
      </c>
      <c r="AA149" s="31">
        <v>379491.81093226193</v>
      </c>
      <c r="AB149" s="98"/>
      <c r="AC149" s="27">
        <v>7</v>
      </c>
      <c r="AD149" s="32">
        <f t="shared" si="33"/>
        <v>52461471.69999744</v>
      </c>
    </row>
    <row r="150" spans="1:30" ht="15" thickBot="1" x14ac:dyDescent="0.4">
      <c r="B150" s="33"/>
      <c r="AD150" s="34">
        <f>SUM(AD6:AD149)</f>
        <v>10709934655.177361</v>
      </c>
    </row>
    <row r="151" spans="1:30" ht="14.5" x14ac:dyDescent="0.35">
      <c r="B151" s="33"/>
      <c r="AD151" s="35"/>
    </row>
    <row r="152" spans="1:30" ht="14.5" x14ac:dyDescent="0.35">
      <c r="B152" s="33"/>
      <c r="AD152" s="35"/>
    </row>
    <row r="153" spans="1:30" ht="14.5" x14ac:dyDescent="0.35">
      <c r="B153" s="33"/>
    </row>
    <row r="154" spans="1:30" ht="14.5" x14ac:dyDescent="0.35">
      <c r="B154" s="33"/>
    </row>
    <row r="155" spans="1:30" ht="14.5" x14ac:dyDescent="0.35">
      <c r="B155" s="33"/>
    </row>
    <row r="156" spans="1:30" ht="14.5" x14ac:dyDescent="0.35">
      <c r="B156" s="33"/>
    </row>
    <row r="157" spans="1:30" ht="14.5" x14ac:dyDescent="0.35">
      <c r="B157" s="33"/>
    </row>
    <row r="158" spans="1:30" ht="14.5" x14ac:dyDescent="0.35">
      <c r="B158" s="33"/>
    </row>
    <row r="159" spans="1:30" ht="14.5" x14ac:dyDescent="0.35">
      <c r="B159" s="33"/>
    </row>
    <row r="160" spans="1:30" ht="14.5" x14ac:dyDescent="0.35">
      <c r="B160" s="33"/>
    </row>
    <row r="161" spans="2:2" ht="14.5" x14ac:dyDescent="0.35">
      <c r="B161" s="33"/>
    </row>
    <row r="162" spans="2:2" ht="14.5" x14ac:dyDescent="0.35">
      <c r="B162" s="33"/>
    </row>
    <row r="163" spans="2:2" ht="14.5" x14ac:dyDescent="0.35">
      <c r="B163" s="33"/>
    </row>
    <row r="164" spans="2:2" ht="14.5" x14ac:dyDescent="0.35">
      <c r="B164" s="33"/>
    </row>
    <row r="165" spans="2:2" ht="14.5" x14ac:dyDescent="0.35">
      <c r="B165" s="33"/>
    </row>
    <row r="166" spans="2:2" ht="14.5" x14ac:dyDescent="0.35">
      <c r="B166" s="33"/>
    </row>
    <row r="167" spans="2:2" ht="14.5" x14ac:dyDescent="0.35">
      <c r="B167" s="33"/>
    </row>
    <row r="168" spans="2:2" ht="14.5" x14ac:dyDescent="0.35">
      <c r="B168" s="33"/>
    </row>
    <row r="169" spans="2:2" ht="14.5" x14ac:dyDescent="0.35">
      <c r="B169" s="33"/>
    </row>
    <row r="170" spans="2:2" ht="14.5" x14ac:dyDescent="0.35">
      <c r="B170" s="33"/>
    </row>
    <row r="171" spans="2:2" ht="14.5" x14ac:dyDescent="0.35">
      <c r="B171" s="33"/>
    </row>
    <row r="172" spans="2:2" ht="14.5" x14ac:dyDescent="0.35">
      <c r="B172" s="33"/>
    </row>
    <row r="173" spans="2:2" ht="14.5" x14ac:dyDescent="0.35">
      <c r="B173" s="33"/>
    </row>
    <row r="174" spans="2:2" ht="14.5" x14ac:dyDescent="0.35">
      <c r="B174" s="33"/>
    </row>
    <row r="175" spans="2:2" ht="14.5" x14ac:dyDescent="0.35">
      <c r="B175" s="33"/>
    </row>
    <row r="176" spans="2:2" ht="14.5" x14ac:dyDescent="0.35">
      <c r="B176" s="33"/>
    </row>
    <row r="177" spans="2:2" ht="14.5" x14ac:dyDescent="0.35">
      <c r="B177" s="33"/>
    </row>
    <row r="178" spans="2:2" ht="14.5" x14ac:dyDescent="0.35">
      <c r="B178" s="33"/>
    </row>
    <row r="179" spans="2:2" ht="14.5" x14ac:dyDescent="0.35">
      <c r="B179" s="33"/>
    </row>
    <row r="180" spans="2:2" ht="14.5" x14ac:dyDescent="0.35">
      <c r="B180" s="33"/>
    </row>
    <row r="181" spans="2:2" ht="14.5" x14ac:dyDescent="0.35">
      <c r="B181" s="33"/>
    </row>
    <row r="182" spans="2:2" ht="14.5" x14ac:dyDescent="0.35">
      <c r="B182" s="33"/>
    </row>
    <row r="183" spans="2:2" ht="14.5" x14ac:dyDescent="0.35">
      <c r="B183" s="33"/>
    </row>
    <row r="184" spans="2:2" ht="14.5" x14ac:dyDescent="0.35">
      <c r="B184" s="33"/>
    </row>
    <row r="185" spans="2:2" ht="14.5" x14ac:dyDescent="0.35">
      <c r="B185" s="33"/>
    </row>
    <row r="186" spans="2:2" ht="14.5" x14ac:dyDescent="0.35">
      <c r="B186" s="33"/>
    </row>
    <row r="187" spans="2:2" ht="14.5" x14ac:dyDescent="0.35">
      <c r="B187" s="33"/>
    </row>
    <row r="188" spans="2:2" ht="14.5" x14ac:dyDescent="0.35">
      <c r="B188" s="33"/>
    </row>
    <row r="189" spans="2:2" ht="14.5" x14ac:dyDescent="0.35">
      <c r="B189" s="33"/>
    </row>
    <row r="190" spans="2:2" ht="14.5" x14ac:dyDescent="0.35">
      <c r="B190" s="33"/>
    </row>
    <row r="191" spans="2:2" ht="14.5" x14ac:dyDescent="0.35">
      <c r="B191" s="33"/>
    </row>
    <row r="192" spans="2:2" ht="14.5" x14ac:dyDescent="0.35">
      <c r="B192" s="33"/>
    </row>
    <row r="193" spans="2:2" ht="14.5" x14ac:dyDescent="0.35">
      <c r="B193" s="33"/>
    </row>
    <row r="194" spans="2:2" ht="14.5" x14ac:dyDescent="0.35">
      <c r="B194" s="33"/>
    </row>
    <row r="195" spans="2:2" ht="14.5" x14ac:dyDescent="0.35">
      <c r="B195" s="33"/>
    </row>
    <row r="196" spans="2:2" ht="14.5" x14ac:dyDescent="0.35">
      <c r="B196" s="33"/>
    </row>
    <row r="197" spans="2:2" ht="14.5" x14ac:dyDescent="0.35">
      <c r="B197" s="33"/>
    </row>
    <row r="198" spans="2:2" ht="14.5" x14ac:dyDescent="0.35">
      <c r="B198" s="33"/>
    </row>
    <row r="199" spans="2:2" ht="14.5" x14ac:dyDescent="0.35">
      <c r="B199" s="33"/>
    </row>
    <row r="200" spans="2:2" ht="14.5" x14ac:dyDescent="0.35">
      <c r="B200" s="33"/>
    </row>
    <row r="201" spans="2:2" ht="14.5" x14ac:dyDescent="0.35">
      <c r="B201" s="33"/>
    </row>
    <row r="202" spans="2:2" ht="14.5" x14ac:dyDescent="0.35">
      <c r="B202" s="33"/>
    </row>
    <row r="203" spans="2:2" ht="14.5" x14ac:dyDescent="0.35">
      <c r="B203" s="33"/>
    </row>
    <row r="204" spans="2:2" ht="14.5" x14ac:dyDescent="0.35">
      <c r="B204" s="33"/>
    </row>
    <row r="205" spans="2:2" ht="14.5" x14ac:dyDescent="0.35">
      <c r="B205" s="33"/>
    </row>
    <row r="206" spans="2:2" ht="14.5" x14ac:dyDescent="0.35">
      <c r="B206" s="33"/>
    </row>
    <row r="207" spans="2:2" ht="14.5" x14ac:dyDescent="0.35">
      <c r="B207" s="33"/>
    </row>
    <row r="208" spans="2:2" ht="14.5" x14ac:dyDescent="0.35">
      <c r="B208" s="33"/>
    </row>
    <row r="209" spans="2:2" ht="14.5" x14ac:dyDescent="0.35">
      <c r="B209" s="33"/>
    </row>
    <row r="210" spans="2:2" ht="14.5" x14ac:dyDescent="0.35">
      <c r="B210" s="33"/>
    </row>
    <row r="211" spans="2:2" ht="14.5" x14ac:dyDescent="0.35">
      <c r="B211" s="33"/>
    </row>
    <row r="212" spans="2:2" ht="14.5" x14ac:dyDescent="0.35">
      <c r="B212" s="33"/>
    </row>
    <row r="213" spans="2:2" ht="14.5" x14ac:dyDescent="0.35">
      <c r="B213" s="33"/>
    </row>
    <row r="214" spans="2:2" ht="14.5" x14ac:dyDescent="0.35">
      <c r="B214" s="33"/>
    </row>
    <row r="215" spans="2:2" ht="14.5" x14ac:dyDescent="0.35">
      <c r="B215" s="33"/>
    </row>
    <row r="216" spans="2:2" ht="14.5" x14ac:dyDescent="0.35">
      <c r="B216" s="33"/>
    </row>
    <row r="217" spans="2:2" ht="14.5" x14ac:dyDescent="0.35">
      <c r="B217" s="33"/>
    </row>
    <row r="218" spans="2:2" ht="14.5" x14ac:dyDescent="0.35">
      <c r="B218" s="33"/>
    </row>
    <row r="219" spans="2:2" ht="14.5" x14ac:dyDescent="0.35">
      <c r="B219" s="33"/>
    </row>
    <row r="220" spans="2:2" ht="14.5" x14ac:dyDescent="0.35">
      <c r="B220" s="33"/>
    </row>
    <row r="221" spans="2:2" ht="14.5" x14ac:dyDescent="0.35">
      <c r="B221" s="33"/>
    </row>
    <row r="222" spans="2:2" ht="14.5" x14ac:dyDescent="0.35">
      <c r="B222" s="33"/>
    </row>
    <row r="223" spans="2:2" ht="14.5" x14ac:dyDescent="0.35">
      <c r="B223" s="33"/>
    </row>
    <row r="224" spans="2:2" ht="14.5" x14ac:dyDescent="0.35">
      <c r="B224" s="33"/>
    </row>
    <row r="225" spans="2:2" ht="14.5" x14ac:dyDescent="0.35">
      <c r="B225" s="33"/>
    </row>
    <row r="226" spans="2:2" ht="14.5" x14ac:dyDescent="0.35">
      <c r="B226" s="33"/>
    </row>
    <row r="227" spans="2:2" ht="14.5" x14ac:dyDescent="0.35">
      <c r="B227" s="33"/>
    </row>
    <row r="228" spans="2:2" ht="14.5" x14ac:dyDescent="0.35">
      <c r="B228" s="33"/>
    </row>
    <row r="229" spans="2:2" ht="14.5" x14ac:dyDescent="0.35">
      <c r="B229" s="33"/>
    </row>
    <row r="230" spans="2:2" ht="14.5" x14ac:dyDescent="0.35">
      <c r="B230" s="33"/>
    </row>
    <row r="231" spans="2:2" ht="14.5" x14ac:dyDescent="0.35">
      <c r="B231" s="33"/>
    </row>
    <row r="232" spans="2:2" ht="14.5" x14ac:dyDescent="0.35">
      <c r="B232" s="33"/>
    </row>
    <row r="233" spans="2:2" ht="14.5" x14ac:dyDescent="0.35">
      <c r="B233" s="33"/>
    </row>
    <row r="234" spans="2:2" ht="14.5" x14ac:dyDescent="0.35">
      <c r="B234" s="33"/>
    </row>
    <row r="235" spans="2:2" ht="14.5" x14ac:dyDescent="0.35">
      <c r="B235" s="33"/>
    </row>
    <row r="236" spans="2:2" ht="14.5" x14ac:dyDescent="0.35">
      <c r="B236" s="33"/>
    </row>
    <row r="237" spans="2:2" ht="14.5" x14ac:dyDescent="0.35">
      <c r="B237" s="33"/>
    </row>
    <row r="238" spans="2:2" ht="14.5" x14ac:dyDescent="0.35">
      <c r="B238" s="33"/>
    </row>
    <row r="239" spans="2:2" ht="14.5" x14ac:dyDescent="0.35">
      <c r="B239" s="33"/>
    </row>
    <row r="240" spans="2:2" ht="14.5" x14ac:dyDescent="0.35">
      <c r="B240" s="33"/>
    </row>
    <row r="241" spans="2:2" ht="14.5" x14ac:dyDescent="0.35">
      <c r="B241" s="33"/>
    </row>
    <row r="242" spans="2:2" ht="14.5" x14ac:dyDescent="0.35">
      <c r="B242" s="33"/>
    </row>
    <row r="243" spans="2:2" ht="14.5" x14ac:dyDescent="0.35">
      <c r="B243" s="33"/>
    </row>
    <row r="244" spans="2:2" ht="14.5" x14ac:dyDescent="0.35">
      <c r="B244" s="33"/>
    </row>
    <row r="245" spans="2:2" ht="14.5" x14ac:dyDescent="0.35">
      <c r="B245" s="33"/>
    </row>
    <row r="246" spans="2:2" ht="14.5" x14ac:dyDescent="0.35">
      <c r="B246" s="33"/>
    </row>
    <row r="247" spans="2:2" ht="14.5" x14ac:dyDescent="0.35">
      <c r="B247" s="33"/>
    </row>
    <row r="248" spans="2:2" ht="14.5" x14ac:dyDescent="0.35">
      <c r="B248" s="33"/>
    </row>
    <row r="249" spans="2:2" ht="14.5" x14ac:dyDescent="0.35">
      <c r="B249" s="33"/>
    </row>
    <row r="250" spans="2:2" ht="14.5" x14ac:dyDescent="0.35">
      <c r="B250" s="33"/>
    </row>
    <row r="251" spans="2:2" ht="14.5" x14ac:dyDescent="0.35">
      <c r="B251" s="33"/>
    </row>
    <row r="252" spans="2:2" ht="14.5" x14ac:dyDescent="0.35">
      <c r="B252" s="33"/>
    </row>
    <row r="253" spans="2:2" ht="14.5" x14ac:dyDescent="0.35">
      <c r="B253" s="33"/>
    </row>
    <row r="254" spans="2:2" ht="14.5" x14ac:dyDescent="0.35">
      <c r="B254" s="33"/>
    </row>
    <row r="255" spans="2:2" ht="14.5" x14ac:dyDescent="0.35">
      <c r="B255" s="33"/>
    </row>
    <row r="256" spans="2:2" ht="14.5" x14ac:dyDescent="0.35">
      <c r="B256" s="33"/>
    </row>
    <row r="257" spans="2:2" ht="14.5" x14ac:dyDescent="0.35">
      <c r="B257" s="33"/>
    </row>
    <row r="258" spans="2:2" ht="14.5" x14ac:dyDescent="0.35">
      <c r="B258" s="33"/>
    </row>
    <row r="259" spans="2:2" ht="14.5" x14ac:dyDescent="0.35">
      <c r="B259" s="33"/>
    </row>
    <row r="260" spans="2:2" ht="14.5" x14ac:dyDescent="0.35">
      <c r="B260" s="33"/>
    </row>
    <row r="261" spans="2:2" ht="14.5" x14ac:dyDescent="0.35">
      <c r="B261" s="33"/>
    </row>
    <row r="262" spans="2:2" ht="14.5" x14ac:dyDescent="0.35">
      <c r="B262" s="33"/>
    </row>
    <row r="263" spans="2:2" ht="14.5" x14ac:dyDescent="0.35">
      <c r="B263" s="33"/>
    </row>
    <row r="264" spans="2:2" ht="14.5" x14ac:dyDescent="0.35">
      <c r="B264" s="33"/>
    </row>
    <row r="265" spans="2:2" ht="14.5" x14ac:dyDescent="0.35">
      <c r="B265" s="33"/>
    </row>
    <row r="266" spans="2:2" ht="14.5" x14ac:dyDescent="0.35">
      <c r="B266" s="33"/>
    </row>
    <row r="267" spans="2:2" ht="14.5" x14ac:dyDescent="0.35">
      <c r="B267" s="33"/>
    </row>
    <row r="268" spans="2:2" ht="14.5" x14ac:dyDescent="0.35">
      <c r="B268" s="33"/>
    </row>
    <row r="269" spans="2:2" ht="14.5" x14ac:dyDescent="0.35">
      <c r="B269" s="33"/>
    </row>
    <row r="270" spans="2:2" ht="14.5" x14ac:dyDescent="0.35">
      <c r="B270" s="33"/>
    </row>
    <row r="271" spans="2:2" ht="14.5" x14ac:dyDescent="0.35">
      <c r="B271" s="33"/>
    </row>
    <row r="272" spans="2:2" ht="14.5" x14ac:dyDescent="0.35">
      <c r="B272" s="33"/>
    </row>
    <row r="273" spans="2:2" ht="14.5" x14ac:dyDescent="0.35">
      <c r="B273" s="33"/>
    </row>
    <row r="274" spans="2:2" ht="14.5" x14ac:dyDescent="0.35">
      <c r="B274" s="33"/>
    </row>
    <row r="275" spans="2:2" ht="14.5" x14ac:dyDescent="0.35">
      <c r="B275" s="33"/>
    </row>
    <row r="276" spans="2:2" ht="14.5" x14ac:dyDescent="0.35">
      <c r="B276" s="33"/>
    </row>
    <row r="277" spans="2:2" ht="14.5" x14ac:dyDescent="0.35">
      <c r="B277" s="33"/>
    </row>
    <row r="278" spans="2:2" ht="14.5" x14ac:dyDescent="0.35">
      <c r="B278" s="33"/>
    </row>
    <row r="279" spans="2:2" ht="14.5" x14ac:dyDescent="0.35">
      <c r="B279" s="33"/>
    </row>
    <row r="280" spans="2:2" ht="14.5" x14ac:dyDescent="0.35">
      <c r="B280" s="33"/>
    </row>
    <row r="281" spans="2:2" ht="14.5" x14ac:dyDescent="0.35">
      <c r="B281" s="33"/>
    </row>
    <row r="282" spans="2:2" ht="14.5" x14ac:dyDescent="0.35">
      <c r="B282" s="33"/>
    </row>
    <row r="283" spans="2:2" ht="14.5" x14ac:dyDescent="0.35">
      <c r="B283" s="33"/>
    </row>
    <row r="284" spans="2:2" ht="14.5" x14ac:dyDescent="0.35">
      <c r="B284" s="33"/>
    </row>
    <row r="285" spans="2:2" ht="14.5" x14ac:dyDescent="0.35">
      <c r="B285" s="33"/>
    </row>
    <row r="286" spans="2:2" ht="14.5" x14ac:dyDescent="0.35">
      <c r="B286" s="33"/>
    </row>
    <row r="287" spans="2:2" ht="14.5" x14ac:dyDescent="0.35">
      <c r="B287" s="33"/>
    </row>
    <row r="288" spans="2:2" ht="14.5" x14ac:dyDescent="0.35">
      <c r="B288" s="33"/>
    </row>
    <row r="289" spans="2:2" ht="14.5" x14ac:dyDescent="0.35">
      <c r="B289" s="33"/>
    </row>
    <row r="290" spans="2:2" ht="14.5" x14ac:dyDescent="0.35">
      <c r="B290" s="33"/>
    </row>
    <row r="291" spans="2:2" ht="14.5" x14ac:dyDescent="0.35">
      <c r="B291" s="33"/>
    </row>
    <row r="292" spans="2:2" ht="14.5" x14ac:dyDescent="0.35">
      <c r="B292" s="33"/>
    </row>
    <row r="293" spans="2:2" ht="14.5" x14ac:dyDescent="0.35">
      <c r="B293" s="33"/>
    </row>
    <row r="294" spans="2:2" ht="14.5" x14ac:dyDescent="0.35">
      <c r="B294" s="33"/>
    </row>
    <row r="295" spans="2:2" ht="14.5" x14ac:dyDescent="0.35">
      <c r="B295" s="33"/>
    </row>
    <row r="296" spans="2:2" ht="14.5" x14ac:dyDescent="0.35">
      <c r="B296" s="33"/>
    </row>
    <row r="297" spans="2:2" ht="14.5" x14ac:dyDescent="0.35">
      <c r="B297" s="33"/>
    </row>
    <row r="298" spans="2:2" ht="14.5" x14ac:dyDescent="0.35">
      <c r="B298" s="33"/>
    </row>
    <row r="299" spans="2:2" ht="14.5" x14ac:dyDescent="0.35">
      <c r="B299" s="33"/>
    </row>
    <row r="300" spans="2:2" ht="14.5" x14ac:dyDescent="0.35">
      <c r="B300" s="33"/>
    </row>
    <row r="301" spans="2:2" ht="14.5" x14ac:dyDescent="0.35">
      <c r="B301" s="33"/>
    </row>
    <row r="302" spans="2:2" ht="14.5" x14ac:dyDescent="0.35">
      <c r="B302" s="33"/>
    </row>
    <row r="303" spans="2:2" ht="14.5" x14ac:dyDescent="0.35">
      <c r="B303" s="33"/>
    </row>
    <row r="304" spans="2:2" ht="14.5" x14ac:dyDescent="0.35">
      <c r="B304" s="33"/>
    </row>
    <row r="305" spans="2:2" ht="14.5" x14ac:dyDescent="0.35">
      <c r="B305" s="33"/>
    </row>
    <row r="306" spans="2:2" ht="14.5" x14ac:dyDescent="0.35">
      <c r="B306" s="33"/>
    </row>
    <row r="307" spans="2:2" ht="14.5" x14ac:dyDescent="0.35">
      <c r="B307" s="33"/>
    </row>
    <row r="308" spans="2:2" ht="14.5" x14ac:dyDescent="0.35">
      <c r="B308" s="33"/>
    </row>
    <row r="309" spans="2:2" ht="14.5" x14ac:dyDescent="0.35">
      <c r="B309" s="33"/>
    </row>
    <row r="310" spans="2:2" ht="14.5" x14ac:dyDescent="0.35">
      <c r="B310" s="33"/>
    </row>
    <row r="311" spans="2:2" ht="14.5" x14ac:dyDescent="0.35">
      <c r="B311" s="33"/>
    </row>
    <row r="312" spans="2:2" ht="14.5" x14ac:dyDescent="0.35">
      <c r="B312" s="33"/>
    </row>
    <row r="313" spans="2:2" ht="14.5" x14ac:dyDescent="0.35">
      <c r="B313" s="33"/>
    </row>
    <row r="314" spans="2:2" ht="14.5" x14ac:dyDescent="0.35">
      <c r="B314" s="33"/>
    </row>
    <row r="315" spans="2:2" ht="14.5" x14ac:dyDescent="0.35">
      <c r="B315" s="33"/>
    </row>
    <row r="316" spans="2:2" ht="14.5" x14ac:dyDescent="0.35">
      <c r="B316" s="33"/>
    </row>
    <row r="317" spans="2:2" ht="14.5" x14ac:dyDescent="0.35">
      <c r="B317" s="33"/>
    </row>
    <row r="318" spans="2:2" ht="14.5" x14ac:dyDescent="0.35">
      <c r="B318" s="33"/>
    </row>
    <row r="319" spans="2:2" ht="14.5" x14ac:dyDescent="0.35">
      <c r="B319" s="33"/>
    </row>
    <row r="320" spans="2:2" ht="14.5" x14ac:dyDescent="0.35">
      <c r="B320" s="33"/>
    </row>
    <row r="321" spans="2:2" ht="14.5" x14ac:dyDescent="0.35">
      <c r="B321" s="33"/>
    </row>
    <row r="322" spans="2:2" ht="14.5" x14ac:dyDescent="0.35">
      <c r="B322" s="33"/>
    </row>
    <row r="323" spans="2:2" ht="14.5" x14ac:dyDescent="0.35">
      <c r="B323" s="33"/>
    </row>
    <row r="324" spans="2:2" ht="14.5" x14ac:dyDescent="0.35">
      <c r="B324" s="33"/>
    </row>
    <row r="325" spans="2:2" ht="14.5" x14ac:dyDescent="0.35">
      <c r="B325" s="33"/>
    </row>
    <row r="326" spans="2:2" ht="14.5" x14ac:dyDescent="0.35">
      <c r="B326" s="33"/>
    </row>
    <row r="327" spans="2:2" ht="14.5" x14ac:dyDescent="0.35">
      <c r="B327" s="33"/>
    </row>
    <row r="328" spans="2:2" ht="14.5" x14ac:dyDescent="0.35">
      <c r="B328" s="33"/>
    </row>
    <row r="329" spans="2:2" ht="14.5" x14ac:dyDescent="0.35">
      <c r="B329" s="33"/>
    </row>
    <row r="330" spans="2:2" ht="14.5" x14ac:dyDescent="0.35">
      <c r="B330" s="33"/>
    </row>
    <row r="331" spans="2:2" ht="14.5" x14ac:dyDescent="0.35">
      <c r="B331" s="33"/>
    </row>
    <row r="332" spans="2:2" ht="14.5" x14ac:dyDescent="0.35">
      <c r="B332" s="33"/>
    </row>
    <row r="333" spans="2:2" ht="14.5" x14ac:dyDescent="0.35">
      <c r="B333" s="33"/>
    </row>
    <row r="334" spans="2:2" ht="14.5" x14ac:dyDescent="0.35">
      <c r="B334" s="33"/>
    </row>
    <row r="335" spans="2:2" ht="14.5" x14ac:dyDescent="0.35">
      <c r="B335" s="33"/>
    </row>
    <row r="336" spans="2:2" ht="14.5" x14ac:dyDescent="0.35">
      <c r="B336" s="33"/>
    </row>
    <row r="337" spans="2:2" ht="14.5" x14ac:dyDescent="0.35">
      <c r="B337" s="33"/>
    </row>
    <row r="338" spans="2:2" ht="14.5" x14ac:dyDescent="0.35">
      <c r="B338" s="33"/>
    </row>
    <row r="339" spans="2:2" ht="14.5" x14ac:dyDescent="0.35">
      <c r="B339" s="33"/>
    </row>
    <row r="340" spans="2:2" ht="14.5" x14ac:dyDescent="0.35">
      <c r="B340" s="33"/>
    </row>
    <row r="341" spans="2:2" ht="14.5" x14ac:dyDescent="0.35">
      <c r="B341" s="33"/>
    </row>
    <row r="342" spans="2:2" ht="14.5" x14ac:dyDescent="0.35">
      <c r="B342" s="33"/>
    </row>
    <row r="343" spans="2:2" ht="14.5" x14ac:dyDescent="0.35">
      <c r="B343" s="33"/>
    </row>
    <row r="344" spans="2:2" ht="14.5" x14ac:dyDescent="0.35">
      <c r="B344" s="33"/>
    </row>
    <row r="345" spans="2:2" ht="14.5" x14ac:dyDescent="0.35">
      <c r="B345" s="33"/>
    </row>
    <row r="346" spans="2:2" ht="14.5" x14ac:dyDescent="0.35">
      <c r="B346" s="33"/>
    </row>
    <row r="347" spans="2:2" ht="14.5" x14ac:dyDescent="0.35">
      <c r="B347" s="33"/>
    </row>
    <row r="348" spans="2:2" ht="14.5" x14ac:dyDescent="0.35">
      <c r="B348" s="33"/>
    </row>
    <row r="349" spans="2:2" ht="14.5" x14ac:dyDescent="0.35">
      <c r="B349" s="33"/>
    </row>
    <row r="350" spans="2:2" ht="14.5" x14ac:dyDescent="0.35">
      <c r="B350" s="33"/>
    </row>
    <row r="351" spans="2:2" ht="14.5" x14ac:dyDescent="0.35">
      <c r="B351" s="33"/>
    </row>
    <row r="352" spans="2:2" ht="14.5" x14ac:dyDescent="0.35">
      <c r="B352" s="33"/>
    </row>
    <row r="353" spans="2:2" ht="14.5" x14ac:dyDescent="0.35">
      <c r="B353" s="33"/>
    </row>
    <row r="354" spans="2:2" ht="14.5" x14ac:dyDescent="0.35">
      <c r="B354" s="33"/>
    </row>
    <row r="355" spans="2:2" ht="14.5" x14ac:dyDescent="0.35">
      <c r="B355" s="33"/>
    </row>
    <row r="356" spans="2:2" ht="14.5" x14ac:dyDescent="0.35">
      <c r="B356" s="33"/>
    </row>
    <row r="357" spans="2:2" ht="14.5" x14ac:dyDescent="0.35">
      <c r="B357" s="33"/>
    </row>
    <row r="358" spans="2:2" ht="14.5" x14ac:dyDescent="0.35">
      <c r="B358" s="33"/>
    </row>
    <row r="359" spans="2:2" ht="14.5" x14ac:dyDescent="0.35">
      <c r="B359" s="33"/>
    </row>
    <row r="360" spans="2:2" ht="14.5" x14ac:dyDescent="0.35">
      <c r="B360" s="33"/>
    </row>
    <row r="361" spans="2:2" ht="14.5" x14ac:dyDescent="0.35">
      <c r="B361" s="33"/>
    </row>
    <row r="362" spans="2:2" ht="14.5" x14ac:dyDescent="0.35">
      <c r="B362" s="33"/>
    </row>
    <row r="363" spans="2:2" ht="14.5" x14ac:dyDescent="0.35">
      <c r="B363" s="33"/>
    </row>
    <row r="364" spans="2:2" ht="14.5" x14ac:dyDescent="0.35">
      <c r="B364" s="33"/>
    </row>
    <row r="365" spans="2:2" ht="14.5" x14ac:dyDescent="0.35">
      <c r="B365" s="33"/>
    </row>
    <row r="366" spans="2:2" ht="14.5" x14ac:dyDescent="0.35">
      <c r="B366" s="33"/>
    </row>
    <row r="367" spans="2:2" ht="14.5" x14ac:dyDescent="0.35">
      <c r="B367" s="33"/>
    </row>
    <row r="368" spans="2:2" ht="14.5" x14ac:dyDescent="0.35">
      <c r="B368" s="33"/>
    </row>
    <row r="369" spans="2:2" ht="14.5" x14ac:dyDescent="0.35">
      <c r="B369" s="33"/>
    </row>
    <row r="370" spans="2:2" ht="14.5" x14ac:dyDescent="0.35">
      <c r="B370" s="33"/>
    </row>
    <row r="371" spans="2:2" ht="14.5" x14ac:dyDescent="0.35">
      <c r="B371" s="33"/>
    </row>
    <row r="372" spans="2:2" ht="14.5" x14ac:dyDescent="0.35">
      <c r="B372" s="33"/>
    </row>
    <row r="373" spans="2:2" ht="14.5" x14ac:dyDescent="0.35">
      <c r="B373" s="33"/>
    </row>
    <row r="374" spans="2:2" ht="14.5" x14ac:dyDescent="0.35">
      <c r="B374" s="33"/>
    </row>
    <row r="375" spans="2:2" ht="14.5" x14ac:dyDescent="0.35">
      <c r="B375" s="33"/>
    </row>
    <row r="376" spans="2:2" ht="14.5" x14ac:dyDescent="0.35">
      <c r="B376" s="33"/>
    </row>
    <row r="377" spans="2:2" ht="14.5" x14ac:dyDescent="0.35">
      <c r="B377" s="33"/>
    </row>
    <row r="378" spans="2:2" ht="14.5" x14ac:dyDescent="0.35">
      <c r="B378" s="33"/>
    </row>
    <row r="379" spans="2:2" ht="14.5" x14ac:dyDescent="0.35">
      <c r="B379" s="33"/>
    </row>
    <row r="380" spans="2:2" ht="14.5" x14ac:dyDescent="0.35">
      <c r="B380" s="33"/>
    </row>
    <row r="381" spans="2:2" ht="14.5" x14ac:dyDescent="0.35">
      <c r="B381" s="33"/>
    </row>
    <row r="382" spans="2:2" ht="14.5" x14ac:dyDescent="0.35">
      <c r="B382" s="33"/>
    </row>
    <row r="383" spans="2:2" ht="14.5" x14ac:dyDescent="0.35">
      <c r="B383" s="33"/>
    </row>
    <row r="384" spans="2:2" ht="14.5" x14ac:dyDescent="0.35">
      <c r="B384" s="33"/>
    </row>
    <row r="385" spans="2:2" ht="14.5" x14ac:dyDescent="0.35">
      <c r="B385" s="33"/>
    </row>
    <row r="386" spans="2:2" ht="14.5" x14ac:dyDescent="0.35">
      <c r="B386" s="33"/>
    </row>
    <row r="387" spans="2:2" ht="14.5" x14ac:dyDescent="0.35">
      <c r="B387" s="33"/>
    </row>
    <row r="388" spans="2:2" ht="14.5" x14ac:dyDescent="0.35">
      <c r="B388" s="33"/>
    </row>
    <row r="389" spans="2:2" ht="14.5" x14ac:dyDescent="0.35">
      <c r="B389" s="33"/>
    </row>
    <row r="390" spans="2:2" ht="14.5" x14ac:dyDescent="0.35">
      <c r="B390" s="33"/>
    </row>
    <row r="391" spans="2:2" ht="14.5" x14ac:dyDescent="0.35">
      <c r="B391" s="33"/>
    </row>
    <row r="392" spans="2:2" ht="14.5" x14ac:dyDescent="0.35">
      <c r="B392" s="33"/>
    </row>
    <row r="393" spans="2:2" ht="14.5" x14ac:dyDescent="0.35">
      <c r="B393" s="33"/>
    </row>
    <row r="394" spans="2:2" ht="14.5" x14ac:dyDescent="0.35">
      <c r="B394" s="33"/>
    </row>
    <row r="395" spans="2:2" ht="14.5" x14ac:dyDescent="0.35">
      <c r="B395" s="33"/>
    </row>
    <row r="396" spans="2:2" ht="14.5" x14ac:dyDescent="0.35">
      <c r="B396" s="33"/>
    </row>
    <row r="397" spans="2:2" ht="14.5" x14ac:dyDescent="0.35">
      <c r="B397" s="33"/>
    </row>
    <row r="398" spans="2:2" ht="14.5" x14ac:dyDescent="0.35">
      <c r="B398" s="33"/>
    </row>
    <row r="399" spans="2:2" ht="14.5" x14ac:dyDescent="0.35">
      <c r="B399" s="33"/>
    </row>
    <row r="400" spans="2:2" ht="14.5" x14ac:dyDescent="0.35">
      <c r="B400" s="33"/>
    </row>
    <row r="401" spans="2:2" ht="14.5" x14ac:dyDescent="0.35">
      <c r="B401" s="33"/>
    </row>
    <row r="402" spans="2:2" ht="14.5" x14ac:dyDescent="0.35">
      <c r="B402" s="33"/>
    </row>
    <row r="403" spans="2:2" ht="14.5" x14ac:dyDescent="0.35">
      <c r="B403" s="33"/>
    </row>
    <row r="404" spans="2:2" ht="14.5" x14ac:dyDescent="0.35">
      <c r="B404" s="33"/>
    </row>
    <row r="405" spans="2:2" ht="14.5" x14ac:dyDescent="0.35">
      <c r="B405" s="33"/>
    </row>
    <row r="406" spans="2:2" ht="14.5" x14ac:dyDescent="0.35">
      <c r="B406" s="33"/>
    </row>
    <row r="407" spans="2:2" ht="14.5" x14ac:dyDescent="0.35">
      <c r="B407" s="33"/>
    </row>
    <row r="408" spans="2:2" ht="14.5" x14ac:dyDescent="0.35">
      <c r="B408" s="33"/>
    </row>
    <row r="409" spans="2:2" ht="14.5" x14ac:dyDescent="0.35">
      <c r="B409" s="33"/>
    </row>
    <row r="410" spans="2:2" ht="14.5" x14ac:dyDescent="0.35">
      <c r="B410" s="33"/>
    </row>
    <row r="411" spans="2:2" ht="14.5" x14ac:dyDescent="0.35">
      <c r="B411" s="33"/>
    </row>
    <row r="412" spans="2:2" ht="14.5" x14ac:dyDescent="0.35">
      <c r="B412" s="33"/>
    </row>
    <row r="413" spans="2:2" ht="14.5" x14ac:dyDescent="0.35">
      <c r="B413" s="33"/>
    </row>
    <row r="414" spans="2:2" ht="14.5" x14ac:dyDescent="0.35">
      <c r="B414" s="33"/>
    </row>
    <row r="415" spans="2:2" ht="14.5" x14ac:dyDescent="0.35">
      <c r="B415" s="33"/>
    </row>
    <row r="416" spans="2:2" ht="14.5" x14ac:dyDescent="0.35">
      <c r="B416" s="33"/>
    </row>
    <row r="417" spans="2:2" ht="14.5" x14ac:dyDescent="0.35">
      <c r="B417" s="33"/>
    </row>
    <row r="418" spans="2:2" ht="14.5" x14ac:dyDescent="0.35">
      <c r="B418" s="33"/>
    </row>
    <row r="419" spans="2:2" ht="14.5" x14ac:dyDescent="0.35">
      <c r="B419" s="33"/>
    </row>
    <row r="420" spans="2:2" ht="14.5" x14ac:dyDescent="0.35">
      <c r="B420" s="33"/>
    </row>
    <row r="421" spans="2:2" ht="14.5" x14ac:dyDescent="0.35">
      <c r="B421" s="33"/>
    </row>
    <row r="422" spans="2:2" ht="14.5" x14ac:dyDescent="0.35">
      <c r="B422" s="33"/>
    </row>
    <row r="423" spans="2:2" ht="14.5" x14ac:dyDescent="0.35">
      <c r="B423" s="33"/>
    </row>
    <row r="424" spans="2:2" ht="14.5" x14ac:dyDescent="0.35">
      <c r="B424" s="33"/>
    </row>
    <row r="425" spans="2:2" ht="14.5" x14ac:dyDescent="0.35">
      <c r="B425" s="33"/>
    </row>
    <row r="426" spans="2:2" ht="14.5" x14ac:dyDescent="0.35">
      <c r="B426" s="33"/>
    </row>
    <row r="427" spans="2:2" ht="14.5" x14ac:dyDescent="0.35">
      <c r="B427" s="33"/>
    </row>
    <row r="428" spans="2:2" ht="14.5" x14ac:dyDescent="0.35">
      <c r="B428" s="33"/>
    </row>
    <row r="429" spans="2:2" ht="14.5" x14ac:dyDescent="0.35">
      <c r="B429" s="33"/>
    </row>
    <row r="430" spans="2:2" ht="14.5" x14ac:dyDescent="0.35">
      <c r="B430" s="33"/>
    </row>
    <row r="431" spans="2:2" ht="14.5" x14ac:dyDescent="0.35">
      <c r="B431" s="33"/>
    </row>
    <row r="432" spans="2:2" ht="14.5" x14ac:dyDescent="0.35">
      <c r="B432" s="33"/>
    </row>
    <row r="433" spans="2:2" ht="14.5" x14ac:dyDescent="0.35">
      <c r="B433" s="33"/>
    </row>
    <row r="434" spans="2:2" ht="14.5" x14ac:dyDescent="0.35">
      <c r="B434" s="33"/>
    </row>
    <row r="435" spans="2:2" ht="14.5" x14ac:dyDescent="0.35">
      <c r="B435" s="33"/>
    </row>
    <row r="436" spans="2:2" ht="14.5" x14ac:dyDescent="0.35">
      <c r="B436" s="33"/>
    </row>
    <row r="437" spans="2:2" ht="14.5" x14ac:dyDescent="0.35">
      <c r="B437" s="33"/>
    </row>
    <row r="438" spans="2:2" ht="14.5" x14ac:dyDescent="0.35">
      <c r="B438" s="33"/>
    </row>
    <row r="439" spans="2:2" ht="14.5" x14ac:dyDescent="0.35">
      <c r="B439" s="33"/>
    </row>
    <row r="440" spans="2:2" ht="14.5" x14ac:dyDescent="0.35">
      <c r="B440" s="33"/>
    </row>
    <row r="441" spans="2:2" ht="14.5" x14ac:dyDescent="0.35">
      <c r="B441" s="33"/>
    </row>
    <row r="442" spans="2:2" ht="14.5" x14ac:dyDescent="0.35">
      <c r="B442" s="33"/>
    </row>
    <row r="443" spans="2:2" ht="14.5" x14ac:dyDescent="0.35">
      <c r="B443" s="33"/>
    </row>
    <row r="444" spans="2:2" ht="14.5" x14ac:dyDescent="0.35">
      <c r="B444" s="33"/>
    </row>
    <row r="445" spans="2:2" ht="14.5" x14ac:dyDescent="0.35">
      <c r="B445" s="33"/>
    </row>
    <row r="446" spans="2:2" ht="14.5" x14ac:dyDescent="0.35">
      <c r="B446" s="33"/>
    </row>
    <row r="447" spans="2:2" ht="14.5" x14ac:dyDescent="0.35">
      <c r="B447" s="33"/>
    </row>
    <row r="448" spans="2:2" ht="14.5" x14ac:dyDescent="0.35">
      <c r="B448" s="33"/>
    </row>
    <row r="449" spans="2:2" ht="14.5" x14ac:dyDescent="0.35">
      <c r="B449" s="33"/>
    </row>
    <row r="450" spans="2:2" ht="14.5" x14ac:dyDescent="0.35">
      <c r="B450" s="33"/>
    </row>
    <row r="451" spans="2:2" ht="14.5" x14ac:dyDescent="0.35">
      <c r="B451" s="33"/>
    </row>
    <row r="452" spans="2:2" ht="14.5" x14ac:dyDescent="0.35">
      <c r="B452" s="33"/>
    </row>
    <row r="453" spans="2:2" ht="14.5" x14ac:dyDescent="0.35">
      <c r="B453" s="33"/>
    </row>
    <row r="454" spans="2:2" ht="14.5" x14ac:dyDescent="0.35">
      <c r="B454" s="33"/>
    </row>
    <row r="455" spans="2:2" ht="14.5" x14ac:dyDescent="0.35">
      <c r="B455" s="33"/>
    </row>
    <row r="456" spans="2:2" ht="14.5" x14ac:dyDescent="0.35">
      <c r="B456" s="33"/>
    </row>
    <row r="457" spans="2:2" ht="14.5" x14ac:dyDescent="0.35">
      <c r="B457" s="33"/>
    </row>
    <row r="458" spans="2:2" ht="14.5" x14ac:dyDescent="0.35">
      <c r="B458" s="33"/>
    </row>
    <row r="459" spans="2:2" ht="14.5" x14ac:dyDescent="0.35">
      <c r="B459" s="33"/>
    </row>
    <row r="460" spans="2:2" ht="14.5" x14ac:dyDescent="0.35">
      <c r="B460" s="33"/>
    </row>
    <row r="461" spans="2:2" ht="14.5" x14ac:dyDescent="0.35">
      <c r="B461" s="33"/>
    </row>
    <row r="462" spans="2:2" ht="14.5" x14ac:dyDescent="0.35">
      <c r="B462" s="33"/>
    </row>
    <row r="463" spans="2:2" ht="14.5" x14ac:dyDescent="0.35">
      <c r="B463" s="33"/>
    </row>
    <row r="464" spans="2:2" ht="14.5" x14ac:dyDescent="0.35">
      <c r="B464" s="33"/>
    </row>
    <row r="465" spans="2:2" ht="14.5" x14ac:dyDescent="0.35">
      <c r="B465" s="33"/>
    </row>
    <row r="466" spans="2:2" ht="14.5" x14ac:dyDescent="0.35">
      <c r="B466" s="33"/>
    </row>
    <row r="467" spans="2:2" ht="14.5" x14ac:dyDescent="0.35">
      <c r="B467" s="33"/>
    </row>
    <row r="468" spans="2:2" ht="14.5" x14ac:dyDescent="0.35">
      <c r="B468" s="33"/>
    </row>
    <row r="469" spans="2:2" ht="14.5" x14ac:dyDescent="0.35">
      <c r="B469" s="33"/>
    </row>
    <row r="470" spans="2:2" ht="14.5" x14ac:dyDescent="0.35">
      <c r="B470" s="33"/>
    </row>
    <row r="471" spans="2:2" ht="14.5" x14ac:dyDescent="0.35">
      <c r="B471" s="33"/>
    </row>
    <row r="472" spans="2:2" ht="14.5" x14ac:dyDescent="0.35">
      <c r="B472" s="33"/>
    </row>
    <row r="473" spans="2:2" ht="14.5" x14ac:dyDescent="0.35">
      <c r="B473" s="33"/>
    </row>
    <row r="474" spans="2:2" ht="14.5" x14ac:dyDescent="0.35">
      <c r="B474" s="33"/>
    </row>
    <row r="475" spans="2:2" ht="14.5" x14ac:dyDescent="0.35">
      <c r="B475" s="33"/>
    </row>
    <row r="476" spans="2:2" ht="14.5" x14ac:dyDescent="0.35">
      <c r="B476" s="33"/>
    </row>
    <row r="477" spans="2:2" ht="14.5" x14ac:dyDescent="0.35">
      <c r="B477" s="33"/>
    </row>
    <row r="478" spans="2:2" ht="14.5" x14ac:dyDescent="0.35">
      <c r="B478" s="33"/>
    </row>
    <row r="479" spans="2:2" ht="14.5" x14ac:dyDescent="0.35">
      <c r="B479" s="33"/>
    </row>
    <row r="480" spans="2:2" ht="14.5" x14ac:dyDescent="0.35">
      <c r="B480" s="33"/>
    </row>
    <row r="481" spans="2:2" ht="14.5" x14ac:dyDescent="0.35">
      <c r="B481" s="33"/>
    </row>
    <row r="482" spans="2:2" ht="14.5" x14ac:dyDescent="0.35">
      <c r="B482" s="33"/>
    </row>
    <row r="483" spans="2:2" ht="14.5" x14ac:dyDescent="0.35">
      <c r="B483" s="33"/>
    </row>
    <row r="484" spans="2:2" ht="14.5" x14ac:dyDescent="0.35">
      <c r="B484" s="33"/>
    </row>
    <row r="485" spans="2:2" ht="14.5" x14ac:dyDescent="0.35">
      <c r="B485" s="33"/>
    </row>
    <row r="486" spans="2:2" ht="14.5" x14ac:dyDescent="0.35">
      <c r="B486" s="33"/>
    </row>
    <row r="487" spans="2:2" ht="14.5" x14ac:dyDescent="0.35">
      <c r="B487" s="33"/>
    </row>
    <row r="488" spans="2:2" ht="14.5" x14ac:dyDescent="0.35">
      <c r="B488" s="33"/>
    </row>
    <row r="489" spans="2:2" ht="14.5" x14ac:dyDescent="0.35">
      <c r="B489" s="33"/>
    </row>
    <row r="490" spans="2:2" ht="14.5" x14ac:dyDescent="0.35">
      <c r="B490" s="33"/>
    </row>
    <row r="491" spans="2:2" ht="14.5" x14ac:dyDescent="0.35">
      <c r="B491" s="33"/>
    </row>
    <row r="492" spans="2:2" ht="14.5" x14ac:dyDescent="0.35">
      <c r="B492" s="33"/>
    </row>
    <row r="493" spans="2:2" ht="14.5" x14ac:dyDescent="0.35">
      <c r="B493" s="33"/>
    </row>
    <row r="494" spans="2:2" ht="14.5" x14ac:dyDescent="0.35">
      <c r="B494" s="33"/>
    </row>
    <row r="495" spans="2:2" ht="14.5" x14ac:dyDescent="0.35">
      <c r="B495" s="33"/>
    </row>
    <row r="496" spans="2:2" ht="14.5" x14ac:dyDescent="0.35">
      <c r="B496" s="33"/>
    </row>
    <row r="497" spans="2:2" ht="14.5" x14ac:dyDescent="0.35">
      <c r="B497" s="33"/>
    </row>
    <row r="498" spans="2:2" ht="14.5" x14ac:dyDescent="0.35">
      <c r="B498" s="33"/>
    </row>
    <row r="499" spans="2:2" ht="14.5" x14ac:dyDescent="0.35">
      <c r="B499" s="33"/>
    </row>
    <row r="500" spans="2:2" ht="14.5" x14ac:dyDescent="0.35">
      <c r="B500" s="33"/>
    </row>
    <row r="501" spans="2:2" ht="14.5" x14ac:dyDescent="0.35">
      <c r="B501" s="33"/>
    </row>
    <row r="502" spans="2:2" ht="14.5" x14ac:dyDescent="0.35">
      <c r="B502" s="33"/>
    </row>
    <row r="503" spans="2:2" ht="14.5" x14ac:dyDescent="0.35">
      <c r="B503" s="33"/>
    </row>
    <row r="504" spans="2:2" ht="14.5" x14ac:dyDescent="0.35">
      <c r="B504" s="33"/>
    </row>
    <row r="505" spans="2:2" ht="14.5" x14ac:dyDescent="0.35">
      <c r="B505" s="33"/>
    </row>
    <row r="506" spans="2:2" ht="14.5" x14ac:dyDescent="0.35">
      <c r="B506" s="33"/>
    </row>
    <row r="507" spans="2:2" ht="14.5" x14ac:dyDescent="0.35">
      <c r="B507" s="33"/>
    </row>
    <row r="508" spans="2:2" ht="14.5" x14ac:dyDescent="0.35">
      <c r="B508" s="33"/>
    </row>
    <row r="509" spans="2:2" ht="14.5" x14ac:dyDescent="0.35">
      <c r="B509" s="33"/>
    </row>
    <row r="510" spans="2:2" ht="14.5" x14ac:dyDescent="0.35">
      <c r="B510" s="33"/>
    </row>
    <row r="511" spans="2:2" ht="14.5" x14ac:dyDescent="0.35">
      <c r="B511" s="33"/>
    </row>
    <row r="512" spans="2:2" ht="14.5" x14ac:dyDescent="0.35">
      <c r="B512" s="33"/>
    </row>
    <row r="513" spans="2:2" ht="14.5" x14ac:dyDescent="0.35">
      <c r="B513" s="33"/>
    </row>
    <row r="514" spans="2:2" ht="14.5" x14ac:dyDescent="0.35">
      <c r="B514" s="33"/>
    </row>
    <row r="515" spans="2:2" ht="14.5" x14ac:dyDescent="0.35">
      <c r="B515" s="33"/>
    </row>
    <row r="516" spans="2:2" ht="14.5" x14ac:dyDescent="0.35">
      <c r="B516" s="33"/>
    </row>
    <row r="517" spans="2:2" ht="14.5" x14ac:dyDescent="0.35">
      <c r="B517" s="33"/>
    </row>
    <row r="518" spans="2:2" ht="14.5" x14ac:dyDescent="0.35">
      <c r="B518" s="33"/>
    </row>
    <row r="519" spans="2:2" ht="14.5" x14ac:dyDescent="0.35">
      <c r="B519" s="33"/>
    </row>
    <row r="520" spans="2:2" ht="14.5" x14ac:dyDescent="0.35">
      <c r="B520" s="33"/>
    </row>
    <row r="521" spans="2:2" ht="14.5" x14ac:dyDescent="0.35">
      <c r="B521" s="33"/>
    </row>
    <row r="522" spans="2:2" ht="14.5" x14ac:dyDescent="0.35">
      <c r="B522" s="33"/>
    </row>
    <row r="523" spans="2:2" ht="14.5" x14ac:dyDescent="0.35">
      <c r="B523" s="33"/>
    </row>
    <row r="524" spans="2:2" ht="14.5" x14ac:dyDescent="0.35">
      <c r="B524" s="33"/>
    </row>
    <row r="525" spans="2:2" ht="14.5" x14ac:dyDescent="0.35">
      <c r="B525" s="33"/>
    </row>
    <row r="526" spans="2:2" ht="14.5" x14ac:dyDescent="0.35">
      <c r="B526" s="33"/>
    </row>
    <row r="527" spans="2:2" ht="14.5" x14ac:dyDescent="0.35">
      <c r="B527" s="33"/>
    </row>
    <row r="528" spans="2:2" ht="14.5" x14ac:dyDescent="0.35">
      <c r="B528" s="33"/>
    </row>
    <row r="529" spans="2:2" ht="14.5" x14ac:dyDescent="0.35">
      <c r="B529" s="33"/>
    </row>
    <row r="530" spans="2:2" ht="14.5" x14ac:dyDescent="0.35">
      <c r="B530" s="33"/>
    </row>
    <row r="531" spans="2:2" ht="14.5" x14ac:dyDescent="0.35">
      <c r="B531" s="33"/>
    </row>
    <row r="532" spans="2:2" ht="14.5" x14ac:dyDescent="0.35">
      <c r="B532" s="33"/>
    </row>
    <row r="533" spans="2:2" ht="14.5" x14ac:dyDescent="0.35">
      <c r="B533" s="33"/>
    </row>
    <row r="534" spans="2:2" ht="14.5" x14ac:dyDescent="0.35">
      <c r="B534" s="33"/>
    </row>
    <row r="535" spans="2:2" ht="14.5" x14ac:dyDescent="0.35">
      <c r="B535" s="33"/>
    </row>
    <row r="536" spans="2:2" ht="14.5" x14ac:dyDescent="0.35">
      <c r="B536" s="33"/>
    </row>
    <row r="537" spans="2:2" ht="14.5" x14ac:dyDescent="0.35">
      <c r="B537" s="33"/>
    </row>
    <row r="538" spans="2:2" ht="14.5" x14ac:dyDescent="0.35">
      <c r="B538" s="33"/>
    </row>
    <row r="539" spans="2:2" ht="14.5" x14ac:dyDescent="0.35">
      <c r="B539" s="33"/>
    </row>
    <row r="540" spans="2:2" ht="14.5" x14ac:dyDescent="0.35">
      <c r="B540" s="33"/>
    </row>
    <row r="541" spans="2:2" ht="14.5" x14ac:dyDescent="0.35">
      <c r="B541" s="33"/>
    </row>
    <row r="542" spans="2:2" ht="14.5" x14ac:dyDescent="0.35">
      <c r="B542" s="33"/>
    </row>
    <row r="543" spans="2:2" ht="14.5" x14ac:dyDescent="0.35">
      <c r="B543" s="33"/>
    </row>
    <row r="544" spans="2:2" ht="14.5" x14ac:dyDescent="0.35">
      <c r="B544" s="33"/>
    </row>
    <row r="545" spans="2:2" ht="14.5" x14ac:dyDescent="0.35">
      <c r="B545" s="33"/>
    </row>
    <row r="546" spans="2:2" ht="14.5" x14ac:dyDescent="0.35">
      <c r="B546" s="33"/>
    </row>
    <row r="547" spans="2:2" ht="14.5" x14ac:dyDescent="0.35">
      <c r="B547" s="33"/>
    </row>
    <row r="548" spans="2:2" ht="14.5" x14ac:dyDescent="0.35">
      <c r="B548" s="33"/>
    </row>
    <row r="549" spans="2:2" ht="14.5" x14ac:dyDescent="0.35">
      <c r="B549" s="33"/>
    </row>
    <row r="550" spans="2:2" ht="14.5" x14ac:dyDescent="0.35">
      <c r="B550" s="33"/>
    </row>
    <row r="551" spans="2:2" ht="14.5" x14ac:dyDescent="0.35">
      <c r="B551" s="33"/>
    </row>
    <row r="552" spans="2:2" ht="14.5" x14ac:dyDescent="0.35">
      <c r="B552" s="33"/>
    </row>
    <row r="553" spans="2:2" ht="14.5" x14ac:dyDescent="0.35">
      <c r="B553" s="33"/>
    </row>
    <row r="554" spans="2:2" ht="14.5" x14ac:dyDescent="0.35">
      <c r="B554" s="33"/>
    </row>
    <row r="555" spans="2:2" ht="14.5" x14ac:dyDescent="0.35">
      <c r="B555" s="33"/>
    </row>
    <row r="556" spans="2:2" ht="14.5" x14ac:dyDescent="0.35">
      <c r="B556" s="33"/>
    </row>
    <row r="557" spans="2:2" ht="14.5" x14ac:dyDescent="0.35">
      <c r="B557" s="33"/>
    </row>
    <row r="558" spans="2:2" ht="14.5" x14ac:dyDescent="0.35">
      <c r="B558" s="33"/>
    </row>
    <row r="559" spans="2:2" ht="14.5" x14ac:dyDescent="0.35">
      <c r="B559" s="33"/>
    </row>
    <row r="560" spans="2:2" ht="14.5" x14ac:dyDescent="0.35">
      <c r="B560" s="33"/>
    </row>
    <row r="561" spans="2:2" ht="14.5" x14ac:dyDescent="0.35">
      <c r="B561" s="33"/>
    </row>
    <row r="562" spans="2:2" ht="14.5" x14ac:dyDescent="0.35">
      <c r="B562" s="33"/>
    </row>
    <row r="563" spans="2:2" ht="14.5" x14ac:dyDescent="0.35">
      <c r="B563" s="33"/>
    </row>
    <row r="564" spans="2:2" ht="14.5" x14ac:dyDescent="0.35">
      <c r="B564" s="33"/>
    </row>
    <row r="565" spans="2:2" ht="14.5" x14ac:dyDescent="0.35">
      <c r="B565" s="33"/>
    </row>
    <row r="566" spans="2:2" ht="14.5" x14ac:dyDescent="0.35">
      <c r="B566" s="33"/>
    </row>
    <row r="567" spans="2:2" ht="14.5" x14ac:dyDescent="0.35">
      <c r="B567" s="33"/>
    </row>
    <row r="568" spans="2:2" ht="14.5" x14ac:dyDescent="0.35">
      <c r="B568" s="33"/>
    </row>
    <row r="569" spans="2:2" ht="14.5" x14ac:dyDescent="0.35">
      <c r="B569" s="33"/>
    </row>
    <row r="570" spans="2:2" ht="14.5" x14ac:dyDescent="0.35">
      <c r="B570" s="33"/>
    </row>
    <row r="571" spans="2:2" ht="14.5" x14ac:dyDescent="0.35">
      <c r="B571" s="33"/>
    </row>
    <row r="572" spans="2:2" ht="14.5" x14ac:dyDescent="0.35">
      <c r="B572" s="33"/>
    </row>
    <row r="573" spans="2:2" ht="14.5" x14ac:dyDescent="0.35">
      <c r="B573" s="33"/>
    </row>
    <row r="574" spans="2:2" ht="14.5" x14ac:dyDescent="0.35">
      <c r="B574" s="33"/>
    </row>
    <row r="575" spans="2:2" ht="14.5" x14ac:dyDescent="0.35">
      <c r="B575" s="33"/>
    </row>
    <row r="576" spans="2:2" ht="14.5" x14ac:dyDescent="0.35">
      <c r="B576" s="33"/>
    </row>
    <row r="577" spans="2:2" ht="14.5" x14ac:dyDescent="0.35">
      <c r="B577" s="33"/>
    </row>
    <row r="578" spans="2:2" ht="14.5" x14ac:dyDescent="0.35">
      <c r="B578" s="33"/>
    </row>
    <row r="579" spans="2:2" ht="14.5" x14ac:dyDescent="0.35">
      <c r="B579" s="33"/>
    </row>
    <row r="580" spans="2:2" ht="14.5" x14ac:dyDescent="0.35">
      <c r="B580" s="33"/>
    </row>
    <row r="581" spans="2:2" ht="14.5" x14ac:dyDescent="0.35">
      <c r="B581" s="33"/>
    </row>
  </sheetData>
  <mergeCells count="51">
    <mergeCell ref="AB12:AB14"/>
    <mergeCell ref="A1:AD1"/>
    <mergeCell ref="A2:AD2"/>
    <mergeCell ref="A3:AD3"/>
    <mergeCell ref="AB6:AB8"/>
    <mergeCell ref="AB9:AB11"/>
    <mergeCell ref="AB48:AB50"/>
    <mergeCell ref="AB15:AB17"/>
    <mergeCell ref="AB18:AB20"/>
    <mergeCell ref="AB21:AB23"/>
    <mergeCell ref="AB24:AB26"/>
    <mergeCell ref="AB27:AB29"/>
    <mergeCell ref="AB30:AB32"/>
    <mergeCell ref="AB33:AB35"/>
    <mergeCell ref="AB36:AB38"/>
    <mergeCell ref="AB39:AB41"/>
    <mergeCell ref="AB42:AB44"/>
    <mergeCell ref="AB45:AB47"/>
    <mergeCell ref="AB84:AB86"/>
    <mergeCell ref="AB51:AB53"/>
    <mergeCell ref="AB54:AB56"/>
    <mergeCell ref="AB57:AB59"/>
    <mergeCell ref="AB60:AB62"/>
    <mergeCell ref="AB63:AB65"/>
    <mergeCell ref="AB66:AB68"/>
    <mergeCell ref="AB69:AB71"/>
    <mergeCell ref="AB72:AB74"/>
    <mergeCell ref="AB75:AB77"/>
    <mergeCell ref="AB78:AB80"/>
    <mergeCell ref="AB81:AB83"/>
    <mergeCell ref="AB120:AB122"/>
    <mergeCell ref="AB87:AB89"/>
    <mergeCell ref="AB90:AB92"/>
    <mergeCell ref="AB93:AB95"/>
    <mergeCell ref="AB96:AB98"/>
    <mergeCell ref="AB99:AB101"/>
    <mergeCell ref="AB102:AB104"/>
    <mergeCell ref="AB105:AB107"/>
    <mergeCell ref="AB108:AB110"/>
    <mergeCell ref="AB111:AB113"/>
    <mergeCell ref="AB114:AB116"/>
    <mergeCell ref="AB117:AB119"/>
    <mergeCell ref="AB141:AB143"/>
    <mergeCell ref="AB144:AB146"/>
    <mergeCell ref="AB147:AB149"/>
    <mergeCell ref="AB123:AB125"/>
    <mergeCell ref="AB126:AB128"/>
    <mergeCell ref="AB129:AB131"/>
    <mergeCell ref="AB132:AB134"/>
    <mergeCell ref="AB135:AB137"/>
    <mergeCell ref="AB138:AB1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C6B44-9CC4-4247-9719-64F5942269C6}">
  <dimension ref="A1:AD581"/>
  <sheetViews>
    <sheetView topLeftCell="N5" zoomScaleNormal="100" workbookViewId="0">
      <selection activeCell="AD6" sqref="AD6"/>
    </sheetView>
  </sheetViews>
  <sheetFormatPr baseColWidth="10" defaultColWidth="12.59765625" defaultRowHeight="13" x14ac:dyDescent="0.3"/>
  <cols>
    <col min="1" max="1" width="10.09765625" style="1" bestFit="1" customWidth="1"/>
    <col min="2" max="2" width="10.5" style="1" bestFit="1" customWidth="1"/>
    <col min="3" max="3" width="13.796875" style="1" bestFit="1" customWidth="1"/>
    <col min="4" max="12" width="10.69921875" style="1" bestFit="1" customWidth="1"/>
    <col min="13" max="27" width="10.19921875" style="1" bestFit="1" customWidth="1"/>
    <col min="28" max="28" width="13.19921875" style="1" customWidth="1"/>
    <col min="29" max="29" width="13" style="1" bestFit="1" customWidth="1"/>
    <col min="30" max="30" width="13.69921875" style="1" bestFit="1" customWidth="1"/>
    <col min="31" max="16384" width="12.59765625" style="1"/>
  </cols>
  <sheetData>
    <row r="1" spans="1:30" ht="15.5" x14ac:dyDescent="0.35">
      <c r="A1" s="99" t="s">
        <v>47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</row>
    <row r="2" spans="1:30" ht="15.5" x14ac:dyDescent="0.35">
      <c r="A2" s="99" t="s">
        <v>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</row>
    <row r="3" spans="1:30" ht="15.5" x14ac:dyDescent="0.35">
      <c r="A3" s="99" t="s">
        <v>48</v>
      </c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</row>
    <row r="5" spans="1:30" ht="13.5" thickBot="1" x14ac:dyDescent="0.35">
      <c r="A5" s="36" t="s">
        <v>3</v>
      </c>
      <c r="B5" s="36" t="s">
        <v>4</v>
      </c>
      <c r="C5" s="37" t="s">
        <v>5</v>
      </c>
      <c r="D5" s="38" t="s">
        <v>6</v>
      </c>
      <c r="E5" s="38" t="s">
        <v>7</v>
      </c>
      <c r="F5" s="38" t="s">
        <v>8</v>
      </c>
      <c r="G5" s="38" t="s">
        <v>9</v>
      </c>
      <c r="H5" s="38" t="s">
        <v>10</v>
      </c>
      <c r="I5" s="38" t="s">
        <v>11</v>
      </c>
      <c r="J5" s="38" t="s">
        <v>12</v>
      </c>
      <c r="K5" s="38" t="s">
        <v>13</v>
      </c>
      <c r="L5" s="38" t="s">
        <v>14</v>
      </c>
      <c r="M5" s="38" t="s">
        <v>15</v>
      </c>
      <c r="N5" s="38" t="s">
        <v>16</v>
      </c>
      <c r="O5" s="39" t="s">
        <v>17</v>
      </c>
      <c r="P5" s="40" t="s">
        <v>18</v>
      </c>
      <c r="Q5" s="38" t="s">
        <v>19</v>
      </c>
      <c r="R5" s="38" t="s">
        <v>20</v>
      </c>
      <c r="S5" s="38" t="s">
        <v>21</v>
      </c>
      <c r="T5" s="38" t="s">
        <v>22</v>
      </c>
      <c r="U5" s="38" t="s">
        <v>23</v>
      </c>
      <c r="V5" s="38" t="s">
        <v>24</v>
      </c>
      <c r="W5" s="38" t="s">
        <v>25</v>
      </c>
      <c r="X5" s="38" t="s">
        <v>26</v>
      </c>
      <c r="Y5" s="38" t="s">
        <v>27</v>
      </c>
      <c r="Z5" s="38" t="s">
        <v>28</v>
      </c>
      <c r="AA5" s="41" t="s">
        <v>29</v>
      </c>
      <c r="AB5" s="9" t="s">
        <v>30</v>
      </c>
      <c r="AC5" s="9" t="s">
        <v>31</v>
      </c>
      <c r="AD5" s="9" t="s">
        <v>30</v>
      </c>
    </row>
    <row r="6" spans="1:30" ht="13.5" thickBot="1" x14ac:dyDescent="0.35">
      <c r="A6" s="10">
        <v>2026</v>
      </c>
      <c r="B6" s="11" t="s">
        <v>32</v>
      </c>
      <c r="C6" s="12" t="s">
        <v>33</v>
      </c>
      <c r="D6" s="21">
        <v>146575.75601812173</v>
      </c>
      <c r="E6" s="22">
        <v>140523.61469543949</v>
      </c>
      <c r="F6" s="22">
        <v>134840.83343702069</v>
      </c>
      <c r="G6" s="22">
        <v>129537.56772491371</v>
      </c>
      <c r="H6" s="22">
        <v>124389.41776425116</v>
      </c>
      <c r="I6" s="22">
        <v>118950.73050171082</v>
      </c>
      <c r="J6" s="22">
        <v>111532.26509979181</v>
      </c>
      <c r="K6" s="22">
        <v>81822.952235850302</v>
      </c>
      <c r="L6" s="22">
        <v>81332.04868392591</v>
      </c>
      <c r="M6" s="22">
        <v>82193.052506169435</v>
      </c>
      <c r="N6" s="22">
        <v>84965.221399937931</v>
      </c>
      <c r="O6" s="22">
        <v>89023.729723278826</v>
      </c>
      <c r="P6" s="22">
        <v>90866.106696173752</v>
      </c>
      <c r="Q6" s="22">
        <v>97889.864429380425</v>
      </c>
      <c r="R6" s="22">
        <v>104697.97823775638</v>
      </c>
      <c r="S6" s="22">
        <v>107521.4538663257</v>
      </c>
      <c r="T6" s="22">
        <v>108097.56769707594</v>
      </c>
      <c r="U6" s="22">
        <v>115218.55808908294</v>
      </c>
      <c r="V6" s="22">
        <v>119662.96972275859</v>
      </c>
      <c r="W6" s="22">
        <v>125266.82896573635</v>
      </c>
      <c r="X6" s="22">
        <v>131956.96759636531</v>
      </c>
      <c r="Y6" s="22">
        <v>140139.26213890727</v>
      </c>
      <c r="Z6" s="22">
        <v>144322.16631204914</v>
      </c>
      <c r="AA6" s="23">
        <v>141506.63663107765</v>
      </c>
      <c r="AB6" s="96">
        <f>+SUM(D6:AA6)*AC6+SUM(D7:AA7)*AC7+SUM(D8:AA8)*AC8</f>
        <v>85511635.579596296</v>
      </c>
      <c r="AC6" s="16">
        <v>20</v>
      </c>
      <c r="AD6" s="16">
        <f t="shared" ref="AD6:AD69" si="0">+SUM(D6:AA6)*AC6</f>
        <v>55056671.003462031</v>
      </c>
    </row>
    <row r="7" spans="1:30" ht="13.5" thickBot="1" x14ac:dyDescent="0.35">
      <c r="A7" s="18">
        <v>2026</v>
      </c>
      <c r="B7" s="19" t="s">
        <v>32</v>
      </c>
      <c r="C7" s="20" t="s">
        <v>34</v>
      </c>
      <c r="D7" s="21">
        <v>149247.26843833452</v>
      </c>
      <c r="E7" s="22">
        <v>143070.8308989979</v>
      </c>
      <c r="F7" s="22">
        <v>136779.4641361582</v>
      </c>
      <c r="G7" s="22">
        <v>131193.22272544043</v>
      </c>
      <c r="H7" s="22">
        <v>125445.3749005303</v>
      </c>
      <c r="I7" s="22">
        <v>120184.60078119254</v>
      </c>
      <c r="J7" s="22">
        <v>112558.29641210035</v>
      </c>
      <c r="K7" s="22">
        <v>83951.491521977427</v>
      </c>
      <c r="L7" s="22">
        <v>84856.960143596938</v>
      </c>
      <c r="M7" s="22">
        <v>86582.856435706664</v>
      </c>
      <c r="N7" s="22">
        <v>90465.808934682413</v>
      </c>
      <c r="O7" s="22">
        <v>96775.993052534308</v>
      </c>
      <c r="P7" s="22">
        <v>100992.53281092993</v>
      </c>
      <c r="Q7" s="22">
        <v>109223.21072444641</v>
      </c>
      <c r="R7" s="22">
        <v>118144.60199441737</v>
      </c>
      <c r="S7" s="22">
        <v>120048.79189325306</v>
      </c>
      <c r="T7" s="22">
        <v>116130.47660159385</v>
      </c>
      <c r="U7" s="22">
        <v>121957.81307682986</v>
      </c>
      <c r="V7" s="22">
        <v>124445.24146986174</v>
      </c>
      <c r="W7" s="22">
        <v>128930.17893073661</v>
      </c>
      <c r="X7" s="22">
        <v>136525.37425537105</v>
      </c>
      <c r="Y7" s="22">
        <v>144096.75472592015</v>
      </c>
      <c r="Z7" s="22">
        <v>147455.88749527693</v>
      </c>
      <c r="AA7" s="23">
        <v>145276.18499836879</v>
      </c>
      <c r="AB7" s="97"/>
      <c r="AC7" s="16">
        <v>5</v>
      </c>
      <c r="AD7" s="16">
        <f t="shared" si="0"/>
        <v>14371696.08679129</v>
      </c>
    </row>
    <row r="8" spans="1:30" ht="13.5" thickBot="1" x14ac:dyDescent="0.35">
      <c r="A8" s="18">
        <v>2026</v>
      </c>
      <c r="B8" s="25" t="s">
        <v>32</v>
      </c>
      <c r="C8" s="26" t="s">
        <v>36</v>
      </c>
      <c r="D8" s="21">
        <v>142959.06672099422</v>
      </c>
      <c r="E8" s="22">
        <v>138745.26998590652</v>
      </c>
      <c r="F8" s="22">
        <v>134261.29601752968</v>
      </c>
      <c r="G8" s="22">
        <v>129638.04618177732</v>
      </c>
      <c r="H8" s="22">
        <v>124895.76965428109</v>
      </c>
      <c r="I8" s="22">
        <v>120394.75301884807</v>
      </c>
      <c r="J8" s="22">
        <v>112693.10793320691</v>
      </c>
      <c r="K8" s="22">
        <v>81911.194880910291</v>
      </c>
      <c r="L8" s="22">
        <v>81868.282486586089</v>
      </c>
      <c r="M8" s="22">
        <v>83176.055831681369</v>
      </c>
      <c r="N8" s="22">
        <v>85976.157990990585</v>
      </c>
      <c r="O8" s="22">
        <v>88973.24301350709</v>
      </c>
      <c r="P8" s="22">
        <v>90297.603275801652</v>
      </c>
      <c r="Q8" s="22">
        <v>95146.893139577107</v>
      </c>
      <c r="R8" s="22">
        <v>99418.01130132511</v>
      </c>
      <c r="S8" s="22">
        <v>101027.75428370497</v>
      </c>
      <c r="T8" s="22">
        <v>102338.93239334975</v>
      </c>
      <c r="U8" s="22">
        <v>114179.25213315152</v>
      </c>
      <c r="V8" s="22">
        <v>116684.36001315096</v>
      </c>
      <c r="W8" s="22">
        <v>118925.68132945559</v>
      </c>
      <c r="X8" s="22">
        <v>122582.69981242444</v>
      </c>
      <c r="Y8" s="22">
        <v>127948.36680225718</v>
      </c>
      <c r="Z8" s="22">
        <v>132750.34534286743</v>
      </c>
      <c r="AA8" s="23">
        <v>133752.60468054484</v>
      </c>
      <c r="AB8" s="97"/>
      <c r="AC8" s="16">
        <v>6</v>
      </c>
      <c r="AD8" s="16">
        <f t="shared" si="0"/>
        <v>16083268.489342976</v>
      </c>
    </row>
    <row r="9" spans="1:30" ht="13.5" thickBot="1" x14ac:dyDescent="0.35">
      <c r="A9" s="18">
        <v>2026</v>
      </c>
      <c r="B9" s="11" t="s">
        <v>35</v>
      </c>
      <c r="C9" s="12" t="s">
        <v>33</v>
      </c>
      <c r="D9" s="21">
        <v>148084.5718847774</v>
      </c>
      <c r="E9" s="22">
        <v>142237.04572428385</v>
      </c>
      <c r="F9" s="22">
        <v>136785.10488011097</v>
      </c>
      <c r="G9" s="22">
        <v>131732.08405864128</v>
      </c>
      <c r="H9" s="22">
        <v>126121.77650017547</v>
      </c>
      <c r="I9" s="22">
        <v>118913.11332698837</v>
      </c>
      <c r="J9" s="22">
        <v>108655.96048215644</v>
      </c>
      <c r="K9" s="22">
        <v>78420.116720408565</v>
      </c>
      <c r="L9" s="22">
        <v>77840.782340765421</v>
      </c>
      <c r="M9" s="22">
        <v>79585.874615819979</v>
      </c>
      <c r="N9" s="22">
        <v>84069.060543975531</v>
      </c>
      <c r="O9" s="22">
        <v>89451.474086267961</v>
      </c>
      <c r="P9" s="22">
        <v>92796.50309539662</v>
      </c>
      <c r="Q9" s="22">
        <v>103825.67510061208</v>
      </c>
      <c r="R9" s="22">
        <v>110428.72426275586</v>
      </c>
      <c r="S9" s="22">
        <v>112606.83538276698</v>
      </c>
      <c r="T9" s="22">
        <v>112498.01360884673</v>
      </c>
      <c r="U9" s="22">
        <v>119088.02722261913</v>
      </c>
      <c r="V9" s="22">
        <v>122903.69321530542</v>
      </c>
      <c r="W9" s="22">
        <v>130570.27769514397</v>
      </c>
      <c r="X9" s="22">
        <v>138830.11962752472</v>
      </c>
      <c r="Y9" s="22">
        <v>146748.1456699979</v>
      </c>
      <c r="Z9" s="22">
        <v>147512.97238598618</v>
      </c>
      <c r="AA9" s="23">
        <v>143538.00285005965</v>
      </c>
      <c r="AB9" s="96">
        <f t="shared" ref="AB9" si="1">+SUM(D9:AA9)*AC9+SUM(D10:AA10)*AC10+SUM(D11:AA11)*AC11</f>
        <v>79379759.479967415</v>
      </c>
      <c r="AC9" s="16">
        <v>20</v>
      </c>
      <c r="AD9" s="16">
        <f t="shared" si="0"/>
        <v>56064879.105627745</v>
      </c>
    </row>
    <row r="10" spans="1:30" ht="13.5" thickBot="1" x14ac:dyDescent="0.35">
      <c r="A10" s="18">
        <v>2026</v>
      </c>
      <c r="B10" s="19" t="s">
        <v>35</v>
      </c>
      <c r="C10" s="20" t="s">
        <v>34</v>
      </c>
      <c r="D10" s="21">
        <v>153147.08964335144</v>
      </c>
      <c r="E10" s="22">
        <v>146410.76318229246</v>
      </c>
      <c r="F10" s="22">
        <v>140434.93688948022</v>
      </c>
      <c r="G10" s="22">
        <v>134703.89351389531</v>
      </c>
      <c r="H10" s="22">
        <v>127992.27662196982</v>
      </c>
      <c r="I10" s="22">
        <v>121084.86947715323</v>
      </c>
      <c r="J10" s="22">
        <v>109978.77719900137</v>
      </c>
      <c r="K10" s="22">
        <v>81029.899530708819</v>
      </c>
      <c r="L10" s="22">
        <v>82385.017305228495</v>
      </c>
      <c r="M10" s="22">
        <v>85299.352487302443</v>
      </c>
      <c r="N10" s="22">
        <v>90568.665984854146</v>
      </c>
      <c r="O10" s="22">
        <v>98193.611871204193</v>
      </c>
      <c r="P10" s="22">
        <v>102541.89682451286</v>
      </c>
      <c r="Q10" s="22">
        <v>115169.1816402472</v>
      </c>
      <c r="R10" s="22">
        <v>126495.71103618904</v>
      </c>
      <c r="S10" s="22">
        <v>127151.66307323085</v>
      </c>
      <c r="T10" s="22">
        <v>124305.5211606986</v>
      </c>
      <c r="U10" s="22">
        <v>127408.02945694732</v>
      </c>
      <c r="V10" s="22">
        <v>128304.70770041191</v>
      </c>
      <c r="W10" s="22">
        <v>134363.72543714452</v>
      </c>
      <c r="X10" s="22">
        <v>140657.8631892371</v>
      </c>
      <c r="Y10" s="22">
        <v>148113.37314177907</v>
      </c>
      <c r="Z10" s="22">
        <v>152207.65870809089</v>
      </c>
      <c r="AA10" s="23">
        <v>149529.70963866374</v>
      </c>
      <c r="AB10" s="97"/>
      <c r="AC10" s="16">
        <v>4</v>
      </c>
      <c r="AD10" s="16">
        <f t="shared" si="0"/>
        <v>11789912.778854379</v>
      </c>
    </row>
    <row r="11" spans="1:30" ht="13.5" thickBot="1" x14ac:dyDescent="0.35">
      <c r="A11" s="18">
        <v>2026</v>
      </c>
      <c r="B11" s="25" t="s">
        <v>35</v>
      </c>
      <c r="C11" s="26" t="s">
        <v>36</v>
      </c>
      <c r="D11" s="21">
        <v>153867.805022371</v>
      </c>
      <c r="E11" s="22">
        <v>147520.19023520214</v>
      </c>
      <c r="F11" s="22">
        <v>142074.20366437148</v>
      </c>
      <c r="G11" s="22">
        <v>136526.78336368746</v>
      </c>
      <c r="H11" s="22">
        <v>131038.06317809687</v>
      </c>
      <c r="I11" s="22">
        <v>126538.71643936155</v>
      </c>
      <c r="J11" s="22">
        <v>117694.92399938998</v>
      </c>
      <c r="K11" s="22">
        <v>86851.820342031628</v>
      </c>
      <c r="L11" s="22">
        <v>88052.597591882048</v>
      </c>
      <c r="M11" s="22">
        <v>91859.220629133255</v>
      </c>
      <c r="N11" s="22">
        <v>96846.279035543921</v>
      </c>
      <c r="O11" s="22">
        <v>102305.61767262632</v>
      </c>
      <c r="P11" s="22">
        <v>101554.62469170528</v>
      </c>
      <c r="Q11" s="22">
        <v>107064.576909166</v>
      </c>
      <c r="R11" s="22">
        <v>110595.83645987637</v>
      </c>
      <c r="S11" s="22">
        <v>114189.72777193284</v>
      </c>
      <c r="T11" s="22">
        <v>114786.30496035051</v>
      </c>
      <c r="U11" s="22">
        <v>122809.1773106859</v>
      </c>
      <c r="V11" s="22">
        <v>125309.39193674913</v>
      </c>
      <c r="W11" s="22">
        <v>127850.13664713938</v>
      </c>
      <c r="X11" s="22">
        <v>129079.31008214461</v>
      </c>
      <c r="Y11" s="22">
        <v>132895.07702489363</v>
      </c>
      <c r="Z11" s="22">
        <v>136793.43199098355</v>
      </c>
      <c r="AA11" s="23">
        <v>137138.08191199772</v>
      </c>
      <c r="AB11" s="97"/>
      <c r="AC11" s="16">
        <v>4</v>
      </c>
      <c r="AD11" s="16">
        <f t="shared" si="0"/>
        <v>11524967.595485291</v>
      </c>
    </row>
    <row r="12" spans="1:30" ht="13.5" thickBot="1" x14ac:dyDescent="0.35">
      <c r="A12" s="18">
        <v>2026</v>
      </c>
      <c r="B12" s="11" t="s">
        <v>37</v>
      </c>
      <c r="C12" s="12" t="s">
        <v>33</v>
      </c>
      <c r="D12" s="21">
        <v>181182.53689293913</v>
      </c>
      <c r="E12" s="22">
        <v>174883.78962609527</v>
      </c>
      <c r="F12" s="22">
        <v>168759.39035388982</v>
      </c>
      <c r="G12" s="22">
        <v>163221.20214762262</v>
      </c>
      <c r="H12" s="22">
        <v>157352.06310998366</v>
      </c>
      <c r="I12" s="22">
        <v>148263.61791380725</v>
      </c>
      <c r="J12" s="22">
        <v>136234.15548234049</v>
      </c>
      <c r="K12" s="22">
        <v>106563.74497871719</v>
      </c>
      <c r="L12" s="22">
        <v>106400.56270034421</v>
      </c>
      <c r="M12" s="22">
        <v>108909.86537401263</v>
      </c>
      <c r="N12" s="22">
        <v>113639.17213319213</v>
      </c>
      <c r="O12" s="22">
        <v>119958.60138288455</v>
      </c>
      <c r="P12" s="22">
        <v>124362.19064875295</v>
      </c>
      <c r="Q12" s="22">
        <v>134991.35373401994</v>
      </c>
      <c r="R12" s="22">
        <v>141442.79844449801</v>
      </c>
      <c r="S12" s="22">
        <v>143662.98667419184</v>
      </c>
      <c r="T12" s="22">
        <v>143721.35334953273</v>
      </c>
      <c r="U12" s="22">
        <v>149530.58112449333</v>
      </c>
      <c r="V12" s="22">
        <v>153890.46571369233</v>
      </c>
      <c r="W12" s="22">
        <v>163607.14588865949</v>
      </c>
      <c r="X12" s="22">
        <v>172053.91633179819</v>
      </c>
      <c r="Y12" s="22">
        <v>180623.40812990427</v>
      </c>
      <c r="Z12" s="22">
        <v>182539.1139318257</v>
      </c>
      <c r="AA12" s="23">
        <v>177684.22526172467</v>
      </c>
      <c r="AB12" s="96">
        <f t="shared" ref="AB12" si="2">+SUM(D12:AA12)*AC12+SUM(D13:AA13)*AC13+SUM(D14:AA14)*AC14</f>
        <v>110991542.61140525</v>
      </c>
      <c r="AC12" s="16">
        <v>21</v>
      </c>
      <c r="AD12" s="16">
        <f t="shared" si="0"/>
        <v>74623043.067907378</v>
      </c>
    </row>
    <row r="13" spans="1:30" ht="13.5" thickBot="1" x14ac:dyDescent="0.35">
      <c r="A13" s="18">
        <v>2026</v>
      </c>
      <c r="B13" s="19" t="s">
        <v>37</v>
      </c>
      <c r="C13" s="20" t="s">
        <v>34</v>
      </c>
      <c r="D13" s="21">
        <v>187081.94425461482</v>
      </c>
      <c r="E13" s="22">
        <v>179792.26157794427</v>
      </c>
      <c r="F13" s="22">
        <v>172897.63890171651</v>
      </c>
      <c r="G13" s="22">
        <v>166201.98573843273</v>
      </c>
      <c r="H13" s="22">
        <v>158793.29779839836</v>
      </c>
      <c r="I13" s="22">
        <v>148446.18933681611</v>
      </c>
      <c r="J13" s="22">
        <v>134964.30391090346</v>
      </c>
      <c r="K13" s="22">
        <v>106826.61787959948</v>
      </c>
      <c r="L13" s="22">
        <v>108815.73538226122</v>
      </c>
      <c r="M13" s="22">
        <v>112424.46780522102</v>
      </c>
      <c r="N13" s="22">
        <v>118722.46066429961</v>
      </c>
      <c r="O13" s="22">
        <v>125417.53670646105</v>
      </c>
      <c r="P13" s="22">
        <v>130779.18472402269</v>
      </c>
      <c r="Q13" s="22">
        <v>143152.82690787423</v>
      </c>
      <c r="R13" s="22">
        <v>153145.32431415893</v>
      </c>
      <c r="S13" s="22">
        <v>154197.63212839095</v>
      </c>
      <c r="T13" s="22">
        <v>151312.2435221411</v>
      </c>
      <c r="U13" s="22">
        <v>154951.37834585563</v>
      </c>
      <c r="V13" s="22">
        <v>158763.0020947819</v>
      </c>
      <c r="W13" s="22">
        <v>167303.51822691536</v>
      </c>
      <c r="X13" s="22">
        <v>174708.40379744503</v>
      </c>
      <c r="Y13" s="22">
        <v>183934.06827772269</v>
      </c>
      <c r="Z13" s="22">
        <v>187728.33556406695</v>
      </c>
      <c r="AA13" s="23">
        <v>183609.13319902774</v>
      </c>
      <c r="AB13" s="97"/>
      <c r="AC13" s="16">
        <v>4</v>
      </c>
      <c r="AD13" s="16">
        <f t="shared" si="0"/>
        <v>14655877.964236287</v>
      </c>
    </row>
    <row r="14" spans="1:30" ht="13.5" thickBot="1" x14ac:dyDescent="0.35">
      <c r="A14" s="18">
        <v>2026</v>
      </c>
      <c r="B14" s="25" t="s">
        <v>37</v>
      </c>
      <c r="C14" s="26" t="s">
        <v>36</v>
      </c>
      <c r="D14" s="21">
        <v>187032.10432268379</v>
      </c>
      <c r="E14" s="22">
        <v>180080.66027307222</v>
      </c>
      <c r="F14" s="22">
        <v>174210.06706993905</v>
      </c>
      <c r="G14" s="22">
        <v>168636.33072959568</v>
      </c>
      <c r="H14" s="22">
        <v>163007.34683381786</v>
      </c>
      <c r="I14" s="22">
        <v>156387.21442334799</v>
      </c>
      <c r="J14" s="22">
        <v>146479.65154868417</v>
      </c>
      <c r="K14" s="22">
        <v>115755.88104676112</v>
      </c>
      <c r="L14" s="22">
        <v>115349.37502439956</v>
      </c>
      <c r="M14" s="22">
        <v>116881.98226457939</v>
      </c>
      <c r="N14" s="22">
        <v>120260.73086313363</v>
      </c>
      <c r="O14" s="22">
        <v>124155.58353139106</v>
      </c>
      <c r="P14" s="22">
        <v>127253.60019324349</v>
      </c>
      <c r="Q14" s="22">
        <v>133916.71155898165</v>
      </c>
      <c r="R14" s="22">
        <v>140996.48322113254</v>
      </c>
      <c r="S14" s="22">
        <v>142677.13404546943</v>
      </c>
      <c r="T14" s="22">
        <v>142499.57891275862</v>
      </c>
      <c r="U14" s="22">
        <v>151957.35557877942</v>
      </c>
      <c r="V14" s="22">
        <v>156469.67225533861</v>
      </c>
      <c r="W14" s="22">
        <v>161558.91802442062</v>
      </c>
      <c r="X14" s="22">
        <v>165569.37587174764</v>
      </c>
      <c r="Y14" s="22">
        <v>172025.83215793208</v>
      </c>
      <c r="Z14" s="22">
        <v>177477.76180471564</v>
      </c>
      <c r="AA14" s="23">
        <v>178130.91165433847</v>
      </c>
      <c r="AB14" s="97"/>
      <c r="AC14" s="16">
        <v>6</v>
      </c>
      <c r="AD14" s="16">
        <f t="shared" si="0"/>
        <v>21712621.579261586</v>
      </c>
    </row>
    <row r="15" spans="1:30" ht="13.5" thickBot="1" x14ac:dyDescent="0.35">
      <c r="A15" s="18">
        <v>2026</v>
      </c>
      <c r="B15" s="11" t="s">
        <v>38</v>
      </c>
      <c r="C15" s="12" t="s">
        <v>33</v>
      </c>
      <c r="D15" s="21">
        <v>176991.30766268354</v>
      </c>
      <c r="E15" s="22">
        <v>169944.56145453354</v>
      </c>
      <c r="F15" s="22">
        <v>163430.49611173174</v>
      </c>
      <c r="G15" s="22">
        <v>157725.79321767917</v>
      </c>
      <c r="H15" s="22">
        <v>151741.82226435954</v>
      </c>
      <c r="I15" s="22">
        <v>142205.15170436344</v>
      </c>
      <c r="J15" s="22">
        <v>132769.52634754265</v>
      </c>
      <c r="K15" s="22">
        <v>104206.18811075515</v>
      </c>
      <c r="L15" s="22">
        <v>101649.17026546451</v>
      </c>
      <c r="M15" s="22">
        <v>101114.00494816039</v>
      </c>
      <c r="N15" s="22">
        <v>103515.46602181729</v>
      </c>
      <c r="O15" s="22">
        <v>108580.65511039714</v>
      </c>
      <c r="P15" s="22">
        <v>112311.20409177737</v>
      </c>
      <c r="Q15" s="22">
        <v>122548.57666678217</v>
      </c>
      <c r="R15" s="22">
        <v>129704.60769668563</v>
      </c>
      <c r="S15" s="22">
        <v>132534.45032410271</v>
      </c>
      <c r="T15" s="22">
        <v>134942.03018699525</v>
      </c>
      <c r="U15" s="22">
        <v>145999.9488668534</v>
      </c>
      <c r="V15" s="22">
        <v>149495.34719087818</v>
      </c>
      <c r="W15" s="22">
        <v>158049.03237442346</v>
      </c>
      <c r="X15" s="22">
        <v>166421.14747520463</v>
      </c>
      <c r="Y15" s="22">
        <v>174658.59853169144</v>
      </c>
      <c r="Z15" s="22">
        <v>177507.56083554358</v>
      </c>
      <c r="AA15" s="23">
        <v>172758.19891008222</v>
      </c>
      <c r="AB15" s="96">
        <f t="shared" ref="AB15" si="3">+SUM(D15:AA15)*AC15+SUM(D16:AA16)*AC16+SUM(D17:AA17)*AC17</f>
        <v>102164709.1190819</v>
      </c>
      <c r="AC15" s="16">
        <v>20</v>
      </c>
      <c r="AD15" s="16">
        <f t="shared" si="0"/>
        <v>67816096.927410156</v>
      </c>
    </row>
    <row r="16" spans="1:30" ht="13.5" thickBot="1" x14ac:dyDescent="0.35">
      <c r="A16" s="18">
        <v>2026</v>
      </c>
      <c r="B16" s="19" t="s">
        <v>38</v>
      </c>
      <c r="C16" s="20" t="s">
        <v>34</v>
      </c>
      <c r="D16" s="21">
        <v>176694.8589126835</v>
      </c>
      <c r="E16" s="22">
        <v>169766.4919545335</v>
      </c>
      <c r="F16" s="22">
        <v>163059.60161173172</v>
      </c>
      <c r="G16" s="22">
        <v>157300.22146767913</v>
      </c>
      <c r="H16" s="22">
        <v>151421.3772643595</v>
      </c>
      <c r="I16" s="22">
        <v>141682.74220436343</v>
      </c>
      <c r="J16" s="22">
        <v>131873.63034754264</v>
      </c>
      <c r="K16" s="22">
        <v>103676.51786075514</v>
      </c>
      <c r="L16" s="22">
        <v>101996.88526546449</v>
      </c>
      <c r="M16" s="22">
        <v>102256.8136981604</v>
      </c>
      <c r="N16" s="22">
        <v>105393.78402181731</v>
      </c>
      <c r="O16" s="22">
        <v>111287.07886039712</v>
      </c>
      <c r="P16" s="22">
        <v>115662.17634177738</v>
      </c>
      <c r="Q16" s="22">
        <v>126085.38991678218</v>
      </c>
      <c r="R16" s="22">
        <v>133633.66569668564</v>
      </c>
      <c r="S16" s="22">
        <v>136126.73957410268</v>
      </c>
      <c r="T16" s="22">
        <v>137437.84943699525</v>
      </c>
      <c r="U16" s="22">
        <v>146470.18761685339</v>
      </c>
      <c r="V16" s="22">
        <v>149416.64219087822</v>
      </c>
      <c r="W16" s="22">
        <v>158876.78937442348</v>
      </c>
      <c r="X16" s="22">
        <v>168131.79322520463</v>
      </c>
      <c r="Y16" s="22">
        <v>176570.30653169137</v>
      </c>
      <c r="Z16" s="22">
        <v>178917.55258554363</v>
      </c>
      <c r="AA16" s="23">
        <v>173304.84766008222</v>
      </c>
      <c r="AB16" s="97"/>
      <c r="AC16" s="16">
        <v>4</v>
      </c>
      <c r="AD16" s="16">
        <f t="shared" si="0"/>
        <v>13668175.774482036</v>
      </c>
    </row>
    <row r="17" spans="1:30" ht="13.5" thickBot="1" x14ac:dyDescent="0.35">
      <c r="A17" s="18">
        <v>2026</v>
      </c>
      <c r="B17" s="25" t="s">
        <v>38</v>
      </c>
      <c r="C17" s="26" t="s">
        <v>36</v>
      </c>
      <c r="D17" s="21">
        <v>178561.77811655556</v>
      </c>
      <c r="E17" s="22">
        <v>171383.8020144625</v>
      </c>
      <c r="F17" s="22">
        <v>164616.43726367096</v>
      </c>
      <c r="G17" s="22">
        <v>158770.57994506342</v>
      </c>
      <c r="H17" s="22">
        <v>153154.89837183288</v>
      </c>
      <c r="I17" s="22">
        <v>144285.41820061181</v>
      </c>
      <c r="J17" s="22">
        <v>135358.227895007</v>
      </c>
      <c r="K17" s="22">
        <v>106706.19575609587</v>
      </c>
      <c r="L17" s="22">
        <v>106510.20601595374</v>
      </c>
      <c r="M17" s="22">
        <v>107602.23708836704</v>
      </c>
      <c r="N17" s="22">
        <v>110763.07090669114</v>
      </c>
      <c r="O17" s="22">
        <v>116035.98761199009</v>
      </c>
      <c r="P17" s="22">
        <v>118330.31642103846</v>
      </c>
      <c r="Q17" s="22">
        <v>125213.40449721461</v>
      </c>
      <c r="R17" s="22">
        <v>133163.64416053329</v>
      </c>
      <c r="S17" s="22">
        <v>135393.68382723027</v>
      </c>
      <c r="T17" s="22">
        <v>137276.86019314823</v>
      </c>
      <c r="U17" s="22">
        <v>148610.59221746217</v>
      </c>
      <c r="V17" s="22">
        <v>152153.5181750191</v>
      </c>
      <c r="W17" s="22">
        <v>158627.8243175589</v>
      </c>
      <c r="X17" s="22">
        <v>164307.81368478175</v>
      </c>
      <c r="Y17" s="22">
        <v>171064.49000969183</v>
      </c>
      <c r="Z17" s="22">
        <v>175278.84020828982</v>
      </c>
      <c r="AA17" s="23">
        <v>173569.57596667914</v>
      </c>
      <c r="AB17" s="97"/>
      <c r="AC17" s="16">
        <v>6</v>
      </c>
      <c r="AD17" s="16">
        <f t="shared" si="0"/>
        <v>20680436.417189699</v>
      </c>
    </row>
    <row r="18" spans="1:30" ht="13.5" thickBot="1" x14ac:dyDescent="0.35">
      <c r="A18" s="18">
        <v>2026</v>
      </c>
      <c r="B18" s="11" t="s">
        <v>39</v>
      </c>
      <c r="C18" s="12" t="s">
        <v>33</v>
      </c>
      <c r="D18" s="21">
        <v>180271.06975094174</v>
      </c>
      <c r="E18" s="22">
        <v>172951.06386073667</v>
      </c>
      <c r="F18" s="22">
        <v>166364.0855290177</v>
      </c>
      <c r="G18" s="22">
        <v>160550.71586396609</v>
      </c>
      <c r="H18" s="22">
        <v>154545.96947531487</v>
      </c>
      <c r="I18" s="22">
        <v>145223.053845697</v>
      </c>
      <c r="J18" s="22">
        <v>135160.87708425699</v>
      </c>
      <c r="K18" s="22">
        <v>106936.19928675352</v>
      </c>
      <c r="L18" s="22">
        <v>105070.79835336492</v>
      </c>
      <c r="M18" s="22">
        <v>104939.08803737105</v>
      </c>
      <c r="N18" s="22">
        <v>107988.48579962946</v>
      </c>
      <c r="O18" s="22">
        <v>113410.14444674989</v>
      </c>
      <c r="P18" s="22">
        <v>117296.04773887242</v>
      </c>
      <c r="Q18" s="22">
        <v>127997.45422631483</v>
      </c>
      <c r="R18" s="22">
        <v>135534.18170027272</v>
      </c>
      <c r="S18" s="22">
        <v>137970.62898966135</v>
      </c>
      <c r="T18" s="22">
        <v>139642.83553916344</v>
      </c>
      <c r="U18" s="22">
        <v>149412.76798465842</v>
      </c>
      <c r="V18" s="22">
        <v>153164.64025584422</v>
      </c>
      <c r="W18" s="22">
        <v>161748.48431690168</v>
      </c>
      <c r="X18" s="22">
        <v>170462.09817844836</v>
      </c>
      <c r="Y18" s="22">
        <v>178533.56317624779</v>
      </c>
      <c r="Z18" s="22">
        <v>181148.88213366485</v>
      </c>
      <c r="AA18" s="23">
        <v>176117.84896364642</v>
      </c>
      <c r="AB18" s="96">
        <f t="shared" ref="AB18" si="4">+SUM(D18:AA18)*AC18+SUM(D19:AA19)*AC19+SUM(D20:AA20)*AC20</f>
        <v>108066365.25027806</v>
      </c>
      <c r="AC18" s="16">
        <v>19</v>
      </c>
      <c r="AD18" s="16">
        <f t="shared" si="0"/>
        <v>66166378.706212431</v>
      </c>
    </row>
    <row r="19" spans="1:30" ht="13.5" thickBot="1" x14ac:dyDescent="0.35">
      <c r="A19" s="18">
        <v>2026</v>
      </c>
      <c r="B19" s="19" t="s">
        <v>39</v>
      </c>
      <c r="C19" s="20" t="s">
        <v>34</v>
      </c>
      <c r="D19" s="21">
        <v>180882.26431826246</v>
      </c>
      <c r="E19" s="22">
        <v>173368.32629623314</v>
      </c>
      <c r="F19" s="22">
        <v>166823.51440534554</v>
      </c>
      <c r="G19" s="22">
        <v>160820.3336479362</v>
      </c>
      <c r="H19" s="22">
        <v>154750.07089544655</v>
      </c>
      <c r="I19" s="22">
        <v>144785.2480114029</v>
      </c>
      <c r="J19" s="22">
        <v>134141.29169733991</v>
      </c>
      <c r="K19" s="22">
        <v>106948.60279064754</v>
      </c>
      <c r="L19" s="22">
        <v>106471.55119108006</v>
      </c>
      <c r="M19" s="22">
        <v>107471.08345107091</v>
      </c>
      <c r="N19" s="22">
        <v>111426.7700887367</v>
      </c>
      <c r="O19" s="22">
        <v>117467.36409702789</v>
      </c>
      <c r="P19" s="22">
        <v>121318.45066387819</v>
      </c>
      <c r="Q19" s="22">
        <v>134411.00107301556</v>
      </c>
      <c r="R19" s="22">
        <v>142041.121889164</v>
      </c>
      <c r="S19" s="22">
        <v>144106.19172698207</v>
      </c>
      <c r="T19" s="22">
        <v>145122.57797186237</v>
      </c>
      <c r="U19" s="22">
        <v>152675.23848331347</v>
      </c>
      <c r="V19" s="22">
        <v>155775.1594829323</v>
      </c>
      <c r="W19" s="22">
        <v>165312.69486331739</v>
      </c>
      <c r="X19" s="22">
        <v>175088.1628356009</v>
      </c>
      <c r="Y19" s="22">
        <v>183319.87856195591</v>
      </c>
      <c r="Z19" s="22">
        <v>184984.41786687265</v>
      </c>
      <c r="AA19" s="23">
        <v>178404.96691360444</v>
      </c>
      <c r="AB19" s="97"/>
      <c r="AC19" s="16">
        <v>5</v>
      </c>
      <c r="AD19" s="16">
        <f t="shared" si="0"/>
        <v>17739581.416115142</v>
      </c>
    </row>
    <row r="20" spans="1:30" ht="13.5" thickBot="1" x14ac:dyDescent="0.35">
      <c r="A20" s="18">
        <v>2026</v>
      </c>
      <c r="B20" s="25" t="s">
        <v>39</v>
      </c>
      <c r="C20" s="26" t="s">
        <v>36</v>
      </c>
      <c r="D20" s="21">
        <v>180273.59810005038</v>
      </c>
      <c r="E20" s="22">
        <v>173440.93724105603</v>
      </c>
      <c r="F20" s="22">
        <v>166753.83282433962</v>
      </c>
      <c r="G20" s="22">
        <v>161071.56058503842</v>
      </c>
      <c r="H20" s="22">
        <v>155682.50261719737</v>
      </c>
      <c r="I20" s="22">
        <v>148260.89276922029</v>
      </c>
      <c r="J20" s="22">
        <v>139993.17519419894</v>
      </c>
      <c r="K20" s="22">
        <v>109891.47661657361</v>
      </c>
      <c r="L20" s="22">
        <v>107526.0119163659</v>
      </c>
      <c r="M20" s="22">
        <v>107349.27680727534</v>
      </c>
      <c r="N20" s="22">
        <v>109555.00121727881</v>
      </c>
      <c r="O20" s="22">
        <v>114196.36831414</v>
      </c>
      <c r="P20" s="22">
        <v>116495.18446812929</v>
      </c>
      <c r="Q20" s="22">
        <v>121369.12377514843</v>
      </c>
      <c r="R20" s="22">
        <v>128567.2417866262</v>
      </c>
      <c r="S20" s="22">
        <v>131702.13915317025</v>
      </c>
      <c r="T20" s="22">
        <v>134520.48431279155</v>
      </c>
      <c r="U20" s="22">
        <v>148028.86956376705</v>
      </c>
      <c r="V20" s="22">
        <v>153159.68132525569</v>
      </c>
      <c r="W20" s="22">
        <v>159072.00798991197</v>
      </c>
      <c r="X20" s="22">
        <v>164167.66534015071</v>
      </c>
      <c r="Y20" s="22">
        <v>171023.4241534271</v>
      </c>
      <c r="Z20" s="22">
        <v>175375.97233685615</v>
      </c>
      <c r="AA20" s="23">
        <v>174010.01844210157</v>
      </c>
      <c r="AB20" s="97"/>
      <c r="AC20" s="16">
        <v>7</v>
      </c>
      <c r="AD20" s="16">
        <f t="shared" si="0"/>
        <v>24160405.127950497</v>
      </c>
    </row>
    <row r="21" spans="1:30" ht="13.5" thickBot="1" x14ac:dyDescent="0.35">
      <c r="A21" s="18">
        <v>2026</v>
      </c>
      <c r="B21" s="11" t="s">
        <v>40</v>
      </c>
      <c r="C21" s="12" t="s">
        <v>33</v>
      </c>
      <c r="D21" s="21">
        <v>184954.43148625718</v>
      </c>
      <c r="E21" s="22">
        <v>177627.93446273703</v>
      </c>
      <c r="F21" s="22">
        <v>170970.5476896319</v>
      </c>
      <c r="G21" s="22">
        <v>165251.02564480365</v>
      </c>
      <c r="H21" s="22">
        <v>159330.28891988573</v>
      </c>
      <c r="I21" s="22">
        <v>150074.17556023062</v>
      </c>
      <c r="J21" s="22">
        <v>140115.14074011557</v>
      </c>
      <c r="K21" s="22">
        <v>111340.27914254103</v>
      </c>
      <c r="L21" s="22">
        <v>108500.6383847352</v>
      </c>
      <c r="M21" s="22">
        <v>107950.8384694156</v>
      </c>
      <c r="N21" s="22">
        <v>110685.05516871341</v>
      </c>
      <c r="O21" s="22">
        <v>116092.53018099081</v>
      </c>
      <c r="P21" s="22">
        <v>120320.42073881837</v>
      </c>
      <c r="Q21" s="22">
        <v>130659.77862096316</v>
      </c>
      <c r="R21" s="22">
        <v>137835.60268139309</v>
      </c>
      <c r="S21" s="22">
        <v>140330.76778326419</v>
      </c>
      <c r="T21" s="22">
        <v>141863.21331998223</v>
      </c>
      <c r="U21" s="22">
        <v>151783.97149764307</v>
      </c>
      <c r="V21" s="22">
        <v>157156.8078850446</v>
      </c>
      <c r="W21" s="22">
        <v>166045.12328264999</v>
      </c>
      <c r="X21" s="22">
        <v>174993.80863651462</v>
      </c>
      <c r="Y21" s="22">
        <v>183245.85576547467</v>
      </c>
      <c r="Z21" s="22">
        <v>185736.22891024055</v>
      </c>
      <c r="AA21" s="23">
        <v>180688.92903545513</v>
      </c>
      <c r="AB21" s="96">
        <f t="shared" ref="AB21" si="5">+SUM(D21:AA21)*AC21+SUM(D22:AA22)*AC22+SUM(D23:AA23)*AC23</f>
        <v>107153512.41351245</v>
      </c>
      <c r="AC21" s="16">
        <v>19</v>
      </c>
      <c r="AD21" s="16">
        <f t="shared" si="0"/>
        <v>67897514.486142531</v>
      </c>
    </row>
    <row r="22" spans="1:30" ht="13.5" thickBot="1" x14ac:dyDescent="0.35">
      <c r="A22" s="18">
        <v>2026</v>
      </c>
      <c r="B22" s="19" t="s">
        <v>40</v>
      </c>
      <c r="C22" s="20" t="s">
        <v>34</v>
      </c>
      <c r="D22" s="21">
        <v>185596.47797656889</v>
      </c>
      <c r="E22" s="22">
        <v>177756.9026003218</v>
      </c>
      <c r="F22" s="22">
        <v>171020.33764253499</v>
      </c>
      <c r="G22" s="22">
        <v>165017.65821828696</v>
      </c>
      <c r="H22" s="22">
        <v>158820.72879875734</v>
      </c>
      <c r="I22" s="22">
        <v>148843.11920630856</v>
      </c>
      <c r="J22" s="22">
        <v>138354.81715544208</v>
      </c>
      <c r="K22" s="22">
        <v>111332.94915019594</v>
      </c>
      <c r="L22" s="22">
        <v>111138.89204579608</v>
      </c>
      <c r="M22" s="22">
        <v>112044.65381471411</v>
      </c>
      <c r="N22" s="22">
        <v>115703.2753706053</v>
      </c>
      <c r="O22" s="22">
        <v>121766.230976566</v>
      </c>
      <c r="P22" s="22">
        <v>125800.22721488551</v>
      </c>
      <c r="Q22" s="22">
        <v>138925.43218946666</v>
      </c>
      <c r="R22" s="22">
        <v>147300.02709795363</v>
      </c>
      <c r="S22" s="22">
        <v>149087.92218959244</v>
      </c>
      <c r="T22" s="22">
        <v>149305.75192612151</v>
      </c>
      <c r="U22" s="22">
        <v>156471.54710906895</v>
      </c>
      <c r="V22" s="22">
        <v>160476.90287734216</v>
      </c>
      <c r="W22" s="22">
        <v>169703.82957962601</v>
      </c>
      <c r="X22" s="22">
        <v>179751.09597271399</v>
      </c>
      <c r="Y22" s="22">
        <v>188302.14191749709</v>
      </c>
      <c r="Z22" s="22">
        <v>190169.00979540256</v>
      </c>
      <c r="AA22" s="23">
        <v>183666.58560281366</v>
      </c>
      <c r="AB22" s="97"/>
      <c r="AC22" s="16">
        <v>4</v>
      </c>
      <c r="AD22" s="16">
        <f t="shared" si="0"/>
        <v>14625426.065714328</v>
      </c>
    </row>
    <row r="23" spans="1:30" ht="13.5" thickBot="1" x14ac:dyDescent="0.35">
      <c r="A23" s="18">
        <v>2026</v>
      </c>
      <c r="B23" s="25" t="s">
        <v>40</v>
      </c>
      <c r="C23" s="26" t="s">
        <v>36</v>
      </c>
      <c r="D23" s="21">
        <v>183302.93508833734</v>
      </c>
      <c r="E23" s="22">
        <v>176549.02683471187</v>
      </c>
      <c r="F23" s="22">
        <v>169860.75472561549</v>
      </c>
      <c r="G23" s="22">
        <v>164086.73799150431</v>
      </c>
      <c r="H23" s="22">
        <v>158748.45744124911</v>
      </c>
      <c r="I23" s="22">
        <v>151765.6553412475</v>
      </c>
      <c r="J23" s="22">
        <v>143573.93736563055</v>
      </c>
      <c r="K23" s="22">
        <v>113037.66844531147</v>
      </c>
      <c r="L23" s="22">
        <v>109893.73687913072</v>
      </c>
      <c r="M23" s="22">
        <v>108840.62880767866</v>
      </c>
      <c r="N23" s="22">
        <v>110839.76913323684</v>
      </c>
      <c r="O23" s="22">
        <v>115591.61478251989</v>
      </c>
      <c r="P23" s="22">
        <v>118317.71593651992</v>
      </c>
      <c r="Q23" s="22">
        <v>123680.16519541538</v>
      </c>
      <c r="R23" s="22">
        <v>130994.15246871409</v>
      </c>
      <c r="S23" s="22">
        <v>134183.41264505804</v>
      </c>
      <c r="T23" s="22">
        <v>136740.02733338383</v>
      </c>
      <c r="U23" s="22">
        <v>149567.36371942106</v>
      </c>
      <c r="V23" s="22">
        <v>155536.88961491152</v>
      </c>
      <c r="W23" s="22">
        <v>162203.0353356252</v>
      </c>
      <c r="X23" s="22">
        <v>168164.58848942016</v>
      </c>
      <c r="Y23" s="22">
        <v>175671.16209690922</v>
      </c>
      <c r="Z23" s="22">
        <v>179743.85401222733</v>
      </c>
      <c r="AA23" s="23">
        <v>177759.83340987677</v>
      </c>
      <c r="AB23" s="97"/>
      <c r="AC23" s="16">
        <v>7</v>
      </c>
      <c r="AD23" s="16">
        <f t="shared" si="0"/>
        <v>24630571.861655589</v>
      </c>
    </row>
    <row r="24" spans="1:30" ht="13.5" thickBot="1" x14ac:dyDescent="0.35">
      <c r="A24" s="18">
        <v>2026</v>
      </c>
      <c r="B24" s="11" t="s">
        <v>41</v>
      </c>
      <c r="C24" s="12" t="s">
        <v>33</v>
      </c>
      <c r="D24" s="21">
        <v>178683.76688439903</v>
      </c>
      <c r="E24" s="22">
        <v>171449.4882795772</v>
      </c>
      <c r="F24" s="22">
        <v>164903.86341503207</v>
      </c>
      <c r="G24" s="22">
        <v>159261.42982025968</v>
      </c>
      <c r="H24" s="22">
        <v>153494.60921970799</v>
      </c>
      <c r="I24" s="22">
        <v>144260.72534669423</v>
      </c>
      <c r="J24" s="22">
        <v>134251.82614511336</v>
      </c>
      <c r="K24" s="22">
        <v>106187.18775281498</v>
      </c>
      <c r="L24" s="22">
        <v>104166.92875251654</v>
      </c>
      <c r="M24" s="22">
        <v>104132.22028119596</v>
      </c>
      <c r="N24" s="22">
        <v>107067.03959015789</v>
      </c>
      <c r="O24" s="22">
        <v>112420.34916566755</v>
      </c>
      <c r="P24" s="22">
        <v>116054.22177330204</v>
      </c>
      <c r="Q24" s="22">
        <v>126735.90578565454</v>
      </c>
      <c r="R24" s="22">
        <v>134207.42860180442</v>
      </c>
      <c r="S24" s="22">
        <v>136483.86644913992</v>
      </c>
      <c r="T24" s="22">
        <v>137978.85496468865</v>
      </c>
      <c r="U24" s="22">
        <v>147734.94325778261</v>
      </c>
      <c r="V24" s="22">
        <v>153384.53341199996</v>
      </c>
      <c r="W24" s="22">
        <v>161475.38271194912</v>
      </c>
      <c r="X24" s="22">
        <v>170117.61549387418</v>
      </c>
      <c r="Y24" s="22">
        <v>177876.28003437456</v>
      </c>
      <c r="Z24" s="22">
        <v>179780.40084326916</v>
      </c>
      <c r="AA24" s="23">
        <v>174251.36143485815</v>
      </c>
      <c r="AB24" s="96">
        <f t="shared" ref="AB24" si="6">+SUM(D24:AA24)*AC24+SUM(D25:AA25)*AC25+SUM(D26:AA26)*AC26</f>
        <v>107324935.57993749</v>
      </c>
      <c r="AC24" s="16">
        <v>22</v>
      </c>
      <c r="AD24" s="16">
        <f t="shared" si="0"/>
        <v>76039925.047148362</v>
      </c>
    </row>
    <row r="25" spans="1:30" ht="13.5" thickBot="1" x14ac:dyDescent="0.35">
      <c r="A25" s="18">
        <v>2026</v>
      </c>
      <c r="B25" s="19" t="s">
        <v>41</v>
      </c>
      <c r="C25" s="20" t="s">
        <v>34</v>
      </c>
      <c r="D25" s="21">
        <v>177917.08367446996</v>
      </c>
      <c r="E25" s="22">
        <v>170408.30805472238</v>
      </c>
      <c r="F25" s="22">
        <v>163887.40284723451</v>
      </c>
      <c r="G25" s="22">
        <v>158132.92506351694</v>
      </c>
      <c r="H25" s="22">
        <v>152160.54259821554</v>
      </c>
      <c r="I25" s="22">
        <v>142379.13881726595</v>
      </c>
      <c r="J25" s="22">
        <v>132016.73831852424</v>
      </c>
      <c r="K25" s="22">
        <v>105685.24768299433</v>
      </c>
      <c r="L25" s="22">
        <v>105529.79976859322</v>
      </c>
      <c r="M25" s="22">
        <v>106694.95333670919</v>
      </c>
      <c r="N25" s="22">
        <v>110778.36894564083</v>
      </c>
      <c r="O25" s="22">
        <v>117394.74514711193</v>
      </c>
      <c r="P25" s="22">
        <v>122046.9094210763</v>
      </c>
      <c r="Q25" s="22">
        <v>135040.84566478574</v>
      </c>
      <c r="R25" s="22">
        <v>143769.10239868244</v>
      </c>
      <c r="S25" s="22">
        <v>146133.47955387415</v>
      </c>
      <c r="T25" s="22">
        <v>146827.36868607864</v>
      </c>
      <c r="U25" s="22">
        <v>153925.64287783988</v>
      </c>
      <c r="V25" s="22">
        <v>158236.23430733287</v>
      </c>
      <c r="W25" s="22">
        <v>167518.1165858077</v>
      </c>
      <c r="X25" s="22">
        <v>177087.99834858262</v>
      </c>
      <c r="Y25" s="22">
        <v>185345.55055537232</v>
      </c>
      <c r="Z25" s="22">
        <v>186661.65665528495</v>
      </c>
      <c r="AA25" s="23">
        <v>179716.86679860234</v>
      </c>
      <c r="AB25" s="97"/>
      <c r="AC25" s="16">
        <v>4</v>
      </c>
      <c r="AD25" s="16">
        <f t="shared" si="0"/>
        <v>14181180.104433276</v>
      </c>
    </row>
    <row r="26" spans="1:30" ht="13.5" thickBot="1" x14ac:dyDescent="0.35">
      <c r="A26" s="18">
        <v>2026</v>
      </c>
      <c r="B26" s="25" t="s">
        <v>41</v>
      </c>
      <c r="C26" s="26" t="s">
        <v>36</v>
      </c>
      <c r="D26" s="21">
        <v>178472.38234709832</v>
      </c>
      <c r="E26" s="22">
        <v>171523.3966084228</v>
      </c>
      <c r="F26" s="22">
        <v>164785.99622106392</v>
      </c>
      <c r="G26" s="22">
        <v>159067.87756018242</v>
      </c>
      <c r="H26" s="22">
        <v>153761.86395624754</v>
      </c>
      <c r="I26" s="22">
        <v>146494.17776703284</v>
      </c>
      <c r="J26" s="22">
        <v>138517.43782207387</v>
      </c>
      <c r="K26" s="22">
        <v>109090.33750385596</v>
      </c>
      <c r="L26" s="22">
        <v>107119.35231960689</v>
      </c>
      <c r="M26" s="22">
        <v>107073.08312182881</v>
      </c>
      <c r="N26" s="22">
        <v>109426.27671730102</v>
      </c>
      <c r="O26" s="22">
        <v>114052.37103075362</v>
      </c>
      <c r="P26" s="22">
        <v>116553.94665770707</v>
      </c>
      <c r="Q26" s="22">
        <v>121578.41951739366</v>
      </c>
      <c r="R26" s="22">
        <v>129355.63401357798</v>
      </c>
      <c r="S26" s="22">
        <v>131616.33189066415</v>
      </c>
      <c r="T26" s="22">
        <v>133536.79308390102</v>
      </c>
      <c r="U26" s="22">
        <v>146599.45494635461</v>
      </c>
      <c r="V26" s="22">
        <v>152922.81068582897</v>
      </c>
      <c r="W26" s="22">
        <v>157330.24409396449</v>
      </c>
      <c r="X26" s="22">
        <v>161742.52014912834</v>
      </c>
      <c r="Y26" s="22">
        <v>167674.64381170404</v>
      </c>
      <c r="Z26" s="22">
        <v>171719.62662538514</v>
      </c>
      <c r="AA26" s="23">
        <v>170751.10722009174</v>
      </c>
      <c r="AB26" s="97"/>
      <c r="AC26" s="16">
        <v>5</v>
      </c>
      <c r="AD26" s="16">
        <f t="shared" si="0"/>
        <v>17103830.428355847</v>
      </c>
    </row>
    <row r="27" spans="1:30" ht="13.5" thickBot="1" x14ac:dyDescent="0.35">
      <c r="A27" s="18">
        <v>2026</v>
      </c>
      <c r="B27" s="11" t="s">
        <v>42</v>
      </c>
      <c r="C27" s="12" t="s">
        <v>33</v>
      </c>
      <c r="D27" s="21">
        <v>185001.07887399598</v>
      </c>
      <c r="E27" s="22">
        <v>177707.83154601959</v>
      </c>
      <c r="F27" s="22">
        <v>171133.16485516206</v>
      </c>
      <c r="G27" s="22">
        <v>165396.28907873272</v>
      </c>
      <c r="H27" s="22">
        <v>159557.33098163339</v>
      </c>
      <c r="I27" s="22">
        <v>150030.54330427921</v>
      </c>
      <c r="J27" s="22">
        <v>140111.7184697206</v>
      </c>
      <c r="K27" s="22">
        <v>111469.23650318853</v>
      </c>
      <c r="L27" s="22">
        <v>108652.0823654643</v>
      </c>
      <c r="M27" s="22">
        <v>108169.59139684115</v>
      </c>
      <c r="N27" s="22">
        <v>110828.17108908705</v>
      </c>
      <c r="O27" s="22">
        <v>116072.29989392661</v>
      </c>
      <c r="P27" s="22">
        <v>120274.55085806022</v>
      </c>
      <c r="Q27" s="22">
        <v>130929.20148373883</v>
      </c>
      <c r="R27" s="22">
        <v>138398.05392893715</v>
      </c>
      <c r="S27" s="22">
        <v>141077.66347766054</v>
      </c>
      <c r="T27" s="22">
        <v>142577.64125798579</v>
      </c>
      <c r="U27" s="22">
        <v>152233.15624181088</v>
      </c>
      <c r="V27" s="22">
        <v>157550.00355836531</v>
      </c>
      <c r="W27" s="22">
        <v>167013.14289498047</v>
      </c>
      <c r="X27" s="22">
        <v>175784.10556215583</v>
      </c>
      <c r="Y27" s="22">
        <v>184089.49308057793</v>
      </c>
      <c r="Z27" s="22">
        <v>186684.28131042022</v>
      </c>
      <c r="AA27" s="23">
        <v>181731.23368298644</v>
      </c>
      <c r="AB27" s="96">
        <f t="shared" ref="AB27" si="7">+SUM(D27:AA27)*AC27+SUM(D28:AA28)*AC28+SUM(D29:AA29)*AC29</f>
        <v>111757425.75856709</v>
      </c>
      <c r="AC27" s="16">
        <v>19</v>
      </c>
      <c r="AD27" s="16">
        <f t="shared" si="0"/>
        <v>68066965.448218882</v>
      </c>
    </row>
    <row r="28" spans="1:30" ht="13.5" thickBot="1" x14ac:dyDescent="0.35">
      <c r="A28" s="18">
        <v>2026</v>
      </c>
      <c r="B28" s="19" t="s">
        <v>42</v>
      </c>
      <c r="C28" s="20" t="s">
        <v>34</v>
      </c>
      <c r="D28" s="21">
        <v>189781.42352361002</v>
      </c>
      <c r="E28" s="22">
        <v>181966.53162759327</v>
      </c>
      <c r="F28" s="22">
        <v>175118.56835188277</v>
      </c>
      <c r="G28" s="22">
        <v>169207.65483818992</v>
      </c>
      <c r="H28" s="22">
        <v>163141.05961504421</v>
      </c>
      <c r="I28" s="22">
        <v>152582.2113078245</v>
      </c>
      <c r="J28" s="22">
        <v>141716.71573680532</v>
      </c>
      <c r="K28" s="22">
        <v>114853.96009350978</v>
      </c>
      <c r="L28" s="22">
        <v>114396.42976418514</v>
      </c>
      <c r="M28" s="22">
        <v>115125.74495525935</v>
      </c>
      <c r="N28" s="22">
        <v>118791.94820621824</v>
      </c>
      <c r="O28" s="22">
        <v>124811.32165601978</v>
      </c>
      <c r="P28" s="22">
        <v>128675.09663446221</v>
      </c>
      <c r="Q28" s="22">
        <v>141356.77768873578</v>
      </c>
      <c r="R28" s="22">
        <v>149850.56617612383</v>
      </c>
      <c r="S28" s="22">
        <v>151810.97114342608</v>
      </c>
      <c r="T28" s="22">
        <v>151829.49023879771</v>
      </c>
      <c r="U28" s="22">
        <v>158592.43044298227</v>
      </c>
      <c r="V28" s="22">
        <v>162168.52097943105</v>
      </c>
      <c r="W28" s="22">
        <v>172456.90429089521</v>
      </c>
      <c r="X28" s="22">
        <v>182603.84797048112</v>
      </c>
      <c r="Y28" s="22">
        <v>191109.98708688674</v>
      </c>
      <c r="Z28" s="22">
        <v>192503.39414659515</v>
      </c>
      <c r="AA28" s="23">
        <v>185281.79958174177</v>
      </c>
      <c r="AB28" s="97"/>
      <c r="AC28" s="16">
        <v>5</v>
      </c>
      <c r="AD28" s="16">
        <f t="shared" si="0"/>
        <v>18648666.780283507</v>
      </c>
    </row>
    <row r="29" spans="1:30" ht="13.5" thickBot="1" x14ac:dyDescent="0.35">
      <c r="A29" s="18">
        <v>2026</v>
      </c>
      <c r="B29" s="25" t="s">
        <v>42</v>
      </c>
      <c r="C29" s="26" t="s">
        <v>36</v>
      </c>
      <c r="D29" s="21">
        <v>185207.11633409985</v>
      </c>
      <c r="E29" s="22">
        <v>178149.14066321281</v>
      </c>
      <c r="F29" s="22">
        <v>171401.00203835746</v>
      </c>
      <c r="G29" s="22">
        <v>165559.73988675573</v>
      </c>
      <c r="H29" s="22">
        <v>160074.51388373738</v>
      </c>
      <c r="I29" s="22">
        <v>152635.6584474502</v>
      </c>
      <c r="J29" s="22">
        <v>144422.85869661951</v>
      </c>
      <c r="K29" s="22">
        <v>114705.54105085642</v>
      </c>
      <c r="L29" s="22">
        <v>112577.01653075614</v>
      </c>
      <c r="M29" s="22">
        <v>112228.85494355367</v>
      </c>
      <c r="N29" s="22">
        <v>114543.12230006862</v>
      </c>
      <c r="O29" s="22">
        <v>119159.46521552568</v>
      </c>
      <c r="P29" s="22">
        <v>121769.14879101657</v>
      </c>
      <c r="Q29" s="22">
        <v>126879.30867724585</v>
      </c>
      <c r="R29" s="22">
        <v>134757.3192859253</v>
      </c>
      <c r="S29" s="22">
        <v>137902.74625561232</v>
      </c>
      <c r="T29" s="22">
        <v>140146.06659275605</v>
      </c>
      <c r="U29" s="22">
        <v>152944.29990158472</v>
      </c>
      <c r="V29" s="22">
        <v>158949.59761890871</v>
      </c>
      <c r="W29" s="22">
        <v>165374.50830987137</v>
      </c>
      <c r="X29" s="22">
        <v>170317.21026862258</v>
      </c>
      <c r="Y29" s="22">
        <v>176936.79882270549</v>
      </c>
      <c r="Z29" s="22">
        <v>181187.2134552426</v>
      </c>
      <c r="AA29" s="23">
        <v>179570.82775304248</v>
      </c>
      <c r="AB29" s="97"/>
      <c r="AC29" s="16">
        <v>7</v>
      </c>
      <c r="AD29" s="16">
        <f t="shared" si="0"/>
        <v>25041793.530064695</v>
      </c>
    </row>
    <row r="30" spans="1:30" ht="13.5" thickBot="1" x14ac:dyDescent="0.35">
      <c r="A30" s="18">
        <v>2026</v>
      </c>
      <c r="B30" s="11" t="s">
        <v>43</v>
      </c>
      <c r="C30" s="12" t="s">
        <v>33</v>
      </c>
      <c r="D30" s="21">
        <v>186765.02490578673</v>
      </c>
      <c r="E30" s="22">
        <v>179344.24596853103</v>
      </c>
      <c r="F30" s="22">
        <v>172691.81039097119</v>
      </c>
      <c r="G30" s="22">
        <v>166844.01205877497</v>
      </c>
      <c r="H30" s="22">
        <v>160841.12859287555</v>
      </c>
      <c r="I30" s="22">
        <v>150970.82637584177</v>
      </c>
      <c r="J30" s="22">
        <v>140926.93178774582</v>
      </c>
      <c r="K30" s="22">
        <v>112782.85451404424</v>
      </c>
      <c r="L30" s="22">
        <v>110289.06066086626</v>
      </c>
      <c r="M30" s="22">
        <v>110001.7916732095</v>
      </c>
      <c r="N30" s="22">
        <v>112682.38824978803</v>
      </c>
      <c r="O30" s="22">
        <v>117981.10487142421</v>
      </c>
      <c r="P30" s="22">
        <v>121700.06606781716</v>
      </c>
      <c r="Q30" s="22">
        <v>132460.6743878616</v>
      </c>
      <c r="R30" s="22">
        <v>140213.07738846631</v>
      </c>
      <c r="S30" s="22">
        <v>142674.83781073289</v>
      </c>
      <c r="T30" s="22">
        <v>143897.49023077654</v>
      </c>
      <c r="U30" s="22">
        <v>152735.34646643468</v>
      </c>
      <c r="V30" s="22">
        <v>156313.37686508097</v>
      </c>
      <c r="W30" s="22">
        <v>166767.21866245192</v>
      </c>
      <c r="X30" s="22">
        <v>175926.98417430348</v>
      </c>
      <c r="Y30" s="22">
        <v>184214.64694848054</v>
      </c>
      <c r="Z30" s="22">
        <v>186786.28509070148</v>
      </c>
      <c r="AA30" s="23">
        <v>181588.42762490892</v>
      </c>
      <c r="AB30" s="96">
        <f t="shared" ref="AB30" si="8">+SUM(D30:AA30)*AC30+SUM(D31:AA31)*AC31+SUM(D32:AA32)*AC32</f>
        <v>109040680.35607389</v>
      </c>
      <c r="AC30" s="16">
        <v>22</v>
      </c>
      <c r="AD30" s="16">
        <f t="shared" si="0"/>
        <v>79362791.458893254</v>
      </c>
    </row>
    <row r="31" spans="1:30" ht="13.5" thickBot="1" x14ac:dyDescent="0.35">
      <c r="A31" s="18">
        <v>2026</v>
      </c>
      <c r="B31" s="19" t="s">
        <v>43</v>
      </c>
      <c r="C31" s="20" t="s">
        <v>34</v>
      </c>
      <c r="D31" s="21">
        <v>186632.834029613</v>
      </c>
      <c r="E31" s="22">
        <v>178980.80819419556</v>
      </c>
      <c r="F31" s="22">
        <v>172372.88119385429</v>
      </c>
      <c r="G31" s="22">
        <v>166467.46906652415</v>
      </c>
      <c r="H31" s="22">
        <v>160334.48912803867</v>
      </c>
      <c r="I31" s="22">
        <v>149973.61638154482</v>
      </c>
      <c r="J31" s="22">
        <v>139591.20816626147</v>
      </c>
      <c r="K31" s="22">
        <v>113269.38232362784</v>
      </c>
      <c r="L31" s="22">
        <v>113463.47367687125</v>
      </c>
      <c r="M31" s="22">
        <v>114806.26032075248</v>
      </c>
      <c r="N31" s="22">
        <v>118922.41705656615</v>
      </c>
      <c r="O31" s="22">
        <v>125518.72904751025</v>
      </c>
      <c r="P31" s="22">
        <v>129334.65430661541</v>
      </c>
      <c r="Q31" s="22">
        <v>142465.49126448031</v>
      </c>
      <c r="R31" s="22">
        <v>151368.0354139478</v>
      </c>
      <c r="S31" s="22">
        <v>153183.39052914263</v>
      </c>
      <c r="T31" s="22">
        <v>153350.3737488811</v>
      </c>
      <c r="U31" s="22">
        <v>159484.00724499486</v>
      </c>
      <c r="V31" s="22">
        <v>162069.175882243</v>
      </c>
      <c r="W31" s="22">
        <v>173649.08537879746</v>
      </c>
      <c r="X31" s="22">
        <v>184235.53595209183</v>
      </c>
      <c r="Y31" s="22">
        <v>193038.44392923723</v>
      </c>
      <c r="Z31" s="22">
        <v>194626.5479364706</v>
      </c>
      <c r="AA31" s="23">
        <v>187585.27121301417</v>
      </c>
      <c r="AB31" s="97"/>
      <c r="AC31" s="16">
        <v>4</v>
      </c>
      <c r="AD31" s="16">
        <f t="shared" si="0"/>
        <v>14898894.325541107</v>
      </c>
    </row>
    <row r="32" spans="1:30" ht="13.5" thickBot="1" x14ac:dyDescent="0.35">
      <c r="A32" s="18">
        <v>2026</v>
      </c>
      <c r="B32" s="25" t="s">
        <v>43</v>
      </c>
      <c r="C32" s="26" t="s">
        <v>36</v>
      </c>
      <c r="D32" s="21">
        <v>189199.13539701028</v>
      </c>
      <c r="E32" s="22">
        <v>181510.91504425983</v>
      </c>
      <c r="F32" s="22">
        <v>174260.44532015428</v>
      </c>
      <c r="G32" s="22">
        <v>168074.09048080424</v>
      </c>
      <c r="H32" s="22">
        <v>162405.85633913381</v>
      </c>
      <c r="I32" s="22">
        <v>154403.77983759693</v>
      </c>
      <c r="J32" s="22">
        <v>146148.7296296437</v>
      </c>
      <c r="K32" s="22">
        <v>116803.19418121751</v>
      </c>
      <c r="L32" s="22">
        <v>116232.44157847423</v>
      </c>
      <c r="M32" s="22">
        <v>117102.57101314927</v>
      </c>
      <c r="N32" s="22">
        <v>120409.14626758052</v>
      </c>
      <c r="O32" s="22">
        <v>126142.33770022377</v>
      </c>
      <c r="P32" s="22">
        <v>129008.8735835713</v>
      </c>
      <c r="Q32" s="22">
        <v>134418.03555978052</v>
      </c>
      <c r="R32" s="22">
        <v>142902.73339358423</v>
      </c>
      <c r="S32" s="22">
        <v>145546.43044604818</v>
      </c>
      <c r="T32" s="22">
        <v>147198.25519649158</v>
      </c>
      <c r="U32" s="22">
        <v>159450.83825037329</v>
      </c>
      <c r="V32" s="22">
        <v>164019.85895115227</v>
      </c>
      <c r="W32" s="22">
        <v>170971.08880646052</v>
      </c>
      <c r="X32" s="22">
        <v>174946.92658841642</v>
      </c>
      <c r="Y32" s="22">
        <v>181191.3591856423</v>
      </c>
      <c r="Z32" s="22">
        <v>186257.78799418852</v>
      </c>
      <c r="AA32" s="23">
        <v>186143.81216492146</v>
      </c>
      <c r="AB32" s="97"/>
      <c r="AC32" s="16">
        <v>4</v>
      </c>
      <c r="AD32" s="16">
        <f t="shared" si="0"/>
        <v>14778994.571639517</v>
      </c>
    </row>
    <row r="33" spans="1:30" ht="13.5" thickBot="1" x14ac:dyDescent="0.35">
      <c r="A33" s="18">
        <v>2026</v>
      </c>
      <c r="B33" s="11" t="s">
        <v>44</v>
      </c>
      <c r="C33" s="12" t="s">
        <v>33</v>
      </c>
      <c r="D33" s="21">
        <v>183347.56287949294</v>
      </c>
      <c r="E33" s="22">
        <v>176090.41042385419</v>
      </c>
      <c r="F33" s="22">
        <v>169483.35882229707</v>
      </c>
      <c r="G33" s="22">
        <v>163729.09730298666</v>
      </c>
      <c r="H33" s="22">
        <v>157799.65724260232</v>
      </c>
      <c r="I33" s="22">
        <v>147840.14768767462</v>
      </c>
      <c r="J33" s="22">
        <v>137940.91867504598</v>
      </c>
      <c r="K33" s="22">
        <v>109219.75478829477</v>
      </c>
      <c r="L33" s="22">
        <v>106597.62995688595</v>
      </c>
      <c r="M33" s="22">
        <v>105956.35293158423</v>
      </c>
      <c r="N33" s="22">
        <v>108528.33795091973</v>
      </c>
      <c r="O33" s="22">
        <v>113880.56615192982</v>
      </c>
      <c r="P33" s="22">
        <v>118027.36344640951</v>
      </c>
      <c r="Q33" s="22">
        <v>128857.0611911747</v>
      </c>
      <c r="R33" s="22">
        <v>136288.25747095628</v>
      </c>
      <c r="S33" s="22">
        <v>139105.13549156243</v>
      </c>
      <c r="T33" s="22">
        <v>140822.32772047623</v>
      </c>
      <c r="U33" s="22">
        <v>148704.30796142935</v>
      </c>
      <c r="V33" s="22">
        <v>151485.99438948047</v>
      </c>
      <c r="W33" s="22">
        <v>162898.41031842894</v>
      </c>
      <c r="X33" s="22">
        <v>172255.39054482486</v>
      </c>
      <c r="Y33" s="22">
        <v>180864.24780497825</v>
      </c>
      <c r="Z33" s="22">
        <v>183710.03916269686</v>
      </c>
      <c r="AA33" s="23">
        <v>178967.98972168443</v>
      </c>
      <c r="AB33" s="96">
        <f t="shared" ref="AB33" si="9">+SUM(D33:AA33)*AC33+SUM(D34:AA34)*AC34+SUM(D35:AA35)*AC35</f>
        <v>109410311.16991858</v>
      </c>
      <c r="AC33" s="16">
        <v>21</v>
      </c>
      <c r="AD33" s="16">
        <f t="shared" si="0"/>
        <v>73970406.720791087</v>
      </c>
    </row>
    <row r="34" spans="1:30" ht="13.5" thickBot="1" x14ac:dyDescent="0.35">
      <c r="A34" s="18">
        <v>2026</v>
      </c>
      <c r="B34" s="19" t="s">
        <v>44</v>
      </c>
      <c r="C34" s="20" t="s">
        <v>34</v>
      </c>
      <c r="D34" s="21">
        <v>181073.15417213005</v>
      </c>
      <c r="E34" s="22">
        <v>173431.52647649503</v>
      </c>
      <c r="F34" s="22">
        <v>166723.57677146219</v>
      </c>
      <c r="G34" s="22">
        <v>160783.85706293597</v>
      </c>
      <c r="H34" s="22">
        <v>155022.37741501024</v>
      </c>
      <c r="I34" s="22">
        <v>144519.98517118648</v>
      </c>
      <c r="J34" s="22">
        <v>134501.79857288103</v>
      </c>
      <c r="K34" s="22">
        <v>107785.51077575531</v>
      </c>
      <c r="L34" s="22">
        <v>107102.50807811486</v>
      </c>
      <c r="M34" s="22">
        <v>107806.71518915685</v>
      </c>
      <c r="N34" s="22">
        <v>111517.76462808294</v>
      </c>
      <c r="O34" s="22">
        <v>118483.85352814016</v>
      </c>
      <c r="P34" s="22">
        <v>123223.59354611828</v>
      </c>
      <c r="Q34" s="22">
        <v>136569.97909779978</v>
      </c>
      <c r="R34" s="22">
        <v>145693.39583993814</v>
      </c>
      <c r="S34" s="22">
        <v>147991.29352061017</v>
      </c>
      <c r="T34" s="22">
        <v>148283.15741854522</v>
      </c>
      <c r="U34" s="22">
        <v>152887.18241319479</v>
      </c>
      <c r="V34" s="22">
        <v>155270.46292944619</v>
      </c>
      <c r="W34" s="22">
        <v>167201.2317851597</v>
      </c>
      <c r="X34" s="22">
        <v>177717.8083076773</v>
      </c>
      <c r="Y34" s="22">
        <v>186559.80134022018</v>
      </c>
      <c r="Z34" s="22">
        <v>188324.61652250407</v>
      </c>
      <c r="AA34" s="23">
        <v>181877.64627475393</v>
      </c>
      <c r="AB34" s="97"/>
      <c r="AC34" s="16">
        <v>5</v>
      </c>
      <c r="AD34" s="16">
        <f t="shared" si="0"/>
        <v>17901763.984186597</v>
      </c>
    </row>
    <row r="35" spans="1:30" ht="13.5" thickBot="1" x14ac:dyDescent="0.35">
      <c r="A35" s="18">
        <v>2026</v>
      </c>
      <c r="B35" s="25" t="s">
        <v>44</v>
      </c>
      <c r="C35" s="26" t="s">
        <v>36</v>
      </c>
      <c r="D35" s="21">
        <v>182846.36872213872</v>
      </c>
      <c r="E35" s="22">
        <v>175776.09606570003</v>
      </c>
      <c r="F35" s="22">
        <v>168869.22078559542</v>
      </c>
      <c r="G35" s="22">
        <v>162965.35458572136</v>
      </c>
      <c r="H35" s="22">
        <v>157501.43821483781</v>
      </c>
      <c r="I35" s="22">
        <v>149780.49054333387</v>
      </c>
      <c r="J35" s="22">
        <v>142277.51840600104</v>
      </c>
      <c r="K35" s="22">
        <v>112624.69475352883</v>
      </c>
      <c r="L35" s="22">
        <v>110801.27736097788</v>
      </c>
      <c r="M35" s="22">
        <v>110501.81656575362</v>
      </c>
      <c r="N35" s="22">
        <v>112708.85677033027</v>
      </c>
      <c r="O35" s="22">
        <v>117292.45788604391</v>
      </c>
      <c r="P35" s="22">
        <v>119518.22898297451</v>
      </c>
      <c r="Q35" s="22">
        <v>124520.18648703652</v>
      </c>
      <c r="R35" s="22">
        <v>132768.6032220801</v>
      </c>
      <c r="S35" s="22">
        <v>136071.6126237915</v>
      </c>
      <c r="T35" s="22">
        <v>137938.01633946021</v>
      </c>
      <c r="U35" s="22">
        <v>148598.04662107053</v>
      </c>
      <c r="V35" s="22">
        <v>152421.45685350287</v>
      </c>
      <c r="W35" s="22">
        <v>160193.64233088781</v>
      </c>
      <c r="X35" s="22">
        <v>165244.74996751786</v>
      </c>
      <c r="Y35" s="22">
        <v>172326.58759966353</v>
      </c>
      <c r="Z35" s="22">
        <v>177359.06232145027</v>
      </c>
      <c r="AA35" s="23">
        <v>176722.30897877869</v>
      </c>
      <c r="AB35" s="97"/>
      <c r="AC35" s="16">
        <v>5</v>
      </c>
      <c r="AD35" s="16">
        <f t="shared" si="0"/>
        <v>17538140.464940887</v>
      </c>
    </row>
    <row r="36" spans="1:30" ht="13.5" thickBot="1" x14ac:dyDescent="0.35">
      <c r="A36" s="18">
        <v>2026</v>
      </c>
      <c r="B36" s="11" t="s">
        <v>45</v>
      </c>
      <c r="C36" s="12" t="s">
        <v>33</v>
      </c>
      <c r="D36" s="21">
        <v>176443.35479270044</v>
      </c>
      <c r="E36" s="22">
        <v>169607.09598664963</v>
      </c>
      <c r="F36" s="22">
        <v>163302.27054808964</v>
      </c>
      <c r="G36" s="22">
        <v>157749.11164869237</v>
      </c>
      <c r="H36" s="22">
        <v>151936.70057101332</v>
      </c>
      <c r="I36" s="22">
        <v>142132.36312511005</v>
      </c>
      <c r="J36" s="22">
        <v>132824.98588802907</v>
      </c>
      <c r="K36" s="22">
        <v>103847.58757996887</v>
      </c>
      <c r="L36" s="22">
        <v>100629.61941469356</v>
      </c>
      <c r="M36" s="22">
        <v>99806.52838176256</v>
      </c>
      <c r="N36" s="22">
        <v>102316.0769718774</v>
      </c>
      <c r="O36" s="22">
        <v>107626.22703800088</v>
      </c>
      <c r="P36" s="22">
        <v>112058.52616695792</v>
      </c>
      <c r="Q36" s="22">
        <v>122278.27373602055</v>
      </c>
      <c r="R36" s="22">
        <v>129385.65953809432</v>
      </c>
      <c r="S36" s="22">
        <v>131828.86996018724</v>
      </c>
      <c r="T36" s="22">
        <v>133464.43190060207</v>
      </c>
      <c r="U36" s="22">
        <v>141177.28807306328</v>
      </c>
      <c r="V36" s="22">
        <v>144778.90651356941</v>
      </c>
      <c r="W36" s="22">
        <v>156297.59775584863</v>
      </c>
      <c r="X36" s="22">
        <v>165415.70432141368</v>
      </c>
      <c r="Y36" s="22">
        <v>173865.6661997943</v>
      </c>
      <c r="Z36" s="22">
        <v>176716.33313233146</v>
      </c>
      <c r="AA36" s="23">
        <v>172117.64461961741</v>
      </c>
      <c r="AB36" s="96">
        <f t="shared" ref="AB36" si="10">+SUM(D36:AA36)*AC36+SUM(D37:AA37)*AC37+SUM(D38:AA38)*AC38</f>
        <v>101876183.9656283</v>
      </c>
      <c r="AC36" s="16">
        <v>19</v>
      </c>
      <c r="AD36" s="16">
        <f t="shared" si="0"/>
        <v>63984529.653417677</v>
      </c>
    </row>
    <row r="37" spans="1:30" ht="13.5" thickBot="1" x14ac:dyDescent="0.35">
      <c r="A37" s="18">
        <v>2026</v>
      </c>
      <c r="B37" s="19" t="s">
        <v>45</v>
      </c>
      <c r="C37" s="20" t="s">
        <v>34</v>
      </c>
      <c r="D37" s="21">
        <v>178450.37320407844</v>
      </c>
      <c r="E37" s="22">
        <v>171078.0993329295</v>
      </c>
      <c r="F37" s="22">
        <v>164722.95032839078</v>
      </c>
      <c r="G37" s="22">
        <v>158950.69242227709</v>
      </c>
      <c r="H37" s="22">
        <v>153037.61550972227</v>
      </c>
      <c r="I37" s="22">
        <v>142276.11657453826</v>
      </c>
      <c r="J37" s="22">
        <v>132135.22844151271</v>
      </c>
      <c r="K37" s="22">
        <v>105622.30281477777</v>
      </c>
      <c r="L37" s="22">
        <v>105440.06923820375</v>
      </c>
      <c r="M37" s="22">
        <v>106191.78215826556</v>
      </c>
      <c r="N37" s="22">
        <v>110089.32393875437</v>
      </c>
      <c r="O37" s="22">
        <v>116706.18199864894</v>
      </c>
      <c r="P37" s="22">
        <v>121079.82507557735</v>
      </c>
      <c r="Q37" s="22">
        <v>134363.16650615045</v>
      </c>
      <c r="R37" s="22">
        <v>143075.01612771949</v>
      </c>
      <c r="S37" s="22">
        <v>144909.99940609024</v>
      </c>
      <c r="T37" s="22">
        <v>144819.18864745056</v>
      </c>
      <c r="U37" s="22">
        <v>149082.21127028982</v>
      </c>
      <c r="V37" s="22">
        <v>151402.82115804966</v>
      </c>
      <c r="W37" s="22">
        <v>163374.76515115652</v>
      </c>
      <c r="X37" s="22">
        <v>173843.56586563421</v>
      </c>
      <c r="Y37" s="22">
        <v>182582.15354047235</v>
      </c>
      <c r="Z37" s="22">
        <v>184703.60461544115</v>
      </c>
      <c r="AA37" s="23">
        <v>178194.36610977689</v>
      </c>
      <c r="AB37" s="97"/>
      <c r="AC37" s="16">
        <v>4</v>
      </c>
      <c r="AD37" s="16">
        <f t="shared" si="0"/>
        <v>14064525.67774363</v>
      </c>
    </row>
    <row r="38" spans="1:30" ht="13.5" thickBot="1" x14ac:dyDescent="0.35">
      <c r="A38" s="18">
        <v>2026</v>
      </c>
      <c r="B38" s="25" t="s">
        <v>45</v>
      </c>
      <c r="C38" s="26" t="s">
        <v>36</v>
      </c>
      <c r="D38" s="21">
        <v>180363.42387689729</v>
      </c>
      <c r="E38" s="22">
        <v>173398.25367879184</v>
      </c>
      <c r="F38" s="22">
        <v>166752.42638398122</v>
      </c>
      <c r="G38" s="22">
        <v>160952.76202216788</v>
      </c>
      <c r="H38" s="22">
        <v>155536.72817105937</v>
      </c>
      <c r="I38" s="22">
        <v>147214.22267628898</v>
      </c>
      <c r="J38" s="22">
        <v>139293.93284787372</v>
      </c>
      <c r="K38" s="22">
        <v>108715.29614183819</v>
      </c>
      <c r="L38" s="22">
        <v>105973.51816898694</v>
      </c>
      <c r="M38" s="22">
        <v>105309.97610760077</v>
      </c>
      <c r="N38" s="22">
        <v>107235.65429992419</v>
      </c>
      <c r="O38" s="22">
        <v>111810.89022748612</v>
      </c>
      <c r="P38" s="22">
        <v>114507.88903100652</v>
      </c>
      <c r="Q38" s="22">
        <v>119490.82619953863</v>
      </c>
      <c r="R38" s="22">
        <v>126892.31310150996</v>
      </c>
      <c r="S38" s="22">
        <v>129766.21530746216</v>
      </c>
      <c r="T38" s="22">
        <v>131817.95632942714</v>
      </c>
      <c r="U38" s="22">
        <v>142777.61490163676</v>
      </c>
      <c r="V38" s="22">
        <v>146760.69520996202</v>
      </c>
      <c r="W38" s="22">
        <v>155664.47333961335</v>
      </c>
      <c r="X38" s="22">
        <v>161049.44122485581</v>
      </c>
      <c r="Y38" s="22">
        <v>168013.22309130314</v>
      </c>
      <c r="Z38" s="22">
        <v>172850.42147041947</v>
      </c>
      <c r="AA38" s="23">
        <v>171727.36539993755</v>
      </c>
      <c r="AB38" s="97"/>
      <c r="AC38" s="16">
        <v>7</v>
      </c>
      <c r="AD38" s="16">
        <f t="shared" si="0"/>
        <v>23827128.634466987</v>
      </c>
    </row>
    <row r="39" spans="1:30" ht="13.5" thickBot="1" x14ac:dyDescent="0.35">
      <c r="A39" s="18">
        <v>2026</v>
      </c>
      <c r="B39" s="11" t="s">
        <v>46</v>
      </c>
      <c r="C39" s="12" t="s">
        <v>33</v>
      </c>
      <c r="D39" s="21">
        <v>177976.58053775769</v>
      </c>
      <c r="E39" s="22">
        <v>170862.23451550692</v>
      </c>
      <c r="F39" s="22">
        <v>164395.69183256751</v>
      </c>
      <c r="G39" s="22">
        <v>158716.97258032268</v>
      </c>
      <c r="H39" s="22">
        <v>152813.83762421104</v>
      </c>
      <c r="I39" s="22">
        <v>142600.37149093309</v>
      </c>
      <c r="J39" s="22">
        <v>133045.84064941798</v>
      </c>
      <c r="K39" s="22">
        <v>104870.57366718182</v>
      </c>
      <c r="L39" s="22">
        <v>102370.35187133394</v>
      </c>
      <c r="M39" s="22">
        <v>101957.90065179659</v>
      </c>
      <c r="N39" s="22">
        <v>104888.38774690007</v>
      </c>
      <c r="O39" s="22">
        <v>110414.81173059958</v>
      </c>
      <c r="P39" s="22">
        <v>114404.156323282</v>
      </c>
      <c r="Q39" s="22">
        <v>125077.61899973667</v>
      </c>
      <c r="R39" s="22">
        <v>132487.85641963891</v>
      </c>
      <c r="S39" s="22">
        <v>134862.21841630881</v>
      </c>
      <c r="T39" s="22">
        <v>136683.97535856706</v>
      </c>
      <c r="U39" s="22">
        <v>145192.9561497239</v>
      </c>
      <c r="V39" s="22">
        <v>148033.81493583522</v>
      </c>
      <c r="W39" s="22">
        <v>159715.0191853329</v>
      </c>
      <c r="X39" s="22">
        <v>169376.39097110476</v>
      </c>
      <c r="Y39" s="22">
        <v>178027.77877356662</v>
      </c>
      <c r="Z39" s="22">
        <v>180499.98536337563</v>
      </c>
      <c r="AA39" s="23">
        <v>175040.04666786367</v>
      </c>
      <c r="AB39" s="96">
        <f t="shared" ref="AB39" si="11">+SUM(D39:AA39)*AC39+SUM(D40:AA40)*AC40+SUM(D41:AA41)*AC41</f>
        <v>106328754.58291639</v>
      </c>
      <c r="AC39" s="16">
        <v>21</v>
      </c>
      <c r="AD39" s="16">
        <f t="shared" si="0"/>
        <v>71910622.821720168</v>
      </c>
    </row>
    <row r="40" spans="1:30" ht="13.5" thickBot="1" x14ac:dyDescent="0.35">
      <c r="A40" s="18">
        <v>2026</v>
      </c>
      <c r="B40" s="19" t="s">
        <v>46</v>
      </c>
      <c r="C40" s="20" t="s">
        <v>34</v>
      </c>
      <c r="D40" s="21">
        <v>180577.90987920976</v>
      </c>
      <c r="E40" s="22">
        <v>173023.01116739868</v>
      </c>
      <c r="F40" s="22">
        <v>166289.93391922084</v>
      </c>
      <c r="G40" s="22">
        <v>160357.78026825233</v>
      </c>
      <c r="H40" s="22">
        <v>154191.40800919317</v>
      </c>
      <c r="I40" s="22">
        <v>143511.05203992757</v>
      </c>
      <c r="J40" s="22">
        <v>133579.38818885761</v>
      </c>
      <c r="K40" s="22">
        <v>106616.56905172579</v>
      </c>
      <c r="L40" s="22">
        <v>106026.48571110806</v>
      </c>
      <c r="M40" s="22">
        <v>106618.42669040439</v>
      </c>
      <c r="N40" s="22">
        <v>110422.98656762272</v>
      </c>
      <c r="O40" s="22">
        <v>116540.91432507714</v>
      </c>
      <c r="P40" s="22">
        <v>120630.70873046483</v>
      </c>
      <c r="Q40" s="22">
        <v>132959.84840907899</v>
      </c>
      <c r="R40" s="22">
        <v>141144.24625798158</v>
      </c>
      <c r="S40" s="22">
        <v>143156.24447273818</v>
      </c>
      <c r="T40" s="22">
        <v>144434.14875173601</v>
      </c>
      <c r="U40" s="22">
        <v>150904.56312626248</v>
      </c>
      <c r="V40" s="22">
        <v>152271.40585401704</v>
      </c>
      <c r="W40" s="22">
        <v>164442.91363251754</v>
      </c>
      <c r="X40" s="22">
        <v>174674.94935385071</v>
      </c>
      <c r="Y40" s="22">
        <v>183185.70392116113</v>
      </c>
      <c r="Z40" s="22">
        <v>184753.87881789202</v>
      </c>
      <c r="AA40" s="23">
        <v>178074.53208022087</v>
      </c>
      <c r="AB40" s="97"/>
      <c r="AC40" s="16">
        <v>4</v>
      </c>
      <c r="AD40" s="16">
        <f t="shared" si="0"/>
        <v>14113556.036903679</v>
      </c>
    </row>
    <row r="41" spans="1:30" ht="13.5" thickBot="1" x14ac:dyDescent="0.35">
      <c r="A41" s="28">
        <v>2026</v>
      </c>
      <c r="B41" s="25" t="s">
        <v>46</v>
      </c>
      <c r="C41" s="26" t="s">
        <v>36</v>
      </c>
      <c r="D41" s="21">
        <v>178758.66620399166</v>
      </c>
      <c r="E41" s="22">
        <v>171551.75078506512</v>
      </c>
      <c r="F41" s="22">
        <v>164791.43516189427</v>
      </c>
      <c r="G41" s="22">
        <v>158891.35473461621</v>
      </c>
      <c r="H41" s="22">
        <v>153534.4843100463</v>
      </c>
      <c r="I41" s="22">
        <v>145167.08292832336</v>
      </c>
      <c r="J41" s="22">
        <v>137592.64466562317</v>
      </c>
      <c r="K41" s="22">
        <v>107820.80639704062</v>
      </c>
      <c r="L41" s="22">
        <v>104817.81838159886</v>
      </c>
      <c r="M41" s="22">
        <v>103860.61089585449</v>
      </c>
      <c r="N41" s="22">
        <v>105811.92487529706</v>
      </c>
      <c r="O41" s="22">
        <v>110475.52651808679</v>
      </c>
      <c r="P41" s="22">
        <v>113073.95439638791</v>
      </c>
      <c r="Q41" s="22">
        <v>118001.30259360986</v>
      </c>
      <c r="R41" s="22">
        <v>125138.01692944992</v>
      </c>
      <c r="S41" s="22">
        <v>128194.2883491891</v>
      </c>
      <c r="T41" s="22">
        <v>131286.95709742347</v>
      </c>
      <c r="U41" s="22">
        <v>143913.06004572732</v>
      </c>
      <c r="V41" s="22">
        <v>147895.79036340545</v>
      </c>
      <c r="W41" s="22">
        <v>156732.85085176068</v>
      </c>
      <c r="X41" s="22">
        <v>162409.19308739083</v>
      </c>
      <c r="Y41" s="22">
        <v>169346.55750512661</v>
      </c>
      <c r="Z41" s="22">
        <v>173406.08579946149</v>
      </c>
      <c r="AA41" s="23">
        <v>171623.79117238757</v>
      </c>
      <c r="AB41" s="97"/>
      <c r="AC41" s="16">
        <v>6</v>
      </c>
      <c r="AD41" s="16">
        <f t="shared" si="0"/>
        <v>20304575.724292547</v>
      </c>
    </row>
    <row r="42" spans="1:30" ht="13.5" thickBot="1" x14ac:dyDescent="0.35">
      <c r="A42" s="10">
        <v>2027</v>
      </c>
      <c r="B42" s="11" t="s">
        <v>32</v>
      </c>
      <c r="C42" s="12" t="s">
        <v>33</v>
      </c>
      <c r="D42" s="21">
        <v>126023.90670855698</v>
      </c>
      <c r="E42" s="22">
        <v>120627.38485723731</v>
      </c>
      <c r="F42" s="22">
        <v>115667.07597262552</v>
      </c>
      <c r="G42" s="22">
        <v>111130.14446335869</v>
      </c>
      <c r="H42" s="22">
        <v>106965.8178303678</v>
      </c>
      <c r="I42" s="22">
        <v>102664.28812782388</v>
      </c>
      <c r="J42" s="22">
        <v>96446.860717045944</v>
      </c>
      <c r="K42" s="22">
        <v>73694.870804835518</v>
      </c>
      <c r="L42" s="22">
        <v>73328.544308848257</v>
      </c>
      <c r="M42" s="22">
        <v>74030.541081361356</v>
      </c>
      <c r="N42" s="22">
        <v>76117.869865043045</v>
      </c>
      <c r="O42" s="22">
        <v>79360.31385326614</v>
      </c>
      <c r="P42" s="22">
        <v>81285.021793726177</v>
      </c>
      <c r="Q42" s="22">
        <v>86949.400327687996</v>
      </c>
      <c r="R42" s="22">
        <v>91964.713469295966</v>
      </c>
      <c r="S42" s="22">
        <v>94075.296028421246</v>
      </c>
      <c r="T42" s="22">
        <v>94272.319640381291</v>
      </c>
      <c r="U42" s="22">
        <v>100424.93147052875</v>
      </c>
      <c r="V42" s="22">
        <v>105078.13947060108</v>
      </c>
      <c r="W42" s="22">
        <v>109503.48939793227</v>
      </c>
      <c r="X42" s="22">
        <v>114740.16717132198</v>
      </c>
      <c r="Y42" s="22">
        <v>120965.25422705431</v>
      </c>
      <c r="Z42" s="22">
        <v>124251.90509060376</v>
      </c>
      <c r="AA42" s="23">
        <v>122048.58516570808</v>
      </c>
      <c r="AB42" s="96">
        <f t="shared" ref="AB42" si="12">+SUM(D42:AA42)*AC42+SUM(D43:AA43)*AC43+SUM(D44:AA44)*AC44</f>
        <v>75151771.252241135</v>
      </c>
      <c r="AC42" s="16">
        <v>19</v>
      </c>
      <c r="AD42" s="16">
        <f t="shared" si="0"/>
        <v>45630719.995029032</v>
      </c>
    </row>
    <row r="43" spans="1:30" ht="13.5" thickBot="1" x14ac:dyDescent="0.35">
      <c r="A43" s="18">
        <v>2027</v>
      </c>
      <c r="B43" s="19" t="s">
        <v>32</v>
      </c>
      <c r="C43" s="20" t="s">
        <v>34</v>
      </c>
      <c r="D43" s="21">
        <v>125043.5008295936</v>
      </c>
      <c r="E43" s="22">
        <v>120161.42758353925</v>
      </c>
      <c r="F43" s="22">
        <v>115159.19929924782</v>
      </c>
      <c r="G43" s="22">
        <v>110527.13066563522</v>
      </c>
      <c r="H43" s="22">
        <v>105858.20099233303</v>
      </c>
      <c r="I43" s="22">
        <v>101104.96861020397</v>
      </c>
      <c r="J43" s="22">
        <v>95595.702628597268</v>
      </c>
      <c r="K43" s="22">
        <v>74373.784028671595</v>
      </c>
      <c r="L43" s="22">
        <v>75806.155461835995</v>
      </c>
      <c r="M43" s="22">
        <v>77267.162685154093</v>
      </c>
      <c r="N43" s="22">
        <v>80199.952991652986</v>
      </c>
      <c r="O43" s="22">
        <v>83736.669503276818</v>
      </c>
      <c r="P43" s="22">
        <v>84708.261294888929</v>
      </c>
      <c r="Q43" s="22">
        <v>91304.141774100295</v>
      </c>
      <c r="R43" s="22">
        <v>98514.174129882245</v>
      </c>
      <c r="S43" s="22">
        <v>100343.65498669991</v>
      </c>
      <c r="T43" s="22">
        <v>99001.742763738963</v>
      </c>
      <c r="U43" s="22">
        <v>104378.20235811427</v>
      </c>
      <c r="V43" s="22">
        <v>107820.94895904181</v>
      </c>
      <c r="W43" s="22">
        <v>112843.71240110495</v>
      </c>
      <c r="X43" s="22">
        <v>118844.61119063231</v>
      </c>
      <c r="Y43" s="22">
        <v>125734.55582319314</v>
      </c>
      <c r="Z43" s="22">
        <v>128435.91209436154</v>
      </c>
      <c r="AA43" s="23">
        <v>124649.35499509389</v>
      </c>
      <c r="AB43" s="97"/>
      <c r="AC43" s="16">
        <v>5</v>
      </c>
      <c r="AD43" s="16">
        <f t="shared" si="0"/>
        <v>12307065.640252968</v>
      </c>
    </row>
    <row r="44" spans="1:30" ht="13.5" thickBot="1" x14ac:dyDescent="0.35">
      <c r="A44" s="18">
        <v>2027</v>
      </c>
      <c r="B44" s="25" t="s">
        <v>32</v>
      </c>
      <c r="C44" s="26" t="s">
        <v>36</v>
      </c>
      <c r="D44" s="21">
        <v>123618.87288458578</v>
      </c>
      <c r="E44" s="22">
        <v>119514.8954440362</v>
      </c>
      <c r="F44" s="22">
        <v>115325.43164105985</v>
      </c>
      <c r="G44" s="22">
        <v>111285.93142466103</v>
      </c>
      <c r="H44" s="22">
        <v>107089.7688607717</v>
      </c>
      <c r="I44" s="22">
        <v>103284.68728310041</v>
      </c>
      <c r="J44" s="22">
        <v>97421.372840718759</v>
      </c>
      <c r="K44" s="22">
        <v>75251.633578802357</v>
      </c>
      <c r="L44" s="22">
        <v>76502.737923415858</v>
      </c>
      <c r="M44" s="22">
        <v>78079.480367776254</v>
      </c>
      <c r="N44" s="22">
        <v>81315.903261480009</v>
      </c>
      <c r="O44" s="22">
        <v>85815.170804294321</v>
      </c>
      <c r="P44" s="22">
        <v>88135.644882944645</v>
      </c>
      <c r="Q44" s="22">
        <v>93446.595762059806</v>
      </c>
      <c r="R44" s="22">
        <v>99363.774989347134</v>
      </c>
      <c r="S44" s="22">
        <v>100742.55379268294</v>
      </c>
      <c r="T44" s="22">
        <v>99097.50753079704</v>
      </c>
      <c r="U44" s="22">
        <v>104208.10292927548</v>
      </c>
      <c r="V44" s="22">
        <v>107271.67342391955</v>
      </c>
      <c r="W44" s="22">
        <v>110517.29090215992</v>
      </c>
      <c r="X44" s="22">
        <v>115096.87307380793</v>
      </c>
      <c r="Y44" s="22">
        <v>120428.01153622907</v>
      </c>
      <c r="Z44" s="22">
        <v>123528.1594219718</v>
      </c>
      <c r="AA44" s="23">
        <v>122798.7278628341</v>
      </c>
      <c r="AB44" s="97"/>
      <c r="AC44" s="16">
        <v>7</v>
      </c>
      <c r="AD44" s="16">
        <f t="shared" si="0"/>
        <v>17213985.616959125</v>
      </c>
    </row>
    <row r="45" spans="1:30" ht="13.5" thickBot="1" x14ac:dyDescent="0.35">
      <c r="A45" s="18">
        <v>2027</v>
      </c>
      <c r="B45" s="11" t="s">
        <v>35</v>
      </c>
      <c r="C45" s="12" t="s">
        <v>33</v>
      </c>
      <c r="D45" s="21">
        <v>126300.95272889586</v>
      </c>
      <c r="E45" s="22">
        <v>121277.73770736833</v>
      </c>
      <c r="F45" s="22">
        <v>116658.38228345542</v>
      </c>
      <c r="G45" s="22">
        <v>112434.90063385255</v>
      </c>
      <c r="H45" s="22">
        <v>107977.46093342721</v>
      </c>
      <c r="I45" s="22">
        <v>102517.91188767934</v>
      </c>
      <c r="J45" s="22">
        <v>94879.869381313489</v>
      </c>
      <c r="K45" s="22">
        <v>71773.882130086349</v>
      </c>
      <c r="L45" s="22">
        <v>71318.852783906026</v>
      </c>
      <c r="M45" s="22">
        <v>72652.689826507121</v>
      </c>
      <c r="N45" s="22">
        <v>76191.39044772819</v>
      </c>
      <c r="O45" s="22">
        <v>80617.141677740598</v>
      </c>
      <c r="P45" s="22">
        <v>82660.286071553812</v>
      </c>
      <c r="Q45" s="22">
        <v>90772.13505144183</v>
      </c>
      <c r="R45" s="22">
        <v>95494.794814473164</v>
      </c>
      <c r="S45" s="22">
        <v>97510.771668846384</v>
      </c>
      <c r="T45" s="22">
        <v>97289.210367788255</v>
      </c>
      <c r="U45" s="22">
        <v>102738.889073524</v>
      </c>
      <c r="V45" s="22">
        <v>106596.67082370652</v>
      </c>
      <c r="W45" s="22">
        <v>112706.56524730186</v>
      </c>
      <c r="X45" s="22">
        <v>118592.06031459291</v>
      </c>
      <c r="Y45" s="22">
        <v>124557.20884120969</v>
      </c>
      <c r="Z45" s="22">
        <v>125613.03753611885</v>
      </c>
      <c r="AA45" s="23">
        <v>122685.810709952</v>
      </c>
      <c r="AB45" s="96">
        <f t="shared" ref="AB45" si="13">+SUM(D45:AA45)*AC45+SUM(D46:AA46)*AC46+SUM(D47:AA47)*AC47</f>
        <v>69134708.699278235</v>
      </c>
      <c r="AC45" s="16">
        <v>20</v>
      </c>
      <c r="AD45" s="16">
        <f t="shared" si="0"/>
        <v>48636372.258849397</v>
      </c>
    </row>
    <row r="46" spans="1:30" ht="13.5" thickBot="1" x14ac:dyDescent="0.35">
      <c r="A46" s="18">
        <v>2027</v>
      </c>
      <c r="B46" s="19" t="s">
        <v>35</v>
      </c>
      <c r="C46" s="20" t="s">
        <v>34</v>
      </c>
      <c r="D46" s="21">
        <v>129410.37561786026</v>
      </c>
      <c r="E46" s="22">
        <v>123698.67370618181</v>
      </c>
      <c r="F46" s="22">
        <v>118495.10015968385</v>
      </c>
      <c r="G46" s="22">
        <v>113785.54318049105</v>
      </c>
      <c r="H46" s="22">
        <v>108775.49015517719</v>
      </c>
      <c r="I46" s="22">
        <v>102325.2012910615</v>
      </c>
      <c r="J46" s="22">
        <v>92412.80220955328</v>
      </c>
      <c r="K46" s="22">
        <v>70634.38035206974</v>
      </c>
      <c r="L46" s="22">
        <v>72812.482025496138</v>
      </c>
      <c r="M46" s="22">
        <v>76384.70692586177</v>
      </c>
      <c r="N46" s="22">
        <v>80982.064665950151</v>
      </c>
      <c r="O46" s="22">
        <v>86763.704725238844</v>
      </c>
      <c r="P46" s="22">
        <v>90974.472155863332</v>
      </c>
      <c r="Q46" s="22">
        <v>100395.58359027232</v>
      </c>
      <c r="R46" s="22">
        <v>108271.07530960003</v>
      </c>
      <c r="S46" s="22">
        <v>109185.6096536252</v>
      </c>
      <c r="T46" s="22">
        <v>107889.81186539633</v>
      </c>
      <c r="U46" s="22">
        <v>109607.19192961133</v>
      </c>
      <c r="V46" s="22">
        <v>112034.04907712464</v>
      </c>
      <c r="W46" s="22">
        <v>118537.34810611162</v>
      </c>
      <c r="X46" s="22">
        <v>125435.2862696943</v>
      </c>
      <c r="Y46" s="22">
        <v>132733.4018257896</v>
      </c>
      <c r="Z46" s="22">
        <v>133685.93479798274</v>
      </c>
      <c r="AA46" s="23">
        <v>128844.34270474185</v>
      </c>
      <c r="AB46" s="97"/>
      <c r="AC46" s="16">
        <v>4</v>
      </c>
      <c r="AD46" s="16">
        <f t="shared" si="0"/>
        <v>10216298.529201755</v>
      </c>
    </row>
    <row r="47" spans="1:30" ht="13.5" thickBot="1" x14ac:dyDescent="0.35">
      <c r="A47" s="18">
        <v>2027</v>
      </c>
      <c r="B47" s="25" t="s">
        <v>35</v>
      </c>
      <c r="C47" s="26" t="s">
        <v>36</v>
      </c>
      <c r="D47" s="21">
        <v>130918.981564332</v>
      </c>
      <c r="E47" s="22">
        <v>124808.91804915215</v>
      </c>
      <c r="F47" s="22">
        <v>119670.84344272816</v>
      </c>
      <c r="G47" s="22">
        <v>114652.09734814984</v>
      </c>
      <c r="H47" s="22">
        <v>109182.45428717247</v>
      </c>
      <c r="I47" s="22">
        <v>104245.05078153577</v>
      </c>
      <c r="J47" s="22">
        <v>95389.91501595205</v>
      </c>
      <c r="K47" s="22">
        <v>73500.478545456135</v>
      </c>
      <c r="L47" s="22">
        <v>75966.580042059315</v>
      </c>
      <c r="M47" s="22">
        <v>78799.54685259187</v>
      </c>
      <c r="N47" s="22">
        <v>83422.812608407155</v>
      </c>
      <c r="O47" s="22">
        <v>89582.234589791929</v>
      </c>
      <c r="P47" s="22">
        <v>92764.504519887516</v>
      </c>
      <c r="Q47" s="22">
        <v>102439.03630061728</v>
      </c>
      <c r="R47" s="22">
        <v>111076.39015029192</v>
      </c>
      <c r="S47" s="22">
        <v>111664.60114049981</v>
      </c>
      <c r="T47" s="22">
        <v>108597.34869250089</v>
      </c>
      <c r="U47" s="22">
        <v>110627.16121610516</v>
      </c>
      <c r="V47" s="22">
        <v>111806.21143084305</v>
      </c>
      <c r="W47" s="22">
        <v>116565.8335113143</v>
      </c>
      <c r="X47" s="22">
        <v>120925.37585307511</v>
      </c>
      <c r="Y47" s="22">
        <v>126220.68494047582</v>
      </c>
      <c r="Z47" s="22">
        <v>129716.70823693735</v>
      </c>
      <c r="AA47" s="23">
        <v>127965.70868689197</v>
      </c>
      <c r="AB47" s="97"/>
      <c r="AC47" s="16">
        <v>4</v>
      </c>
      <c r="AD47" s="16">
        <f t="shared" si="0"/>
        <v>10282037.911227077</v>
      </c>
    </row>
    <row r="48" spans="1:30" ht="13.5" thickBot="1" x14ac:dyDescent="0.35">
      <c r="A48" s="18">
        <v>2027</v>
      </c>
      <c r="B48" s="11" t="s">
        <v>37</v>
      </c>
      <c r="C48" s="12" t="s">
        <v>33</v>
      </c>
      <c r="D48" s="21">
        <v>134935.85758053247</v>
      </c>
      <c r="E48" s="22">
        <v>130326.7874205788</v>
      </c>
      <c r="F48" s="22">
        <v>125912.17551340102</v>
      </c>
      <c r="G48" s="22">
        <v>121836.80971547647</v>
      </c>
      <c r="H48" s="22">
        <v>117573.85651956064</v>
      </c>
      <c r="I48" s="22">
        <v>111664.68442106969</v>
      </c>
      <c r="J48" s="22">
        <v>103651.77431231222</v>
      </c>
      <c r="K48" s="22">
        <v>80990.676765989469</v>
      </c>
      <c r="L48" s="22">
        <v>79293.564950031257</v>
      </c>
      <c r="M48" s="22">
        <v>80194.62102477983</v>
      </c>
      <c r="N48" s="22">
        <v>83173.400220539188</v>
      </c>
      <c r="O48" s="22">
        <v>87433.117370899796</v>
      </c>
      <c r="P48" s="22">
        <v>90507.340133991747</v>
      </c>
      <c r="Q48" s="22">
        <v>97302.218011571778</v>
      </c>
      <c r="R48" s="22">
        <v>101707.88062519844</v>
      </c>
      <c r="S48" s="22">
        <v>103412.40476270083</v>
      </c>
      <c r="T48" s="22">
        <v>103953.13672456596</v>
      </c>
      <c r="U48" s="22">
        <v>109549.3359644999</v>
      </c>
      <c r="V48" s="22">
        <v>113177.42693135235</v>
      </c>
      <c r="W48" s="22">
        <v>119591.14382199911</v>
      </c>
      <c r="X48" s="22">
        <v>125336.92073353604</v>
      </c>
      <c r="Y48" s="22">
        <v>131500.99595148518</v>
      </c>
      <c r="Z48" s="22">
        <v>133535.38982556749</v>
      </c>
      <c r="AA48" s="23">
        <v>131032.47037062103</v>
      </c>
      <c r="AB48" s="96">
        <f t="shared" ref="AB48" si="14">+SUM(D48:AA48)*AC48+SUM(D49:AA49)*AC49+SUM(D50:AA50)*AC50</f>
        <v>82727497.31919837</v>
      </c>
      <c r="AC48" s="16">
        <v>20</v>
      </c>
      <c r="AD48" s="16">
        <f t="shared" si="0"/>
        <v>52351879.793445215</v>
      </c>
    </row>
    <row r="49" spans="1:30" ht="13.5" thickBot="1" x14ac:dyDescent="0.35">
      <c r="A49" s="18">
        <v>2027</v>
      </c>
      <c r="B49" s="19" t="s">
        <v>37</v>
      </c>
      <c r="C49" s="20" t="s">
        <v>34</v>
      </c>
      <c r="D49" s="21">
        <v>135981.50901337725</v>
      </c>
      <c r="E49" s="22">
        <v>130396.36480761226</v>
      </c>
      <c r="F49" s="22">
        <v>125197.6501492627</v>
      </c>
      <c r="G49" s="22">
        <v>120675.32526677393</v>
      </c>
      <c r="H49" s="22">
        <v>115920.49457111392</v>
      </c>
      <c r="I49" s="22">
        <v>108243.89294879588</v>
      </c>
      <c r="J49" s="22">
        <v>98091.52260224022</v>
      </c>
      <c r="K49" s="22">
        <v>77773.423827745806</v>
      </c>
      <c r="L49" s="22">
        <v>80604.875049692666</v>
      </c>
      <c r="M49" s="22">
        <v>83546.391268792693</v>
      </c>
      <c r="N49" s="22">
        <v>87476.24438211853</v>
      </c>
      <c r="O49" s="22">
        <v>92730.713631195846</v>
      </c>
      <c r="P49" s="22">
        <v>96200.632135572596</v>
      </c>
      <c r="Q49" s="22">
        <v>107163.88015669148</v>
      </c>
      <c r="R49" s="22">
        <v>114323.54075155035</v>
      </c>
      <c r="S49" s="22">
        <v>115548.95839684403</v>
      </c>
      <c r="T49" s="22">
        <v>114606.64112948677</v>
      </c>
      <c r="U49" s="22">
        <v>116244.08935503344</v>
      </c>
      <c r="V49" s="22">
        <v>118004.38997630452</v>
      </c>
      <c r="W49" s="22">
        <v>126280.44622430528</v>
      </c>
      <c r="X49" s="22">
        <v>133209.94842806572</v>
      </c>
      <c r="Y49" s="22">
        <v>139806.05553208338</v>
      </c>
      <c r="Z49" s="22">
        <v>141576.09951049593</v>
      </c>
      <c r="AA49" s="23">
        <v>136980.74016706896</v>
      </c>
      <c r="AB49" s="97"/>
      <c r="AC49" s="16">
        <v>4</v>
      </c>
      <c r="AD49" s="16">
        <f t="shared" si="0"/>
        <v>10866335.317128895</v>
      </c>
    </row>
    <row r="50" spans="1:30" ht="13.5" thickBot="1" x14ac:dyDescent="0.35">
      <c r="A50" s="18">
        <v>2027</v>
      </c>
      <c r="B50" s="25" t="s">
        <v>37</v>
      </c>
      <c r="C50" s="26" t="s">
        <v>36</v>
      </c>
      <c r="D50" s="21">
        <v>141379.75667296143</v>
      </c>
      <c r="E50" s="22">
        <v>135697.49995028338</v>
      </c>
      <c r="F50" s="22">
        <v>130564.81756856547</v>
      </c>
      <c r="G50" s="22">
        <v>125756.37545158817</v>
      </c>
      <c r="H50" s="22">
        <v>120621.00747459971</v>
      </c>
      <c r="I50" s="22">
        <v>112904.68373417392</v>
      </c>
      <c r="J50" s="22">
        <v>102509.96224616792</v>
      </c>
      <c r="K50" s="22">
        <v>81635.409889581657</v>
      </c>
      <c r="L50" s="22">
        <v>84489.081294985255</v>
      </c>
      <c r="M50" s="22">
        <v>87820.782080959834</v>
      </c>
      <c r="N50" s="22">
        <v>92340.524631332097</v>
      </c>
      <c r="O50" s="22">
        <v>96824.053312782067</v>
      </c>
      <c r="P50" s="22">
        <v>100302.08073710362</v>
      </c>
      <c r="Q50" s="22">
        <v>108439.6142018798</v>
      </c>
      <c r="R50" s="22">
        <v>115661.47754512695</v>
      </c>
      <c r="S50" s="22">
        <v>117161.9951850169</v>
      </c>
      <c r="T50" s="22">
        <v>115509.94739053046</v>
      </c>
      <c r="U50" s="22">
        <v>118332.93456648686</v>
      </c>
      <c r="V50" s="22">
        <v>121696.25531458776</v>
      </c>
      <c r="W50" s="22">
        <v>127846.24638703784</v>
      </c>
      <c r="X50" s="22">
        <v>132368.00456551669</v>
      </c>
      <c r="Y50" s="22">
        <v>138377.72321530219</v>
      </c>
      <c r="Z50" s="22">
        <v>140866.83633230629</v>
      </c>
      <c r="AA50" s="23">
        <v>137933.24576887631</v>
      </c>
      <c r="AB50" s="97"/>
      <c r="AC50" s="16">
        <v>7</v>
      </c>
      <c r="AD50" s="16">
        <f t="shared" si="0"/>
        <v>19509282.208624266</v>
      </c>
    </row>
    <row r="51" spans="1:30" ht="13.5" thickBot="1" x14ac:dyDescent="0.35">
      <c r="A51" s="18">
        <v>2027</v>
      </c>
      <c r="B51" s="11" t="s">
        <v>38</v>
      </c>
      <c r="C51" s="12" t="s">
        <v>33</v>
      </c>
      <c r="D51" s="21">
        <v>132885.19156696109</v>
      </c>
      <c r="E51" s="22">
        <v>127504.43131241336</v>
      </c>
      <c r="F51" s="22">
        <v>122502.388715751</v>
      </c>
      <c r="G51" s="22">
        <v>118144.48254160411</v>
      </c>
      <c r="H51" s="22">
        <v>113683.35935016029</v>
      </c>
      <c r="I51" s="22">
        <v>106664.83875777962</v>
      </c>
      <c r="J51" s="22">
        <v>99772.887956777064</v>
      </c>
      <c r="K51" s="22">
        <v>78538.453671332696</v>
      </c>
      <c r="L51" s="22">
        <v>76671.963242696816</v>
      </c>
      <c r="M51" s="22">
        <v>76291.796350450139</v>
      </c>
      <c r="N51" s="22">
        <v>78025.585646428895</v>
      </c>
      <c r="O51" s="22">
        <v>81746.117202785361</v>
      </c>
      <c r="P51" s="22">
        <v>84293.049702396442</v>
      </c>
      <c r="Q51" s="22">
        <v>91300.872637145672</v>
      </c>
      <c r="R51" s="22">
        <v>96889.706184203736</v>
      </c>
      <c r="S51" s="22">
        <v>99106.771889792566</v>
      </c>
      <c r="T51" s="22">
        <v>101080.80707121221</v>
      </c>
      <c r="U51" s="22">
        <v>109504.73430273667</v>
      </c>
      <c r="V51" s="22">
        <v>112419.79950231517</v>
      </c>
      <c r="W51" s="22">
        <v>118538.50108680822</v>
      </c>
      <c r="X51" s="22">
        <v>124261.83920365441</v>
      </c>
      <c r="Y51" s="22">
        <v>130153.84098823223</v>
      </c>
      <c r="Z51" s="22">
        <v>132554.11180744832</v>
      </c>
      <c r="AA51" s="23">
        <v>129546.44931378812</v>
      </c>
      <c r="AB51" s="96">
        <f t="shared" ref="AB51" si="15">+SUM(D51:AA51)*AC51+SUM(D52:AA52)*AC52+SUM(D53:AA53)*AC53</f>
        <v>76411195.550225928</v>
      </c>
      <c r="AC51" s="16">
        <v>22</v>
      </c>
      <c r="AD51" s="16">
        <f t="shared" si="0"/>
        <v>55925803.560107239</v>
      </c>
    </row>
    <row r="52" spans="1:30" ht="13.5" thickBot="1" x14ac:dyDescent="0.35">
      <c r="A52" s="18">
        <v>2027</v>
      </c>
      <c r="B52" s="19" t="s">
        <v>38</v>
      </c>
      <c r="C52" s="20" t="s">
        <v>34</v>
      </c>
      <c r="D52" s="21">
        <v>132313.18665949028</v>
      </c>
      <c r="E52" s="22">
        <v>127035.65985781932</v>
      </c>
      <c r="F52" s="22">
        <v>121976.07132273656</v>
      </c>
      <c r="G52" s="22">
        <v>117624.5754486771</v>
      </c>
      <c r="H52" s="22">
        <v>113203.68866736288</v>
      </c>
      <c r="I52" s="22">
        <v>105897.74913882519</v>
      </c>
      <c r="J52" s="22">
        <v>98565.559022707108</v>
      </c>
      <c r="K52" s="22">
        <v>77692.688251257699</v>
      </c>
      <c r="L52" s="22">
        <v>76245.451457148243</v>
      </c>
      <c r="M52" s="22">
        <v>76271.24460196872</v>
      </c>
      <c r="N52" s="22">
        <v>78531.164799736784</v>
      </c>
      <c r="O52" s="22">
        <v>82906.466186715857</v>
      </c>
      <c r="P52" s="22">
        <v>86166.704479956417</v>
      </c>
      <c r="Q52" s="22">
        <v>94016.930924404005</v>
      </c>
      <c r="R52" s="22">
        <v>99735.967812995077</v>
      </c>
      <c r="S52" s="22">
        <v>101721.14264571758</v>
      </c>
      <c r="T52" s="22">
        <v>102866.56821374843</v>
      </c>
      <c r="U52" s="22">
        <v>109501.38048446231</v>
      </c>
      <c r="V52" s="22">
        <v>111933.51542925558</v>
      </c>
      <c r="W52" s="22">
        <v>119177.25633286855</v>
      </c>
      <c r="X52" s="22">
        <v>126128.31037924229</v>
      </c>
      <c r="Y52" s="22">
        <v>132452.4024340965</v>
      </c>
      <c r="Z52" s="22">
        <v>134186.49849097058</v>
      </c>
      <c r="AA52" s="23">
        <v>129946.07642267339</v>
      </c>
      <c r="AB52" s="97"/>
      <c r="AC52" s="16">
        <v>4</v>
      </c>
      <c r="AD52" s="16">
        <f t="shared" si="0"/>
        <v>10224385.037859345</v>
      </c>
    </row>
    <row r="53" spans="1:30" ht="13.5" thickBot="1" x14ac:dyDescent="0.35">
      <c r="A53" s="18">
        <v>2027</v>
      </c>
      <c r="B53" s="25" t="s">
        <v>38</v>
      </c>
      <c r="C53" s="26" t="s">
        <v>36</v>
      </c>
      <c r="D53" s="21">
        <v>132306.18825949027</v>
      </c>
      <c r="E53" s="22">
        <v>126948.96879781931</v>
      </c>
      <c r="F53" s="22">
        <v>122073.14820273656</v>
      </c>
      <c r="G53" s="22">
        <v>117802.29106867711</v>
      </c>
      <c r="H53" s="22">
        <v>113460.71948736288</v>
      </c>
      <c r="I53" s="22">
        <v>106218.9870388252</v>
      </c>
      <c r="J53" s="22">
        <v>98827.513022707106</v>
      </c>
      <c r="K53" s="22">
        <v>78053.045911257708</v>
      </c>
      <c r="L53" s="22">
        <v>77072.641277148257</v>
      </c>
      <c r="M53" s="22">
        <v>77270.723041968711</v>
      </c>
      <c r="N53" s="22">
        <v>79691.491419736791</v>
      </c>
      <c r="O53" s="22">
        <v>84027.136826715883</v>
      </c>
      <c r="P53" s="22">
        <v>86872.859239956393</v>
      </c>
      <c r="Q53" s="22">
        <v>94749.613184404006</v>
      </c>
      <c r="R53" s="22">
        <v>100320.18031299509</v>
      </c>
      <c r="S53" s="22">
        <v>102095.97176571761</v>
      </c>
      <c r="T53" s="22">
        <v>103255.39575374841</v>
      </c>
      <c r="U53" s="22">
        <v>109890.53850446231</v>
      </c>
      <c r="V53" s="22">
        <v>112311.22976925556</v>
      </c>
      <c r="W53" s="22">
        <v>119329.39377286856</v>
      </c>
      <c r="X53" s="22">
        <v>126053.29627924229</v>
      </c>
      <c r="Y53" s="22">
        <v>132253.60251409654</v>
      </c>
      <c r="Z53" s="22">
        <v>134111.54433097062</v>
      </c>
      <c r="AA53" s="23">
        <v>130255.2582826734</v>
      </c>
      <c r="AB53" s="97"/>
      <c r="AC53" s="16">
        <v>4</v>
      </c>
      <c r="AD53" s="16">
        <f t="shared" si="0"/>
        <v>10261006.952259347</v>
      </c>
    </row>
    <row r="54" spans="1:30" ht="13.5" thickBot="1" x14ac:dyDescent="0.35">
      <c r="A54" s="18">
        <v>2027</v>
      </c>
      <c r="B54" s="11" t="s">
        <v>39</v>
      </c>
      <c r="C54" s="12" t="s">
        <v>33</v>
      </c>
      <c r="D54" s="21">
        <v>133420.4828322753</v>
      </c>
      <c r="E54" s="22">
        <v>128042.98143530061</v>
      </c>
      <c r="F54" s="22">
        <v>123097.21336095761</v>
      </c>
      <c r="G54" s="22">
        <v>118763.13757942048</v>
      </c>
      <c r="H54" s="22">
        <v>114376.76439940392</v>
      </c>
      <c r="I54" s="22">
        <v>107756.36055532853</v>
      </c>
      <c r="J54" s="22">
        <v>100670.01123276723</v>
      </c>
      <c r="K54" s="22">
        <v>79255.550759562087</v>
      </c>
      <c r="L54" s="22">
        <v>77224.936829458165</v>
      </c>
      <c r="M54" s="22">
        <v>76750.944352258201</v>
      </c>
      <c r="N54" s="22">
        <v>78656.093118421748</v>
      </c>
      <c r="O54" s="22">
        <v>82455.732010387088</v>
      </c>
      <c r="P54" s="22">
        <v>85218.095702169099</v>
      </c>
      <c r="Q54" s="22">
        <v>92066.311749387023</v>
      </c>
      <c r="R54" s="22">
        <v>97609.817865812525</v>
      </c>
      <c r="S54" s="22">
        <v>99703.122543477177</v>
      </c>
      <c r="T54" s="22">
        <v>101431.31363928803</v>
      </c>
      <c r="U54" s="22">
        <v>109521.94416164588</v>
      </c>
      <c r="V54" s="22">
        <v>112821.39327306737</v>
      </c>
      <c r="W54" s="22">
        <v>118969.51816446395</v>
      </c>
      <c r="X54" s="22">
        <v>124867.66073301785</v>
      </c>
      <c r="Y54" s="22">
        <v>130689.56587395868</v>
      </c>
      <c r="Z54" s="22">
        <v>132956.92260300723</v>
      </c>
      <c r="AA54" s="23">
        <v>129875.59689916317</v>
      </c>
      <c r="AB54" s="96">
        <f t="shared" ref="AB54" si="16">+SUM(D54:AA54)*AC54+SUM(D55:AA55)*AC55+SUM(D56:AA56)*AC56</f>
        <v>79863901.665940583</v>
      </c>
      <c r="AC54" s="16">
        <v>19</v>
      </c>
      <c r="AD54" s="16">
        <f t="shared" si="0"/>
        <v>48567827.961805984</v>
      </c>
    </row>
    <row r="55" spans="1:30" ht="13.5" thickBot="1" x14ac:dyDescent="0.35">
      <c r="A55" s="18">
        <v>2027</v>
      </c>
      <c r="B55" s="19" t="s">
        <v>39</v>
      </c>
      <c r="C55" s="20" t="s">
        <v>34</v>
      </c>
      <c r="D55" s="21">
        <v>133959.17784610862</v>
      </c>
      <c r="E55" s="22">
        <v>128303.31208567899</v>
      </c>
      <c r="F55" s="22">
        <v>123371.27093740212</v>
      </c>
      <c r="G55" s="22">
        <v>118877.08253930381</v>
      </c>
      <c r="H55" s="22">
        <v>114346.69938832763</v>
      </c>
      <c r="I55" s="22">
        <v>106885.46123402816</v>
      </c>
      <c r="J55" s="22">
        <v>99007.869230632059</v>
      </c>
      <c r="K55" s="22">
        <v>78903.027383199646</v>
      </c>
      <c r="L55" s="22">
        <v>78370.80461532285</v>
      </c>
      <c r="M55" s="22">
        <v>78946.25576141561</v>
      </c>
      <c r="N55" s="22">
        <v>81776.101862848096</v>
      </c>
      <c r="O55" s="22">
        <v>86249.06951830574</v>
      </c>
      <c r="P55" s="22">
        <v>89120.287231155569</v>
      </c>
      <c r="Q55" s="22">
        <v>98798.539516606063</v>
      </c>
      <c r="R55" s="22">
        <v>104607.38143658733</v>
      </c>
      <c r="S55" s="22">
        <v>106284.32683796203</v>
      </c>
      <c r="T55" s="22">
        <v>107202.73093728928</v>
      </c>
      <c r="U55" s="22">
        <v>112766.0039866446</v>
      </c>
      <c r="V55" s="22">
        <v>115204.14787654478</v>
      </c>
      <c r="W55" s="22">
        <v>122440.00342769551</v>
      </c>
      <c r="X55" s="22">
        <v>129702.88453679638</v>
      </c>
      <c r="Y55" s="22">
        <v>135835.75127700882</v>
      </c>
      <c r="Z55" s="22">
        <v>137093.67130842374</v>
      </c>
      <c r="AA55" s="23">
        <v>132210.20891233918</v>
      </c>
      <c r="AB55" s="97"/>
      <c r="AC55" s="16">
        <v>4</v>
      </c>
      <c r="AD55" s="16">
        <f t="shared" si="0"/>
        <v>10481048.278750509</v>
      </c>
    </row>
    <row r="56" spans="1:30" ht="13.5" thickBot="1" x14ac:dyDescent="0.35">
      <c r="A56" s="18">
        <v>2027</v>
      </c>
      <c r="B56" s="25" t="s">
        <v>39</v>
      </c>
      <c r="C56" s="26" t="s">
        <v>36</v>
      </c>
      <c r="D56" s="21">
        <v>133755.14721811103</v>
      </c>
      <c r="E56" s="22">
        <v>128226.57279341189</v>
      </c>
      <c r="F56" s="22">
        <v>123190.39394633628</v>
      </c>
      <c r="G56" s="22">
        <v>118840.71486487689</v>
      </c>
      <c r="H56" s="22">
        <v>114530.86334253949</v>
      </c>
      <c r="I56" s="22">
        <v>107786.88508101585</v>
      </c>
      <c r="J56" s="22">
        <v>100528.13099767096</v>
      </c>
      <c r="K56" s="22">
        <v>79916.577457653038</v>
      </c>
      <c r="L56" s="22">
        <v>79373.961234621092</v>
      </c>
      <c r="M56" s="22">
        <v>79812.566368867076</v>
      </c>
      <c r="N56" s="22">
        <v>82222.15793592947</v>
      </c>
      <c r="O56" s="22">
        <v>86387.034454521883</v>
      </c>
      <c r="P56" s="22">
        <v>88605.338336558678</v>
      </c>
      <c r="Q56" s="22">
        <v>95822.458005118679</v>
      </c>
      <c r="R56" s="22">
        <v>101753.07015649934</v>
      </c>
      <c r="S56" s="22">
        <v>103754.46265853794</v>
      </c>
      <c r="T56" s="22">
        <v>105003.46368214578</v>
      </c>
      <c r="U56" s="22">
        <v>112023.59148909316</v>
      </c>
      <c r="V56" s="22">
        <v>114822.42185520564</v>
      </c>
      <c r="W56" s="22">
        <v>120828.15357460841</v>
      </c>
      <c r="X56" s="22">
        <v>126646.61709205949</v>
      </c>
      <c r="Y56" s="22">
        <v>132404.57310933134</v>
      </c>
      <c r="Z56" s="22">
        <v>134496.68652725391</v>
      </c>
      <c r="AA56" s="23">
        <v>131146.33599104261</v>
      </c>
      <c r="AB56" s="97"/>
      <c r="AC56" s="16">
        <v>8</v>
      </c>
      <c r="AD56" s="16">
        <f t="shared" si="0"/>
        <v>20815025.425384086</v>
      </c>
    </row>
    <row r="57" spans="1:30" ht="13.5" thickBot="1" x14ac:dyDescent="0.35">
      <c r="A57" s="18">
        <v>2027</v>
      </c>
      <c r="B57" s="11" t="s">
        <v>40</v>
      </c>
      <c r="C57" s="12" t="s">
        <v>33</v>
      </c>
      <c r="D57" s="21">
        <v>137836.57869272068</v>
      </c>
      <c r="E57" s="22">
        <v>132497.77644018154</v>
      </c>
      <c r="F57" s="22">
        <v>127499.66136046004</v>
      </c>
      <c r="G57" s="22">
        <v>123225.33103207583</v>
      </c>
      <c r="H57" s="22">
        <v>118890.01561134782</v>
      </c>
      <c r="I57" s="22">
        <v>112392.9846706274</v>
      </c>
      <c r="J57" s="22">
        <v>105426.05656858285</v>
      </c>
      <c r="K57" s="22">
        <v>83346.166906202037</v>
      </c>
      <c r="L57" s="22">
        <v>80274.248115021532</v>
      </c>
      <c r="M57" s="22">
        <v>79306.52065773854</v>
      </c>
      <c r="N57" s="22">
        <v>80875.789012330875</v>
      </c>
      <c r="O57" s="22">
        <v>84624.249737584934</v>
      </c>
      <c r="P57" s="22">
        <v>87732.278918029071</v>
      </c>
      <c r="Q57" s="22">
        <v>94097.157731607149</v>
      </c>
      <c r="R57" s="22">
        <v>99255.703726096966</v>
      </c>
      <c r="S57" s="22">
        <v>101475.2097368417</v>
      </c>
      <c r="T57" s="22">
        <v>103236.43990364156</v>
      </c>
      <c r="U57" s="22">
        <v>111736.74624599676</v>
      </c>
      <c r="V57" s="22">
        <v>116318.89673755497</v>
      </c>
      <c r="W57" s="22">
        <v>122788.78661172686</v>
      </c>
      <c r="X57" s="22">
        <v>128898.90735159272</v>
      </c>
      <c r="Y57" s="22">
        <v>134957.2891955674</v>
      </c>
      <c r="Z57" s="22">
        <v>137188.62157545015</v>
      </c>
      <c r="AA57" s="23">
        <v>134123.60378547193</v>
      </c>
      <c r="AB57" s="96">
        <f t="shared" ref="AB57" si="17">+SUM(D57:AA57)*AC57+SUM(D58:AA58)*AC58+SUM(D59:AA59)*AC59</f>
        <v>79941114.485680327</v>
      </c>
      <c r="AC57" s="16">
        <v>21</v>
      </c>
      <c r="AD57" s="16">
        <f t="shared" si="0"/>
        <v>55398105.426813468</v>
      </c>
    </row>
    <row r="58" spans="1:30" ht="13.5" thickBot="1" x14ac:dyDescent="0.35">
      <c r="A58" s="18">
        <v>2027</v>
      </c>
      <c r="B58" s="19" t="s">
        <v>40</v>
      </c>
      <c r="C58" s="20" t="s">
        <v>34</v>
      </c>
      <c r="D58" s="21">
        <v>138685.58396087203</v>
      </c>
      <c r="E58" s="22">
        <v>132754.31186190477</v>
      </c>
      <c r="F58" s="22">
        <v>127642.06081208473</v>
      </c>
      <c r="G58" s="22">
        <v>123100.54748527765</v>
      </c>
      <c r="H58" s="22">
        <v>118440.24210718654</v>
      </c>
      <c r="I58" s="22">
        <v>110891.42679417762</v>
      </c>
      <c r="J58" s="22">
        <v>103038.90004239869</v>
      </c>
      <c r="K58" s="22">
        <v>83047.597335208455</v>
      </c>
      <c r="L58" s="22">
        <v>82741.159196691486</v>
      </c>
      <c r="M58" s="22">
        <v>83287.44405168276</v>
      </c>
      <c r="N58" s="22">
        <v>85964.615387762475</v>
      </c>
      <c r="O58" s="22">
        <v>90503.444488155335</v>
      </c>
      <c r="P58" s="22">
        <v>93522.009841725972</v>
      </c>
      <c r="Q58" s="22">
        <v>103304.01629523058</v>
      </c>
      <c r="R58" s="22">
        <v>109648.18177578814</v>
      </c>
      <c r="S58" s="22">
        <v>111134.7249170841</v>
      </c>
      <c r="T58" s="22">
        <v>111493.45055575507</v>
      </c>
      <c r="U58" s="22">
        <v>116745.92460024412</v>
      </c>
      <c r="V58" s="22">
        <v>119811.30254003275</v>
      </c>
      <c r="W58" s="22">
        <v>126927.62111279929</v>
      </c>
      <c r="X58" s="22">
        <v>134441.35302007906</v>
      </c>
      <c r="Y58" s="22">
        <v>140846.09948414707</v>
      </c>
      <c r="Z58" s="22">
        <v>142250.67326132476</v>
      </c>
      <c r="AA58" s="23">
        <v>137368.96141965655</v>
      </c>
      <c r="AB58" s="97"/>
      <c r="AC58" s="16">
        <v>4</v>
      </c>
      <c r="AD58" s="16">
        <f t="shared" si="0"/>
        <v>10910366.60938908</v>
      </c>
    </row>
    <row r="59" spans="1:30" ht="13.5" thickBot="1" x14ac:dyDescent="0.35">
      <c r="A59" s="18">
        <v>2027</v>
      </c>
      <c r="B59" s="25" t="s">
        <v>40</v>
      </c>
      <c r="C59" s="26" t="s">
        <v>36</v>
      </c>
      <c r="D59" s="21">
        <v>138381.09507396887</v>
      </c>
      <c r="E59" s="22">
        <v>132518.86288595494</v>
      </c>
      <c r="F59" s="22">
        <v>127265.34863515345</v>
      </c>
      <c r="G59" s="22">
        <v>122659.44772112137</v>
      </c>
      <c r="H59" s="22">
        <v>118211.43809232293</v>
      </c>
      <c r="I59" s="22">
        <v>111230.46454375589</v>
      </c>
      <c r="J59" s="22">
        <v>103598.82089912324</v>
      </c>
      <c r="K59" s="22">
        <v>83599.011339786433</v>
      </c>
      <c r="L59" s="22">
        <v>83954.340699394088</v>
      </c>
      <c r="M59" s="22">
        <v>84634.083608278335</v>
      </c>
      <c r="N59" s="22">
        <v>87455.735155686649</v>
      </c>
      <c r="O59" s="22">
        <v>92000.48864814121</v>
      </c>
      <c r="P59" s="22">
        <v>94181.109699138673</v>
      </c>
      <c r="Q59" s="22">
        <v>102631.77264139827</v>
      </c>
      <c r="R59" s="22">
        <v>109304.98977306506</v>
      </c>
      <c r="S59" s="22">
        <v>111045.0112693191</v>
      </c>
      <c r="T59" s="22">
        <v>111624.26473307384</v>
      </c>
      <c r="U59" s="22">
        <v>117134.64513687792</v>
      </c>
      <c r="V59" s="22">
        <v>119983.99480532936</v>
      </c>
      <c r="W59" s="22">
        <v>126337.93561575716</v>
      </c>
      <c r="X59" s="22">
        <v>132701.46316291665</v>
      </c>
      <c r="Y59" s="22">
        <v>138718.64373450211</v>
      </c>
      <c r="Z59" s="22">
        <v>140621.0748677926</v>
      </c>
      <c r="AA59" s="23">
        <v>136734.44715369772</v>
      </c>
      <c r="AB59" s="97"/>
      <c r="AC59" s="16">
        <v>5</v>
      </c>
      <c r="AD59" s="16">
        <f t="shared" si="0"/>
        <v>13632642.449477779</v>
      </c>
    </row>
    <row r="60" spans="1:30" ht="13.5" thickBot="1" x14ac:dyDescent="0.35">
      <c r="A60" s="18">
        <v>2027</v>
      </c>
      <c r="B60" s="11" t="s">
        <v>41</v>
      </c>
      <c r="C60" s="12" t="s">
        <v>33</v>
      </c>
      <c r="D60" s="21">
        <v>132711.40047297039</v>
      </c>
      <c r="E60" s="22">
        <v>127323.32692312267</v>
      </c>
      <c r="F60" s="22">
        <v>122375.09745394287</v>
      </c>
      <c r="G60" s="22">
        <v>118123.56383555647</v>
      </c>
      <c r="H60" s="22">
        <v>113859.48377183201</v>
      </c>
      <c r="I60" s="22">
        <v>107182.60803106225</v>
      </c>
      <c r="J60" s="22">
        <v>100030.64367799628</v>
      </c>
      <c r="K60" s="22">
        <v>78903.286386498454</v>
      </c>
      <c r="L60" s="22">
        <v>77015.808800356142</v>
      </c>
      <c r="M60" s="22">
        <v>76742.992590274982</v>
      </c>
      <c r="N60" s="22">
        <v>78679.730638517824</v>
      </c>
      <c r="O60" s="22">
        <v>82503.944885944424</v>
      </c>
      <c r="P60" s="22">
        <v>85075.191479201123</v>
      </c>
      <c r="Q60" s="22">
        <v>92170.534925679181</v>
      </c>
      <c r="R60" s="22">
        <v>97781.398291111866</v>
      </c>
      <c r="S60" s="22">
        <v>99714.184612413155</v>
      </c>
      <c r="T60" s="22">
        <v>101222.56927406655</v>
      </c>
      <c r="U60" s="22">
        <v>109050.6231694227</v>
      </c>
      <c r="V60" s="22">
        <v>113479.39975357142</v>
      </c>
      <c r="W60" s="22">
        <v>119337.91512187265</v>
      </c>
      <c r="X60" s="22">
        <v>125261.44214467725</v>
      </c>
      <c r="Y60" s="22">
        <v>130880.11955303579</v>
      </c>
      <c r="Z60" s="22">
        <v>132637.79981032549</v>
      </c>
      <c r="AA60" s="23">
        <v>129125.26788763543</v>
      </c>
      <c r="AB60" s="96">
        <f t="shared" ref="AB60" si="18">+SUM(D60:AA60)*AC60+SUM(D61:AA61)*AC61+SUM(D62:AA62)*AC62</f>
        <v>79567716.320283145</v>
      </c>
      <c r="AC60" s="16">
        <v>20</v>
      </c>
      <c r="AD60" s="16">
        <f t="shared" si="0"/>
        <v>51023766.669821747</v>
      </c>
    </row>
    <row r="61" spans="1:30" ht="13.5" thickBot="1" x14ac:dyDescent="0.35">
      <c r="A61" s="18">
        <v>2027</v>
      </c>
      <c r="B61" s="19" t="s">
        <v>41</v>
      </c>
      <c r="C61" s="20" t="s">
        <v>34</v>
      </c>
      <c r="D61" s="21">
        <v>132203.20026649357</v>
      </c>
      <c r="E61" s="22">
        <v>126542.65476752599</v>
      </c>
      <c r="F61" s="22">
        <v>121619.18041045906</v>
      </c>
      <c r="G61" s="22">
        <v>117281.62345469245</v>
      </c>
      <c r="H61" s="22">
        <v>112809.22977166172</v>
      </c>
      <c r="I61" s="22">
        <v>105457.80288824761</v>
      </c>
      <c r="J61" s="22">
        <v>97754.571112336052</v>
      </c>
      <c r="K61" s="22">
        <v>78209.42478668</v>
      </c>
      <c r="L61" s="22">
        <v>77889.824952529365</v>
      </c>
      <c r="M61" s="22">
        <v>78575.788955807235</v>
      </c>
      <c r="N61" s="22">
        <v>81493.514944145238</v>
      </c>
      <c r="O61" s="22">
        <v>86349.630148545213</v>
      </c>
      <c r="P61" s="22">
        <v>89748.922809830096</v>
      </c>
      <c r="Q61" s="22">
        <v>99373.882290017253</v>
      </c>
      <c r="R61" s="22">
        <v>105908.89816909393</v>
      </c>
      <c r="S61" s="22">
        <v>107782.55690729241</v>
      </c>
      <c r="T61" s="22">
        <v>108488.17774523408</v>
      </c>
      <c r="U61" s="22">
        <v>113750.73926548092</v>
      </c>
      <c r="V61" s="22">
        <v>116985.87300408767</v>
      </c>
      <c r="W61" s="22">
        <v>124065.22522328122</v>
      </c>
      <c r="X61" s="22">
        <v>131202.97310499218</v>
      </c>
      <c r="Y61" s="22">
        <v>137360.8908410029</v>
      </c>
      <c r="Z61" s="22">
        <v>138392.56205892368</v>
      </c>
      <c r="AA61" s="23">
        <v>133263.64227259625</v>
      </c>
      <c r="AB61" s="97"/>
      <c r="AC61" s="16">
        <v>5</v>
      </c>
      <c r="AD61" s="16">
        <f t="shared" si="0"/>
        <v>13112553.950754784</v>
      </c>
    </row>
    <row r="62" spans="1:30" ht="13.5" thickBot="1" x14ac:dyDescent="0.35">
      <c r="A62" s="18">
        <v>2027</v>
      </c>
      <c r="B62" s="25" t="s">
        <v>41</v>
      </c>
      <c r="C62" s="26" t="s">
        <v>36</v>
      </c>
      <c r="D62" s="21">
        <v>132210.28008257897</v>
      </c>
      <c r="E62" s="22">
        <v>126700.36427374456</v>
      </c>
      <c r="F62" s="22">
        <v>121719.06989655219</v>
      </c>
      <c r="G62" s="22">
        <v>117410.64634676353</v>
      </c>
      <c r="H62" s="22">
        <v>113158.78516073986</v>
      </c>
      <c r="I62" s="22">
        <v>106498.92978693054</v>
      </c>
      <c r="J62" s="22">
        <v>99357.369349736357</v>
      </c>
      <c r="K62" s="22">
        <v>79048.478999811618</v>
      </c>
      <c r="L62" s="22">
        <v>78294.938994559096</v>
      </c>
      <c r="M62" s="22">
        <v>78531.274629660285</v>
      </c>
      <c r="N62" s="22">
        <v>80946.648677892576</v>
      </c>
      <c r="O62" s="22">
        <v>85129.526983433185</v>
      </c>
      <c r="P62" s="22">
        <v>87799.118458020166</v>
      </c>
      <c r="Q62" s="22">
        <v>95472.625796308275</v>
      </c>
      <c r="R62" s="22">
        <v>101532.54604911384</v>
      </c>
      <c r="S62" s="22">
        <v>103027.47274187102</v>
      </c>
      <c r="T62" s="22">
        <v>103719.34018393686</v>
      </c>
      <c r="U62" s="22">
        <v>110342.86220763845</v>
      </c>
      <c r="V62" s="22">
        <v>113967.58717462521</v>
      </c>
      <c r="W62" s="22">
        <v>119470.83564393835</v>
      </c>
      <c r="X62" s="22">
        <v>125380.46071797555</v>
      </c>
      <c r="Y62" s="22">
        <v>130834.27875437278</v>
      </c>
      <c r="Z62" s="22">
        <v>132469.8275227035</v>
      </c>
      <c r="AA62" s="23">
        <v>128876.01485152869</v>
      </c>
      <c r="AB62" s="97"/>
      <c r="AC62" s="16">
        <v>6</v>
      </c>
      <c r="AD62" s="16">
        <f t="shared" si="0"/>
        <v>15431395.69970661</v>
      </c>
    </row>
    <row r="63" spans="1:30" ht="13.5" thickBot="1" x14ac:dyDescent="0.35">
      <c r="A63" s="18">
        <v>2027</v>
      </c>
      <c r="B63" s="11" t="s">
        <v>42</v>
      </c>
      <c r="C63" s="12" t="s">
        <v>33</v>
      </c>
      <c r="D63" s="21">
        <v>139136.80549707747</v>
      </c>
      <c r="E63" s="22">
        <v>133674.88025291325</v>
      </c>
      <c r="F63" s="22">
        <v>128637.81116669049</v>
      </c>
      <c r="G63" s="22">
        <v>124271.0077348</v>
      </c>
      <c r="H63" s="22">
        <v>119926.55746425226</v>
      </c>
      <c r="I63" s="22">
        <v>113083.23461552153</v>
      </c>
      <c r="J63" s="22">
        <v>106013.70747049546</v>
      </c>
      <c r="K63" s="22">
        <v>84311.872819675889</v>
      </c>
      <c r="L63" s="22">
        <v>81761.724062333815</v>
      </c>
      <c r="M63" s="22">
        <v>81137.362293454978</v>
      </c>
      <c r="N63" s="22">
        <v>82844.44988482671</v>
      </c>
      <c r="O63" s="22">
        <v>86583.893409261538</v>
      </c>
      <c r="P63" s="22">
        <v>89533.065962528926</v>
      </c>
      <c r="Q63" s="22">
        <v>96322.839380286052</v>
      </c>
      <c r="R63" s="22">
        <v>101921.35604814877</v>
      </c>
      <c r="S63" s="22">
        <v>104158.18104738551</v>
      </c>
      <c r="T63" s="22">
        <v>105733.48435638379</v>
      </c>
      <c r="U63" s="22">
        <v>113750.08845321422</v>
      </c>
      <c r="V63" s="22">
        <v>118153.42942830517</v>
      </c>
      <c r="W63" s="22">
        <v>124892.48565397521</v>
      </c>
      <c r="X63" s="22">
        <v>130801.48802901323</v>
      </c>
      <c r="Y63" s="22">
        <v>136809.03819470655</v>
      </c>
      <c r="Z63" s="22">
        <v>139157.3073765841</v>
      </c>
      <c r="AA63" s="23">
        <v>136194.8819153457</v>
      </c>
      <c r="AB63" s="96">
        <f t="shared" ref="AB63" si="19">+SUM(D63:AA63)*AC63+SUM(D64:AA64)*AC64+SUM(D65:AA65)*AC65</f>
        <v>83845211.042505577</v>
      </c>
      <c r="AC63" s="16">
        <v>21</v>
      </c>
      <c r="AD63" s="16">
        <f t="shared" si="0"/>
        <v>56255030.002860807</v>
      </c>
    </row>
    <row r="64" spans="1:30" ht="13.5" thickBot="1" x14ac:dyDescent="0.35">
      <c r="A64" s="18">
        <v>2027</v>
      </c>
      <c r="B64" s="19" t="s">
        <v>42</v>
      </c>
      <c r="C64" s="20" t="s">
        <v>34</v>
      </c>
      <c r="D64" s="21">
        <v>142316.00277739918</v>
      </c>
      <c r="E64" s="22">
        <v>136367.21521171599</v>
      </c>
      <c r="F64" s="22">
        <v>131152.45163702324</v>
      </c>
      <c r="G64" s="22">
        <v>126645.2213672634</v>
      </c>
      <c r="H64" s="22">
        <v>122044.80371302395</v>
      </c>
      <c r="I64" s="22">
        <v>114072.64455881053</v>
      </c>
      <c r="J64" s="22">
        <v>105931.63544992615</v>
      </c>
      <c r="K64" s="22">
        <v>86054.281658251872</v>
      </c>
      <c r="L64" s="22">
        <v>85603.838256499905</v>
      </c>
      <c r="M64" s="22">
        <v>86056.353721956155</v>
      </c>
      <c r="N64" s="22">
        <v>88763.472235645924</v>
      </c>
      <c r="O64" s="22">
        <v>93302.311946102462</v>
      </c>
      <c r="P64" s="22">
        <v>96224.172616736192</v>
      </c>
      <c r="Q64" s="22">
        <v>105759.17655916272</v>
      </c>
      <c r="R64" s="22">
        <v>112205.03736787631</v>
      </c>
      <c r="S64" s="22">
        <v>113795.63587752996</v>
      </c>
      <c r="T64" s="22">
        <v>113997.45468534721</v>
      </c>
      <c r="U64" s="22">
        <v>118946.39992038968</v>
      </c>
      <c r="V64" s="22">
        <v>121749.45578700618</v>
      </c>
      <c r="W64" s="22">
        <v>129605.95466297232</v>
      </c>
      <c r="X64" s="22">
        <v>137224.3948487055</v>
      </c>
      <c r="Y64" s="22">
        <v>143633.74488098451</v>
      </c>
      <c r="Z64" s="22">
        <v>144736.07502021323</v>
      </c>
      <c r="AA64" s="23">
        <v>139357.24988422581</v>
      </c>
      <c r="AB64" s="97"/>
      <c r="AC64" s="16">
        <v>3</v>
      </c>
      <c r="AD64" s="16">
        <f t="shared" si="0"/>
        <v>8386634.9539343063</v>
      </c>
    </row>
    <row r="65" spans="1:30" ht="13.5" thickBot="1" x14ac:dyDescent="0.35">
      <c r="A65" s="18">
        <v>2027</v>
      </c>
      <c r="B65" s="25" t="s">
        <v>42</v>
      </c>
      <c r="C65" s="26" t="s">
        <v>36</v>
      </c>
      <c r="D65" s="21">
        <v>139368.28572634145</v>
      </c>
      <c r="E65" s="22">
        <v>133577.78376424839</v>
      </c>
      <c r="F65" s="22">
        <v>128446.49448768886</v>
      </c>
      <c r="G65" s="22">
        <v>123931.69312837451</v>
      </c>
      <c r="H65" s="22">
        <v>119452.81235969813</v>
      </c>
      <c r="I65" s="22">
        <v>112418.6723094695</v>
      </c>
      <c r="J65" s="22">
        <v>104903.88663183874</v>
      </c>
      <c r="K65" s="22">
        <v>84739.724427163936</v>
      </c>
      <c r="L65" s="22">
        <v>84467.82490828351</v>
      </c>
      <c r="M65" s="22">
        <v>84857.136436745714</v>
      </c>
      <c r="N65" s="22">
        <v>87492.028296172983</v>
      </c>
      <c r="O65" s="22">
        <v>91826.638290963572</v>
      </c>
      <c r="P65" s="22">
        <v>94452.684047517847</v>
      </c>
      <c r="Q65" s="22">
        <v>102539.70810636003</v>
      </c>
      <c r="R65" s="22">
        <v>108969.32595188872</v>
      </c>
      <c r="S65" s="22">
        <v>110919.58685145956</v>
      </c>
      <c r="T65" s="22">
        <v>111600.69192255076</v>
      </c>
      <c r="U65" s="22">
        <v>117626.75430810753</v>
      </c>
      <c r="V65" s="22">
        <v>120906.32800908937</v>
      </c>
      <c r="W65" s="22">
        <v>127717.10113844124</v>
      </c>
      <c r="X65" s="22">
        <v>133984.58517212496</v>
      </c>
      <c r="Y65" s="22">
        <v>139865.90189072205</v>
      </c>
      <c r="Z65" s="22">
        <v>141678.17798535834</v>
      </c>
      <c r="AA65" s="23">
        <v>137619.90037945722</v>
      </c>
      <c r="AB65" s="97"/>
      <c r="AC65" s="16">
        <v>7</v>
      </c>
      <c r="AD65" s="16">
        <f t="shared" si="0"/>
        <v>19203546.08571047</v>
      </c>
    </row>
    <row r="66" spans="1:30" ht="13.5" thickBot="1" x14ac:dyDescent="0.35">
      <c r="A66" s="18">
        <v>2027</v>
      </c>
      <c r="B66" s="11" t="s">
        <v>43</v>
      </c>
      <c r="C66" s="12" t="s">
        <v>33</v>
      </c>
      <c r="D66" s="21">
        <v>139598.72299925311</v>
      </c>
      <c r="E66" s="22">
        <v>134034.22122110188</v>
      </c>
      <c r="F66" s="22">
        <v>128954.31660082309</v>
      </c>
      <c r="G66" s="22">
        <v>124518.71630923335</v>
      </c>
      <c r="H66" s="22">
        <v>120066.21053787082</v>
      </c>
      <c r="I66" s="22">
        <v>112946.70077694659</v>
      </c>
      <c r="J66" s="22">
        <v>105754.11721483935</v>
      </c>
      <c r="K66" s="22">
        <v>84518.24316189847</v>
      </c>
      <c r="L66" s="22">
        <v>82349.40399844147</v>
      </c>
      <c r="M66" s="22">
        <v>81941.619551312542</v>
      </c>
      <c r="N66" s="22">
        <v>83724.804463703331</v>
      </c>
      <c r="O66" s="22">
        <v>87527.957088180628</v>
      </c>
      <c r="P66" s="22">
        <v>90126.03346401728</v>
      </c>
      <c r="Q66" s="22">
        <v>97164.209156228142</v>
      </c>
      <c r="R66" s="22">
        <v>103014.55188574881</v>
      </c>
      <c r="S66" s="22">
        <v>105073.2500807608</v>
      </c>
      <c r="T66" s="22">
        <v>106410.27973366571</v>
      </c>
      <c r="U66" s="22">
        <v>113721.18829959883</v>
      </c>
      <c r="V66" s="22">
        <v>116870.04846499875</v>
      </c>
      <c r="W66" s="22">
        <v>124241.77628805317</v>
      </c>
      <c r="X66" s="22">
        <v>130429.7485252177</v>
      </c>
      <c r="Y66" s="22">
        <v>136393.24966379529</v>
      </c>
      <c r="Z66" s="22">
        <v>138677.4962454444</v>
      </c>
      <c r="AA66" s="23">
        <v>135488.19366317472</v>
      </c>
      <c r="AB66" s="96">
        <f t="shared" ref="AB66" si="20">+SUM(D66:AA66)*AC66+SUM(D67:AA67)*AC67+SUM(D68:AA68)*AC68</f>
        <v>81344455.341866255</v>
      </c>
      <c r="AC66" s="16">
        <v>22</v>
      </c>
      <c r="AD66" s="16">
        <f t="shared" si="0"/>
        <v>59037991.306674786</v>
      </c>
    </row>
    <row r="67" spans="1:30" ht="13.5" thickBot="1" x14ac:dyDescent="0.35">
      <c r="A67" s="18">
        <v>2027</v>
      </c>
      <c r="B67" s="19" t="s">
        <v>43</v>
      </c>
      <c r="C67" s="20" t="s">
        <v>34</v>
      </c>
      <c r="D67" s="21">
        <v>139451.50169910616</v>
      </c>
      <c r="E67" s="22">
        <v>133638.84088409395</v>
      </c>
      <c r="F67" s="22">
        <v>128607.14430491228</v>
      </c>
      <c r="G67" s="22">
        <v>124126.11606209878</v>
      </c>
      <c r="H67" s="22">
        <v>119504.53313009083</v>
      </c>
      <c r="I67" s="22">
        <v>111699.53610959165</v>
      </c>
      <c r="J67" s="22">
        <v>103911.19617250747</v>
      </c>
      <c r="K67" s="22">
        <v>84370.185763957008</v>
      </c>
      <c r="L67" s="22">
        <v>84314.584292490181</v>
      </c>
      <c r="M67" s="22">
        <v>85145.185642773911</v>
      </c>
      <c r="N67" s="22">
        <v>88122.490762872621</v>
      </c>
      <c r="O67" s="22">
        <v>93013.133580658687</v>
      </c>
      <c r="P67" s="22">
        <v>95890.991063144771</v>
      </c>
      <c r="Q67" s="22">
        <v>105683.3113749123</v>
      </c>
      <c r="R67" s="22">
        <v>112378.37729629477</v>
      </c>
      <c r="S67" s="22">
        <v>113885.96863273707</v>
      </c>
      <c r="T67" s="22">
        <v>114214.8192456603</v>
      </c>
      <c r="U67" s="22">
        <v>118795.69162350451</v>
      </c>
      <c r="V67" s="22">
        <v>120933.70413596719</v>
      </c>
      <c r="W67" s="22">
        <v>129595.9148701152</v>
      </c>
      <c r="X67" s="22">
        <v>137467.4762826295</v>
      </c>
      <c r="Y67" s="22">
        <v>144041.29210951616</v>
      </c>
      <c r="Z67" s="22">
        <v>145264.33323600725</v>
      </c>
      <c r="AA67" s="23">
        <v>140026.63108329146</v>
      </c>
      <c r="AB67" s="97"/>
      <c r="AC67" s="16">
        <v>4</v>
      </c>
      <c r="AD67" s="16">
        <f t="shared" si="0"/>
        <v>11096331.837435735</v>
      </c>
    </row>
    <row r="68" spans="1:30" ht="13.5" thickBot="1" x14ac:dyDescent="0.35">
      <c r="A68" s="18">
        <v>2027</v>
      </c>
      <c r="B68" s="25" t="s">
        <v>43</v>
      </c>
      <c r="C68" s="26" t="s">
        <v>36</v>
      </c>
      <c r="D68" s="21">
        <v>140460.14447910618</v>
      </c>
      <c r="E68" s="22">
        <v>134289.15262409396</v>
      </c>
      <c r="F68" s="22">
        <v>128989.13058491226</v>
      </c>
      <c r="G68" s="22">
        <v>124344.54390209878</v>
      </c>
      <c r="H68" s="22">
        <v>119677.43411009084</v>
      </c>
      <c r="I68" s="22">
        <v>111861.46644959164</v>
      </c>
      <c r="J68" s="22">
        <v>103826.22555250747</v>
      </c>
      <c r="K68" s="22">
        <v>84340.633723956998</v>
      </c>
      <c r="L68" s="22">
        <v>84935.985512490151</v>
      </c>
      <c r="M68" s="22">
        <v>85968.879502773896</v>
      </c>
      <c r="N68" s="22">
        <v>89427.331102872602</v>
      </c>
      <c r="O68" s="22">
        <v>94782.241620658679</v>
      </c>
      <c r="P68" s="22">
        <v>98195.096003144776</v>
      </c>
      <c r="Q68" s="22">
        <v>108309.35567491229</v>
      </c>
      <c r="R68" s="22">
        <v>114928.81781629479</v>
      </c>
      <c r="S68" s="22">
        <v>116482.94365273709</v>
      </c>
      <c r="T68" s="22">
        <v>116458.67638566032</v>
      </c>
      <c r="U68" s="22">
        <v>120885.0428835045</v>
      </c>
      <c r="V68" s="22">
        <v>122816.66901596719</v>
      </c>
      <c r="W68" s="22">
        <v>131157.07647011519</v>
      </c>
      <c r="X68" s="22">
        <v>138287.7049626295</v>
      </c>
      <c r="Y68" s="22">
        <v>144567.64144951617</v>
      </c>
      <c r="Z68" s="22">
        <v>146099.01069600723</v>
      </c>
      <c r="AA68" s="23">
        <v>141441.84526329147</v>
      </c>
      <c r="AB68" s="97"/>
      <c r="AC68" s="16">
        <v>4</v>
      </c>
      <c r="AD68" s="16">
        <f t="shared" si="0"/>
        <v>11210132.197755735</v>
      </c>
    </row>
    <row r="69" spans="1:30" ht="13.5" thickBot="1" x14ac:dyDescent="0.35">
      <c r="A69" s="18">
        <v>2027</v>
      </c>
      <c r="B69" s="11" t="s">
        <v>44</v>
      </c>
      <c r="C69" s="12" t="s">
        <v>33</v>
      </c>
      <c r="D69" s="21">
        <v>135960.7605160884</v>
      </c>
      <c r="E69" s="22">
        <v>130616.51868987244</v>
      </c>
      <c r="F69" s="22">
        <v>125647.05935385256</v>
      </c>
      <c r="G69" s="22">
        <v>121342.36420468966</v>
      </c>
      <c r="H69" s="22">
        <v>116993.64327855929</v>
      </c>
      <c r="I69" s="22">
        <v>109943.4803939813</v>
      </c>
      <c r="J69" s="22">
        <v>102946.82015602911</v>
      </c>
      <c r="K69" s="22">
        <v>81166.546213290785</v>
      </c>
      <c r="L69" s="22">
        <v>78590.8675974488</v>
      </c>
      <c r="M69" s="22">
        <v>77756.664696158783</v>
      </c>
      <c r="N69" s="22">
        <v>79342.287666334916</v>
      </c>
      <c r="O69" s="22">
        <v>83105.485665481392</v>
      </c>
      <c r="P69" s="22">
        <v>86068.066711492109</v>
      </c>
      <c r="Q69" s="22">
        <v>93013.869241888082</v>
      </c>
      <c r="R69" s="22">
        <v>98480.269196617824</v>
      </c>
      <c r="S69" s="22">
        <v>100834.86686613873</v>
      </c>
      <c r="T69" s="22">
        <v>102602.45001362133</v>
      </c>
      <c r="U69" s="22">
        <v>109475.55062568856</v>
      </c>
      <c r="V69" s="22">
        <v>112169.11370356342</v>
      </c>
      <c r="W69" s="22">
        <v>120217.95148622892</v>
      </c>
      <c r="X69" s="22">
        <v>126580.24691215406</v>
      </c>
      <c r="Y69" s="22">
        <v>132790.72345543353</v>
      </c>
      <c r="Z69" s="22">
        <v>135206.75986488187</v>
      </c>
      <c r="AA69" s="23">
        <v>132286.156161616</v>
      </c>
      <c r="AB69" s="96">
        <f t="shared" ref="AB69" si="21">+SUM(D69:AA69)*AC69+SUM(D70:AA70)*AC70+SUM(D71:AA71)*AC71</f>
        <v>81134261.961105868</v>
      </c>
      <c r="AC69" s="16">
        <v>20</v>
      </c>
      <c r="AD69" s="16">
        <f t="shared" si="0"/>
        <v>51862770.453422248</v>
      </c>
    </row>
    <row r="70" spans="1:30" ht="13.5" thickBot="1" x14ac:dyDescent="0.35">
      <c r="A70" s="18">
        <v>2027</v>
      </c>
      <c r="B70" s="19" t="s">
        <v>44</v>
      </c>
      <c r="C70" s="20" t="s">
        <v>34</v>
      </c>
      <c r="D70" s="21">
        <v>134610.61076513809</v>
      </c>
      <c r="E70" s="22">
        <v>128852.09273834943</v>
      </c>
      <c r="F70" s="22">
        <v>123796.50805636242</v>
      </c>
      <c r="G70" s="22">
        <v>119329.26711431018</v>
      </c>
      <c r="H70" s="22">
        <v>114986.61653190837</v>
      </c>
      <c r="I70" s="22">
        <v>107149.21744713993</v>
      </c>
      <c r="J70" s="22">
        <v>99657.727270351053</v>
      </c>
      <c r="K70" s="22">
        <v>79855.098580044767</v>
      </c>
      <c r="L70" s="22">
        <v>79192.975913494447</v>
      </c>
      <c r="M70" s="22">
        <v>79580.036519405694</v>
      </c>
      <c r="N70" s="22">
        <v>82259.817462038569</v>
      </c>
      <c r="O70" s="22">
        <v>87353.369393896079</v>
      </c>
      <c r="P70" s="22">
        <v>90815.018862873214</v>
      </c>
      <c r="Q70" s="22">
        <v>100686.08318608478</v>
      </c>
      <c r="R70" s="22">
        <v>107489.78487104601</v>
      </c>
      <c r="S70" s="22">
        <v>109321.0167179408</v>
      </c>
      <c r="T70" s="22">
        <v>109761.22692381761</v>
      </c>
      <c r="U70" s="22">
        <v>113386.61561529114</v>
      </c>
      <c r="V70" s="22">
        <v>115366.21595021481</v>
      </c>
      <c r="W70" s="22">
        <v>124194.37466422873</v>
      </c>
      <c r="X70" s="22">
        <v>131964.73438829504</v>
      </c>
      <c r="Y70" s="22">
        <v>138516.34660463443</v>
      </c>
      <c r="Z70" s="22">
        <v>139844.25877599831</v>
      </c>
      <c r="AA70" s="23">
        <v>135032.6110778444</v>
      </c>
      <c r="AB70" s="97"/>
      <c r="AC70" s="16">
        <v>5</v>
      </c>
      <c r="AD70" s="16">
        <f t="shared" ref="AD70:AD133" si="22">+SUM(D70:AA70)*AC70</f>
        <v>13265008.127153544</v>
      </c>
    </row>
    <row r="71" spans="1:30" ht="13.5" thickBot="1" x14ac:dyDescent="0.35">
      <c r="A71" s="18">
        <v>2027</v>
      </c>
      <c r="B71" s="25" t="s">
        <v>44</v>
      </c>
      <c r="C71" s="26" t="s">
        <v>36</v>
      </c>
      <c r="D71" s="21">
        <v>136027.23093077325</v>
      </c>
      <c r="E71" s="22">
        <v>130198.73456042899</v>
      </c>
      <c r="F71" s="22">
        <v>125000.42193457526</v>
      </c>
      <c r="G71" s="22">
        <v>120466.83488606209</v>
      </c>
      <c r="H71" s="22">
        <v>116003.01225091207</v>
      </c>
      <c r="I71" s="22">
        <v>108656.61491834784</v>
      </c>
      <c r="J71" s="22">
        <v>101495.36709147664</v>
      </c>
      <c r="K71" s="22">
        <v>81727.294522645185</v>
      </c>
      <c r="L71" s="22">
        <v>82024.113199692903</v>
      </c>
      <c r="M71" s="22">
        <v>82633.666772487588</v>
      </c>
      <c r="N71" s="22">
        <v>85343.675604603442</v>
      </c>
      <c r="O71" s="22">
        <v>89731.215293115019</v>
      </c>
      <c r="P71" s="22">
        <v>92066.522536823803</v>
      </c>
      <c r="Q71" s="22">
        <v>100581.50106670684</v>
      </c>
      <c r="R71" s="22">
        <v>107372.17502987949</v>
      </c>
      <c r="S71" s="22">
        <v>109335.95950687195</v>
      </c>
      <c r="T71" s="22">
        <v>109616.61257723637</v>
      </c>
      <c r="U71" s="22">
        <v>113776.94972975692</v>
      </c>
      <c r="V71" s="22">
        <v>115341.21092196426</v>
      </c>
      <c r="W71" s="22">
        <v>123065.3965480957</v>
      </c>
      <c r="X71" s="22">
        <v>129546.02354957443</v>
      </c>
      <c r="Y71" s="22">
        <v>135692.19201167233</v>
      </c>
      <c r="Z71" s="22">
        <v>137852.75912694656</v>
      </c>
      <c r="AA71" s="23">
        <v>134191.74551769716</v>
      </c>
      <c r="AB71" s="97"/>
      <c r="AC71" s="16">
        <v>6</v>
      </c>
      <c r="AD71" s="16">
        <f t="shared" si="22"/>
        <v>16006483.380530074</v>
      </c>
    </row>
    <row r="72" spans="1:30" ht="13.5" thickBot="1" x14ac:dyDescent="0.35">
      <c r="A72" s="18">
        <v>2027</v>
      </c>
      <c r="B72" s="11" t="s">
        <v>45</v>
      </c>
      <c r="C72" s="12" t="s">
        <v>33</v>
      </c>
      <c r="D72" s="21">
        <v>132247.58304312179</v>
      </c>
      <c r="E72" s="22">
        <v>127190.59991202713</v>
      </c>
      <c r="F72" s="22">
        <v>122409.15957574631</v>
      </c>
      <c r="G72" s="22">
        <v>118229.46669146202</v>
      </c>
      <c r="H72" s="22">
        <v>113950.78662891616</v>
      </c>
      <c r="I72" s="22">
        <v>107030.85905251597</v>
      </c>
      <c r="J72" s="22">
        <v>100438.84021784236</v>
      </c>
      <c r="K72" s="22">
        <v>78349.376281637291</v>
      </c>
      <c r="L72" s="22">
        <v>75208.139813670743</v>
      </c>
      <c r="M72" s="22">
        <v>74160.374497068144</v>
      </c>
      <c r="N72" s="22">
        <v>75650.492979155533</v>
      </c>
      <c r="O72" s="22">
        <v>79371.261518669344</v>
      </c>
      <c r="P72" s="22">
        <v>82573.74215657718</v>
      </c>
      <c r="Q72" s="22">
        <v>89010.807707519169</v>
      </c>
      <c r="R72" s="22">
        <v>94207.72766398768</v>
      </c>
      <c r="S72" s="22">
        <v>96357.899703081319</v>
      </c>
      <c r="T72" s="22">
        <v>98128.096963323216</v>
      </c>
      <c r="U72" s="22">
        <v>105032.96605675016</v>
      </c>
      <c r="V72" s="22">
        <v>108366.99215703955</v>
      </c>
      <c r="W72" s="22">
        <v>116541.43267371427</v>
      </c>
      <c r="X72" s="22">
        <v>122772.02047454291</v>
      </c>
      <c r="Y72" s="22">
        <v>128933.59871926488</v>
      </c>
      <c r="Z72" s="22">
        <v>131379.45065239188</v>
      </c>
      <c r="AA72" s="23">
        <v>128568.64860287138</v>
      </c>
      <c r="AB72" s="96">
        <f t="shared" ref="AB72" si="23">+SUM(D72:AA72)*AC72+SUM(D73:AA73)*AC73+SUM(D74:AA74)*AC74</f>
        <v>76371843.85311012</v>
      </c>
      <c r="AC72" s="16">
        <v>20</v>
      </c>
      <c r="AD72" s="16">
        <f t="shared" si="22"/>
        <v>50122206.474857926</v>
      </c>
    </row>
    <row r="73" spans="1:30" ht="13.5" thickBot="1" x14ac:dyDescent="0.35">
      <c r="A73" s="18">
        <v>2027</v>
      </c>
      <c r="B73" s="19" t="s">
        <v>45</v>
      </c>
      <c r="C73" s="20" t="s">
        <v>34</v>
      </c>
      <c r="D73" s="21">
        <v>133835.85333428584</v>
      </c>
      <c r="E73" s="22">
        <v>128218.68923109813</v>
      </c>
      <c r="F73" s="22">
        <v>123363.32464439789</v>
      </c>
      <c r="G73" s="22">
        <v>118978.93060118897</v>
      </c>
      <c r="H73" s="22">
        <v>114510.6350515886</v>
      </c>
      <c r="I73" s="22">
        <v>106459.1174728629</v>
      </c>
      <c r="J73" s="22">
        <v>98844.14157707378</v>
      </c>
      <c r="K73" s="22">
        <v>79170.963830636654</v>
      </c>
      <c r="L73" s="22">
        <v>78855.997916034932</v>
      </c>
      <c r="M73" s="22">
        <v>79290.010736765864</v>
      </c>
      <c r="N73" s="22">
        <v>82114.101423295637</v>
      </c>
      <c r="O73" s="22">
        <v>87007.394452480119</v>
      </c>
      <c r="P73" s="22">
        <v>90245.019392231916</v>
      </c>
      <c r="Q73" s="22">
        <v>100121.74288966083</v>
      </c>
      <c r="R73" s="22">
        <v>106684.18867195977</v>
      </c>
      <c r="S73" s="22">
        <v>108209.46649488113</v>
      </c>
      <c r="T73" s="22">
        <v>108381.79603603335</v>
      </c>
      <c r="U73" s="22">
        <v>111756.16970060623</v>
      </c>
      <c r="V73" s="22">
        <v>113714.14055015547</v>
      </c>
      <c r="W73" s="22">
        <v>122616.33584895621</v>
      </c>
      <c r="X73" s="22">
        <v>130396.3946826093</v>
      </c>
      <c r="Y73" s="22">
        <v>136915.6194180359</v>
      </c>
      <c r="Z73" s="22">
        <v>138484.97512724515</v>
      </c>
      <c r="AA73" s="23">
        <v>133605.21840823995</v>
      </c>
      <c r="AB73" s="97"/>
      <c r="AC73" s="16">
        <v>4</v>
      </c>
      <c r="AD73" s="16">
        <f t="shared" si="22"/>
        <v>10527120.9099693</v>
      </c>
    </row>
    <row r="74" spans="1:30" ht="13.5" thickBot="1" x14ac:dyDescent="0.35">
      <c r="A74" s="18">
        <v>2027</v>
      </c>
      <c r="B74" s="25" t="s">
        <v>45</v>
      </c>
      <c r="C74" s="26" t="s">
        <v>36</v>
      </c>
      <c r="D74" s="21">
        <v>135788.56217794519</v>
      </c>
      <c r="E74" s="22">
        <v>129991.59358638641</v>
      </c>
      <c r="F74" s="22">
        <v>124850.42748931114</v>
      </c>
      <c r="G74" s="22">
        <v>120312.65328411087</v>
      </c>
      <c r="H74" s="22">
        <v>115909.37331771274</v>
      </c>
      <c r="I74" s="22">
        <v>108401.33314922759</v>
      </c>
      <c r="J74" s="22">
        <v>101248.9928198565</v>
      </c>
      <c r="K74" s="22">
        <v>80594.169125291635</v>
      </c>
      <c r="L74" s="22">
        <v>80386.650430237249</v>
      </c>
      <c r="M74" s="22">
        <v>80855.830766561339</v>
      </c>
      <c r="N74" s="22">
        <v>83282.83807064897</v>
      </c>
      <c r="O74" s="22">
        <v>87499.739235117508</v>
      </c>
      <c r="P74" s="22">
        <v>89769.430366755187</v>
      </c>
      <c r="Q74" s="22">
        <v>97169.863079109287</v>
      </c>
      <c r="R74" s="22">
        <v>103552.07156883657</v>
      </c>
      <c r="S74" s="22">
        <v>105280.44476446696</v>
      </c>
      <c r="T74" s="22">
        <v>105878.39837011976</v>
      </c>
      <c r="U74" s="22">
        <v>110997.28346800104</v>
      </c>
      <c r="V74" s="22">
        <v>112925.36487438359</v>
      </c>
      <c r="W74" s="22">
        <v>120682.31687654393</v>
      </c>
      <c r="X74" s="22">
        <v>126479.31355813623</v>
      </c>
      <c r="Y74" s="22">
        <v>132167.77457517028</v>
      </c>
      <c r="Z74" s="22">
        <v>134706.42155715093</v>
      </c>
      <c r="AA74" s="23">
        <v>131688.5648694009</v>
      </c>
      <c r="AB74" s="97"/>
      <c r="AC74" s="16">
        <v>6</v>
      </c>
      <c r="AD74" s="16">
        <f t="shared" si="22"/>
        <v>15722516.46828289</v>
      </c>
    </row>
    <row r="75" spans="1:30" ht="13.5" thickBot="1" x14ac:dyDescent="0.35">
      <c r="A75" s="18">
        <v>2027</v>
      </c>
      <c r="B75" s="11" t="s">
        <v>46</v>
      </c>
      <c r="C75" s="12" t="s">
        <v>33</v>
      </c>
      <c r="D75" s="21">
        <v>133624.9539900136</v>
      </c>
      <c r="E75" s="22">
        <v>128259.53376108241</v>
      </c>
      <c r="F75" s="22">
        <v>123308.34505025303</v>
      </c>
      <c r="G75" s="22">
        <v>118988.15891137159</v>
      </c>
      <c r="H75" s="22">
        <v>114602.46810711065</v>
      </c>
      <c r="I75" s="22">
        <v>107243.67388672038</v>
      </c>
      <c r="J75" s="22">
        <v>100358.50445177789</v>
      </c>
      <c r="K75" s="22">
        <v>79150.373379568045</v>
      </c>
      <c r="L75" s="22">
        <v>77023.446543377475</v>
      </c>
      <c r="M75" s="22">
        <v>76556.874683674861</v>
      </c>
      <c r="N75" s="22">
        <v>78521.646414553572</v>
      </c>
      <c r="O75" s="22">
        <v>82482.609373134692</v>
      </c>
      <c r="P75" s="22">
        <v>85253.802697617633</v>
      </c>
      <c r="Q75" s="22">
        <v>92300.348384537385</v>
      </c>
      <c r="R75" s="22">
        <v>97938.58506922255</v>
      </c>
      <c r="S75" s="22">
        <v>99927.81578527372</v>
      </c>
      <c r="T75" s="22">
        <v>101636.19969646622</v>
      </c>
      <c r="U75" s="22">
        <v>108668.88732082135</v>
      </c>
      <c r="V75" s="22">
        <v>111296.69665592341</v>
      </c>
      <c r="W75" s="22">
        <v>119476.89582547084</v>
      </c>
      <c r="X75" s="22">
        <v>126013.52608082756</v>
      </c>
      <c r="Y75" s="22">
        <v>132210.39375074711</v>
      </c>
      <c r="Z75" s="22">
        <v>134405.85089458432</v>
      </c>
      <c r="AA75" s="23">
        <v>131010.81332869997</v>
      </c>
      <c r="AB75" s="96">
        <f t="shared" ref="AB75" si="24">+SUM(D75:AA75)*AC75+SUM(D76:AA76)*AC76+SUM(D77:AA77)*AC77</f>
        <v>79678464.167253852</v>
      </c>
      <c r="AC75" s="16">
        <v>22</v>
      </c>
      <c r="AD75" s="16">
        <f t="shared" si="22"/>
        <v>56325728.888942271</v>
      </c>
    </row>
    <row r="76" spans="1:30" ht="13.5" thickBot="1" x14ac:dyDescent="0.35">
      <c r="A76" s="18">
        <v>2027</v>
      </c>
      <c r="B76" s="19" t="s">
        <v>46</v>
      </c>
      <c r="C76" s="20" t="s">
        <v>34</v>
      </c>
      <c r="D76" s="21">
        <v>135243.3244049093</v>
      </c>
      <c r="E76" s="22">
        <v>129506.10064905819</v>
      </c>
      <c r="F76" s="22">
        <v>124402.89384839234</v>
      </c>
      <c r="G76" s="22">
        <v>119913.43792666472</v>
      </c>
      <c r="H76" s="22">
        <v>115278.94908363676</v>
      </c>
      <c r="I76" s="22">
        <v>107279.90055114026</v>
      </c>
      <c r="J76" s="22">
        <v>99801.256341125249</v>
      </c>
      <c r="K76" s="22">
        <v>79840.32399623403</v>
      </c>
      <c r="L76" s="22">
        <v>79263.67790207424</v>
      </c>
      <c r="M76" s="22">
        <v>79596.633748107066</v>
      </c>
      <c r="N76" s="22">
        <v>82362.007547802379</v>
      </c>
      <c r="O76" s="22">
        <v>86929.738452735648</v>
      </c>
      <c r="P76" s="22">
        <v>89981.612107531575</v>
      </c>
      <c r="Q76" s="22">
        <v>99233.44115660699</v>
      </c>
      <c r="R76" s="22">
        <v>105449.26043159065</v>
      </c>
      <c r="S76" s="22">
        <v>107087.27807154863</v>
      </c>
      <c r="T76" s="22">
        <v>108150.38010608131</v>
      </c>
      <c r="U76" s="22">
        <v>112962.67148353688</v>
      </c>
      <c r="V76" s="22">
        <v>114296.57782177128</v>
      </c>
      <c r="W76" s="22">
        <v>123330.09180356032</v>
      </c>
      <c r="X76" s="22">
        <v>130955.75985255626</v>
      </c>
      <c r="Y76" s="22">
        <v>137326.36122886796</v>
      </c>
      <c r="Z76" s="22">
        <v>138533.65067380443</v>
      </c>
      <c r="AA76" s="23">
        <v>133542.14165906314</v>
      </c>
      <c r="AB76" s="97"/>
      <c r="AC76" s="16">
        <v>3</v>
      </c>
      <c r="AD76" s="16">
        <f t="shared" si="22"/>
        <v>7920802.4125451986</v>
      </c>
    </row>
    <row r="77" spans="1:30" ht="13.5" thickBot="1" x14ac:dyDescent="0.35">
      <c r="A77" s="28">
        <v>2027</v>
      </c>
      <c r="B77" s="25" t="s">
        <v>46</v>
      </c>
      <c r="C77" s="26" t="s">
        <v>36</v>
      </c>
      <c r="D77" s="21">
        <v>133600.26846276448</v>
      </c>
      <c r="E77" s="22">
        <v>127924.46456842801</v>
      </c>
      <c r="F77" s="22">
        <v>122918.98945392591</v>
      </c>
      <c r="G77" s="22">
        <v>118481.88858866265</v>
      </c>
      <c r="H77" s="22">
        <v>114173.0606573726</v>
      </c>
      <c r="I77" s="22">
        <v>106773.37087130775</v>
      </c>
      <c r="J77" s="22">
        <v>99855.554874373847</v>
      </c>
      <c r="K77" s="22">
        <v>79199.766932598082</v>
      </c>
      <c r="L77" s="22">
        <v>77566.202752552839</v>
      </c>
      <c r="M77" s="22">
        <v>77092.40859617258</v>
      </c>
      <c r="N77" s="22">
        <v>79206.795172152531</v>
      </c>
      <c r="O77" s="22">
        <v>83433.625670610185</v>
      </c>
      <c r="P77" s="22">
        <v>86287.635105507507</v>
      </c>
      <c r="Q77" s="22">
        <v>93947.881689923059</v>
      </c>
      <c r="R77" s="22">
        <v>99513.322959507699</v>
      </c>
      <c r="S77" s="22">
        <v>101565.86005010305</v>
      </c>
      <c r="T77" s="22">
        <v>103051.2900701074</v>
      </c>
      <c r="U77" s="22">
        <v>109429.15615632561</v>
      </c>
      <c r="V77" s="22">
        <v>111613.43689148115</v>
      </c>
      <c r="W77" s="22">
        <v>120202.44248931833</v>
      </c>
      <c r="X77" s="22">
        <v>127114.11208317045</v>
      </c>
      <c r="Y77" s="22">
        <v>133359.33624902208</v>
      </c>
      <c r="Z77" s="22">
        <v>134967.19848065241</v>
      </c>
      <c r="AA77" s="23">
        <v>130710.74213502377</v>
      </c>
      <c r="AB77" s="97"/>
      <c r="AC77" s="16">
        <v>6</v>
      </c>
      <c r="AD77" s="16">
        <f t="shared" si="22"/>
        <v>15431932.865766384</v>
      </c>
    </row>
    <row r="78" spans="1:30" ht="13.5" thickBot="1" x14ac:dyDescent="0.35">
      <c r="A78" s="10">
        <v>2028</v>
      </c>
      <c r="B78" s="11" t="s">
        <v>32</v>
      </c>
      <c r="C78" s="12" t="s">
        <v>33</v>
      </c>
      <c r="D78" s="21">
        <v>157892.87169088004</v>
      </c>
      <c r="E78" s="22">
        <v>151195.2905531537</v>
      </c>
      <c r="F78" s="22">
        <v>144957.47838142933</v>
      </c>
      <c r="G78" s="22">
        <v>139441.465994914</v>
      </c>
      <c r="H78" s="22">
        <v>134426.2778064617</v>
      </c>
      <c r="I78" s="22">
        <v>129586.25258938242</v>
      </c>
      <c r="J78" s="22">
        <v>122681.01785460413</v>
      </c>
      <c r="K78" s="22">
        <v>97365.848362660559</v>
      </c>
      <c r="L78" s="22">
        <v>97773.749822164857</v>
      </c>
      <c r="M78" s="22">
        <v>99078.85572015887</v>
      </c>
      <c r="N78" s="22">
        <v>101948.95928905846</v>
      </c>
      <c r="O78" s="22">
        <v>106423.12673180872</v>
      </c>
      <c r="P78" s="22">
        <v>109023.31605804327</v>
      </c>
      <c r="Q78" s="22">
        <v>115726.9218495934</v>
      </c>
      <c r="R78" s="22">
        <v>122134.04722341911</v>
      </c>
      <c r="S78" s="22">
        <v>124133.37597192262</v>
      </c>
      <c r="T78" s="22">
        <v>123077.47184112063</v>
      </c>
      <c r="U78" s="22">
        <v>132838.31967136232</v>
      </c>
      <c r="V78" s="22">
        <v>139407.73700788023</v>
      </c>
      <c r="W78" s="22">
        <v>144746.8961802733</v>
      </c>
      <c r="X78" s="22">
        <v>150893.39681122469</v>
      </c>
      <c r="Y78" s="22">
        <v>157822.65208801607</v>
      </c>
      <c r="Z78" s="22">
        <v>161130.53773498017</v>
      </c>
      <c r="AA78" s="23">
        <v>158350.50848456647</v>
      </c>
      <c r="AB78" s="96">
        <f t="shared" ref="AB78" si="25">+SUM(D78:AA78)*AC78+SUM(D79:AA79)*AC79+SUM(D80:AA80)*AC80</f>
        <v>97119923.862006247</v>
      </c>
      <c r="AC78" s="16">
        <v>20</v>
      </c>
      <c r="AD78" s="16">
        <f t="shared" si="22"/>
        <v>62441127.514381602</v>
      </c>
    </row>
    <row r="79" spans="1:30" ht="13.5" thickBot="1" x14ac:dyDescent="0.35">
      <c r="A79" s="18">
        <v>2028</v>
      </c>
      <c r="B79" s="19" t="s">
        <v>32</v>
      </c>
      <c r="C79" s="20" t="s">
        <v>34</v>
      </c>
      <c r="D79" s="21">
        <v>161052.57757241506</v>
      </c>
      <c r="E79" s="22">
        <v>153965.51445669425</v>
      </c>
      <c r="F79" s="22">
        <v>147448.07881469865</v>
      </c>
      <c r="G79" s="22">
        <v>141226.67715416916</v>
      </c>
      <c r="H79" s="22">
        <v>136029.51741575153</v>
      </c>
      <c r="I79" s="22">
        <v>130612.79923845903</v>
      </c>
      <c r="J79" s="22">
        <v>123043.91653045465</v>
      </c>
      <c r="K79" s="22">
        <v>98148.749899571558</v>
      </c>
      <c r="L79" s="22">
        <v>100464.68942155471</v>
      </c>
      <c r="M79" s="22">
        <v>102329.40615523724</v>
      </c>
      <c r="N79" s="22">
        <v>105515.85596218448</v>
      </c>
      <c r="O79" s="22">
        <v>109853.60808220222</v>
      </c>
      <c r="P79" s="22">
        <v>112155.16275388208</v>
      </c>
      <c r="Q79" s="22">
        <v>120093.0112056002</v>
      </c>
      <c r="R79" s="22">
        <v>126973.9355903019</v>
      </c>
      <c r="S79" s="22">
        <v>129323.63581172438</v>
      </c>
      <c r="T79" s="22">
        <v>127608.96435180017</v>
      </c>
      <c r="U79" s="22">
        <v>134729.01134388335</v>
      </c>
      <c r="V79" s="22">
        <v>140458.64991667058</v>
      </c>
      <c r="W79" s="22">
        <v>146073.28671682352</v>
      </c>
      <c r="X79" s="22">
        <v>152708.54942583229</v>
      </c>
      <c r="Y79" s="22">
        <v>160471.93036737791</v>
      </c>
      <c r="Z79" s="22">
        <v>163943.10270844935</v>
      </c>
      <c r="AA79" s="23">
        <v>159405.82362440825</v>
      </c>
      <c r="AB79" s="97"/>
      <c r="AC79" s="16">
        <v>4</v>
      </c>
      <c r="AD79" s="16">
        <f t="shared" si="22"/>
        <v>12734545.818080587</v>
      </c>
    </row>
    <row r="80" spans="1:30" ht="13.5" thickBot="1" x14ac:dyDescent="0.35">
      <c r="A80" s="18">
        <v>2028</v>
      </c>
      <c r="B80" s="25" t="s">
        <v>32</v>
      </c>
      <c r="C80" s="26" t="s">
        <v>36</v>
      </c>
      <c r="D80" s="21">
        <v>153305.14937957918</v>
      </c>
      <c r="E80" s="22">
        <v>148597.23428711601</v>
      </c>
      <c r="F80" s="22">
        <v>143916.5425778233</v>
      </c>
      <c r="G80" s="22">
        <v>139263.09527323666</v>
      </c>
      <c r="H80" s="22">
        <v>134413.26280498039</v>
      </c>
      <c r="I80" s="22">
        <v>129319.11879241889</v>
      </c>
      <c r="J80" s="22">
        <v>122895.79446295781</v>
      </c>
      <c r="K80" s="22">
        <v>98013.501667761957</v>
      </c>
      <c r="L80" s="22">
        <v>99714.133239146307</v>
      </c>
      <c r="M80" s="22">
        <v>101148.80555702913</v>
      </c>
      <c r="N80" s="22">
        <v>104317.5044083839</v>
      </c>
      <c r="O80" s="22">
        <v>108240.78622635946</v>
      </c>
      <c r="P80" s="22">
        <v>109926.86823752661</v>
      </c>
      <c r="Q80" s="22">
        <v>116672.50484587179</v>
      </c>
      <c r="R80" s="22">
        <v>123650.90095922284</v>
      </c>
      <c r="S80" s="22">
        <v>125596.51867039863</v>
      </c>
      <c r="T80" s="22">
        <v>124395.0288316552</v>
      </c>
      <c r="U80" s="22">
        <v>134055.63746045719</v>
      </c>
      <c r="V80" s="22">
        <v>139794.38658127066</v>
      </c>
      <c r="W80" s="22">
        <v>145566.49564245195</v>
      </c>
      <c r="X80" s="22">
        <v>151769.69086017585</v>
      </c>
      <c r="Y80" s="22">
        <v>159040.57160001781</v>
      </c>
      <c r="Z80" s="22">
        <v>162358.22026637496</v>
      </c>
      <c r="AA80" s="23">
        <v>158921.18015979091</v>
      </c>
      <c r="AB80" s="97"/>
      <c r="AC80" s="16">
        <v>7</v>
      </c>
      <c r="AD80" s="16">
        <f t="shared" si="22"/>
        <v>21944250.529544048</v>
      </c>
    </row>
    <row r="81" spans="1:30" ht="13.5" thickBot="1" x14ac:dyDescent="0.35">
      <c r="A81" s="18">
        <v>2028</v>
      </c>
      <c r="B81" s="11" t="s">
        <v>35</v>
      </c>
      <c r="C81" s="12" t="s">
        <v>33</v>
      </c>
      <c r="D81" s="21">
        <v>163218.10694930251</v>
      </c>
      <c r="E81" s="22">
        <v>156660.84890950043</v>
      </c>
      <c r="F81" s="22">
        <v>150702.5989424453</v>
      </c>
      <c r="G81" s="22">
        <v>145415.12874066242</v>
      </c>
      <c r="H81" s="22">
        <v>139999.55672982259</v>
      </c>
      <c r="I81" s="22">
        <v>133821.74017032559</v>
      </c>
      <c r="J81" s="22">
        <v>125058.79445825161</v>
      </c>
      <c r="K81" s="22">
        <v>99224.692632821621</v>
      </c>
      <c r="L81" s="22">
        <v>99771.572340303755</v>
      </c>
      <c r="M81" s="22">
        <v>101839.49753502874</v>
      </c>
      <c r="N81" s="22">
        <v>106132.38960051133</v>
      </c>
      <c r="O81" s="22">
        <v>111899.56789348055</v>
      </c>
      <c r="P81" s="22">
        <v>114655.14311647133</v>
      </c>
      <c r="Q81" s="22">
        <v>123940.68797087393</v>
      </c>
      <c r="R81" s="22">
        <v>130221.53929825242</v>
      </c>
      <c r="S81" s="22">
        <v>132044.37950980864</v>
      </c>
      <c r="T81" s="22">
        <v>130397.23218588582</v>
      </c>
      <c r="U81" s="22">
        <v>138799.4165586938</v>
      </c>
      <c r="V81" s="22">
        <v>143842.45492853154</v>
      </c>
      <c r="W81" s="22">
        <v>151404.06922755981</v>
      </c>
      <c r="X81" s="22">
        <v>157978.20869831066</v>
      </c>
      <c r="Y81" s="22">
        <v>164903.77967822956</v>
      </c>
      <c r="Z81" s="22">
        <v>166829.25335582826</v>
      </c>
      <c r="AA81" s="23">
        <v>163089.74761064554</v>
      </c>
      <c r="AB81" s="96">
        <f t="shared" ref="AB81" si="26">+SUM(D81:AA81)*AC81+SUM(D82:AA82)*AC82+SUM(D83:AA83)*AC83</f>
        <v>94879448.348711759</v>
      </c>
      <c r="AC81" s="16">
        <v>21</v>
      </c>
      <c r="AD81" s="16">
        <f t="shared" si="22"/>
        <v>68288858.547872499</v>
      </c>
    </row>
    <row r="82" spans="1:30" ht="13.5" thickBot="1" x14ac:dyDescent="0.35">
      <c r="A82" s="18">
        <v>2028</v>
      </c>
      <c r="B82" s="19" t="s">
        <v>35</v>
      </c>
      <c r="C82" s="20" t="s">
        <v>34</v>
      </c>
      <c r="D82" s="21">
        <v>164515.07278211761</v>
      </c>
      <c r="E82" s="22">
        <v>157478.17757233296</v>
      </c>
      <c r="F82" s="22">
        <v>151320.27142732797</v>
      </c>
      <c r="G82" s="22">
        <v>145667.63165334146</v>
      </c>
      <c r="H82" s="22">
        <v>140096.13388562738</v>
      </c>
      <c r="I82" s="22">
        <v>132860.79868647706</v>
      </c>
      <c r="J82" s="22">
        <v>122233.74526220227</v>
      </c>
      <c r="K82" s="22">
        <v>96389.430819596775</v>
      </c>
      <c r="L82" s="22">
        <v>98295.203579675639</v>
      </c>
      <c r="M82" s="22">
        <v>100605.59156758679</v>
      </c>
      <c r="N82" s="22">
        <v>106187.31140305559</v>
      </c>
      <c r="O82" s="22">
        <v>112586.8480953906</v>
      </c>
      <c r="P82" s="22">
        <v>116109.6918602681</v>
      </c>
      <c r="Q82" s="22">
        <v>128089.52981371012</v>
      </c>
      <c r="R82" s="22">
        <v>136379.119808663</v>
      </c>
      <c r="S82" s="22">
        <v>138011.21472824685</v>
      </c>
      <c r="T82" s="22">
        <v>136342.5059725802</v>
      </c>
      <c r="U82" s="22">
        <v>142061.29340751708</v>
      </c>
      <c r="V82" s="22">
        <v>146731.80940333489</v>
      </c>
      <c r="W82" s="22">
        <v>155764.2637151145</v>
      </c>
      <c r="X82" s="22">
        <v>164095.88189891417</v>
      </c>
      <c r="Y82" s="22">
        <v>172120.37901145942</v>
      </c>
      <c r="Z82" s="22">
        <v>172871.44442808619</v>
      </c>
      <c r="AA82" s="23">
        <v>167883.77373401093</v>
      </c>
      <c r="AB82" s="97"/>
      <c r="AC82" s="16">
        <v>4</v>
      </c>
      <c r="AD82" s="16">
        <f t="shared" si="22"/>
        <v>13218788.498066548</v>
      </c>
    </row>
    <row r="83" spans="1:30" ht="13.5" thickBot="1" x14ac:dyDescent="0.35">
      <c r="A83" s="18">
        <v>2028</v>
      </c>
      <c r="B83" s="25" t="s">
        <v>35</v>
      </c>
      <c r="C83" s="26" t="s">
        <v>36</v>
      </c>
      <c r="D83" s="21">
        <v>165853.73552671325</v>
      </c>
      <c r="E83" s="22">
        <v>158543.08918711977</v>
      </c>
      <c r="F83" s="22">
        <v>152075.3530422379</v>
      </c>
      <c r="G83" s="22">
        <v>146221.54396571944</v>
      </c>
      <c r="H83" s="22">
        <v>140326.71276724627</v>
      </c>
      <c r="I83" s="22">
        <v>132914.58330545892</v>
      </c>
      <c r="J83" s="22">
        <v>121723.29279733964</v>
      </c>
      <c r="K83" s="22">
        <v>96898.061526637233</v>
      </c>
      <c r="L83" s="22">
        <v>99942.455082683795</v>
      </c>
      <c r="M83" s="22">
        <v>104015.09131895116</v>
      </c>
      <c r="N83" s="22">
        <v>109318.8116197848</v>
      </c>
      <c r="O83" s="22">
        <v>116111.09820500766</v>
      </c>
      <c r="P83" s="22">
        <v>121022.79943803152</v>
      </c>
      <c r="Q83" s="22">
        <v>131392.0195726403</v>
      </c>
      <c r="R83" s="22">
        <v>140093.08044830768</v>
      </c>
      <c r="S83" s="22">
        <v>140982.29257305662</v>
      </c>
      <c r="T83" s="22">
        <v>138664.1087633835</v>
      </c>
      <c r="U83" s="22">
        <v>144006.47166621301</v>
      </c>
      <c r="V83" s="22">
        <v>148321.79053036068</v>
      </c>
      <c r="W83" s="22">
        <v>156403.88328530561</v>
      </c>
      <c r="X83" s="22">
        <v>164105.16439979008</v>
      </c>
      <c r="Y83" s="22">
        <v>172250.68233353714</v>
      </c>
      <c r="Z83" s="22">
        <v>173594.64373011031</v>
      </c>
      <c r="AA83" s="23">
        <v>168169.56060754391</v>
      </c>
      <c r="AB83" s="97"/>
      <c r="AC83" s="16">
        <v>4</v>
      </c>
      <c r="AD83" s="16">
        <f t="shared" si="22"/>
        <v>13371801.302772723</v>
      </c>
    </row>
    <row r="84" spans="1:30" ht="13.5" thickBot="1" x14ac:dyDescent="0.35">
      <c r="A84" s="18">
        <v>2028</v>
      </c>
      <c r="B84" s="11" t="s">
        <v>37</v>
      </c>
      <c r="C84" s="12" t="s">
        <v>33</v>
      </c>
      <c r="D84" s="21">
        <v>169991.713660312</v>
      </c>
      <c r="E84" s="22">
        <v>163703.70422707385</v>
      </c>
      <c r="F84" s="22">
        <v>158061.0402615724</v>
      </c>
      <c r="G84" s="22">
        <v>152843.57255494883</v>
      </c>
      <c r="H84" s="22">
        <v>147547.3279653645</v>
      </c>
      <c r="I84" s="22">
        <v>140297.41310001182</v>
      </c>
      <c r="J84" s="22">
        <v>130947.76741663966</v>
      </c>
      <c r="K84" s="22">
        <v>106144.40581280878</v>
      </c>
      <c r="L84" s="22">
        <v>105792.26952705484</v>
      </c>
      <c r="M84" s="22">
        <v>107451.28359073117</v>
      </c>
      <c r="N84" s="22">
        <v>111228.85926643074</v>
      </c>
      <c r="O84" s="22">
        <v>116627.55613556995</v>
      </c>
      <c r="P84" s="22">
        <v>120649.80268315304</v>
      </c>
      <c r="Q84" s="22">
        <v>128876.48781614681</v>
      </c>
      <c r="R84" s="22">
        <v>134860.10163532084</v>
      </c>
      <c r="S84" s="22">
        <v>136685.98916227176</v>
      </c>
      <c r="T84" s="22">
        <v>135955.93829513757</v>
      </c>
      <c r="U84" s="22">
        <v>144619.30191756794</v>
      </c>
      <c r="V84" s="22">
        <v>149749.02943685919</v>
      </c>
      <c r="W84" s="22">
        <v>157960.65125947667</v>
      </c>
      <c r="X84" s="22">
        <v>164724.17875583176</v>
      </c>
      <c r="Y84" s="22">
        <v>171889.15936664026</v>
      </c>
      <c r="Z84" s="22">
        <v>174205.83018571578</v>
      </c>
      <c r="AA84" s="23">
        <v>170395.27523777919</v>
      </c>
      <c r="AB84" s="96">
        <f t="shared" ref="AB84" si="27">+SUM(D84:AA84)*AC84+SUM(D85:AA85)*AC85+SUM(D86:AA86)*AC86</f>
        <v>105690343.94318865</v>
      </c>
      <c r="AC84" s="16">
        <v>22</v>
      </c>
      <c r="AD84" s="16">
        <f t="shared" si="22"/>
        <v>74826590.503949225</v>
      </c>
    </row>
    <row r="85" spans="1:30" ht="13.5" thickBot="1" x14ac:dyDescent="0.35">
      <c r="A85" s="18">
        <v>2028</v>
      </c>
      <c r="B85" s="19" t="s">
        <v>37</v>
      </c>
      <c r="C85" s="20" t="s">
        <v>34</v>
      </c>
      <c r="D85" s="21">
        <v>168308.47653056329</v>
      </c>
      <c r="E85" s="22">
        <v>162284.95796354098</v>
      </c>
      <c r="F85" s="22">
        <v>155739.41866790308</v>
      </c>
      <c r="G85" s="22">
        <v>150223.96789663774</v>
      </c>
      <c r="H85" s="22">
        <v>144678.48637026377</v>
      </c>
      <c r="I85" s="22">
        <v>136733.03905969209</v>
      </c>
      <c r="J85" s="22">
        <v>124506.90137132374</v>
      </c>
      <c r="K85" s="22">
        <v>100473.66231538696</v>
      </c>
      <c r="L85" s="22">
        <v>102987.56693887478</v>
      </c>
      <c r="M85" s="22">
        <v>106711.33696858671</v>
      </c>
      <c r="N85" s="22">
        <v>112113.098166119</v>
      </c>
      <c r="O85" s="22">
        <v>118354.68013208875</v>
      </c>
      <c r="P85" s="22">
        <v>122072.5838991546</v>
      </c>
      <c r="Q85" s="22">
        <v>132942.27188800476</v>
      </c>
      <c r="R85" s="22">
        <v>139898.7206242492</v>
      </c>
      <c r="S85" s="22">
        <v>141063.49656410038</v>
      </c>
      <c r="T85" s="22">
        <v>139446.15505783746</v>
      </c>
      <c r="U85" s="22">
        <v>145076.67946259523</v>
      </c>
      <c r="V85" s="22">
        <v>148592.72589167979</v>
      </c>
      <c r="W85" s="22">
        <v>158220.42007720191</v>
      </c>
      <c r="X85" s="22">
        <v>165786.89151610839</v>
      </c>
      <c r="Y85" s="22">
        <v>174114.29432830072</v>
      </c>
      <c r="Z85" s="22">
        <v>175860.51016104358</v>
      </c>
      <c r="AA85" s="23">
        <v>170365.52618520366</v>
      </c>
      <c r="AB85" s="97"/>
      <c r="AC85" s="16">
        <v>4</v>
      </c>
      <c r="AD85" s="16">
        <f t="shared" si="22"/>
        <v>13586223.472145844</v>
      </c>
    </row>
    <row r="86" spans="1:30" ht="13.5" thickBot="1" x14ac:dyDescent="0.35">
      <c r="A86" s="18">
        <v>2028</v>
      </c>
      <c r="B86" s="25" t="s">
        <v>37</v>
      </c>
      <c r="C86" s="26" t="s">
        <v>36</v>
      </c>
      <c r="D86" s="21">
        <v>169975.95018270335</v>
      </c>
      <c r="E86" s="22">
        <v>163050.52250916368</v>
      </c>
      <c r="F86" s="22">
        <v>156793.27211182483</v>
      </c>
      <c r="G86" s="22">
        <v>151370.25163668999</v>
      </c>
      <c r="H86" s="22">
        <v>145835.88295559713</v>
      </c>
      <c r="I86" s="22">
        <v>137221.83208599887</v>
      </c>
      <c r="J86" s="22">
        <v>125615.83847301263</v>
      </c>
      <c r="K86" s="22">
        <v>102440.26593405666</v>
      </c>
      <c r="L86" s="22">
        <v>105648.5704042797</v>
      </c>
      <c r="M86" s="22">
        <v>108861.9271257316</v>
      </c>
      <c r="N86" s="22">
        <v>113866.87764813451</v>
      </c>
      <c r="O86" s="22">
        <v>119720.04836357545</v>
      </c>
      <c r="P86" s="22">
        <v>123320.13408234296</v>
      </c>
      <c r="Q86" s="22">
        <v>135334.33499758862</v>
      </c>
      <c r="R86" s="22">
        <v>143710.37409679638</v>
      </c>
      <c r="S86" s="22">
        <v>144640.92554517961</v>
      </c>
      <c r="T86" s="22">
        <v>142765.31771805574</v>
      </c>
      <c r="U86" s="22">
        <v>148847.19290160891</v>
      </c>
      <c r="V86" s="22">
        <v>152788.54649074475</v>
      </c>
      <c r="W86" s="22">
        <v>162368.9429438173</v>
      </c>
      <c r="X86" s="22">
        <v>169611.89216491906</v>
      </c>
      <c r="Y86" s="22">
        <v>177217.5677043547</v>
      </c>
      <c r="Z86" s="22">
        <v>179629.91056689963</v>
      </c>
      <c r="AA86" s="23">
        <v>174869.61477564182</v>
      </c>
      <c r="AB86" s="97"/>
      <c r="AC86" s="16">
        <v>5</v>
      </c>
      <c r="AD86" s="16">
        <f t="shared" si="22"/>
        <v>17277529.967093587</v>
      </c>
    </row>
    <row r="87" spans="1:30" ht="13.5" thickBot="1" x14ac:dyDescent="0.35">
      <c r="A87" s="18">
        <v>2028</v>
      </c>
      <c r="B87" s="11" t="s">
        <v>38</v>
      </c>
      <c r="C87" s="12" t="s">
        <v>33</v>
      </c>
      <c r="D87" s="21">
        <v>164818.79802952649</v>
      </c>
      <c r="E87" s="22">
        <v>158282.87754372519</v>
      </c>
      <c r="F87" s="22">
        <v>152261.64233575307</v>
      </c>
      <c r="G87" s="22">
        <v>147059.74741639462</v>
      </c>
      <c r="H87" s="22">
        <v>142027.13833394565</v>
      </c>
      <c r="I87" s="22">
        <v>134117.88176616986</v>
      </c>
      <c r="J87" s="22">
        <v>126397.44313779949</v>
      </c>
      <c r="K87" s="22">
        <v>102417.21470381223</v>
      </c>
      <c r="L87" s="22">
        <v>100817.95673394557</v>
      </c>
      <c r="M87" s="22">
        <v>100596.80424297953</v>
      </c>
      <c r="N87" s="22">
        <v>102850.36936540699</v>
      </c>
      <c r="O87" s="22">
        <v>107450.41094969805</v>
      </c>
      <c r="P87" s="22">
        <v>110685.57095290067</v>
      </c>
      <c r="Q87" s="22">
        <v>118087.71821314881</v>
      </c>
      <c r="R87" s="22">
        <v>124260.06203495142</v>
      </c>
      <c r="S87" s="22">
        <v>126378.11823630054</v>
      </c>
      <c r="T87" s="22">
        <v>127406.87294005672</v>
      </c>
      <c r="U87" s="22">
        <v>139437.79773160184</v>
      </c>
      <c r="V87" s="22">
        <v>144386.27237062747</v>
      </c>
      <c r="W87" s="22">
        <v>153155.55958687136</v>
      </c>
      <c r="X87" s="22">
        <v>160269.68861595739</v>
      </c>
      <c r="Y87" s="22">
        <v>167122.58291349077</v>
      </c>
      <c r="Z87" s="22">
        <v>169390.32475547213</v>
      </c>
      <c r="AA87" s="23">
        <v>165313.822858022</v>
      </c>
      <c r="AB87" s="96">
        <f t="shared" ref="AB87" si="28">+SUM(D87:AA87)*AC87+SUM(D88:AA88)*AC88+SUM(D89:AA89)*AC89</f>
        <v>97789944.490971595</v>
      </c>
      <c r="AC87" s="16">
        <v>18</v>
      </c>
      <c r="AD87" s="16">
        <f t="shared" si="22"/>
        <v>58409868.163834043</v>
      </c>
    </row>
    <row r="88" spans="1:30" ht="13.5" thickBot="1" x14ac:dyDescent="0.35">
      <c r="A88" s="18">
        <v>2028</v>
      </c>
      <c r="B88" s="19" t="s">
        <v>38</v>
      </c>
      <c r="C88" s="20" t="s">
        <v>34</v>
      </c>
      <c r="D88" s="21">
        <v>165675.37562769162</v>
      </c>
      <c r="E88" s="22">
        <v>158681.90170119007</v>
      </c>
      <c r="F88" s="22">
        <v>152536.81335636135</v>
      </c>
      <c r="G88" s="22">
        <v>147181.95276966377</v>
      </c>
      <c r="H88" s="22">
        <v>141900.31262423747</v>
      </c>
      <c r="I88" s="22">
        <v>132999.99209616496</v>
      </c>
      <c r="J88" s="22">
        <v>124367.34211494375</v>
      </c>
      <c r="K88" s="22">
        <v>102019.55188422361</v>
      </c>
      <c r="L88" s="22">
        <v>102269.65799915564</v>
      </c>
      <c r="M88" s="22">
        <v>103058.60374551726</v>
      </c>
      <c r="N88" s="22">
        <v>106188.9539087208</v>
      </c>
      <c r="O88" s="22">
        <v>111403.86059490099</v>
      </c>
      <c r="P88" s="22">
        <v>114649.27717545713</v>
      </c>
      <c r="Q88" s="22">
        <v>124717.51934125982</v>
      </c>
      <c r="R88" s="22">
        <v>131620.39304258392</v>
      </c>
      <c r="S88" s="22">
        <v>133265.40711954958</v>
      </c>
      <c r="T88" s="22">
        <v>133361.21408439023</v>
      </c>
      <c r="U88" s="22">
        <v>142938.89991364721</v>
      </c>
      <c r="V88" s="22">
        <v>146818.18351166224</v>
      </c>
      <c r="W88" s="22">
        <v>156233.8675308456</v>
      </c>
      <c r="X88" s="22">
        <v>164428.33466946578</v>
      </c>
      <c r="Y88" s="22">
        <v>171489.49119697529</v>
      </c>
      <c r="Z88" s="22">
        <v>173086.09886538985</v>
      </c>
      <c r="AA88" s="23">
        <v>167616.99753642027</v>
      </c>
      <c r="AB88" s="97"/>
      <c r="AC88" s="16">
        <v>5</v>
      </c>
      <c r="AD88" s="16">
        <f t="shared" si="22"/>
        <v>16542550.012052089</v>
      </c>
    </row>
    <row r="89" spans="1:30" ht="13.5" thickBot="1" x14ac:dyDescent="0.35">
      <c r="A89" s="18">
        <v>2028</v>
      </c>
      <c r="B89" s="25" t="s">
        <v>38</v>
      </c>
      <c r="C89" s="26" t="s">
        <v>36</v>
      </c>
      <c r="D89" s="21">
        <v>164966.04250156321</v>
      </c>
      <c r="E89" s="22">
        <v>158349.10080857505</v>
      </c>
      <c r="F89" s="22">
        <v>152358.75721392062</v>
      </c>
      <c r="G89" s="22">
        <v>147157.19791992448</v>
      </c>
      <c r="H89" s="22">
        <v>142035.64812139288</v>
      </c>
      <c r="I89" s="22">
        <v>133754.568277913</v>
      </c>
      <c r="J89" s="22">
        <v>125638.84858521893</v>
      </c>
      <c r="K89" s="22">
        <v>102113.9504658973</v>
      </c>
      <c r="L89" s="22">
        <v>100748.49975857222</v>
      </c>
      <c r="M89" s="22">
        <v>100627.98934408704</v>
      </c>
      <c r="N89" s="22">
        <v>103113.67289519672</v>
      </c>
      <c r="O89" s="22">
        <v>107961.24800560386</v>
      </c>
      <c r="P89" s="22">
        <v>111491.92061395339</v>
      </c>
      <c r="Q89" s="22">
        <v>120165.31115509511</v>
      </c>
      <c r="R89" s="22">
        <v>126371.03117043854</v>
      </c>
      <c r="S89" s="22">
        <v>128378.48154131186</v>
      </c>
      <c r="T89" s="22">
        <v>129098.25610769571</v>
      </c>
      <c r="U89" s="22">
        <v>140158.04194959268</v>
      </c>
      <c r="V89" s="22">
        <v>144774.31461527938</v>
      </c>
      <c r="W89" s="22">
        <v>154217.80585445938</v>
      </c>
      <c r="X89" s="22">
        <v>162208.70641494315</v>
      </c>
      <c r="Y89" s="22">
        <v>169413.98031201444</v>
      </c>
      <c r="Z89" s="22">
        <v>171214.81621455777</v>
      </c>
      <c r="AA89" s="23">
        <v>166185.56945071815</v>
      </c>
      <c r="AB89" s="97"/>
      <c r="AC89" s="16">
        <v>7</v>
      </c>
      <c r="AD89" s="16">
        <f t="shared" si="22"/>
        <v>22837526.315085474</v>
      </c>
    </row>
    <row r="90" spans="1:30" ht="13.5" thickBot="1" x14ac:dyDescent="0.35">
      <c r="A90" s="18">
        <v>2028</v>
      </c>
      <c r="B90" s="11" t="s">
        <v>39</v>
      </c>
      <c r="C90" s="12" t="s">
        <v>33</v>
      </c>
      <c r="D90" s="21">
        <v>170798.62341451153</v>
      </c>
      <c r="E90" s="22">
        <v>164004.02288912842</v>
      </c>
      <c r="F90" s="22">
        <v>157763.26888318159</v>
      </c>
      <c r="G90" s="22">
        <v>152370.93220422632</v>
      </c>
      <c r="H90" s="22">
        <v>147158.90142811011</v>
      </c>
      <c r="I90" s="22">
        <v>138933.88299040546</v>
      </c>
      <c r="J90" s="22">
        <v>130919.58297844912</v>
      </c>
      <c r="K90" s="22">
        <v>107068.25529115157</v>
      </c>
      <c r="L90" s="22">
        <v>105796.77375468383</v>
      </c>
      <c r="M90" s="22">
        <v>105801.05257928369</v>
      </c>
      <c r="N90" s="22">
        <v>108263.34215128481</v>
      </c>
      <c r="O90" s="22">
        <v>113067.71959578038</v>
      </c>
      <c r="P90" s="22">
        <v>116341.88312935483</v>
      </c>
      <c r="Q90" s="22">
        <v>124052.02636567346</v>
      </c>
      <c r="R90" s="22">
        <v>130457.38987006083</v>
      </c>
      <c r="S90" s="22">
        <v>132494.96034110099</v>
      </c>
      <c r="T90" s="22">
        <v>133321.43150038912</v>
      </c>
      <c r="U90" s="22">
        <v>145042.21190971031</v>
      </c>
      <c r="V90" s="22">
        <v>150074.46962058631</v>
      </c>
      <c r="W90" s="22">
        <v>159076.77245172448</v>
      </c>
      <c r="X90" s="22">
        <v>166387.21463093601</v>
      </c>
      <c r="Y90" s="22">
        <v>173417.97315830592</v>
      </c>
      <c r="Z90" s="22">
        <v>175765.16498694388</v>
      </c>
      <c r="AA90" s="23">
        <v>171564.24889953219</v>
      </c>
      <c r="AB90" s="96">
        <f t="shared" ref="AB90" si="29">+SUM(D90:AA90)*AC90+SUM(D91:AA91)*AC91+SUM(D92:AA92)*AC92</f>
        <v>105323112.44011612</v>
      </c>
      <c r="AC90" s="16">
        <v>21</v>
      </c>
      <c r="AD90" s="16">
        <f t="shared" si="22"/>
        <v>70978784.205514818</v>
      </c>
    </row>
    <row r="91" spans="1:30" ht="13.5" thickBot="1" x14ac:dyDescent="0.35">
      <c r="A91" s="18">
        <v>2028</v>
      </c>
      <c r="B91" s="19" t="s">
        <v>39</v>
      </c>
      <c r="C91" s="20" t="s">
        <v>34</v>
      </c>
      <c r="D91" s="21">
        <v>171325.25121454202</v>
      </c>
      <c r="E91" s="22">
        <v>164114.5229074056</v>
      </c>
      <c r="F91" s="22">
        <v>157778.53553638008</v>
      </c>
      <c r="G91" s="22">
        <v>152257.32458756276</v>
      </c>
      <c r="H91" s="22">
        <v>146811.60869514869</v>
      </c>
      <c r="I91" s="22">
        <v>137634.79702060172</v>
      </c>
      <c r="J91" s="22">
        <v>128733.97115932184</v>
      </c>
      <c r="K91" s="22">
        <v>106437.07851794205</v>
      </c>
      <c r="L91" s="22">
        <v>106861.78945962864</v>
      </c>
      <c r="M91" s="22">
        <v>107784.98704622775</v>
      </c>
      <c r="N91" s="22">
        <v>111073.23977224821</v>
      </c>
      <c r="O91" s="22">
        <v>116471.12126738526</v>
      </c>
      <c r="P91" s="22">
        <v>119811.82697957527</v>
      </c>
      <c r="Q91" s="22">
        <v>130161.37079310109</v>
      </c>
      <c r="R91" s="22">
        <v>137220.11284979008</v>
      </c>
      <c r="S91" s="22">
        <v>138813.45312365665</v>
      </c>
      <c r="T91" s="22">
        <v>138747.65941253401</v>
      </c>
      <c r="U91" s="22">
        <v>148080.48615034716</v>
      </c>
      <c r="V91" s="22">
        <v>152080.28086547664</v>
      </c>
      <c r="W91" s="22">
        <v>161788.46595370508</v>
      </c>
      <c r="X91" s="22">
        <v>170237.49668997974</v>
      </c>
      <c r="Y91" s="22">
        <v>177518.01017857497</v>
      </c>
      <c r="Z91" s="22">
        <v>179164.21694663062</v>
      </c>
      <c r="AA91" s="23">
        <v>173525.21633236427</v>
      </c>
      <c r="AB91" s="97"/>
      <c r="AC91" s="16">
        <v>4</v>
      </c>
      <c r="AD91" s="16">
        <f t="shared" si="22"/>
        <v>13737731.29384052</v>
      </c>
    </row>
    <row r="92" spans="1:30" ht="13.5" thickBot="1" x14ac:dyDescent="0.35">
      <c r="A92" s="18">
        <v>2028</v>
      </c>
      <c r="B92" s="25" t="s">
        <v>39</v>
      </c>
      <c r="C92" s="26" t="s">
        <v>36</v>
      </c>
      <c r="D92" s="21">
        <v>171325.25121454199</v>
      </c>
      <c r="E92" s="22">
        <v>164114.5229074056</v>
      </c>
      <c r="F92" s="22">
        <v>157778.53553638005</v>
      </c>
      <c r="G92" s="22">
        <v>152257.32458756279</v>
      </c>
      <c r="H92" s="22">
        <v>146811.60869514869</v>
      </c>
      <c r="I92" s="22">
        <v>137634.79702060172</v>
      </c>
      <c r="J92" s="22">
        <v>128733.97115932184</v>
      </c>
      <c r="K92" s="22">
        <v>106437.07851794203</v>
      </c>
      <c r="L92" s="22">
        <v>106861.78945962864</v>
      </c>
      <c r="M92" s="22">
        <v>107784.98704622775</v>
      </c>
      <c r="N92" s="22">
        <v>111073.23977224821</v>
      </c>
      <c r="O92" s="22">
        <v>116471.12126738527</v>
      </c>
      <c r="P92" s="22">
        <v>119811.82697957526</v>
      </c>
      <c r="Q92" s="22">
        <v>130161.3707931011</v>
      </c>
      <c r="R92" s="22">
        <v>137220.11284979011</v>
      </c>
      <c r="S92" s="22">
        <v>138813.45312365665</v>
      </c>
      <c r="T92" s="22">
        <v>138747.65941253401</v>
      </c>
      <c r="U92" s="22">
        <v>148080.48615034716</v>
      </c>
      <c r="V92" s="22">
        <v>152080.28086547667</v>
      </c>
      <c r="W92" s="22">
        <v>161788.4659537051</v>
      </c>
      <c r="X92" s="22">
        <v>170237.49668997971</v>
      </c>
      <c r="Y92" s="22">
        <v>177518.01017857497</v>
      </c>
      <c r="Z92" s="22">
        <v>179164.21694663062</v>
      </c>
      <c r="AA92" s="23">
        <v>173525.21633236427</v>
      </c>
      <c r="AB92" s="97"/>
      <c r="AC92" s="16">
        <v>6</v>
      </c>
      <c r="AD92" s="16">
        <f t="shared" si="22"/>
        <v>20606596.94076078</v>
      </c>
    </row>
    <row r="93" spans="1:30" ht="13.5" thickBot="1" x14ac:dyDescent="0.35">
      <c r="A93" s="18">
        <v>2028</v>
      </c>
      <c r="B93" s="11" t="s">
        <v>40</v>
      </c>
      <c r="C93" s="12" t="s">
        <v>33</v>
      </c>
      <c r="D93" s="21">
        <v>173585.04727965244</v>
      </c>
      <c r="E93" s="22">
        <v>166820.67911153642</v>
      </c>
      <c r="F93" s="22">
        <v>160547.68693748544</v>
      </c>
      <c r="G93" s="22">
        <v>155130.82509865952</v>
      </c>
      <c r="H93" s="22">
        <v>149883.82886983547</v>
      </c>
      <c r="I93" s="22">
        <v>141713.40993527949</v>
      </c>
      <c r="J93" s="22">
        <v>133710.54050225732</v>
      </c>
      <c r="K93" s="22">
        <v>109410.16436977606</v>
      </c>
      <c r="L93" s="22">
        <v>107544.8872859837</v>
      </c>
      <c r="M93" s="22">
        <v>107226.09638633122</v>
      </c>
      <c r="N93" s="22">
        <v>109523.22047429431</v>
      </c>
      <c r="O93" s="22">
        <v>114305.59017476281</v>
      </c>
      <c r="P93" s="22">
        <v>117803.14428851684</v>
      </c>
      <c r="Q93" s="22">
        <v>125282.28573770887</v>
      </c>
      <c r="R93" s="22">
        <v>131490.95452464381</v>
      </c>
      <c r="S93" s="22">
        <v>133658.9011903698</v>
      </c>
      <c r="T93" s="22">
        <v>134648.48997660767</v>
      </c>
      <c r="U93" s="22">
        <v>146758.53128096773</v>
      </c>
      <c r="V93" s="22">
        <v>152117.79468486356</v>
      </c>
      <c r="W93" s="22">
        <v>161400.90701027977</v>
      </c>
      <c r="X93" s="22">
        <v>168905.49526723032</v>
      </c>
      <c r="Y93" s="22">
        <v>176174.6407783062</v>
      </c>
      <c r="Z93" s="22">
        <v>178560.0072900941</v>
      </c>
      <c r="AA93" s="23">
        <v>174299.75600166549</v>
      </c>
      <c r="AB93" s="96">
        <f t="shared" ref="AB93" si="30">+SUM(D93:AA93)*AC93+SUM(D94:AA94)*AC94+SUM(D95:AA95)*AC95</f>
        <v>103548255.76401165</v>
      </c>
      <c r="AC93" s="16">
        <v>20</v>
      </c>
      <c r="AD93" s="16">
        <f t="shared" si="22"/>
        <v>68610057.689142168</v>
      </c>
    </row>
    <row r="94" spans="1:30" ht="13.5" thickBot="1" x14ac:dyDescent="0.35">
      <c r="A94" s="18">
        <v>2028</v>
      </c>
      <c r="B94" s="19" t="s">
        <v>40</v>
      </c>
      <c r="C94" s="20" t="s">
        <v>34</v>
      </c>
      <c r="D94" s="21">
        <v>174031.04622307976</v>
      </c>
      <c r="E94" s="22">
        <v>166716.27211711681</v>
      </c>
      <c r="F94" s="22">
        <v>160288.86085112623</v>
      </c>
      <c r="G94" s="22">
        <v>154687.98266493829</v>
      </c>
      <c r="H94" s="22">
        <v>149163.68887635687</v>
      </c>
      <c r="I94" s="22">
        <v>139854.46218619851</v>
      </c>
      <c r="J94" s="22">
        <v>130825.20359281347</v>
      </c>
      <c r="K94" s="22">
        <v>108506.41350630914</v>
      </c>
      <c r="L94" s="22">
        <v>108980.61679048964</v>
      </c>
      <c r="M94" s="22">
        <v>109945.66004386228</v>
      </c>
      <c r="N94" s="22">
        <v>113297.12610608617</v>
      </c>
      <c r="O94" s="22">
        <v>118778.34639505437</v>
      </c>
      <c r="P94" s="22">
        <v>122165.81861743404</v>
      </c>
      <c r="Q94" s="22">
        <v>132656.51907882674</v>
      </c>
      <c r="R94" s="22">
        <v>139801.88988500499</v>
      </c>
      <c r="S94" s="22">
        <v>141391.50708628914</v>
      </c>
      <c r="T94" s="22">
        <v>141281.98692833414</v>
      </c>
      <c r="U94" s="22">
        <v>150542.85512845498</v>
      </c>
      <c r="V94" s="22">
        <v>154600.36410191623</v>
      </c>
      <c r="W94" s="22">
        <v>164448.63155487069</v>
      </c>
      <c r="X94" s="22">
        <v>173019.57593354347</v>
      </c>
      <c r="Y94" s="22">
        <v>180405.14217264089</v>
      </c>
      <c r="Z94" s="22">
        <v>182075.10256043097</v>
      </c>
      <c r="AA94" s="23">
        <v>176354.73508577209</v>
      </c>
      <c r="AB94" s="97"/>
      <c r="AC94" s="16">
        <v>4</v>
      </c>
      <c r="AD94" s="16">
        <f t="shared" si="22"/>
        <v>13975279.229947796</v>
      </c>
    </row>
    <row r="95" spans="1:30" ht="13.5" thickBot="1" x14ac:dyDescent="0.35">
      <c r="A95" s="18">
        <v>2028</v>
      </c>
      <c r="B95" s="25" t="s">
        <v>40</v>
      </c>
      <c r="C95" s="26" t="s">
        <v>36</v>
      </c>
      <c r="D95" s="21">
        <v>174031.04622307976</v>
      </c>
      <c r="E95" s="22">
        <v>166716.27211711681</v>
      </c>
      <c r="F95" s="22">
        <v>160288.86085112623</v>
      </c>
      <c r="G95" s="22">
        <v>154687.98266493829</v>
      </c>
      <c r="H95" s="22">
        <v>149163.6888763569</v>
      </c>
      <c r="I95" s="22">
        <v>139854.46218619848</v>
      </c>
      <c r="J95" s="22">
        <v>130825.20359281347</v>
      </c>
      <c r="K95" s="22">
        <v>108506.41350630914</v>
      </c>
      <c r="L95" s="22">
        <v>108980.61679048964</v>
      </c>
      <c r="M95" s="22">
        <v>109945.66004386228</v>
      </c>
      <c r="N95" s="22">
        <v>113297.12610608617</v>
      </c>
      <c r="O95" s="22">
        <v>118778.34639505437</v>
      </c>
      <c r="P95" s="22">
        <v>122165.81861743402</v>
      </c>
      <c r="Q95" s="22">
        <v>132656.51907882674</v>
      </c>
      <c r="R95" s="22">
        <v>139801.88988500499</v>
      </c>
      <c r="S95" s="22">
        <v>141391.50708628914</v>
      </c>
      <c r="T95" s="22">
        <v>141281.98692833414</v>
      </c>
      <c r="U95" s="22">
        <v>150542.85512845498</v>
      </c>
      <c r="V95" s="22">
        <v>154600.36410191623</v>
      </c>
      <c r="W95" s="22">
        <v>164448.63155487066</v>
      </c>
      <c r="X95" s="22">
        <v>173019.57593354347</v>
      </c>
      <c r="Y95" s="22">
        <v>180405.14217264089</v>
      </c>
      <c r="Z95" s="22">
        <v>182075.10256043097</v>
      </c>
      <c r="AA95" s="23">
        <v>176354.73508577209</v>
      </c>
      <c r="AB95" s="97"/>
      <c r="AC95" s="16">
        <v>6</v>
      </c>
      <c r="AD95" s="16">
        <f t="shared" si="22"/>
        <v>20962918.844921693</v>
      </c>
    </row>
    <row r="96" spans="1:30" ht="13.5" thickBot="1" x14ac:dyDescent="0.35">
      <c r="A96" s="18">
        <v>2028</v>
      </c>
      <c r="B96" s="11" t="s">
        <v>41</v>
      </c>
      <c r="C96" s="12" t="s">
        <v>33</v>
      </c>
      <c r="D96" s="21">
        <v>168308.28325829879</v>
      </c>
      <c r="E96" s="22">
        <v>161557.40902361495</v>
      </c>
      <c r="F96" s="22">
        <v>155390.41380886151</v>
      </c>
      <c r="G96" s="22">
        <v>150056.39223825102</v>
      </c>
      <c r="H96" s="22">
        <v>144888.15260361391</v>
      </c>
      <c r="I96" s="22">
        <v>136664.05647666645</v>
      </c>
      <c r="J96" s="22">
        <v>128655.63725141372</v>
      </c>
      <c r="K96" s="22">
        <v>104950.32505675586</v>
      </c>
      <c r="L96" s="22">
        <v>103797.54677581432</v>
      </c>
      <c r="M96" s="22">
        <v>103845.31367575753</v>
      </c>
      <c r="N96" s="22">
        <v>106335.05758081916</v>
      </c>
      <c r="O96" s="22">
        <v>111130.80273522701</v>
      </c>
      <c r="P96" s="22">
        <v>114370.23870736954</v>
      </c>
      <c r="Q96" s="22">
        <v>122301.55545371646</v>
      </c>
      <c r="R96" s="22">
        <v>128731.52110967312</v>
      </c>
      <c r="S96" s="22">
        <v>130749.93370457256</v>
      </c>
      <c r="T96" s="22">
        <v>131558.06596309255</v>
      </c>
      <c r="U96" s="22">
        <v>143111.87146123016</v>
      </c>
      <c r="V96" s="22">
        <v>147954.38350090478</v>
      </c>
      <c r="W96" s="22">
        <v>156914.76377237926</v>
      </c>
      <c r="X96" s="22">
        <v>164256.85387750581</v>
      </c>
      <c r="Y96" s="22">
        <v>171219.82880946479</v>
      </c>
      <c r="Z96" s="22">
        <v>173453.77487802436</v>
      </c>
      <c r="AA96" s="23">
        <v>169143.56954082992</v>
      </c>
      <c r="AB96" s="96">
        <f t="shared" ref="AB96" si="31">+SUM(D96:AA96)*AC96+SUM(D97:AA97)*AC97+SUM(D98:AA98)*AC98</f>
        <v>103740226.5674576</v>
      </c>
      <c r="AC96" s="16">
        <v>19</v>
      </c>
      <c r="AD96" s="16">
        <f t="shared" si="22"/>
        <v>63257569.274013288</v>
      </c>
    </row>
    <row r="97" spans="1:30" ht="13.5" thickBot="1" x14ac:dyDescent="0.35">
      <c r="A97" s="18">
        <v>2028</v>
      </c>
      <c r="B97" s="19" t="s">
        <v>41</v>
      </c>
      <c r="C97" s="20" t="s">
        <v>34</v>
      </c>
      <c r="D97" s="21">
        <v>168624.51802024397</v>
      </c>
      <c r="E97" s="22">
        <v>161517.64087024677</v>
      </c>
      <c r="F97" s="22">
        <v>155272.9063646842</v>
      </c>
      <c r="G97" s="22">
        <v>149831.21361727754</v>
      </c>
      <c r="H97" s="22">
        <v>144463.92862293497</v>
      </c>
      <c r="I97" s="22">
        <v>135419.28425114267</v>
      </c>
      <c r="J97" s="22">
        <v>126646.65085889163</v>
      </c>
      <c r="K97" s="22">
        <v>104290.94413679808</v>
      </c>
      <c r="L97" s="22">
        <v>104606.75768817461</v>
      </c>
      <c r="M97" s="22">
        <v>105449.05077221357</v>
      </c>
      <c r="N97" s="22">
        <v>108652.5765005983</v>
      </c>
      <c r="O97" s="22">
        <v>113959.79590710816</v>
      </c>
      <c r="P97" s="22">
        <v>117255.79498890738</v>
      </c>
      <c r="Q97" s="22">
        <v>127475.66969195465</v>
      </c>
      <c r="R97" s="22">
        <v>134468.83313055139</v>
      </c>
      <c r="S97" s="22">
        <v>136102.54225772741</v>
      </c>
      <c r="T97" s="22">
        <v>136139.08547658313</v>
      </c>
      <c r="U97" s="22">
        <v>145622.72360189032</v>
      </c>
      <c r="V97" s="22">
        <v>149564.91202653258</v>
      </c>
      <c r="W97" s="22">
        <v>159133.27680643837</v>
      </c>
      <c r="X97" s="22">
        <v>167460.6219679288</v>
      </c>
      <c r="Y97" s="22">
        <v>174636.27923144485</v>
      </c>
      <c r="Z97" s="22">
        <v>176258.77681639561</v>
      </c>
      <c r="AA97" s="23">
        <v>170700.99084702454</v>
      </c>
      <c r="AB97" s="97"/>
      <c r="AC97" s="16">
        <v>5</v>
      </c>
      <c r="AD97" s="16">
        <f t="shared" si="22"/>
        <v>16867773.872268468</v>
      </c>
    </row>
    <row r="98" spans="1:30" ht="13.5" thickBot="1" x14ac:dyDescent="0.35">
      <c r="A98" s="18">
        <v>2028</v>
      </c>
      <c r="B98" s="25" t="s">
        <v>41</v>
      </c>
      <c r="C98" s="26" t="s">
        <v>36</v>
      </c>
      <c r="D98" s="21">
        <v>168624.518020244</v>
      </c>
      <c r="E98" s="22">
        <v>161517.64087024677</v>
      </c>
      <c r="F98" s="22">
        <v>155272.9063646842</v>
      </c>
      <c r="G98" s="22">
        <v>149831.21361727754</v>
      </c>
      <c r="H98" s="22">
        <v>144463.92862293497</v>
      </c>
      <c r="I98" s="22">
        <v>135419.28425114267</v>
      </c>
      <c r="J98" s="22">
        <v>126646.65085889165</v>
      </c>
      <c r="K98" s="22">
        <v>104290.94413679806</v>
      </c>
      <c r="L98" s="22">
        <v>104606.75768817461</v>
      </c>
      <c r="M98" s="22">
        <v>105449.05077221358</v>
      </c>
      <c r="N98" s="22">
        <v>108652.57650059831</v>
      </c>
      <c r="O98" s="22">
        <v>113959.79590710814</v>
      </c>
      <c r="P98" s="22">
        <v>117255.79498890739</v>
      </c>
      <c r="Q98" s="22">
        <v>127475.66969195464</v>
      </c>
      <c r="R98" s="22">
        <v>134468.83313055139</v>
      </c>
      <c r="S98" s="22">
        <v>136102.54225772739</v>
      </c>
      <c r="T98" s="22">
        <v>136139.08547658313</v>
      </c>
      <c r="U98" s="22">
        <v>145622.72360189029</v>
      </c>
      <c r="V98" s="22">
        <v>149564.91202653258</v>
      </c>
      <c r="W98" s="22">
        <v>159133.27680643837</v>
      </c>
      <c r="X98" s="22">
        <v>167460.6219679288</v>
      </c>
      <c r="Y98" s="22">
        <v>174636.27923144485</v>
      </c>
      <c r="Z98" s="22">
        <v>176258.77681639561</v>
      </c>
      <c r="AA98" s="23">
        <v>170700.99084702457</v>
      </c>
      <c r="AB98" s="97"/>
      <c r="AC98" s="16">
        <v>7</v>
      </c>
      <c r="AD98" s="16">
        <f t="shared" si="22"/>
        <v>23614883.421175856</v>
      </c>
    </row>
    <row r="99" spans="1:30" ht="13.5" thickBot="1" x14ac:dyDescent="0.35">
      <c r="A99" s="18">
        <v>2028</v>
      </c>
      <c r="B99" s="11" t="s">
        <v>42</v>
      </c>
      <c r="C99" s="12" t="s">
        <v>33</v>
      </c>
      <c r="D99" s="21">
        <v>174879.42438981449</v>
      </c>
      <c r="E99" s="22">
        <v>167998.34979491538</v>
      </c>
      <c r="F99" s="22">
        <v>161644.52276072613</v>
      </c>
      <c r="G99" s="22">
        <v>156157.92921569268</v>
      </c>
      <c r="H99" s="22">
        <v>150856.8598487225</v>
      </c>
      <c r="I99" s="22">
        <v>142555.87099216328</v>
      </c>
      <c r="J99" s="22">
        <v>134452.29500243341</v>
      </c>
      <c r="K99" s="22">
        <v>110336.69745935411</v>
      </c>
      <c r="L99" s="22">
        <v>108828.46710328704</v>
      </c>
      <c r="M99" s="22">
        <v>108722.91685949208</v>
      </c>
      <c r="N99" s="22">
        <v>111154.8649575872</v>
      </c>
      <c r="O99" s="22">
        <v>116012.26278122382</v>
      </c>
      <c r="P99" s="22">
        <v>119407.9285694991</v>
      </c>
      <c r="Q99" s="22">
        <v>127031.6305623708</v>
      </c>
      <c r="R99" s="22">
        <v>133431.2949236928</v>
      </c>
      <c r="S99" s="22">
        <v>135531.37926403582</v>
      </c>
      <c r="T99" s="22">
        <v>136410.79334375222</v>
      </c>
      <c r="U99" s="22">
        <v>148322.11755000553</v>
      </c>
      <c r="V99" s="22">
        <v>153597.35431758771</v>
      </c>
      <c r="W99" s="22">
        <v>162807.29117039745</v>
      </c>
      <c r="X99" s="22">
        <v>170246.60343541909</v>
      </c>
      <c r="Y99" s="22">
        <v>177461.03464282097</v>
      </c>
      <c r="Z99" s="22">
        <v>179896.84400083221</v>
      </c>
      <c r="AA99" s="23">
        <v>175678.62167155859</v>
      </c>
      <c r="AB99" s="96">
        <f t="shared" ref="AB99" si="32">+SUM(D99:AA99)*AC99+SUM(D100:AA100)*AC100+SUM(D101:AA101)*AC101</f>
        <v>107793152.0744102</v>
      </c>
      <c r="AC99" s="16">
        <v>21</v>
      </c>
      <c r="AD99" s="16">
        <f t="shared" si="22"/>
        <v>72731890.446965069</v>
      </c>
    </row>
    <row r="100" spans="1:30" ht="13.5" thickBot="1" x14ac:dyDescent="0.35">
      <c r="A100" s="18">
        <v>2028</v>
      </c>
      <c r="B100" s="19" t="s">
        <v>42</v>
      </c>
      <c r="C100" s="20" t="s">
        <v>34</v>
      </c>
      <c r="D100" s="21">
        <v>175478.41005018255</v>
      </c>
      <c r="E100" s="22">
        <v>168107.98053606472</v>
      </c>
      <c r="F100" s="22">
        <v>161631.6654772562</v>
      </c>
      <c r="G100" s="22">
        <v>155988.17228246204</v>
      </c>
      <c r="H100" s="22">
        <v>150421.84618760334</v>
      </c>
      <c r="I100" s="22">
        <v>141041.78903794728</v>
      </c>
      <c r="J100" s="22">
        <v>131943.8301586654</v>
      </c>
      <c r="K100" s="22">
        <v>109624.43513620229</v>
      </c>
      <c r="L100" s="22">
        <v>110133.30528281203</v>
      </c>
      <c r="M100" s="22">
        <v>111126.1214656969</v>
      </c>
      <c r="N100" s="22">
        <v>114514.3798382392</v>
      </c>
      <c r="O100" s="22">
        <v>120041.2089784164</v>
      </c>
      <c r="P100" s="22">
        <v>123453.42559896494</v>
      </c>
      <c r="Q100" s="22">
        <v>134018.08706443498</v>
      </c>
      <c r="R100" s="22">
        <v>141206.92040592059</v>
      </c>
      <c r="S100" s="22">
        <v>142789.49902985728</v>
      </c>
      <c r="T100" s="22">
        <v>142648.50715599611</v>
      </c>
      <c r="U100" s="22">
        <v>151860.00730615051</v>
      </c>
      <c r="V100" s="22">
        <v>155948.38836325222</v>
      </c>
      <c r="W100" s="22">
        <v>165871.58763730913</v>
      </c>
      <c r="X100" s="22">
        <v>174507.74515869241</v>
      </c>
      <c r="Y100" s="22">
        <v>181949.50543707763</v>
      </c>
      <c r="Z100" s="22">
        <v>183632.171935219</v>
      </c>
      <c r="AA100" s="23">
        <v>177868.28030219438</v>
      </c>
      <c r="AB100" s="97"/>
      <c r="AC100" s="16">
        <v>4</v>
      </c>
      <c r="AD100" s="16">
        <f t="shared" si="22"/>
        <v>14103229.07930647</v>
      </c>
    </row>
    <row r="101" spans="1:30" ht="13.5" thickBot="1" x14ac:dyDescent="0.35">
      <c r="A101" s="18">
        <v>2028</v>
      </c>
      <c r="B101" s="25" t="s">
        <v>42</v>
      </c>
      <c r="C101" s="26" t="s">
        <v>36</v>
      </c>
      <c r="D101" s="21">
        <v>174833.94668745963</v>
      </c>
      <c r="E101" s="22">
        <v>167701.59296350012</v>
      </c>
      <c r="F101" s="22">
        <v>161326.92037133171</v>
      </c>
      <c r="G101" s="22">
        <v>155783.27015774336</v>
      </c>
      <c r="H101" s="22">
        <v>150320.84813176363</v>
      </c>
      <c r="I101" s="22">
        <v>141329.30627735867</v>
      </c>
      <c r="J101" s="22">
        <v>132557.06978660353</v>
      </c>
      <c r="K101" s="22">
        <v>109517.06490122114</v>
      </c>
      <c r="L101" s="22">
        <v>109032.89101735265</v>
      </c>
      <c r="M101" s="22">
        <v>109465.35316946339</v>
      </c>
      <c r="N101" s="22">
        <v>112454.04697467777</v>
      </c>
      <c r="O101" s="22">
        <v>117749.716358488</v>
      </c>
      <c r="P101" s="22">
        <v>121332.57447263641</v>
      </c>
      <c r="Q101" s="22">
        <v>131034.84454585431</v>
      </c>
      <c r="R101" s="22">
        <v>137792.04814046322</v>
      </c>
      <c r="S101" s="22">
        <v>139597.82756477411</v>
      </c>
      <c r="T101" s="22">
        <v>139843.8217367217</v>
      </c>
      <c r="U101" s="22">
        <v>149969.4497308172</v>
      </c>
      <c r="V101" s="22">
        <v>154503.41102611661</v>
      </c>
      <c r="W101" s="22">
        <v>164432.65491136228</v>
      </c>
      <c r="X101" s="22">
        <v>172934.97337365316</v>
      </c>
      <c r="Y101" s="22">
        <v>180456.54511214979</v>
      </c>
      <c r="Z101" s="22">
        <v>182262.08115070968</v>
      </c>
      <c r="AA101" s="23">
        <v>176773.16612755627</v>
      </c>
      <c r="AB101" s="97"/>
      <c r="AC101" s="16">
        <v>6</v>
      </c>
      <c r="AD101" s="16">
        <f t="shared" si="22"/>
        <v>20958032.548138671</v>
      </c>
    </row>
    <row r="102" spans="1:30" ht="13.5" thickBot="1" x14ac:dyDescent="0.35">
      <c r="A102" s="18">
        <v>2028</v>
      </c>
      <c r="B102" s="11" t="s">
        <v>43</v>
      </c>
      <c r="C102" s="12" t="s">
        <v>33</v>
      </c>
      <c r="D102" s="21">
        <v>174918.45441628766</v>
      </c>
      <c r="E102" s="22">
        <v>167892.23953278791</v>
      </c>
      <c r="F102" s="22">
        <v>161497.7721312076</v>
      </c>
      <c r="G102" s="22">
        <v>155963.07294896868</v>
      </c>
      <c r="H102" s="22">
        <v>150591.18592968272</v>
      </c>
      <c r="I102" s="22">
        <v>141994.05999817117</v>
      </c>
      <c r="J102" s="22">
        <v>133625.77771542998</v>
      </c>
      <c r="K102" s="22">
        <v>109990.36087073386</v>
      </c>
      <c r="L102" s="22">
        <v>109078.14470661771</v>
      </c>
      <c r="M102" s="22">
        <v>109296.22561111247</v>
      </c>
      <c r="N102" s="22">
        <v>111994.64290915456</v>
      </c>
      <c r="O102" s="22">
        <v>117028.58380319834</v>
      </c>
      <c r="P102" s="22">
        <v>120384.43105302153</v>
      </c>
      <c r="Q102" s="22">
        <v>128794.82168052846</v>
      </c>
      <c r="R102" s="22">
        <v>135460.05142538418</v>
      </c>
      <c r="S102" s="22">
        <v>137427.46592541208</v>
      </c>
      <c r="T102" s="22">
        <v>138052.37512850628</v>
      </c>
      <c r="U102" s="22">
        <v>149264.1680540698</v>
      </c>
      <c r="V102" s="22">
        <v>154191.85320569971</v>
      </c>
      <c r="W102" s="22">
        <v>163530.85806054703</v>
      </c>
      <c r="X102" s="22">
        <v>171230.53503055827</v>
      </c>
      <c r="Y102" s="22">
        <v>178462.48337621629</v>
      </c>
      <c r="Z102" s="22">
        <v>180716.65941947498</v>
      </c>
      <c r="AA102" s="23">
        <v>176131.48658229259</v>
      </c>
      <c r="AB102" s="96">
        <f t="shared" ref="AB102" si="33">+SUM(D102:AA102)*AC102+SUM(D103:AA103)*AC103+SUM(D104:AA104)*AC104</f>
        <v>104646638.08481604</v>
      </c>
      <c r="AC102" s="16">
        <v>21</v>
      </c>
      <c r="AD102" s="16">
        <f t="shared" si="22"/>
        <v>73027871.899816349</v>
      </c>
    </row>
    <row r="103" spans="1:30" ht="13.5" thickBot="1" x14ac:dyDescent="0.35">
      <c r="A103" s="18">
        <v>2028</v>
      </c>
      <c r="B103" s="19" t="s">
        <v>43</v>
      </c>
      <c r="C103" s="20" t="s">
        <v>34</v>
      </c>
      <c r="D103" s="21">
        <v>174511.30958268541</v>
      </c>
      <c r="E103" s="22">
        <v>167178.06793400779</v>
      </c>
      <c r="F103" s="22">
        <v>160734.42944207965</v>
      </c>
      <c r="G103" s="22">
        <v>155119.41077039693</v>
      </c>
      <c r="H103" s="22">
        <v>149581.16984824295</v>
      </c>
      <c r="I103" s="22">
        <v>140248.4402393272</v>
      </c>
      <c r="J103" s="22">
        <v>131196.38556005631</v>
      </c>
      <c r="K103" s="22">
        <v>108821.72731194568</v>
      </c>
      <c r="L103" s="22">
        <v>109266.3768654662</v>
      </c>
      <c r="M103" s="22">
        <v>110213.62880183323</v>
      </c>
      <c r="N103" s="22">
        <v>113562.37597073785</v>
      </c>
      <c r="O103" s="22">
        <v>119053.56907281021</v>
      </c>
      <c r="P103" s="22">
        <v>122450.61303256436</v>
      </c>
      <c r="Q103" s="22">
        <v>132973.6000433547</v>
      </c>
      <c r="R103" s="22">
        <v>140147.8065592371</v>
      </c>
      <c r="S103" s="22">
        <v>141760.3807743729</v>
      </c>
      <c r="T103" s="22">
        <v>141680.91881896619</v>
      </c>
      <c r="U103" s="22">
        <v>150979.91174001765</v>
      </c>
      <c r="V103" s="22">
        <v>155047.66466895823</v>
      </c>
      <c r="W103" s="22">
        <v>164920.79595191186</v>
      </c>
      <c r="X103" s="22">
        <v>173513.37931479997</v>
      </c>
      <c r="Y103" s="22">
        <v>180917.59182485766</v>
      </c>
      <c r="Z103" s="22">
        <v>182591.76834623521</v>
      </c>
      <c r="AA103" s="23">
        <v>176856.95871257718</v>
      </c>
      <c r="AB103" s="97"/>
      <c r="AC103" s="16">
        <v>5</v>
      </c>
      <c r="AD103" s="16">
        <f t="shared" si="22"/>
        <v>17516641.40593721</v>
      </c>
    </row>
    <row r="104" spans="1:30" ht="13.5" thickBot="1" x14ac:dyDescent="0.35">
      <c r="A104" s="18">
        <v>2028</v>
      </c>
      <c r="B104" s="25" t="s">
        <v>43</v>
      </c>
      <c r="C104" s="26" t="s">
        <v>36</v>
      </c>
      <c r="D104" s="21">
        <v>175508.19768922246</v>
      </c>
      <c r="E104" s="22">
        <v>168136.6227525248</v>
      </c>
      <c r="F104" s="22">
        <v>161659.30122353864</v>
      </c>
      <c r="G104" s="22">
        <v>156014.93098561946</v>
      </c>
      <c r="H104" s="22">
        <v>150447.73984000849</v>
      </c>
      <c r="I104" s="22">
        <v>141066.22495586923</v>
      </c>
      <c r="J104" s="22">
        <v>131966.85218238883</v>
      </c>
      <c r="K104" s="22">
        <v>109600.39684117098</v>
      </c>
      <c r="L104" s="22">
        <v>110075.2808446072</v>
      </c>
      <c r="M104" s="22">
        <v>111045.84345761333</v>
      </c>
      <c r="N104" s="22">
        <v>114422.24309103063</v>
      </c>
      <c r="O104" s="22">
        <v>119945.64894653804</v>
      </c>
      <c r="P104" s="22">
        <v>123359.5251406921</v>
      </c>
      <c r="Q104" s="22">
        <v>133932.25440855915</v>
      </c>
      <c r="R104" s="22">
        <v>141134.16436600639</v>
      </c>
      <c r="S104" s="22">
        <v>142737.97437515581</v>
      </c>
      <c r="T104" s="22">
        <v>142630.5647138253</v>
      </c>
      <c r="U104" s="22">
        <v>151887.11510924404</v>
      </c>
      <c r="V104" s="22">
        <v>155976.13153284218</v>
      </c>
      <c r="W104" s="22">
        <v>165900.87294993029</v>
      </c>
      <c r="X104" s="22">
        <v>174538.37259795744</v>
      </c>
      <c r="Y104" s="22">
        <v>181981.28938428298</v>
      </c>
      <c r="Z104" s="22">
        <v>183664.21738200137</v>
      </c>
      <c r="AA104" s="23">
        <v>177899.42999498968</v>
      </c>
      <c r="AB104" s="97"/>
      <c r="AC104" s="16">
        <v>4</v>
      </c>
      <c r="AD104" s="16">
        <f t="shared" si="22"/>
        <v>14102124.779062476</v>
      </c>
    </row>
    <row r="105" spans="1:30" ht="13.5" thickBot="1" x14ac:dyDescent="0.35">
      <c r="A105" s="18">
        <v>2028</v>
      </c>
      <c r="B105" s="11" t="s">
        <v>44</v>
      </c>
      <c r="C105" s="12" t="s">
        <v>33</v>
      </c>
      <c r="D105" s="21">
        <v>170370.31557069806</v>
      </c>
      <c r="E105" s="22">
        <v>163591.76762972464</v>
      </c>
      <c r="F105" s="22">
        <v>157365.72477572391</v>
      </c>
      <c r="G105" s="22">
        <v>151986.04590827919</v>
      </c>
      <c r="H105" s="22">
        <v>146785.95001274114</v>
      </c>
      <c r="I105" s="22">
        <v>138579.72159393204</v>
      </c>
      <c r="J105" s="22">
        <v>130583.42115096872</v>
      </c>
      <c r="K105" s="22">
        <v>106636.91181850995</v>
      </c>
      <c r="L105" s="22">
        <v>105284.08710915518</v>
      </c>
      <c r="M105" s="22">
        <v>105233.07862960738</v>
      </c>
      <c r="N105" s="22">
        <v>107659.52258953468</v>
      </c>
      <c r="O105" s="22">
        <v>112442.76847241831</v>
      </c>
      <c r="P105" s="22">
        <v>115713.85551125772</v>
      </c>
      <c r="Q105" s="22">
        <v>123423.36175709295</v>
      </c>
      <c r="R105" s="22">
        <v>129841.32712027112</v>
      </c>
      <c r="S105" s="22">
        <v>131924.88234124598</v>
      </c>
      <c r="T105" s="22">
        <v>132830.17037091721</v>
      </c>
      <c r="U105" s="22">
        <v>144655.76161225696</v>
      </c>
      <c r="V105" s="22">
        <v>149676.91703271933</v>
      </c>
      <c r="W105" s="22">
        <v>158661.16953164156</v>
      </c>
      <c r="X105" s="22">
        <v>165957.66140542223</v>
      </c>
      <c r="Y105" s="22">
        <v>172973.95442383303</v>
      </c>
      <c r="Z105" s="22">
        <v>175314.52500074837</v>
      </c>
      <c r="AA105" s="23">
        <v>171120.69234065415</v>
      </c>
      <c r="AB105" s="96">
        <f t="shared" ref="AB105" si="34">+SUM(D105:AA105)*AC105+SUM(D106:AA106)*AC106+SUM(D107:AA107)*AC107</f>
        <v>104983276.19166745</v>
      </c>
      <c r="AC105" s="16">
        <v>21</v>
      </c>
      <c r="AD105" s="16">
        <f t="shared" si="22"/>
        <v>70740885.467896432</v>
      </c>
    </row>
    <row r="106" spans="1:30" ht="13.5" thickBot="1" x14ac:dyDescent="0.35">
      <c r="A106" s="18">
        <v>2028</v>
      </c>
      <c r="B106" s="19" t="s">
        <v>44</v>
      </c>
      <c r="C106" s="20" t="s">
        <v>34</v>
      </c>
      <c r="D106" s="21">
        <v>170951.65070286379</v>
      </c>
      <c r="E106" s="22">
        <v>163755.288437337</v>
      </c>
      <c r="F106" s="22">
        <v>157431.92434850056</v>
      </c>
      <c r="G106" s="22">
        <v>151921.71339064772</v>
      </c>
      <c r="H106" s="22">
        <v>146486.84707927061</v>
      </c>
      <c r="I106" s="22">
        <v>137328.31850356533</v>
      </c>
      <c r="J106" s="22">
        <v>128445.22589047279</v>
      </c>
      <c r="K106" s="22">
        <v>106050.95971826954</v>
      </c>
      <c r="L106" s="22">
        <v>106394.79040145651</v>
      </c>
      <c r="M106" s="22">
        <v>107263.50282985177</v>
      </c>
      <c r="N106" s="22">
        <v>110516.105836635</v>
      </c>
      <c r="O106" s="22">
        <v>115893.17229928257</v>
      </c>
      <c r="P106" s="22">
        <v>119229.87546547748</v>
      </c>
      <c r="Q106" s="22">
        <v>129573.89714254136</v>
      </c>
      <c r="R106" s="22">
        <v>136646.67385354682</v>
      </c>
      <c r="S106" s="22">
        <v>138286.14366065917</v>
      </c>
      <c r="T106" s="22">
        <v>138299.4318022331</v>
      </c>
      <c r="U106" s="22">
        <v>147740.49649582457</v>
      </c>
      <c r="V106" s="22">
        <v>151732.32236025558</v>
      </c>
      <c r="W106" s="22">
        <v>161421.16568646074</v>
      </c>
      <c r="X106" s="22">
        <v>169853.36329271755</v>
      </c>
      <c r="Y106" s="22">
        <v>177119.37170564482</v>
      </c>
      <c r="Z106" s="22">
        <v>178762.29871139067</v>
      </c>
      <c r="AA106" s="23">
        <v>173134.53276219705</v>
      </c>
      <c r="AB106" s="97"/>
      <c r="AC106" s="16">
        <v>4</v>
      </c>
      <c r="AD106" s="16">
        <f t="shared" si="22"/>
        <v>13696956.289508408</v>
      </c>
    </row>
    <row r="107" spans="1:30" ht="13.5" thickBot="1" x14ac:dyDescent="0.35">
      <c r="A107" s="18">
        <v>2028</v>
      </c>
      <c r="B107" s="25" t="s">
        <v>44</v>
      </c>
      <c r="C107" s="26" t="s">
        <v>36</v>
      </c>
      <c r="D107" s="21">
        <v>170951.65070286379</v>
      </c>
      <c r="E107" s="22">
        <v>163755.288437337</v>
      </c>
      <c r="F107" s="22">
        <v>157431.92434850056</v>
      </c>
      <c r="G107" s="22">
        <v>151921.7133906477</v>
      </c>
      <c r="H107" s="22">
        <v>146486.84707927061</v>
      </c>
      <c r="I107" s="22">
        <v>137328.31850356536</v>
      </c>
      <c r="J107" s="22">
        <v>128445.22589047278</v>
      </c>
      <c r="K107" s="22">
        <v>106050.95971826954</v>
      </c>
      <c r="L107" s="22">
        <v>106394.79040145651</v>
      </c>
      <c r="M107" s="22">
        <v>107263.50282985177</v>
      </c>
      <c r="N107" s="22">
        <v>110516.105836635</v>
      </c>
      <c r="O107" s="22">
        <v>115893.17229928258</v>
      </c>
      <c r="P107" s="22">
        <v>119229.87546547748</v>
      </c>
      <c r="Q107" s="22">
        <v>129573.89714254136</v>
      </c>
      <c r="R107" s="22">
        <v>136646.67385354682</v>
      </c>
      <c r="S107" s="22">
        <v>138286.14366065917</v>
      </c>
      <c r="T107" s="22">
        <v>138299.4318022331</v>
      </c>
      <c r="U107" s="22">
        <v>147740.49649582457</v>
      </c>
      <c r="V107" s="22">
        <v>151732.32236025555</v>
      </c>
      <c r="W107" s="22">
        <v>161421.16568646071</v>
      </c>
      <c r="X107" s="22">
        <v>169853.36329271758</v>
      </c>
      <c r="Y107" s="22">
        <v>177119.37170564479</v>
      </c>
      <c r="Z107" s="22">
        <v>178762.29871139067</v>
      </c>
      <c r="AA107" s="23">
        <v>173134.53276219705</v>
      </c>
      <c r="AB107" s="97"/>
      <c r="AC107" s="16">
        <v>6</v>
      </c>
      <c r="AD107" s="16">
        <f t="shared" si="22"/>
        <v>20545434.434262615</v>
      </c>
    </row>
    <row r="108" spans="1:30" ht="13.5" thickBot="1" x14ac:dyDescent="0.35">
      <c r="A108" s="18">
        <v>2028</v>
      </c>
      <c r="B108" s="11" t="s">
        <v>45</v>
      </c>
      <c r="C108" s="12" t="s">
        <v>33</v>
      </c>
      <c r="D108" s="21">
        <v>167098.7547333999</v>
      </c>
      <c r="E108" s="22">
        <v>160563.61848757826</v>
      </c>
      <c r="F108" s="22">
        <v>154504.27353641728</v>
      </c>
      <c r="G108" s="22">
        <v>149271.79691446543</v>
      </c>
      <c r="H108" s="22">
        <v>144203.36299986907</v>
      </c>
      <c r="I108" s="22">
        <v>136308.97263641079</v>
      </c>
      <c r="J108" s="22">
        <v>128576.98511202529</v>
      </c>
      <c r="K108" s="22">
        <v>104201.23182818529</v>
      </c>
      <c r="L108" s="22">
        <v>102156.80583354436</v>
      </c>
      <c r="M108" s="22">
        <v>101688.26422603239</v>
      </c>
      <c r="N108" s="22">
        <v>103818.7853813892</v>
      </c>
      <c r="O108" s="22">
        <v>108407.93144023216</v>
      </c>
      <c r="P108" s="22">
        <v>111792.53750961836</v>
      </c>
      <c r="Q108" s="22">
        <v>119070.95042092793</v>
      </c>
      <c r="R108" s="22">
        <v>125159.67729269178</v>
      </c>
      <c r="S108" s="22">
        <v>127406.70116779007</v>
      </c>
      <c r="T108" s="22">
        <v>128607.58705393442</v>
      </c>
      <c r="U108" s="22">
        <v>140983.193159699</v>
      </c>
      <c r="V108" s="22">
        <v>146155.11268064324</v>
      </c>
      <c r="W108" s="22">
        <v>155120.4122975381</v>
      </c>
      <c r="X108" s="22">
        <v>162369.25990589045</v>
      </c>
      <c r="Y108" s="22">
        <v>169388.90051109192</v>
      </c>
      <c r="Z108" s="22">
        <v>171691.66751321353</v>
      </c>
      <c r="AA108" s="23">
        <v>167574.89337191504</v>
      </c>
      <c r="AB108" s="96">
        <f t="shared" ref="AB108" si="35">+SUM(D108:AA108)*AC108+SUM(D109:AA109)*AC109+SUM(D110:AA110)*AC110</f>
        <v>99205002.038932636</v>
      </c>
      <c r="AC108" s="16">
        <v>20</v>
      </c>
      <c r="AD108" s="16">
        <f t="shared" si="22"/>
        <v>65722433.520290069</v>
      </c>
    </row>
    <row r="109" spans="1:30" ht="13.5" thickBot="1" x14ac:dyDescent="0.35">
      <c r="A109" s="18">
        <v>2028</v>
      </c>
      <c r="B109" s="19" t="s">
        <v>45</v>
      </c>
      <c r="C109" s="20" t="s">
        <v>34</v>
      </c>
      <c r="D109" s="21">
        <v>167581.13564838294</v>
      </c>
      <c r="E109" s="22">
        <v>160514.37962804237</v>
      </c>
      <c r="F109" s="22">
        <v>154304.89911624961</v>
      </c>
      <c r="G109" s="22">
        <v>148893.92687458161</v>
      </c>
      <c r="H109" s="22">
        <v>143556.94232481087</v>
      </c>
      <c r="I109" s="22">
        <v>134563.35854431341</v>
      </c>
      <c r="J109" s="22">
        <v>125840.25013389789</v>
      </c>
      <c r="K109" s="22">
        <v>103372.26100029798</v>
      </c>
      <c r="L109" s="22">
        <v>103579.94952316394</v>
      </c>
      <c r="M109" s="22">
        <v>104347.53643469168</v>
      </c>
      <c r="N109" s="22">
        <v>107494.31353787759</v>
      </c>
      <c r="O109" s="22">
        <v>112758.20376782907</v>
      </c>
      <c r="P109" s="22">
        <v>116039.12095587885</v>
      </c>
      <c r="Q109" s="22">
        <v>126221.36051815294</v>
      </c>
      <c r="R109" s="22">
        <v>133212.37874457211</v>
      </c>
      <c r="S109" s="22">
        <v>134902.37563096054</v>
      </c>
      <c r="T109" s="22">
        <v>135043.61525383597</v>
      </c>
      <c r="U109" s="22">
        <v>144673.20880987225</v>
      </c>
      <c r="V109" s="22">
        <v>148593.14202317799</v>
      </c>
      <c r="W109" s="22">
        <v>158107.48960314711</v>
      </c>
      <c r="X109" s="22">
        <v>166387.82361081176</v>
      </c>
      <c r="Y109" s="22">
        <v>173522.97145375313</v>
      </c>
      <c r="Z109" s="22">
        <v>175136.30939873841</v>
      </c>
      <c r="AA109" s="23">
        <v>169609.89932721597</v>
      </c>
      <c r="AB109" s="97"/>
      <c r="AC109" s="16">
        <v>4</v>
      </c>
      <c r="AD109" s="16">
        <f t="shared" si="22"/>
        <v>13393027.407457024</v>
      </c>
    </row>
    <row r="110" spans="1:30" ht="13.5" thickBot="1" x14ac:dyDescent="0.35">
      <c r="A110" s="18">
        <v>2028</v>
      </c>
      <c r="B110" s="25" t="s">
        <v>45</v>
      </c>
      <c r="C110" s="26" t="s">
        <v>36</v>
      </c>
      <c r="D110" s="21">
        <v>167581.13564838294</v>
      </c>
      <c r="E110" s="22">
        <v>160514.37962804237</v>
      </c>
      <c r="F110" s="22">
        <v>154304.89911624961</v>
      </c>
      <c r="G110" s="22">
        <v>148893.92687458161</v>
      </c>
      <c r="H110" s="22">
        <v>143556.94232481087</v>
      </c>
      <c r="I110" s="22">
        <v>134563.35854431338</v>
      </c>
      <c r="J110" s="22">
        <v>125840.25013389789</v>
      </c>
      <c r="K110" s="22">
        <v>103372.26100029798</v>
      </c>
      <c r="L110" s="22">
        <v>103579.94952316394</v>
      </c>
      <c r="M110" s="22">
        <v>104347.53643469168</v>
      </c>
      <c r="N110" s="22">
        <v>107494.31353787759</v>
      </c>
      <c r="O110" s="22">
        <v>112758.20376782907</v>
      </c>
      <c r="P110" s="22">
        <v>116039.12095587885</v>
      </c>
      <c r="Q110" s="22">
        <v>126221.36051815294</v>
      </c>
      <c r="R110" s="22">
        <v>133212.37874457214</v>
      </c>
      <c r="S110" s="22">
        <v>134902.37563096054</v>
      </c>
      <c r="T110" s="22">
        <v>135043.61525383595</v>
      </c>
      <c r="U110" s="22">
        <v>144673.20880987225</v>
      </c>
      <c r="V110" s="22">
        <v>148593.14202317802</v>
      </c>
      <c r="W110" s="22">
        <v>158107.48960314711</v>
      </c>
      <c r="X110" s="22">
        <v>166387.82361081176</v>
      </c>
      <c r="Y110" s="22">
        <v>173522.9714537531</v>
      </c>
      <c r="Z110" s="22">
        <v>175136.30939873841</v>
      </c>
      <c r="AA110" s="23">
        <v>169609.89932721597</v>
      </c>
      <c r="AB110" s="97"/>
      <c r="AC110" s="16">
        <v>6</v>
      </c>
      <c r="AD110" s="16">
        <f t="shared" si="22"/>
        <v>20089541.111185536</v>
      </c>
    </row>
    <row r="111" spans="1:30" ht="13.5" thickBot="1" x14ac:dyDescent="0.35">
      <c r="A111" s="18">
        <v>2028</v>
      </c>
      <c r="B111" s="11" t="s">
        <v>46</v>
      </c>
      <c r="C111" s="12" t="s">
        <v>33</v>
      </c>
      <c r="D111" s="21">
        <v>166466.59840921088</v>
      </c>
      <c r="E111" s="22">
        <v>159850.0156064434</v>
      </c>
      <c r="F111" s="22">
        <v>153769.57057200375</v>
      </c>
      <c r="G111" s="22">
        <v>148514.12742965814</v>
      </c>
      <c r="H111" s="22">
        <v>143424.24908461902</v>
      </c>
      <c r="I111" s="22">
        <v>135394.44350777022</v>
      </c>
      <c r="J111" s="22">
        <v>127558.80557480761</v>
      </c>
      <c r="K111" s="22">
        <v>103532.43583429842</v>
      </c>
      <c r="L111" s="22">
        <v>101963.20154225465</v>
      </c>
      <c r="M111" s="22">
        <v>101758.82265665224</v>
      </c>
      <c r="N111" s="22">
        <v>104059.2870963699</v>
      </c>
      <c r="O111" s="22">
        <v>108725.60173746252</v>
      </c>
      <c r="P111" s="22">
        <v>111993.3743741401</v>
      </c>
      <c r="Q111" s="22">
        <v>119607.33332827591</v>
      </c>
      <c r="R111" s="22">
        <v>125886.53083398451</v>
      </c>
      <c r="S111" s="22">
        <v>128028.65405408158</v>
      </c>
      <c r="T111" s="22">
        <v>129065.65051237118</v>
      </c>
      <c r="U111" s="22">
        <v>141048.88863749692</v>
      </c>
      <c r="V111" s="22">
        <v>145987.30593449937</v>
      </c>
      <c r="W111" s="22">
        <v>154869.96834090038</v>
      </c>
      <c r="X111" s="22">
        <v>162105.11521787147</v>
      </c>
      <c r="Y111" s="22">
        <v>169031.11042252078</v>
      </c>
      <c r="Z111" s="22">
        <v>171283.47038984718</v>
      </c>
      <c r="AA111" s="23">
        <v>167097.26873853305</v>
      </c>
      <c r="AB111" s="96">
        <f t="shared" ref="AB111" si="36">+SUM(D111:AA111)*AC111+SUM(D112:AA112)*AC112+SUM(D113:AA113)*AC113</f>
        <v>101830775.36547142</v>
      </c>
      <c r="AC111" s="16">
        <v>19</v>
      </c>
      <c r="AD111" s="16">
        <f t="shared" si="22"/>
        <v>62339414.766885385</v>
      </c>
    </row>
    <row r="112" spans="1:30" ht="13.5" thickBot="1" x14ac:dyDescent="0.35">
      <c r="A112" s="18">
        <v>2028</v>
      </c>
      <c r="B112" s="19" t="s">
        <v>46</v>
      </c>
      <c r="C112" s="20" t="s">
        <v>34</v>
      </c>
      <c r="D112" s="21">
        <v>166959.85585634806</v>
      </c>
      <c r="E112" s="22">
        <v>159916.98987647734</v>
      </c>
      <c r="F112" s="22">
        <v>153728.50127954569</v>
      </c>
      <c r="G112" s="22">
        <v>148335.82149702904</v>
      </c>
      <c r="H112" s="22">
        <v>143016.8792818902</v>
      </c>
      <c r="I112" s="22">
        <v>134053.69942079601</v>
      </c>
      <c r="J112" s="22">
        <v>125360.08055442983</v>
      </c>
      <c r="K112" s="22">
        <v>102895.89133017097</v>
      </c>
      <c r="L112" s="22">
        <v>103091.31019304506</v>
      </c>
      <c r="M112" s="22">
        <v>103848.69313521899</v>
      </c>
      <c r="N112" s="22">
        <v>106980.62648821184</v>
      </c>
      <c r="O112" s="22">
        <v>112225.26738032044</v>
      </c>
      <c r="P112" s="22">
        <v>115495.47649602499</v>
      </c>
      <c r="Q112" s="22">
        <v>125645.47581117091</v>
      </c>
      <c r="R112" s="22">
        <v>132616.92110172613</v>
      </c>
      <c r="S112" s="22">
        <v>134308.3307800875</v>
      </c>
      <c r="T112" s="22">
        <v>134460.50389177381</v>
      </c>
      <c r="U112" s="22">
        <v>144107.82226661794</v>
      </c>
      <c r="V112" s="22">
        <v>148014.5036621397</v>
      </c>
      <c r="W112" s="22">
        <v>157496.68681644092</v>
      </c>
      <c r="X112" s="22">
        <v>165749.02813354461</v>
      </c>
      <c r="Y112" s="22">
        <v>172860.05472902319</v>
      </c>
      <c r="Z112" s="22">
        <v>174467.93858606674</v>
      </c>
      <c r="AA112" s="23">
        <v>168960.21122551971</v>
      </c>
      <c r="AB112" s="97"/>
      <c r="AC112" s="16">
        <v>5</v>
      </c>
      <c r="AD112" s="16">
        <f t="shared" si="22"/>
        <v>16672982.848968098</v>
      </c>
    </row>
    <row r="113" spans="1:30" ht="13.5" thickBot="1" x14ac:dyDescent="0.35">
      <c r="A113" s="28">
        <v>2028</v>
      </c>
      <c r="B113" s="25" t="s">
        <v>46</v>
      </c>
      <c r="C113" s="26" t="s">
        <v>36</v>
      </c>
      <c r="D113" s="21">
        <v>161663.47467818507</v>
      </c>
      <c r="E113" s="22">
        <v>156591.91456656359</v>
      </c>
      <c r="F113" s="22">
        <v>152046.5875990291</v>
      </c>
      <c r="G113" s="22">
        <v>147597.89791652578</v>
      </c>
      <c r="H113" s="22">
        <v>142836.5075833548</v>
      </c>
      <c r="I113" s="22">
        <v>135016.42383047662</v>
      </c>
      <c r="J113" s="22">
        <v>126830.66205793901</v>
      </c>
      <c r="K113" s="22">
        <v>102813.5526375005</v>
      </c>
      <c r="L113" s="22">
        <v>101986.83180791118</v>
      </c>
      <c r="M113" s="22">
        <v>102019.11665091761</v>
      </c>
      <c r="N113" s="22">
        <v>104494.79845002826</v>
      </c>
      <c r="O113" s="22">
        <v>109042.42319140646</v>
      </c>
      <c r="P113" s="22">
        <v>112197.7825627327</v>
      </c>
      <c r="Q113" s="22">
        <v>120431.77092620349</v>
      </c>
      <c r="R113" s="22">
        <v>126235.92127366523</v>
      </c>
      <c r="S113" s="22">
        <v>128157.93636928216</v>
      </c>
      <c r="T113" s="22">
        <v>128484.09077842218</v>
      </c>
      <c r="U113" s="22">
        <v>139787.71481725175</v>
      </c>
      <c r="V113" s="22">
        <v>144181.40862069998</v>
      </c>
      <c r="W113" s="22">
        <v>153102.6490801363</v>
      </c>
      <c r="X113" s="22">
        <v>160860.95226317574</v>
      </c>
      <c r="Y113" s="22">
        <v>167961.04645416228</v>
      </c>
      <c r="Z113" s="22">
        <v>169912.44807591001</v>
      </c>
      <c r="AA113" s="23">
        <v>165514.33775393968</v>
      </c>
      <c r="AB113" s="97"/>
      <c r="AC113" s="16">
        <v>7</v>
      </c>
      <c r="AD113" s="16">
        <f t="shared" si="22"/>
        <v>22818377.749617934</v>
      </c>
    </row>
    <row r="114" spans="1:30" ht="13.5" thickBot="1" x14ac:dyDescent="0.35">
      <c r="A114" s="10">
        <v>2029</v>
      </c>
      <c r="B114" s="11" t="s">
        <v>32</v>
      </c>
      <c r="C114" s="12" t="s">
        <v>33</v>
      </c>
      <c r="D114" s="21">
        <v>151303.84853931118</v>
      </c>
      <c r="E114" s="22">
        <v>144987.92779333703</v>
      </c>
      <c r="F114" s="22">
        <v>139040.70602784993</v>
      </c>
      <c r="G114" s="22">
        <v>133742.61486427684</v>
      </c>
      <c r="H114" s="22">
        <v>128832.98506789604</v>
      </c>
      <c r="I114" s="22">
        <v>124028.83434089769</v>
      </c>
      <c r="J114" s="22">
        <v>117425.4399032004</v>
      </c>
      <c r="K114" s="22">
        <v>93437.816946352163</v>
      </c>
      <c r="L114" s="22">
        <v>93497.94028714615</v>
      </c>
      <c r="M114" s="22">
        <v>94730.981153381057</v>
      </c>
      <c r="N114" s="22">
        <v>97550.895937836089</v>
      </c>
      <c r="O114" s="22">
        <v>101842.36257195672</v>
      </c>
      <c r="P114" s="22">
        <v>104082.23335864928</v>
      </c>
      <c r="Q114" s="22">
        <v>110473.62604734174</v>
      </c>
      <c r="R114" s="22">
        <v>116859.75230275403</v>
      </c>
      <c r="S114" s="22">
        <v>118947.01725847216</v>
      </c>
      <c r="T114" s="22">
        <v>118297.84212653372</v>
      </c>
      <c r="U114" s="22">
        <v>127408.98916697667</v>
      </c>
      <c r="V114" s="22">
        <v>133589.31802689703</v>
      </c>
      <c r="W114" s="22">
        <v>138666.32958094278</v>
      </c>
      <c r="X114" s="22">
        <v>144368.4097935551</v>
      </c>
      <c r="Y114" s="22">
        <v>150869.0022582594</v>
      </c>
      <c r="Z114" s="22">
        <v>154024.9334284082</v>
      </c>
      <c r="AA114" s="23">
        <v>151461.20849837683</v>
      </c>
      <c r="AB114" s="96">
        <f t="shared" ref="AB114" si="37">+SUM(D114:AA114)*AC114+SUM(D115:AA115)*AC115+SUM(D116:AA116)*AC116</f>
        <v>93263463.117442846</v>
      </c>
      <c r="AC114" s="16">
        <v>21</v>
      </c>
      <c r="AD114" s="16">
        <f t="shared" si="22"/>
        <v>62778891.320892766</v>
      </c>
    </row>
    <row r="115" spans="1:30" ht="13.5" thickBot="1" x14ac:dyDescent="0.35">
      <c r="A115" s="18">
        <v>2029</v>
      </c>
      <c r="B115" s="19" t="s">
        <v>32</v>
      </c>
      <c r="C115" s="20" t="s">
        <v>34</v>
      </c>
      <c r="D115" s="21">
        <v>152286.11110815391</v>
      </c>
      <c r="E115" s="22">
        <v>145493.60278662664</v>
      </c>
      <c r="F115" s="22">
        <v>139096.23804224055</v>
      </c>
      <c r="G115" s="22">
        <v>133821.59059327134</v>
      </c>
      <c r="H115" s="22">
        <v>128862.37827158296</v>
      </c>
      <c r="I115" s="22">
        <v>123800.91691447287</v>
      </c>
      <c r="J115" s="22">
        <v>117267.77678766815</v>
      </c>
      <c r="K115" s="22">
        <v>94645.156106471579</v>
      </c>
      <c r="L115" s="22">
        <v>97443.537202562395</v>
      </c>
      <c r="M115" s="22">
        <v>99669.282675391456</v>
      </c>
      <c r="N115" s="22">
        <v>102896.76515519935</v>
      </c>
      <c r="O115" s="22">
        <v>107797.06659278081</v>
      </c>
      <c r="P115" s="22">
        <v>110651.36020270271</v>
      </c>
      <c r="Q115" s="22">
        <v>118541.43139180422</v>
      </c>
      <c r="R115" s="22">
        <v>125025.82253940612</v>
      </c>
      <c r="S115" s="22">
        <v>127240.35931633902</v>
      </c>
      <c r="T115" s="22">
        <v>125689.47834260878</v>
      </c>
      <c r="U115" s="22">
        <v>131317.94017081443</v>
      </c>
      <c r="V115" s="22">
        <v>136428.11941050319</v>
      </c>
      <c r="W115" s="22">
        <v>142446.57477503479</v>
      </c>
      <c r="X115" s="22">
        <v>149006.65466847451</v>
      </c>
      <c r="Y115" s="22">
        <v>156423.66569341425</v>
      </c>
      <c r="Z115" s="22">
        <v>159297.19837284987</v>
      </c>
      <c r="AA115" s="23">
        <v>155093.07025181325</v>
      </c>
      <c r="AB115" s="97"/>
      <c r="AC115" s="16">
        <v>4</v>
      </c>
      <c r="AD115" s="16">
        <f t="shared" si="22"/>
        <v>12320968.389488747</v>
      </c>
    </row>
    <row r="116" spans="1:30" ht="13.5" thickBot="1" x14ac:dyDescent="0.35">
      <c r="A116" s="18">
        <v>2029</v>
      </c>
      <c r="B116" s="25" t="s">
        <v>32</v>
      </c>
      <c r="C116" s="26" t="s">
        <v>36</v>
      </c>
      <c r="D116" s="21">
        <v>152307.09231592432</v>
      </c>
      <c r="E116" s="22">
        <v>145981.29805299066</v>
      </c>
      <c r="F116" s="22">
        <v>140070.33134346173</v>
      </c>
      <c r="G116" s="22">
        <v>134407.51701766936</v>
      </c>
      <c r="H116" s="22">
        <v>129612.08289436437</v>
      </c>
      <c r="I116" s="22">
        <v>124748.20944306879</v>
      </c>
      <c r="J116" s="22">
        <v>118188.31042092235</v>
      </c>
      <c r="K116" s="22">
        <v>95155.060797247672</v>
      </c>
      <c r="L116" s="22">
        <v>96806.472967171096</v>
      </c>
      <c r="M116" s="22">
        <v>97756.457857197456</v>
      </c>
      <c r="N116" s="22">
        <v>100371.37431242161</v>
      </c>
      <c r="O116" s="22">
        <v>103918.00895582406</v>
      </c>
      <c r="P116" s="22">
        <v>105933.38114569763</v>
      </c>
      <c r="Q116" s="22">
        <v>113149.9303425707</v>
      </c>
      <c r="R116" s="22">
        <v>119658.92673601054</v>
      </c>
      <c r="S116" s="22">
        <v>121985.3058901266</v>
      </c>
      <c r="T116" s="22">
        <v>121009.36971198546</v>
      </c>
      <c r="U116" s="22">
        <v>127999.8180005967</v>
      </c>
      <c r="V116" s="22">
        <v>134088.69318556591</v>
      </c>
      <c r="W116" s="22">
        <v>139178.02043094431</v>
      </c>
      <c r="X116" s="22">
        <v>145178.64227167401</v>
      </c>
      <c r="Y116" s="22">
        <v>152276.83712971266</v>
      </c>
      <c r="Z116" s="22">
        <v>155686.35688428287</v>
      </c>
      <c r="AA116" s="23">
        <v>151799.73640279422</v>
      </c>
      <c r="AB116" s="97"/>
      <c r="AC116" s="16">
        <v>6</v>
      </c>
      <c r="AD116" s="16">
        <f t="shared" si="22"/>
        <v>18163603.407061346</v>
      </c>
    </row>
    <row r="117" spans="1:30" ht="13.5" thickBot="1" x14ac:dyDescent="0.35">
      <c r="A117" s="18">
        <v>2029</v>
      </c>
      <c r="B117" s="11" t="s">
        <v>35</v>
      </c>
      <c r="C117" s="12" t="s">
        <v>33</v>
      </c>
      <c r="D117" s="21">
        <v>153373.78683814799</v>
      </c>
      <c r="E117" s="22">
        <v>147180.27812675107</v>
      </c>
      <c r="F117" s="22">
        <v>141562.49693382476</v>
      </c>
      <c r="G117" s="22">
        <v>136616.95079118261</v>
      </c>
      <c r="H117" s="22">
        <v>131594.91235569195</v>
      </c>
      <c r="I117" s="22">
        <v>125869.68356126042</v>
      </c>
      <c r="J117" s="22">
        <v>117226.44639081349</v>
      </c>
      <c r="K117" s="22">
        <v>92869.690084540387</v>
      </c>
      <c r="L117" s="22">
        <v>93297.794366539412</v>
      </c>
      <c r="M117" s="22">
        <v>95387.342811282608</v>
      </c>
      <c r="N117" s="22">
        <v>99174.269041368912</v>
      </c>
      <c r="O117" s="22">
        <v>104592.84968128288</v>
      </c>
      <c r="P117" s="22">
        <v>107292.05328963949</v>
      </c>
      <c r="Q117" s="22">
        <v>115967.52441584013</v>
      </c>
      <c r="R117" s="22">
        <v>122345.86189620619</v>
      </c>
      <c r="S117" s="22">
        <v>123977.37447302524</v>
      </c>
      <c r="T117" s="22">
        <v>122580.92045691414</v>
      </c>
      <c r="U117" s="22">
        <v>129827.15890749711</v>
      </c>
      <c r="V117" s="22">
        <v>134530.36229634043</v>
      </c>
      <c r="W117" s="22">
        <v>141652.39659100183</v>
      </c>
      <c r="X117" s="22">
        <v>147778.9279635151</v>
      </c>
      <c r="Y117" s="22">
        <v>154452.79240125808</v>
      </c>
      <c r="Z117" s="22">
        <v>156423.16854067138</v>
      </c>
      <c r="AA117" s="23">
        <v>152756.26106520926</v>
      </c>
      <c r="AB117" s="96">
        <f t="shared" ref="AB117" si="38">+SUM(D117:AA117)*AC117+SUM(D118:AA118)*AC118+SUM(D119:AA119)*AC119</f>
        <v>85566175.114301279</v>
      </c>
      <c r="AC117" s="16">
        <v>20</v>
      </c>
      <c r="AD117" s="16">
        <f t="shared" si="22"/>
        <v>60966626.065596111</v>
      </c>
    </row>
    <row r="118" spans="1:30" ht="13.5" thickBot="1" x14ac:dyDescent="0.35">
      <c r="A118" s="18">
        <v>2029</v>
      </c>
      <c r="B118" s="19" t="s">
        <v>35</v>
      </c>
      <c r="C118" s="20" t="s">
        <v>34</v>
      </c>
      <c r="D118" s="21">
        <v>151632.97790302458</v>
      </c>
      <c r="E118" s="22">
        <v>145050.09151010931</v>
      </c>
      <c r="F118" s="22">
        <v>139309.64589189299</v>
      </c>
      <c r="G118" s="22">
        <v>133917.09006188787</v>
      </c>
      <c r="H118" s="22">
        <v>128248.37812553065</v>
      </c>
      <c r="I118" s="22">
        <v>121071.43062080559</v>
      </c>
      <c r="J118" s="22">
        <v>112457.04013345929</v>
      </c>
      <c r="K118" s="22">
        <v>89546.860584566341</v>
      </c>
      <c r="L118" s="22">
        <v>91069.905254063444</v>
      </c>
      <c r="M118" s="22">
        <v>92800.712774681495</v>
      </c>
      <c r="N118" s="22">
        <v>98538.309252105901</v>
      </c>
      <c r="O118" s="22">
        <v>104642.14179589563</v>
      </c>
      <c r="P118" s="22">
        <v>108862.53198627307</v>
      </c>
      <c r="Q118" s="22">
        <v>119737.82020182131</v>
      </c>
      <c r="R118" s="22">
        <v>126886.46570955261</v>
      </c>
      <c r="S118" s="22">
        <v>128651.31521156825</v>
      </c>
      <c r="T118" s="22">
        <v>126843.90627956588</v>
      </c>
      <c r="U118" s="22">
        <v>132897.99596076197</v>
      </c>
      <c r="V118" s="22">
        <v>136855.38727320489</v>
      </c>
      <c r="W118" s="22">
        <v>144898.46644392065</v>
      </c>
      <c r="X118" s="22">
        <v>153051.05675340848</v>
      </c>
      <c r="Y118" s="22">
        <v>160281.07909127441</v>
      </c>
      <c r="Z118" s="22">
        <v>160482.78279366443</v>
      </c>
      <c r="AA118" s="23">
        <v>155338.77633920722</v>
      </c>
      <c r="AB118" s="97"/>
      <c r="AC118" s="16">
        <v>4</v>
      </c>
      <c r="AD118" s="16">
        <f t="shared" si="22"/>
        <v>12252288.671808986</v>
      </c>
    </row>
    <row r="119" spans="1:30" ht="13.5" thickBot="1" x14ac:dyDescent="0.35">
      <c r="A119" s="18">
        <v>2029</v>
      </c>
      <c r="B119" s="25" t="s">
        <v>35</v>
      </c>
      <c r="C119" s="26" t="s">
        <v>36</v>
      </c>
      <c r="D119" s="21">
        <v>154076.97214156881</v>
      </c>
      <c r="E119" s="22">
        <v>147487.83044711183</v>
      </c>
      <c r="F119" s="22">
        <v>141721.74825873616</v>
      </c>
      <c r="G119" s="22">
        <v>136428.78263851057</v>
      </c>
      <c r="H119" s="22">
        <v>131211.796006285</v>
      </c>
      <c r="I119" s="22">
        <v>124436.84094260813</v>
      </c>
      <c r="J119" s="22">
        <v>114485.98069535803</v>
      </c>
      <c r="K119" s="22">
        <v>90146.570762723641</v>
      </c>
      <c r="L119" s="22">
        <v>91596.763057628195</v>
      </c>
      <c r="M119" s="22">
        <v>93540.230913287</v>
      </c>
      <c r="N119" s="22">
        <v>98645.23943063982</v>
      </c>
      <c r="O119" s="22">
        <v>104595.55172908932</v>
      </c>
      <c r="P119" s="22">
        <v>107905.32188499867</v>
      </c>
      <c r="Q119" s="22">
        <v>119185.95447034166</v>
      </c>
      <c r="R119" s="22">
        <v>127065.4528123935</v>
      </c>
      <c r="S119" s="22">
        <v>128799.65029949122</v>
      </c>
      <c r="T119" s="22">
        <v>127566.91249682807</v>
      </c>
      <c r="U119" s="22">
        <v>132700.71267146143</v>
      </c>
      <c r="V119" s="22">
        <v>137074.04647354505</v>
      </c>
      <c r="W119" s="22">
        <v>145531.77101465641</v>
      </c>
      <c r="X119" s="22">
        <v>153333.25321959757</v>
      </c>
      <c r="Y119" s="22">
        <v>160847.15628693337</v>
      </c>
      <c r="Z119" s="22">
        <v>161550.43185157143</v>
      </c>
      <c r="AA119" s="23">
        <v>156880.12371868137</v>
      </c>
      <c r="AB119" s="97"/>
      <c r="AC119" s="16">
        <v>4</v>
      </c>
      <c r="AD119" s="16">
        <f t="shared" si="22"/>
        <v>12347260.376896184</v>
      </c>
    </row>
    <row r="120" spans="1:30" ht="13.5" thickBot="1" x14ac:dyDescent="0.35">
      <c r="A120" s="18">
        <v>2029</v>
      </c>
      <c r="B120" s="11" t="s">
        <v>37</v>
      </c>
      <c r="C120" s="12" t="s">
        <v>33</v>
      </c>
      <c r="D120" s="21">
        <v>161055.92705906066</v>
      </c>
      <c r="E120" s="22">
        <v>155023.11843429421</v>
      </c>
      <c r="F120" s="22">
        <v>149451.71896396775</v>
      </c>
      <c r="G120" s="22">
        <v>144458.81193779418</v>
      </c>
      <c r="H120" s="22">
        <v>139432.6556122422</v>
      </c>
      <c r="I120" s="22">
        <v>132641.10334405745</v>
      </c>
      <c r="J120" s="22">
        <v>123527.19672416158</v>
      </c>
      <c r="K120" s="22">
        <v>100134.58944848522</v>
      </c>
      <c r="L120" s="22">
        <v>99816.568248242373</v>
      </c>
      <c r="M120" s="22">
        <v>101362.21901225591</v>
      </c>
      <c r="N120" s="22">
        <v>104766.77551538398</v>
      </c>
      <c r="O120" s="22">
        <v>109731.92136614164</v>
      </c>
      <c r="P120" s="22">
        <v>113715.2044724303</v>
      </c>
      <c r="Q120" s="22">
        <v>121724.22492133304</v>
      </c>
      <c r="R120" s="22">
        <v>127929.26632950884</v>
      </c>
      <c r="S120" s="22">
        <v>129654.60576415779</v>
      </c>
      <c r="T120" s="22">
        <v>128990.79688305773</v>
      </c>
      <c r="U120" s="22">
        <v>136648.55519389288</v>
      </c>
      <c r="V120" s="22">
        <v>141511.79994905501</v>
      </c>
      <c r="W120" s="22">
        <v>149014.34609503648</v>
      </c>
      <c r="X120" s="22">
        <v>155091.70843852719</v>
      </c>
      <c r="Y120" s="22">
        <v>161924.75449092872</v>
      </c>
      <c r="Z120" s="22">
        <v>164489.2686956632</v>
      </c>
      <c r="AA120" s="23">
        <v>161329.28916036882</v>
      </c>
      <c r="AB120" s="96">
        <f t="shared" ref="AB120" si="39">+SUM(D120:AA120)*AC120+SUM(D121:AA121)*AC121+SUM(D122:AA122)*AC122</f>
        <v>99780677.415102676</v>
      </c>
      <c r="AC120" s="16">
        <v>19</v>
      </c>
      <c r="AD120" s="16">
        <f t="shared" si="22"/>
        <v>61055102.095140912</v>
      </c>
    </row>
    <row r="121" spans="1:30" ht="13.5" thickBot="1" x14ac:dyDescent="0.35">
      <c r="A121" s="18">
        <v>2029</v>
      </c>
      <c r="B121" s="19" t="s">
        <v>37</v>
      </c>
      <c r="C121" s="20" t="s">
        <v>34</v>
      </c>
      <c r="D121" s="21">
        <v>159525.33161951546</v>
      </c>
      <c r="E121" s="22">
        <v>153432.69345758544</v>
      </c>
      <c r="F121" s="22">
        <v>148357.36049937358</v>
      </c>
      <c r="G121" s="22">
        <v>143320.41678077896</v>
      </c>
      <c r="H121" s="22">
        <v>138123.9076258752</v>
      </c>
      <c r="I121" s="22">
        <v>130417.69687529471</v>
      </c>
      <c r="J121" s="22">
        <v>120807.14628671626</v>
      </c>
      <c r="K121" s="22">
        <v>98996.002592639968</v>
      </c>
      <c r="L121" s="22">
        <v>99808.1446231757</v>
      </c>
      <c r="M121" s="22">
        <v>101931.9509732163</v>
      </c>
      <c r="N121" s="22">
        <v>106537.50023518453</v>
      </c>
      <c r="O121" s="22">
        <v>111723.58519976932</v>
      </c>
      <c r="P121" s="22">
        <v>114431.87399749845</v>
      </c>
      <c r="Q121" s="22">
        <v>124147.74798287067</v>
      </c>
      <c r="R121" s="22">
        <v>130531.07846413126</v>
      </c>
      <c r="S121" s="22">
        <v>132368.3284530332</v>
      </c>
      <c r="T121" s="22">
        <v>131535.09622353601</v>
      </c>
      <c r="U121" s="22">
        <v>137772.82274032175</v>
      </c>
      <c r="V121" s="22">
        <v>141724.10800303356</v>
      </c>
      <c r="W121" s="22">
        <v>150659.57369421207</v>
      </c>
      <c r="X121" s="22">
        <v>157901.73904694137</v>
      </c>
      <c r="Y121" s="22">
        <v>164550.9470825259</v>
      </c>
      <c r="Z121" s="22">
        <v>165586.12100550075</v>
      </c>
      <c r="AA121" s="23">
        <v>160336.68561251319</v>
      </c>
      <c r="AB121" s="97"/>
      <c r="AC121" s="16">
        <v>5</v>
      </c>
      <c r="AD121" s="16">
        <f t="shared" si="22"/>
        <v>16122639.295376219</v>
      </c>
    </row>
    <row r="122" spans="1:30" ht="13.5" thickBot="1" x14ac:dyDescent="0.35">
      <c r="A122" s="18">
        <v>2029</v>
      </c>
      <c r="B122" s="25" t="s">
        <v>37</v>
      </c>
      <c r="C122" s="26" t="s">
        <v>36</v>
      </c>
      <c r="D122" s="21">
        <v>159580.67572598578</v>
      </c>
      <c r="E122" s="22">
        <v>153723.98715726892</v>
      </c>
      <c r="F122" s="22">
        <v>147972.53819788777</v>
      </c>
      <c r="G122" s="22">
        <v>143003.92214360269</v>
      </c>
      <c r="H122" s="22">
        <v>137914.42291920757</v>
      </c>
      <c r="I122" s="22">
        <v>130238.88569616992</v>
      </c>
      <c r="J122" s="22">
        <v>119667.50093537419</v>
      </c>
      <c r="K122" s="22">
        <v>96959.466847729898</v>
      </c>
      <c r="L122" s="22">
        <v>98578.088049275131</v>
      </c>
      <c r="M122" s="22">
        <v>101216.37957740542</v>
      </c>
      <c r="N122" s="22">
        <v>105773.21943342297</v>
      </c>
      <c r="O122" s="22">
        <v>111787.18287434407</v>
      </c>
      <c r="P122" s="22">
        <v>115450.55490831329</v>
      </c>
      <c r="Q122" s="22">
        <v>125371.3518981908</v>
      </c>
      <c r="R122" s="22">
        <v>131531.58475678583</v>
      </c>
      <c r="S122" s="22">
        <v>132913.55664786638</v>
      </c>
      <c r="T122" s="22">
        <v>132130.49132378417</v>
      </c>
      <c r="U122" s="22">
        <v>137946.9915540409</v>
      </c>
      <c r="V122" s="22">
        <v>141704.33435880434</v>
      </c>
      <c r="W122" s="22">
        <v>150985.73492130855</v>
      </c>
      <c r="X122" s="22">
        <v>158358.41639426406</v>
      </c>
      <c r="Y122" s="22">
        <v>165950.20770841048</v>
      </c>
      <c r="Z122" s="22">
        <v>167694.8766668234</v>
      </c>
      <c r="AA122" s="23">
        <v>162536.48995881155</v>
      </c>
      <c r="AB122" s="97"/>
      <c r="AC122" s="16">
        <v>7</v>
      </c>
      <c r="AD122" s="16">
        <f t="shared" si="22"/>
        <v>22602936.024585549</v>
      </c>
    </row>
    <row r="123" spans="1:30" ht="13.5" thickBot="1" x14ac:dyDescent="0.35">
      <c r="A123" s="18">
        <v>2029</v>
      </c>
      <c r="B123" s="11" t="s">
        <v>38</v>
      </c>
      <c r="C123" s="12" t="s">
        <v>33</v>
      </c>
      <c r="D123" s="21">
        <v>157126.797390466</v>
      </c>
      <c r="E123" s="22">
        <v>150960.25352637703</v>
      </c>
      <c r="F123" s="22">
        <v>145258.81389676812</v>
      </c>
      <c r="G123" s="22">
        <v>140333.17097297599</v>
      </c>
      <c r="H123" s="22">
        <v>135557.81681889412</v>
      </c>
      <c r="I123" s="22">
        <v>128087.97951885333</v>
      </c>
      <c r="J123" s="22">
        <v>120776.19552913935</v>
      </c>
      <c r="K123" s="22">
        <v>98068.293816990554</v>
      </c>
      <c r="L123" s="22">
        <v>96062.790105190739</v>
      </c>
      <c r="M123" s="22">
        <v>95555.303296027545</v>
      </c>
      <c r="N123" s="22">
        <v>97535.411011707984</v>
      </c>
      <c r="O123" s="22">
        <v>101855.00843978596</v>
      </c>
      <c r="P123" s="22">
        <v>105034.96264941551</v>
      </c>
      <c r="Q123" s="22">
        <v>112045.3404926041</v>
      </c>
      <c r="R123" s="22">
        <v>117878.75711099312</v>
      </c>
      <c r="S123" s="22">
        <v>120082.74836181666</v>
      </c>
      <c r="T123" s="22">
        <v>121351.9135368095</v>
      </c>
      <c r="U123" s="22">
        <v>132410.01279622092</v>
      </c>
      <c r="V123" s="22">
        <v>137210.67254758385</v>
      </c>
      <c r="W123" s="22">
        <v>145657.96880985185</v>
      </c>
      <c r="X123" s="22">
        <v>152514.73350802925</v>
      </c>
      <c r="Y123" s="22">
        <v>159114.46516536901</v>
      </c>
      <c r="Z123" s="22">
        <v>161247.44526659479</v>
      </c>
      <c r="AA123" s="23">
        <v>157315.77816575574</v>
      </c>
      <c r="AB123" s="96">
        <f t="shared" ref="AB123" si="40">+SUM(D123:AA123)*AC123+SUM(D124:AA124)*AC124+SUM(D125:AA125)*AC125</f>
        <v>93269299.857011646</v>
      </c>
      <c r="AC123" s="16">
        <v>21</v>
      </c>
      <c r="AD123" s="16">
        <f t="shared" si="22"/>
        <v>64869895.287418641</v>
      </c>
    </row>
    <row r="124" spans="1:30" ht="13.5" thickBot="1" x14ac:dyDescent="0.35">
      <c r="A124" s="18">
        <v>2029</v>
      </c>
      <c r="B124" s="19" t="s">
        <v>38</v>
      </c>
      <c r="C124" s="20" t="s">
        <v>34</v>
      </c>
      <c r="D124" s="21">
        <v>158051.10055755114</v>
      </c>
      <c r="E124" s="22">
        <v>151391.57842523025</v>
      </c>
      <c r="F124" s="22">
        <v>145539.92983576804</v>
      </c>
      <c r="G124" s="22">
        <v>140440.77411324947</v>
      </c>
      <c r="H124" s="22">
        <v>135411.34241548722</v>
      </c>
      <c r="I124" s="22">
        <v>126936.02926434507</v>
      </c>
      <c r="J124" s="22">
        <v>118715.60487802289</v>
      </c>
      <c r="K124" s="22">
        <v>97713.752773759479</v>
      </c>
      <c r="L124" s="22">
        <v>97730.527035342049</v>
      </c>
      <c r="M124" s="22">
        <v>98336.171138350619</v>
      </c>
      <c r="N124" s="22">
        <v>101236.54940324592</v>
      </c>
      <c r="O124" s="22">
        <v>106174.60442986514</v>
      </c>
      <c r="P124" s="22">
        <v>109272.38535248497</v>
      </c>
      <c r="Q124" s="22">
        <v>118901.61182273843</v>
      </c>
      <c r="R124" s="22">
        <v>125552.58391730087</v>
      </c>
      <c r="S124" s="22">
        <v>127255.42911761886</v>
      </c>
      <c r="T124" s="22">
        <v>127565.05323688545</v>
      </c>
      <c r="U124" s="22">
        <v>136150.34554427103</v>
      </c>
      <c r="V124" s="22">
        <v>139844.38590962259</v>
      </c>
      <c r="W124" s="22">
        <v>148810.45295665576</v>
      </c>
      <c r="X124" s="22">
        <v>156613.61857159008</v>
      </c>
      <c r="Y124" s="22">
        <v>163337.59133089872</v>
      </c>
      <c r="Z124" s="22">
        <v>164857.95792069146</v>
      </c>
      <c r="AA124" s="23">
        <v>159650.01667046963</v>
      </c>
      <c r="AB124" s="97"/>
      <c r="AC124" s="16">
        <v>4</v>
      </c>
      <c r="AD124" s="16">
        <f t="shared" si="22"/>
        <v>12621957.586485783</v>
      </c>
    </row>
    <row r="125" spans="1:30" ht="13.5" thickBot="1" x14ac:dyDescent="0.35">
      <c r="A125" s="18">
        <v>2029</v>
      </c>
      <c r="B125" s="25" t="s">
        <v>38</v>
      </c>
      <c r="C125" s="26" t="s">
        <v>36</v>
      </c>
      <c r="D125" s="21">
        <v>158051.10055755114</v>
      </c>
      <c r="E125" s="22">
        <v>151391.57842523025</v>
      </c>
      <c r="F125" s="22">
        <v>145539.92983576804</v>
      </c>
      <c r="G125" s="22">
        <v>140440.77411324947</v>
      </c>
      <c r="H125" s="22">
        <v>135411.34241548722</v>
      </c>
      <c r="I125" s="22">
        <v>126936.02926434507</v>
      </c>
      <c r="J125" s="22">
        <v>118715.60487802289</v>
      </c>
      <c r="K125" s="22">
        <v>97713.752773759479</v>
      </c>
      <c r="L125" s="22">
        <v>97730.527035342049</v>
      </c>
      <c r="M125" s="22">
        <v>98336.171138350619</v>
      </c>
      <c r="N125" s="22">
        <v>101236.54940324592</v>
      </c>
      <c r="O125" s="22">
        <v>106174.60442986514</v>
      </c>
      <c r="P125" s="22">
        <v>109272.38535248497</v>
      </c>
      <c r="Q125" s="22">
        <v>118901.61182273843</v>
      </c>
      <c r="R125" s="22">
        <v>125552.58391730087</v>
      </c>
      <c r="S125" s="22">
        <v>127255.42911761886</v>
      </c>
      <c r="T125" s="22">
        <v>127565.05323688543</v>
      </c>
      <c r="U125" s="22">
        <v>136150.34554427103</v>
      </c>
      <c r="V125" s="22">
        <v>139844.38590962259</v>
      </c>
      <c r="W125" s="22">
        <v>148810.45295665576</v>
      </c>
      <c r="X125" s="22">
        <v>156613.61857159008</v>
      </c>
      <c r="Y125" s="22">
        <v>163337.59133089872</v>
      </c>
      <c r="Z125" s="22">
        <v>164857.95792069146</v>
      </c>
      <c r="AA125" s="23">
        <v>159650.01667046963</v>
      </c>
      <c r="AB125" s="97"/>
      <c r="AC125" s="16">
        <v>5</v>
      </c>
      <c r="AD125" s="16">
        <f t="shared" si="22"/>
        <v>15777446.983107228</v>
      </c>
    </row>
    <row r="126" spans="1:30" ht="13.5" thickBot="1" x14ac:dyDescent="0.35">
      <c r="A126" s="18">
        <v>2029</v>
      </c>
      <c r="B126" s="11" t="s">
        <v>39</v>
      </c>
      <c r="C126" s="12" t="s">
        <v>33</v>
      </c>
      <c r="D126" s="21">
        <v>161236.68125035276</v>
      </c>
      <c r="E126" s="22">
        <v>154828.05340452379</v>
      </c>
      <c r="F126" s="22">
        <v>148941.81038669404</v>
      </c>
      <c r="G126" s="22">
        <v>143855.78967572821</v>
      </c>
      <c r="H126" s="22">
        <v>138939.83244758021</v>
      </c>
      <c r="I126" s="22">
        <v>131182.04271506926</v>
      </c>
      <c r="J126" s="22">
        <v>123623.00138076597</v>
      </c>
      <c r="K126" s="22">
        <v>101196.4942355126</v>
      </c>
      <c r="L126" s="22">
        <v>99733.354374068382</v>
      </c>
      <c r="M126" s="22">
        <v>99563.807919572559</v>
      </c>
      <c r="N126" s="22">
        <v>101790.28259709723</v>
      </c>
      <c r="O126" s="22">
        <v>106288.5715772501</v>
      </c>
      <c r="P126" s="22">
        <v>109385.49166895442</v>
      </c>
      <c r="Q126" s="22">
        <v>116707.43279958157</v>
      </c>
      <c r="R126" s="22">
        <v>122841.57799997952</v>
      </c>
      <c r="S126" s="22">
        <v>124925.96611087875</v>
      </c>
      <c r="T126" s="22">
        <v>125965.80284365322</v>
      </c>
      <c r="U126" s="22">
        <v>136635.67949182415</v>
      </c>
      <c r="V126" s="22">
        <v>141382.07580649032</v>
      </c>
      <c r="W126" s="22">
        <v>149872.99567509643</v>
      </c>
      <c r="X126" s="22">
        <v>156768.16237989327</v>
      </c>
      <c r="Y126" s="22">
        <v>163399.5330848342</v>
      </c>
      <c r="Z126" s="22">
        <v>165613.39081735525</v>
      </c>
      <c r="AA126" s="23">
        <v>161651.11110492743</v>
      </c>
      <c r="AB126" s="96">
        <f t="shared" ref="AB126" si="41">+SUM(D126:AA126)*AC126+SUM(D127:AA127)*AC127+SUM(D128:AA128)*AC128</f>
        <v>99290150.493126571</v>
      </c>
      <c r="AC126" s="16">
        <v>21</v>
      </c>
      <c r="AD126" s="16">
        <f t="shared" si="22"/>
        <v>66912907.776701353</v>
      </c>
    </row>
    <row r="127" spans="1:30" ht="13.5" thickBot="1" x14ac:dyDescent="0.35">
      <c r="A127" s="18">
        <v>2029</v>
      </c>
      <c r="B127" s="19" t="s">
        <v>39</v>
      </c>
      <c r="C127" s="20" t="s">
        <v>34</v>
      </c>
      <c r="D127" s="21">
        <v>161733.39353992077</v>
      </c>
      <c r="E127" s="22">
        <v>154932.27638149654</v>
      </c>
      <c r="F127" s="22">
        <v>148956.20980553181</v>
      </c>
      <c r="G127" s="22">
        <v>143748.63562996374</v>
      </c>
      <c r="H127" s="22">
        <v>138612.26795415691</v>
      </c>
      <c r="I127" s="22">
        <v>129956.75235559806</v>
      </c>
      <c r="J127" s="22">
        <v>121561.54497697795</v>
      </c>
      <c r="K127" s="22">
        <v>100601.17196022646</v>
      </c>
      <c r="L127" s="22">
        <v>100737.87101598963</v>
      </c>
      <c r="M127" s="22">
        <v>101435.04341335323</v>
      </c>
      <c r="N127" s="22">
        <v>104440.56175189996</v>
      </c>
      <c r="O127" s="22">
        <v>109498.64031369839</v>
      </c>
      <c r="P127" s="22">
        <v>112658.32260270993</v>
      </c>
      <c r="Q127" s="22">
        <v>122469.73106437395</v>
      </c>
      <c r="R127" s="22">
        <v>129220.13912945468</v>
      </c>
      <c r="S127" s="22">
        <v>130885.53189236695</v>
      </c>
      <c r="T127" s="22">
        <v>131083.78956938867</v>
      </c>
      <c r="U127" s="22">
        <v>139501.36215102833</v>
      </c>
      <c r="V127" s="22">
        <v>143273.94535047005</v>
      </c>
      <c r="W127" s="22">
        <v>152430.64927389516</v>
      </c>
      <c r="X127" s="22">
        <v>160399.7261084308</v>
      </c>
      <c r="Y127" s="22">
        <v>167266.66424565317</v>
      </c>
      <c r="Z127" s="22">
        <v>168819.35693072589</v>
      </c>
      <c r="AA127" s="23">
        <v>163500.68422521077</v>
      </c>
      <c r="AB127" s="97"/>
      <c r="AC127" s="16">
        <v>4</v>
      </c>
      <c r="AD127" s="16">
        <f t="shared" si="22"/>
        <v>12950897.086570086</v>
      </c>
    </row>
    <row r="128" spans="1:30" ht="13.5" thickBot="1" x14ac:dyDescent="0.35">
      <c r="A128" s="18">
        <v>2029</v>
      </c>
      <c r="B128" s="25" t="s">
        <v>39</v>
      </c>
      <c r="C128" s="26" t="s">
        <v>36</v>
      </c>
      <c r="D128" s="21">
        <v>161733.39353992077</v>
      </c>
      <c r="E128" s="22">
        <v>154932.27638149654</v>
      </c>
      <c r="F128" s="22">
        <v>148956.20980553181</v>
      </c>
      <c r="G128" s="22">
        <v>143748.63562996374</v>
      </c>
      <c r="H128" s="22">
        <v>138612.26795415694</v>
      </c>
      <c r="I128" s="22">
        <v>129956.75235559804</v>
      </c>
      <c r="J128" s="22">
        <v>121561.54497697797</v>
      </c>
      <c r="K128" s="22">
        <v>100601.17196022648</v>
      </c>
      <c r="L128" s="22">
        <v>100737.87101598963</v>
      </c>
      <c r="M128" s="22">
        <v>101435.04341335323</v>
      </c>
      <c r="N128" s="22">
        <v>104440.56175189996</v>
      </c>
      <c r="O128" s="22">
        <v>109498.6403136984</v>
      </c>
      <c r="P128" s="22">
        <v>112658.32260270994</v>
      </c>
      <c r="Q128" s="22">
        <v>122469.73106437396</v>
      </c>
      <c r="R128" s="22">
        <v>129220.13912945469</v>
      </c>
      <c r="S128" s="22">
        <v>130885.53189236695</v>
      </c>
      <c r="T128" s="22">
        <v>131083.78956938864</v>
      </c>
      <c r="U128" s="22">
        <v>139501.36215102833</v>
      </c>
      <c r="V128" s="22">
        <v>143273.94535047005</v>
      </c>
      <c r="W128" s="22">
        <v>152430.64927389516</v>
      </c>
      <c r="X128" s="22">
        <v>160399.7261084308</v>
      </c>
      <c r="Y128" s="22">
        <v>167266.66424565317</v>
      </c>
      <c r="Z128" s="22">
        <v>168819.35693072589</v>
      </c>
      <c r="AA128" s="23">
        <v>163500.68422521077</v>
      </c>
      <c r="AB128" s="97"/>
      <c r="AC128" s="16">
        <v>6</v>
      </c>
      <c r="AD128" s="16">
        <f t="shared" si="22"/>
        <v>19426345.62985513</v>
      </c>
    </row>
    <row r="129" spans="1:30" ht="13.5" thickBot="1" x14ac:dyDescent="0.35">
      <c r="A129" s="18">
        <v>2029</v>
      </c>
      <c r="B129" s="11" t="s">
        <v>40</v>
      </c>
      <c r="C129" s="12" t="s">
        <v>33</v>
      </c>
      <c r="D129" s="21">
        <v>163935.43638010297</v>
      </c>
      <c r="E129" s="22">
        <v>157578.72368443091</v>
      </c>
      <c r="F129" s="22">
        <v>151666.5122965551</v>
      </c>
      <c r="G129" s="22">
        <v>146563.64930190906</v>
      </c>
      <c r="H129" s="22">
        <v>141625.60812513443</v>
      </c>
      <c r="I129" s="22">
        <v>133970.56337380738</v>
      </c>
      <c r="J129" s="22">
        <v>126468.18085268269</v>
      </c>
      <c r="K129" s="22">
        <v>103514.06166783893</v>
      </c>
      <c r="L129" s="22">
        <v>101373.34488473122</v>
      </c>
      <c r="M129" s="22">
        <v>100834.59078682086</v>
      </c>
      <c r="N129" s="22">
        <v>102854.12375875127</v>
      </c>
      <c r="O129" s="22">
        <v>107299.69546676996</v>
      </c>
      <c r="P129" s="22">
        <v>110614.45892527861</v>
      </c>
      <c r="Q129" s="22">
        <v>117576.7298803005</v>
      </c>
      <c r="R129" s="22">
        <v>123484.06565240756</v>
      </c>
      <c r="S129" s="22">
        <v>125722.47206819602</v>
      </c>
      <c r="T129" s="22">
        <v>126973.06145095349</v>
      </c>
      <c r="U129" s="22">
        <v>138153.3098048004</v>
      </c>
      <c r="V129" s="22">
        <v>143273.85998325073</v>
      </c>
      <c r="W129" s="22">
        <v>152006.7466398344</v>
      </c>
      <c r="X129" s="22">
        <v>159036.97314793611</v>
      </c>
      <c r="Y129" s="22">
        <v>165891.07722127307</v>
      </c>
      <c r="Z129" s="22">
        <v>168176.78892419802</v>
      </c>
      <c r="AA129" s="23">
        <v>164227.27167907081</v>
      </c>
      <c r="AB129" s="96">
        <f t="shared" ref="AB129" si="42">+SUM(D129:AA129)*AC129+SUM(D130:AA130)*AC130+SUM(D131:AA131)*AC131</f>
        <v>97533232.979898185</v>
      </c>
      <c r="AC129" s="16">
        <v>19</v>
      </c>
      <c r="AD129" s="16">
        <f t="shared" si="22"/>
        <v>61423604.813183643</v>
      </c>
    </row>
    <row r="130" spans="1:30" ht="13.5" thickBot="1" x14ac:dyDescent="0.35">
      <c r="A130" s="18">
        <v>2029</v>
      </c>
      <c r="B130" s="19" t="s">
        <v>40</v>
      </c>
      <c r="C130" s="20" t="s">
        <v>34</v>
      </c>
      <c r="D130" s="21">
        <v>163354.69474827335</v>
      </c>
      <c r="E130" s="22">
        <v>156491.23377635656</v>
      </c>
      <c r="F130" s="22">
        <v>150460.38637963063</v>
      </c>
      <c r="G130" s="22">
        <v>145205.0759240386</v>
      </c>
      <c r="H130" s="22">
        <v>140021.62469696347</v>
      </c>
      <c r="I130" s="22">
        <v>131286.76656723086</v>
      </c>
      <c r="J130" s="22">
        <v>122814.60282528792</v>
      </c>
      <c r="K130" s="22">
        <v>101818.13010852048</v>
      </c>
      <c r="L130" s="22">
        <v>101967.53699462158</v>
      </c>
      <c r="M130" s="22">
        <v>102678.63501654544</v>
      </c>
      <c r="N130" s="22">
        <v>105715.86871908794</v>
      </c>
      <c r="O130" s="22">
        <v>110821.75310809034</v>
      </c>
      <c r="P130" s="22">
        <v>114010.01952892388</v>
      </c>
      <c r="Q130" s="22">
        <v>123909.20545413997</v>
      </c>
      <c r="R130" s="22">
        <v>130717.47103242576</v>
      </c>
      <c r="S130" s="22">
        <v>132391.07340373858</v>
      </c>
      <c r="T130" s="22">
        <v>132579.84874873603</v>
      </c>
      <c r="U130" s="22">
        <v>140976.80348602202</v>
      </c>
      <c r="V130" s="22">
        <v>144783.96883099852</v>
      </c>
      <c r="W130" s="22">
        <v>154024.60952956087</v>
      </c>
      <c r="X130" s="22">
        <v>162066.73651575661</v>
      </c>
      <c r="Y130" s="22">
        <v>168996.6218277622</v>
      </c>
      <c r="Z130" s="22">
        <v>170563.54758380173</v>
      </c>
      <c r="AA130" s="23">
        <v>165196.12019115841</v>
      </c>
      <c r="AB130" s="97"/>
      <c r="AC130" s="16">
        <v>5</v>
      </c>
      <c r="AD130" s="16">
        <f t="shared" si="22"/>
        <v>16364261.674988359</v>
      </c>
    </row>
    <row r="131" spans="1:30" ht="13.5" thickBot="1" x14ac:dyDescent="0.35">
      <c r="A131" s="18">
        <v>2029</v>
      </c>
      <c r="B131" s="25" t="s">
        <v>40</v>
      </c>
      <c r="C131" s="26" t="s">
        <v>36</v>
      </c>
      <c r="D131" s="21">
        <v>164164.7656966192</v>
      </c>
      <c r="E131" s="22">
        <v>157270.15510743248</v>
      </c>
      <c r="F131" s="22">
        <v>151211.93688584282</v>
      </c>
      <c r="G131" s="22">
        <v>145932.77535715574</v>
      </c>
      <c r="H131" s="22">
        <v>140725.79918799651</v>
      </c>
      <c r="I131" s="22">
        <v>131951.29815962116</v>
      </c>
      <c r="J131" s="22">
        <v>123440.68374984607</v>
      </c>
      <c r="K131" s="22">
        <v>102450.87671252877</v>
      </c>
      <c r="L131" s="22">
        <v>102624.85210271306</v>
      </c>
      <c r="M131" s="22">
        <v>103354.89237282683</v>
      </c>
      <c r="N131" s="22">
        <v>106414.59645896104</v>
      </c>
      <c r="O131" s="22">
        <v>111546.65692083749</v>
      </c>
      <c r="P131" s="22">
        <v>114748.60120982259</v>
      </c>
      <c r="Q131" s="22">
        <v>124688.20767682146</v>
      </c>
      <c r="R131" s="22">
        <v>131518.98506263478</v>
      </c>
      <c r="S131" s="22">
        <v>133185.46564303813</v>
      </c>
      <c r="T131" s="22">
        <v>133351.53069137005</v>
      </c>
      <c r="U131" s="22">
        <v>141713.9966462501</v>
      </c>
      <c r="V131" s="22">
        <v>145538.4407000099</v>
      </c>
      <c r="W131" s="22">
        <v>154821.01977663932</v>
      </c>
      <c r="X131" s="22">
        <v>162899.64572140438</v>
      </c>
      <c r="Y131" s="22">
        <v>169860.98211560844</v>
      </c>
      <c r="Z131" s="22">
        <v>171435.01931845167</v>
      </c>
      <c r="AA131" s="23">
        <v>166043.23201326726</v>
      </c>
      <c r="AB131" s="97"/>
      <c r="AC131" s="16">
        <v>6</v>
      </c>
      <c r="AD131" s="16">
        <f t="shared" si="22"/>
        <v>19745366.491726197</v>
      </c>
    </row>
    <row r="132" spans="1:30" ht="13.5" thickBot="1" x14ac:dyDescent="0.35">
      <c r="A132" s="18">
        <v>2029</v>
      </c>
      <c r="B132" s="11" t="s">
        <v>41</v>
      </c>
      <c r="C132" s="12" t="s">
        <v>33</v>
      </c>
      <c r="D132" s="21">
        <v>159594.90805353044</v>
      </c>
      <c r="E132" s="22">
        <v>153185.34230273933</v>
      </c>
      <c r="F132" s="22">
        <v>147341.85318723213</v>
      </c>
      <c r="G132" s="22">
        <v>142285.72752307361</v>
      </c>
      <c r="H132" s="22">
        <v>137382.26199872553</v>
      </c>
      <c r="I132" s="22">
        <v>129555.64044992397</v>
      </c>
      <c r="J132" s="22">
        <v>121935.92043788156</v>
      </c>
      <c r="K132" s="22">
        <v>99710.959963675297</v>
      </c>
      <c r="L132" s="22">
        <v>98444.303914342498</v>
      </c>
      <c r="M132" s="22">
        <v>98366.277726807253</v>
      </c>
      <c r="N132" s="22">
        <v>100668.80473401413</v>
      </c>
      <c r="O132" s="22">
        <v>105203.58686012929</v>
      </c>
      <c r="P132" s="22">
        <v>108281.94202645512</v>
      </c>
      <c r="Q132" s="22">
        <v>115946.95904836847</v>
      </c>
      <c r="R132" s="22">
        <v>122148.3147280633</v>
      </c>
      <c r="S132" s="22">
        <v>124192.09199195949</v>
      </c>
      <c r="T132" s="22">
        <v>125162.07773835542</v>
      </c>
      <c r="U132" s="22">
        <v>135555.39742737735</v>
      </c>
      <c r="V132" s="22">
        <v>140098.3645459807</v>
      </c>
      <c r="W132" s="22">
        <v>148612.14273904433</v>
      </c>
      <c r="X132" s="22">
        <v>155611.35107253009</v>
      </c>
      <c r="Y132" s="22">
        <v>162214.97878521975</v>
      </c>
      <c r="Z132" s="22">
        <v>164301.45354429513</v>
      </c>
      <c r="AA132" s="23">
        <v>160160.8544494891</v>
      </c>
      <c r="AB132" s="96">
        <f t="shared" ref="AB132" si="43">+SUM(D132:AA132)*AC132+SUM(D133:AA133)*AC133+SUM(D134:AA134)*AC134</f>
        <v>98272280.919780731</v>
      </c>
      <c r="AC132" s="16">
        <v>20</v>
      </c>
      <c r="AD132" s="16">
        <f t="shared" si="22"/>
        <v>63119230.304984272</v>
      </c>
    </row>
    <row r="133" spans="1:30" ht="13.5" thickBot="1" x14ac:dyDescent="0.35">
      <c r="A133" s="18">
        <v>2029</v>
      </c>
      <c r="B133" s="19" t="s">
        <v>41</v>
      </c>
      <c r="C133" s="20" t="s">
        <v>34</v>
      </c>
      <c r="D133" s="21">
        <v>159879.39228429302</v>
      </c>
      <c r="E133" s="22">
        <v>153149.56694252841</v>
      </c>
      <c r="F133" s="22">
        <v>147236.14369893915</v>
      </c>
      <c r="G133" s="22">
        <v>142083.15723517173</v>
      </c>
      <c r="H133" s="22">
        <v>137000.63085839123</v>
      </c>
      <c r="I133" s="22">
        <v>128435.84556439467</v>
      </c>
      <c r="J133" s="22">
        <v>120128.63984363667</v>
      </c>
      <c r="K133" s="22">
        <v>99117.782057995748</v>
      </c>
      <c r="L133" s="22">
        <v>99172.268615349778</v>
      </c>
      <c r="M133" s="22">
        <v>99808.996773329534</v>
      </c>
      <c r="N133" s="22">
        <v>102753.64064236202</v>
      </c>
      <c r="O133" s="22">
        <v>107748.54409817877</v>
      </c>
      <c r="P133" s="22">
        <v>110877.7833375941</v>
      </c>
      <c r="Q133" s="22">
        <v>120601.58303685399</v>
      </c>
      <c r="R133" s="22">
        <v>127309.59044255143</v>
      </c>
      <c r="S133" s="22">
        <v>129007.28914944839</v>
      </c>
      <c r="T133" s="22">
        <v>129283.15476476331</v>
      </c>
      <c r="U133" s="22">
        <v>137814.155558206</v>
      </c>
      <c r="V133" s="22">
        <v>141547.19315013607</v>
      </c>
      <c r="W133" s="22">
        <v>150607.91312826079</v>
      </c>
      <c r="X133" s="22">
        <v>158493.45516235111</v>
      </c>
      <c r="Y133" s="22">
        <v>165288.41152315529</v>
      </c>
      <c r="Z133" s="22">
        <v>166824.82831124592</v>
      </c>
      <c r="AA133" s="23">
        <v>161561.9078932686</v>
      </c>
      <c r="AB133" s="97"/>
      <c r="AC133" s="16">
        <v>4</v>
      </c>
      <c r="AD133" s="16">
        <f t="shared" si="22"/>
        <v>12782927.496289624</v>
      </c>
    </row>
    <row r="134" spans="1:30" ht="13.5" thickBot="1" x14ac:dyDescent="0.35">
      <c r="A134" s="18">
        <v>2029</v>
      </c>
      <c r="B134" s="25" t="s">
        <v>41</v>
      </c>
      <c r="C134" s="26" t="s">
        <v>36</v>
      </c>
      <c r="D134" s="21">
        <v>159879.39228429299</v>
      </c>
      <c r="E134" s="22">
        <v>153149.56694252838</v>
      </c>
      <c r="F134" s="22">
        <v>147236.14369893915</v>
      </c>
      <c r="G134" s="22">
        <v>142083.15723517173</v>
      </c>
      <c r="H134" s="22">
        <v>137000.63085839126</v>
      </c>
      <c r="I134" s="22">
        <v>128435.84556439469</v>
      </c>
      <c r="J134" s="22">
        <v>120128.63984363667</v>
      </c>
      <c r="K134" s="22">
        <v>99117.782057995762</v>
      </c>
      <c r="L134" s="22">
        <v>99172.268615349778</v>
      </c>
      <c r="M134" s="22">
        <v>99808.996773329549</v>
      </c>
      <c r="N134" s="22">
        <v>102753.64064236204</v>
      </c>
      <c r="O134" s="22">
        <v>107748.54409817875</v>
      </c>
      <c r="P134" s="22">
        <v>110877.78333759411</v>
      </c>
      <c r="Q134" s="22">
        <v>120601.58303685396</v>
      </c>
      <c r="R134" s="22">
        <v>127309.59044255143</v>
      </c>
      <c r="S134" s="22">
        <v>129007.28914944839</v>
      </c>
      <c r="T134" s="22">
        <v>129283.15476476331</v>
      </c>
      <c r="U134" s="22">
        <v>137814.155558206</v>
      </c>
      <c r="V134" s="22">
        <v>141547.19315013607</v>
      </c>
      <c r="W134" s="22">
        <v>150607.91312826079</v>
      </c>
      <c r="X134" s="22">
        <v>158493.45516235111</v>
      </c>
      <c r="Y134" s="22">
        <v>165288.41152315526</v>
      </c>
      <c r="Z134" s="22">
        <v>166824.82831124592</v>
      </c>
      <c r="AA134" s="23">
        <v>161561.9078932686</v>
      </c>
      <c r="AB134" s="97"/>
      <c r="AC134" s="16">
        <v>7</v>
      </c>
      <c r="AD134" s="16">
        <f t="shared" ref="AD134:AD197" si="44">+SUM(D134:AA134)*AC134</f>
        <v>22370123.118506841</v>
      </c>
    </row>
    <row r="135" spans="1:30" ht="13.5" thickBot="1" x14ac:dyDescent="0.35">
      <c r="A135" s="18">
        <v>2029</v>
      </c>
      <c r="B135" s="11" t="s">
        <v>42</v>
      </c>
      <c r="C135" s="12" t="s">
        <v>33</v>
      </c>
      <c r="D135" s="21">
        <v>165273.16395477689</v>
      </c>
      <c r="E135" s="22">
        <v>158834.24153105475</v>
      </c>
      <c r="F135" s="22">
        <v>152856.77315129861</v>
      </c>
      <c r="G135" s="22">
        <v>147698.42928289381</v>
      </c>
      <c r="H135" s="22">
        <v>142716.51835163994</v>
      </c>
      <c r="I135" s="22">
        <v>134976.2769033497</v>
      </c>
      <c r="J135" s="22">
        <v>127405.65200277751</v>
      </c>
      <c r="K135" s="22">
        <v>104533.73388881893</v>
      </c>
      <c r="L135" s="22">
        <v>102585.47703134929</v>
      </c>
      <c r="M135" s="22">
        <v>102166.87189083562</v>
      </c>
      <c r="N135" s="22">
        <v>104264.77640087798</v>
      </c>
      <c r="O135" s="22">
        <v>108760.9996777303</v>
      </c>
      <c r="P135" s="22">
        <v>112024.71760828208</v>
      </c>
      <c r="Q135" s="22">
        <v>119044.95279616157</v>
      </c>
      <c r="R135" s="22">
        <v>125066.05623281904</v>
      </c>
      <c r="S135" s="22">
        <v>127267.99305593417</v>
      </c>
      <c r="T135" s="22">
        <v>128454.86611423036</v>
      </c>
      <c r="U135" s="22">
        <v>139542.10016687945</v>
      </c>
      <c r="V135" s="22">
        <v>144647.97136297822</v>
      </c>
      <c r="W135" s="22">
        <v>153353.78792768178</v>
      </c>
      <c r="X135" s="22">
        <v>160348.43956381636</v>
      </c>
      <c r="Y135" s="22">
        <v>167188.25011520667</v>
      </c>
      <c r="Z135" s="22">
        <v>169523.47776710134</v>
      </c>
      <c r="AA135" s="23">
        <v>165611.1444454515</v>
      </c>
      <c r="AB135" s="96">
        <f t="shared" ref="AB135" si="45">+SUM(D135:AA135)*AC135+SUM(D136:AA136)*AC136+SUM(D137:AA137)*AC137</f>
        <v>101866701.65365583</v>
      </c>
      <c r="AC135" s="16">
        <v>21</v>
      </c>
      <c r="AD135" s="16">
        <f t="shared" si="44"/>
        <v>68547080.095702857</v>
      </c>
    </row>
    <row r="136" spans="1:30" ht="13.5" thickBot="1" x14ac:dyDescent="0.35">
      <c r="A136" s="18">
        <v>2029</v>
      </c>
      <c r="B136" s="19" t="s">
        <v>42</v>
      </c>
      <c r="C136" s="20" t="s">
        <v>34</v>
      </c>
      <c r="D136" s="21">
        <v>166013.27802914762</v>
      </c>
      <c r="E136" s="22">
        <v>159047.58668858398</v>
      </c>
      <c r="F136" s="22">
        <v>152926.91059535311</v>
      </c>
      <c r="G136" s="22">
        <v>147593.32296627277</v>
      </c>
      <c r="H136" s="22">
        <v>142332.66489967823</v>
      </c>
      <c r="I136" s="22">
        <v>133467.70218126447</v>
      </c>
      <c r="J136" s="22">
        <v>124869.34664976828</v>
      </c>
      <c r="K136" s="22">
        <v>103889.57719327191</v>
      </c>
      <c r="L136" s="22">
        <v>104115.80056743413</v>
      </c>
      <c r="M136" s="22">
        <v>104886.55578861439</v>
      </c>
      <c r="N136" s="22">
        <v>107996.14823307758</v>
      </c>
      <c r="O136" s="22">
        <v>113187.4606482385</v>
      </c>
      <c r="P136" s="22">
        <v>116420.74313552341</v>
      </c>
      <c r="Q136" s="22">
        <v>126453.30550242221</v>
      </c>
      <c r="R136" s="22">
        <v>133336.79232847647</v>
      </c>
      <c r="S136" s="22">
        <v>134989.37191801576</v>
      </c>
      <c r="T136" s="22">
        <v>135107.37760969216</v>
      </c>
      <c r="U136" s="22">
        <v>143396.20812528129</v>
      </c>
      <c r="V136" s="22">
        <v>147260.08070853146</v>
      </c>
      <c r="W136" s="22">
        <v>156638.35956210224</v>
      </c>
      <c r="X136" s="22">
        <v>164800.27299567004</v>
      </c>
      <c r="Y136" s="22">
        <v>171833.37805832698</v>
      </c>
      <c r="Z136" s="22">
        <v>173423.64297202145</v>
      </c>
      <c r="AA136" s="23">
        <v>167976.26843852896</v>
      </c>
      <c r="AB136" s="97"/>
      <c r="AC136" s="16">
        <v>4</v>
      </c>
      <c r="AD136" s="16">
        <f t="shared" si="44"/>
        <v>13327848.623181187</v>
      </c>
    </row>
    <row r="137" spans="1:30" ht="13.5" thickBot="1" x14ac:dyDescent="0.35">
      <c r="A137" s="18">
        <v>2029</v>
      </c>
      <c r="B137" s="25" t="s">
        <v>42</v>
      </c>
      <c r="C137" s="26" t="s">
        <v>36</v>
      </c>
      <c r="D137" s="21">
        <v>166013.27802914762</v>
      </c>
      <c r="E137" s="22">
        <v>159047.58668858398</v>
      </c>
      <c r="F137" s="22">
        <v>152926.91059535311</v>
      </c>
      <c r="G137" s="22">
        <v>147593.32296627274</v>
      </c>
      <c r="H137" s="22">
        <v>142332.66489967823</v>
      </c>
      <c r="I137" s="22">
        <v>133467.7021812645</v>
      </c>
      <c r="J137" s="22">
        <v>124869.34664976828</v>
      </c>
      <c r="K137" s="22">
        <v>103889.57719327191</v>
      </c>
      <c r="L137" s="22">
        <v>104115.80056743413</v>
      </c>
      <c r="M137" s="22">
        <v>104886.55578861439</v>
      </c>
      <c r="N137" s="22">
        <v>107996.14823307759</v>
      </c>
      <c r="O137" s="22">
        <v>113187.4606482385</v>
      </c>
      <c r="P137" s="22">
        <v>116420.74313552341</v>
      </c>
      <c r="Q137" s="22">
        <v>126453.3055024222</v>
      </c>
      <c r="R137" s="22">
        <v>133336.79232847647</v>
      </c>
      <c r="S137" s="22">
        <v>134989.37191801576</v>
      </c>
      <c r="T137" s="22">
        <v>135107.37760969216</v>
      </c>
      <c r="U137" s="22">
        <v>143396.20812528129</v>
      </c>
      <c r="V137" s="22">
        <v>147260.08070853146</v>
      </c>
      <c r="W137" s="22">
        <v>156638.35956210224</v>
      </c>
      <c r="X137" s="22">
        <v>164800.27299567006</v>
      </c>
      <c r="Y137" s="22">
        <v>171833.37805832698</v>
      </c>
      <c r="Z137" s="22">
        <v>173423.64297202145</v>
      </c>
      <c r="AA137" s="23">
        <v>167976.26843852896</v>
      </c>
      <c r="AB137" s="97"/>
      <c r="AC137" s="16">
        <v>6</v>
      </c>
      <c r="AD137" s="16">
        <f t="shared" si="44"/>
        <v>19991772.93477178</v>
      </c>
    </row>
    <row r="138" spans="1:30" ht="13.5" thickBot="1" x14ac:dyDescent="0.35">
      <c r="A138" s="18">
        <v>2029</v>
      </c>
      <c r="B138" s="11" t="s">
        <v>43</v>
      </c>
      <c r="C138" s="12" t="s">
        <v>33</v>
      </c>
      <c r="D138" s="21">
        <v>164984.60408501167</v>
      </c>
      <c r="E138" s="22">
        <v>158377.84319189232</v>
      </c>
      <c r="F138" s="22">
        <v>152354.20682990743</v>
      </c>
      <c r="G138" s="22">
        <v>147142.26754553817</v>
      </c>
      <c r="H138" s="22">
        <v>142087.833933705</v>
      </c>
      <c r="I138" s="22">
        <v>134020.99552760529</v>
      </c>
      <c r="J138" s="22">
        <v>126167.3573047937</v>
      </c>
      <c r="K138" s="22">
        <v>103875.49253637451</v>
      </c>
      <c r="L138" s="22">
        <v>102676.63291440629</v>
      </c>
      <c r="M138" s="22">
        <v>102666.75427671502</v>
      </c>
      <c r="N138" s="22">
        <v>105078.89855133866</v>
      </c>
      <c r="O138" s="22">
        <v>109766.51920804067</v>
      </c>
      <c r="P138" s="22">
        <v>112936.13741867206</v>
      </c>
      <c r="Q138" s="22">
        <v>120813.62527150374</v>
      </c>
      <c r="R138" s="22">
        <v>127167.15623817853</v>
      </c>
      <c r="S138" s="22">
        <v>129207.36955920227</v>
      </c>
      <c r="T138" s="22">
        <v>130100.84439038932</v>
      </c>
      <c r="U138" s="22">
        <v>140395.20468430934</v>
      </c>
      <c r="V138" s="22">
        <v>145079.65761273418</v>
      </c>
      <c r="W138" s="22">
        <v>153855.16726214282</v>
      </c>
      <c r="X138" s="22">
        <v>161068.82247240649</v>
      </c>
      <c r="Y138" s="22">
        <v>167875.84547031246</v>
      </c>
      <c r="Z138" s="22">
        <v>170027.59627504653</v>
      </c>
      <c r="AA138" s="23">
        <v>165761.12521549297</v>
      </c>
      <c r="AB138" s="96">
        <f t="shared" ref="AB138" si="46">+SUM(D138:AA138)*AC138+SUM(D139:AA139)*AC139+SUM(D140:AA140)*AC140</f>
        <v>98575207.424082637</v>
      </c>
      <c r="AC138" s="16">
        <v>20</v>
      </c>
      <c r="AD138" s="16">
        <f t="shared" si="44"/>
        <v>65469759.155514389</v>
      </c>
    </row>
    <row r="139" spans="1:30" ht="13.5" thickBot="1" x14ac:dyDescent="0.35">
      <c r="A139" s="18">
        <v>2029</v>
      </c>
      <c r="B139" s="19" t="s">
        <v>43</v>
      </c>
      <c r="C139" s="20" t="s">
        <v>34</v>
      </c>
      <c r="D139" s="21">
        <v>165568.30196456332</v>
      </c>
      <c r="E139" s="22">
        <v>158619.72126614078</v>
      </c>
      <c r="F139" s="22">
        <v>152514.08010529104</v>
      </c>
      <c r="G139" s="22">
        <v>147193.59399116275</v>
      </c>
      <c r="H139" s="22">
        <v>141945.85829410818</v>
      </c>
      <c r="I139" s="22">
        <v>133102.67162020365</v>
      </c>
      <c r="J139" s="22">
        <v>124525.43723480889</v>
      </c>
      <c r="K139" s="22">
        <v>103489.52598515889</v>
      </c>
      <c r="L139" s="22">
        <v>103663.54751959095</v>
      </c>
      <c r="M139" s="22">
        <v>104398.43698323585</v>
      </c>
      <c r="N139" s="22">
        <v>107481.61367093414</v>
      </c>
      <c r="O139" s="22">
        <v>112653.6818376508</v>
      </c>
      <c r="P139" s="22">
        <v>115880.7341442914</v>
      </c>
      <c r="Q139" s="22">
        <v>125898.39474206977</v>
      </c>
      <c r="R139" s="22">
        <v>132783.1044715443</v>
      </c>
      <c r="S139" s="22">
        <v>134463.44057130694</v>
      </c>
      <c r="T139" s="22">
        <v>134632.10345814883</v>
      </c>
      <c r="U139" s="22">
        <v>142991.26419790485</v>
      </c>
      <c r="V139" s="22">
        <v>146845.64549912442</v>
      </c>
      <c r="W139" s="22">
        <v>156200.88738974099</v>
      </c>
      <c r="X139" s="22">
        <v>164342.75176096582</v>
      </c>
      <c r="Y139" s="22">
        <v>171358.58058527339</v>
      </c>
      <c r="Z139" s="22">
        <v>172944.93914530988</v>
      </c>
      <c r="AA139" s="23">
        <v>167510.94563484791</v>
      </c>
      <c r="AB139" s="97"/>
      <c r="AC139" s="16">
        <v>5</v>
      </c>
      <c r="AD139" s="16">
        <f t="shared" si="44"/>
        <v>16605046.310366888</v>
      </c>
    </row>
    <row r="140" spans="1:30" ht="13.5" thickBot="1" x14ac:dyDescent="0.35">
      <c r="A140" s="18">
        <v>2029</v>
      </c>
      <c r="B140" s="25" t="s">
        <v>43</v>
      </c>
      <c r="C140" s="26" t="s">
        <v>36</v>
      </c>
      <c r="D140" s="21">
        <v>164628.61709192017</v>
      </c>
      <c r="E140" s="22">
        <v>157716.17004845335</v>
      </c>
      <c r="F140" s="22">
        <v>151642.27913136772</v>
      </c>
      <c r="G140" s="22">
        <v>146349.46033777416</v>
      </c>
      <c r="H140" s="22">
        <v>141129.01364824586</v>
      </c>
      <c r="I140" s="22">
        <v>132331.81286266184</v>
      </c>
      <c r="J140" s="22">
        <v>123799.18137406107</v>
      </c>
      <c r="K140" s="22">
        <v>102755.53791508054</v>
      </c>
      <c r="L140" s="22">
        <v>102901.05990675332</v>
      </c>
      <c r="M140" s="22">
        <v>103613.97630234253</v>
      </c>
      <c r="N140" s="22">
        <v>106671.08727371469</v>
      </c>
      <c r="O140" s="22">
        <v>111812.79111276951</v>
      </c>
      <c r="P140" s="22">
        <v>115023.97704891712</v>
      </c>
      <c r="Q140" s="22">
        <v>124994.74968986302</v>
      </c>
      <c r="R140" s="22">
        <v>131853.3456511143</v>
      </c>
      <c r="S140" s="22">
        <v>133541.94305094873</v>
      </c>
      <c r="T140" s="22">
        <v>133736.94995404431</v>
      </c>
      <c r="U140" s="22">
        <v>142136.11779091813</v>
      </c>
      <c r="V140" s="22">
        <v>145970.45573507663</v>
      </c>
      <c r="W140" s="22">
        <v>155277.04897395062</v>
      </c>
      <c r="X140" s="22">
        <v>163376.57443732442</v>
      </c>
      <c r="Y140" s="22">
        <v>170355.91990640183</v>
      </c>
      <c r="Z140" s="22">
        <v>171934.02916556204</v>
      </c>
      <c r="AA140" s="23">
        <v>166528.29323100808</v>
      </c>
      <c r="AB140" s="97"/>
      <c r="AC140" s="16">
        <v>5</v>
      </c>
      <c r="AD140" s="16">
        <f t="shared" si="44"/>
        <v>16500401.958201371</v>
      </c>
    </row>
    <row r="141" spans="1:30" ht="13.5" thickBot="1" x14ac:dyDescent="0.35">
      <c r="A141" s="18">
        <v>2029</v>
      </c>
      <c r="B141" s="11" t="s">
        <v>44</v>
      </c>
      <c r="C141" s="12" t="s">
        <v>33</v>
      </c>
      <c r="D141" s="21">
        <v>161164.75918273267</v>
      </c>
      <c r="E141" s="22">
        <v>154742.17051775745</v>
      </c>
      <c r="F141" s="22">
        <v>148855.37518364203</v>
      </c>
      <c r="G141" s="22">
        <v>143766.83226222053</v>
      </c>
      <c r="H141" s="22">
        <v>138843.48980129274</v>
      </c>
      <c r="I141" s="22">
        <v>131049.016496668</v>
      </c>
      <c r="J141" s="22">
        <v>123455.70497530102</v>
      </c>
      <c r="K141" s="22">
        <v>101004.21224233112</v>
      </c>
      <c r="L141" s="22">
        <v>99542.398389708673</v>
      </c>
      <c r="M141" s="22">
        <v>99364.994041100828</v>
      </c>
      <c r="N141" s="22">
        <v>101599.8281043094</v>
      </c>
      <c r="O141" s="22">
        <v>106112.4934357602</v>
      </c>
      <c r="P141" s="22">
        <v>109214.4684649235</v>
      </c>
      <c r="Q141" s="22">
        <v>116660.24645780976</v>
      </c>
      <c r="R141" s="22">
        <v>122842.36312896606</v>
      </c>
      <c r="S141" s="22">
        <v>124949.91720113275</v>
      </c>
      <c r="T141" s="22">
        <v>126019.966529596</v>
      </c>
      <c r="U141" s="22">
        <v>136678.91760045392</v>
      </c>
      <c r="V141" s="22">
        <v>141378.90024649238</v>
      </c>
      <c r="W141" s="22">
        <v>149897.84354556992</v>
      </c>
      <c r="X141" s="22">
        <v>156840.63795095508</v>
      </c>
      <c r="Y141" s="22">
        <v>163480.63833313904</v>
      </c>
      <c r="Z141" s="22">
        <v>165662.14163833635</v>
      </c>
      <c r="AA141" s="23">
        <v>161638.05635981954</v>
      </c>
      <c r="AB141" s="96">
        <f t="shared" ref="AB141" si="47">+SUM(D141:AA141)*AC141+SUM(D142:AA142)*AC142+SUM(D143:AA143)*AC143</f>
        <v>99179240.568165913</v>
      </c>
      <c r="AC141" s="16">
        <v>22</v>
      </c>
      <c r="AD141" s="16">
        <f t="shared" si="44"/>
        <v>70064838.185980424</v>
      </c>
    </row>
    <row r="142" spans="1:30" ht="13.5" thickBot="1" x14ac:dyDescent="0.35">
      <c r="A142" s="18">
        <v>2029</v>
      </c>
      <c r="B142" s="19" t="s">
        <v>44</v>
      </c>
      <c r="C142" s="20" t="s">
        <v>34</v>
      </c>
      <c r="D142" s="21">
        <v>161689.0612283129</v>
      </c>
      <c r="E142" s="22">
        <v>154889.64877802829</v>
      </c>
      <c r="F142" s="22">
        <v>148915.0801102891</v>
      </c>
      <c r="G142" s="22">
        <v>143708.81121940853</v>
      </c>
      <c r="H142" s="22">
        <v>138573.7309802949</v>
      </c>
      <c r="I142" s="22">
        <v>129920.38489705972</v>
      </c>
      <c r="J142" s="22">
        <v>121527.28178719692</v>
      </c>
      <c r="K142" s="22">
        <v>100475.74618588696</v>
      </c>
      <c r="L142" s="22">
        <v>100544.1338362088</v>
      </c>
      <c r="M142" s="22">
        <v>101196.21927192046</v>
      </c>
      <c r="N142" s="22">
        <v>104176.16033842927</v>
      </c>
      <c r="O142" s="22">
        <v>109224.3882523753</v>
      </c>
      <c r="P142" s="22">
        <v>112385.54200288538</v>
      </c>
      <c r="Q142" s="22">
        <v>122207.37083680712</v>
      </c>
      <c r="R142" s="22">
        <v>128980.05723296176</v>
      </c>
      <c r="S142" s="22">
        <v>130687.09381011137</v>
      </c>
      <c r="T142" s="22">
        <v>130952.65474606269</v>
      </c>
      <c r="U142" s="22">
        <v>139461.01818243993</v>
      </c>
      <c r="V142" s="22">
        <v>143232.65577939653</v>
      </c>
      <c r="W142" s="22">
        <v>152387.06456404564</v>
      </c>
      <c r="X142" s="22">
        <v>160354.14393995379</v>
      </c>
      <c r="Y142" s="22">
        <v>167219.3608709297</v>
      </c>
      <c r="Z142" s="22">
        <v>168771.66437172616</v>
      </c>
      <c r="AA142" s="23">
        <v>163454.32479787781</v>
      </c>
      <c r="AB142" s="97"/>
      <c r="AC142" s="16">
        <v>4</v>
      </c>
      <c r="AD142" s="16">
        <f t="shared" si="44"/>
        <v>12939734.392082438</v>
      </c>
    </row>
    <row r="143" spans="1:30" ht="13.5" thickBot="1" x14ac:dyDescent="0.35">
      <c r="A143" s="18">
        <v>2029</v>
      </c>
      <c r="B143" s="25" t="s">
        <v>44</v>
      </c>
      <c r="C143" s="26" t="s">
        <v>36</v>
      </c>
      <c r="D143" s="21">
        <v>161689.0612283129</v>
      </c>
      <c r="E143" s="22">
        <v>154889.64877802829</v>
      </c>
      <c r="F143" s="22">
        <v>148915.0801102891</v>
      </c>
      <c r="G143" s="22">
        <v>143708.81121940853</v>
      </c>
      <c r="H143" s="22">
        <v>138573.7309802949</v>
      </c>
      <c r="I143" s="22">
        <v>129920.38489705972</v>
      </c>
      <c r="J143" s="22">
        <v>121527.28178719692</v>
      </c>
      <c r="K143" s="22">
        <v>100475.74618588696</v>
      </c>
      <c r="L143" s="22">
        <v>100544.1338362088</v>
      </c>
      <c r="M143" s="22">
        <v>101196.21927192046</v>
      </c>
      <c r="N143" s="22">
        <v>104176.16033842927</v>
      </c>
      <c r="O143" s="22">
        <v>109224.3882523753</v>
      </c>
      <c r="P143" s="22">
        <v>112385.5420028854</v>
      </c>
      <c r="Q143" s="22">
        <v>122207.37083680714</v>
      </c>
      <c r="R143" s="22">
        <v>128980.05723296176</v>
      </c>
      <c r="S143" s="22">
        <v>130687.09381011137</v>
      </c>
      <c r="T143" s="22">
        <v>130952.65474606268</v>
      </c>
      <c r="U143" s="22">
        <v>139461.01818243993</v>
      </c>
      <c r="V143" s="22">
        <v>143232.65577939653</v>
      </c>
      <c r="W143" s="22">
        <v>152387.06456404564</v>
      </c>
      <c r="X143" s="22">
        <v>160354.14393995379</v>
      </c>
      <c r="Y143" s="22">
        <v>167219.3608709297</v>
      </c>
      <c r="Z143" s="22">
        <v>168771.66437172616</v>
      </c>
      <c r="AA143" s="23">
        <v>163454.32479787781</v>
      </c>
      <c r="AB143" s="97"/>
      <c r="AC143" s="16">
        <v>5</v>
      </c>
      <c r="AD143" s="16">
        <f t="shared" si="44"/>
        <v>16174667.990103047</v>
      </c>
    </row>
    <row r="144" spans="1:30" ht="13.5" thickBot="1" x14ac:dyDescent="0.35">
      <c r="A144" s="18">
        <v>2029</v>
      </c>
      <c r="B144" s="11" t="s">
        <v>45</v>
      </c>
      <c r="C144" s="12" t="s">
        <v>33</v>
      </c>
      <c r="D144" s="21">
        <v>157518.40720968758</v>
      </c>
      <c r="E144" s="22">
        <v>151362.65428770118</v>
      </c>
      <c r="F144" s="22">
        <v>145655.07161683013</v>
      </c>
      <c r="G144" s="22">
        <v>140726.35520706899</v>
      </c>
      <c r="H144" s="22">
        <v>135952.15835698496</v>
      </c>
      <c r="I144" s="22">
        <v>128516.05990100706</v>
      </c>
      <c r="J144" s="22">
        <v>121232.93633546094</v>
      </c>
      <c r="K144" s="22">
        <v>98302.676490247351</v>
      </c>
      <c r="L144" s="22">
        <v>96099.269299893509</v>
      </c>
      <c r="M144" s="22">
        <v>95475.281189510933</v>
      </c>
      <c r="N144" s="22">
        <v>97381.166805242858</v>
      </c>
      <c r="O144" s="22">
        <v>101668.99559944124</v>
      </c>
      <c r="P144" s="22">
        <v>104866.32045961308</v>
      </c>
      <c r="Q144" s="22">
        <v>111774.57886277924</v>
      </c>
      <c r="R144" s="22">
        <v>117607.31904911909</v>
      </c>
      <c r="S144" s="22">
        <v>119894.9492836305</v>
      </c>
      <c r="T144" s="22">
        <v>121300.02783291724</v>
      </c>
      <c r="U144" s="22">
        <v>132603.27549612487</v>
      </c>
      <c r="V144" s="22">
        <v>137474.95031754678</v>
      </c>
      <c r="W144" s="22">
        <v>145919.78868621439</v>
      </c>
      <c r="X144" s="22">
        <v>152747.81998773135</v>
      </c>
      <c r="Y144" s="22">
        <v>159359.95040726045</v>
      </c>
      <c r="Z144" s="22">
        <v>161529.03520805965</v>
      </c>
      <c r="AA144" s="23">
        <v>157651.25156343257</v>
      </c>
      <c r="AB144" s="96">
        <f t="shared" ref="AB144" si="48">+SUM(D144:AA144)*AC144+SUM(D145:AA145)*AC145+SUM(D146:AA146)*AC146</f>
        <v>93363889.497901738</v>
      </c>
      <c r="AC144" s="16">
        <v>20</v>
      </c>
      <c r="AD144" s="16">
        <f t="shared" si="44"/>
        <v>61852405.989070125</v>
      </c>
    </row>
    <row r="145" spans="1:30" ht="13.5" thickBot="1" x14ac:dyDescent="0.35">
      <c r="A145" s="18">
        <v>2029</v>
      </c>
      <c r="B145" s="19" t="s">
        <v>45</v>
      </c>
      <c r="C145" s="20" t="s">
        <v>34</v>
      </c>
      <c r="D145" s="21">
        <v>157972.78453484524</v>
      </c>
      <c r="E145" s="22">
        <v>151316.27388459063</v>
      </c>
      <c r="F145" s="22">
        <v>145467.27145117923</v>
      </c>
      <c r="G145" s="22">
        <v>140370.42160222132</v>
      </c>
      <c r="H145" s="22">
        <v>135343.2642483325</v>
      </c>
      <c r="I145" s="22">
        <v>126871.78369254092</v>
      </c>
      <c r="J145" s="22">
        <v>118655.07663910314</v>
      </c>
      <c r="K145" s="22">
        <v>97521.829786512375</v>
      </c>
      <c r="L145" s="22">
        <v>97439.79543374166</v>
      </c>
      <c r="M145" s="22">
        <v>97980.175051406783</v>
      </c>
      <c r="N145" s="22">
        <v>100843.32005470463</v>
      </c>
      <c r="O145" s="22">
        <v>105766.72219376637</v>
      </c>
      <c r="P145" s="22">
        <v>108866.37760830541</v>
      </c>
      <c r="Q145" s="22">
        <v>118509.88723183377</v>
      </c>
      <c r="R145" s="22">
        <v>125192.53818268963</v>
      </c>
      <c r="S145" s="22">
        <v>126955.47843609034</v>
      </c>
      <c r="T145" s="22">
        <v>127362.42621410811</v>
      </c>
      <c r="U145" s="22">
        <v>136079.0751988859</v>
      </c>
      <c r="V145" s="22">
        <v>139771.44509358035</v>
      </c>
      <c r="W145" s="22">
        <v>148733.45762294973</v>
      </c>
      <c r="X145" s="22">
        <v>156533.09459230819</v>
      </c>
      <c r="Y145" s="22">
        <v>163254.02672453024</v>
      </c>
      <c r="Z145" s="22">
        <v>164773.70579401322</v>
      </c>
      <c r="AA145" s="23">
        <v>159568.11961092171</v>
      </c>
      <c r="AB145" s="97"/>
      <c r="AC145" s="16">
        <v>4</v>
      </c>
      <c r="AD145" s="16">
        <f t="shared" si="44"/>
        <v>12604593.403532647</v>
      </c>
    </row>
    <row r="146" spans="1:30" ht="13.5" thickBot="1" x14ac:dyDescent="0.35">
      <c r="A146" s="18">
        <v>2029</v>
      </c>
      <c r="B146" s="25" t="s">
        <v>45</v>
      </c>
      <c r="C146" s="26" t="s">
        <v>36</v>
      </c>
      <c r="D146" s="21">
        <v>157972.78453484524</v>
      </c>
      <c r="E146" s="22">
        <v>151316.27388459063</v>
      </c>
      <c r="F146" s="22">
        <v>145467.2714511792</v>
      </c>
      <c r="G146" s="22">
        <v>140370.42160222132</v>
      </c>
      <c r="H146" s="22">
        <v>135343.2642483325</v>
      </c>
      <c r="I146" s="22">
        <v>126871.78369254094</v>
      </c>
      <c r="J146" s="22">
        <v>118655.07663910314</v>
      </c>
      <c r="K146" s="22">
        <v>97521.829786512375</v>
      </c>
      <c r="L146" s="22">
        <v>97439.79543374166</v>
      </c>
      <c r="M146" s="22">
        <v>97980.175051406783</v>
      </c>
      <c r="N146" s="22">
        <v>100843.32005470463</v>
      </c>
      <c r="O146" s="22">
        <v>105766.72219376637</v>
      </c>
      <c r="P146" s="22">
        <v>108866.37760830541</v>
      </c>
      <c r="Q146" s="22">
        <v>118509.88723183377</v>
      </c>
      <c r="R146" s="22">
        <v>125192.53818268962</v>
      </c>
      <c r="S146" s="22">
        <v>126955.47843609033</v>
      </c>
      <c r="T146" s="22">
        <v>127362.42621410811</v>
      </c>
      <c r="U146" s="22">
        <v>136079.0751988859</v>
      </c>
      <c r="V146" s="22">
        <v>139771.44509358032</v>
      </c>
      <c r="W146" s="22">
        <v>148733.45762294973</v>
      </c>
      <c r="X146" s="22">
        <v>156533.09459230819</v>
      </c>
      <c r="Y146" s="22">
        <v>163254.02672453024</v>
      </c>
      <c r="Z146" s="22">
        <v>164773.70579401322</v>
      </c>
      <c r="AA146" s="23">
        <v>159568.11961092171</v>
      </c>
      <c r="AB146" s="97"/>
      <c r="AC146" s="16">
        <v>6</v>
      </c>
      <c r="AD146" s="16">
        <f t="shared" si="44"/>
        <v>18906890.10529897</v>
      </c>
    </row>
    <row r="147" spans="1:30" ht="13.5" thickBot="1" x14ac:dyDescent="0.35">
      <c r="A147" s="18">
        <v>2029</v>
      </c>
      <c r="B147" s="11" t="s">
        <v>46</v>
      </c>
      <c r="C147" s="12" t="s">
        <v>33</v>
      </c>
      <c r="D147" s="21">
        <v>155666.65329523254</v>
      </c>
      <c r="E147" s="22">
        <v>150048.66120947537</v>
      </c>
      <c r="F147" s="22">
        <v>144843.61579960166</v>
      </c>
      <c r="G147" s="22">
        <v>140185.293252679</v>
      </c>
      <c r="H147" s="22">
        <v>135551.26400611334</v>
      </c>
      <c r="I147" s="22">
        <v>128300.70286969526</v>
      </c>
      <c r="J147" s="22">
        <v>121027.09871881611</v>
      </c>
      <c r="K147" s="22">
        <v>97993.316887131819</v>
      </c>
      <c r="L147" s="22">
        <v>95997.976742680839</v>
      </c>
      <c r="M147" s="22">
        <v>95440.550952857462</v>
      </c>
      <c r="N147" s="22">
        <v>97341.706097765797</v>
      </c>
      <c r="O147" s="22">
        <v>101513.55122605934</v>
      </c>
      <c r="P147" s="22">
        <v>104570.77191250495</v>
      </c>
      <c r="Q147" s="22">
        <v>111297.50859558358</v>
      </c>
      <c r="R147" s="22">
        <v>116965.96938999757</v>
      </c>
      <c r="S147" s="22">
        <v>119203.51342048365</v>
      </c>
      <c r="T147" s="22">
        <v>120453.80320294338</v>
      </c>
      <c r="U147" s="22">
        <v>131803.63379763786</v>
      </c>
      <c r="V147" s="22">
        <v>136580.37779197612</v>
      </c>
      <c r="W147" s="22">
        <v>144813.16980617703</v>
      </c>
      <c r="X147" s="22">
        <v>151531.68112525219</v>
      </c>
      <c r="Y147" s="22">
        <v>158078.5974925248</v>
      </c>
      <c r="Z147" s="22">
        <v>160289.13855708129</v>
      </c>
      <c r="AA147" s="23">
        <v>156639.56791201056</v>
      </c>
      <c r="AB147" s="96">
        <f t="shared" ref="AB147" si="49">+SUM(D147:AA147)*AC147+SUM(D148:AA148)*AC148+SUM(D149:AA149)*AC149</f>
        <v>96161189.173921019</v>
      </c>
      <c r="AC147" s="16">
        <v>20</v>
      </c>
      <c r="AD147" s="16">
        <f t="shared" si="44"/>
        <v>61522762.481245622</v>
      </c>
    </row>
    <row r="148" spans="1:30" ht="13.5" thickBot="1" x14ac:dyDescent="0.35">
      <c r="A148" s="18">
        <v>2029</v>
      </c>
      <c r="B148" s="19" t="s">
        <v>46</v>
      </c>
      <c r="C148" s="20" t="s">
        <v>34</v>
      </c>
      <c r="D148" s="21">
        <v>157860.1556598584</v>
      </c>
      <c r="E148" s="22">
        <v>151207.97592204617</v>
      </c>
      <c r="F148" s="22">
        <v>145362.7790135929</v>
      </c>
      <c r="G148" s="22">
        <v>140269.24531803542</v>
      </c>
      <c r="H148" s="22">
        <v>135245.35877365593</v>
      </c>
      <c r="I148" s="22">
        <v>126779.39000060936</v>
      </c>
      <c r="J148" s="22">
        <v>118568.02896713349</v>
      </c>
      <c r="K148" s="22">
        <v>97449.364763545222</v>
      </c>
      <c r="L148" s="22">
        <v>97375.353299067981</v>
      </c>
      <c r="M148" s="22">
        <v>97920.623620101673</v>
      </c>
      <c r="N148" s="22">
        <v>100784.80330578567</v>
      </c>
      <c r="O148" s="22">
        <v>105706.00395577743</v>
      </c>
      <c r="P148" s="22">
        <v>108803.3784520866</v>
      </c>
      <c r="Q148" s="22">
        <v>118439.11039046443</v>
      </c>
      <c r="R148" s="22">
        <v>125114.61553198828</v>
      </c>
      <c r="S148" s="22">
        <v>126871.49925110306</v>
      </c>
      <c r="T148" s="22">
        <v>127270.32061720295</v>
      </c>
      <c r="U148" s="22">
        <v>135976.57894660818</v>
      </c>
      <c r="V148" s="22">
        <v>139666.54648193464</v>
      </c>
      <c r="W148" s="22">
        <v>148622.72807470505</v>
      </c>
      <c r="X148" s="22">
        <v>156417.29038159072</v>
      </c>
      <c r="Y148" s="22">
        <v>163133.84968694826</v>
      </c>
      <c r="Z148" s="22">
        <v>164652.54001062483</v>
      </c>
      <c r="AA148" s="23">
        <v>159450.34072784116</v>
      </c>
      <c r="AB148" s="97"/>
      <c r="AC148" s="16">
        <v>4</v>
      </c>
      <c r="AD148" s="16">
        <f t="shared" si="44"/>
        <v>12595791.524609232</v>
      </c>
    </row>
    <row r="149" spans="1:30" ht="13.5" thickBot="1" x14ac:dyDescent="0.35">
      <c r="A149" s="28">
        <v>2029</v>
      </c>
      <c r="B149" s="25" t="s">
        <v>46</v>
      </c>
      <c r="C149" s="26" t="s">
        <v>36</v>
      </c>
      <c r="D149" s="21">
        <v>157860.1556598584</v>
      </c>
      <c r="E149" s="22">
        <v>151207.9759220462</v>
      </c>
      <c r="F149" s="22">
        <v>145362.7790135929</v>
      </c>
      <c r="G149" s="22">
        <v>140269.24531803539</v>
      </c>
      <c r="H149" s="22">
        <v>135245.35877365593</v>
      </c>
      <c r="I149" s="22">
        <v>126779.39000060935</v>
      </c>
      <c r="J149" s="22">
        <v>118568.02896713349</v>
      </c>
      <c r="K149" s="22">
        <v>97449.364763545222</v>
      </c>
      <c r="L149" s="22">
        <v>97375.353299067967</v>
      </c>
      <c r="M149" s="22">
        <v>97920.623620101687</v>
      </c>
      <c r="N149" s="22">
        <v>100784.80330578565</v>
      </c>
      <c r="O149" s="22">
        <v>105706.00395577741</v>
      </c>
      <c r="P149" s="22">
        <v>108803.3784520866</v>
      </c>
      <c r="Q149" s="22">
        <v>118439.11039046443</v>
      </c>
      <c r="R149" s="22">
        <v>125114.6155319883</v>
      </c>
      <c r="S149" s="22">
        <v>126871.49925110304</v>
      </c>
      <c r="T149" s="22">
        <v>127270.32061720293</v>
      </c>
      <c r="U149" s="22">
        <v>135976.57894660815</v>
      </c>
      <c r="V149" s="22">
        <v>139666.54648193464</v>
      </c>
      <c r="W149" s="22">
        <v>148622.72807470502</v>
      </c>
      <c r="X149" s="22">
        <v>156417.29038159069</v>
      </c>
      <c r="Y149" s="22">
        <v>163133.84968694826</v>
      </c>
      <c r="Z149" s="22">
        <v>164652.54001062483</v>
      </c>
      <c r="AA149" s="23">
        <v>159450.34072784116</v>
      </c>
      <c r="AB149" s="97"/>
      <c r="AC149" s="16">
        <v>7</v>
      </c>
      <c r="AD149" s="16">
        <f t="shared" si="44"/>
        <v>22042635.168066155</v>
      </c>
    </row>
    <row r="150" spans="1:30" ht="13.5" thickBot="1" x14ac:dyDescent="0.35">
      <c r="A150" s="10">
        <v>2030</v>
      </c>
      <c r="B150" s="11" t="s">
        <v>32</v>
      </c>
      <c r="C150" s="12" t="s">
        <v>33</v>
      </c>
      <c r="D150" s="21">
        <v>336372.25103842164</v>
      </c>
      <c r="E150" s="22">
        <v>323054.38859758608</v>
      </c>
      <c r="F150" s="22">
        <v>310138.20931113488</v>
      </c>
      <c r="G150" s="22">
        <v>298611.17380311561</v>
      </c>
      <c r="H150" s="22">
        <v>287952.12191916484</v>
      </c>
      <c r="I150" s="22">
        <v>277404.41827860131</v>
      </c>
      <c r="J150" s="22">
        <v>262940.72977952479</v>
      </c>
      <c r="K150" s="22">
        <v>211830.92595607328</v>
      </c>
      <c r="L150" s="22">
        <v>211886.81500675064</v>
      </c>
      <c r="M150" s="22">
        <v>214119.39699165057</v>
      </c>
      <c r="N150" s="22">
        <v>219552.60712242042</v>
      </c>
      <c r="O150" s="22">
        <v>228689.33810730441</v>
      </c>
      <c r="P150" s="22">
        <v>233813.0365649031</v>
      </c>
      <c r="Q150" s="22">
        <v>248151.29246682971</v>
      </c>
      <c r="R150" s="22">
        <v>261343.67867218651</v>
      </c>
      <c r="S150" s="22">
        <v>265789.88001292502</v>
      </c>
      <c r="T150" s="22">
        <v>264999.22767437354</v>
      </c>
      <c r="U150" s="22">
        <v>283168.21492946235</v>
      </c>
      <c r="V150" s="22">
        <v>296009.43740936409</v>
      </c>
      <c r="W150" s="22">
        <v>306597.8919545695</v>
      </c>
      <c r="X150" s="22">
        <v>318487.37667524582</v>
      </c>
      <c r="Y150" s="22">
        <v>332068.56671935355</v>
      </c>
      <c r="Z150" s="22">
        <v>338965.50767180137</v>
      </c>
      <c r="AA150" s="23">
        <v>333339.68018986372</v>
      </c>
      <c r="AB150" s="96">
        <f t="shared" ref="AB150" si="50">+SUM(D150:AA150)*AC150+SUM(D151:AA151)*AC151+SUM(D152:AA152)*AC152</f>
        <v>207322225.9131991</v>
      </c>
      <c r="AC150" s="16">
        <v>21</v>
      </c>
      <c r="AD150" s="16">
        <f t="shared" si="44"/>
        <v>139971009.50390515</v>
      </c>
    </row>
    <row r="151" spans="1:30" ht="13.5" thickBot="1" x14ac:dyDescent="0.35">
      <c r="A151" s="18">
        <v>2030</v>
      </c>
      <c r="B151" s="19" t="s">
        <v>32</v>
      </c>
      <c r="C151" s="20" t="s">
        <v>34</v>
      </c>
      <c r="D151" s="21">
        <v>327189.9893327707</v>
      </c>
      <c r="E151" s="22">
        <v>312797.27295164898</v>
      </c>
      <c r="F151" s="22">
        <v>301169.50028944539</v>
      </c>
      <c r="G151" s="22">
        <v>290685.70069977298</v>
      </c>
      <c r="H151" s="22">
        <v>281450.59927662939</v>
      </c>
      <c r="I151" s="22">
        <v>272211.28433599207</v>
      </c>
      <c r="J151" s="22">
        <v>259566.03894996614</v>
      </c>
      <c r="K151" s="22">
        <v>211796.73399100718</v>
      </c>
      <c r="L151" s="22">
        <v>213050.70133705161</v>
      </c>
      <c r="M151" s="22">
        <v>216257.82887717918</v>
      </c>
      <c r="N151" s="22">
        <v>223501.27331856862</v>
      </c>
      <c r="O151" s="22">
        <v>232516.68195328963</v>
      </c>
      <c r="P151" s="22">
        <v>235567.86937548619</v>
      </c>
      <c r="Q151" s="22">
        <v>250039.21321473969</v>
      </c>
      <c r="R151" s="22">
        <v>267139.21857934835</v>
      </c>
      <c r="S151" s="22">
        <v>272937.46360790957</v>
      </c>
      <c r="T151" s="22">
        <v>270022.1682188916</v>
      </c>
      <c r="U151" s="22">
        <v>283917.44558656309</v>
      </c>
      <c r="V151" s="22">
        <v>297150.35418208863</v>
      </c>
      <c r="W151" s="22">
        <v>309732.34500376473</v>
      </c>
      <c r="X151" s="22">
        <v>324216.95452260756</v>
      </c>
      <c r="Y151" s="22">
        <v>340138.118009069</v>
      </c>
      <c r="Z151" s="22">
        <v>345713.02221476007</v>
      </c>
      <c r="AA151" s="23">
        <v>337320.88681207201</v>
      </c>
      <c r="AB151" s="97"/>
      <c r="AC151" s="16">
        <v>4</v>
      </c>
      <c r="AD151" s="16">
        <f t="shared" si="44"/>
        <v>26704354.658562493</v>
      </c>
    </row>
    <row r="152" spans="1:30" ht="13.5" thickBot="1" x14ac:dyDescent="0.35">
      <c r="A152" s="18">
        <v>2030</v>
      </c>
      <c r="B152" s="25" t="s">
        <v>32</v>
      </c>
      <c r="C152" s="26" t="s">
        <v>36</v>
      </c>
      <c r="D152" s="21">
        <v>335051.93680782319</v>
      </c>
      <c r="E152" s="22">
        <v>321234.58930801647</v>
      </c>
      <c r="F152" s="22">
        <v>308350.67187658144</v>
      </c>
      <c r="G152" s="22">
        <v>296786.39522846945</v>
      </c>
      <c r="H152" s="22">
        <v>286529.8554524114</v>
      </c>
      <c r="I152" s="22">
        <v>276380.51643503649</v>
      </c>
      <c r="J152" s="22">
        <v>263140.9350466475</v>
      </c>
      <c r="K152" s="22">
        <v>215258.28450624397</v>
      </c>
      <c r="L152" s="22">
        <v>219188.68272987005</v>
      </c>
      <c r="M152" s="22">
        <v>221630.96538665891</v>
      </c>
      <c r="N152" s="22">
        <v>227806.18085650945</v>
      </c>
      <c r="O152" s="22">
        <v>235832.36872852637</v>
      </c>
      <c r="P152" s="22">
        <v>240943.38028709314</v>
      </c>
      <c r="Q152" s="22">
        <v>255702.97677872982</v>
      </c>
      <c r="R152" s="22">
        <v>269667.6668125295</v>
      </c>
      <c r="S152" s="22">
        <v>275662.07556196203</v>
      </c>
      <c r="T152" s="22">
        <v>274192.72609651816</v>
      </c>
      <c r="U152" s="22">
        <v>287550.32971656014</v>
      </c>
      <c r="V152" s="22">
        <v>299914.7216409563</v>
      </c>
      <c r="W152" s="22">
        <v>311556.4050276159</v>
      </c>
      <c r="X152" s="22">
        <v>324727.27947748633</v>
      </c>
      <c r="Y152" s="22">
        <v>340502.75745775719</v>
      </c>
      <c r="Z152" s="22">
        <v>347427.873788742</v>
      </c>
      <c r="AA152" s="23">
        <v>339437.38344649825</v>
      </c>
      <c r="AB152" s="97"/>
      <c r="AC152" s="16">
        <v>6</v>
      </c>
      <c r="AD152" s="16">
        <f t="shared" si="44"/>
        <v>40646861.750731468</v>
      </c>
    </row>
    <row r="153" spans="1:30" ht="13.5" thickBot="1" x14ac:dyDescent="0.35">
      <c r="A153" s="18">
        <v>2030</v>
      </c>
      <c r="B153" s="11" t="s">
        <v>35</v>
      </c>
      <c r="C153" s="12" t="s">
        <v>33</v>
      </c>
      <c r="D153" s="21">
        <v>340950.93711677467</v>
      </c>
      <c r="E153" s="22">
        <v>327691.77656832576</v>
      </c>
      <c r="F153" s="22">
        <v>315747.47362217645</v>
      </c>
      <c r="G153" s="22">
        <v>305100.27658424701</v>
      </c>
      <c r="H153" s="22">
        <v>294614.2511857223</v>
      </c>
      <c r="I153" s="22">
        <v>282276.54419465858</v>
      </c>
      <c r="J153" s="22">
        <v>263263.65405920008</v>
      </c>
      <c r="K153" s="22">
        <v>210770.35915454617</v>
      </c>
      <c r="L153" s="22">
        <v>210593.86978749503</v>
      </c>
      <c r="M153" s="22">
        <v>214066.73418073854</v>
      </c>
      <c r="N153" s="22">
        <v>222242.52964309999</v>
      </c>
      <c r="O153" s="22">
        <v>233717.52781071249</v>
      </c>
      <c r="P153" s="22">
        <v>240136.48305833898</v>
      </c>
      <c r="Q153" s="22">
        <v>258556.59309158218</v>
      </c>
      <c r="R153" s="22">
        <v>272455.60700327472</v>
      </c>
      <c r="S153" s="22">
        <v>276964.82772164786</v>
      </c>
      <c r="T153" s="22">
        <v>274839.04265361826</v>
      </c>
      <c r="U153" s="22">
        <v>289188.00176135189</v>
      </c>
      <c r="V153" s="22">
        <v>299350.41149866278</v>
      </c>
      <c r="W153" s="22">
        <v>314513.52244682133</v>
      </c>
      <c r="X153" s="22">
        <v>327792.55919941154</v>
      </c>
      <c r="Y153" s="22">
        <v>342004.61285839655</v>
      </c>
      <c r="Z153" s="22">
        <v>346228.86439851718</v>
      </c>
      <c r="AA153" s="23">
        <v>338573.51712886326</v>
      </c>
      <c r="AB153" s="96">
        <f t="shared" ref="AB153" si="51">+SUM(D153:AA153)*AC153+SUM(D154:AA154)*AC154+SUM(D155:AA155)*AC155</f>
        <v>190279455.9339155</v>
      </c>
      <c r="AC153" s="16">
        <v>20</v>
      </c>
      <c r="AD153" s="16">
        <f t="shared" si="44"/>
        <v>136032799.53456366</v>
      </c>
    </row>
    <row r="154" spans="1:30" ht="13.5" thickBot="1" x14ac:dyDescent="0.35">
      <c r="A154" s="18">
        <v>2030</v>
      </c>
      <c r="B154" s="19" t="s">
        <v>35</v>
      </c>
      <c r="C154" s="20" t="s">
        <v>34</v>
      </c>
      <c r="D154" s="21">
        <v>330810.54605309723</v>
      </c>
      <c r="E154" s="22">
        <v>317234.03164819325</v>
      </c>
      <c r="F154" s="22">
        <v>304955.6791737756</v>
      </c>
      <c r="G154" s="22">
        <v>294346.23811057035</v>
      </c>
      <c r="H154" s="22">
        <v>282279.13836852188</v>
      </c>
      <c r="I154" s="22">
        <v>268679.67091848218</v>
      </c>
      <c r="J154" s="22">
        <v>250673.03613111362</v>
      </c>
      <c r="K154" s="22">
        <v>203215.14972877252</v>
      </c>
      <c r="L154" s="22">
        <v>208142.06821235467</v>
      </c>
      <c r="M154" s="22">
        <v>214767.54459981952</v>
      </c>
      <c r="N154" s="22">
        <v>223708.05187178054</v>
      </c>
      <c r="O154" s="22">
        <v>236154.99137454439</v>
      </c>
      <c r="P154" s="22">
        <v>239920.39102424908</v>
      </c>
      <c r="Q154" s="22">
        <v>264739.30868545378</v>
      </c>
      <c r="R154" s="22">
        <v>281087.20448833413</v>
      </c>
      <c r="S154" s="22">
        <v>281790.81640459265</v>
      </c>
      <c r="T154" s="22">
        <v>278492.10022499919</v>
      </c>
      <c r="U154" s="22">
        <v>289747.33477919165</v>
      </c>
      <c r="V154" s="22">
        <v>298247.95048042567</v>
      </c>
      <c r="W154" s="22">
        <v>316152.1940366911</v>
      </c>
      <c r="X154" s="22">
        <v>331495.42047488369</v>
      </c>
      <c r="Y154" s="22">
        <v>347382.06753703923</v>
      </c>
      <c r="Z154" s="22">
        <v>348708.60529091419</v>
      </c>
      <c r="AA154" s="23">
        <v>338060.62146725762</v>
      </c>
      <c r="AB154" s="97"/>
      <c r="AC154" s="16">
        <v>4</v>
      </c>
      <c r="AD154" s="16">
        <f t="shared" si="44"/>
        <v>27003160.644340232</v>
      </c>
    </row>
    <row r="155" spans="1:30" ht="13.5" thickBot="1" x14ac:dyDescent="0.35">
      <c r="A155" s="18">
        <v>2030</v>
      </c>
      <c r="B155" s="25" t="s">
        <v>35</v>
      </c>
      <c r="C155" s="26" t="s">
        <v>36</v>
      </c>
      <c r="D155" s="21">
        <v>335309.42408691667</v>
      </c>
      <c r="E155" s="22">
        <v>321309.50939267728</v>
      </c>
      <c r="F155" s="22">
        <v>309101.22503758944</v>
      </c>
      <c r="G155" s="22">
        <v>297632.80266207253</v>
      </c>
      <c r="H155" s="22">
        <v>285577.07531112991</v>
      </c>
      <c r="I155" s="22">
        <v>270313.76271024387</v>
      </c>
      <c r="J155" s="22">
        <v>251993.42042156181</v>
      </c>
      <c r="K155" s="22">
        <v>203409.66641727404</v>
      </c>
      <c r="L155" s="22">
        <v>206050.08832053316</v>
      </c>
      <c r="M155" s="22">
        <v>209337.22740555339</v>
      </c>
      <c r="N155" s="22">
        <v>221321.79470347433</v>
      </c>
      <c r="O155" s="22">
        <v>234227.64420657736</v>
      </c>
      <c r="P155" s="22">
        <v>243223.05182885673</v>
      </c>
      <c r="Q155" s="22">
        <v>266464.60551838635</v>
      </c>
      <c r="R155" s="22">
        <v>281877.90115321992</v>
      </c>
      <c r="S155" s="22">
        <v>286000.02630282467</v>
      </c>
      <c r="T155" s="22">
        <v>282746.73967969342</v>
      </c>
      <c r="U155" s="22">
        <v>294793.47747636697</v>
      </c>
      <c r="V155" s="22">
        <v>303209.71580694965</v>
      </c>
      <c r="W155" s="22">
        <v>320315.04249012331</v>
      </c>
      <c r="X155" s="22">
        <v>337653.26801270689</v>
      </c>
      <c r="Y155" s="22">
        <v>353029.45558849495</v>
      </c>
      <c r="Z155" s="22">
        <v>353458.42161622585</v>
      </c>
      <c r="AA155" s="23">
        <v>342518.59260345052</v>
      </c>
      <c r="AB155" s="97"/>
      <c r="AC155" s="16">
        <v>4</v>
      </c>
      <c r="AD155" s="16">
        <f t="shared" si="44"/>
        <v>27243495.755011611</v>
      </c>
    </row>
    <row r="156" spans="1:30" ht="13.5" thickBot="1" x14ac:dyDescent="0.35">
      <c r="A156" s="18">
        <v>2030</v>
      </c>
      <c r="B156" s="11" t="s">
        <v>37</v>
      </c>
      <c r="C156" s="12" t="s">
        <v>33</v>
      </c>
      <c r="D156" s="21">
        <v>355226.46457688219</v>
      </c>
      <c r="E156" s="22">
        <v>342321.00086806918</v>
      </c>
      <c r="F156" s="22">
        <v>330441.71525481925</v>
      </c>
      <c r="G156" s="22">
        <v>319644.0466937712</v>
      </c>
      <c r="H156" s="22">
        <v>308908.12217502471</v>
      </c>
      <c r="I156" s="22">
        <v>294506.45802933001</v>
      </c>
      <c r="J156" s="22">
        <v>274143.83365737012</v>
      </c>
      <c r="K156" s="22">
        <v>224730.79195803907</v>
      </c>
      <c r="L156" s="22">
        <v>224501.47366382121</v>
      </c>
      <c r="M156" s="22">
        <v>227913.88562927186</v>
      </c>
      <c r="N156" s="22">
        <v>235530.97138536032</v>
      </c>
      <c r="O156" s="22">
        <v>246072.74643516302</v>
      </c>
      <c r="P156" s="22">
        <v>254431.68473733304</v>
      </c>
      <c r="Q156" s="22">
        <v>272649.23334329209</v>
      </c>
      <c r="R156" s="22">
        <v>286140.41778760706</v>
      </c>
      <c r="S156" s="22">
        <v>290292.70117991837</v>
      </c>
      <c r="T156" s="22">
        <v>289758.69940380892</v>
      </c>
      <c r="U156" s="22">
        <v>304459.45673206297</v>
      </c>
      <c r="V156" s="22">
        <v>313759.70266334328</v>
      </c>
      <c r="W156" s="22">
        <v>330065.55471348728</v>
      </c>
      <c r="X156" s="22">
        <v>343266.46515653853</v>
      </c>
      <c r="Y156" s="22">
        <v>358052.45850739244</v>
      </c>
      <c r="Z156" s="22">
        <v>364046.97420052788</v>
      </c>
      <c r="AA156" s="23">
        <v>356940.05063908605</v>
      </c>
      <c r="AB156" s="96">
        <f t="shared" ref="AB156" si="52">+SUM(D156:AA156)*AC156+SUM(D157:AA157)*AC157+SUM(D158:AA158)*AC158</f>
        <v>222149574.6903078</v>
      </c>
      <c r="AC156" s="16">
        <v>20</v>
      </c>
      <c r="AD156" s="16">
        <f t="shared" si="44"/>
        <v>142956098.1878264</v>
      </c>
    </row>
    <row r="157" spans="1:30" ht="13.5" thickBot="1" x14ac:dyDescent="0.35">
      <c r="A157" s="18">
        <v>2030</v>
      </c>
      <c r="B157" s="19" t="s">
        <v>37</v>
      </c>
      <c r="C157" s="20" t="s">
        <v>34</v>
      </c>
      <c r="D157" s="21">
        <v>353668.12624884455</v>
      </c>
      <c r="E157" s="22">
        <v>341573.85697701777</v>
      </c>
      <c r="F157" s="22">
        <v>329795.74461701902</v>
      </c>
      <c r="G157" s="22">
        <v>319871.07305194798</v>
      </c>
      <c r="H157" s="22">
        <v>308927.09191910981</v>
      </c>
      <c r="I157" s="22">
        <v>292530.88309283589</v>
      </c>
      <c r="J157" s="22">
        <v>274445.9828301188</v>
      </c>
      <c r="K157" s="22">
        <v>226595.12001075401</v>
      </c>
      <c r="L157" s="22">
        <v>225878.44529523578</v>
      </c>
      <c r="M157" s="22">
        <v>229731.43607134972</v>
      </c>
      <c r="N157" s="22">
        <v>237860.41688948023</v>
      </c>
      <c r="O157" s="22">
        <v>251198.69663273156</v>
      </c>
      <c r="P157" s="22">
        <v>259644.93955760993</v>
      </c>
      <c r="Q157" s="22">
        <v>278604.36169819871</v>
      </c>
      <c r="R157" s="22">
        <v>291954.06908156862</v>
      </c>
      <c r="S157" s="22">
        <v>294788.68067419447</v>
      </c>
      <c r="T157" s="22">
        <v>292362.24969457323</v>
      </c>
      <c r="U157" s="22">
        <v>304838.73563158384</v>
      </c>
      <c r="V157" s="22">
        <v>315953.19585285831</v>
      </c>
      <c r="W157" s="22">
        <v>335103.96814878698</v>
      </c>
      <c r="X157" s="22">
        <v>351173.6391324866</v>
      </c>
      <c r="Y157" s="22">
        <v>366404.05815312074</v>
      </c>
      <c r="Z157" s="22">
        <v>367940.4022651994</v>
      </c>
      <c r="AA157" s="23">
        <v>357260.92077239079</v>
      </c>
      <c r="AB157" s="97"/>
      <c r="AC157" s="16">
        <v>5</v>
      </c>
      <c r="AD157" s="16">
        <f t="shared" si="44"/>
        <v>36040530.471495084</v>
      </c>
    </row>
    <row r="158" spans="1:30" ht="13.5" thickBot="1" x14ac:dyDescent="0.35">
      <c r="A158" s="18">
        <v>2030</v>
      </c>
      <c r="B158" s="25" t="s">
        <v>37</v>
      </c>
      <c r="C158" s="26" t="s">
        <v>36</v>
      </c>
      <c r="D158" s="21">
        <v>356160.44639755768</v>
      </c>
      <c r="E158" s="22">
        <v>343115.86479709001</v>
      </c>
      <c r="F158" s="22">
        <v>331573.07731014985</v>
      </c>
      <c r="G158" s="22">
        <v>320803.09862301196</v>
      </c>
      <c r="H158" s="22">
        <v>309867.84142584848</v>
      </c>
      <c r="I158" s="22">
        <v>292878.41638508532</v>
      </c>
      <c r="J158" s="22">
        <v>270892.96240129456</v>
      </c>
      <c r="K158" s="22">
        <v>223901.0862484457</v>
      </c>
      <c r="L158" s="22">
        <v>225840.77424788036</v>
      </c>
      <c r="M158" s="22">
        <v>230226.72867016122</v>
      </c>
      <c r="N158" s="22">
        <v>239579.22386952341</v>
      </c>
      <c r="O158" s="22">
        <v>250690.94373350707</v>
      </c>
      <c r="P158" s="22">
        <v>256708.67543490799</v>
      </c>
      <c r="Q158" s="22">
        <v>276740.17698156129</v>
      </c>
      <c r="R158" s="22">
        <v>290184.79729539581</v>
      </c>
      <c r="S158" s="22">
        <v>294028.00563952391</v>
      </c>
      <c r="T158" s="22">
        <v>292625.62411253748</v>
      </c>
      <c r="U158" s="22">
        <v>305480.14619426848</v>
      </c>
      <c r="V158" s="22">
        <v>314431.22097242333</v>
      </c>
      <c r="W158" s="22">
        <v>333759.60897077125</v>
      </c>
      <c r="X158" s="22">
        <v>348622.26064131077</v>
      </c>
      <c r="Y158" s="22">
        <v>363495.43391246838</v>
      </c>
      <c r="Z158" s="22">
        <v>365733.05916179641</v>
      </c>
      <c r="AA158" s="23">
        <v>354818.19840453163</v>
      </c>
      <c r="AB158" s="97"/>
      <c r="AC158" s="16">
        <v>6</v>
      </c>
      <c r="AD158" s="16">
        <f t="shared" si="44"/>
        <v>43152946.030986317</v>
      </c>
    </row>
    <row r="159" spans="1:30" ht="13.5" thickBot="1" x14ac:dyDescent="0.35">
      <c r="A159" s="18">
        <v>2030</v>
      </c>
      <c r="B159" s="11" t="s">
        <v>38</v>
      </c>
      <c r="C159" s="12" t="s">
        <v>33</v>
      </c>
      <c r="D159" s="21">
        <v>346521.94901698339</v>
      </c>
      <c r="E159" s="22">
        <v>333309.92715441377</v>
      </c>
      <c r="F159" s="22">
        <v>321181.00721312786</v>
      </c>
      <c r="G159" s="22">
        <v>310687.94065003144</v>
      </c>
      <c r="H159" s="22">
        <v>300479.35297770594</v>
      </c>
      <c r="I159" s="22">
        <v>284334.05184181029</v>
      </c>
      <c r="J159" s="22">
        <v>268540.82308777329</v>
      </c>
      <c r="K159" s="22">
        <v>220879.52561420324</v>
      </c>
      <c r="L159" s="22">
        <v>216511.47737263475</v>
      </c>
      <c r="M159" s="22">
        <v>215303.87011654995</v>
      </c>
      <c r="N159" s="22">
        <v>219534.82440853826</v>
      </c>
      <c r="O159" s="22">
        <v>228810.61586375209</v>
      </c>
      <c r="P159" s="22">
        <v>235618.73719692611</v>
      </c>
      <c r="Q159" s="22">
        <v>251423.23966376702</v>
      </c>
      <c r="R159" s="22">
        <v>264198.61654654855</v>
      </c>
      <c r="S159" s="22">
        <v>269113.59621579322</v>
      </c>
      <c r="T159" s="22">
        <v>272127.30867306935</v>
      </c>
      <c r="U159" s="22">
        <v>294080.62538038136</v>
      </c>
      <c r="V159" s="22">
        <v>303966.84101920767</v>
      </c>
      <c r="W159" s="22">
        <v>322138.77045232791</v>
      </c>
      <c r="X159" s="22">
        <v>337066.13742364832</v>
      </c>
      <c r="Y159" s="22">
        <v>351169.22422396328</v>
      </c>
      <c r="Z159" s="22">
        <v>355474.61446923169</v>
      </c>
      <c r="AA159" s="23">
        <v>346670.00659641309</v>
      </c>
      <c r="AB159" s="96">
        <f t="shared" ref="AB159" si="53">+SUM(D159:AA159)*AC159+SUM(D160:AA160)*AC160+SUM(D161:AA161)*AC161</f>
        <v>206830246.62697989</v>
      </c>
      <c r="AC159" s="16">
        <v>20</v>
      </c>
      <c r="AD159" s="16">
        <f t="shared" si="44"/>
        <v>137382861.66357604</v>
      </c>
    </row>
    <row r="160" spans="1:30" ht="13.5" thickBot="1" x14ac:dyDescent="0.35">
      <c r="A160" s="18">
        <v>2030</v>
      </c>
      <c r="B160" s="19" t="s">
        <v>38</v>
      </c>
      <c r="C160" s="20" t="s">
        <v>34</v>
      </c>
      <c r="D160" s="21">
        <v>348285.30311161984</v>
      </c>
      <c r="E160" s="22">
        <v>334148.30921485886</v>
      </c>
      <c r="F160" s="22">
        <v>321726.28872276878</v>
      </c>
      <c r="G160" s="22">
        <v>310901.67820334149</v>
      </c>
      <c r="H160" s="22">
        <v>300225.07952212921</v>
      </c>
      <c r="I160" s="22">
        <v>282233.48073918791</v>
      </c>
      <c r="J160" s="22">
        <v>264782.96596212813</v>
      </c>
      <c r="K160" s="22">
        <v>220285.5796552689</v>
      </c>
      <c r="L160" s="22">
        <v>219726.83185899549</v>
      </c>
      <c r="M160" s="22">
        <v>220621.54422606868</v>
      </c>
      <c r="N160" s="22">
        <v>226562.44318584003</v>
      </c>
      <c r="O160" s="22">
        <v>236970.3511827912</v>
      </c>
      <c r="P160" s="22">
        <v>243566.09847547446</v>
      </c>
      <c r="Q160" s="22">
        <v>264119.37003637326</v>
      </c>
      <c r="R160" s="22">
        <v>278446.87685432518</v>
      </c>
      <c r="S160" s="22">
        <v>282427.86330866412</v>
      </c>
      <c r="T160" s="22">
        <v>283671.45232284378</v>
      </c>
      <c r="U160" s="22">
        <v>301097.26648438507</v>
      </c>
      <c r="V160" s="22">
        <v>308939.06429836195</v>
      </c>
      <c r="W160" s="22">
        <v>327972.44726538926</v>
      </c>
      <c r="X160" s="22">
        <v>344537.19507790188</v>
      </c>
      <c r="Y160" s="22">
        <v>358811.00631714857</v>
      </c>
      <c r="Z160" s="22">
        <v>362038.4771136528</v>
      </c>
      <c r="AA160" s="23">
        <v>350982.93405722972</v>
      </c>
      <c r="AB160" s="97"/>
      <c r="AC160" s="16">
        <v>4</v>
      </c>
      <c r="AD160" s="16">
        <f t="shared" si="44"/>
        <v>27972319.628786996</v>
      </c>
    </row>
    <row r="161" spans="1:30" ht="13.5" thickBot="1" x14ac:dyDescent="0.35">
      <c r="A161" s="18">
        <v>2030</v>
      </c>
      <c r="B161" s="25" t="s">
        <v>38</v>
      </c>
      <c r="C161" s="26" t="s">
        <v>36</v>
      </c>
      <c r="D161" s="21">
        <v>347295.68454550422</v>
      </c>
      <c r="E161" s="22">
        <v>333738.22200810653</v>
      </c>
      <c r="F161" s="22">
        <v>321455.23486581986</v>
      </c>
      <c r="G161" s="22">
        <v>310814.65783663769</v>
      </c>
      <c r="H161" s="22">
        <v>300465.78920054884</v>
      </c>
      <c r="I161" s="22">
        <v>283790.43412262417</v>
      </c>
      <c r="J161" s="22">
        <v>267566.72557863203</v>
      </c>
      <c r="K161" s="22">
        <v>220939.95870710982</v>
      </c>
      <c r="L161" s="22">
        <v>218053.58778757346</v>
      </c>
      <c r="M161" s="22">
        <v>217685.59839342194</v>
      </c>
      <c r="N161" s="22">
        <v>222488.80924825429</v>
      </c>
      <c r="O161" s="22">
        <v>232075.37067703347</v>
      </c>
      <c r="P161" s="22">
        <v>238573.74251277235</v>
      </c>
      <c r="Q161" s="22">
        <v>255498.50220598924</v>
      </c>
      <c r="R161" s="22">
        <v>268925.43291426491</v>
      </c>
      <c r="S161" s="22">
        <v>273516.56580250157</v>
      </c>
      <c r="T161" s="22">
        <v>275989.02232193452</v>
      </c>
      <c r="U161" s="22">
        <v>296695.83077012718</v>
      </c>
      <c r="V161" s="22">
        <v>305944.95645399304</v>
      </c>
      <c r="W161" s="22">
        <v>323995.44431488105</v>
      </c>
      <c r="X161" s="22">
        <v>338986.47899410053</v>
      </c>
      <c r="Y161" s="22">
        <v>352906.27468907478</v>
      </c>
      <c r="Z161" s="22">
        <v>357092.32813953742</v>
      </c>
      <c r="AA161" s="23">
        <v>348016.23701236112</v>
      </c>
      <c r="AB161" s="97"/>
      <c r="AC161" s="16">
        <v>6</v>
      </c>
      <c r="AD161" s="16">
        <f t="shared" si="44"/>
        <v>41475065.334616825</v>
      </c>
    </row>
    <row r="162" spans="1:30" ht="13.5" thickBot="1" x14ac:dyDescent="0.35">
      <c r="A162" s="18">
        <v>2030</v>
      </c>
      <c r="B162" s="11" t="s">
        <v>39</v>
      </c>
      <c r="C162" s="12" t="s">
        <v>33</v>
      </c>
      <c r="D162" s="21">
        <v>357453.60655300133</v>
      </c>
      <c r="E162" s="22">
        <v>343725.43937349564</v>
      </c>
      <c r="F162" s="22">
        <v>331142.57497513457</v>
      </c>
      <c r="G162" s="22">
        <v>320266.05774094199</v>
      </c>
      <c r="H162" s="22">
        <v>309743.22970576427</v>
      </c>
      <c r="I162" s="22">
        <v>293083.93603618367</v>
      </c>
      <c r="J162" s="22">
        <v>276855.18444942986</v>
      </c>
      <c r="K162" s="22">
        <v>229490.82260301147</v>
      </c>
      <c r="L162" s="22">
        <v>226007.27779442372</v>
      </c>
      <c r="M162" s="22">
        <v>225391.57976482876</v>
      </c>
      <c r="N162" s="22">
        <v>230036.76227852164</v>
      </c>
      <c r="O162" s="22">
        <v>239635.79449402529</v>
      </c>
      <c r="P162" s="22">
        <v>246274.52086046638</v>
      </c>
      <c r="Q162" s="22">
        <v>262254.15126454062</v>
      </c>
      <c r="R162" s="22">
        <v>275597.92013315525</v>
      </c>
      <c r="S162" s="22">
        <v>280326.12550455664</v>
      </c>
      <c r="T162" s="22">
        <v>282972.09197523299</v>
      </c>
      <c r="U162" s="22">
        <v>304519.07788924646</v>
      </c>
      <c r="V162" s="22">
        <v>314563.73268573027</v>
      </c>
      <c r="W162" s="22">
        <v>332766.61129255395</v>
      </c>
      <c r="X162" s="22">
        <v>347600.28436826501</v>
      </c>
      <c r="Y162" s="22">
        <v>361789.0359058035</v>
      </c>
      <c r="Z162" s="22">
        <v>366454.06120342424</v>
      </c>
      <c r="AA162" s="23">
        <v>357858.16754523141</v>
      </c>
      <c r="AB162" s="96">
        <f t="shared" ref="AB162" si="54">+SUM(D162:AA162)*AC162+SUM(D163:AA163)*AC163+SUM(D164:AA164)*AC164</f>
        <v>221533247.65976125</v>
      </c>
      <c r="AC162" s="16">
        <v>22</v>
      </c>
      <c r="AD162" s="16">
        <f t="shared" si="44"/>
        <v>156547777.0207333</v>
      </c>
    </row>
    <row r="163" spans="1:30" ht="13.5" thickBot="1" x14ac:dyDescent="0.35">
      <c r="A163" s="18">
        <v>2030</v>
      </c>
      <c r="B163" s="19" t="s">
        <v>39</v>
      </c>
      <c r="C163" s="20" t="s">
        <v>34</v>
      </c>
      <c r="D163" s="21">
        <v>358466.44857376273</v>
      </c>
      <c r="E163" s="22">
        <v>343937.95960467146</v>
      </c>
      <c r="F163" s="22">
        <v>331171.93671387108</v>
      </c>
      <c r="G163" s="22">
        <v>320047.56079104927</v>
      </c>
      <c r="H163" s="22">
        <v>309075.29559095285</v>
      </c>
      <c r="I163" s="22">
        <v>290585.45635333628</v>
      </c>
      <c r="J163" s="22">
        <v>272651.68533419748</v>
      </c>
      <c r="K163" s="22">
        <v>228276.90575623995</v>
      </c>
      <c r="L163" s="22">
        <v>228055.57957164952</v>
      </c>
      <c r="M163" s="22">
        <v>229207.20095771211</v>
      </c>
      <c r="N163" s="22">
        <v>235440.92511304069</v>
      </c>
      <c r="O163" s="22">
        <v>246181.41974649299</v>
      </c>
      <c r="P163" s="22">
        <v>252948.12400291805</v>
      </c>
      <c r="Q163" s="22">
        <v>274004.00714956061</v>
      </c>
      <c r="R163" s="22">
        <v>288604.39265177678</v>
      </c>
      <c r="S163" s="22">
        <v>292478.22799075185</v>
      </c>
      <c r="T163" s="22">
        <v>293408.13740111189</v>
      </c>
      <c r="U163" s="22">
        <v>310362.46827109839</v>
      </c>
      <c r="V163" s="22">
        <v>318421.42860383983</v>
      </c>
      <c r="W163" s="22">
        <v>337981.90210339346</v>
      </c>
      <c r="X163" s="22">
        <v>355005.3766572735</v>
      </c>
      <c r="Y163" s="22">
        <v>369674.47184474452</v>
      </c>
      <c r="Z163" s="22">
        <v>372991.32083028596</v>
      </c>
      <c r="AA163" s="23">
        <v>361629.61716715031</v>
      </c>
      <c r="AB163" s="97"/>
      <c r="AC163" s="16">
        <v>4</v>
      </c>
      <c r="AD163" s="16">
        <f t="shared" si="44"/>
        <v>28882431.395123526</v>
      </c>
    </row>
    <row r="164" spans="1:30" ht="13.5" thickBot="1" x14ac:dyDescent="0.35">
      <c r="A164" s="18">
        <v>2030</v>
      </c>
      <c r="B164" s="25" t="s">
        <v>39</v>
      </c>
      <c r="C164" s="26" t="s">
        <v>36</v>
      </c>
      <c r="D164" s="21">
        <v>358466.44857376273</v>
      </c>
      <c r="E164" s="22">
        <v>343937.95960467146</v>
      </c>
      <c r="F164" s="22">
        <v>331171.93671387108</v>
      </c>
      <c r="G164" s="22">
        <v>320047.56079104927</v>
      </c>
      <c r="H164" s="22">
        <v>309075.29559095285</v>
      </c>
      <c r="I164" s="22">
        <v>290585.45635333628</v>
      </c>
      <c r="J164" s="22">
        <v>272651.68533419748</v>
      </c>
      <c r="K164" s="22">
        <v>228276.90575623995</v>
      </c>
      <c r="L164" s="22">
        <v>228055.57957164952</v>
      </c>
      <c r="M164" s="22">
        <v>229207.20095771211</v>
      </c>
      <c r="N164" s="22">
        <v>235440.92511304066</v>
      </c>
      <c r="O164" s="22">
        <v>246181.41974649299</v>
      </c>
      <c r="P164" s="22">
        <v>252948.12400291805</v>
      </c>
      <c r="Q164" s="22">
        <v>274004.00714956061</v>
      </c>
      <c r="R164" s="22">
        <v>288604.39265177678</v>
      </c>
      <c r="S164" s="22">
        <v>292478.22799075185</v>
      </c>
      <c r="T164" s="22">
        <v>293408.13740111189</v>
      </c>
      <c r="U164" s="22">
        <v>310362.46827109839</v>
      </c>
      <c r="V164" s="22">
        <v>318421.42860383983</v>
      </c>
      <c r="W164" s="22">
        <v>337981.90210339346</v>
      </c>
      <c r="X164" s="22">
        <v>355005.3766572735</v>
      </c>
      <c r="Y164" s="22">
        <v>369674.47184474452</v>
      </c>
      <c r="Z164" s="22">
        <v>372991.32083028596</v>
      </c>
      <c r="AA164" s="23">
        <v>361629.61716715031</v>
      </c>
      <c r="AB164" s="97"/>
      <c r="AC164" s="16">
        <v>5</v>
      </c>
      <c r="AD164" s="16">
        <f t="shared" si="44"/>
        <v>36103039.243904412</v>
      </c>
    </row>
    <row r="165" spans="1:30" ht="13.5" thickBot="1" x14ac:dyDescent="0.35">
      <c r="A165" s="18">
        <v>2030</v>
      </c>
      <c r="B165" s="11" t="s">
        <v>40</v>
      </c>
      <c r="C165" s="12" t="s">
        <v>33</v>
      </c>
      <c r="D165" s="21">
        <v>360152.63581009232</v>
      </c>
      <c r="E165" s="22">
        <v>346307.26734844869</v>
      </c>
      <c r="F165" s="22">
        <v>333630.13411498355</v>
      </c>
      <c r="G165" s="22">
        <v>322670.07393399213</v>
      </c>
      <c r="H165" s="22">
        <v>312061.84606490162</v>
      </c>
      <c r="I165" s="22">
        <v>295240.75897363335</v>
      </c>
      <c r="J165" s="22">
        <v>278856.69096542214</v>
      </c>
      <c r="K165" s="22">
        <v>231444.38787898954</v>
      </c>
      <c r="L165" s="22">
        <v>228011.00436707225</v>
      </c>
      <c r="M165" s="22">
        <v>227430.97815453124</v>
      </c>
      <c r="N165" s="22">
        <v>232145.35236523414</v>
      </c>
      <c r="O165" s="22">
        <v>241838.71123786684</v>
      </c>
      <c r="P165" s="22">
        <v>248525.4250736878</v>
      </c>
      <c r="Q165" s="22">
        <v>264738.35295137565</v>
      </c>
      <c r="R165" s="22">
        <v>278210.99323662126</v>
      </c>
      <c r="S165" s="22">
        <v>282955.89871580113</v>
      </c>
      <c r="T165" s="22">
        <v>285585.91409322061</v>
      </c>
      <c r="U165" s="22">
        <v>307061.13121400977</v>
      </c>
      <c r="V165" s="22">
        <v>317129.19993635174</v>
      </c>
      <c r="W165" s="22">
        <v>335490.03750036686</v>
      </c>
      <c r="X165" s="22">
        <v>350477.26001932716</v>
      </c>
      <c r="Y165" s="22">
        <v>364775.88273795904</v>
      </c>
      <c r="Z165" s="22">
        <v>369443.65412671253</v>
      </c>
      <c r="AA165" s="23">
        <v>360724.41411984916</v>
      </c>
      <c r="AB165" s="96">
        <f t="shared" ref="AB165" si="55">+SUM(D165:AA165)*AC165+SUM(D166:AA166)*AC166+SUM(D167:AA167)*AC167</f>
        <v>216050506.24747014</v>
      </c>
      <c r="AC165" s="16">
        <v>18</v>
      </c>
      <c r="AD165" s="16">
        <f t="shared" si="44"/>
        <v>129148344.08892809</v>
      </c>
    </row>
    <row r="166" spans="1:30" ht="13.5" thickBot="1" x14ac:dyDescent="0.35">
      <c r="A166" s="18">
        <v>2030</v>
      </c>
      <c r="B166" s="19" t="s">
        <v>40</v>
      </c>
      <c r="C166" s="20" t="s">
        <v>34</v>
      </c>
      <c r="D166" s="21">
        <v>364589.6072673272</v>
      </c>
      <c r="E166" s="22">
        <v>351403.82483696082</v>
      </c>
      <c r="F166" s="22">
        <v>339021.84751189314</v>
      </c>
      <c r="G166" s="22">
        <v>328315.5264094302</v>
      </c>
      <c r="H166" s="22">
        <v>317795.7488182747</v>
      </c>
      <c r="I166" s="22">
        <v>301647.52150992362</v>
      </c>
      <c r="J166" s="22">
        <v>285606.78869094828</v>
      </c>
      <c r="K166" s="22">
        <v>235868.58338132704</v>
      </c>
      <c r="L166" s="22">
        <v>228540.63122111434</v>
      </c>
      <c r="M166" s="22">
        <v>225742.05254736653</v>
      </c>
      <c r="N166" s="22">
        <v>229289.00587471569</v>
      </c>
      <c r="O166" s="22">
        <v>238659.85229739067</v>
      </c>
      <c r="P166" s="22">
        <v>246875.99563449557</v>
      </c>
      <c r="Q166" s="22">
        <v>262111.39444711967</v>
      </c>
      <c r="R166" s="22">
        <v>273852.23508771154</v>
      </c>
      <c r="S166" s="22">
        <v>279336.87372422131</v>
      </c>
      <c r="T166" s="22">
        <v>282912.97146510973</v>
      </c>
      <c r="U166" s="22">
        <v>306285.94763888157</v>
      </c>
      <c r="V166" s="22">
        <v>317874.06215629156</v>
      </c>
      <c r="W166" s="22">
        <v>338043.12764449522</v>
      </c>
      <c r="X166" s="22">
        <v>354567.06387125485</v>
      </c>
      <c r="Y166" s="22">
        <v>370249.54715596547</v>
      </c>
      <c r="Z166" s="22">
        <v>374571.1199192655</v>
      </c>
      <c r="AA166" s="23">
        <v>364916.43985891447</v>
      </c>
      <c r="AB166" s="97"/>
      <c r="AC166" s="16">
        <v>5</v>
      </c>
      <c r="AD166" s="16">
        <f t="shared" si="44"/>
        <v>36090388.844851993</v>
      </c>
    </row>
    <row r="167" spans="1:30" ht="13.5" thickBot="1" x14ac:dyDescent="0.35">
      <c r="A167" s="18">
        <v>2030</v>
      </c>
      <c r="B167" s="25" t="s">
        <v>40</v>
      </c>
      <c r="C167" s="26" t="s">
        <v>36</v>
      </c>
      <c r="D167" s="21">
        <v>360290.48647978867</v>
      </c>
      <c r="E167" s="22">
        <v>345691.85787320702</v>
      </c>
      <c r="F167" s="22">
        <v>332864.2040571493</v>
      </c>
      <c r="G167" s="22">
        <v>321686.12263913156</v>
      </c>
      <c r="H167" s="22">
        <v>310660.88629350014</v>
      </c>
      <c r="I167" s="22">
        <v>292081.78308465146</v>
      </c>
      <c r="J167" s="22">
        <v>274061.43264209171</v>
      </c>
      <c r="K167" s="22">
        <v>229580.39328473265</v>
      </c>
      <c r="L167" s="22">
        <v>229324.9475691691</v>
      </c>
      <c r="M167" s="22">
        <v>230460.38794438439</v>
      </c>
      <c r="N167" s="22">
        <v>236712.19028048852</v>
      </c>
      <c r="O167" s="22">
        <v>247500.38242681135</v>
      </c>
      <c r="P167" s="22">
        <v>254300.85017849671</v>
      </c>
      <c r="Q167" s="22">
        <v>275464.62012184353</v>
      </c>
      <c r="R167" s="22">
        <v>290147.09571501595</v>
      </c>
      <c r="S167" s="22">
        <v>294059.99354580621</v>
      </c>
      <c r="T167" s="22">
        <v>295026.99596260756</v>
      </c>
      <c r="U167" s="22">
        <v>312022.40715801297</v>
      </c>
      <c r="V167" s="22">
        <v>320120.27398388606</v>
      </c>
      <c r="W167" s="22">
        <v>339775.18018895492</v>
      </c>
      <c r="X167" s="22">
        <v>356880.83949973434</v>
      </c>
      <c r="Y167" s="22">
        <v>371620.75313370401</v>
      </c>
      <c r="Z167" s="22">
        <v>374953.61497412313</v>
      </c>
      <c r="AA167" s="23">
        <v>363537.06006128754</v>
      </c>
      <c r="AB167" s="97"/>
      <c r="AC167" s="16">
        <v>7</v>
      </c>
      <c r="AD167" s="16">
        <f t="shared" si="44"/>
        <v>50811773.313690051</v>
      </c>
    </row>
    <row r="168" spans="1:30" ht="13.5" thickBot="1" x14ac:dyDescent="0.35">
      <c r="A168" s="18">
        <v>2030</v>
      </c>
      <c r="B168" s="11" t="s">
        <v>41</v>
      </c>
      <c r="C168" s="12" t="s">
        <v>33</v>
      </c>
      <c r="D168" s="21">
        <v>354348.60649925494</v>
      </c>
      <c r="E168" s="22">
        <v>340579.79421138042</v>
      </c>
      <c r="F168" s="22">
        <v>328070.17441991664</v>
      </c>
      <c r="G168" s="22">
        <v>317239.0593436273</v>
      </c>
      <c r="H168" s="22">
        <v>306718.42065119935</v>
      </c>
      <c r="I168" s="22">
        <v>289838.05919890507</v>
      </c>
      <c r="J168" s="22">
        <v>273409.99892016174</v>
      </c>
      <c r="K168" s="22">
        <v>226569.81726935794</v>
      </c>
      <c r="L168" s="22">
        <v>223616.10869385515</v>
      </c>
      <c r="M168" s="22">
        <v>223258.08439230404</v>
      </c>
      <c r="N168" s="22">
        <v>228124.2950494726</v>
      </c>
      <c r="O168" s="22">
        <v>237848.07441613748</v>
      </c>
      <c r="P168" s="22">
        <v>244457.52009327753</v>
      </c>
      <c r="Q168" s="22">
        <v>261343.70227628105</v>
      </c>
      <c r="R168" s="22">
        <v>274879.69312123372</v>
      </c>
      <c r="S168" s="22">
        <v>279492.09956033266</v>
      </c>
      <c r="T168" s="22">
        <v>281926.4958146236</v>
      </c>
      <c r="U168" s="22">
        <v>302727.24875666329</v>
      </c>
      <c r="V168" s="22">
        <v>312284.71425483597</v>
      </c>
      <c r="W168" s="22">
        <v>330597.35312993621</v>
      </c>
      <c r="X168" s="22">
        <v>345737.13562046038</v>
      </c>
      <c r="Y168" s="22">
        <v>359895.87541634572</v>
      </c>
      <c r="Z168" s="22">
        <v>364250.76880996744</v>
      </c>
      <c r="AA168" s="23">
        <v>355178.10944466176</v>
      </c>
      <c r="AB168" s="96">
        <f t="shared" ref="AB168" si="56">+SUM(D168:AA168)*AC168+SUM(D169:AA169)*AC169+SUM(D170:AA170)*AC170</f>
        <v>219629966.79120675</v>
      </c>
      <c r="AC168" s="16">
        <v>22</v>
      </c>
      <c r="AD168" s="16">
        <f t="shared" si="44"/>
        <v>155372606.6060122</v>
      </c>
    </row>
    <row r="169" spans="1:30" ht="13.5" thickBot="1" x14ac:dyDescent="0.35">
      <c r="A169" s="18">
        <v>2030</v>
      </c>
      <c r="B169" s="19" t="s">
        <v>41</v>
      </c>
      <c r="C169" s="20" t="s">
        <v>34</v>
      </c>
      <c r="D169" s="21">
        <v>354901.65743722644</v>
      </c>
      <c r="E169" s="22">
        <v>340510.24520169414</v>
      </c>
      <c r="F169" s="22">
        <v>327864.67012361099</v>
      </c>
      <c r="G169" s="22">
        <v>316845.25302463031</v>
      </c>
      <c r="H169" s="22">
        <v>305976.51147909777</v>
      </c>
      <c r="I169" s="22">
        <v>287661.12443483173</v>
      </c>
      <c r="J169" s="22">
        <v>269896.55908855592</v>
      </c>
      <c r="K169" s="22">
        <v>225416.65107719073</v>
      </c>
      <c r="L169" s="22">
        <v>225031.30685659</v>
      </c>
      <c r="M169" s="22">
        <v>226062.79915547304</v>
      </c>
      <c r="N169" s="22">
        <v>232177.31567398258</v>
      </c>
      <c r="O169" s="22">
        <v>242795.59289133715</v>
      </c>
      <c r="P169" s="22">
        <v>249503.95963793164</v>
      </c>
      <c r="Q169" s="22">
        <v>270392.51371948997</v>
      </c>
      <c r="R169" s="22">
        <v>284913.45972888026</v>
      </c>
      <c r="S169" s="22">
        <v>288853.07291667227</v>
      </c>
      <c r="T169" s="22">
        <v>289938.06646934332</v>
      </c>
      <c r="U169" s="22">
        <v>307118.38249211537</v>
      </c>
      <c r="V169" s="22">
        <v>315101.3062899739</v>
      </c>
      <c r="W169" s="22">
        <v>334477.22612948116</v>
      </c>
      <c r="X169" s="22">
        <v>351340.08368522493</v>
      </c>
      <c r="Y169" s="22">
        <v>365870.77551520691</v>
      </c>
      <c r="Z169" s="22">
        <v>369156.32993008679</v>
      </c>
      <c r="AA169" s="23">
        <v>357901.82428521197</v>
      </c>
      <c r="AB169" s="97"/>
      <c r="AC169" s="16">
        <v>3</v>
      </c>
      <c r="AD169" s="16">
        <f t="shared" si="44"/>
        <v>21419120.061731521</v>
      </c>
    </row>
    <row r="170" spans="1:30" ht="13.5" thickBot="1" x14ac:dyDescent="0.35">
      <c r="A170" s="18">
        <v>2030</v>
      </c>
      <c r="B170" s="25" t="s">
        <v>41</v>
      </c>
      <c r="C170" s="26" t="s">
        <v>36</v>
      </c>
      <c r="D170" s="21">
        <v>354901.65743722644</v>
      </c>
      <c r="E170" s="22">
        <v>340510.24520169414</v>
      </c>
      <c r="F170" s="22">
        <v>327864.67012361105</v>
      </c>
      <c r="G170" s="22">
        <v>316845.25302463031</v>
      </c>
      <c r="H170" s="22">
        <v>305976.51147909783</v>
      </c>
      <c r="I170" s="22">
        <v>287661.12443483173</v>
      </c>
      <c r="J170" s="22">
        <v>269896.55908855592</v>
      </c>
      <c r="K170" s="22">
        <v>225416.65107719073</v>
      </c>
      <c r="L170" s="22">
        <v>225031.30685659</v>
      </c>
      <c r="M170" s="22">
        <v>226062.79915547304</v>
      </c>
      <c r="N170" s="22">
        <v>232177.31567398258</v>
      </c>
      <c r="O170" s="22">
        <v>242795.59289133715</v>
      </c>
      <c r="P170" s="22">
        <v>249503.95963793164</v>
      </c>
      <c r="Q170" s="22">
        <v>270392.51371948997</v>
      </c>
      <c r="R170" s="22">
        <v>284913.45972888026</v>
      </c>
      <c r="S170" s="22">
        <v>288853.07291667227</v>
      </c>
      <c r="T170" s="22">
        <v>289938.06646934332</v>
      </c>
      <c r="U170" s="22">
        <v>307118.38249211531</v>
      </c>
      <c r="V170" s="22">
        <v>315101.3062899739</v>
      </c>
      <c r="W170" s="22">
        <v>334477.22612948116</v>
      </c>
      <c r="X170" s="22">
        <v>351340.08368522493</v>
      </c>
      <c r="Y170" s="22">
        <v>365870.77551520703</v>
      </c>
      <c r="Z170" s="22">
        <v>369156.32993008668</v>
      </c>
      <c r="AA170" s="23">
        <v>357901.82428521197</v>
      </c>
      <c r="AB170" s="97"/>
      <c r="AC170" s="16">
        <v>6</v>
      </c>
      <c r="AD170" s="16">
        <f t="shared" si="44"/>
        <v>42838240.123463042</v>
      </c>
    </row>
    <row r="171" spans="1:30" ht="13.5" thickBot="1" x14ac:dyDescent="0.35">
      <c r="A171" s="18">
        <v>2030</v>
      </c>
      <c r="B171" s="11" t="s">
        <v>42</v>
      </c>
      <c r="C171" s="12" t="s">
        <v>33</v>
      </c>
      <c r="D171" s="21">
        <v>362634.07079236192</v>
      </c>
      <c r="E171" s="22">
        <v>348921.69208504452</v>
      </c>
      <c r="F171" s="22">
        <v>336228.25650838081</v>
      </c>
      <c r="G171" s="22">
        <v>325272.40346082044</v>
      </c>
      <c r="H171" s="22">
        <v>314698.65259490273</v>
      </c>
      <c r="I171" s="22">
        <v>298205.33689779724</v>
      </c>
      <c r="J171" s="22">
        <v>282099.24248434498</v>
      </c>
      <c r="K171" s="22">
        <v>233888.49360500969</v>
      </c>
      <c r="L171" s="22">
        <v>229522.74684569021</v>
      </c>
      <c r="M171" s="22">
        <v>228445.38380365245</v>
      </c>
      <c r="N171" s="22">
        <v>232794.68344374336</v>
      </c>
      <c r="O171" s="22">
        <v>242296.04506808092</v>
      </c>
      <c r="P171" s="22">
        <v>249118.71466431199</v>
      </c>
      <c r="Q171" s="22">
        <v>264293.49267825286</v>
      </c>
      <c r="R171" s="22">
        <v>277423.91540047171</v>
      </c>
      <c r="S171" s="22">
        <v>282387.4040678342</v>
      </c>
      <c r="T171" s="22">
        <v>285389.23318911571</v>
      </c>
      <c r="U171" s="22">
        <v>307887.62201167183</v>
      </c>
      <c r="V171" s="22">
        <v>318549.06336997653</v>
      </c>
      <c r="W171" s="22">
        <v>336889.58198766026</v>
      </c>
      <c r="X171" s="22">
        <v>351642.56405793549</v>
      </c>
      <c r="Y171" s="22">
        <v>366042.10186784307</v>
      </c>
      <c r="Z171" s="22">
        <v>370987.94994188304</v>
      </c>
      <c r="AA171" s="23">
        <v>362708.60430253157</v>
      </c>
      <c r="AB171" s="96">
        <f t="shared" ref="AB171" si="57">+SUM(D171:AA171)*AC171+SUM(D172:AA172)*AC172+SUM(D173:AA173)*AC173</f>
        <v>224963285.41328794</v>
      </c>
      <c r="AC171" s="16">
        <v>20</v>
      </c>
      <c r="AD171" s="16">
        <f t="shared" si="44"/>
        <v>144166545.10258633</v>
      </c>
    </row>
    <row r="172" spans="1:30" ht="13.5" thickBot="1" x14ac:dyDescent="0.35">
      <c r="A172" s="18">
        <v>2030</v>
      </c>
      <c r="B172" s="19" t="s">
        <v>42</v>
      </c>
      <c r="C172" s="20" t="s">
        <v>34</v>
      </c>
      <c r="D172" s="21">
        <v>365733.14665033406</v>
      </c>
      <c r="E172" s="22">
        <v>351455.50021104177</v>
      </c>
      <c r="F172" s="22">
        <v>338642.50580510159</v>
      </c>
      <c r="G172" s="22">
        <v>327505.21994774597</v>
      </c>
      <c r="H172" s="22">
        <v>316533.7116144204</v>
      </c>
      <c r="I172" s="22">
        <v>298575.73397286289</v>
      </c>
      <c r="J172" s="22">
        <v>281030.76869545976</v>
      </c>
      <c r="K172" s="22">
        <v>234819.84904305608</v>
      </c>
      <c r="L172" s="22">
        <v>232311.96270297025</v>
      </c>
      <c r="M172" s="22">
        <v>232220.81747083692</v>
      </c>
      <c r="N172" s="22">
        <v>237675.66153932543</v>
      </c>
      <c r="O172" s="22">
        <v>248117.15103428951</v>
      </c>
      <c r="P172" s="22">
        <v>255460.71020674775</v>
      </c>
      <c r="Q172" s="22">
        <v>274831.51139168075</v>
      </c>
      <c r="R172" s="22">
        <v>288635.74762610666</v>
      </c>
      <c r="S172" s="22">
        <v>293039.94828316546</v>
      </c>
      <c r="T172" s="22">
        <v>294768.87386914348</v>
      </c>
      <c r="U172" s="22">
        <v>313733.3783580187</v>
      </c>
      <c r="V172" s="22">
        <v>323089.26303726563</v>
      </c>
      <c r="W172" s="22">
        <v>343123.91747964313</v>
      </c>
      <c r="X172" s="22">
        <v>360214.25741071021</v>
      </c>
      <c r="Y172" s="22">
        <v>375426.10652733879</v>
      </c>
      <c r="Z172" s="22">
        <v>379126.27827969758</v>
      </c>
      <c r="AA172" s="23">
        <v>368181.49151381711</v>
      </c>
      <c r="AB172" s="97"/>
      <c r="AC172" s="16">
        <v>5</v>
      </c>
      <c r="AD172" s="16">
        <f t="shared" si="44"/>
        <v>36671267.563353896</v>
      </c>
    </row>
    <row r="173" spans="1:30" ht="13.5" thickBot="1" x14ac:dyDescent="0.35">
      <c r="A173" s="18">
        <v>2030</v>
      </c>
      <c r="B173" s="25" t="s">
        <v>42</v>
      </c>
      <c r="C173" s="26" t="s">
        <v>36</v>
      </c>
      <c r="D173" s="21">
        <v>364571.52244518133</v>
      </c>
      <c r="E173" s="22">
        <v>349808.27537880529</v>
      </c>
      <c r="F173" s="22">
        <v>336835.97313919495</v>
      </c>
      <c r="G173" s="22">
        <v>325531.84436453291</v>
      </c>
      <c r="H173" s="22">
        <v>314382.2841885612</v>
      </c>
      <c r="I173" s="22">
        <v>295593.67750941921</v>
      </c>
      <c r="J173" s="22">
        <v>277370.12425824307</v>
      </c>
      <c r="K173" s="22">
        <v>232927.96261025118</v>
      </c>
      <c r="L173" s="22">
        <v>232805.0485689404</v>
      </c>
      <c r="M173" s="22">
        <v>234042.36565192041</v>
      </c>
      <c r="N173" s="22">
        <v>240413.89778305034</v>
      </c>
      <c r="O173" s="22">
        <v>251340.76287587351</v>
      </c>
      <c r="P173" s="22">
        <v>258213.42569912507</v>
      </c>
      <c r="Q173" s="22">
        <v>279590.30080115522</v>
      </c>
      <c r="R173" s="22">
        <v>294390.80065101112</v>
      </c>
      <c r="S173" s="22">
        <v>298264.40257560252</v>
      </c>
      <c r="T173" s="22">
        <v>299108.72996099881</v>
      </c>
      <c r="U173" s="22">
        <v>315918.30101622635</v>
      </c>
      <c r="V173" s="22">
        <v>324107.48178674583</v>
      </c>
      <c r="W173" s="22">
        <v>343984.02253531019</v>
      </c>
      <c r="X173" s="22">
        <v>361282.57032660308</v>
      </c>
      <c r="Y173" s="22">
        <v>376188.69559217984</v>
      </c>
      <c r="Z173" s="22">
        <v>379559.13976979401</v>
      </c>
      <c r="AA173" s="23">
        <v>368013.84840255877</v>
      </c>
      <c r="AB173" s="97"/>
      <c r="AC173" s="16">
        <v>6</v>
      </c>
      <c r="AD173" s="16">
        <f t="shared" si="44"/>
        <v>44125472.747347705</v>
      </c>
    </row>
    <row r="174" spans="1:30" ht="13.5" thickBot="1" x14ac:dyDescent="0.35">
      <c r="A174" s="18">
        <v>2030</v>
      </c>
      <c r="B174" s="11" t="s">
        <v>43</v>
      </c>
      <c r="C174" s="12" t="s">
        <v>33</v>
      </c>
      <c r="D174" s="21">
        <v>363039.59468927659</v>
      </c>
      <c r="E174" s="22">
        <v>348981.7103748598</v>
      </c>
      <c r="F174" s="22">
        <v>336187.23735071713</v>
      </c>
      <c r="G174" s="22">
        <v>325113.13955729047</v>
      </c>
      <c r="H174" s="22">
        <v>314365.02474148857</v>
      </c>
      <c r="I174" s="22">
        <v>297164.99627025693</v>
      </c>
      <c r="J174" s="22">
        <v>280422.7284481136</v>
      </c>
      <c r="K174" s="22">
        <v>233307.4989711456</v>
      </c>
      <c r="L174" s="22">
        <v>230300.68378870894</v>
      </c>
      <c r="M174" s="22">
        <v>229960.21423105351</v>
      </c>
      <c r="N174" s="22">
        <v>234929.45366171494</v>
      </c>
      <c r="O174" s="22">
        <v>244852.54611817398</v>
      </c>
      <c r="P174" s="22">
        <v>251606.16669686648</v>
      </c>
      <c r="Q174" s="22">
        <v>268651.37677526782</v>
      </c>
      <c r="R174" s="22">
        <v>282400.10029778135</v>
      </c>
      <c r="S174" s="22">
        <v>287063.36568659852</v>
      </c>
      <c r="T174" s="22">
        <v>289477.73783384106</v>
      </c>
      <c r="U174" s="22">
        <v>310344.6241585082</v>
      </c>
      <c r="V174" s="22">
        <v>320206.5009536802</v>
      </c>
      <c r="W174" s="22">
        <v>338891.44639965158</v>
      </c>
      <c r="X174" s="22">
        <v>354295.39024371811</v>
      </c>
      <c r="Y174" s="22">
        <v>368765.25963046</v>
      </c>
      <c r="Z174" s="22">
        <v>373277.0534465448</v>
      </c>
      <c r="AA174" s="23">
        <v>364105.51517691271</v>
      </c>
      <c r="AB174" s="96">
        <f t="shared" ref="AB174" si="58">+SUM(D174:AA174)*AC174+SUM(D175:AA175)*AC175+SUM(D176:AA176)*AC176</f>
        <v>218392299.7930119</v>
      </c>
      <c r="AC174" s="16">
        <v>21</v>
      </c>
      <c r="AD174" s="16">
        <f t="shared" si="44"/>
        <v>152201896.67555526</v>
      </c>
    </row>
    <row r="175" spans="1:30" ht="13.5" thickBot="1" x14ac:dyDescent="0.35">
      <c r="A175" s="18">
        <v>2030</v>
      </c>
      <c r="B175" s="19" t="s">
        <v>43</v>
      </c>
      <c r="C175" s="20" t="s">
        <v>34</v>
      </c>
      <c r="D175" s="21">
        <v>364696.58435531467</v>
      </c>
      <c r="E175" s="22">
        <v>349928.52828962356</v>
      </c>
      <c r="F175" s="22">
        <v>336952.00043539709</v>
      </c>
      <c r="G175" s="22">
        <v>325644.18943911477</v>
      </c>
      <c r="H175" s="22">
        <v>314490.99739089917</v>
      </c>
      <c r="I175" s="22">
        <v>295696.2704865628</v>
      </c>
      <c r="J175" s="22">
        <v>277466.781071431</v>
      </c>
      <c r="K175" s="22">
        <v>232897.67476113228</v>
      </c>
      <c r="L175" s="22">
        <v>232684.16816043173</v>
      </c>
      <c r="M175" s="22">
        <v>233862.32348907262</v>
      </c>
      <c r="N175" s="22">
        <v>240203.00836099734</v>
      </c>
      <c r="O175" s="22">
        <v>251122.04980569571</v>
      </c>
      <c r="P175" s="22">
        <v>257999.9532246443</v>
      </c>
      <c r="Q175" s="22">
        <v>279400.87323805678</v>
      </c>
      <c r="R175" s="22">
        <v>294237.98485741485</v>
      </c>
      <c r="S175" s="22">
        <v>298168.63227951265</v>
      </c>
      <c r="T175" s="22">
        <v>299102.56151299825</v>
      </c>
      <c r="U175" s="22">
        <v>316032.11176939995</v>
      </c>
      <c r="V175" s="22">
        <v>324223.96009432251</v>
      </c>
      <c r="W175" s="22">
        <v>344106.97545314132</v>
      </c>
      <c r="X175" s="22">
        <v>361411.15809590719</v>
      </c>
      <c r="Y175" s="22">
        <v>376322.13890212961</v>
      </c>
      <c r="Z175" s="22">
        <v>379693.680972617</v>
      </c>
      <c r="AA175" s="23">
        <v>368144.62882714474</v>
      </c>
      <c r="AB175" s="97"/>
      <c r="AC175" s="16">
        <v>4</v>
      </c>
      <c r="AD175" s="16">
        <f t="shared" si="44"/>
        <v>29417956.941091843</v>
      </c>
    </row>
    <row r="176" spans="1:30" ht="13.5" thickBot="1" x14ac:dyDescent="0.35">
      <c r="A176" s="18">
        <v>2030</v>
      </c>
      <c r="B176" s="25" t="s">
        <v>43</v>
      </c>
      <c r="C176" s="26" t="s">
        <v>36</v>
      </c>
      <c r="D176" s="21">
        <v>364696.58435531467</v>
      </c>
      <c r="E176" s="22">
        <v>349928.52828962356</v>
      </c>
      <c r="F176" s="22">
        <v>336952.00043539709</v>
      </c>
      <c r="G176" s="22">
        <v>325644.18943911477</v>
      </c>
      <c r="H176" s="22">
        <v>314490.99739089917</v>
      </c>
      <c r="I176" s="22">
        <v>295696.2704865628</v>
      </c>
      <c r="J176" s="22">
        <v>277466.781071431</v>
      </c>
      <c r="K176" s="22">
        <v>232897.67476113228</v>
      </c>
      <c r="L176" s="22">
        <v>232684.16816043173</v>
      </c>
      <c r="M176" s="22">
        <v>233862.32348907265</v>
      </c>
      <c r="N176" s="22">
        <v>240203.00836099737</v>
      </c>
      <c r="O176" s="22">
        <v>251122.04980569571</v>
      </c>
      <c r="P176" s="22">
        <v>257999.9532246443</v>
      </c>
      <c r="Q176" s="22">
        <v>279400.87323805678</v>
      </c>
      <c r="R176" s="22">
        <v>294237.98485741485</v>
      </c>
      <c r="S176" s="22">
        <v>298168.63227951265</v>
      </c>
      <c r="T176" s="22">
        <v>299102.56151299825</v>
      </c>
      <c r="U176" s="22">
        <v>316032.11176939995</v>
      </c>
      <c r="V176" s="22">
        <v>324223.96009432251</v>
      </c>
      <c r="W176" s="22">
        <v>344106.97545314132</v>
      </c>
      <c r="X176" s="22">
        <v>361411.15809590719</v>
      </c>
      <c r="Y176" s="22">
        <v>376322.13890212961</v>
      </c>
      <c r="Z176" s="22">
        <v>379693.680972617</v>
      </c>
      <c r="AA176" s="23">
        <v>368144.62882714474</v>
      </c>
      <c r="AB176" s="97"/>
      <c r="AC176" s="16">
        <v>5</v>
      </c>
      <c r="AD176" s="16">
        <f t="shared" si="44"/>
        <v>36772446.176364802</v>
      </c>
    </row>
    <row r="177" spans="1:30" ht="13.5" thickBot="1" x14ac:dyDescent="0.35">
      <c r="A177" s="18">
        <v>2030</v>
      </c>
      <c r="B177" s="11" t="s">
        <v>44</v>
      </c>
      <c r="C177" s="12" t="s">
        <v>33</v>
      </c>
      <c r="D177" s="21">
        <v>355689.98108358576</v>
      </c>
      <c r="E177" s="22">
        <v>341909.31092791964</v>
      </c>
      <c r="F177" s="22">
        <v>329341.98725125124</v>
      </c>
      <c r="G177" s="22">
        <v>318472.29999608354</v>
      </c>
      <c r="H177" s="22">
        <v>307951.77869160956</v>
      </c>
      <c r="I177" s="22">
        <v>291173.68419616611</v>
      </c>
      <c r="J177" s="22">
        <v>274857.70927381056</v>
      </c>
      <c r="K177" s="22">
        <v>227689.85775799371</v>
      </c>
      <c r="L177" s="22">
        <v>224555.88861492631</v>
      </c>
      <c r="M177" s="22">
        <v>224110.13688074725</v>
      </c>
      <c r="N177" s="22">
        <v>228870.70850273457</v>
      </c>
      <c r="O177" s="22">
        <v>238515.90398444666</v>
      </c>
      <c r="P177" s="22">
        <v>245032.83468054945</v>
      </c>
      <c r="Q177" s="22">
        <v>261435.22851933548</v>
      </c>
      <c r="R177" s="22">
        <v>275012.19172910787</v>
      </c>
      <c r="S177" s="22">
        <v>279721.57061603491</v>
      </c>
      <c r="T177" s="22">
        <v>282348.476418334</v>
      </c>
      <c r="U177" s="22">
        <v>303651.71249378909</v>
      </c>
      <c r="V177" s="22">
        <v>313396.93081390305</v>
      </c>
      <c r="W177" s="22">
        <v>331496.93722647545</v>
      </c>
      <c r="X177" s="22">
        <v>346323.32142205659</v>
      </c>
      <c r="Y177" s="22">
        <v>360390.47642040515</v>
      </c>
      <c r="Z177" s="22">
        <v>364960.89165676967</v>
      </c>
      <c r="AA177" s="23">
        <v>356260.40481330245</v>
      </c>
      <c r="AB177" s="96">
        <f t="shared" ref="AB177" si="59">+SUM(D177:AA177)*AC177+SUM(D178:AA178)*AC178+SUM(D179:AA179)*AC179</f>
        <v>220381284.62890357</v>
      </c>
      <c r="AC177" s="16">
        <v>22</v>
      </c>
      <c r="AD177" s="16">
        <f t="shared" si="44"/>
        <v>155829744.92736945</v>
      </c>
    </row>
    <row r="178" spans="1:30" ht="13.5" thickBot="1" x14ac:dyDescent="0.35">
      <c r="A178" s="18">
        <v>2030</v>
      </c>
      <c r="B178" s="19" t="s">
        <v>44</v>
      </c>
      <c r="C178" s="20" t="s">
        <v>34</v>
      </c>
      <c r="D178" s="21">
        <v>358299.96657110931</v>
      </c>
      <c r="E178" s="22">
        <v>344427.705033837</v>
      </c>
      <c r="F178" s="22">
        <v>331910.63200697419</v>
      </c>
      <c r="G178" s="22">
        <v>321037.53134182008</v>
      </c>
      <c r="H178" s="22">
        <v>310329.63741766801</v>
      </c>
      <c r="I178" s="22">
        <v>292935.51665854396</v>
      </c>
      <c r="J178" s="22">
        <v>275908.80293580354</v>
      </c>
      <c r="K178" s="22">
        <v>229157.74908679002</v>
      </c>
      <c r="L178" s="22">
        <v>225821.20730857021</v>
      </c>
      <c r="M178" s="22">
        <v>225212.75031588628</v>
      </c>
      <c r="N178" s="22">
        <v>230226.53907660244</v>
      </c>
      <c r="O178" s="22">
        <v>240302.70588638898</v>
      </c>
      <c r="P178" s="22">
        <v>247624.41369280667</v>
      </c>
      <c r="Q178" s="22">
        <v>266169.80368421756</v>
      </c>
      <c r="R178" s="22">
        <v>279555.77320965467</v>
      </c>
      <c r="S178" s="22">
        <v>284182.70643878082</v>
      </c>
      <c r="T178" s="22">
        <v>286383.57448164036</v>
      </c>
      <c r="U178" s="22">
        <v>306237.95383074094</v>
      </c>
      <c r="V178" s="22">
        <v>315692.7546864688</v>
      </c>
      <c r="W178" s="22">
        <v>335364.67413951259</v>
      </c>
      <c r="X178" s="22">
        <v>352061.35678108659</v>
      </c>
      <c r="Y178" s="22">
        <v>367043.37359276105</v>
      </c>
      <c r="Z178" s="22">
        <v>370750.33392282261</v>
      </c>
      <c r="AA178" s="23">
        <v>360172.34166249109</v>
      </c>
      <c r="AB178" s="97"/>
      <c r="AC178" s="16">
        <v>4</v>
      </c>
      <c r="AD178" s="16">
        <f t="shared" si="44"/>
        <v>28627239.215051915</v>
      </c>
    </row>
    <row r="179" spans="1:30" ht="13.5" thickBot="1" x14ac:dyDescent="0.35">
      <c r="A179" s="18">
        <v>2030</v>
      </c>
      <c r="B179" s="25" t="s">
        <v>44</v>
      </c>
      <c r="C179" s="26" t="s">
        <v>36</v>
      </c>
      <c r="D179" s="21">
        <v>357035.86610587942</v>
      </c>
      <c r="E179" s="22">
        <v>342562.38725218445</v>
      </c>
      <c r="F179" s="22">
        <v>329844.70114257775</v>
      </c>
      <c r="G179" s="22">
        <v>318762.44613160903</v>
      </c>
      <c r="H179" s="22">
        <v>307831.72589713836</v>
      </c>
      <c r="I179" s="22">
        <v>289411.89588018355</v>
      </c>
      <c r="J179" s="22">
        <v>271546.02860625525</v>
      </c>
      <c r="K179" s="22">
        <v>226963.83837439475</v>
      </c>
      <c r="L179" s="22">
        <v>226554.83296344144</v>
      </c>
      <c r="M179" s="22">
        <v>227578.08859976177</v>
      </c>
      <c r="N179" s="22">
        <v>233719.66925904021</v>
      </c>
      <c r="O179" s="22">
        <v>244395.7987779805</v>
      </c>
      <c r="P179" s="22">
        <v>251143.1313354217</v>
      </c>
      <c r="Q179" s="22">
        <v>272154.85066943342</v>
      </c>
      <c r="R179" s="22">
        <v>286766.1373332084</v>
      </c>
      <c r="S179" s="22">
        <v>290741.43853350281</v>
      </c>
      <c r="T179" s="22">
        <v>291853.79247643478</v>
      </c>
      <c r="U179" s="22">
        <v>309060.58772271028</v>
      </c>
      <c r="V179" s="22">
        <v>317089.03391603788</v>
      </c>
      <c r="W179" s="22">
        <v>336575.44438627665</v>
      </c>
      <c r="X179" s="22">
        <v>353534.46190669335</v>
      </c>
      <c r="Y179" s="22">
        <v>368148.01459275652</v>
      </c>
      <c r="Z179" s="22">
        <v>371452.30478805921</v>
      </c>
      <c r="AA179" s="23">
        <v>360133.62064546265</v>
      </c>
      <c r="AB179" s="97"/>
      <c r="AC179" s="16">
        <v>5</v>
      </c>
      <c r="AD179" s="16">
        <f t="shared" si="44"/>
        <v>35924300.486482218</v>
      </c>
    </row>
    <row r="180" spans="1:30" ht="13.5" thickBot="1" x14ac:dyDescent="0.35">
      <c r="A180" s="18">
        <v>2030</v>
      </c>
      <c r="B180" s="11" t="s">
        <v>45</v>
      </c>
      <c r="C180" s="12" t="s">
        <v>33</v>
      </c>
      <c r="D180" s="21">
        <v>347083.65362636297</v>
      </c>
      <c r="E180" s="22">
        <v>333807.00683515391</v>
      </c>
      <c r="F180" s="22">
        <v>321607.56618409225</v>
      </c>
      <c r="G180" s="22">
        <v>311063.26957386784</v>
      </c>
      <c r="H180" s="22">
        <v>300851.35403308208</v>
      </c>
      <c r="I180" s="22">
        <v>284738.41252641456</v>
      </c>
      <c r="J180" s="22">
        <v>269016.01494023838</v>
      </c>
      <c r="K180" s="22">
        <v>221110.5929014998</v>
      </c>
      <c r="L180" s="22">
        <v>216811.55826792703</v>
      </c>
      <c r="M180" s="22">
        <v>215643.19307680381</v>
      </c>
      <c r="N180" s="22">
        <v>219839.66942341169</v>
      </c>
      <c r="O180" s="22">
        <v>229056.78506318646</v>
      </c>
      <c r="P180" s="22">
        <v>235647.19560846299</v>
      </c>
      <c r="Q180" s="22">
        <v>251149.78934576246</v>
      </c>
      <c r="R180" s="22">
        <v>264161.79490198725</v>
      </c>
      <c r="S180" s="22">
        <v>269173.88554985652</v>
      </c>
      <c r="T180" s="22">
        <v>272398.86150600616</v>
      </c>
      <c r="U180" s="22">
        <v>294785.46641700331</v>
      </c>
      <c r="V180" s="22">
        <v>304686.68716889946</v>
      </c>
      <c r="W180" s="22">
        <v>322503.51220430667</v>
      </c>
      <c r="X180" s="22">
        <v>337016.72174203367</v>
      </c>
      <c r="Y180" s="22">
        <v>350908.33050270868</v>
      </c>
      <c r="Z180" s="22">
        <v>355426.47505804925</v>
      </c>
      <c r="AA180" s="23">
        <v>347027.79138281697</v>
      </c>
      <c r="AB180" s="96">
        <f t="shared" ref="AB180" si="60">+SUM(D180:AA180)*AC180+SUM(D181:AA181)*AC181+SUM(D182:AA182)*AC182</f>
        <v>207430032.70722815</v>
      </c>
      <c r="AC180" s="16">
        <v>19</v>
      </c>
      <c r="AD180" s="16">
        <f t="shared" si="44"/>
        <v>130634796.16895872</v>
      </c>
    </row>
    <row r="181" spans="1:30" ht="13.5" thickBot="1" x14ac:dyDescent="0.35">
      <c r="A181" s="18">
        <v>2030</v>
      </c>
      <c r="B181" s="19" t="s">
        <v>45</v>
      </c>
      <c r="C181" s="20" t="s">
        <v>34</v>
      </c>
      <c r="D181" s="21">
        <v>351102.38672789943</v>
      </c>
      <c r="E181" s="22">
        <v>337873.83435590845</v>
      </c>
      <c r="F181" s="22">
        <v>325737.35411310085</v>
      </c>
      <c r="G181" s="22">
        <v>315215.29436513444</v>
      </c>
      <c r="H181" s="22">
        <v>304862.97649887059</v>
      </c>
      <c r="I181" s="22">
        <v>288435.21316396887</v>
      </c>
      <c r="J181" s="22">
        <v>272257.86966172478</v>
      </c>
      <c r="K181" s="22">
        <v>224092.12669296219</v>
      </c>
      <c r="L181" s="22">
        <v>218770.42482417892</v>
      </c>
      <c r="M181" s="22">
        <v>216994.99578197516</v>
      </c>
      <c r="N181" s="22">
        <v>221119.00719584705</v>
      </c>
      <c r="O181" s="22">
        <v>230589.16792157487</v>
      </c>
      <c r="P181" s="22">
        <v>238104.68307153019</v>
      </c>
      <c r="Q181" s="22">
        <v>254880.01223248514</v>
      </c>
      <c r="R181" s="22">
        <v>267386.55425506533</v>
      </c>
      <c r="S181" s="22">
        <v>272507.7435034833</v>
      </c>
      <c r="T181" s="22">
        <v>275635.92532876588</v>
      </c>
      <c r="U181" s="22">
        <v>297444.43866306916</v>
      </c>
      <c r="V181" s="22">
        <v>307535.9189204665</v>
      </c>
      <c r="W181" s="22">
        <v>326903.00852292241</v>
      </c>
      <c r="X181" s="22">
        <v>343095.09757006547</v>
      </c>
      <c r="Y181" s="22">
        <v>357978.01687520713</v>
      </c>
      <c r="Z181" s="22">
        <v>361842.90292701707</v>
      </c>
      <c r="AA181" s="23">
        <v>351921.06755483814</v>
      </c>
      <c r="AB181" s="97"/>
      <c r="AC181" s="16">
        <v>5</v>
      </c>
      <c r="AD181" s="16">
        <f t="shared" si="44"/>
        <v>34811430.10364031</v>
      </c>
    </row>
    <row r="182" spans="1:30" ht="13.5" thickBot="1" x14ac:dyDescent="0.35">
      <c r="A182" s="18">
        <v>2030</v>
      </c>
      <c r="B182" s="25" t="s">
        <v>45</v>
      </c>
      <c r="C182" s="26" t="s">
        <v>36</v>
      </c>
      <c r="D182" s="21">
        <v>348726.01994440332</v>
      </c>
      <c r="E182" s="22">
        <v>334572.07918552641</v>
      </c>
      <c r="F182" s="22">
        <v>322135.16767275572</v>
      </c>
      <c r="G182" s="22">
        <v>311297.58104374906</v>
      </c>
      <c r="H182" s="22">
        <v>300608.18368362106</v>
      </c>
      <c r="I182" s="22">
        <v>282595.01729259826</v>
      </c>
      <c r="J182" s="22">
        <v>265123.58353729342</v>
      </c>
      <c r="K182" s="22">
        <v>220348.1307238428</v>
      </c>
      <c r="L182" s="22">
        <v>219594.98999313739</v>
      </c>
      <c r="M182" s="22">
        <v>220363.34521876593</v>
      </c>
      <c r="N182" s="22">
        <v>226240.93279477881</v>
      </c>
      <c r="O182" s="22">
        <v>236636.96524914703</v>
      </c>
      <c r="P182" s="22">
        <v>243247.04132994523</v>
      </c>
      <c r="Q182" s="22">
        <v>263861.49473175238</v>
      </c>
      <c r="R182" s="22">
        <v>278274.18794431799</v>
      </c>
      <c r="S182" s="22">
        <v>282379.28726558044</v>
      </c>
      <c r="T182" s="22">
        <v>283815.4679670225</v>
      </c>
      <c r="U182" s="22">
        <v>301498.33436046279</v>
      </c>
      <c r="V182" s="22">
        <v>309349.53260760562</v>
      </c>
      <c r="W182" s="22">
        <v>328405.73203187209</v>
      </c>
      <c r="X182" s="22">
        <v>344990.33700066665</v>
      </c>
      <c r="Y182" s="22">
        <v>359281.25911317993</v>
      </c>
      <c r="Z182" s="22">
        <v>362512.59887241904</v>
      </c>
      <c r="AA182" s="23">
        <v>351443.80287373968</v>
      </c>
      <c r="AB182" s="97"/>
      <c r="AC182" s="16">
        <v>6</v>
      </c>
      <c r="AD182" s="16">
        <f t="shared" si="44"/>
        <v>41983806.434629105</v>
      </c>
    </row>
    <row r="183" spans="1:30" ht="13.5" thickBot="1" x14ac:dyDescent="0.35">
      <c r="A183" s="18">
        <v>2030</v>
      </c>
      <c r="B183" s="11" t="s">
        <v>46</v>
      </c>
      <c r="C183" s="12" t="s">
        <v>33</v>
      </c>
      <c r="D183" s="21">
        <v>344388.80840405967</v>
      </c>
      <c r="E183" s="22">
        <v>332207.05883643858</v>
      </c>
      <c r="F183" s="22">
        <v>321019.42440581345</v>
      </c>
      <c r="G183" s="22">
        <v>311015.35033424804</v>
      </c>
      <c r="H183" s="22">
        <v>301065.06476993836</v>
      </c>
      <c r="I183" s="22">
        <v>285308.8702201132</v>
      </c>
      <c r="J183" s="22">
        <v>269566.5412038886</v>
      </c>
      <c r="K183" s="22">
        <v>221362.14627107442</v>
      </c>
      <c r="L183" s="22">
        <v>217303.93030632086</v>
      </c>
      <c r="M183" s="22">
        <v>216171.45062110355</v>
      </c>
      <c r="N183" s="22">
        <v>220328.5854274928</v>
      </c>
      <c r="O183" s="22">
        <v>229332.26139509026</v>
      </c>
      <c r="P183" s="22">
        <v>235758.49125951077</v>
      </c>
      <c r="Q183" s="22">
        <v>250943.07187783183</v>
      </c>
      <c r="R183" s="22">
        <v>263538.78572055686</v>
      </c>
      <c r="S183" s="22">
        <v>268472.33072171296</v>
      </c>
      <c r="T183" s="22">
        <v>271387.73911618278</v>
      </c>
      <c r="U183" s="22">
        <v>293876.89149155328</v>
      </c>
      <c r="V183" s="22">
        <v>303673.88203420292</v>
      </c>
      <c r="W183" s="22">
        <v>321246.2311019699</v>
      </c>
      <c r="X183" s="22">
        <v>335712.84479011176</v>
      </c>
      <c r="Y183" s="22">
        <v>349604.47437049419</v>
      </c>
      <c r="Z183" s="22">
        <v>354167.07555672654</v>
      </c>
      <c r="AA183" s="23">
        <v>346098.93763741473</v>
      </c>
      <c r="AB183" s="96">
        <f t="shared" ref="AB183" si="61">+SUM(D183:AA183)*AC183+SUM(D184:AA184)*AC184+SUM(D185:AA185)*AC185</f>
        <v>214084737.5947367</v>
      </c>
      <c r="AC183" s="16">
        <v>21</v>
      </c>
      <c r="AD183" s="16">
        <f t="shared" si="44"/>
        <v>144134555.20535085</v>
      </c>
    </row>
    <row r="184" spans="1:30" ht="13.5" thickBot="1" x14ac:dyDescent="0.35">
      <c r="A184" s="18">
        <v>2030</v>
      </c>
      <c r="B184" s="19" t="s">
        <v>46</v>
      </c>
      <c r="C184" s="20" t="s">
        <v>34</v>
      </c>
      <c r="D184" s="21">
        <v>350310.954963475</v>
      </c>
      <c r="E184" s="22">
        <v>336732.14803612459</v>
      </c>
      <c r="F184" s="22">
        <v>324479.8618843212</v>
      </c>
      <c r="G184" s="22">
        <v>313836.77140934125</v>
      </c>
      <c r="H184" s="22">
        <v>303355.39288256364</v>
      </c>
      <c r="I184" s="22">
        <v>286329.22834374208</v>
      </c>
      <c r="J184" s="22">
        <v>269662.6986919503</v>
      </c>
      <c r="K184" s="22">
        <v>222815.39191096241</v>
      </c>
      <c r="L184" s="22">
        <v>219242.78614187834</v>
      </c>
      <c r="M184" s="22">
        <v>218445.49134566513</v>
      </c>
      <c r="N184" s="22">
        <v>223241.72920751845</v>
      </c>
      <c r="O184" s="22">
        <v>233066.1971000965</v>
      </c>
      <c r="P184" s="22">
        <v>240243.1866127894</v>
      </c>
      <c r="Q184" s="22">
        <v>258454.11111698719</v>
      </c>
      <c r="R184" s="22">
        <v>271664.56830205634</v>
      </c>
      <c r="S184" s="22">
        <v>276382.52803203143</v>
      </c>
      <c r="T184" s="22">
        <v>278839.33346637123</v>
      </c>
      <c r="U184" s="22">
        <v>299051.71651699417</v>
      </c>
      <c r="V184" s="22">
        <v>308306.50997742068</v>
      </c>
      <c r="W184" s="22">
        <v>327562.28852697904</v>
      </c>
      <c r="X184" s="22">
        <v>343905.76859387488</v>
      </c>
      <c r="Y184" s="22">
        <v>358570.85496940522</v>
      </c>
      <c r="Z184" s="22">
        <v>362199.39804971049</v>
      </c>
      <c r="AA184" s="23">
        <v>351845.17323956516</v>
      </c>
      <c r="AB184" s="97"/>
      <c r="AC184" s="16">
        <v>4</v>
      </c>
      <c r="AD184" s="16">
        <f t="shared" si="44"/>
        <v>27914176.357287299</v>
      </c>
    </row>
    <row r="185" spans="1:30" ht="13.5" thickBot="1" x14ac:dyDescent="0.35">
      <c r="A185" s="28">
        <v>2030</v>
      </c>
      <c r="B185" s="25" t="s">
        <v>46</v>
      </c>
      <c r="C185" s="26" t="s">
        <v>36</v>
      </c>
      <c r="D185" s="21">
        <v>349073.59535141668</v>
      </c>
      <c r="E185" s="22">
        <v>334906.28929296572</v>
      </c>
      <c r="F185" s="22">
        <v>322457.6338389861</v>
      </c>
      <c r="G185" s="22">
        <v>311609.81348112435</v>
      </c>
      <c r="H185" s="22">
        <v>300910.32232447591</v>
      </c>
      <c r="I185" s="22">
        <v>282880.14643982897</v>
      </c>
      <c r="J185" s="22">
        <v>265392.21473882074</v>
      </c>
      <c r="K185" s="22">
        <v>220667.89131061547</v>
      </c>
      <c r="L185" s="22">
        <v>219960.8926379015</v>
      </c>
      <c r="M185" s="22">
        <v>220760.79312889048</v>
      </c>
      <c r="N185" s="22">
        <v>226660.96551531003</v>
      </c>
      <c r="O185" s="22">
        <v>237072.70447175318</v>
      </c>
      <c r="P185" s="22">
        <v>243687.46910216965</v>
      </c>
      <c r="Q185" s="22">
        <v>264312.55007771525</v>
      </c>
      <c r="R185" s="22">
        <v>278722.40397265466</v>
      </c>
      <c r="S185" s="22">
        <v>282802.51633481524</v>
      </c>
      <c r="T185" s="22">
        <v>284193.83415843622</v>
      </c>
      <c r="U185" s="22">
        <v>301814.64025099861</v>
      </c>
      <c r="V185" s="22">
        <v>309673.25223671604</v>
      </c>
      <c r="W185" s="22">
        <v>328747.44607104751</v>
      </c>
      <c r="X185" s="22">
        <v>345347.71156983165</v>
      </c>
      <c r="Y185" s="22">
        <v>359652.12833083031</v>
      </c>
      <c r="Z185" s="22">
        <v>362886.51938332012</v>
      </c>
      <c r="AA185" s="23">
        <v>351807.2713291343</v>
      </c>
      <c r="AB185" s="97"/>
      <c r="AC185" s="16">
        <v>6</v>
      </c>
      <c r="AD185" s="16">
        <f t="shared" si="44"/>
        <v>42036006.032098554</v>
      </c>
    </row>
    <row r="186" spans="1:30" ht="13.5" thickBot="1" x14ac:dyDescent="0.35">
      <c r="A186" s="10">
        <v>2031</v>
      </c>
      <c r="B186" s="11" t="s">
        <v>32</v>
      </c>
      <c r="C186" s="12" t="s">
        <v>33</v>
      </c>
      <c r="D186" s="21">
        <v>338623.9212107989</v>
      </c>
      <c r="E186" s="22">
        <v>324774.73045824957</v>
      </c>
      <c r="F186" s="22">
        <v>311401.13144689414</v>
      </c>
      <c r="G186" s="22">
        <v>299488.33754943713</v>
      </c>
      <c r="H186" s="22">
        <v>288615.13594806707</v>
      </c>
      <c r="I186" s="22">
        <v>277753.9254628882</v>
      </c>
      <c r="J186" s="22">
        <v>263500.07197904761</v>
      </c>
      <c r="K186" s="22">
        <v>213892.75621585938</v>
      </c>
      <c r="L186" s="22">
        <v>215879.44476492101</v>
      </c>
      <c r="M186" s="22">
        <v>219102.02374902094</v>
      </c>
      <c r="N186" s="22">
        <v>225158.05926709293</v>
      </c>
      <c r="O186" s="22">
        <v>234619.53380526611</v>
      </c>
      <c r="P186" s="22">
        <v>239586.7724091342</v>
      </c>
      <c r="Q186" s="22">
        <v>254888.06113377796</v>
      </c>
      <c r="R186" s="22">
        <v>269118.73084272741</v>
      </c>
      <c r="S186" s="22">
        <v>273921.63292769756</v>
      </c>
      <c r="T186" s="22">
        <v>272742.6361078801</v>
      </c>
      <c r="U186" s="22">
        <v>287612.59960174345</v>
      </c>
      <c r="V186" s="22">
        <v>299017.96294842282</v>
      </c>
      <c r="W186" s="22">
        <v>309610.84934597684</v>
      </c>
      <c r="X186" s="22">
        <v>321596.92127160117</v>
      </c>
      <c r="Y186" s="22">
        <v>335257.72310566652</v>
      </c>
      <c r="Z186" s="22">
        <v>341932.00082480384</v>
      </c>
      <c r="AA186" s="23">
        <v>335687.87480146094</v>
      </c>
      <c r="AB186" s="96">
        <f t="shared" ref="AB186" si="62">+SUM(D186:AA186)*AC186+SUM(D187:AA187)*AC187+SUM(D188:AA188)*AC188</f>
        <v>207148304.46886009</v>
      </c>
      <c r="AC186" s="16">
        <v>21</v>
      </c>
      <c r="AD186" s="16">
        <f t="shared" si="44"/>
        <v>141829439.5807471</v>
      </c>
    </row>
    <row r="187" spans="1:30" ht="13.5" thickBot="1" x14ac:dyDescent="0.35">
      <c r="A187" s="18">
        <v>2031</v>
      </c>
      <c r="B187" s="19" t="s">
        <v>32</v>
      </c>
      <c r="C187" s="20" t="s">
        <v>34</v>
      </c>
      <c r="D187" s="21">
        <v>328463.45094152325</v>
      </c>
      <c r="E187" s="22">
        <v>316374.97680452809</v>
      </c>
      <c r="F187" s="22">
        <v>305407.39233744261</v>
      </c>
      <c r="G187" s="22">
        <v>295033.29310648341</v>
      </c>
      <c r="H187" s="22">
        <v>285469.54075289925</v>
      </c>
      <c r="I187" s="22">
        <v>275999.79014785023</v>
      </c>
      <c r="J187" s="22">
        <v>260387.52009372908</v>
      </c>
      <c r="K187" s="22">
        <v>205190.42331863515</v>
      </c>
      <c r="L187" s="22">
        <v>196398.67312136511</v>
      </c>
      <c r="M187" s="22">
        <v>193159.83568423137</v>
      </c>
      <c r="N187" s="22">
        <v>195538.02152271059</v>
      </c>
      <c r="O187" s="22">
        <v>202852.62247763912</v>
      </c>
      <c r="P187" s="22">
        <v>209469.38384779604</v>
      </c>
      <c r="Q187" s="22">
        <v>221296.10006878086</v>
      </c>
      <c r="R187" s="22">
        <v>230676.93437501031</v>
      </c>
      <c r="S187" s="22">
        <v>237049.38578731971</v>
      </c>
      <c r="T187" s="22">
        <v>240462.12844582304</v>
      </c>
      <c r="U187" s="22">
        <v>262927.77792134567</v>
      </c>
      <c r="V187" s="22">
        <v>281118.72144501435</v>
      </c>
      <c r="W187" s="22">
        <v>293352.98037391831</v>
      </c>
      <c r="X187" s="22">
        <v>306404.23000922072</v>
      </c>
      <c r="Y187" s="22">
        <v>321916.5518945941</v>
      </c>
      <c r="Z187" s="22">
        <v>329915.19327296724</v>
      </c>
      <c r="AA187" s="23">
        <v>324005.48891127727</v>
      </c>
      <c r="AB187" s="97"/>
      <c r="AC187" s="16">
        <v>4</v>
      </c>
      <c r="AD187" s="16">
        <f t="shared" si="44"/>
        <v>25275481.666648421</v>
      </c>
    </row>
    <row r="188" spans="1:30" ht="13.5" thickBot="1" x14ac:dyDescent="0.35">
      <c r="A188" s="18">
        <v>2031</v>
      </c>
      <c r="B188" s="25" t="s">
        <v>32</v>
      </c>
      <c r="C188" s="26" t="s">
        <v>36</v>
      </c>
      <c r="D188" s="21">
        <v>327405.99326727696</v>
      </c>
      <c r="E188" s="22">
        <v>313884.2535542504</v>
      </c>
      <c r="F188" s="22">
        <v>302134.96515855443</v>
      </c>
      <c r="G188" s="22">
        <v>291824.25956870179</v>
      </c>
      <c r="H188" s="22">
        <v>282514.95632199448</v>
      </c>
      <c r="I188" s="22">
        <v>273595.32366068743</v>
      </c>
      <c r="J188" s="22">
        <v>261570.55351464738</v>
      </c>
      <c r="K188" s="22">
        <v>214543.16149057119</v>
      </c>
      <c r="L188" s="22">
        <v>215484.50047890979</v>
      </c>
      <c r="M188" s="22">
        <v>216836.45432811871</v>
      </c>
      <c r="N188" s="22">
        <v>223021.82238615569</v>
      </c>
      <c r="O188" s="22">
        <v>230695.23402578259</v>
      </c>
      <c r="P188" s="22">
        <v>234083.93477739158</v>
      </c>
      <c r="Q188" s="22">
        <v>247818.47838358887</v>
      </c>
      <c r="R188" s="22">
        <v>264352.55317541497</v>
      </c>
      <c r="S188" s="22">
        <v>270531.04998591536</v>
      </c>
      <c r="T188" s="22">
        <v>269090.46997990558</v>
      </c>
      <c r="U188" s="22">
        <v>283296.77688464295</v>
      </c>
      <c r="V188" s="22">
        <v>297407.64844521164</v>
      </c>
      <c r="W188" s="22">
        <v>309288.37117292942</v>
      </c>
      <c r="X188" s="22">
        <v>323102.42003931833</v>
      </c>
      <c r="Y188" s="22">
        <v>338901.24987814791</v>
      </c>
      <c r="Z188" s="22">
        <v>345003.71048133523</v>
      </c>
      <c r="AA188" s="23">
        <v>337509.06261797593</v>
      </c>
      <c r="AB188" s="97"/>
      <c r="AC188" s="16">
        <v>6</v>
      </c>
      <c r="AD188" s="16">
        <f t="shared" si="44"/>
        <v>40043383.221464574</v>
      </c>
    </row>
    <row r="189" spans="1:30" ht="13.5" thickBot="1" x14ac:dyDescent="0.35">
      <c r="A189" s="18">
        <v>2031</v>
      </c>
      <c r="B189" s="11" t="s">
        <v>35</v>
      </c>
      <c r="C189" s="12" t="s">
        <v>33</v>
      </c>
      <c r="D189" s="21">
        <v>342512.25021462893</v>
      </c>
      <c r="E189" s="22">
        <v>328446.5765277833</v>
      </c>
      <c r="F189" s="22">
        <v>316164.61112086679</v>
      </c>
      <c r="G189" s="22">
        <v>304787.64820959326</v>
      </c>
      <c r="H189" s="22">
        <v>293300.34797030187</v>
      </c>
      <c r="I189" s="22">
        <v>279661.37026205414</v>
      </c>
      <c r="J189" s="22">
        <v>259920.63034252907</v>
      </c>
      <c r="K189" s="22">
        <v>209503.54367134412</v>
      </c>
      <c r="L189" s="22">
        <v>211158.01568363173</v>
      </c>
      <c r="M189" s="22">
        <v>215195.26974233534</v>
      </c>
      <c r="N189" s="22">
        <v>224797.14310780371</v>
      </c>
      <c r="O189" s="22">
        <v>237210.56635486265</v>
      </c>
      <c r="P189" s="22">
        <v>244521.34848661255</v>
      </c>
      <c r="Q189" s="22">
        <v>264563.77818254026</v>
      </c>
      <c r="R189" s="22">
        <v>280653.04413386941</v>
      </c>
      <c r="S189" s="22">
        <v>284475.87577969983</v>
      </c>
      <c r="T189" s="22">
        <v>282204.82642309868</v>
      </c>
      <c r="U189" s="22">
        <v>293552.77801712614</v>
      </c>
      <c r="V189" s="22">
        <v>302605.01346769452</v>
      </c>
      <c r="W189" s="22">
        <v>317942.76215115201</v>
      </c>
      <c r="X189" s="22">
        <v>331388.41062207322</v>
      </c>
      <c r="Y189" s="22">
        <v>345427.60025010607</v>
      </c>
      <c r="Z189" s="22">
        <v>349021.23910172563</v>
      </c>
      <c r="AA189" s="23">
        <v>340994.83200343989</v>
      </c>
      <c r="AB189" s="96">
        <f t="shared" ref="AB189" si="63">+SUM(D189:AA189)*AC189+SUM(D190:AA190)*AC190+SUM(D191:AA191)*AC191</f>
        <v>190393209.30087736</v>
      </c>
      <c r="AC189" s="16">
        <v>20</v>
      </c>
      <c r="AD189" s="16">
        <f t="shared" si="44"/>
        <v>137200189.63653746</v>
      </c>
    </row>
    <row r="190" spans="1:30" ht="13.5" thickBot="1" x14ac:dyDescent="0.35">
      <c r="A190" s="18">
        <v>2031</v>
      </c>
      <c r="B190" s="19" t="s">
        <v>35</v>
      </c>
      <c r="C190" s="20" t="s">
        <v>34</v>
      </c>
      <c r="D190" s="21">
        <v>331638.66711717041</v>
      </c>
      <c r="E190" s="22">
        <v>321532.65957763308</v>
      </c>
      <c r="F190" s="22">
        <v>310888.47566245438</v>
      </c>
      <c r="G190" s="22">
        <v>302957.14794606669</v>
      </c>
      <c r="H190" s="22">
        <v>295796.43749966315</v>
      </c>
      <c r="I190" s="22">
        <v>286906.59430402296</v>
      </c>
      <c r="J190" s="22">
        <v>272029.70257874363</v>
      </c>
      <c r="K190" s="22">
        <v>214077.42070669669</v>
      </c>
      <c r="L190" s="22">
        <v>204036.36821554729</v>
      </c>
      <c r="M190" s="22">
        <v>202215.40740801278</v>
      </c>
      <c r="N190" s="22">
        <v>205877.55686159246</v>
      </c>
      <c r="O190" s="22">
        <v>213768.94107000637</v>
      </c>
      <c r="P190" s="22">
        <v>218493.1831644421</v>
      </c>
      <c r="Q190" s="22">
        <v>234488.15045754673</v>
      </c>
      <c r="R190" s="22">
        <v>240335.99679936509</v>
      </c>
      <c r="S190" s="22">
        <v>250110.54717818991</v>
      </c>
      <c r="T190" s="22">
        <v>251041.53523880464</v>
      </c>
      <c r="U190" s="22">
        <v>272438.32012402976</v>
      </c>
      <c r="V190" s="22">
        <v>286507.70816549461</v>
      </c>
      <c r="W190" s="22">
        <v>302900.30645464524</v>
      </c>
      <c r="X190" s="22">
        <v>319550.06829578464</v>
      </c>
      <c r="Y190" s="22">
        <v>335939.83868842118</v>
      </c>
      <c r="Z190" s="22">
        <v>339559.08212965971</v>
      </c>
      <c r="AA190" s="23">
        <v>330389.56270915666</v>
      </c>
      <c r="AB190" s="97"/>
      <c r="AC190" s="16">
        <v>4</v>
      </c>
      <c r="AD190" s="16">
        <f t="shared" si="44"/>
        <v>26173918.713412602</v>
      </c>
    </row>
    <row r="191" spans="1:30" ht="13.5" thickBot="1" x14ac:dyDescent="0.35">
      <c r="A191" s="18">
        <v>2031</v>
      </c>
      <c r="B191" s="25" t="s">
        <v>35</v>
      </c>
      <c r="C191" s="26" t="s">
        <v>36</v>
      </c>
      <c r="D191" s="21">
        <v>331483.96022719383</v>
      </c>
      <c r="E191" s="22">
        <v>317884.00123908091</v>
      </c>
      <c r="F191" s="22">
        <v>305584.44591040548</v>
      </c>
      <c r="G191" s="22">
        <v>294956.68395006959</v>
      </c>
      <c r="H191" s="22">
        <v>282868.7461552223</v>
      </c>
      <c r="I191" s="22">
        <v>269245.79448554269</v>
      </c>
      <c r="J191" s="22">
        <v>251208.06496833439</v>
      </c>
      <c r="K191" s="22">
        <v>203926.50097263142</v>
      </c>
      <c r="L191" s="22">
        <v>208273.64362217442</v>
      </c>
      <c r="M191" s="22">
        <v>214523.59228522534</v>
      </c>
      <c r="N191" s="22">
        <v>223265.65251516821</v>
      </c>
      <c r="O191" s="22">
        <v>235660.13528652801</v>
      </c>
      <c r="P191" s="22">
        <v>239451.53927277864</v>
      </c>
      <c r="Q191" s="22">
        <v>264424.28770757822</v>
      </c>
      <c r="R191" s="22">
        <v>281006.94502010057</v>
      </c>
      <c r="S191" s="22">
        <v>282074.17661358236</v>
      </c>
      <c r="T191" s="22">
        <v>279350.08500389155</v>
      </c>
      <c r="U191" s="22">
        <v>289658.1413491175</v>
      </c>
      <c r="V191" s="22">
        <v>298173.43632561993</v>
      </c>
      <c r="W191" s="22">
        <v>316108.59779758361</v>
      </c>
      <c r="X191" s="22">
        <v>331478.31966296729</v>
      </c>
      <c r="Y191" s="22">
        <v>347392.40055739018</v>
      </c>
      <c r="Z191" s="22">
        <v>348721.22904096375</v>
      </c>
      <c r="AA191" s="23">
        <v>338054.85776266921</v>
      </c>
      <c r="AB191" s="97"/>
      <c r="AC191" s="16">
        <v>4</v>
      </c>
      <c r="AD191" s="16">
        <f t="shared" si="44"/>
        <v>27019100.950927284</v>
      </c>
    </row>
    <row r="192" spans="1:30" ht="13.5" thickBot="1" x14ac:dyDescent="0.35">
      <c r="A192" s="18">
        <v>2031</v>
      </c>
      <c r="B192" s="11" t="s">
        <v>37</v>
      </c>
      <c r="C192" s="12" t="s">
        <v>33</v>
      </c>
      <c r="D192" s="21">
        <v>354709.88938945468</v>
      </c>
      <c r="E192" s="22">
        <v>341439.19524275709</v>
      </c>
      <c r="F192" s="22">
        <v>329329.99185507669</v>
      </c>
      <c r="G192" s="22">
        <v>318278.10399040824</v>
      </c>
      <c r="H192" s="22">
        <v>306999.19310666469</v>
      </c>
      <c r="I192" s="22">
        <v>291402.04805817711</v>
      </c>
      <c r="J192" s="22">
        <v>270113.72796122602</v>
      </c>
      <c r="K192" s="22">
        <v>222896.22736256439</v>
      </c>
      <c r="L192" s="22">
        <v>224908.69165910216</v>
      </c>
      <c r="M192" s="22">
        <v>229279.07607732792</v>
      </c>
      <c r="N192" s="22">
        <v>237919.65158610931</v>
      </c>
      <c r="O192" s="22">
        <v>248489.61375689608</v>
      </c>
      <c r="P192" s="22">
        <v>255530.17446670876</v>
      </c>
      <c r="Q192" s="22">
        <v>276220.17084823811</v>
      </c>
      <c r="R192" s="22">
        <v>291420.00330102723</v>
      </c>
      <c r="S192" s="22">
        <v>294904.08297998772</v>
      </c>
      <c r="T192" s="22">
        <v>293441.91020991909</v>
      </c>
      <c r="U192" s="22">
        <v>305052.67781037436</v>
      </c>
      <c r="V192" s="22">
        <v>313461.99378909561</v>
      </c>
      <c r="W192" s="22">
        <v>330439.17657930258</v>
      </c>
      <c r="X192" s="22">
        <v>343910.7580245813</v>
      </c>
      <c r="Y192" s="22">
        <v>358966.31577023101</v>
      </c>
      <c r="Z192" s="22">
        <v>364361.20457156067</v>
      </c>
      <c r="AA192" s="23">
        <v>356353.36470961431</v>
      </c>
      <c r="AB192" s="96">
        <f t="shared" ref="AB192" si="64">+SUM(D192:AA192)*AC192+SUM(D193:AA193)*AC193+SUM(D194:AA194)*AC194</f>
        <v>221865058.17281514</v>
      </c>
      <c r="AC192" s="16">
        <v>20</v>
      </c>
      <c r="AD192" s="16">
        <f t="shared" si="44"/>
        <v>143196544.86212814</v>
      </c>
    </row>
    <row r="193" spans="1:30" ht="13.5" thickBot="1" x14ac:dyDescent="0.35">
      <c r="A193" s="18">
        <v>2031</v>
      </c>
      <c r="B193" s="19" t="s">
        <v>37</v>
      </c>
      <c r="C193" s="20" t="s">
        <v>34</v>
      </c>
      <c r="D193" s="21">
        <v>355951.94594025181</v>
      </c>
      <c r="E193" s="22">
        <v>344666.71520153899</v>
      </c>
      <c r="F193" s="22">
        <v>333952.11254764831</v>
      </c>
      <c r="G193" s="22">
        <v>324358.09071639681</v>
      </c>
      <c r="H193" s="22">
        <v>315672.39103415969</v>
      </c>
      <c r="I193" s="22">
        <v>304442.59284609032</v>
      </c>
      <c r="J193" s="22">
        <v>286743.855310796</v>
      </c>
      <c r="K193" s="22">
        <v>231190.47554452912</v>
      </c>
      <c r="L193" s="22">
        <v>219790.41888857243</v>
      </c>
      <c r="M193" s="22">
        <v>217408.89654680117</v>
      </c>
      <c r="N193" s="22">
        <v>221210.86839524642</v>
      </c>
      <c r="O193" s="22">
        <v>231097.20228302185</v>
      </c>
      <c r="P193" s="22">
        <v>241352.99919473837</v>
      </c>
      <c r="Q193" s="22">
        <v>252909.19806208269</v>
      </c>
      <c r="R193" s="22">
        <v>259575.28894836834</v>
      </c>
      <c r="S193" s="22">
        <v>266946.14852945798</v>
      </c>
      <c r="T193" s="22">
        <v>272367.11680948245</v>
      </c>
      <c r="U193" s="22">
        <v>294102.54146930168</v>
      </c>
      <c r="V193" s="22">
        <v>305934.40682733641</v>
      </c>
      <c r="W193" s="22">
        <v>322084.03431768838</v>
      </c>
      <c r="X193" s="22">
        <v>336915.07305258169</v>
      </c>
      <c r="Y193" s="22">
        <v>351944.64249038906</v>
      </c>
      <c r="Z193" s="22">
        <v>356864.41292847856</v>
      </c>
      <c r="AA193" s="23">
        <v>350015.14011768345</v>
      </c>
      <c r="AB193" s="97"/>
      <c r="AC193" s="16">
        <v>5</v>
      </c>
      <c r="AD193" s="16">
        <f t="shared" si="44"/>
        <v>34987482.840013213</v>
      </c>
    </row>
    <row r="194" spans="1:30" ht="13.5" thickBot="1" x14ac:dyDescent="0.35">
      <c r="A194" s="18">
        <v>2031</v>
      </c>
      <c r="B194" s="25" t="s">
        <v>37</v>
      </c>
      <c r="C194" s="26" t="s">
        <v>36</v>
      </c>
      <c r="D194" s="21">
        <v>356239.07986729458</v>
      </c>
      <c r="E194" s="22">
        <v>343740.98770487169</v>
      </c>
      <c r="F194" s="22">
        <v>332081.33304710104</v>
      </c>
      <c r="G194" s="22">
        <v>321885.91759707592</v>
      </c>
      <c r="H194" s="22">
        <v>310881.46053271764</v>
      </c>
      <c r="I194" s="22">
        <v>293575.4987629822</v>
      </c>
      <c r="J194" s="22">
        <v>274359.0563976189</v>
      </c>
      <c r="K194" s="22">
        <v>227630.46317477513</v>
      </c>
      <c r="L194" s="22">
        <v>228039.48057234069</v>
      </c>
      <c r="M194" s="22">
        <v>232479.06078763425</v>
      </c>
      <c r="N194" s="22">
        <v>240947.22722642103</v>
      </c>
      <c r="O194" s="22">
        <v>254466.59346414497</v>
      </c>
      <c r="P194" s="22">
        <v>263467.09721256507</v>
      </c>
      <c r="Q194" s="22">
        <v>281980.23640493961</v>
      </c>
      <c r="R194" s="22">
        <v>296335.10124993668</v>
      </c>
      <c r="S194" s="22">
        <v>300448.4569213115</v>
      </c>
      <c r="T194" s="22">
        <v>298521.50949077518</v>
      </c>
      <c r="U194" s="22">
        <v>309019.01328786957</v>
      </c>
      <c r="V194" s="22">
        <v>320339.59617902758</v>
      </c>
      <c r="W194" s="22">
        <v>339926.75974220113</v>
      </c>
      <c r="X194" s="22">
        <v>354915.81403051369</v>
      </c>
      <c r="Y194" s="22">
        <v>369054.03371147654</v>
      </c>
      <c r="Z194" s="22">
        <v>370469.73740664538</v>
      </c>
      <c r="AA194" s="23">
        <v>359368.23034005944</v>
      </c>
      <c r="AB194" s="97"/>
      <c r="AC194" s="16">
        <v>6</v>
      </c>
      <c r="AD194" s="16">
        <f t="shared" si="44"/>
        <v>43681030.4706738</v>
      </c>
    </row>
    <row r="195" spans="1:30" ht="13.5" thickBot="1" x14ac:dyDescent="0.35">
      <c r="A195" s="18">
        <v>2031</v>
      </c>
      <c r="B195" s="11" t="s">
        <v>38</v>
      </c>
      <c r="C195" s="12" t="s">
        <v>33</v>
      </c>
      <c r="D195" s="21">
        <v>349157.30231960549</v>
      </c>
      <c r="E195" s="22">
        <v>335480.32156476995</v>
      </c>
      <c r="F195" s="22">
        <v>323127.18713015539</v>
      </c>
      <c r="G195" s="22">
        <v>312419.50641268119</v>
      </c>
      <c r="H195" s="22">
        <v>301990.39348036994</v>
      </c>
      <c r="I195" s="22">
        <v>285107.78405948915</v>
      </c>
      <c r="J195" s="22">
        <v>268687.46853842179</v>
      </c>
      <c r="K195" s="22">
        <v>222483.54378092266</v>
      </c>
      <c r="L195" s="22">
        <v>219281.33218735084</v>
      </c>
      <c r="M195" s="22">
        <v>218686.26224525869</v>
      </c>
      <c r="N195" s="22">
        <v>223430.89821141856</v>
      </c>
      <c r="O195" s="22">
        <v>233076.44854862936</v>
      </c>
      <c r="P195" s="22">
        <v>239633.63805714468</v>
      </c>
      <c r="Q195" s="22">
        <v>257096.84268944789</v>
      </c>
      <c r="R195" s="22">
        <v>270859.74084947264</v>
      </c>
      <c r="S195" s="22">
        <v>275738.73313064378</v>
      </c>
      <c r="T195" s="22">
        <v>278624.32216090302</v>
      </c>
      <c r="U195" s="22">
        <v>298007.65261988272</v>
      </c>
      <c r="V195" s="22">
        <v>307160.80376566952</v>
      </c>
      <c r="W195" s="22">
        <v>325394.25885107153</v>
      </c>
      <c r="X195" s="22">
        <v>340612.72842369514</v>
      </c>
      <c r="Y195" s="22">
        <v>354633.37365248206</v>
      </c>
      <c r="Z195" s="22">
        <v>358742.87743020576</v>
      </c>
      <c r="AA195" s="23">
        <v>349426.82101549994</v>
      </c>
      <c r="AB195" s="96">
        <f t="shared" ref="AB195" si="65">+SUM(D195:AA195)*AC195+SUM(D196:AA196)*AC196+SUM(D197:AA197)*AC197</f>
        <v>207519288.18316159</v>
      </c>
      <c r="AC195" s="16">
        <v>20</v>
      </c>
      <c r="AD195" s="16">
        <f t="shared" si="44"/>
        <v>138977204.82250386</v>
      </c>
    </row>
    <row r="196" spans="1:30" ht="13.5" thickBot="1" x14ac:dyDescent="0.35">
      <c r="A196" s="18">
        <v>2031</v>
      </c>
      <c r="B196" s="19" t="s">
        <v>38</v>
      </c>
      <c r="C196" s="20" t="s">
        <v>34</v>
      </c>
      <c r="D196" s="21">
        <v>342364.58345265163</v>
      </c>
      <c r="E196" s="22">
        <v>330922.30646645383</v>
      </c>
      <c r="F196" s="22">
        <v>319625.44544396183</v>
      </c>
      <c r="G196" s="22">
        <v>309911.53243835765</v>
      </c>
      <c r="H196" s="22">
        <v>300393.13959501643</v>
      </c>
      <c r="I196" s="22">
        <v>286819.1650491929</v>
      </c>
      <c r="J196" s="22">
        <v>273062.90826834732</v>
      </c>
      <c r="K196" s="22">
        <v>220460.60364079603</v>
      </c>
      <c r="L196" s="22">
        <v>207888.09411424547</v>
      </c>
      <c r="M196" s="22">
        <v>201958.18439166903</v>
      </c>
      <c r="N196" s="22">
        <v>203110.47927440482</v>
      </c>
      <c r="O196" s="22">
        <v>210821.18525406171</v>
      </c>
      <c r="P196" s="22">
        <v>219432.49265436284</v>
      </c>
      <c r="Q196" s="22">
        <v>230204.58723305273</v>
      </c>
      <c r="R196" s="22">
        <v>239790.65049980042</v>
      </c>
      <c r="S196" s="22">
        <v>246697.64390221241</v>
      </c>
      <c r="T196" s="22">
        <v>252948.02451656782</v>
      </c>
      <c r="U196" s="22">
        <v>279932.03655127058</v>
      </c>
      <c r="V196" s="22">
        <v>292953.14594070613</v>
      </c>
      <c r="W196" s="22">
        <v>312131.78330055671</v>
      </c>
      <c r="X196" s="22">
        <v>327215.78623954463</v>
      </c>
      <c r="Y196" s="22">
        <v>342468.29652939463</v>
      </c>
      <c r="Z196" s="22">
        <v>347128.19178172381</v>
      </c>
      <c r="AA196" s="23">
        <v>339205.92769086343</v>
      </c>
      <c r="AB196" s="97"/>
      <c r="AC196" s="16">
        <v>4</v>
      </c>
      <c r="AD196" s="16">
        <f t="shared" si="44"/>
        <v>26549784.776916854</v>
      </c>
    </row>
    <row r="197" spans="1:30" ht="13.5" thickBot="1" x14ac:dyDescent="0.35">
      <c r="A197" s="18">
        <v>2031</v>
      </c>
      <c r="B197" s="25" t="s">
        <v>38</v>
      </c>
      <c r="C197" s="26" t="s">
        <v>36</v>
      </c>
      <c r="D197" s="21">
        <v>350058.2058913901</v>
      </c>
      <c r="E197" s="22">
        <v>335988.57022385107</v>
      </c>
      <c r="F197" s="22">
        <v>323461.1851613734</v>
      </c>
      <c r="G197" s="22">
        <v>312586.18305166397</v>
      </c>
      <c r="H197" s="22">
        <v>301996.22484338866</v>
      </c>
      <c r="I197" s="22">
        <v>284506.64609011123</v>
      </c>
      <c r="J197" s="22">
        <v>267591.42176138045</v>
      </c>
      <c r="K197" s="22">
        <v>222564.89227832985</v>
      </c>
      <c r="L197" s="22">
        <v>221041.45618746127</v>
      </c>
      <c r="M197" s="22">
        <v>221397.23651847694</v>
      </c>
      <c r="N197" s="22">
        <v>226793.33937898182</v>
      </c>
      <c r="O197" s="22">
        <v>236795.40475469676</v>
      </c>
      <c r="P197" s="22">
        <v>243008.75755883954</v>
      </c>
      <c r="Q197" s="22">
        <v>261762.72619000179</v>
      </c>
      <c r="R197" s="22">
        <v>276262.87739438307</v>
      </c>
      <c r="S197" s="22">
        <v>280773.75864766468</v>
      </c>
      <c r="T197" s="22">
        <v>283041.42644752958</v>
      </c>
      <c r="U197" s="22">
        <v>300997.27890933171</v>
      </c>
      <c r="V197" s="22">
        <v>309425.01178769663</v>
      </c>
      <c r="W197" s="22">
        <v>327535.38012789993</v>
      </c>
      <c r="X197" s="22">
        <v>342843.54264881939</v>
      </c>
      <c r="Y197" s="22">
        <v>356664.80148261</v>
      </c>
      <c r="Z197" s="22">
        <v>360630.83501701307</v>
      </c>
      <c r="AA197" s="23">
        <v>350989.26827058039</v>
      </c>
      <c r="AB197" s="97"/>
      <c r="AC197" s="16">
        <v>6</v>
      </c>
      <c r="AD197" s="16">
        <f t="shared" si="44"/>
        <v>41992298.58374086</v>
      </c>
    </row>
    <row r="198" spans="1:30" ht="13.5" thickBot="1" x14ac:dyDescent="0.35">
      <c r="A198" s="18">
        <v>2031</v>
      </c>
      <c r="B198" s="11" t="s">
        <v>39</v>
      </c>
      <c r="C198" s="12" t="s">
        <v>33</v>
      </c>
      <c r="D198" s="21">
        <v>358448.6892643281</v>
      </c>
      <c r="E198" s="22">
        <v>344127.31918817374</v>
      </c>
      <c r="F198" s="22">
        <v>331290.93949600228</v>
      </c>
      <c r="G198" s="22">
        <v>320168.77998581866</v>
      </c>
      <c r="H198" s="22">
        <v>309407.79133895866</v>
      </c>
      <c r="I198" s="22">
        <v>291819.95958731248</v>
      </c>
      <c r="J198" s="22">
        <v>274835.24461943266</v>
      </c>
      <c r="K198" s="22">
        <v>229530.2867622714</v>
      </c>
      <c r="L198" s="22">
        <v>228070.51872265129</v>
      </c>
      <c r="M198" s="22">
        <v>228544.89117965801</v>
      </c>
      <c r="N198" s="22">
        <v>233985.62543727629</v>
      </c>
      <c r="O198" s="22">
        <v>244057.07572088848</v>
      </c>
      <c r="P198" s="22">
        <v>250181.06359810248</v>
      </c>
      <c r="Q198" s="22">
        <v>268281.98181100626</v>
      </c>
      <c r="R198" s="22">
        <v>282958.75141653517</v>
      </c>
      <c r="S198" s="22">
        <v>287470.06024319207</v>
      </c>
      <c r="T198" s="22">
        <v>289727.66722928069</v>
      </c>
      <c r="U198" s="22">
        <v>308097.48272682686</v>
      </c>
      <c r="V198" s="22">
        <v>316997.42114505719</v>
      </c>
      <c r="W198" s="22">
        <v>335002.6151834256</v>
      </c>
      <c r="X198" s="22">
        <v>349977.38852089009</v>
      </c>
      <c r="Y198" s="22">
        <v>363847.64099558687</v>
      </c>
      <c r="Z198" s="22">
        <v>368273.41925310518</v>
      </c>
      <c r="AA198" s="23">
        <v>359161.32651276095</v>
      </c>
      <c r="AB198" s="96">
        <f t="shared" ref="AB198" si="66">+SUM(D198:AA198)*AC198+SUM(D199:AA199)*AC199+SUM(D200:AA200)*AC200</f>
        <v>220941977.28206995</v>
      </c>
      <c r="AC198" s="16">
        <v>20</v>
      </c>
      <c r="AD198" s="16">
        <f t="shared" ref="AD198:AD261" si="67">+SUM(D198:AA198)*AC198</f>
        <v>143485278.79877087</v>
      </c>
    </row>
    <row r="199" spans="1:30" ht="13.5" thickBot="1" x14ac:dyDescent="0.35">
      <c r="A199" s="18">
        <v>2031</v>
      </c>
      <c r="B199" s="19" t="s">
        <v>39</v>
      </c>
      <c r="C199" s="20" t="s">
        <v>34</v>
      </c>
      <c r="D199" s="21">
        <v>352100.02510129154</v>
      </c>
      <c r="E199" s="22">
        <v>340349.73142767436</v>
      </c>
      <c r="F199" s="22">
        <v>328748.76819592959</v>
      </c>
      <c r="G199" s="22">
        <v>318773.36464002018</v>
      </c>
      <c r="H199" s="22">
        <v>308998.74448836455</v>
      </c>
      <c r="I199" s="22">
        <v>295059.36970972351</v>
      </c>
      <c r="J199" s="22">
        <v>280932.80580818531</v>
      </c>
      <c r="K199" s="22">
        <v>228242.00585417374</v>
      </c>
      <c r="L199" s="22">
        <v>215701.71351889212</v>
      </c>
      <c r="M199" s="22">
        <v>209855.99221164515</v>
      </c>
      <c r="N199" s="22">
        <v>211174.06860066703</v>
      </c>
      <c r="O199" s="22">
        <v>219138.93441614293</v>
      </c>
      <c r="P199" s="22">
        <v>227969.76350658078</v>
      </c>
      <c r="Q199" s="22">
        <v>238961.91394802206</v>
      </c>
      <c r="R199" s="22">
        <v>248675.89748612457</v>
      </c>
      <c r="S199" s="22">
        <v>255540.48192274553</v>
      </c>
      <c r="T199" s="22">
        <v>261593.47601659931</v>
      </c>
      <c r="U199" s="22">
        <v>288386.03334354225</v>
      </c>
      <c r="V199" s="22">
        <v>301757.66029040946</v>
      </c>
      <c r="W199" s="22">
        <v>321452.57079728536</v>
      </c>
      <c r="X199" s="22">
        <v>336942.62269172986</v>
      </c>
      <c r="Y199" s="22">
        <v>352605.71801635704</v>
      </c>
      <c r="Z199" s="22">
        <v>357391.05381702044</v>
      </c>
      <c r="AA199" s="23">
        <v>349255.52889135695</v>
      </c>
      <c r="AB199" s="97"/>
      <c r="AC199" s="16">
        <v>5</v>
      </c>
      <c r="AD199" s="16">
        <f t="shared" si="67"/>
        <v>34248041.223502412</v>
      </c>
    </row>
    <row r="200" spans="1:30" ht="13.5" thickBot="1" x14ac:dyDescent="0.35">
      <c r="A200" s="18">
        <v>2031</v>
      </c>
      <c r="B200" s="25" t="s">
        <v>39</v>
      </c>
      <c r="C200" s="26" t="s">
        <v>36</v>
      </c>
      <c r="D200" s="21">
        <v>358069.15806497476</v>
      </c>
      <c r="E200" s="22">
        <v>343558.58876873046</v>
      </c>
      <c r="F200" s="22">
        <v>330808.31169666216</v>
      </c>
      <c r="G200" s="22">
        <v>319697.65675869893</v>
      </c>
      <c r="H200" s="22">
        <v>308738.92492764001</v>
      </c>
      <c r="I200" s="22">
        <v>290271.89135624474</v>
      </c>
      <c r="J200" s="22">
        <v>272360.24013980938</v>
      </c>
      <c r="K200" s="22">
        <v>228205.70134837311</v>
      </c>
      <c r="L200" s="22">
        <v>227397.04000639534</v>
      </c>
      <c r="M200" s="22">
        <v>228160.7165368665</v>
      </c>
      <c r="N200" s="22">
        <v>234173.11165244706</v>
      </c>
      <c r="O200" s="22">
        <v>244826.4930198332</v>
      </c>
      <c r="P200" s="22">
        <v>251604.33077488179</v>
      </c>
      <c r="Q200" s="22">
        <v>272745.08805071801</v>
      </c>
      <c r="R200" s="22">
        <v>287533.75914083724</v>
      </c>
      <c r="S200" s="22">
        <v>291764.80479948811</v>
      </c>
      <c r="T200" s="22">
        <v>293273.221613036</v>
      </c>
      <c r="U200" s="22">
        <v>309291.0339340092</v>
      </c>
      <c r="V200" s="22">
        <v>317340.05421496992</v>
      </c>
      <c r="W200" s="22">
        <v>336876.4015107188</v>
      </c>
      <c r="X200" s="22">
        <v>353878.87903625186</v>
      </c>
      <c r="Y200" s="22">
        <v>368529.88112489623</v>
      </c>
      <c r="Z200" s="22">
        <v>371842.63905535074</v>
      </c>
      <c r="AA200" s="23">
        <v>360494.94910093996</v>
      </c>
      <c r="AB200" s="97"/>
      <c r="AC200" s="16">
        <v>6</v>
      </c>
      <c r="AD200" s="16">
        <f t="shared" si="67"/>
        <v>43208657.259796642</v>
      </c>
    </row>
    <row r="201" spans="1:30" ht="13.5" thickBot="1" x14ac:dyDescent="0.35">
      <c r="A201" s="18">
        <v>2031</v>
      </c>
      <c r="B201" s="11" t="s">
        <v>40</v>
      </c>
      <c r="C201" s="12" t="s">
        <v>33</v>
      </c>
      <c r="D201" s="21">
        <v>362400.81546035077</v>
      </c>
      <c r="E201" s="22">
        <v>347906.74650582648</v>
      </c>
      <c r="F201" s="22">
        <v>334944.28490984626</v>
      </c>
      <c r="G201" s="22">
        <v>323705.79575672303</v>
      </c>
      <c r="H201" s="22">
        <v>312808.80137204984</v>
      </c>
      <c r="I201" s="22">
        <v>294936.24881545949</v>
      </c>
      <c r="J201" s="22">
        <v>277667.83133705053</v>
      </c>
      <c r="K201" s="22">
        <v>232375.530924338</v>
      </c>
      <c r="L201" s="22">
        <v>231001.83845225244</v>
      </c>
      <c r="M201" s="22">
        <v>231532.39569472347</v>
      </c>
      <c r="N201" s="22">
        <v>237105.18420670042</v>
      </c>
      <c r="O201" s="22">
        <v>247352.05747332828</v>
      </c>
      <c r="P201" s="22">
        <v>253613.28577137852</v>
      </c>
      <c r="Q201" s="22">
        <v>272241.60268927657</v>
      </c>
      <c r="R201" s="22">
        <v>287076.1786674679</v>
      </c>
      <c r="S201" s="22">
        <v>291586.22951174428</v>
      </c>
      <c r="T201" s="22">
        <v>293755.56944950111</v>
      </c>
      <c r="U201" s="22">
        <v>311850.58361025166</v>
      </c>
      <c r="V201" s="22">
        <v>320749.09623873146</v>
      </c>
      <c r="W201" s="22">
        <v>339116.62998282182</v>
      </c>
      <c r="X201" s="22">
        <v>354477.45086678118</v>
      </c>
      <c r="Y201" s="22">
        <v>368582.05438471423</v>
      </c>
      <c r="Z201" s="22">
        <v>372929.6603064895</v>
      </c>
      <c r="AA201" s="23">
        <v>363470.1767881547</v>
      </c>
      <c r="AB201" s="96">
        <f t="shared" ref="AB201" si="68">+SUM(D201:AA201)*AC201+SUM(D202:AA202)*AC202+SUM(D203:AA203)*AC203</f>
        <v>216089372.38828433</v>
      </c>
      <c r="AC201" s="16">
        <v>18</v>
      </c>
      <c r="AD201" s="16">
        <f t="shared" si="67"/>
        <v>130737348.8851673</v>
      </c>
    </row>
    <row r="202" spans="1:30" ht="13.5" thickBot="1" x14ac:dyDescent="0.35">
      <c r="A202" s="18">
        <v>2031</v>
      </c>
      <c r="B202" s="19" t="s">
        <v>40</v>
      </c>
      <c r="C202" s="20" t="s">
        <v>34</v>
      </c>
      <c r="D202" s="21">
        <v>354366.63629517943</v>
      </c>
      <c r="E202" s="22">
        <v>342544.62999702961</v>
      </c>
      <c r="F202" s="22">
        <v>330872.86551183852</v>
      </c>
      <c r="G202" s="22">
        <v>320836.5815737329</v>
      </c>
      <c r="H202" s="22">
        <v>311002.30643094622</v>
      </c>
      <c r="I202" s="22">
        <v>296977.85895731673</v>
      </c>
      <c r="J202" s="22">
        <v>282765.07993629744</v>
      </c>
      <c r="K202" s="22">
        <v>229903.94306565414</v>
      </c>
      <c r="L202" s="22">
        <v>217260.71743995105</v>
      </c>
      <c r="M202" s="22">
        <v>211361.95415860275</v>
      </c>
      <c r="N202" s="22">
        <v>212678.47669198175</v>
      </c>
      <c r="O202" s="22">
        <v>220688.63393682474</v>
      </c>
      <c r="P202" s="22">
        <v>229574.23317067002</v>
      </c>
      <c r="Q202" s="22">
        <v>240638.44913615618</v>
      </c>
      <c r="R202" s="22">
        <v>250420.98569254097</v>
      </c>
      <c r="S202" s="22">
        <v>257343.72795262944</v>
      </c>
      <c r="T202" s="22">
        <v>263459.70569777046</v>
      </c>
      <c r="U202" s="22">
        <v>290354.29779974523</v>
      </c>
      <c r="V202" s="22">
        <v>303807.53244845098</v>
      </c>
      <c r="W202" s="22">
        <v>323622.64197005925</v>
      </c>
      <c r="X202" s="22">
        <v>339207.23041876819</v>
      </c>
      <c r="Y202" s="22">
        <v>354965.91839028854</v>
      </c>
      <c r="Z202" s="22">
        <v>359780.45933246327</v>
      </c>
      <c r="AA202" s="23">
        <v>351595.28289505246</v>
      </c>
      <c r="AB202" s="97"/>
      <c r="AC202" s="16">
        <v>4</v>
      </c>
      <c r="AD202" s="16">
        <f t="shared" si="67"/>
        <v>27584120.595599804</v>
      </c>
    </row>
    <row r="203" spans="1:30" ht="13.5" thickBot="1" x14ac:dyDescent="0.35">
      <c r="A203" s="18">
        <v>2031</v>
      </c>
      <c r="B203" s="25" t="s">
        <v>40</v>
      </c>
      <c r="C203" s="26" t="s">
        <v>36</v>
      </c>
      <c r="D203" s="21">
        <v>362904.17206587794</v>
      </c>
      <c r="E203" s="22">
        <v>349195.25337543804</v>
      </c>
      <c r="F203" s="22">
        <v>336651.40219378145</v>
      </c>
      <c r="G203" s="22">
        <v>325772.8145843739</v>
      </c>
      <c r="H203" s="22">
        <v>315068.10114254354</v>
      </c>
      <c r="I203" s="22">
        <v>298017.28772923065</v>
      </c>
      <c r="J203" s="22">
        <v>281242.62762066576</v>
      </c>
      <c r="K203" s="22">
        <v>233678.75000459023</v>
      </c>
      <c r="L203" s="22">
        <v>228408.16394103254</v>
      </c>
      <c r="M203" s="22">
        <v>226693.62837727461</v>
      </c>
      <c r="N203" s="22">
        <v>231036.10458853352</v>
      </c>
      <c r="O203" s="22">
        <v>240859.1324312365</v>
      </c>
      <c r="P203" s="22">
        <v>248562.4305317557</v>
      </c>
      <c r="Q203" s="22">
        <v>266119.47268144222</v>
      </c>
      <c r="R203" s="22">
        <v>279162.47062457778</v>
      </c>
      <c r="S203" s="22">
        <v>284420.54738965485</v>
      </c>
      <c r="T203" s="22">
        <v>287601.35352279618</v>
      </c>
      <c r="U203" s="22">
        <v>307653.09445677063</v>
      </c>
      <c r="V203" s="22">
        <v>317931.96713616123</v>
      </c>
      <c r="W203" s="22">
        <v>337901.09751749219</v>
      </c>
      <c r="X203" s="22">
        <v>354636.1823337645</v>
      </c>
      <c r="Y203" s="22">
        <v>369960.28940022003</v>
      </c>
      <c r="Z203" s="22">
        <v>373910.58489283</v>
      </c>
      <c r="AA203" s="23">
        <v>363600.93489760731</v>
      </c>
      <c r="AB203" s="97"/>
      <c r="AC203" s="16">
        <v>8</v>
      </c>
      <c r="AD203" s="16">
        <f t="shared" si="67"/>
        <v>57767902.90751721</v>
      </c>
    </row>
    <row r="204" spans="1:30" ht="13.5" thickBot="1" x14ac:dyDescent="0.35">
      <c r="A204" s="18">
        <v>2031</v>
      </c>
      <c r="B204" s="11" t="s">
        <v>41</v>
      </c>
      <c r="C204" s="12" t="s">
        <v>33</v>
      </c>
      <c r="D204" s="21">
        <v>356740.00114107301</v>
      </c>
      <c r="E204" s="22">
        <v>342421.51641991647</v>
      </c>
      <c r="F204" s="22">
        <v>329665.45823377353</v>
      </c>
      <c r="G204" s="22">
        <v>318593.7096633566</v>
      </c>
      <c r="H204" s="22">
        <v>307817.99108502589</v>
      </c>
      <c r="I204" s="22">
        <v>290037.04158180056</v>
      </c>
      <c r="J204" s="22">
        <v>272842.15225258435</v>
      </c>
      <c r="K204" s="22">
        <v>227802.09667336463</v>
      </c>
      <c r="L204" s="22">
        <v>226438.25040361387</v>
      </c>
      <c r="M204" s="22">
        <v>226927.41158185602</v>
      </c>
      <c r="N204" s="22">
        <v>232479.66283613353</v>
      </c>
      <c r="O204" s="22">
        <v>242671.95566293149</v>
      </c>
      <c r="P204" s="22">
        <v>248972.48874452605</v>
      </c>
      <c r="Q204" s="22">
        <v>267941.66646291746</v>
      </c>
      <c r="R204" s="22">
        <v>282628.53392748476</v>
      </c>
      <c r="S204" s="22">
        <v>287102.25554934843</v>
      </c>
      <c r="T204" s="22">
        <v>289229.29077418189</v>
      </c>
      <c r="U204" s="22">
        <v>307016.88972905179</v>
      </c>
      <c r="V204" s="22">
        <v>315620.58418433479</v>
      </c>
      <c r="W204" s="22">
        <v>334015.34789848968</v>
      </c>
      <c r="X204" s="22">
        <v>349543.43925571319</v>
      </c>
      <c r="Y204" s="22">
        <v>363592.55785475188</v>
      </c>
      <c r="Z204" s="22">
        <v>367661.27738207189</v>
      </c>
      <c r="AA204" s="23">
        <v>357907.93228834262</v>
      </c>
      <c r="AB204" s="96">
        <f t="shared" ref="AB204" si="69">+SUM(D204:AA204)*AC204+SUM(D205:AA205)*AC205+SUM(D206:AA206)*AC206</f>
        <v>220031667.29057121</v>
      </c>
      <c r="AC204" s="16">
        <v>23</v>
      </c>
      <c r="AD204" s="16">
        <f t="shared" si="67"/>
        <v>164350398.76649281</v>
      </c>
    </row>
    <row r="205" spans="1:30" ht="13.5" thickBot="1" x14ac:dyDescent="0.35">
      <c r="A205" s="18">
        <v>2031</v>
      </c>
      <c r="B205" s="19" t="s">
        <v>41</v>
      </c>
      <c r="C205" s="20" t="s">
        <v>34</v>
      </c>
      <c r="D205" s="21">
        <v>348383.79370844178</v>
      </c>
      <c r="E205" s="22">
        <v>336751.07675343903</v>
      </c>
      <c r="F205" s="22">
        <v>325266.19599822134</v>
      </c>
      <c r="G205" s="22">
        <v>315390.60911494488</v>
      </c>
      <c r="H205" s="22">
        <v>305713.79654112988</v>
      </c>
      <c r="I205" s="22">
        <v>291913.90303772624</v>
      </c>
      <c r="J205" s="22">
        <v>277928.69347804331</v>
      </c>
      <c r="K205" s="22">
        <v>225215.62519410293</v>
      </c>
      <c r="L205" s="22">
        <v>212621.69661067109</v>
      </c>
      <c r="M205" s="22">
        <v>206716.64674233599</v>
      </c>
      <c r="N205" s="22">
        <v>207956.41110270593</v>
      </c>
      <c r="O205" s="22">
        <v>215819.06208229059</v>
      </c>
      <c r="P205" s="22">
        <v>224567.46532799912</v>
      </c>
      <c r="Q205" s="22">
        <v>235483.41355767439</v>
      </c>
      <c r="R205" s="22">
        <v>245163.07990650384</v>
      </c>
      <c r="S205" s="22">
        <v>252069.31866100617</v>
      </c>
      <c r="T205" s="22">
        <v>258238.43820678678</v>
      </c>
      <c r="U205" s="22">
        <v>285158.95753040945</v>
      </c>
      <c r="V205" s="22">
        <v>298396.78424533195</v>
      </c>
      <c r="W205" s="22">
        <v>317894.62197980523</v>
      </c>
      <c r="X205" s="22">
        <v>333229.67609091726</v>
      </c>
      <c r="Y205" s="22">
        <v>348736.042111344</v>
      </c>
      <c r="Z205" s="22">
        <v>353473.49450615095</v>
      </c>
      <c r="AA205" s="23">
        <v>345419.37591394049</v>
      </c>
      <c r="AB205" s="97"/>
      <c r="AC205" s="16">
        <v>4</v>
      </c>
      <c r="AD205" s="16">
        <f t="shared" si="67"/>
        <v>27070032.713607691</v>
      </c>
    </row>
    <row r="206" spans="1:30" ht="13.5" thickBot="1" x14ac:dyDescent="0.35">
      <c r="A206" s="18">
        <v>2031</v>
      </c>
      <c r="B206" s="25" t="s">
        <v>41</v>
      </c>
      <c r="C206" s="26" t="s">
        <v>36</v>
      </c>
      <c r="D206" s="21">
        <v>355953.86275714729</v>
      </c>
      <c r="E206" s="22">
        <v>341524.63280455692</v>
      </c>
      <c r="F206" s="22">
        <v>328845.82771592913</v>
      </c>
      <c r="G206" s="22">
        <v>317797.45382027171</v>
      </c>
      <c r="H206" s="22">
        <v>306900.15142290486</v>
      </c>
      <c r="I206" s="22">
        <v>288536.63525039813</v>
      </c>
      <c r="J206" s="22">
        <v>270725.38822376117</v>
      </c>
      <c r="K206" s="22">
        <v>226476.82969322123</v>
      </c>
      <c r="L206" s="22">
        <v>225547.50815178384</v>
      </c>
      <c r="M206" s="22">
        <v>226224.55270501267</v>
      </c>
      <c r="N206" s="22">
        <v>232157.72795426342</v>
      </c>
      <c r="O206" s="22">
        <v>242735.65402658057</v>
      </c>
      <c r="P206" s="22">
        <v>249479.64869944568</v>
      </c>
      <c r="Q206" s="22">
        <v>270525.51705177192</v>
      </c>
      <c r="R206" s="22">
        <v>285275.2419583553</v>
      </c>
      <c r="S206" s="22">
        <v>289559.69401668257</v>
      </c>
      <c r="T206" s="22">
        <v>291183.15393756097</v>
      </c>
      <c r="U206" s="22">
        <v>307366.04052944743</v>
      </c>
      <c r="V206" s="22">
        <v>315369.94183448475</v>
      </c>
      <c r="W206" s="22">
        <v>334796.77766765805</v>
      </c>
      <c r="X206" s="22">
        <v>351703.94739828754</v>
      </c>
      <c r="Y206" s="22">
        <v>366272.82294389739</v>
      </c>
      <c r="Z206" s="22">
        <v>369567.01113044651</v>
      </c>
      <c r="AA206" s="23">
        <v>358282.93092380249</v>
      </c>
      <c r="AB206" s="97"/>
      <c r="AC206" s="16">
        <v>4</v>
      </c>
      <c r="AD206" s="16">
        <f t="shared" si="67"/>
        <v>28611235.810470689</v>
      </c>
    </row>
    <row r="207" spans="1:30" ht="13.5" thickBot="1" x14ac:dyDescent="0.35">
      <c r="A207" s="18">
        <v>2031</v>
      </c>
      <c r="B207" s="11" t="s">
        <v>42</v>
      </c>
      <c r="C207" s="12" t="s">
        <v>33</v>
      </c>
      <c r="D207" s="21">
        <v>363074.18438531813</v>
      </c>
      <c r="E207" s="22">
        <v>348722.88910133095</v>
      </c>
      <c r="F207" s="22">
        <v>335775.65538697323</v>
      </c>
      <c r="G207" s="22">
        <v>324568.22812451737</v>
      </c>
      <c r="H207" s="22">
        <v>313740.48063779919</v>
      </c>
      <c r="I207" s="22">
        <v>296210.95798425982</v>
      </c>
      <c r="J207" s="22">
        <v>279255.54196843645</v>
      </c>
      <c r="K207" s="22">
        <v>233342.15888700439</v>
      </c>
      <c r="L207" s="22">
        <v>231277.48009510947</v>
      </c>
      <c r="M207" s="22">
        <v>231438.89095307901</v>
      </c>
      <c r="N207" s="22">
        <v>236696.78774413609</v>
      </c>
      <c r="O207" s="22">
        <v>246734.59183309737</v>
      </c>
      <c r="P207" s="22">
        <v>253009.97252070336</v>
      </c>
      <c r="Q207" s="22">
        <v>270631.53723785089</v>
      </c>
      <c r="R207" s="22">
        <v>285198.89288343349</v>
      </c>
      <c r="S207" s="22">
        <v>289879.55180730281</v>
      </c>
      <c r="T207" s="22">
        <v>292377.10441095533</v>
      </c>
      <c r="U207" s="22">
        <v>311382.84520082112</v>
      </c>
      <c r="V207" s="22">
        <v>320726.93100582081</v>
      </c>
      <c r="W207" s="22">
        <v>338893.14135241881</v>
      </c>
      <c r="X207" s="22">
        <v>353874.1260675448</v>
      </c>
      <c r="Y207" s="22">
        <v>367937.02800475748</v>
      </c>
      <c r="Z207" s="22">
        <v>372558.28057564376</v>
      </c>
      <c r="AA207" s="23">
        <v>363617.75117509795</v>
      </c>
      <c r="AB207" s="96">
        <f t="shared" ref="AB207" si="70">+SUM(D207:AA207)*AC207+SUM(D208:AA208)*AC208+SUM(D209:AA209)*AC209</f>
        <v>223621890.90611297</v>
      </c>
      <c r="AC207" s="16">
        <v>19</v>
      </c>
      <c r="AD207" s="16">
        <f t="shared" si="67"/>
        <v>137957575.17752483</v>
      </c>
    </row>
    <row r="208" spans="1:30" ht="13.5" thickBot="1" x14ac:dyDescent="0.35">
      <c r="A208" s="18">
        <v>2031</v>
      </c>
      <c r="B208" s="19" t="s">
        <v>42</v>
      </c>
      <c r="C208" s="20" t="s">
        <v>34</v>
      </c>
      <c r="D208" s="21">
        <v>355361.62762186659</v>
      </c>
      <c r="E208" s="22">
        <v>343508.14109472267</v>
      </c>
      <c r="F208" s="22">
        <v>331805.29645194305</v>
      </c>
      <c r="G208" s="22">
        <v>321742.28739555785</v>
      </c>
      <c r="H208" s="22">
        <v>311881.82505360415</v>
      </c>
      <c r="I208" s="22">
        <v>297820.03258058528</v>
      </c>
      <c r="J208" s="22">
        <v>283569.40706152329</v>
      </c>
      <c r="K208" s="22">
        <v>230711.85996160464</v>
      </c>
      <c r="L208" s="22">
        <v>218081.24527983842</v>
      </c>
      <c r="M208" s="22">
        <v>212197.21578530176</v>
      </c>
      <c r="N208" s="22">
        <v>213534.06957860952</v>
      </c>
      <c r="O208" s="22">
        <v>221571.3740790844</v>
      </c>
      <c r="P208" s="22">
        <v>230479.1001807123</v>
      </c>
      <c r="Q208" s="22">
        <v>241564.04874587309</v>
      </c>
      <c r="R208" s="22">
        <v>251356.38774214414</v>
      </c>
      <c r="S208" s="22">
        <v>258269.05529156412</v>
      </c>
      <c r="T208" s="22">
        <v>264355.66742253397</v>
      </c>
      <c r="U208" s="22">
        <v>291218.32161989994</v>
      </c>
      <c r="V208" s="22">
        <v>304707.38021394721</v>
      </c>
      <c r="W208" s="22">
        <v>324575.2543991456</v>
      </c>
      <c r="X208" s="22">
        <v>340201.34226857632</v>
      </c>
      <c r="Y208" s="22">
        <v>356001.99326172587</v>
      </c>
      <c r="Z208" s="22">
        <v>360829.35460405424</v>
      </c>
      <c r="AA208" s="23">
        <v>352622.38226989709</v>
      </c>
      <c r="AB208" s="97"/>
      <c r="AC208" s="16">
        <v>5</v>
      </c>
      <c r="AD208" s="16">
        <f t="shared" si="67"/>
        <v>34589823.349821575</v>
      </c>
    </row>
    <row r="209" spans="1:30" ht="13.5" thickBot="1" x14ac:dyDescent="0.35">
      <c r="A209" s="18">
        <v>2031</v>
      </c>
      <c r="B209" s="25" t="s">
        <v>42</v>
      </c>
      <c r="C209" s="26" t="s">
        <v>36</v>
      </c>
      <c r="D209" s="21">
        <v>363901.71358260111</v>
      </c>
      <c r="E209" s="22">
        <v>349544.08471741027</v>
      </c>
      <c r="F209" s="22">
        <v>336737.98454911419</v>
      </c>
      <c r="G209" s="22">
        <v>325598.61870431295</v>
      </c>
      <c r="H209" s="22">
        <v>314621.16518453934</v>
      </c>
      <c r="I209" s="22">
        <v>296500.02825597057</v>
      </c>
      <c r="J209" s="22">
        <v>278833.4835132056</v>
      </c>
      <c r="K209" s="22">
        <v>233342.83943464633</v>
      </c>
      <c r="L209" s="22">
        <v>230901.59855212164</v>
      </c>
      <c r="M209" s="22">
        <v>230779.54668714764</v>
      </c>
      <c r="N209" s="22">
        <v>236246.7761397853</v>
      </c>
      <c r="O209" s="22">
        <v>246705.60339347977</v>
      </c>
      <c r="P209" s="22">
        <v>253905.8641574769</v>
      </c>
      <c r="Q209" s="22">
        <v>273885.9123804064</v>
      </c>
      <c r="R209" s="22">
        <v>288135.81484527339</v>
      </c>
      <c r="S209" s="22">
        <v>292754.39286832977</v>
      </c>
      <c r="T209" s="22">
        <v>294838.35677294299</v>
      </c>
      <c r="U209" s="22">
        <v>312292.56016802922</v>
      </c>
      <c r="V209" s="22">
        <v>321278.32536862715</v>
      </c>
      <c r="W209" s="22">
        <v>341186.32817546726</v>
      </c>
      <c r="X209" s="22">
        <v>358266.25407365989</v>
      </c>
      <c r="Y209" s="22">
        <v>373329.1066810452</v>
      </c>
      <c r="Z209" s="22">
        <v>376920.37279450533</v>
      </c>
      <c r="AA209" s="23">
        <v>365849.32310941193</v>
      </c>
      <c r="AB209" s="97"/>
      <c r="AC209" s="16">
        <v>7</v>
      </c>
      <c r="AD209" s="16">
        <f t="shared" si="67"/>
        <v>51074492.378766567</v>
      </c>
    </row>
    <row r="210" spans="1:30" ht="13.5" thickBot="1" x14ac:dyDescent="0.35">
      <c r="A210" s="18">
        <v>2031</v>
      </c>
      <c r="B210" s="11" t="s">
        <v>43</v>
      </c>
      <c r="C210" s="12" t="s">
        <v>33</v>
      </c>
      <c r="D210" s="21">
        <v>365744.37505706697</v>
      </c>
      <c r="E210" s="22">
        <v>351089.96704569017</v>
      </c>
      <c r="F210" s="22">
        <v>338025.95610018686</v>
      </c>
      <c r="G210" s="22">
        <v>326689.07332344825</v>
      </c>
      <c r="H210" s="22">
        <v>315662.43561596784</v>
      </c>
      <c r="I210" s="22">
        <v>297486.30327957449</v>
      </c>
      <c r="J210" s="22">
        <v>279911.87270130572</v>
      </c>
      <c r="K210" s="22">
        <v>234701.166346429</v>
      </c>
      <c r="L210" s="22">
        <v>233439.43444235579</v>
      </c>
      <c r="M210" s="22">
        <v>234033.65428467005</v>
      </c>
      <c r="N210" s="22">
        <v>239756.22798658555</v>
      </c>
      <c r="O210" s="22">
        <v>250192.11365863477</v>
      </c>
      <c r="P210" s="22">
        <v>256615.79926721624</v>
      </c>
      <c r="Q210" s="22">
        <v>275905.27852029022</v>
      </c>
      <c r="R210" s="22">
        <v>290884.41924545908</v>
      </c>
      <c r="S210" s="22">
        <v>295377.9965440309</v>
      </c>
      <c r="T210" s="22">
        <v>297426.63580685126</v>
      </c>
      <c r="U210" s="22">
        <v>315133.24583767203</v>
      </c>
      <c r="V210" s="22">
        <v>323971.68856316135</v>
      </c>
      <c r="W210" s="22">
        <v>342754.07698352513</v>
      </c>
      <c r="X210" s="22">
        <v>358584.311413861</v>
      </c>
      <c r="Y210" s="22">
        <v>372942.73705848219</v>
      </c>
      <c r="Z210" s="22">
        <v>377146.70612532535</v>
      </c>
      <c r="AA210" s="23">
        <v>367236.3910158939</v>
      </c>
      <c r="AB210" s="96">
        <f t="shared" ref="AB210" si="71">+SUM(D210:AA210)*AC210+SUM(D211:AA211)*AC211+SUM(D212:AA212)*AC212</f>
        <v>218881766.62852803</v>
      </c>
      <c r="AC210" s="16">
        <v>22</v>
      </c>
      <c r="AD210" s="16">
        <f t="shared" si="67"/>
        <v>161495661.05692104</v>
      </c>
    </row>
    <row r="211" spans="1:30" ht="13.5" thickBot="1" x14ac:dyDescent="0.35">
      <c r="A211" s="18">
        <v>2031</v>
      </c>
      <c r="B211" s="19" t="s">
        <v>43</v>
      </c>
      <c r="C211" s="20" t="s">
        <v>34</v>
      </c>
      <c r="D211" s="21">
        <v>358146.78965697781</v>
      </c>
      <c r="E211" s="22">
        <v>346205.18423241348</v>
      </c>
      <c r="F211" s="22">
        <v>334415.34056498011</v>
      </c>
      <c r="G211" s="22">
        <v>324277.52303256124</v>
      </c>
      <c r="H211" s="22">
        <v>314343.75794819143</v>
      </c>
      <c r="I211" s="22">
        <v>300177.43001671118</v>
      </c>
      <c r="J211" s="22">
        <v>285820.86525307182</v>
      </c>
      <c r="K211" s="22">
        <v>232778.70385024461</v>
      </c>
      <c r="L211" s="22">
        <v>220039.81826909023</v>
      </c>
      <c r="M211" s="22">
        <v>214102.59120266701</v>
      </c>
      <c r="N211" s="22">
        <v>215444.1568330579</v>
      </c>
      <c r="O211" s="22">
        <v>223539.40370909384</v>
      </c>
      <c r="P211" s="22">
        <v>232513.82644212758</v>
      </c>
      <c r="Q211" s="22">
        <v>243683.89221633924</v>
      </c>
      <c r="R211" s="22">
        <v>253554.07415326047</v>
      </c>
      <c r="S211" s="22">
        <v>260526.98594411858</v>
      </c>
      <c r="T211" s="22">
        <v>266673.02624063101</v>
      </c>
      <c r="U211" s="22">
        <v>293636.88173874974</v>
      </c>
      <c r="V211" s="22">
        <v>307226.21808380523</v>
      </c>
      <c r="W211" s="22">
        <v>327241.79017740226</v>
      </c>
      <c r="X211" s="22">
        <v>342984.04248764116</v>
      </c>
      <c r="Y211" s="22">
        <v>358902.15562501771</v>
      </c>
      <c r="Z211" s="22">
        <v>363765.403603566</v>
      </c>
      <c r="AA211" s="23">
        <v>355497.42058267206</v>
      </c>
      <c r="AB211" s="97"/>
      <c r="AC211" s="16">
        <v>4</v>
      </c>
      <c r="AD211" s="16">
        <f t="shared" si="67"/>
        <v>27901989.127457559</v>
      </c>
    </row>
    <row r="212" spans="1:30" ht="13.5" thickBot="1" x14ac:dyDescent="0.35">
      <c r="A212" s="18">
        <v>2031</v>
      </c>
      <c r="B212" s="25" t="s">
        <v>43</v>
      </c>
      <c r="C212" s="26" t="s">
        <v>36</v>
      </c>
      <c r="D212" s="21">
        <v>365917.86996143544</v>
      </c>
      <c r="E212" s="22">
        <v>351105.49454297917</v>
      </c>
      <c r="F212" s="22">
        <v>338090.02376267768</v>
      </c>
      <c r="G212" s="22">
        <v>326748.27770667482</v>
      </c>
      <c r="H212" s="22">
        <v>315561.61461456266</v>
      </c>
      <c r="I212" s="22">
        <v>296710.48420470784</v>
      </c>
      <c r="J212" s="22">
        <v>278426.28757770447</v>
      </c>
      <c r="K212" s="22">
        <v>234073.39764761037</v>
      </c>
      <c r="L212" s="22">
        <v>233308.85436902443</v>
      </c>
      <c r="M212" s="22">
        <v>234128.49887040321</v>
      </c>
      <c r="N212" s="22">
        <v>240288.10152062084</v>
      </c>
      <c r="O212" s="22">
        <v>251170.72334113298</v>
      </c>
      <c r="P212" s="22">
        <v>258087.51358993264</v>
      </c>
      <c r="Q212" s="22">
        <v>279656.48355436744</v>
      </c>
      <c r="R212" s="22">
        <v>294731.35146536777</v>
      </c>
      <c r="S212" s="22">
        <v>299012.85914537194</v>
      </c>
      <c r="T212" s="22">
        <v>300492.53698804544</v>
      </c>
      <c r="U212" s="22">
        <v>316433.63883606892</v>
      </c>
      <c r="V212" s="22">
        <v>324650.07112885395</v>
      </c>
      <c r="W212" s="22">
        <v>344592.75597753667</v>
      </c>
      <c r="X212" s="22">
        <v>361948.86896045337</v>
      </c>
      <c r="Y212" s="22">
        <v>376904.59804061818</v>
      </c>
      <c r="Z212" s="22">
        <v>380286.25820394867</v>
      </c>
      <c r="AA212" s="23">
        <v>368702.54702726321</v>
      </c>
      <c r="AB212" s="97"/>
      <c r="AC212" s="16">
        <v>4</v>
      </c>
      <c r="AD212" s="16">
        <f t="shared" si="67"/>
        <v>29484116.444149442</v>
      </c>
    </row>
    <row r="213" spans="1:30" ht="13.5" thickBot="1" x14ac:dyDescent="0.35">
      <c r="A213" s="18">
        <v>2031</v>
      </c>
      <c r="B213" s="11" t="s">
        <v>44</v>
      </c>
      <c r="C213" s="12" t="s">
        <v>33</v>
      </c>
      <c r="D213" s="21">
        <v>357702.43569370301</v>
      </c>
      <c r="E213" s="22">
        <v>343390.37073175941</v>
      </c>
      <c r="F213" s="22">
        <v>330586.17794060818</v>
      </c>
      <c r="G213" s="22">
        <v>319486.02191164833</v>
      </c>
      <c r="H213" s="22">
        <v>308726.84132978186</v>
      </c>
      <c r="I213" s="22">
        <v>291090.10785380012</v>
      </c>
      <c r="J213" s="22">
        <v>274050.90416455449</v>
      </c>
      <c r="K213" s="22">
        <v>228651.71997842251</v>
      </c>
      <c r="L213" s="22">
        <v>227086.44885849318</v>
      </c>
      <c r="M213" s="22">
        <v>227475.75941900926</v>
      </c>
      <c r="N213" s="22">
        <v>232898.13574719199</v>
      </c>
      <c r="O213" s="22">
        <v>242983.66600730567</v>
      </c>
      <c r="P213" s="22">
        <v>249162.71309265902</v>
      </c>
      <c r="Q213" s="22">
        <v>267544.95709241822</v>
      </c>
      <c r="R213" s="22">
        <v>282263.86672653531</v>
      </c>
      <c r="S213" s="22">
        <v>286844.64249282493</v>
      </c>
      <c r="T213" s="22">
        <v>289194.81601718068</v>
      </c>
      <c r="U213" s="22">
        <v>307564.79258429632</v>
      </c>
      <c r="V213" s="22">
        <v>316368.62056473072</v>
      </c>
      <c r="W213" s="22">
        <v>334482.73592327745</v>
      </c>
      <c r="X213" s="22">
        <v>349618.44485579658</v>
      </c>
      <c r="Y213" s="22">
        <v>363535.41280664766</v>
      </c>
      <c r="Z213" s="22">
        <v>367849.05515895138</v>
      </c>
      <c r="AA213" s="23">
        <v>358545.60461420461</v>
      </c>
      <c r="AB213" s="96">
        <f t="shared" ref="AB213" si="72">+SUM(D213:AA213)*AC213+SUM(D214:AA214)*AC214+SUM(D215:AA215)*AC215</f>
        <v>220492826.9576419</v>
      </c>
      <c r="AC213" s="16">
        <v>22</v>
      </c>
      <c r="AD213" s="16">
        <f t="shared" si="67"/>
        <v>157456293.53444761</v>
      </c>
    </row>
    <row r="214" spans="1:30" ht="13.5" thickBot="1" x14ac:dyDescent="0.35">
      <c r="A214" s="18">
        <v>2031</v>
      </c>
      <c r="B214" s="19" t="s">
        <v>44</v>
      </c>
      <c r="C214" s="20" t="s">
        <v>34</v>
      </c>
      <c r="D214" s="21">
        <v>350063.02879972901</v>
      </c>
      <c r="E214" s="22">
        <v>338377.18303466472</v>
      </c>
      <c r="F214" s="22">
        <v>326839.84866516385</v>
      </c>
      <c r="G214" s="22">
        <v>316919.15811592538</v>
      </c>
      <c r="H214" s="22">
        <v>307198.14971587097</v>
      </c>
      <c r="I214" s="22">
        <v>293335.22949878994</v>
      </c>
      <c r="J214" s="22">
        <v>279286.14685208496</v>
      </c>
      <c r="K214" s="22">
        <v>226427.29261236411</v>
      </c>
      <c r="L214" s="22">
        <v>213742.65632086739</v>
      </c>
      <c r="M214" s="22">
        <v>207788.8055806768</v>
      </c>
      <c r="N214" s="22">
        <v>209022.16550173066</v>
      </c>
      <c r="O214" s="22">
        <v>216916.55465629377</v>
      </c>
      <c r="P214" s="22">
        <v>225706.01374420707</v>
      </c>
      <c r="Q214" s="22">
        <v>236678.07782266592</v>
      </c>
      <c r="R214" s="22">
        <v>246413.60477833819</v>
      </c>
      <c r="S214" s="22">
        <v>253371.83119496325</v>
      </c>
      <c r="T214" s="22">
        <v>259601.86589592608</v>
      </c>
      <c r="U214" s="22">
        <v>286617.16031026974</v>
      </c>
      <c r="V214" s="22">
        <v>299915.4466739471</v>
      </c>
      <c r="W214" s="22">
        <v>319502.33470695472</v>
      </c>
      <c r="X214" s="22">
        <v>334907.42689948028</v>
      </c>
      <c r="Y214" s="22">
        <v>350484.61341508734</v>
      </c>
      <c r="Z214" s="22">
        <v>355243.7026475679</v>
      </c>
      <c r="AA214" s="23">
        <v>347152.7993782647</v>
      </c>
      <c r="AB214" s="97"/>
      <c r="AC214" s="16">
        <v>4</v>
      </c>
      <c r="AD214" s="16">
        <f t="shared" si="67"/>
        <v>27206044.387287337</v>
      </c>
    </row>
    <row r="215" spans="1:30" ht="13.5" thickBot="1" x14ac:dyDescent="0.35">
      <c r="A215" s="18">
        <v>2031</v>
      </c>
      <c r="B215" s="25" t="s">
        <v>44</v>
      </c>
      <c r="C215" s="26" t="s">
        <v>36</v>
      </c>
      <c r="D215" s="21">
        <v>358680.4650127542</v>
      </c>
      <c r="E215" s="22">
        <v>344667.0274312718</v>
      </c>
      <c r="F215" s="22">
        <v>332091.04640854511</v>
      </c>
      <c r="G215" s="22">
        <v>321159.78629777732</v>
      </c>
      <c r="H215" s="22">
        <v>310391.24159134529</v>
      </c>
      <c r="I215" s="22">
        <v>292765.65074358718</v>
      </c>
      <c r="J215" s="22">
        <v>275545.38352596085</v>
      </c>
      <c r="K215" s="22">
        <v>229452.01148640196</v>
      </c>
      <c r="L215" s="22">
        <v>226139.72396023205</v>
      </c>
      <c r="M215" s="22">
        <v>225490.70638935766</v>
      </c>
      <c r="N215" s="22">
        <v>230535.32964423517</v>
      </c>
      <c r="O215" s="22">
        <v>240676.70686885799</v>
      </c>
      <c r="P215" s="22">
        <v>247912.79047701965</v>
      </c>
      <c r="Q215" s="22">
        <v>267085.02478400309</v>
      </c>
      <c r="R215" s="22">
        <v>280932.04605436476</v>
      </c>
      <c r="S215" s="22">
        <v>285778.59706958261</v>
      </c>
      <c r="T215" s="22">
        <v>288314.32526244753</v>
      </c>
      <c r="U215" s="22">
        <v>306664.18203293218</v>
      </c>
      <c r="V215" s="22">
        <v>315847.42943758582</v>
      </c>
      <c r="W215" s="22">
        <v>335511.62049143639</v>
      </c>
      <c r="X215" s="22">
        <v>352285.82658935804</v>
      </c>
      <c r="Y215" s="22">
        <v>367216.45320851955</v>
      </c>
      <c r="Z215" s="22">
        <v>370848.30459184607</v>
      </c>
      <c r="AA215" s="23">
        <v>360106.12782196642</v>
      </c>
      <c r="AB215" s="97"/>
      <c r="AC215" s="16">
        <v>5</v>
      </c>
      <c r="AD215" s="16">
        <f t="shared" si="67"/>
        <v>35830489.035906948</v>
      </c>
    </row>
    <row r="216" spans="1:30" ht="13.5" thickBot="1" x14ac:dyDescent="0.35">
      <c r="A216" s="18">
        <v>2031</v>
      </c>
      <c r="B216" s="11" t="s">
        <v>45</v>
      </c>
      <c r="C216" s="12" t="s">
        <v>33</v>
      </c>
      <c r="D216" s="21">
        <v>348613.11108938983</v>
      </c>
      <c r="E216" s="22">
        <v>334642.60721800767</v>
      </c>
      <c r="F216" s="22">
        <v>322148.38489317487</v>
      </c>
      <c r="G216" s="22">
        <v>311315.86045060359</v>
      </c>
      <c r="H216" s="22">
        <v>300812.49505920411</v>
      </c>
      <c r="I216" s="22">
        <v>283585.54757697997</v>
      </c>
      <c r="J216" s="22">
        <v>266940.91217530757</v>
      </c>
      <c r="K216" s="22">
        <v>221371.35241057797</v>
      </c>
      <c r="L216" s="22">
        <v>219452.57534548678</v>
      </c>
      <c r="M216" s="22">
        <v>219572.77401591485</v>
      </c>
      <c r="N216" s="22">
        <v>224728.0373844663</v>
      </c>
      <c r="O216" s="22">
        <v>234530.00777615467</v>
      </c>
      <c r="P216" s="22">
        <v>240584.77848890936</v>
      </c>
      <c r="Q216" s="22">
        <v>258652.37380644228</v>
      </c>
      <c r="R216" s="22">
        <v>273159.87050769915</v>
      </c>
      <c r="S216" s="22">
        <v>277873.3670512145</v>
      </c>
      <c r="T216" s="22">
        <v>280551.00078451721</v>
      </c>
      <c r="U216" s="22">
        <v>299353.22234913218</v>
      </c>
      <c r="V216" s="22">
        <v>307930.2965658874</v>
      </c>
      <c r="W216" s="22">
        <v>325634.3451725734</v>
      </c>
      <c r="X216" s="22">
        <v>340440.2915427938</v>
      </c>
      <c r="Y216" s="22">
        <v>354035.39852550812</v>
      </c>
      <c r="Z216" s="22">
        <v>358225.95712930465</v>
      </c>
      <c r="AA216" s="23">
        <v>349108.17581276689</v>
      </c>
      <c r="AB216" s="96">
        <f t="shared" ref="AB216" si="73">+SUM(D216:AA216)*AC216+SUM(D217:AA217)*AC217+SUM(D218:AA218)*AC218</f>
        <v>206818311.95263487</v>
      </c>
      <c r="AC216" s="16">
        <v>18</v>
      </c>
      <c r="AD216" s="16">
        <f t="shared" si="67"/>
        <v>125158729.37637632</v>
      </c>
    </row>
    <row r="217" spans="1:30" ht="13.5" thickBot="1" x14ac:dyDescent="0.35">
      <c r="A217" s="18">
        <v>2031</v>
      </c>
      <c r="B217" s="19" t="s">
        <v>45</v>
      </c>
      <c r="C217" s="20" t="s">
        <v>34</v>
      </c>
      <c r="D217" s="21">
        <v>340869.14826690237</v>
      </c>
      <c r="E217" s="22">
        <v>329474.18490126648</v>
      </c>
      <c r="F217" s="22">
        <v>318224.0362068016</v>
      </c>
      <c r="G217" s="22">
        <v>308550.29006612056</v>
      </c>
      <c r="H217" s="22">
        <v>299071.25561515964</v>
      </c>
      <c r="I217" s="22">
        <v>285553.40922302008</v>
      </c>
      <c r="J217" s="22">
        <v>271854.03432979737</v>
      </c>
      <c r="K217" s="22">
        <v>218989.04500907875</v>
      </c>
      <c r="L217" s="22">
        <v>206207.82089442117</v>
      </c>
      <c r="M217" s="22">
        <v>200130.9435367035</v>
      </c>
      <c r="N217" s="22">
        <v>201183.68879814478</v>
      </c>
      <c r="O217" s="22">
        <v>208829.73941743741</v>
      </c>
      <c r="P217" s="22">
        <v>217414.08166966127</v>
      </c>
      <c r="Q217" s="22">
        <v>228190.81187742064</v>
      </c>
      <c r="R217" s="22">
        <v>237828.76252351693</v>
      </c>
      <c r="S217" s="22">
        <v>244867.79752492215</v>
      </c>
      <c r="T217" s="22">
        <v>251349.50580347507</v>
      </c>
      <c r="U217" s="22">
        <v>278633.44068683538</v>
      </c>
      <c r="V217" s="22">
        <v>291600.7080105975</v>
      </c>
      <c r="W217" s="22">
        <v>310700.04203143349</v>
      </c>
      <c r="X217" s="22">
        <v>325721.67287503625</v>
      </c>
      <c r="Y217" s="22">
        <v>340911.11429447331</v>
      </c>
      <c r="Z217" s="22">
        <v>345551.74095925718</v>
      </c>
      <c r="AA217" s="23">
        <v>337662.2352955559</v>
      </c>
      <c r="AB217" s="97"/>
      <c r="AC217" s="16">
        <v>5</v>
      </c>
      <c r="AD217" s="16">
        <f t="shared" si="67"/>
        <v>32996847.549085189</v>
      </c>
    </row>
    <row r="218" spans="1:30" ht="13.5" thickBot="1" x14ac:dyDescent="0.35">
      <c r="A218" s="18">
        <v>2031</v>
      </c>
      <c r="B218" s="25" t="s">
        <v>45</v>
      </c>
      <c r="C218" s="26" t="s">
        <v>36</v>
      </c>
      <c r="D218" s="21">
        <v>349979.54942676361</v>
      </c>
      <c r="E218" s="22">
        <v>336505.3046096802</v>
      </c>
      <c r="F218" s="22">
        <v>324299.92971965106</v>
      </c>
      <c r="G218" s="22">
        <v>313702.4303246623</v>
      </c>
      <c r="H218" s="22">
        <v>303268.28815809858</v>
      </c>
      <c r="I218" s="22">
        <v>286410.95298614318</v>
      </c>
      <c r="J218" s="22">
        <v>269886.807360115</v>
      </c>
      <c r="K218" s="22">
        <v>222895.04824653274</v>
      </c>
      <c r="L218" s="22">
        <v>218281.29145120815</v>
      </c>
      <c r="M218" s="22">
        <v>216837.51132687888</v>
      </c>
      <c r="N218" s="22">
        <v>221236.92380131801</v>
      </c>
      <c r="O218" s="22">
        <v>230882.33357075116</v>
      </c>
      <c r="P218" s="22">
        <v>238149.07972581944</v>
      </c>
      <c r="Q218" s="22">
        <v>256110.26090482553</v>
      </c>
      <c r="R218" s="22">
        <v>269354.99728516926</v>
      </c>
      <c r="S218" s="22">
        <v>274550.6030240074</v>
      </c>
      <c r="T218" s="22">
        <v>277786.4543597583</v>
      </c>
      <c r="U218" s="22">
        <v>297495.02167665545</v>
      </c>
      <c r="V218" s="22">
        <v>306933.31961168029</v>
      </c>
      <c r="W218" s="22">
        <v>326184.85947540996</v>
      </c>
      <c r="X218" s="22">
        <v>342466.49462049513</v>
      </c>
      <c r="Y218" s="22">
        <v>357159.87529355014</v>
      </c>
      <c r="Z218" s="22">
        <v>360838.64144951908</v>
      </c>
      <c r="AA218" s="23">
        <v>350603.31118750246</v>
      </c>
      <c r="AB218" s="97"/>
      <c r="AC218" s="16">
        <v>7</v>
      </c>
      <c r="AD218" s="16">
        <f t="shared" si="67"/>
        <v>48662735.02717337</v>
      </c>
    </row>
    <row r="219" spans="1:30" ht="13.5" thickBot="1" x14ac:dyDescent="0.35">
      <c r="A219" s="18">
        <v>2031</v>
      </c>
      <c r="B219" s="11" t="s">
        <v>46</v>
      </c>
      <c r="C219" s="12" t="s">
        <v>33</v>
      </c>
      <c r="D219" s="21">
        <v>346586.44961156312</v>
      </c>
      <c r="E219" s="22">
        <v>333856.88740070158</v>
      </c>
      <c r="F219" s="22">
        <v>322423.68110541999</v>
      </c>
      <c r="G219" s="22">
        <v>312180.30748347967</v>
      </c>
      <c r="H219" s="22">
        <v>301981.88868219091</v>
      </c>
      <c r="I219" s="22">
        <v>285339.77268382633</v>
      </c>
      <c r="J219" s="22">
        <v>268849.76086021599</v>
      </c>
      <c r="K219" s="22">
        <v>222452.01686620238</v>
      </c>
      <c r="L219" s="22">
        <v>220019.67411658668</v>
      </c>
      <c r="M219" s="22">
        <v>219755.28554311334</v>
      </c>
      <c r="N219" s="22">
        <v>224599.3292986915</v>
      </c>
      <c r="O219" s="22">
        <v>234060.00378790483</v>
      </c>
      <c r="P219" s="22">
        <v>240141.48831871379</v>
      </c>
      <c r="Q219" s="22">
        <v>257358.02854699979</v>
      </c>
      <c r="R219" s="22">
        <v>271122.16808345192</v>
      </c>
      <c r="S219" s="22">
        <v>275914.09574551071</v>
      </c>
      <c r="T219" s="22">
        <v>278527.9035835159</v>
      </c>
      <c r="U219" s="22">
        <v>298030.11624694214</v>
      </c>
      <c r="V219" s="22">
        <v>306865.48740444856</v>
      </c>
      <c r="W219" s="22">
        <v>324458.85107718047</v>
      </c>
      <c r="X219" s="22">
        <v>339248.3074969601</v>
      </c>
      <c r="Y219" s="22">
        <v>352991.39717711351</v>
      </c>
      <c r="Z219" s="22">
        <v>357292.46481512499</v>
      </c>
      <c r="AA219" s="23">
        <v>348603.32695940044</v>
      </c>
      <c r="AB219" s="96">
        <f t="shared" ref="AB219" si="74">+SUM(D219:AA219)*AC219+SUM(D220:AA220)*AC220+SUM(D221:AA221)*AC221</f>
        <v>214301493.46844977</v>
      </c>
      <c r="AC219" s="16">
        <v>21</v>
      </c>
      <c r="AD219" s="16">
        <f t="shared" si="67"/>
        <v>145795832.55080041</v>
      </c>
    </row>
    <row r="220" spans="1:30" ht="13.5" thickBot="1" x14ac:dyDescent="0.35">
      <c r="A220" s="18">
        <v>2031</v>
      </c>
      <c r="B220" s="19" t="s">
        <v>46</v>
      </c>
      <c r="C220" s="20" t="s">
        <v>34</v>
      </c>
      <c r="D220" s="21">
        <v>342414.70636918879</v>
      </c>
      <c r="E220" s="22">
        <v>330970.84355922742</v>
      </c>
      <c r="F220" s="22">
        <v>319672.41686666076</v>
      </c>
      <c r="G220" s="22">
        <v>309957.15757708705</v>
      </c>
      <c r="H220" s="22">
        <v>300437.44554757496</v>
      </c>
      <c r="I220" s="22">
        <v>286861.58973883267</v>
      </c>
      <c r="J220" s="22">
        <v>273103.42643195839</v>
      </c>
      <c r="K220" s="22">
        <v>220279.34747249261</v>
      </c>
      <c r="L220" s="22">
        <v>207543.77277231761</v>
      </c>
      <c r="M220" s="22">
        <v>201506.92428273158</v>
      </c>
      <c r="N220" s="22">
        <v>202600.72578900351</v>
      </c>
      <c r="O220" s="22">
        <v>210292.22121742583</v>
      </c>
      <c r="P220" s="22">
        <v>218910.07005939836</v>
      </c>
      <c r="Q220" s="22">
        <v>229714.08905384058</v>
      </c>
      <c r="R220" s="22">
        <v>239358.11709277256</v>
      </c>
      <c r="S220" s="22">
        <v>246365.44851854708</v>
      </c>
      <c r="T220" s="22">
        <v>252775.83446125215</v>
      </c>
      <c r="U220" s="22">
        <v>279975.56194959534</v>
      </c>
      <c r="V220" s="22">
        <v>292998.47597850283</v>
      </c>
      <c r="W220" s="22">
        <v>312179.77137039689</v>
      </c>
      <c r="X220" s="22">
        <v>327265.86485223228</v>
      </c>
      <c r="Y220" s="22">
        <v>342520.4890389315</v>
      </c>
      <c r="Z220" s="22">
        <v>347181.03012186202</v>
      </c>
      <c r="AA220" s="23">
        <v>339257.66805769864</v>
      </c>
      <c r="AB220" s="97"/>
      <c r="AC220" s="16">
        <v>4</v>
      </c>
      <c r="AD220" s="16">
        <f t="shared" si="67"/>
        <v>26536571.992718127</v>
      </c>
    </row>
    <row r="221" spans="1:30" ht="13.5" thickBot="1" x14ac:dyDescent="0.35">
      <c r="A221" s="28">
        <v>2031</v>
      </c>
      <c r="B221" s="25" t="s">
        <v>46</v>
      </c>
      <c r="C221" s="26" t="s">
        <v>36</v>
      </c>
      <c r="D221" s="21">
        <v>350688.39477859251</v>
      </c>
      <c r="E221" s="22">
        <v>336886.5186240747</v>
      </c>
      <c r="F221" s="22">
        <v>324544.71919429343</v>
      </c>
      <c r="G221" s="22">
        <v>313812.46593568474</v>
      </c>
      <c r="H221" s="22">
        <v>303237.77082461788</v>
      </c>
      <c r="I221" s="22">
        <v>285843.02971399314</v>
      </c>
      <c r="J221" s="22">
        <v>268869.61451151123</v>
      </c>
      <c r="K221" s="22">
        <v>222954.53979011395</v>
      </c>
      <c r="L221" s="22">
        <v>219780.06446285328</v>
      </c>
      <c r="M221" s="22">
        <v>219151.57536600981</v>
      </c>
      <c r="N221" s="22">
        <v>224125.19776177421</v>
      </c>
      <c r="O221" s="22">
        <v>234095.60781668278</v>
      </c>
      <c r="P221" s="22">
        <v>241117.13775341748</v>
      </c>
      <c r="Q221" s="22">
        <v>260274.03932505069</v>
      </c>
      <c r="R221" s="22">
        <v>274104.6553949095</v>
      </c>
      <c r="S221" s="22">
        <v>278958.82621798036</v>
      </c>
      <c r="T221" s="22">
        <v>281609.06249730272</v>
      </c>
      <c r="U221" s="22">
        <v>299976.57218484295</v>
      </c>
      <c r="V221" s="22">
        <v>308783.13772667613</v>
      </c>
      <c r="W221" s="22">
        <v>328015.87681773008</v>
      </c>
      <c r="X221" s="22">
        <v>344477.03840280283</v>
      </c>
      <c r="Y221" s="22">
        <v>359050.30803682335</v>
      </c>
      <c r="Z221" s="22">
        <v>362554.2971426092</v>
      </c>
      <c r="AA221" s="23">
        <v>351937.7038748567</v>
      </c>
      <c r="AB221" s="97"/>
      <c r="AC221" s="16">
        <v>6</v>
      </c>
      <c r="AD221" s="16">
        <f t="shared" si="67"/>
        <v>41969088.924931228</v>
      </c>
    </row>
    <row r="222" spans="1:30" ht="13.5" thickBot="1" x14ac:dyDescent="0.35">
      <c r="A222" s="10">
        <v>2032</v>
      </c>
      <c r="B222" s="11" t="s">
        <v>32</v>
      </c>
      <c r="C222" s="12" t="s">
        <v>33</v>
      </c>
      <c r="D222" s="21">
        <v>332812.12075860822</v>
      </c>
      <c r="E222" s="22">
        <v>318949.92195786396</v>
      </c>
      <c r="F222" s="22">
        <v>305965.38821368193</v>
      </c>
      <c r="G222" s="22">
        <v>294501.86022990674</v>
      </c>
      <c r="H222" s="22">
        <v>283991.67765590723</v>
      </c>
      <c r="I222" s="22">
        <v>273565.78377153765</v>
      </c>
      <c r="J222" s="22">
        <v>259700.23008866579</v>
      </c>
      <c r="K222" s="22">
        <v>211482.8625494944</v>
      </c>
      <c r="L222" s="22">
        <v>213599.68979151206</v>
      </c>
      <c r="M222" s="22">
        <v>216351.76552910171</v>
      </c>
      <c r="N222" s="22">
        <v>222529.95845428348</v>
      </c>
      <c r="O222" s="22">
        <v>232266.19230814371</v>
      </c>
      <c r="P222" s="22">
        <v>237377.34983113417</v>
      </c>
      <c r="Q222" s="22">
        <v>253492.56955217608</v>
      </c>
      <c r="R222" s="22">
        <v>269586.72882028902</v>
      </c>
      <c r="S222" s="22">
        <v>275041.52316118369</v>
      </c>
      <c r="T222" s="22">
        <v>273278.59886316245</v>
      </c>
      <c r="U222" s="22">
        <v>284773.9696175101</v>
      </c>
      <c r="V222" s="22">
        <v>296324.98061983759</v>
      </c>
      <c r="W222" s="22">
        <v>308081.75057867204</v>
      </c>
      <c r="X222" s="22">
        <v>321594.02619577572</v>
      </c>
      <c r="Y222" s="22">
        <v>336521.08428253408</v>
      </c>
      <c r="Z222" s="22">
        <v>342722.27961136249</v>
      </c>
      <c r="AA222" s="23">
        <v>334881.10894551373</v>
      </c>
      <c r="AB222" s="96">
        <f t="shared" ref="AB222" si="75">+SUM(D222:AA222)*AC222+SUM(D223:AA223)*AC223+SUM(D224:AA224)*AC224</f>
        <v>205112650.69416034</v>
      </c>
      <c r="AC222" s="16">
        <v>20</v>
      </c>
      <c r="AD222" s="16">
        <f t="shared" si="67"/>
        <v>133987868.42775716</v>
      </c>
    </row>
    <row r="223" spans="1:30" ht="13.5" thickBot="1" x14ac:dyDescent="0.35">
      <c r="A223" s="18">
        <v>2032</v>
      </c>
      <c r="B223" s="19" t="s">
        <v>32</v>
      </c>
      <c r="C223" s="20" t="s">
        <v>34</v>
      </c>
      <c r="D223" s="21">
        <v>339293.56781352719</v>
      </c>
      <c r="E223" s="22">
        <v>325875.74248178018</v>
      </c>
      <c r="F223" s="22">
        <v>312413.33358742343</v>
      </c>
      <c r="G223" s="22">
        <v>300459.2431065478</v>
      </c>
      <c r="H223" s="22">
        <v>289686.28077230963</v>
      </c>
      <c r="I223" s="22">
        <v>279126.39043207315</v>
      </c>
      <c r="J223" s="22">
        <v>264881.64954336488</v>
      </c>
      <c r="K223" s="22">
        <v>213309.43333432288</v>
      </c>
      <c r="L223" s="22">
        <v>211028.35023973853</v>
      </c>
      <c r="M223" s="22">
        <v>212922.91861470626</v>
      </c>
      <c r="N223" s="22">
        <v>216945.08066825563</v>
      </c>
      <c r="O223" s="22">
        <v>223974.01102692657</v>
      </c>
      <c r="P223" s="22">
        <v>227711.08754122513</v>
      </c>
      <c r="Q223" s="22">
        <v>239545.25155359879</v>
      </c>
      <c r="R223" s="22">
        <v>249509.9904101491</v>
      </c>
      <c r="S223" s="22">
        <v>254694.89004465393</v>
      </c>
      <c r="T223" s="22">
        <v>258420.42550209491</v>
      </c>
      <c r="U223" s="22">
        <v>281525.64380938991</v>
      </c>
      <c r="V223" s="22">
        <v>294181.61775231297</v>
      </c>
      <c r="W223" s="22">
        <v>301202.1946093057</v>
      </c>
      <c r="X223" s="22">
        <v>308377.82979325688</v>
      </c>
      <c r="Y223" s="22">
        <v>317892.43606203317</v>
      </c>
      <c r="Z223" s="22">
        <v>325426.12636875862</v>
      </c>
      <c r="AA223" s="23">
        <v>324813.43093256577</v>
      </c>
      <c r="AB223" s="97"/>
      <c r="AC223" s="16">
        <v>5</v>
      </c>
      <c r="AD223" s="16">
        <f t="shared" si="67"/>
        <v>32866084.630001601</v>
      </c>
    </row>
    <row r="224" spans="1:30" ht="13.5" thickBot="1" x14ac:dyDescent="0.35">
      <c r="A224" s="18">
        <v>2032</v>
      </c>
      <c r="B224" s="25" t="s">
        <v>32</v>
      </c>
      <c r="C224" s="26" t="s">
        <v>36</v>
      </c>
      <c r="D224" s="21">
        <v>326046.35498747352</v>
      </c>
      <c r="E224" s="22">
        <v>313918.61153583479</v>
      </c>
      <c r="F224" s="22">
        <v>303054.71990687941</v>
      </c>
      <c r="G224" s="22">
        <v>292757.75076948776</v>
      </c>
      <c r="H224" s="22">
        <v>283439.23923672806</v>
      </c>
      <c r="I224" s="22">
        <v>274152.72852039681</v>
      </c>
      <c r="J224" s="22">
        <v>260474.08410392221</v>
      </c>
      <c r="K224" s="22">
        <v>208563.02905453104</v>
      </c>
      <c r="L224" s="22">
        <v>202232.63173821592</v>
      </c>
      <c r="M224" s="22">
        <v>199771.3476742199</v>
      </c>
      <c r="N224" s="22">
        <v>203409.78058790162</v>
      </c>
      <c r="O224" s="22">
        <v>210012.19989967867</v>
      </c>
      <c r="P224" s="22">
        <v>214959.03798647239</v>
      </c>
      <c r="Q224" s="22">
        <v>226580.23030720453</v>
      </c>
      <c r="R224" s="22">
        <v>237789.68962321756</v>
      </c>
      <c r="S224" s="22">
        <v>244281.8757519483</v>
      </c>
      <c r="T224" s="22">
        <v>246936.97152567547</v>
      </c>
      <c r="U224" s="22">
        <v>266086.5806685916</v>
      </c>
      <c r="V224" s="22">
        <v>282687.03426189208</v>
      </c>
      <c r="W224" s="22">
        <v>294322.09204903804</v>
      </c>
      <c r="X224" s="22">
        <v>307274.08474401868</v>
      </c>
      <c r="Y224" s="22">
        <v>322975.41481896403</v>
      </c>
      <c r="Z224" s="22">
        <v>330555.1734878089</v>
      </c>
      <c r="AA224" s="23">
        <v>324168.94282682991</v>
      </c>
      <c r="AB224" s="97"/>
      <c r="AC224" s="16">
        <v>6</v>
      </c>
      <c r="AD224" s="16">
        <f t="shared" si="67"/>
        <v>38258697.636401586</v>
      </c>
    </row>
    <row r="225" spans="1:30" ht="13.5" thickBot="1" x14ac:dyDescent="0.35">
      <c r="A225" s="18">
        <v>2032</v>
      </c>
      <c r="B225" s="11" t="s">
        <v>35</v>
      </c>
      <c r="C225" s="12" t="s">
        <v>33</v>
      </c>
      <c r="D225" s="21">
        <v>342657.18661167345</v>
      </c>
      <c r="E225" s="22">
        <v>328321.44816117629</v>
      </c>
      <c r="F225" s="22">
        <v>315744.26701977995</v>
      </c>
      <c r="G225" s="22">
        <v>304246.90949382458</v>
      </c>
      <c r="H225" s="22">
        <v>292226.91151656082</v>
      </c>
      <c r="I225" s="22">
        <v>277890.46508260013</v>
      </c>
      <c r="J225" s="22">
        <v>257737.61686474778</v>
      </c>
      <c r="K225" s="22">
        <v>208854.75021028874</v>
      </c>
      <c r="L225" s="22">
        <v>211497.88408115943</v>
      </c>
      <c r="M225" s="22">
        <v>216021.78271334438</v>
      </c>
      <c r="N225" s="22">
        <v>225951.63338034833</v>
      </c>
      <c r="O225" s="22">
        <v>239032.88516628597</v>
      </c>
      <c r="P225" s="22">
        <v>246768.39202366737</v>
      </c>
      <c r="Q225" s="22">
        <v>270109.18778938014</v>
      </c>
      <c r="R225" s="22">
        <v>287850.18711640028</v>
      </c>
      <c r="S225" s="22">
        <v>291121.06035743357</v>
      </c>
      <c r="T225" s="22">
        <v>288465.85574664245</v>
      </c>
      <c r="U225" s="22">
        <v>296978.55613157048</v>
      </c>
      <c r="V225" s="22">
        <v>305467.5887174682</v>
      </c>
      <c r="W225" s="22">
        <v>322178.86319017468</v>
      </c>
      <c r="X225" s="22">
        <v>337541.75731105049</v>
      </c>
      <c r="Y225" s="22">
        <v>353050.73273289943</v>
      </c>
      <c r="Z225" s="22">
        <v>355743.3353705387</v>
      </c>
      <c r="AA225" s="23">
        <v>346093.95282346569</v>
      </c>
      <c r="AB225" s="96">
        <f t="shared" ref="AB225" si="76">+SUM(D225:AA225)*AC225+SUM(D226:AA226)*AC226+SUM(D227:AA227)*AC227</f>
        <v>198905556.93079588</v>
      </c>
      <c r="AC225" s="16">
        <v>20</v>
      </c>
      <c r="AD225" s="16">
        <f t="shared" si="67"/>
        <v>138431064.19224966</v>
      </c>
    </row>
    <row r="226" spans="1:30" ht="13.5" thickBot="1" x14ac:dyDescent="0.35">
      <c r="A226" s="18">
        <v>2032</v>
      </c>
      <c r="B226" s="19" t="s">
        <v>35</v>
      </c>
      <c r="C226" s="20" t="s">
        <v>34</v>
      </c>
      <c r="D226" s="21">
        <v>349127.197256646</v>
      </c>
      <c r="E226" s="22">
        <v>336191.70477334794</v>
      </c>
      <c r="F226" s="22">
        <v>324765.87941650901</v>
      </c>
      <c r="G226" s="22">
        <v>314188.38175883074</v>
      </c>
      <c r="H226" s="22">
        <v>304195.7830622865</v>
      </c>
      <c r="I226" s="22">
        <v>293391.56448403641</v>
      </c>
      <c r="J226" s="22">
        <v>276460.37242431648</v>
      </c>
      <c r="K226" s="22">
        <v>223842.09182494099</v>
      </c>
      <c r="L226" s="22">
        <v>221133.72798634483</v>
      </c>
      <c r="M226" s="22">
        <v>223709.26538424206</v>
      </c>
      <c r="N226" s="22">
        <v>230469.76994944806</v>
      </c>
      <c r="O226" s="22">
        <v>239855.12678859997</v>
      </c>
      <c r="P226" s="22">
        <v>241926.04632300444</v>
      </c>
      <c r="Q226" s="22">
        <v>251847.86044507887</v>
      </c>
      <c r="R226" s="22">
        <v>261742.5083109336</v>
      </c>
      <c r="S226" s="22">
        <v>267099.17404360807</v>
      </c>
      <c r="T226" s="22">
        <v>268366.13992745214</v>
      </c>
      <c r="U226" s="22">
        <v>285403.25940358732</v>
      </c>
      <c r="V226" s="22">
        <v>297174.02684472117</v>
      </c>
      <c r="W226" s="22">
        <v>309014.82030852867</v>
      </c>
      <c r="X226" s="22">
        <v>315473.29958840454</v>
      </c>
      <c r="Y226" s="22">
        <v>324742.13756335637</v>
      </c>
      <c r="Z226" s="22">
        <v>330733.84124206321</v>
      </c>
      <c r="AA226" s="23">
        <v>327767.22564071685</v>
      </c>
      <c r="AB226" s="97"/>
      <c r="AC226" s="16">
        <v>4</v>
      </c>
      <c r="AD226" s="16">
        <f t="shared" si="67"/>
        <v>27274484.819004022</v>
      </c>
    </row>
    <row r="227" spans="1:30" ht="13.5" thickBot="1" x14ac:dyDescent="0.35">
      <c r="A227" s="18">
        <v>2032</v>
      </c>
      <c r="B227" s="25" t="s">
        <v>35</v>
      </c>
      <c r="C227" s="26" t="s">
        <v>36</v>
      </c>
      <c r="D227" s="21">
        <v>335397.25865302089</v>
      </c>
      <c r="E227" s="22">
        <v>325760.11604507582</v>
      </c>
      <c r="F227" s="22">
        <v>315799.39147993654</v>
      </c>
      <c r="G227" s="22">
        <v>308141.37620512763</v>
      </c>
      <c r="H227" s="22">
        <v>301263.8750295752</v>
      </c>
      <c r="I227" s="22">
        <v>292757.40481555933</v>
      </c>
      <c r="J227" s="22">
        <v>278060.63572640397</v>
      </c>
      <c r="K227" s="22">
        <v>220899.22056927238</v>
      </c>
      <c r="L227" s="22">
        <v>210038.25791375231</v>
      </c>
      <c r="M227" s="22">
        <v>207321.22241719061</v>
      </c>
      <c r="N227" s="22">
        <v>210419.10240385463</v>
      </c>
      <c r="O227" s="22">
        <v>218578.31873785256</v>
      </c>
      <c r="P227" s="22">
        <v>225725.36675159703</v>
      </c>
      <c r="Q227" s="22">
        <v>240571.49364690515</v>
      </c>
      <c r="R227" s="22">
        <v>245458.64147570738</v>
      </c>
      <c r="S227" s="22">
        <v>254172.61622615362</v>
      </c>
      <c r="T227" s="22">
        <v>255355.0186298787</v>
      </c>
      <c r="U227" s="22">
        <v>275673.45244118117</v>
      </c>
      <c r="V227" s="22">
        <v>288944.44258196268</v>
      </c>
      <c r="W227" s="22">
        <v>304958.38325455395</v>
      </c>
      <c r="X227" s="22">
        <v>320079.32922507392</v>
      </c>
      <c r="Y227" s="22">
        <v>335187.5116955337</v>
      </c>
      <c r="Z227" s="22">
        <v>338831.00170131773</v>
      </c>
      <c r="AA227" s="23">
        <v>330608.14628195146</v>
      </c>
      <c r="AB227" s="97"/>
      <c r="AC227" s="16">
        <v>5</v>
      </c>
      <c r="AD227" s="16">
        <f t="shared" si="67"/>
        <v>33200007.91954219</v>
      </c>
    </row>
    <row r="228" spans="1:30" ht="13.5" thickBot="1" x14ac:dyDescent="0.35">
      <c r="A228" s="18">
        <v>2032</v>
      </c>
      <c r="B228" s="11" t="s">
        <v>37</v>
      </c>
      <c r="C228" s="12" t="s">
        <v>33</v>
      </c>
      <c r="D228" s="21">
        <v>349563.76825366041</v>
      </c>
      <c r="E228" s="22">
        <v>336805.59353910701</v>
      </c>
      <c r="F228" s="22">
        <v>324799.4114757292</v>
      </c>
      <c r="G228" s="22">
        <v>313889.17914996768</v>
      </c>
      <c r="H228" s="22">
        <v>302551.31099348218</v>
      </c>
      <c r="I228" s="22">
        <v>286386.59310032148</v>
      </c>
      <c r="J228" s="22">
        <v>265178.67156179587</v>
      </c>
      <c r="K228" s="22">
        <v>218965.46561212046</v>
      </c>
      <c r="L228" s="22">
        <v>220796.19813852495</v>
      </c>
      <c r="M228" s="22">
        <v>225247.04013721278</v>
      </c>
      <c r="N228" s="22">
        <v>234452.47662876741</v>
      </c>
      <c r="O228" s="22">
        <v>246286.29498555866</v>
      </c>
      <c r="P228" s="22">
        <v>253208.96405309933</v>
      </c>
      <c r="Q228" s="22">
        <v>274659.52580099675</v>
      </c>
      <c r="R228" s="22">
        <v>290435.33377698238</v>
      </c>
      <c r="S228" s="22">
        <v>294035.16260172601</v>
      </c>
      <c r="T228" s="22">
        <v>292811.51653001807</v>
      </c>
      <c r="U228" s="22">
        <v>301787.18937295873</v>
      </c>
      <c r="V228" s="22">
        <v>309684.66676234873</v>
      </c>
      <c r="W228" s="22">
        <v>328347.44147557305</v>
      </c>
      <c r="X228" s="22">
        <v>343150.69768931752</v>
      </c>
      <c r="Y228" s="22">
        <v>358162.57915590936</v>
      </c>
      <c r="Z228" s="22">
        <v>361563.79688011529</v>
      </c>
      <c r="AA228" s="23">
        <v>351282.25888155145</v>
      </c>
      <c r="AB228" s="96">
        <f t="shared" ref="AB228" si="77">+SUM(D228:AA228)*AC228+SUM(D229:AA229)*AC229+SUM(D230:AA230)*AC230</f>
        <v>219457768.2039836</v>
      </c>
      <c r="AC228" s="16">
        <v>20</v>
      </c>
      <c r="AD228" s="16">
        <f t="shared" si="67"/>
        <v>141681022.73113689</v>
      </c>
    </row>
    <row r="229" spans="1:30" ht="13.5" thickBot="1" x14ac:dyDescent="0.35">
      <c r="A229" s="18">
        <v>2032</v>
      </c>
      <c r="B229" s="19" t="s">
        <v>37</v>
      </c>
      <c r="C229" s="20" t="s">
        <v>34</v>
      </c>
      <c r="D229" s="21">
        <v>356188.31127348414</v>
      </c>
      <c r="E229" s="22">
        <v>342510.24797025701</v>
      </c>
      <c r="F229" s="22">
        <v>331332.6693350625</v>
      </c>
      <c r="G229" s="22">
        <v>320749.896399691</v>
      </c>
      <c r="H229" s="22">
        <v>310473.66235171759</v>
      </c>
      <c r="I229" s="22">
        <v>298374.93433386937</v>
      </c>
      <c r="J229" s="22">
        <v>281431.06182516814</v>
      </c>
      <c r="K229" s="22">
        <v>232239.99752989295</v>
      </c>
      <c r="L229" s="22">
        <v>231131.65070089878</v>
      </c>
      <c r="M229" s="22">
        <v>232798.06432358912</v>
      </c>
      <c r="N229" s="22">
        <v>237440.20469351317</v>
      </c>
      <c r="O229" s="22">
        <v>244524.99198130533</v>
      </c>
      <c r="P229" s="22">
        <v>250946.33752345649</v>
      </c>
      <c r="Q229" s="22">
        <v>265444.4500220255</v>
      </c>
      <c r="R229" s="22">
        <v>279192.12696621381</v>
      </c>
      <c r="S229" s="22">
        <v>283375.32548639766</v>
      </c>
      <c r="T229" s="22">
        <v>284474.06113006733</v>
      </c>
      <c r="U229" s="22">
        <v>302183.66687570757</v>
      </c>
      <c r="V229" s="22">
        <v>312764.71972920536</v>
      </c>
      <c r="W229" s="22">
        <v>323471.26656413218</v>
      </c>
      <c r="X229" s="22">
        <v>330658.31597108301</v>
      </c>
      <c r="Y229" s="22">
        <v>343137.47353413049</v>
      </c>
      <c r="Z229" s="22">
        <v>352998.7107233631</v>
      </c>
      <c r="AA229" s="23">
        <v>352653.17030228279</v>
      </c>
      <c r="AB229" s="97"/>
      <c r="AC229" s="16">
        <v>4</v>
      </c>
      <c r="AD229" s="16">
        <f t="shared" si="67"/>
        <v>28401981.270186059</v>
      </c>
    </row>
    <row r="230" spans="1:30" ht="13.5" thickBot="1" x14ac:dyDescent="0.35">
      <c r="A230" s="18">
        <v>2032</v>
      </c>
      <c r="B230" s="25" t="s">
        <v>37</v>
      </c>
      <c r="C230" s="26" t="s">
        <v>36</v>
      </c>
      <c r="D230" s="21">
        <v>357154.46147256886</v>
      </c>
      <c r="E230" s="22">
        <v>344320.34485987941</v>
      </c>
      <c r="F230" s="22">
        <v>332476.34509386588</v>
      </c>
      <c r="G230" s="22">
        <v>322334.45834981697</v>
      </c>
      <c r="H230" s="22">
        <v>312462.16485447477</v>
      </c>
      <c r="I230" s="22">
        <v>297182.18376311817</v>
      </c>
      <c r="J230" s="22">
        <v>277812.93273896998</v>
      </c>
      <c r="K230" s="22">
        <v>226448.83241995587</v>
      </c>
      <c r="L230" s="22">
        <v>218489.10741693783</v>
      </c>
      <c r="M230" s="22">
        <v>218167.8305602496</v>
      </c>
      <c r="N230" s="22">
        <v>223117.04786205682</v>
      </c>
      <c r="O230" s="22">
        <v>233448.02816046774</v>
      </c>
      <c r="P230" s="22">
        <v>243514.76722035077</v>
      </c>
      <c r="Q230" s="22">
        <v>258525.75036391808</v>
      </c>
      <c r="R230" s="22">
        <v>268538.19857707538</v>
      </c>
      <c r="S230" s="22">
        <v>276378.2140850366</v>
      </c>
      <c r="T230" s="22">
        <v>280337.63299842086</v>
      </c>
      <c r="U230" s="22">
        <v>297932.94394421164</v>
      </c>
      <c r="V230" s="22">
        <v>310856.63517426461</v>
      </c>
      <c r="W230" s="22">
        <v>328241.80416108936</v>
      </c>
      <c r="X230" s="22">
        <v>344332.92386886006</v>
      </c>
      <c r="Y230" s="22">
        <v>360240.14388741815</v>
      </c>
      <c r="Z230" s="22">
        <v>364782.66586488223</v>
      </c>
      <c r="AA230" s="23">
        <v>356442.32553934719</v>
      </c>
      <c r="AB230" s="97"/>
      <c r="AC230" s="16">
        <v>7</v>
      </c>
      <c r="AD230" s="16">
        <f t="shared" si="67"/>
        <v>49374764.202660657</v>
      </c>
    </row>
    <row r="231" spans="1:30" ht="13.5" thickBot="1" x14ac:dyDescent="0.35">
      <c r="A231" s="18">
        <v>2032</v>
      </c>
      <c r="B231" s="11" t="s">
        <v>38</v>
      </c>
      <c r="C231" s="12" t="s">
        <v>33</v>
      </c>
      <c r="D231" s="21">
        <v>349662.77963854087</v>
      </c>
      <c r="E231" s="22">
        <v>335817.75099495635</v>
      </c>
      <c r="F231" s="22">
        <v>323482.00079032558</v>
      </c>
      <c r="G231" s="22">
        <v>312750.41122602619</v>
      </c>
      <c r="H231" s="22">
        <v>302174.15248389699</v>
      </c>
      <c r="I231" s="22">
        <v>284689.53040681989</v>
      </c>
      <c r="J231" s="22">
        <v>267649.83031798387</v>
      </c>
      <c r="K231" s="22">
        <v>222558.21781912635</v>
      </c>
      <c r="L231" s="22">
        <v>219373.40116465202</v>
      </c>
      <c r="M231" s="22">
        <v>218695.31067392582</v>
      </c>
      <c r="N231" s="22">
        <v>223657.37549107883</v>
      </c>
      <c r="O231" s="22">
        <v>233629.80069864017</v>
      </c>
      <c r="P231" s="22">
        <v>240570.17014825632</v>
      </c>
      <c r="Q231" s="22">
        <v>260079.78743569617</v>
      </c>
      <c r="R231" s="22">
        <v>274178.85149349383</v>
      </c>
      <c r="S231" s="22">
        <v>279184.29513278743</v>
      </c>
      <c r="T231" s="22">
        <v>282084.3385330278</v>
      </c>
      <c r="U231" s="22">
        <v>298940.6392664109</v>
      </c>
      <c r="V231" s="22">
        <v>307535.00433679612</v>
      </c>
      <c r="W231" s="22">
        <v>326692.33794904692</v>
      </c>
      <c r="X231" s="22">
        <v>343144.73752454529</v>
      </c>
      <c r="Y231" s="22">
        <v>357630.68442111439</v>
      </c>
      <c r="Z231" s="22">
        <v>361072.07756130671</v>
      </c>
      <c r="AA231" s="23">
        <v>350385.43902278156</v>
      </c>
      <c r="AB231" s="96">
        <f t="shared" ref="AB231" si="78">+SUM(D231:AA231)*AC231+SUM(D232:AA232)*AC232+SUM(D233:AA233)*AC233</f>
        <v>207635764.81753772</v>
      </c>
      <c r="AC231" s="16">
        <v>22</v>
      </c>
      <c r="AD231" s="16">
        <f t="shared" si="67"/>
        <v>153464056.33968717</v>
      </c>
    </row>
    <row r="232" spans="1:30" ht="13.5" thickBot="1" x14ac:dyDescent="0.35">
      <c r="A232" s="18">
        <v>2032</v>
      </c>
      <c r="B232" s="19" t="s">
        <v>38</v>
      </c>
      <c r="C232" s="20" t="s">
        <v>34</v>
      </c>
      <c r="D232" s="21">
        <v>351569.59524442337</v>
      </c>
      <c r="E232" s="22">
        <v>338111.2219110654</v>
      </c>
      <c r="F232" s="22">
        <v>325297.77782924951</v>
      </c>
      <c r="G232" s="22">
        <v>314380.72402721521</v>
      </c>
      <c r="H232" s="22">
        <v>304431.3447793668</v>
      </c>
      <c r="I232" s="22">
        <v>289802.21461949096</v>
      </c>
      <c r="J232" s="22">
        <v>275903.37530833774</v>
      </c>
      <c r="K232" s="22">
        <v>227444.85950429653</v>
      </c>
      <c r="L232" s="22">
        <v>223265.57171541199</v>
      </c>
      <c r="M232" s="22">
        <v>222328.26398966231</v>
      </c>
      <c r="N232" s="22">
        <v>225668.7712983065</v>
      </c>
      <c r="O232" s="22">
        <v>233710.08190627949</v>
      </c>
      <c r="P232" s="22">
        <v>237810.95087588072</v>
      </c>
      <c r="Q232" s="22">
        <v>246757.81417304341</v>
      </c>
      <c r="R232" s="22">
        <v>261085.59488430107</v>
      </c>
      <c r="S232" s="22">
        <v>266839.90864874399</v>
      </c>
      <c r="T232" s="22">
        <v>272076.46685334609</v>
      </c>
      <c r="U232" s="22">
        <v>296716.97509919835</v>
      </c>
      <c r="V232" s="22">
        <v>307923.69069098198</v>
      </c>
      <c r="W232" s="22">
        <v>321047.3720596077</v>
      </c>
      <c r="X232" s="22">
        <v>329748.06061410886</v>
      </c>
      <c r="Y232" s="22">
        <v>341028.46950760391</v>
      </c>
      <c r="Z232" s="22">
        <v>348626.53803659586</v>
      </c>
      <c r="AA232" s="23">
        <v>346272.89721870865</v>
      </c>
      <c r="AB232" s="97"/>
      <c r="AC232" s="16">
        <v>4</v>
      </c>
      <c r="AD232" s="16">
        <f t="shared" si="67"/>
        <v>27631394.16318091</v>
      </c>
    </row>
    <row r="233" spans="1:30" ht="13.5" thickBot="1" x14ac:dyDescent="0.35">
      <c r="A233" s="18">
        <v>2032</v>
      </c>
      <c r="B233" s="25" t="s">
        <v>38</v>
      </c>
      <c r="C233" s="26" t="s">
        <v>36</v>
      </c>
      <c r="D233" s="21">
        <v>342634.83780651505</v>
      </c>
      <c r="E233" s="22">
        <v>331187.79793367675</v>
      </c>
      <c r="F233" s="22">
        <v>319886.2345544328</v>
      </c>
      <c r="G233" s="22">
        <v>310168.27809956257</v>
      </c>
      <c r="H233" s="22">
        <v>300645.92319288658</v>
      </c>
      <c r="I233" s="22">
        <v>287066.29843407648</v>
      </c>
      <c r="J233" s="22">
        <v>273304.31556464522</v>
      </c>
      <c r="K233" s="22">
        <v>221019.24029574436</v>
      </c>
      <c r="L233" s="22">
        <v>207910.0213176774</v>
      </c>
      <c r="M233" s="22">
        <v>201628.04207850428</v>
      </c>
      <c r="N233" s="22">
        <v>202587.58461209413</v>
      </c>
      <c r="O233" s="22">
        <v>210234.69055746892</v>
      </c>
      <c r="P233" s="22">
        <v>218867.20128431052</v>
      </c>
      <c r="Q233" s="22">
        <v>229744.03598408034</v>
      </c>
      <c r="R233" s="22">
        <v>239520.67692071738</v>
      </c>
      <c r="S233" s="22">
        <v>246757.95433681644</v>
      </c>
      <c r="T233" s="22">
        <v>253535.21881381809</v>
      </c>
      <c r="U233" s="22">
        <v>279536.01926176093</v>
      </c>
      <c r="V233" s="22">
        <v>292562.54873218475</v>
      </c>
      <c r="W233" s="22">
        <v>311749.16926494532</v>
      </c>
      <c r="X233" s="22">
        <v>326839.45097136486</v>
      </c>
      <c r="Y233" s="22">
        <v>342098.31017040322</v>
      </c>
      <c r="Z233" s="22">
        <v>346760.14511995093</v>
      </c>
      <c r="AA233" s="23">
        <v>338834.58335976774</v>
      </c>
      <c r="AB233" s="97"/>
      <c r="AC233" s="16">
        <v>4</v>
      </c>
      <c r="AD233" s="16">
        <f t="shared" si="67"/>
        <v>26540314.314669624</v>
      </c>
    </row>
    <row r="234" spans="1:30" ht="13.5" thickBot="1" x14ac:dyDescent="0.35">
      <c r="A234" s="18">
        <v>2032</v>
      </c>
      <c r="B234" s="11" t="s">
        <v>39</v>
      </c>
      <c r="C234" s="12" t="s">
        <v>33</v>
      </c>
      <c r="D234" s="21">
        <v>354267.82099903218</v>
      </c>
      <c r="E234" s="22">
        <v>339908.0276984197</v>
      </c>
      <c r="F234" s="22">
        <v>327290.23582943808</v>
      </c>
      <c r="G234" s="22">
        <v>316295.02915723127</v>
      </c>
      <c r="H234" s="22">
        <v>305450.1669937885</v>
      </c>
      <c r="I234" s="22">
        <v>287175.02013036737</v>
      </c>
      <c r="J234" s="22">
        <v>269449.48477130651</v>
      </c>
      <c r="K234" s="22">
        <v>225596.94978818568</v>
      </c>
      <c r="L234" s="22">
        <v>224143.71748102451</v>
      </c>
      <c r="M234" s="22">
        <v>224469.93748199745</v>
      </c>
      <c r="N234" s="22">
        <v>230182.453607567</v>
      </c>
      <c r="O234" s="22">
        <v>240643.05555142145</v>
      </c>
      <c r="P234" s="22">
        <v>247372.11292497776</v>
      </c>
      <c r="Q234" s="22">
        <v>268416.3765959054</v>
      </c>
      <c r="R234" s="22">
        <v>283280.62404197326</v>
      </c>
      <c r="S234" s="22">
        <v>287869.96177464904</v>
      </c>
      <c r="T234" s="22">
        <v>290006.84000186913</v>
      </c>
      <c r="U234" s="22">
        <v>305195.99652309442</v>
      </c>
      <c r="V234" s="22">
        <v>313161.38128142722</v>
      </c>
      <c r="W234" s="22">
        <v>332494.73087568139</v>
      </c>
      <c r="X234" s="22">
        <v>349320.53955902252</v>
      </c>
      <c r="Y234" s="22">
        <v>363819.3064471166</v>
      </c>
      <c r="Z234" s="22">
        <v>367097.64227013657</v>
      </c>
      <c r="AA234" s="23">
        <v>355867.86355794244</v>
      </c>
      <c r="AB234" s="96">
        <f t="shared" ref="AB234" si="79">+SUM(D234:AA234)*AC234+SUM(D235:AA235)*AC235+SUM(D236:AA236)*AC236</f>
        <v>218068670.73101592</v>
      </c>
      <c r="AC234" s="16">
        <v>19</v>
      </c>
      <c r="AD234" s="16">
        <f t="shared" si="67"/>
        <v>135066730.23152792</v>
      </c>
    </row>
    <row r="235" spans="1:30" ht="13.5" thickBot="1" x14ac:dyDescent="0.35">
      <c r="A235" s="18">
        <v>2032</v>
      </c>
      <c r="B235" s="19" t="s">
        <v>39</v>
      </c>
      <c r="C235" s="20" t="s">
        <v>34</v>
      </c>
      <c r="D235" s="21">
        <v>355770.17131005926</v>
      </c>
      <c r="E235" s="22">
        <v>342159.3111870939</v>
      </c>
      <c r="F235" s="22">
        <v>329200.68752796535</v>
      </c>
      <c r="G235" s="22">
        <v>318159.94073235668</v>
      </c>
      <c r="H235" s="22">
        <v>308097.83248951676</v>
      </c>
      <c r="I235" s="22">
        <v>293302.95056770224</v>
      </c>
      <c r="J235" s="22">
        <v>279246.63387549191</v>
      </c>
      <c r="K235" s="22">
        <v>230840.23759151337</v>
      </c>
      <c r="L235" s="22">
        <v>226809.6404948929</v>
      </c>
      <c r="M235" s="22">
        <v>225990.66857095633</v>
      </c>
      <c r="N235" s="22">
        <v>229440.3012518321</v>
      </c>
      <c r="O235" s="22">
        <v>237597.3657099836</v>
      </c>
      <c r="P235" s="22">
        <v>241738.19958833483</v>
      </c>
      <c r="Q235" s="22">
        <v>250749.45208798163</v>
      </c>
      <c r="R235" s="22">
        <v>265170.74456627615</v>
      </c>
      <c r="S235" s="22">
        <v>270869.48636992311</v>
      </c>
      <c r="T235" s="22">
        <v>275971.98663467943</v>
      </c>
      <c r="U235" s="22">
        <v>300471.39936114254</v>
      </c>
      <c r="V235" s="22">
        <v>311805.08988818078</v>
      </c>
      <c r="W235" s="22">
        <v>325077.46590140904</v>
      </c>
      <c r="X235" s="22">
        <v>333876.73546805698</v>
      </c>
      <c r="Y235" s="22">
        <v>345284.95426064025</v>
      </c>
      <c r="Z235" s="22">
        <v>352969.11083671689</v>
      </c>
      <c r="AA235" s="23">
        <v>350588.80267030851</v>
      </c>
      <c r="AB235" s="97"/>
      <c r="AC235" s="16">
        <v>4</v>
      </c>
      <c r="AD235" s="16">
        <f t="shared" si="67"/>
        <v>28004756.675772056</v>
      </c>
    </row>
    <row r="236" spans="1:30" ht="13.5" thickBot="1" x14ac:dyDescent="0.35">
      <c r="A236" s="18">
        <v>2032</v>
      </c>
      <c r="B236" s="25" t="s">
        <v>39</v>
      </c>
      <c r="C236" s="26" t="s">
        <v>36</v>
      </c>
      <c r="D236" s="21">
        <v>351891.04667556495</v>
      </c>
      <c r="E236" s="22">
        <v>339614.53536427842</v>
      </c>
      <c r="F236" s="22">
        <v>327748.8880737556</v>
      </c>
      <c r="G236" s="22">
        <v>317540.46656141616</v>
      </c>
      <c r="H236" s="22">
        <v>307623.19944635913</v>
      </c>
      <c r="I236" s="22">
        <v>293073.51770781202</v>
      </c>
      <c r="J236" s="22">
        <v>278544.98461017618</v>
      </c>
      <c r="K236" s="22">
        <v>227760.26016039279</v>
      </c>
      <c r="L236" s="22">
        <v>217276.11885843429</v>
      </c>
      <c r="M236" s="22">
        <v>212564.77438279064</v>
      </c>
      <c r="N236" s="22">
        <v>214539.27705217007</v>
      </c>
      <c r="O236" s="22">
        <v>222764.25356308461</v>
      </c>
      <c r="P236" s="22">
        <v>230735.85039431069</v>
      </c>
      <c r="Q236" s="22">
        <v>242787.23083963635</v>
      </c>
      <c r="R236" s="22">
        <v>253856.82958416725</v>
      </c>
      <c r="S236" s="22">
        <v>260536.03711348987</v>
      </c>
      <c r="T236" s="22">
        <v>266386.31827072013</v>
      </c>
      <c r="U236" s="22">
        <v>290709.76495421014</v>
      </c>
      <c r="V236" s="22">
        <v>303113.83892129688</v>
      </c>
      <c r="W236" s="22">
        <v>321906.19549233897</v>
      </c>
      <c r="X236" s="22">
        <v>336683.971890277</v>
      </c>
      <c r="Y236" s="22">
        <v>351626.29007265851</v>
      </c>
      <c r="Z236" s="22">
        <v>356572.35122529912</v>
      </c>
      <c r="AA236" s="23">
        <v>348791.97674985259</v>
      </c>
      <c r="AB236" s="97"/>
      <c r="AC236" s="16">
        <v>8</v>
      </c>
      <c r="AD236" s="16">
        <f t="shared" si="67"/>
        <v>54997183.82371594</v>
      </c>
    </row>
    <row r="237" spans="1:30" ht="13.5" thickBot="1" x14ac:dyDescent="0.35">
      <c r="A237" s="18">
        <v>2032</v>
      </c>
      <c r="B237" s="11" t="s">
        <v>40</v>
      </c>
      <c r="C237" s="12" t="s">
        <v>33</v>
      </c>
      <c r="D237" s="21">
        <v>362973.91397542256</v>
      </c>
      <c r="E237" s="22">
        <v>348530.8203714203</v>
      </c>
      <c r="F237" s="22">
        <v>335713.02916260622</v>
      </c>
      <c r="G237" s="22">
        <v>324556.83088645409</v>
      </c>
      <c r="H237" s="22">
        <v>313559.57609163504</v>
      </c>
      <c r="I237" s="22">
        <v>295279.25110460073</v>
      </c>
      <c r="J237" s="22">
        <v>277488.43614599091</v>
      </c>
      <c r="K237" s="22">
        <v>232711.90991453524</v>
      </c>
      <c r="L237" s="22">
        <v>230262.65308077142</v>
      </c>
      <c r="M237" s="22">
        <v>230075.68119133316</v>
      </c>
      <c r="N237" s="22">
        <v>235538.84826647738</v>
      </c>
      <c r="O237" s="22">
        <v>246018.66886947153</v>
      </c>
      <c r="P237" s="22">
        <v>253112.46628708983</v>
      </c>
      <c r="Q237" s="22">
        <v>273633.47992351645</v>
      </c>
      <c r="R237" s="22">
        <v>288291.32158587495</v>
      </c>
      <c r="S237" s="22">
        <v>293129.7822600613</v>
      </c>
      <c r="T237" s="22">
        <v>295568.3341090274</v>
      </c>
      <c r="U237" s="22">
        <v>311581.34192065086</v>
      </c>
      <c r="V237" s="22">
        <v>320273.97404353699</v>
      </c>
      <c r="W237" s="22">
        <v>340104.51254279452</v>
      </c>
      <c r="X237" s="22">
        <v>357199.02560585056</v>
      </c>
      <c r="Y237" s="22">
        <v>372159.40561849857</v>
      </c>
      <c r="Z237" s="22">
        <v>375665.70438275801</v>
      </c>
      <c r="AA237" s="23">
        <v>364475.47125281492</v>
      </c>
      <c r="AB237" s="96">
        <f t="shared" ref="AB237" si="80">+SUM(D237:AA237)*AC237+SUM(D238:AA238)*AC238+SUM(D239:AA239)*AC239</f>
        <v>216564667.7007966</v>
      </c>
      <c r="AC237" s="16">
        <v>21</v>
      </c>
      <c r="AD237" s="16">
        <f t="shared" si="67"/>
        <v>152835993.21045703</v>
      </c>
    </row>
    <row r="238" spans="1:30" ht="13.5" thickBot="1" x14ac:dyDescent="0.35">
      <c r="A238" s="18">
        <v>2032</v>
      </c>
      <c r="B238" s="19" t="s">
        <v>40</v>
      </c>
      <c r="C238" s="20" t="s">
        <v>34</v>
      </c>
      <c r="D238" s="21">
        <v>364725.7932829457</v>
      </c>
      <c r="E238" s="22">
        <v>350789.83154957107</v>
      </c>
      <c r="F238" s="22">
        <v>337521.6852458627</v>
      </c>
      <c r="G238" s="22">
        <v>326217.22517049493</v>
      </c>
      <c r="H238" s="22">
        <v>315914.77887669398</v>
      </c>
      <c r="I238" s="22">
        <v>300766.51444303675</v>
      </c>
      <c r="J238" s="22">
        <v>286374.4562068113</v>
      </c>
      <c r="K238" s="22">
        <v>237780.40477131063</v>
      </c>
      <c r="L238" s="22">
        <v>233846.45880175923</v>
      </c>
      <c r="M238" s="22">
        <v>233134.82923923043</v>
      </c>
      <c r="N238" s="22">
        <v>236737.00044304586</v>
      </c>
      <c r="O238" s="22">
        <v>245113.15175415605</v>
      </c>
      <c r="P238" s="22">
        <v>249346.49576956619</v>
      </c>
      <c r="Q238" s="22">
        <v>258536.5935359775</v>
      </c>
      <c r="R238" s="22">
        <v>273234.61464951991</v>
      </c>
      <c r="S238" s="22">
        <v>278950.62531350914</v>
      </c>
      <c r="T238" s="22">
        <v>283984.68873543589</v>
      </c>
      <c r="U238" s="22">
        <v>308475.82634697179</v>
      </c>
      <c r="V238" s="22">
        <v>320080.22724858823</v>
      </c>
      <c r="W238" s="22">
        <v>333669.62002467143</v>
      </c>
      <c r="X238" s="22">
        <v>342679.06416373409</v>
      </c>
      <c r="Y238" s="22">
        <v>354359.77347255667</v>
      </c>
      <c r="Z238" s="22">
        <v>362227.46963797207</v>
      </c>
      <c r="AA238" s="23">
        <v>359790.30672387121</v>
      </c>
      <c r="AB238" s="97"/>
      <c r="AC238" s="16">
        <v>4</v>
      </c>
      <c r="AD238" s="16">
        <f t="shared" si="67"/>
        <v>28777029.74162918</v>
      </c>
    </row>
    <row r="239" spans="1:30" ht="13.5" thickBot="1" x14ac:dyDescent="0.35">
      <c r="A239" s="18">
        <v>2032</v>
      </c>
      <c r="B239" s="25" t="s">
        <v>40</v>
      </c>
      <c r="C239" s="26" t="s">
        <v>36</v>
      </c>
      <c r="D239" s="21">
        <v>357016.69093987939</v>
      </c>
      <c r="E239" s="22">
        <v>344593.53150619019</v>
      </c>
      <c r="F239" s="22">
        <v>332647.60519621137</v>
      </c>
      <c r="G239" s="22">
        <v>322345.78983265726</v>
      </c>
      <c r="H239" s="22">
        <v>312236.79576515895</v>
      </c>
      <c r="I239" s="22">
        <v>297245.25160415546</v>
      </c>
      <c r="J239" s="22">
        <v>282215.19182248414</v>
      </c>
      <c r="K239" s="22">
        <v>231383.78681722586</v>
      </c>
      <c r="L239" s="22">
        <v>220580.16870809934</v>
      </c>
      <c r="M239" s="22">
        <v>215675.58074562749</v>
      </c>
      <c r="N239" s="22">
        <v>217768.77344051632</v>
      </c>
      <c r="O239" s="22">
        <v>226290.08162340318</v>
      </c>
      <c r="P239" s="22">
        <v>234807.39702461124</v>
      </c>
      <c r="Q239" s="22">
        <v>248060.34703661362</v>
      </c>
      <c r="R239" s="22">
        <v>259078.96072884244</v>
      </c>
      <c r="S239" s="22">
        <v>265796.26173620555</v>
      </c>
      <c r="T239" s="22">
        <v>271499.3379413833</v>
      </c>
      <c r="U239" s="22">
        <v>295210.799561514</v>
      </c>
      <c r="V239" s="22">
        <v>307632.96253390459</v>
      </c>
      <c r="W239" s="22">
        <v>327485.97639409296</v>
      </c>
      <c r="X239" s="22">
        <v>343432.14100407407</v>
      </c>
      <c r="Y239" s="22">
        <v>359041.42851633875</v>
      </c>
      <c r="Z239" s="22">
        <v>363574.56971499138</v>
      </c>
      <c r="AA239" s="23">
        <v>354709.51954789564</v>
      </c>
      <c r="AB239" s="97"/>
      <c r="AC239" s="16">
        <v>5</v>
      </c>
      <c r="AD239" s="16">
        <f t="shared" si="67"/>
        <v>34951644.748710379</v>
      </c>
    </row>
    <row r="240" spans="1:30" ht="13.5" thickBot="1" x14ac:dyDescent="0.35">
      <c r="A240" s="18">
        <v>2032</v>
      </c>
      <c r="B240" s="11" t="s">
        <v>41</v>
      </c>
      <c r="C240" s="12" t="s">
        <v>33</v>
      </c>
      <c r="D240" s="21">
        <v>353025.50923110673</v>
      </c>
      <c r="E240" s="22">
        <v>338713.48648217163</v>
      </c>
      <c r="F240" s="22">
        <v>326137.67006965575</v>
      </c>
      <c r="G240" s="22">
        <v>315179.04101925367</v>
      </c>
      <c r="H240" s="22">
        <v>304370.25632834632</v>
      </c>
      <c r="I240" s="22">
        <v>286155.90517621365</v>
      </c>
      <c r="J240" s="22">
        <v>268489.337142459</v>
      </c>
      <c r="K240" s="22">
        <v>224549.73956928862</v>
      </c>
      <c r="L240" s="22">
        <v>223002.15679534693</v>
      </c>
      <c r="M240" s="22">
        <v>223262.04843630773</v>
      </c>
      <c r="N240" s="22">
        <v>228919.49954013625</v>
      </c>
      <c r="O240" s="22">
        <v>239332.83420346241</v>
      </c>
      <c r="P240" s="22">
        <v>246042.79415889509</v>
      </c>
      <c r="Q240" s="22">
        <v>267035.76010282064</v>
      </c>
      <c r="R240" s="22">
        <v>281885.38008084556</v>
      </c>
      <c r="S240" s="22">
        <v>286520.55209977098</v>
      </c>
      <c r="T240" s="22">
        <v>288748.16396486445</v>
      </c>
      <c r="U240" s="22">
        <v>304065.44895802549</v>
      </c>
      <c r="V240" s="22">
        <v>312004.33536667668</v>
      </c>
      <c r="W240" s="22">
        <v>331273.36893934419</v>
      </c>
      <c r="X240" s="22">
        <v>348043.20340729057</v>
      </c>
      <c r="Y240" s="22">
        <v>362493.73742194445</v>
      </c>
      <c r="Z240" s="22">
        <v>365761.16724460805</v>
      </c>
      <c r="AA240" s="23">
        <v>354568.74650220352</v>
      </c>
      <c r="AB240" s="96">
        <f t="shared" ref="AB240" si="81">+SUM(D240:AA240)*AC240+SUM(D241:AA241)*AC241+SUM(D242:AA242)*AC242</f>
        <v>217414419.53734618</v>
      </c>
      <c r="AC240" s="16">
        <v>20</v>
      </c>
      <c r="AD240" s="16">
        <f t="shared" si="67"/>
        <v>141591602.84482077</v>
      </c>
    </row>
    <row r="241" spans="1:30" ht="13.5" thickBot="1" x14ac:dyDescent="0.35">
      <c r="A241" s="18">
        <v>2032</v>
      </c>
      <c r="B241" s="19" t="s">
        <v>41</v>
      </c>
      <c r="C241" s="20" t="s">
        <v>34</v>
      </c>
      <c r="D241" s="21">
        <v>355340.31640322524</v>
      </c>
      <c r="E241" s="22">
        <v>341745.06061493099</v>
      </c>
      <c r="F241" s="22">
        <v>328801.29352611682</v>
      </c>
      <c r="G241" s="22">
        <v>317773.20452777174</v>
      </c>
      <c r="H241" s="22">
        <v>307722.63211022865</v>
      </c>
      <c r="I241" s="22">
        <v>292944.7119591505</v>
      </c>
      <c r="J241" s="22">
        <v>278904.51030066528</v>
      </c>
      <c r="K241" s="22">
        <v>230422.97174047763</v>
      </c>
      <c r="L241" s="22">
        <v>226325.67213203703</v>
      </c>
      <c r="M241" s="22">
        <v>225460.72308157571</v>
      </c>
      <c r="N241" s="22">
        <v>228880.46939356625</v>
      </c>
      <c r="O241" s="22">
        <v>237019.21631516324</v>
      </c>
      <c r="P241" s="22">
        <v>241157.6673113103</v>
      </c>
      <c r="Q241" s="22">
        <v>250172.04301050963</v>
      </c>
      <c r="R241" s="22">
        <v>264601.84182869381</v>
      </c>
      <c r="S241" s="22">
        <v>270337.98811962188</v>
      </c>
      <c r="T241" s="22">
        <v>275504.99657646369</v>
      </c>
      <c r="U241" s="22">
        <v>300087.20022604376</v>
      </c>
      <c r="V241" s="22">
        <v>311407.89710694604</v>
      </c>
      <c r="W241" s="22">
        <v>324665.05684469116</v>
      </c>
      <c r="X241" s="22">
        <v>333454.23838266655</v>
      </c>
      <c r="Y241" s="22">
        <v>344849.37808528531</v>
      </c>
      <c r="Z241" s="22">
        <v>352524.7250674204</v>
      </c>
      <c r="AA241" s="23">
        <v>350147.14583400468</v>
      </c>
      <c r="AB241" s="97"/>
      <c r="AC241" s="16">
        <v>5</v>
      </c>
      <c r="AD241" s="16">
        <f t="shared" si="67"/>
        <v>34951254.802492827</v>
      </c>
    </row>
    <row r="242" spans="1:30" ht="13.5" thickBot="1" x14ac:dyDescent="0.35">
      <c r="A242" s="18">
        <v>2032</v>
      </c>
      <c r="B242" s="25" t="s">
        <v>41</v>
      </c>
      <c r="C242" s="26" t="s">
        <v>36</v>
      </c>
      <c r="D242" s="21">
        <v>347431.52182221686</v>
      </c>
      <c r="E242" s="22">
        <v>334988.66367980203</v>
      </c>
      <c r="F242" s="22">
        <v>323221.21408031863</v>
      </c>
      <c r="G242" s="22">
        <v>313054.40628470102</v>
      </c>
      <c r="H242" s="22">
        <v>303068.69580082624</v>
      </c>
      <c r="I242" s="22">
        <v>287896.39281115792</v>
      </c>
      <c r="J242" s="22">
        <v>272784.0474814687</v>
      </c>
      <c r="K242" s="22">
        <v>223251.34154895961</v>
      </c>
      <c r="L242" s="22">
        <v>213984.79356316422</v>
      </c>
      <c r="M242" s="22">
        <v>209885.29571893578</v>
      </c>
      <c r="N242" s="22">
        <v>212427.65409574899</v>
      </c>
      <c r="O242" s="22">
        <v>221029.11776444202</v>
      </c>
      <c r="P242" s="22">
        <v>229052.30407039332</v>
      </c>
      <c r="Q242" s="22">
        <v>243327.82427284491</v>
      </c>
      <c r="R242" s="22">
        <v>254813.66124654762</v>
      </c>
      <c r="S242" s="22">
        <v>261184.95822723967</v>
      </c>
      <c r="T242" s="22">
        <v>266430.29521243542</v>
      </c>
      <c r="U242" s="22">
        <v>288861.86663063412</v>
      </c>
      <c r="V242" s="22">
        <v>300243.43007801333</v>
      </c>
      <c r="W242" s="22">
        <v>319528.46795779763</v>
      </c>
      <c r="X242" s="22">
        <v>335233.53758058377</v>
      </c>
      <c r="Y242" s="22">
        <v>350279.84437798633</v>
      </c>
      <c r="Z242" s="22">
        <v>354494.87102178036</v>
      </c>
      <c r="AA242" s="23">
        <v>345452.77634409745</v>
      </c>
      <c r="AB242" s="97"/>
      <c r="AC242" s="16">
        <v>6</v>
      </c>
      <c r="AD242" s="16">
        <f t="shared" si="67"/>
        <v>40871561.890032575</v>
      </c>
    </row>
    <row r="243" spans="1:30" ht="13.5" thickBot="1" x14ac:dyDescent="0.35">
      <c r="A243" s="18">
        <v>2032</v>
      </c>
      <c r="B243" s="11" t="s">
        <v>42</v>
      </c>
      <c r="C243" s="12" t="s">
        <v>33</v>
      </c>
      <c r="D243" s="21">
        <v>363628.38626262557</v>
      </c>
      <c r="E243" s="22">
        <v>349030.423445508</v>
      </c>
      <c r="F243" s="22">
        <v>336141.95208387985</v>
      </c>
      <c r="G243" s="22">
        <v>324917.30881111522</v>
      </c>
      <c r="H243" s="22">
        <v>313849.2452123051</v>
      </c>
      <c r="I243" s="22">
        <v>295319.81672013266</v>
      </c>
      <c r="J243" s="22">
        <v>277318.46865638142</v>
      </c>
      <c r="K243" s="22">
        <v>233015.17661435725</v>
      </c>
      <c r="L243" s="22">
        <v>231201.99387389483</v>
      </c>
      <c r="M243" s="22">
        <v>231377.85898841333</v>
      </c>
      <c r="N243" s="22">
        <v>237100.09782721527</v>
      </c>
      <c r="O243" s="22">
        <v>247732.01789541866</v>
      </c>
      <c r="P243" s="22">
        <v>254725.67913335716</v>
      </c>
      <c r="Q243" s="22">
        <v>275779.63535385625</v>
      </c>
      <c r="R243" s="22">
        <v>290698.73274241231</v>
      </c>
      <c r="S243" s="22">
        <v>295384.22100472299</v>
      </c>
      <c r="T243" s="22">
        <v>297556.16910148179</v>
      </c>
      <c r="U243" s="22">
        <v>312969.93299050955</v>
      </c>
      <c r="V243" s="22">
        <v>321397.21150937746</v>
      </c>
      <c r="W243" s="22">
        <v>341237.66833148111</v>
      </c>
      <c r="X243" s="22">
        <v>358425.3988962968</v>
      </c>
      <c r="Y243" s="22">
        <v>373347.44072522456</v>
      </c>
      <c r="Z243" s="22">
        <v>376781.32846444426</v>
      </c>
      <c r="AA243" s="23">
        <v>365415.98781113548</v>
      </c>
      <c r="AB243" s="96">
        <f t="shared" ref="AB243" si="82">+SUM(D243:AA243)*AC243+SUM(D244:AA244)*AC244+SUM(D245:AA245)*AC245</f>
        <v>224063248.0072588</v>
      </c>
      <c r="AC243" s="16">
        <v>21</v>
      </c>
      <c r="AD243" s="16">
        <f t="shared" si="67"/>
        <v>153391395.20156646</v>
      </c>
    </row>
    <row r="244" spans="1:30" ht="13.5" thickBot="1" x14ac:dyDescent="0.35">
      <c r="A244" s="18">
        <v>2032</v>
      </c>
      <c r="B244" s="19" t="s">
        <v>42</v>
      </c>
      <c r="C244" s="20" t="s">
        <v>34</v>
      </c>
      <c r="D244" s="21">
        <v>365370.65269457333</v>
      </c>
      <c r="E244" s="22">
        <v>351411.28166211915</v>
      </c>
      <c r="F244" s="22">
        <v>338120.84783990303</v>
      </c>
      <c r="G244" s="22">
        <v>326797.39879973314</v>
      </c>
      <c r="H244" s="22">
        <v>316477.64670019312</v>
      </c>
      <c r="I244" s="22">
        <v>301303.93657003884</v>
      </c>
      <c r="J244" s="22">
        <v>286887.70289461006</v>
      </c>
      <c r="K244" s="22">
        <v>238323.97976522808</v>
      </c>
      <c r="L244" s="22">
        <v>234429.32740717373</v>
      </c>
      <c r="M244" s="22">
        <v>233746.69631557495</v>
      </c>
      <c r="N244" s="22">
        <v>237371.60714356985</v>
      </c>
      <c r="O244" s="22">
        <v>245767.59863437049</v>
      </c>
      <c r="P244" s="22">
        <v>250006.5320423854</v>
      </c>
      <c r="Q244" s="22">
        <v>259203.40833496876</v>
      </c>
      <c r="R244" s="22">
        <v>273910.00392231281</v>
      </c>
      <c r="S244" s="22">
        <v>279607.33902184182</v>
      </c>
      <c r="T244" s="22">
        <v>284604.57810295199</v>
      </c>
      <c r="U244" s="22">
        <v>309052.19391721173</v>
      </c>
      <c r="V244" s="22">
        <v>320676.08761713956</v>
      </c>
      <c r="W244" s="22">
        <v>334288.30753396073</v>
      </c>
      <c r="X244" s="22">
        <v>343312.88552430895</v>
      </c>
      <c r="Y244" s="22">
        <v>355013.21581250144</v>
      </c>
      <c r="Z244" s="22">
        <v>362894.1279479466</v>
      </c>
      <c r="AA244" s="23">
        <v>360452.87114519608</v>
      </c>
      <c r="AB244" s="97"/>
      <c r="AC244" s="16">
        <v>3</v>
      </c>
      <c r="AD244" s="16">
        <f t="shared" si="67"/>
        <v>21627090.682049446</v>
      </c>
    </row>
    <row r="245" spans="1:30" ht="13.5" thickBot="1" x14ac:dyDescent="0.35">
      <c r="A245" s="18">
        <v>2032</v>
      </c>
      <c r="B245" s="25" t="s">
        <v>42</v>
      </c>
      <c r="C245" s="26" t="s">
        <v>36</v>
      </c>
      <c r="D245" s="21">
        <v>359266.01259201241</v>
      </c>
      <c r="E245" s="22">
        <v>347036.64122065401</v>
      </c>
      <c r="F245" s="22">
        <v>335032.90763401118</v>
      </c>
      <c r="G245" s="22">
        <v>324726.12700144359</v>
      </c>
      <c r="H245" s="22">
        <v>314737.62543506693</v>
      </c>
      <c r="I245" s="22">
        <v>300427.96263838641</v>
      </c>
      <c r="J245" s="22">
        <v>286063.45836873288</v>
      </c>
      <c r="K245" s="22">
        <v>234070.83963489722</v>
      </c>
      <c r="L245" s="22">
        <v>222235.60655305436</v>
      </c>
      <c r="M245" s="22">
        <v>216812.25656052306</v>
      </c>
      <c r="N245" s="22">
        <v>218348.9530400169</v>
      </c>
      <c r="O245" s="22">
        <v>226441.53843393683</v>
      </c>
      <c r="P245" s="22">
        <v>234751.04239220731</v>
      </c>
      <c r="Q245" s="22">
        <v>245706.74040626138</v>
      </c>
      <c r="R245" s="22">
        <v>256393.93848751931</v>
      </c>
      <c r="S245" s="22">
        <v>263406.31656101847</v>
      </c>
      <c r="T245" s="22">
        <v>269743.44291204365</v>
      </c>
      <c r="U245" s="22">
        <v>295374.22915928805</v>
      </c>
      <c r="V245" s="22">
        <v>308682.23460224282</v>
      </c>
      <c r="W245" s="22">
        <v>327782.22703031322</v>
      </c>
      <c r="X245" s="22">
        <v>342564.17052872357</v>
      </c>
      <c r="Y245" s="22">
        <v>357879.09504587163</v>
      </c>
      <c r="Z245" s="22">
        <v>363173.23986407585</v>
      </c>
      <c r="AA245" s="23">
        <v>355737.98298953928</v>
      </c>
      <c r="AB245" s="97"/>
      <c r="AC245" s="16">
        <v>7</v>
      </c>
      <c r="AD245" s="16">
        <f t="shared" si="67"/>
        <v>49044762.123642892</v>
      </c>
    </row>
    <row r="246" spans="1:30" ht="13.5" thickBot="1" x14ac:dyDescent="0.35">
      <c r="A246" s="18">
        <v>2032</v>
      </c>
      <c r="B246" s="11" t="s">
        <v>43</v>
      </c>
      <c r="C246" s="12" t="s">
        <v>33</v>
      </c>
      <c r="D246" s="21">
        <v>364473.81346172991</v>
      </c>
      <c r="E246" s="22">
        <v>349721.56964832923</v>
      </c>
      <c r="F246" s="22">
        <v>336758.93584565358</v>
      </c>
      <c r="G246" s="22">
        <v>325463.23219508608</v>
      </c>
      <c r="H246" s="22">
        <v>314321.98194108665</v>
      </c>
      <c r="I246" s="22">
        <v>295547.37867131789</v>
      </c>
      <c r="J246" s="22">
        <v>277337.40768735087</v>
      </c>
      <c r="K246" s="22">
        <v>233290.40975896912</v>
      </c>
      <c r="L246" s="22">
        <v>231941.35080012077</v>
      </c>
      <c r="M246" s="22">
        <v>232371.13609233871</v>
      </c>
      <c r="N246" s="22">
        <v>238292.08916680104</v>
      </c>
      <c r="O246" s="22">
        <v>249056.66524114003</v>
      </c>
      <c r="P246" s="22">
        <v>255964.85645521135</v>
      </c>
      <c r="Q246" s="22">
        <v>277557.11298456928</v>
      </c>
      <c r="R246" s="22">
        <v>292777.08157332824</v>
      </c>
      <c r="S246" s="22">
        <v>297403.20354531868</v>
      </c>
      <c r="T246" s="22">
        <v>299456.54001412593</v>
      </c>
      <c r="U246" s="22">
        <v>314483.80995746457</v>
      </c>
      <c r="V246" s="22">
        <v>322666.88721787737</v>
      </c>
      <c r="W246" s="22">
        <v>342528.6137047045</v>
      </c>
      <c r="X246" s="22">
        <v>359814.26864819782</v>
      </c>
      <c r="Y246" s="22">
        <v>374709.28417169396</v>
      </c>
      <c r="Z246" s="22">
        <v>378077.2163104756</v>
      </c>
      <c r="AA246" s="23">
        <v>366540.52980916284</v>
      </c>
      <c r="AB246" s="96">
        <f t="shared" ref="AB246" si="83">+SUM(D246:AA246)*AC246+SUM(D247:AA247)*AC247+SUM(D248:AA248)*AC248</f>
        <v>218042145.40055141</v>
      </c>
      <c r="AC246" s="16">
        <v>22</v>
      </c>
      <c r="AD246" s="16">
        <f t="shared" si="67"/>
        <v>161272218.24784523</v>
      </c>
    </row>
    <row r="247" spans="1:30" ht="13.5" thickBot="1" x14ac:dyDescent="0.35">
      <c r="A247" s="18">
        <v>2032</v>
      </c>
      <c r="B247" s="19" t="s">
        <v>43</v>
      </c>
      <c r="C247" s="20" t="s">
        <v>34</v>
      </c>
      <c r="D247" s="21">
        <v>366849.23976729636</v>
      </c>
      <c r="E247" s="22">
        <v>352836.19395491865</v>
      </c>
      <c r="F247" s="22">
        <v>339494.65746419143</v>
      </c>
      <c r="G247" s="22">
        <v>328127.6689526664</v>
      </c>
      <c r="H247" s="22">
        <v>317768.23666828708</v>
      </c>
      <c r="I247" s="22">
        <v>302536.18253753526</v>
      </c>
      <c r="J247" s="22">
        <v>288064.51741264842</v>
      </c>
      <c r="K247" s="22">
        <v>239335.91550742678</v>
      </c>
      <c r="L247" s="22">
        <v>235358.46650564659</v>
      </c>
      <c r="M247" s="22">
        <v>234628.59820003904</v>
      </c>
      <c r="N247" s="22">
        <v>238242.7888211169</v>
      </c>
      <c r="O247" s="22">
        <v>246662.53795122131</v>
      </c>
      <c r="P247" s="22">
        <v>250920.01869368102</v>
      </c>
      <c r="Q247" s="22">
        <v>260165.05128204107</v>
      </c>
      <c r="R247" s="22">
        <v>274952.00512047106</v>
      </c>
      <c r="S247" s="22">
        <v>280713.02739065216</v>
      </c>
      <c r="T247" s="22">
        <v>285796.3846195704</v>
      </c>
      <c r="U247" s="22">
        <v>310373.73722281738</v>
      </c>
      <c r="V247" s="22">
        <v>322042.32562530349</v>
      </c>
      <c r="W247" s="22">
        <v>335706.88550118206</v>
      </c>
      <c r="X247" s="22">
        <v>344766.16363929526</v>
      </c>
      <c r="Y247" s="22">
        <v>356511.48253419425</v>
      </c>
      <c r="Z247" s="22">
        <v>364422.69734040333</v>
      </c>
      <c r="AA247" s="23">
        <v>361972.05373065994</v>
      </c>
      <c r="AB247" s="97"/>
      <c r="AC247" s="16">
        <v>4</v>
      </c>
      <c r="AD247" s="16">
        <f t="shared" si="67"/>
        <v>28952987.345773064</v>
      </c>
    </row>
    <row r="248" spans="1:30" ht="13.5" thickBot="1" x14ac:dyDescent="0.35">
      <c r="A248" s="18">
        <v>2032</v>
      </c>
      <c r="B248" s="25" t="s">
        <v>43</v>
      </c>
      <c r="C248" s="26" t="s">
        <v>36</v>
      </c>
      <c r="D248" s="21">
        <v>357546.24584680784</v>
      </c>
      <c r="E248" s="22">
        <v>345627.42845476785</v>
      </c>
      <c r="F248" s="22">
        <v>333860.08321458939</v>
      </c>
      <c r="G248" s="22">
        <v>323741.61156636628</v>
      </c>
      <c r="H248" s="22">
        <v>313826.80297518003</v>
      </c>
      <c r="I248" s="22">
        <v>299687.50848938624</v>
      </c>
      <c r="J248" s="22">
        <v>285358.34019825963</v>
      </c>
      <c r="K248" s="22">
        <v>232645.47126784295</v>
      </c>
      <c r="L248" s="22">
        <v>219370.05350298557</v>
      </c>
      <c r="M248" s="22">
        <v>213075.23875737429</v>
      </c>
      <c r="N248" s="22">
        <v>214210.33568383774</v>
      </c>
      <c r="O248" s="22">
        <v>222219.6334273137</v>
      </c>
      <c r="P248" s="22">
        <v>231195.52270077288</v>
      </c>
      <c r="Q248" s="22">
        <v>242450.06840126205</v>
      </c>
      <c r="R248" s="22">
        <v>252498.31210135602</v>
      </c>
      <c r="S248" s="22">
        <v>259803.41678580953</v>
      </c>
      <c r="T248" s="22">
        <v>266490.97885016951</v>
      </c>
      <c r="U248" s="22">
        <v>292484.68664538214</v>
      </c>
      <c r="V248" s="22">
        <v>306048.09061136423</v>
      </c>
      <c r="W248" s="22">
        <v>326025.46721183899</v>
      </c>
      <c r="X248" s="22">
        <v>341737.6787574655</v>
      </c>
      <c r="Y248" s="22">
        <v>357625.41553697357</v>
      </c>
      <c r="Z248" s="22">
        <v>362479.38303361268</v>
      </c>
      <c r="AA248" s="23">
        <v>354227.17771255824</v>
      </c>
      <c r="AB248" s="97"/>
      <c r="AC248" s="16">
        <v>4</v>
      </c>
      <c r="AD248" s="16">
        <f t="shared" si="67"/>
        <v>27816939.806933109</v>
      </c>
    </row>
    <row r="249" spans="1:30" ht="13.5" thickBot="1" x14ac:dyDescent="0.35">
      <c r="A249" s="18">
        <v>2032</v>
      </c>
      <c r="B249" s="11" t="s">
        <v>44</v>
      </c>
      <c r="C249" s="12" t="s">
        <v>33</v>
      </c>
      <c r="D249" s="21">
        <v>354645.42465656693</v>
      </c>
      <c r="E249" s="22">
        <v>340400.09942226973</v>
      </c>
      <c r="F249" s="22">
        <v>327817.84808834962</v>
      </c>
      <c r="G249" s="22">
        <v>316860.42780318606</v>
      </c>
      <c r="H249" s="22">
        <v>306056.11686458689</v>
      </c>
      <c r="I249" s="22">
        <v>287978.36993857863</v>
      </c>
      <c r="J249" s="22">
        <v>270413.39033636986</v>
      </c>
      <c r="K249" s="22">
        <v>225933.0130345595</v>
      </c>
      <c r="L249" s="22">
        <v>223756.20974190166</v>
      </c>
      <c r="M249" s="22">
        <v>223665.26278044385</v>
      </c>
      <c r="N249" s="22">
        <v>229104.23635022118</v>
      </c>
      <c r="O249" s="22">
        <v>239431.44971814394</v>
      </c>
      <c r="P249" s="22">
        <v>246281.50774442923</v>
      </c>
      <c r="Q249" s="22">
        <v>266870.13435364823</v>
      </c>
      <c r="R249" s="22">
        <v>281546.0462291374</v>
      </c>
      <c r="S249" s="22">
        <v>286353.74784690008</v>
      </c>
      <c r="T249" s="22">
        <v>288847.46802264149</v>
      </c>
      <c r="U249" s="22">
        <v>304751.00115145603</v>
      </c>
      <c r="V249" s="22">
        <v>313002.21428506065</v>
      </c>
      <c r="W249" s="22">
        <v>332378.94534196035</v>
      </c>
      <c r="X249" s="22">
        <v>349158.38945666526</v>
      </c>
      <c r="Y249" s="22">
        <v>363735.21366471727</v>
      </c>
      <c r="Z249" s="22">
        <v>367094.59018125938</v>
      </c>
      <c r="AA249" s="23">
        <v>356008.02654908807</v>
      </c>
      <c r="AB249" s="96">
        <f t="shared" ref="AB249" si="84">+SUM(D249:AA249)*AC249+SUM(D250:AA250)*AC250+SUM(D251:AA251)*AC251</f>
        <v>217424520.21001771</v>
      </c>
      <c r="AC249" s="16">
        <v>20</v>
      </c>
      <c r="AD249" s="16">
        <f t="shared" si="67"/>
        <v>142041782.67124283</v>
      </c>
    </row>
    <row r="250" spans="1:30" ht="13.5" thickBot="1" x14ac:dyDescent="0.35">
      <c r="A250" s="18">
        <v>2032</v>
      </c>
      <c r="B250" s="19" t="s">
        <v>44</v>
      </c>
      <c r="C250" s="20" t="s">
        <v>34</v>
      </c>
      <c r="D250" s="21">
        <v>354546.08977205009</v>
      </c>
      <c r="E250" s="22">
        <v>340979.66552193434</v>
      </c>
      <c r="F250" s="22">
        <v>328063.34835541737</v>
      </c>
      <c r="G250" s="22">
        <v>317058.64668967883</v>
      </c>
      <c r="H250" s="22">
        <v>307029.38857963297</v>
      </c>
      <c r="I250" s="22">
        <v>292282.80804993975</v>
      </c>
      <c r="J250" s="22">
        <v>278272.38152893307</v>
      </c>
      <c r="K250" s="22">
        <v>229672.44719185383</v>
      </c>
      <c r="L250" s="22">
        <v>225466.98046167888</v>
      </c>
      <c r="M250" s="22">
        <v>224526.99848418636</v>
      </c>
      <c r="N250" s="22">
        <v>227897.00636921945</v>
      </c>
      <c r="O250" s="22">
        <v>236003.80388659163</v>
      </c>
      <c r="P250" s="22">
        <v>240137.35232124012</v>
      </c>
      <c r="Q250" s="22">
        <v>249154.6546325128</v>
      </c>
      <c r="R250" s="22">
        <v>263594.87729648297</v>
      </c>
      <c r="S250" s="22">
        <v>269390.84670859028</v>
      </c>
      <c r="T250" s="22">
        <v>274662.17200007971</v>
      </c>
      <c r="U250" s="22">
        <v>299377.3300351525</v>
      </c>
      <c r="V250" s="22">
        <v>310674.01904820639</v>
      </c>
      <c r="W250" s="22">
        <v>323903.06425003766</v>
      </c>
      <c r="X250" s="22">
        <v>332673.60651950509</v>
      </c>
      <c r="Y250" s="22">
        <v>344044.58048294979</v>
      </c>
      <c r="Z250" s="22">
        <v>351703.65031201037</v>
      </c>
      <c r="AA250" s="23">
        <v>349331.11322473077</v>
      </c>
      <c r="AB250" s="97"/>
      <c r="AC250" s="16">
        <v>5</v>
      </c>
      <c r="AD250" s="16">
        <f t="shared" si="67"/>
        <v>34852234.158613078</v>
      </c>
    </row>
    <row r="251" spans="1:30" ht="13.5" thickBot="1" x14ac:dyDescent="0.35">
      <c r="A251" s="18">
        <v>2032</v>
      </c>
      <c r="B251" s="25" t="s">
        <v>44</v>
      </c>
      <c r="C251" s="26" t="s">
        <v>36</v>
      </c>
      <c r="D251" s="21">
        <v>346595.82053020259</v>
      </c>
      <c r="E251" s="22">
        <v>334599.19961599569</v>
      </c>
      <c r="F251" s="22">
        <v>323015.04576525255</v>
      </c>
      <c r="G251" s="22">
        <v>313029.8454260648</v>
      </c>
      <c r="H251" s="22">
        <v>303233.79411070951</v>
      </c>
      <c r="I251" s="22">
        <v>288795.44411997095</v>
      </c>
      <c r="J251" s="22">
        <v>274295.75345975102</v>
      </c>
      <c r="K251" s="22">
        <v>223245.89909135774</v>
      </c>
      <c r="L251" s="22">
        <v>211974.36332944199</v>
      </c>
      <c r="M251" s="22">
        <v>206737.71555657976</v>
      </c>
      <c r="N251" s="22">
        <v>208483.27195236812</v>
      </c>
      <c r="O251" s="22">
        <v>216638.10690863887</v>
      </c>
      <c r="P251" s="22">
        <v>225002.57371322822</v>
      </c>
      <c r="Q251" s="22">
        <v>237641.43739857385</v>
      </c>
      <c r="R251" s="22">
        <v>248332.29824426351</v>
      </c>
      <c r="S251" s="22">
        <v>255188.49614013013</v>
      </c>
      <c r="T251" s="22">
        <v>261261.92409253446</v>
      </c>
      <c r="U251" s="22">
        <v>285569.54459979106</v>
      </c>
      <c r="V251" s="22">
        <v>297825.04624703445</v>
      </c>
      <c r="W251" s="22">
        <v>317143.33032670052</v>
      </c>
      <c r="X251" s="22">
        <v>332607.27780172176</v>
      </c>
      <c r="Y251" s="22">
        <v>347824.66700422362</v>
      </c>
      <c r="Z251" s="22">
        <v>352281.88737149833</v>
      </c>
      <c r="AA251" s="23">
        <v>343761.15388759651</v>
      </c>
      <c r="AB251" s="97"/>
      <c r="AC251" s="16">
        <v>6</v>
      </c>
      <c r="AD251" s="16">
        <f t="shared" si="67"/>
        <v>40530503.380161785</v>
      </c>
    </row>
    <row r="252" spans="1:30" ht="13.5" thickBot="1" x14ac:dyDescent="0.35">
      <c r="A252" s="18">
        <v>2032</v>
      </c>
      <c r="B252" s="11" t="s">
        <v>45</v>
      </c>
      <c r="C252" s="12" t="s">
        <v>33</v>
      </c>
      <c r="D252" s="21">
        <v>348515.52030942548</v>
      </c>
      <c r="E252" s="22">
        <v>334376.91993675131</v>
      </c>
      <c r="F252" s="22">
        <v>321953.4878520089</v>
      </c>
      <c r="G252" s="22">
        <v>311127.64726371452</v>
      </c>
      <c r="H252" s="22">
        <v>300449.83533315518</v>
      </c>
      <c r="I252" s="22">
        <v>282456.19205120014</v>
      </c>
      <c r="J252" s="22">
        <v>265003.69426191982</v>
      </c>
      <c r="K252" s="22">
        <v>220749.80136496099</v>
      </c>
      <c r="L252" s="22">
        <v>218861.00146237054</v>
      </c>
      <c r="M252" s="22">
        <v>218880.95852186898</v>
      </c>
      <c r="N252" s="22">
        <v>224338.98054213132</v>
      </c>
      <c r="O252" s="22">
        <v>234580.88393969921</v>
      </c>
      <c r="P252" s="22">
        <v>241221.47089187303</v>
      </c>
      <c r="Q252" s="22">
        <v>262027.96346988919</v>
      </c>
      <c r="R252" s="22">
        <v>276824.02282891923</v>
      </c>
      <c r="S252" s="22">
        <v>281624.78389002488</v>
      </c>
      <c r="T252" s="22">
        <v>284180.50030585687</v>
      </c>
      <c r="U252" s="22">
        <v>299961.19982706127</v>
      </c>
      <c r="V252" s="22">
        <v>307803.88875405659</v>
      </c>
      <c r="W252" s="22">
        <v>326839.43460461497</v>
      </c>
      <c r="X252" s="22">
        <v>343406.064774053</v>
      </c>
      <c r="Y252" s="22">
        <v>357681.4980366315</v>
      </c>
      <c r="Z252" s="22">
        <v>360909.33559102879</v>
      </c>
      <c r="AA252" s="23">
        <v>349852.53622341563</v>
      </c>
      <c r="AB252" s="96">
        <f t="shared" ref="AB252" si="85">+SUM(D252:AA252)*AC252+SUM(D253:AA253)*AC253+SUM(D254:AA254)*AC254</f>
        <v>207017072.08693734</v>
      </c>
      <c r="AC252" s="16">
        <v>20</v>
      </c>
      <c r="AD252" s="16">
        <f t="shared" si="67"/>
        <v>139472552.4407326</v>
      </c>
    </row>
    <row r="253" spans="1:30" ht="13.5" thickBot="1" x14ac:dyDescent="0.35">
      <c r="A253" s="18">
        <v>2032</v>
      </c>
      <c r="B253" s="19" t="s">
        <v>45</v>
      </c>
      <c r="C253" s="20" t="s">
        <v>34</v>
      </c>
      <c r="D253" s="21">
        <v>349815.69845068443</v>
      </c>
      <c r="E253" s="22">
        <v>336420.99402540032</v>
      </c>
      <c r="F253" s="22">
        <v>323668.1678186534</v>
      </c>
      <c r="G253" s="22">
        <v>312802.76044354914</v>
      </c>
      <c r="H253" s="22">
        <v>302900.44974529697</v>
      </c>
      <c r="I253" s="22">
        <v>288340.52711297857</v>
      </c>
      <c r="J253" s="22">
        <v>274507.44046750915</v>
      </c>
      <c r="K253" s="22">
        <v>225770.5394335023</v>
      </c>
      <c r="L253" s="22">
        <v>221339.8981503048</v>
      </c>
      <c r="M253" s="22">
        <v>220228.68063903556</v>
      </c>
      <c r="N253" s="22">
        <v>223454.81014678604</v>
      </c>
      <c r="O253" s="22">
        <v>231423.99692460627</v>
      </c>
      <c r="P253" s="22">
        <v>235514.45349028645</v>
      </c>
      <c r="Q253" s="22">
        <v>244470.13519976358</v>
      </c>
      <c r="R253" s="22">
        <v>258825.31890311441</v>
      </c>
      <c r="S253" s="22">
        <v>264719.43310810946</v>
      </c>
      <c r="T253" s="22">
        <v>270198.67316341295</v>
      </c>
      <c r="U253" s="22">
        <v>295149.36328299309</v>
      </c>
      <c r="V253" s="22">
        <v>306303.06211508741</v>
      </c>
      <c r="W253" s="22">
        <v>319364.65793726902</v>
      </c>
      <c r="X253" s="22">
        <v>328024.18525140086</v>
      </c>
      <c r="Y253" s="22">
        <v>339251.22875674046</v>
      </c>
      <c r="Z253" s="22">
        <v>346813.35232308891</v>
      </c>
      <c r="AA253" s="23">
        <v>344470.84611539275</v>
      </c>
      <c r="AB253" s="97"/>
      <c r="AC253" s="16">
        <v>4</v>
      </c>
      <c r="AD253" s="16">
        <f t="shared" si="67"/>
        <v>27455114.692019861</v>
      </c>
    </row>
    <row r="254" spans="1:30" ht="13.5" thickBot="1" x14ac:dyDescent="0.35">
      <c r="A254" s="18">
        <v>2032</v>
      </c>
      <c r="B254" s="25" t="s">
        <v>45</v>
      </c>
      <c r="C254" s="26" t="s">
        <v>36</v>
      </c>
      <c r="D254" s="21">
        <v>345040.21361082152</v>
      </c>
      <c r="E254" s="22">
        <v>333517.07078200235</v>
      </c>
      <c r="F254" s="22">
        <v>322140.37161307642</v>
      </c>
      <c r="G254" s="22">
        <v>312357.80760721274</v>
      </c>
      <c r="H254" s="22">
        <v>302772.14556049468</v>
      </c>
      <c r="I254" s="22">
        <v>289102.23985597835</v>
      </c>
      <c r="J254" s="22">
        <v>275248.76367577352</v>
      </c>
      <c r="K254" s="22">
        <v>222643.19935491282</v>
      </c>
      <c r="L254" s="22">
        <v>209321.69364507424</v>
      </c>
      <c r="M254" s="22">
        <v>202915.6384408384</v>
      </c>
      <c r="N254" s="22">
        <v>203836.06484118509</v>
      </c>
      <c r="O254" s="22">
        <v>211518.28080616353</v>
      </c>
      <c r="P254" s="22">
        <v>220212.33101357275</v>
      </c>
      <c r="Q254" s="22">
        <v>231185.0825732532</v>
      </c>
      <c r="R254" s="22">
        <v>241070.65221227179</v>
      </c>
      <c r="S254" s="22">
        <v>248433.13163166892</v>
      </c>
      <c r="T254" s="22">
        <v>255378.89254424922</v>
      </c>
      <c r="U254" s="22">
        <v>281624.78318924608</v>
      </c>
      <c r="V254" s="22">
        <v>294737.91648125905</v>
      </c>
      <c r="W254" s="22">
        <v>314052.09475419071</v>
      </c>
      <c r="X254" s="22">
        <v>329242.7006542185</v>
      </c>
      <c r="Y254" s="22">
        <v>344603.00479473005</v>
      </c>
      <c r="Z254" s="22">
        <v>349295.8328589953</v>
      </c>
      <c r="AA254" s="23">
        <v>341317.57986295904</v>
      </c>
      <c r="AB254" s="97"/>
      <c r="AC254" s="16">
        <v>6</v>
      </c>
      <c r="AD254" s="16">
        <f t="shared" si="67"/>
        <v>40089404.954184897</v>
      </c>
    </row>
    <row r="255" spans="1:30" ht="13.5" thickBot="1" x14ac:dyDescent="0.35">
      <c r="A255" s="18">
        <v>2032</v>
      </c>
      <c r="B255" s="11" t="s">
        <v>46</v>
      </c>
      <c r="C255" s="12" t="s">
        <v>33</v>
      </c>
      <c r="D255" s="21">
        <v>345194.64536850568</v>
      </c>
      <c r="E255" s="22">
        <v>332596.88094773295</v>
      </c>
      <c r="F255" s="22">
        <v>321384.45229883207</v>
      </c>
      <c r="G255" s="22">
        <v>311199.15936292527</v>
      </c>
      <c r="H255" s="22">
        <v>300970.20726575522</v>
      </c>
      <c r="I255" s="22">
        <v>284302.92071040865</v>
      </c>
      <c r="J255" s="22">
        <v>267662.55755053193</v>
      </c>
      <c r="K255" s="22">
        <v>221978.4471099303</v>
      </c>
      <c r="L255" s="22">
        <v>219021.45897891687</v>
      </c>
      <c r="M255" s="22">
        <v>218170.01654683743</v>
      </c>
      <c r="N255" s="22">
        <v>222958.01662406468</v>
      </c>
      <c r="O255" s="22">
        <v>232322.90465879274</v>
      </c>
      <c r="P255" s="22">
        <v>238768.65282125215</v>
      </c>
      <c r="Q255" s="22">
        <v>257435.2539403477</v>
      </c>
      <c r="R255" s="22">
        <v>271173.04475543328</v>
      </c>
      <c r="S255" s="22">
        <v>276253.6303517833</v>
      </c>
      <c r="T255" s="22">
        <v>279081.09930061165</v>
      </c>
      <c r="U255" s="22">
        <v>296486.1048471714</v>
      </c>
      <c r="V255" s="22">
        <v>305378.07683923969</v>
      </c>
      <c r="W255" s="22">
        <v>323738.6330051698</v>
      </c>
      <c r="X255" s="22">
        <v>339718.00923019851</v>
      </c>
      <c r="Y255" s="22">
        <v>354157.38402939826</v>
      </c>
      <c r="Z255" s="22">
        <v>357957.44450914761</v>
      </c>
      <c r="AA255" s="23">
        <v>348026.0545785763</v>
      </c>
      <c r="AB255" s="96">
        <f t="shared" ref="AB255" si="86">+SUM(D255:AA255)*AC255+SUM(D256:AA256)*AC256+SUM(D257:AA257)*AC257</f>
        <v>213395158.67959622</v>
      </c>
      <c r="AC255" s="16">
        <v>22</v>
      </c>
      <c r="AD255" s="16">
        <f t="shared" si="67"/>
        <v>152370571.22389439</v>
      </c>
    </row>
    <row r="256" spans="1:30" ht="13.5" thickBot="1" x14ac:dyDescent="0.35">
      <c r="A256" s="18">
        <v>2032</v>
      </c>
      <c r="B256" s="19" t="s">
        <v>46</v>
      </c>
      <c r="C256" s="20" t="s">
        <v>34</v>
      </c>
      <c r="D256" s="21">
        <v>350929.9150105528</v>
      </c>
      <c r="E256" s="22">
        <v>337494.76296487398</v>
      </c>
      <c r="F256" s="22">
        <v>324703.42739972746</v>
      </c>
      <c r="G256" s="22">
        <v>313805.21005293675</v>
      </c>
      <c r="H256" s="22">
        <v>303872.99761953333</v>
      </c>
      <c r="I256" s="22">
        <v>289269.10878946178</v>
      </c>
      <c r="J256" s="22">
        <v>275394.25075286947</v>
      </c>
      <c r="K256" s="22">
        <v>226731.31211621276</v>
      </c>
      <c r="L256" s="22">
        <v>222384.4652576526</v>
      </c>
      <c r="M256" s="22">
        <v>221333.81227217938</v>
      </c>
      <c r="N256" s="22">
        <v>224605.01359801463</v>
      </c>
      <c r="O256" s="22">
        <v>232610.47998614016</v>
      </c>
      <c r="P256" s="22">
        <v>236710.0670145324</v>
      </c>
      <c r="Q256" s="22">
        <v>245674.46140410693</v>
      </c>
      <c r="R256" s="22">
        <v>260038.87796822176</v>
      </c>
      <c r="S256" s="22">
        <v>265890.92798799311</v>
      </c>
      <c r="T256" s="22">
        <v>271290.85536966042</v>
      </c>
      <c r="U256" s="22">
        <v>296145.23661561805</v>
      </c>
      <c r="V256" s="22">
        <v>307332.61596517911</v>
      </c>
      <c r="W256" s="22">
        <v>320433.65352887224</v>
      </c>
      <c r="X256" s="22">
        <v>329119.32977936562</v>
      </c>
      <c r="Y256" s="22">
        <v>340380.27527906367</v>
      </c>
      <c r="Z256" s="22">
        <v>347965.2339818718</v>
      </c>
      <c r="AA256" s="23">
        <v>345615.65417263482</v>
      </c>
      <c r="AB256" s="97"/>
      <c r="AC256" s="16">
        <v>3</v>
      </c>
      <c r="AD256" s="16">
        <f t="shared" si="67"/>
        <v>20669195.834661826</v>
      </c>
    </row>
    <row r="257" spans="1:30" ht="13.5" thickBot="1" x14ac:dyDescent="0.35">
      <c r="A257" s="28">
        <v>2032</v>
      </c>
      <c r="B257" s="25" t="s">
        <v>46</v>
      </c>
      <c r="C257" s="26" t="s">
        <v>36</v>
      </c>
      <c r="D257" s="21">
        <v>344736.52818776708</v>
      </c>
      <c r="E257" s="22">
        <v>332516.74070872652</v>
      </c>
      <c r="F257" s="22">
        <v>320787.65850610711</v>
      </c>
      <c r="G257" s="22">
        <v>310694.95213449089</v>
      </c>
      <c r="H257" s="22">
        <v>300918.15655974403</v>
      </c>
      <c r="I257" s="22">
        <v>286440.17464182933</v>
      </c>
      <c r="J257" s="22">
        <v>272052.75493610383</v>
      </c>
      <c r="K257" s="22">
        <v>221592.35720496348</v>
      </c>
      <c r="L257" s="22">
        <v>211726.51020699411</v>
      </c>
      <c r="M257" s="22">
        <v>207307.2920958999</v>
      </c>
      <c r="N257" s="22">
        <v>209366.20083601525</v>
      </c>
      <c r="O257" s="22">
        <v>217488.28425902923</v>
      </c>
      <c r="P257" s="22">
        <v>225029.55499445598</v>
      </c>
      <c r="Q257" s="22">
        <v>237257.98901419574</v>
      </c>
      <c r="R257" s="22">
        <v>248666.42024762943</v>
      </c>
      <c r="S257" s="22">
        <v>255322.89316159327</v>
      </c>
      <c r="T257" s="22">
        <v>261260.29621444418</v>
      </c>
      <c r="U257" s="22">
        <v>285488.29648939858</v>
      </c>
      <c r="V257" s="22">
        <v>297332.6546424469</v>
      </c>
      <c r="W257" s="22">
        <v>315465.79926074529</v>
      </c>
      <c r="X257" s="22">
        <v>329724.34135813935</v>
      </c>
      <c r="Y257" s="22">
        <v>344141.45256879943</v>
      </c>
      <c r="Z257" s="22">
        <v>349047.47566121456</v>
      </c>
      <c r="AA257" s="23">
        <v>341533.81961593474</v>
      </c>
      <c r="AB257" s="97"/>
      <c r="AC257" s="16">
        <v>6</v>
      </c>
      <c r="AD257" s="16">
        <f t="shared" si="67"/>
        <v>40355391.621040016</v>
      </c>
    </row>
    <row r="258" spans="1:30" ht="13.5" thickBot="1" x14ac:dyDescent="0.35">
      <c r="A258" s="10">
        <v>2033</v>
      </c>
      <c r="B258" s="11" t="s">
        <v>32</v>
      </c>
      <c r="C258" s="12" t="s">
        <v>33</v>
      </c>
      <c r="D258" s="21">
        <v>333220.81539700972</v>
      </c>
      <c r="E258" s="22">
        <v>319533.72337777819</v>
      </c>
      <c r="F258" s="22">
        <v>306963.09366319445</v>
      </c>
      <c r="G258" s="22">
        <v>295841.15298787854</v>
      </c>
      <c r="H258" s="22">
        <v>285647.51597811101</v>
      </c>
      <c r="I258" s="22">
        <v>275314.9279259512</v>
      </c>
      <c r="J258" s="22">
        <v>261231.92269771532</v>
      </c>
      <c r="K258" s="22">
        <v>211586.68807660416</v>
      </c>
      <c r="L258" s="22">
        <v>210860.7072055765</v>
      </c>
      <c r="M258" s="22">
        <v>212075.71673898638</v>
      </c>
      <c r="N258" s="22">
        <v>217252.81472340744</v>
      </c>
      <c r="O258" s="22">
        <v>226048.92431395903</v>
      </c>
      <c r="P258" s="22">
        <v>230144.72768638935</v>
      </c>
      <c r="Q258" s="22">
        <v>246533.27113165287</v>
      </c>
      <c r="R258" s="22">
        <v>261475.38323867731</v>
      </c>
      <c r="S258" s="22">
        <v>267861.62174958928</v>
      </c>
      <c r="T258" s="22">
        <v>267860.09648862836</v>
      </c>
      <c r="U258" s="22">
        <v>280278.59413036762</v>
      </c>
      <c r="V258" s="22">
        <v>293071.36274731357</v>
      </c>
      <c r="W258" s="22">
        <v>305588.45816334861</v>
      </c>
      <c r="X258" s="22">
        <v>319439.81218604406</v>
      </c>
      <c r="Y258" s="22">
        <v>334962.43932948785</v>
      </c>
      <c r="Z258" s="22">
        <v>341226.27500564035</v>
      </c>
      <c r="AA258" s="23">
        <v>332630.49367195222</v>
      </c>
      <c r="AB258" s="96">
        <f t="shared" ref="AB258" si="87">+SUM(D258:AA258)*AC258+SUM(D259:AA259)*AC259+SUM(D260:AA260)*AC260</f>
        <v>206040831.49876669</v>
      </c>
      <c r="AC258" s="16">
        <v>20</v>
      </c>
      <c r="AD258" s="16">
        <f t="shared" si="67"/>
        <v>132733010.77230528</v>
      </c>
    </row>
    <row r="259" spans="1:30" ht="13.5" thickBot="1" x14ac:dyDescent="0.35">
      <c r="A259" s="18">
        <v>2033</v>
      </c>
      <c r="B259" s="19" t="s">
        <v>32</v>
      </c>
      <c r="C259" s="20" t="s">
        <v>34</v>
      </c>
      <c r="D259" s="21">
        <v>336845.92297945515</v>
      </c>
      <c r="E259" s="22">
        <v>323073.4829382599</v>
      </c>
      <c r="F259" s="22">
        <v>309725.83853929589</v>
      </c>
      <c r="G259" s="22">
        <v>297689.72441620147</v>
      </c>
      <c r="H259" s="22">
        <v>286428.69333960401</v>
      </c>
      <c r="I259" s="22">
        <v>276161.27618775604</v>
      </c>
      <c r="J259" s="22">
        <v>261740.95711835951</v>
      </c>
      <c r="K259" s="22">
        <v>213411.29594413302</v>
      </c>
      <c r="L259" s="22">
        <v>215724.61833700346</v>
      </c>
      <c r="M259" s="22">
        <v>220031.94405950251</v>
      </c>
      <c r="N259" s="22">
        <v>227517.02324581004</v>
      </c>
      <c r="O259" s="22">
        <v>239683.31698608695</v>
      </c>
      <c r="P259" s="22">
        <v>246778.26928858462</v>
      </c>
      <c r="Q259" s="22">
        <v>262896.0766427535</v>
      </c>
      <c r="R259" s="22">
        <v>279730.12161053845</v>
      </c>
      <c r="S259" s="22">
        <v>283888.06848663522</v>
      </c>
      <c r="T259" s="22">
        <v>280566.70669888199</v>
      </c>
      <c r="U259" s="22">
        <v>289670.02934849804</v>
      </c>
      <c r="V259" s="22">
        <v>299855.23691493366</v>
      </c>
      <c r="W259" s="22">
        <v>310387.93243051431</v>
      </c>
      <c r="X259" s="22">
        <v>322830.42988966999</v>
      </c>
      <c r="Y259" s="22">
        <v>336727.83228350274</v>
      </c>
      <c r="Z259" s="22">
        <v>343223.52612561913</v>
      </c>
      <c r="AA259" s="23">
        <v>337421.19523329951</v>
      </c>
      <c r="AB259" s="97"/>
      <c r="AC259" s="16">
        <v>4</v>
      </c>
      <c r="AD259" s="16">
        <f t="shared" si="67"/>
        <v>27208038.076179594</v>
      </c>
    </row>
    <row r="260" spans="1:30" ht="13.5" thickBot="1" x14ac:dyDescent="0.35">
      <c r="A260" s="18">
        <v>2033</v>
      </c>
      <c r="B260" s="25" t="s">
        <v>32</v>
      </c>
      <c r="C260" s="26" t="s">
        <v>36</v>
      </c>
      <c r="D260" s="21">
        <v>339458.22247600887</v>
      </c>
      <c r="E260" s="22">
        <v>326342.70882833592</v>
      </c>
      <c r="F260" s="22">
        <v>313026.70547426899</v>
      </c>
      <c r="G260" s="22">
        <v>301460.61914939136</v>
      </c>
      <c r="H260" s="22">
        <v>290944.49281306699</v>
      </c>
      <c r="I260" s="22">
        <v>280660.36256354314</v>
      </c>
      <c r="J260" s="22">
        <v>266404.94344604091</v>
      </c>
      <c r="K260" s="22">
        <v>214689.48158585661</v>
      </c>
      <c r="L260" s="22">
        <v>210655.12776318815</v>
      </c>
      <c r="M260" s="22">
        <v>210435.33750040756</v>
      </c>
      <c r="N260" s="22">
        <v>213986.28466248672</v>
      </c>
      <c r="O260" s="22">
        <v>221040.9389154021</v>
      </c>
      <c r="P260" s="22">
        <v>226227.3227555787</v>
      </c>
      <c r="Q260" s="22">
        <v>238232.06590802764</v>
      </c>
      <c r="R260" s="22">
        <v>249096.97263741939</v>
      </c>
      <c r="S260" s="22">
        <v>255264.34256115943</v>
      </c>
      <c r="T260" s="22">
        <v>258661.15257039553</v>
      </c>
      <c r="U260" s="22">
        <v>280535.77561186469</v>
      </c>
      <c r="V260" s="22">
        <v>294442.65170152846</v>
      </c>
      <c r="W260" s="22">
        <v>302195.57727660134</v>
      </c>
      <c r="X260" s="22">
        <v>311350.10769325396</v>
      </c>
      <c r="Y260" s="22">
        <v>322276.99899018975</v>
      </c>
      <c r="Z260" s="22">
        <v>329811.11501457507</v>
      </c>
      <c r="AA260" s="23">
        <v>328483.92785595282</v>
      </c>
      <c r="AB260" s="97"/>
      <c r="AC260" s="16">
        <v>7</v>
      </c>
      <c r="AD260" s="16">
        <f t="shared" si="67"/>
        <v>46099782.650281817</v>
      </c>
    </row>
    <row r="261" spans="1:30" ht="13.5" thickBot="1" x14ac:dyDescent="0.35">
      <c r="A261" s="18">
        <v>2033</v>
      </c>
      <c r="B261" s="11" t="s">
        <v>35</v>
      </c>
      <c r="C261" s="12" t="s">
        <v>33</v>
      </c>
      <c r="D261" s="21">
        <v>336628.12998820032</v>
      </c>
      <c r="E261" s="22">
        <v>323536.81293023343</v>
      </c>
      <c r="F261" s="22">
        <v>311762.62451291387</v>
      </c>
      <c r="G261" s="22">
        <v>301304.99882551027</v>
      </c>
      <c r="H261" s="22">
        <v>290680.75875345984</v>
      </c>
      <c r="I261" s="22">
        <v>277393.1153481818</v>
      </c>
      <c r="J261" s="22">
        <v>258531.84313213086</v>
      </c>
      <c r="K261" s="22">
        <v>208343.68601152807</v>
      </c>
      <c r="L261" s="22">
        <v>207718.67261029471</v>
      </c>
      <c r="M261" s="22">
        <v>210418.08299348535</v>
      </c>
      <c r="N261" s="22">
        <v>218932.30920428224</v>
      </c>
      <c r="O261" s="22">
        <v>230672.6650435334</v>
      </c>
      <c r="P261" s="22">
        <v>238620.13175911814</v>
      </c>
      <c r="Q261" s="22">
        <v>259768.91531085121</v>
      </c>
      <c r="R261" s="22">
        <v>274426.78505179408</v>
      </c>
      <c r="S261" s="22">
        <v>279355.4703041545</v>
      </c>
      <c r="T261" s="22">
        <v>278775.23845990223</v>
      </c>
      <c r="U261" s="22">
        <v>289190.93068953609</v>
      </c>
      <c r="V261" s="22">
        <v>298666.76112780022</v>
      </c>
      <c r="W261" s="22">
        <v>315723.22017258644</v>
      </c>
      <c r="X261" s="22">
        <v>331633.54991127865</v>
      </c>
      <c r="Y261" s="22">
        <v>347316.38925374305</v>
      </c>
      <c r="Z261" s="22">
        <v>349163.48275200499</v>
      </c>
      <c r="AA261" s="23">
        <v>339113.37721047131</v>
      </c>
      <c r="AB261" s="96">
        <f t="shared" ref="AB261" si="88">+SUM(D261:AA261)*AC261+SUM(D262:AA262)*AC262+SUM(D263:AA263)*AC263</f>
        <v>190122071.29372454</v>
      </c>
      <c r="AC261" s="16">
        <v>20</v>
      </c>
      <c r="AD261" s="16">
        <f t="shared" si="67"/>
        <v>135553559.0271399</v>
      </c>
    </row>
    <row r="262" spans="1:30" ht="13.5" thickBot="1" x14ac:dyDescent="0.35">
      <c r="A262" s="18">
        <v>2033</v>
      </c>
      <c r="B262" s="19" t="s">
        <v>35</v>
      </c>
      <c r="C262" s="20" t="s">
        <v>34</v>
      </c>
      <c r="D262" s="21">
        <v>345608.1638507882</v>
      </c>
      <c r="E262" s="22">
        <v>330756.98861444136</v>
      </c>
      <c r="F262" s="22">
        <v>318097.074970441</v>
      </c>
      <c r="G262" s="22">
        <v>306146.90738497168</v>
      </c>
      <c r="H262" s="22">
        <v>293573.24668458884</v>
      </c>
      <c r="I262" s="22">
        <v>280605.23302162124</v>
      </c>
      <c r="J262" s="22">
        <v>260573.45224096836</v>
      </c>
      <c r="K262" s="22">
        <v>211068.21806365094</v>
      </c>
      <c r="L262" s="22">
        <v>212390.50703467941</v>
      </c>
      <c r="M262" s="22">
        <v>215892.55119169038</v>
      </c>
      <c r="N262" s="22">
        <v>224523.76909293779</v>
      </c>
      <c r="O262" s="22">
        <v>238399.02773178031</v>
      </c>
      <c r="P262" s="22">
        <v>246965.89677283471</v>
      </c>
      <c r="Q262" s="22">
        <v>268926.18037468416</v>
      </c>
      <c r="R262" s="22">
        <v>289210.29111834109</v>
      </c>
      <c r="S262" s="22">
        <v>292075.81079993211</v>
      </c>
      <c r="T262" s="22">
        <v>287832.03641267284</v>
      </c>
      <c r="U262" s="22">
        <v>296125.5272793672</v>
      </c>
      <c r="V262" s="22">
        <v>303354.60355264711</v>
      </c>
      <c r="W262" s="22">
        <v>317021.61944301217</v>
      </c>
      <c r="X262" s="22">
        <v>328491.45248025208</v>
      </c>
      <c r="Y262" s="22">
        <v>341833.1216520961</v>
      </c>
      <c r="Z262" s="22">
        <v>349248.47854435799</v>
      </c>
      <c r="AA262" s="23">
        <v>343789.98299017403</v>
      </c>
      <c r="AB262" s="97"/>
      <c r="AC262" s="16">
        <v>4</v>
      </c>
      <c r="AD262" s="16">
        <f t="shared" ref="AD262:AD325" si="89">+SUM(D262:AA262)*AC262</f>
        <v>27610040.565211724</v>
      </c>
    </row>
    <row r="263" spans="1:30" ht="13.5" thickBot="1" x14ac:dyDescent="0.35">
      <c r="A263" s="18">
        <v>2033</v>
      </c>
      <c r="B263" s="25" t="s">
        <v>35</v>
      </c>
      <c r="C263" s="26" t="s">
        <v>36</v>
      </c>
      <c r="D263" s="21">
        <v>346146.73573361238</v>
      </c>
      <c r="E263" s="22">
        <v>333317.42571535858</v>
      </c>
      <c r="F263" s="22">
        <v>321985.39054881374</v>
      </c>
      <c r="G263" s="22">
        <v>311494.71948677872</v>
      </c>
      <c r="H263" s="22">
        <v>301584.14617606095</v>
      </c>
      <c r="I263" s="22">
        <v>290868.6152579828</v>
      </c>
      <c r="J263" s="22">
        <v>274076.40481889795</v>
      </c>
      <c r="K263" s="22">
        <v>221407.85267125984</v>
      </c>
      <c r="L263" s="22">
        <v>217948.95339130162</v>
      </c>
      <c r="M263" s="22">
        <v>219995.02836793486</v>
      </c>
      <c r="N263" s="22">
        <v>226419.07883768054</v>
      </c>
      <c r="O263" s="22">
        <v>235630.25354719238</v>
      </c>
      <c r="P263" s="22">
        <v>237709.79153325118</v>
      </c>
      <c r="Q263" s="22">
        <v>247695.9340357894</v>
      </c>
      <c r="R263" s="22">
        <v>257780.65907914756</v>
      </c>
      <c r="S263" s="22">
        <v>263569.40730918816</v>
      </c>
      <c r="T263" s="22">
        <v>265588.28045020241</v>
      </c>
      <c r="U263" s="22">
        <v>282213.35645877448</v>
      </c>
      <c r="V263" s="22">
        <v>293887.50221318274</v>
      </c>
      <c r="W263" s="22">
        <v>305631.0991736725</v>
      </c>
      <c r="X263" s="22">
        <v>312036.56328993861</v>
      </c>
      <c r="Y263" s="22">
        <v>321229.3169514754</v>
      </c>
      <c r="Z263" s="22">
        <v>327171.83704731963</v>
      </c>
      <c r="AA263" s="23">
        <v>324229.57324841124</v>
      </c>
      <c r="AB263" s="97"/>
      <c r="AC263" s="16">
        <v>4</v>
      </c>
      <c r="AD263" s="16">
        <f t="shared" si="89"/>
        <v>26958471.701372914</v>
      </c>
    </row>
    <row r="264" spans="1:30" ht="13.5" thickBot="1" x14ac:dyDescent="0.35">
      <c r="A264" s="18">
        <v>2033</v>
      </c>
      <c r="B264" s="11" t="s">
        <v>37</v>
      </c>
      <c r="C264" s="12" t="s">
        <v>33</v>
      </c>
      <c r="D264" s="21">
        <v>354362.92001268879</v>
      </c>
      <c r="E264" s="22">
        <v>341586.06079713663</v>
      </c>
      <c r="F264" s="22">
        <v>329528.58883315785</v>
      </c>
      <c r="G264" s="22">
        <v>318903.31535099394</v>
      </c>
      <c r="H264" s="22">
        <v>308059.43611095945</v>
      </c>
      <c r="I264" s="22">
        <v>292021.35563631699</v>
      </c>
      <c r="J264" s="22">
        <v>271205.85368630447</v>
      </c>
      <c r="K264" s="22">
        <v>223777.19455428096</v>
      </c>
      <c r="L264" s="22">
        <v>222848.98732027123</v>
      </c>
      <c r="M264" s="22">
        <v>225878.9538485964</v>
      </c>
      <c r="N264" s="22">
        <v>233842.46440211937</v>
      </c>
      <c r="O264" s="22">
        <v>245481.1809625334</v>
      </c>
      <c r="P264" s="22">
        <v>252997.11633986159</v>
      </c>
      <c r="Q264" s="22">
        <v>273452.22502785502</v>
      </c>
      <c r="R264" s="22">
        <v>287525.75424849748</v>
      </c>
      <c r="S264" s="22">
        <v>292764.71929736983</v>
      </c>
      <c r="T264" s="22">
        <v>293817.60689411807</v>
      </c>
      <c r="U264" s="22">
        <v>303854.00105540868</v>
      </c>
      <c r="V264" s="22">
        <v>313003.37315424695</v>
      </c>
      <c r="W264" s="22">
        <v>332068.28919806704</v>
      </c>
      <c r="X264" s="22">
        <v>347963.55621934868</v>
      </c>
      <c r="Y264" s="22">
        <v>363377.76688257925</v>
      </c>
      <c r="Z264" s="22">
        <v>366399.17960551661</v>
      </c>
      <c r="AA264" s="23">
        <v>355722.96622902877</v>
      </c>
      <c r="AB264" s="96">
        <f t="shared" ref="AB264" si="90">+SUM(D264:AA264)*AC264+SUM(D265:AA265)*AC265+SUM(D266:AA266)*AC266</f>
        <v>222175569.93148154</v>
      </c>
      <c r="AC264" s="16">
        <v>22</v>
      </c>
      <c r="AD264" s="16">
        <f t="shared" si="89"/>
        <v>157309743.04467964</v>
      </c>
    </row>
    <row r="265" spans="1:30" ht="13.5" thickBot="1" x14ac:dyDescent="0.35">
      <c r="A265" s="18">
        <v>2033</v>
      </c>
      <c r="B265" s="19" t="s">
        <v>37</v>
      </c>
      <c r="C265" s="20" t="s">
        <v>34</v>
      </c>
      <c r="D265" s="21">
        <v>360481.76572553284</v>
      </c>
      <c r="E265" s="22">
        <v>346625.29354010097</v>
      </c>
      <c r="F265" s="22">
        <v>333946.95628364239</v>
      </c>
      <c r="G265" s="22">
        <v>321940.16865319776</v>
      </c>
      <c r="H265" s="22">
        <v>309201.61188458389</v>
      </c>
      <c r="I265" s="22">
        <v>291789.22305409069</v>
      </c>
      <c r="J265" s="22">
        <v>269205.95730465662</v>
      </c>
      <c r="K265" s="22">
        <v>223084.28361527834</v>
      </c>
      <c r="L265" s="22">
        <v>224763.460031372</v>
      </c>
      <c r="M265" s="22">
        <v>229121.91280793695</v>
      </c>
      <c r="N265" s="22">
        <v>238989.12793329297</v>
      </c>
      <c r="O265" s="22">
        <v>250244.33698251337</v>
      </c>
      <c r="P265" s="22">
        <v>259264.75412588386</v>
      </c>
      <c r="Q265" s="22">
        <v>279972.46573496127</v>
      </c>
      <c r="R265" s="22">
        <v>298199.33875820157</v>
      </c>
      <c r="S265" s="22">
        <v>301888.06713718839</v>
      </c>
      <c r="T265" s="22">
        <v>298928.72044447227</v>
      </c>
      <c r="U265" s="22">
        <v>307242.18271528382</v>
      </c>
      <c r="V265" s="22">
        <v>316972.03687354573</v>
      </c>
      <c r="W265" s="22">
        <v>333301.16077249352</v>
      </c>
      <c r="X265" s="22">
        <v>345856.78512962325</v>
      </c>
      <c r="Y265" s="22">
        <v>361346.14706273627</v>
      </c>
      <c r="Z265" s="22">
        <v>367927.74359033251</v>
      </c>
      <c r="AA265" s="23">
        <v>360486.3239201206</v>
      </c>
      <c r="AB265" s="97"/>
      <c r="AC265" s="16">
        <v>4</v>
      </c>
      <c r="AD265" s="16">
        <f t="shared" si="89"/>
        <v>28923119.296324167</v>
      </c>
    </row>
    <row r="266" spans="1:30" ht="13.5" thickBot="1" x14ac:dyDescent="0.35">
      <c r="A266" s="18">
        <v>2033</v>
      </c>
      <c r="B266" s="25" t="s">
        <v>37</v>
      </c>
      <c r="C266" s="26" t="s">
        <v>36</v>
      </c>
      <c r="D266" s="21">
        <v>362951.79831415333</v>
      </c>
      <c r="E266" s="22">
        <v>349372.99672133534</v>
      </c>
      <c r="F266" s="22">
        <v>338156.03426892852</v>
      </c>
      <c r="G266" s="22">
        <v>327427.85366978293</v>
      </c>
      <c r="H266" s="22">
        <v>317146.29055860679</v>
      </c>
      <c r="I266" s="22">
        <v>304789.20102887077</v>
      </c>
      <c r="J266" s="22">
        <v>287465.74660093937</v>
      </c>
      <c r="K266" s="22">
        <v>237335.86506104964</v>
      </c>
      <c r="L266" s="22">
        <v>232889.0628051878</v>
      </c>
      <c r="M266" s="22">
        <v>233381.62439953181</v>
      </c>
      <c r="N266" s="22">
        <v>237588.78881421281</v>
      </c>
      <c r="O266" s="22">
        <v>245328.58164424487</v>
      </c>
      <c r="P266" s="22">
        <v>252594.98285076869</v>
      </c>
      <c r="Q266" s="22">
        <v>266291.14370933035</v>
      </c>
      <c r="R266" s="22">
        <v>279791.54380581743</v>
      </c>
      <c r="S266" s="22">
        <v>284342.29407943488</v>
      </c>
      <c r="T266" s="22">
        <v>286014.68511619966</v>
      </c>
      <c r="U266" s="22">
        <v>304208.77955613402</v>
      </c>
      <c r="V266" s="22">
        <v>314998.7568994622</v>
      </c>
      <c r="W266" s="22">
        <v>326869.06762199674</v>
      </c>
      <c r="X266" s="22">
        <v>335403.5455954647</v>
      </c>
      <c r="Y266" s="22">
        <v>348574.93056843744</v>
      </c>
      <c r="Z266" s="22">
        <v>358196.07752841839</v>
      </c>
      <c r="AA266" s="23">
        <v>357421.86687724188</v>
      </c>
      <c r="AB266" s="97"/>
      <c r="AC266" s="16">
        <v>5</v>
      </c>
      <c r="AD266" s="16">
        <f t="shared" si="89"/>
        <v>35942707.59047775</v>
      </c>
    </row>
    <row r="267" spans="1:30" ht="13.5" thickBot="1" x14ac:dyDescent="0.35">
      <c r="A267" s="18">
        <v>2033</v>
      </c>
      <c r="B267" s="11" t="s">
        <v>38</v>
      </c>
      <c r="C267" s="12" t="s">
        <v>33</v>
      </c>
      <c r="D267" s="21">
        <v>347201.64798754966</v>
      </c>
      <c r="E267" s="22">
        <v>333763.58259812481</v>
      </c>
      <c r="F267" s="22">
        <v>321628.76753503276</v>
      </c>
      <c r="G267" s="22">
        <v>311088.69137853791</v>
      </c>
      <c r="H267" s="22">
        <v>300709.23124277452</v>
      </c>
      <c r="I267" s="22">
        <v>283867.1107698991</v>
      </c>
      <c r="J267" s="22">
        <v>267376.14541515085</v>
      </c>
      <c r="K267" s="22">
        <v>221282.14226055646</v>
      </c>
      <c r="L267" s="22">
        <v>216051.4162467783</v>
      </c>
      <c r="M267" s="22">
        <v>214157.43081247993</v>
      </c>
      <c r="N267" s="22">
        <v>218293.39088008949</v>
      </c>
      <c r="O267" s="22">
        <v>227809.14846991948</v>
      </c>
      <c r="P267" s="22">
        <v>234989.94334324272</v>
      </c>
      <c r="Q267" s="22">
        <v>253269.43974528569</v>
      </c>
      <c r="R267" s="22">
        <v>266890.08933050622</v>
      </c>
      <c r="S267" s="22">
        <v>272574.44768367475</v>
      </c>
      <c r="T267" s="22">
        <v>276626.56246475951</v>
      </c>
      <c r="U267" s="22">
        <v>294199.77919735468</v>
      </c>
      <c r="V267" s="22">
        <v>303409.78582763212</v>
      </c>
      <c r="W267" s="22">
        <v>322494.89343623555</v>
      </c>
      <c r="X267" s="22">
        <v>338681.82397289702</v>
      </c>
      <c r="Y267" s="22">
        <v>353223.25553345791</v>
      </c>
      <c r="Z267" s="22">
        <v>356829.87857266591</v>
      </c>
      <c r="AA267" s="23">
        <v>346590.83392760443</v>
      </c>
      <c r="AB267" s="96">
        <f t="shared" ref="AB267" si="91">+SUM(D267:AA267)*AC267+SUM(D268:AA268)*AC268+SUM(D269:AA269)*AC269</f>
        <v>206527414.0764927</v>
      </c>
      <c r="AC267" s="16">
        <v>19</v>
      </c>
      <c r="AD267" s="16">
        <f t="shared" si="89"/>
        <v>130777179.33401197</v>
      </c>
    </row>
    <row r="268" spans="1:30" ht="13.5" thickBot="1" x14ac:dyDescent="0.35">
      <c r="A268" s="18">
        <v>2033</v>
      </c>
      <c r="B268" s="19" t="s">
        <v>38</v>
      </c>
      <c r="C268" s="20" t="s">
        <v>34</v>
      </c>
      <c r="D268" s="21">
        <v>349064.76123242278</v>
      </c>
      <c r="E268" s="22">
        <v>335398.13641148398</v>
      </c>
      <c r="F268" s="22">
        <v>323141.61308381025</v>
      </c>
      <c r="G268" s="22">
        <v>312487.1876736352</v>
      </c>
      <c r="H268" s="22">
        <v>301990.94980802597</v>
      </c>
      <c r="I268" s="22">
        <v>284795.03089061793</v>
      </c>
      <c r="J268" s="22">
        <v>267998.50710607541</v>
      </c>
      <c r="K268" s="22">
        <v>222446.07459677669</v>
      </c>
      <c r="L268" s="22">
        <v>217988.04190479763</v>
      </c>
      <c r="M268" s="22">
        <v>216538.77950067833</v>
      </c>
      <c r="N268" s="22">
        <v>221007.22185951192</v>
      </c>
      <c r="O268" s="22">
        <v>230737.92295411657</v>
      </c>
      <c r="P268" s="22">
        <v>237816.63238922329</v>
      </c>
      <c r="Q268" s="22">
        <v>256799.88379431266</v>
      </c>
      <c r="R268" s="22">
        <v>270776.67654526455</v>
      </c>
      <c r="S268" s="22">
        <v>276284.61818042386</v>
      </c>
      <c r="T268" s="22">
        <v>280013.09312213585</v>
      </c>
      <c r="U268" s="22">
        <v>296854.66407761688</v>
      </c>
      <c r="V268" s="22">
        <v>305766.49136959895</v>
      </c>
      <c r="W268" s="22">
        <v>324919.06187754736</v>
      </c>
      <c r="X268" s="22">
        <v>341267.0387985782</v>
      </c>
      <c r="Y268" s="22">
        <v>355803.68206338992</v>
      </c>
      <c r="Z268" s="22">
        <v>359332.10559349536</v>
      </c>
      <c r="AA268" s="23">
        <v>348848.99616304057</v>
      </c>
      <c r="AB268" s="97"/>
      <c r="AC268" s="16">
        <v>5</v>
      </c>
      <c r="AD268" s="16">
        <f t="shared" si="89"/>
        <v>34690385.854982898</v>
      </c>
    </row>
    <row r="269" spans="1:30" ht="13.5" thickBot="1" x14ac:dyDescent="0.35">
      <c r="A269" s="18">
        <v>2033</v>
      </c>
      <c r="B269" s="25" t="s">
        <v>38</v>
      </c>
      <c r="C269" s="26" t="s">
        <v>36</v>
      </c>
      <c r="D269" s="21">
        <v>348652.41198642133</v>
      </c>
      <c r="E269" s="22">
        <v>335449.74861932651</v>
      </c>
      <c r="F269" s="22">
        <v>322985.9077493847</v>
      </c>
      <c r="G269" s="22">
        <v>312311.71041835373</v>
      </c>
      <c r="H269" s="22">
        <v>302337.67768906103</v>
      </c>
      <c r="I269" s="22">
        <v>287359.73535672022</v>
      </c>
      <c r="J269" s="22">
        <v>272927.02283263684</v>
      </c>
      <c r="K269" s="22">
        <v>224645.82095717298</v>
      </c>
      <c r="L269" s="22">
        <v>218825.82437195265</v>
      </c>
      <c r="M269" s="22">
        <v>216800.83174517759</v>
      </c>
      <c r="N269" s="22">
        <v>219890.28780792945</v>
      </c>
      <c r="O269" s="22">
        <v>228143.08832475252</v>
      </c>
      <c r="P269" s="22">
        <v>233427.96562143639</v>
      </c>
      <c r="Q269" s="22">
        <v>244754.37392982715</v>
      </c>
      <c r="R269" s="22">
        <v>258560.12566600589</v>
      </c>
      <c r="S269" s="22">
        <v>264725.72566821123</v>
      </c>
      <c r="T269" s="22">
        <v>270300.21312552801</v>
      </c>
      <c r="U269" s="22">
        <v>292977.81577283313</v>
      </c>
      <c r="V269" s="22">
        <v>303896.42392355367</v>
      </c>
      <c r="W269" s="22">
        <v>318979.27532586624</v>
      </c>
      <c r="X269" s="22">
        <v>330030.90802061936</v>
      </c>
      <c r="Y269" s="22">
        <v>342442.43238054187</v>
      </c>
      <c r="Z269" s="22">
        <v>348803.89387220744</v>
      </c>
      <c r="AA269" s="23">
        <v>344078.92675078311</v>
      </c>
      <c r="AB269" s="97"/>
      <c r="AC269" s="16">
        <v>6</v>
      </c>
      <c r="AD269" s="16">
        <f t="shared" si="89"/>
        <v>41059848.88749782</v>
      </c>
    </row>
    <row r="270" spans="1:30" ht="13.5" thickBot="1" x14ac:dyDescent="0.35">
      <c r="A270" s="18">
        <v>2033</v>
      </c>
      <c r="B270" s="11" t="s">
        <v>39</v>
      </c>
      <c r="C270" s="12" t="s">
        <v>33</v>
      </c>
      <c r="D270" s="21">
        <v>356475.7339792893</v>
      </c>
      <c r="E270" s="22">
        <v>342636.81297781988</v>
      </c>
      <c r="F270" s="22">
        <v>330172.07803912146</v>
      </c>
      <c r="G270" s="22">
        <v>319342.17027912528</v>
      </c>
      <c r="H270" s="22">
        <v>308675.71611599799</v>
      </c>
      <c r="I270" s="22">
        <v>291305.70342549763</v>
      </c>
      <c r="J270" s="22">
        <v>274313.32232329767</v>
      </c>
      <c r="K270" s="22">
        <v>228527.86077729263</v>
      </c>
      <c r="L270" s="22">
        <v>223842.1765751628</v>
      </c>
      <c r="M270" s="22">
        <v>222318.8371633717</v>
      </c>
      <c r="N270" s="22">
        <v>226813.70453386195</v>
      </c>
      <c r="O270" s="22">
        <v>236680.53993931971</v>
      </c>
      <c r="P270" s="22">
        <v>243978.22520022612</v>
      </c>
      <c r="Q270" s="22">
        <v>262881.00744635065</v>
      </c>
      <c r="R270" s="22">
        <v>276823.47769766307</v>
      </c>
      <c r="S270" s="22">
        <v>282343.07810010534</v>
      </c>
      <c r="T270" s="22">
        <v>285997.65867208428</v>
      </c>
      <c r="U270" s="22">
        <v>302910.00441188907</v>
      </c>
      <c r="V270" s="22">
        <v>312222.55656087882</v>
      </c>
      <c r="W270" s="22">
        <v>331779.62117629976</v>
      </c>
      <c r="X270" s="22">
        <v>348406.14661452582</v>
      </c>
      <c r="Y270" s="22">
        <v>363285.90193808544</v>
      </c>
      <c r="Z270" s="22">
        <v>366947.28228786535</v>
      </c>
      <c r="AA270" s="23">
        <v>356376.33985986316</v>
      </c>
      <c r="AB270" s="96">
        <f t="shared" ref="AB270" si="92">+SUM(D270:AA270)*AC270+SUM(D271:AA271)*AC271+SUM(D272:AA272)*AC272</f>
        <v>219943730.65090322</v>
      </c>
      <c r="AC270" s="16">
        <v>21</v>
      </c>
      <c r="AD270" s="16">
        <f t="shared" si="89"/>
        <v>148996175.07799485</v>
      </c>
    </row>
    <row r="271" spans="1:30" ht="13.5" thickBot="1" x14ac:dyDescent="0.35">
      <c r="A271" s="18">
        <v>2033</v>
      </c>
      <c r="B271" s="19" t="s">
        <v>39</v>
      </c>
      <c r="C271" s="20" t="s">
        <v>34</v>
      </c>
      <c r="D271" s="21">
        <v>357489.79709821614</v>
      </c>
      <c r="E271" s="22">
        <v>343007.75316329405</v>
      </c>
      <c r="F271" s="22">
        <v>330282.541011355</v>
      </c>
      <c r="G271" s="22">
        <v>319193.72776961752</v>
      </c>
      <c r="H271" s="22">
        <v>308256.53897927137</v>
      </c>
      <c r="I271" s="22">
        <v>289825.80851869273</v>
      </c>
      <c r="J271" s="22">
        <v>271949.36862390814</v>
      </c>
      <c r="K271" s="22">
        <v>228198.26814921998</v>
      </c>
      <c r="L271" s="22">
        <v>226300.65060048105</v>
      </c>
      <c r="M271" s="22">
        <v>226345.47259107124</v>
      </c>
      <c r="N271" s="22">
        <v>231949.55194011226</v>
      </c>
      <c r="O271" s="22">
        <v>242444.90256285964</v>
      </c>
      <c r="P271" s="22">
        <v>249245.56865170348</v>
      </c>
      <c r="Q271" s="22">
        <v>270550.48432130902</v>
      </c>
      <c r="R271" s="22">
        <v>285692.945654699</v>
      </c>
      <c r="S271" s="22">
        <v>290587.49042979616</v>
      </c>
      <c r="T271" s="22">
        <v>293168.72638079053</v>
      </c>
      <c r="U271" s="22">
        <v>307526.46095439605</v>
      </c>
      <c r="V271" s="22">
        <v>315559.6582027027</v>
      </c>
      <c r="W271" s="22">
        <v>335057.60029503395</v>
      </c>
      <c r="X271" s="22">
        <v>352026.65378289577</v>
      </c>
      <c r="Y271" s="22">
        <v>366648.85444274853</v>
      </c>
      <c r="Z271" s="22">
        <v>369955.10004312056</v>
      </c>
      <c r="AA271" s="23">
        <v>358629.71775628062</v>
      </c>
      <c r="AB271" s="97"/>
      <c r="AC271" s="16">
        <v>4</v>
      </c>
      <c r="AD271" s="16">
        <f t="shared" si="89"/>
        <v>28679574.567694303</v>
      </c>
    </row>
    <row r="272" spans="1:30" ht="13.5" thickBot="1" x14ac:dyDescent="0.35">
      <c r="A272" s="18">
        <v>2033</v>
      </c>
      <c r="B272" s="25" t="s">
        <v>39</v>
      </c>
      <c r="C272" s="26" t="s">
        <v>36</v>
      </c>
      <c r="D272" s="21">
        <v>358853.09996043722</v>
      </c>
      <c r="E272" s="22">
        <v>345425.02225145034</v>
      </c>
      <c r="F272" s="22">
        <v>332570.3814146943</v>
      </c>
      <c r="G272" s="22">
        <v>321602.75827047398</v>
      </c>
      <c r="H272" s="22">
        <v>311491.59954117163</v>
      </c>
      <c r="I272" s="22">
        <v>296697.8614224373</v>
      </c>
      <c r="J272" s="22">
        <v>282493.146028938</v>
      </c>
      <c r="K272" s="22">
        <v>233478.94794242919</v>
      </c>
      <c r="L272" s="22">
        <v>227462.96877746415</v>
      </c>
      <c r="M272" s="22">
        <v>225452.45972006672</v>
      </c>
      <c r="N272" s="22">
        <v>228390.89994325026</v>
      </c>
      <c r="O272" s="22">
        <v>236531.07727944897</v>
      </c>
      <c r="P272" s="22">
        <v>241522.82780559643</v>
      </c>
      <c r="Q272" s="22">
        <v>251052.31750989801</v>
      </c>
      <c r="R272" s="22">
        <v>264994.32487628312</v>
      </c>
      <c r="S272" s="22">
        <v>271257.28978826973</v>
      </c>
      <c r="T272" s="22">
        <v>277069.08808016795</v>
      </c>
      <c r="U272" s="22">
        <v>301028.10099814821</v>
      </c>
      <c r="V272" s="22">
        <v>312816.84713966527</v>
      </c>
      <c r="W272" s="22">
        <v>327305.34674449469</v>
      </c>
      <c r="X272" s="22">
        <v>337322.7095817973</v>
      </c>
      <c r="Y272" s="22">
        <v>349561.99937513267</v>
      </c>
      <c r="Z272" s="22">
        <v>356830.05731003097</v>
      </c>
      <c r="AA272" s="23">
        <v>353452.36910726392</v>
      </c>
      <c r="AB272" s="97"/>
      <c r="AC272" s="16">
        <v>6</v>
      </c>
      <c r="AD272" s="16">
        <f t="shared" si="89"/>
        <v>42267981.005214058</v>
      </c>
    </row>
    <row r="273" spans="1:30" ht="13.5" thickBot="1" x14ac:dyDescent="0.35">
      <c r="A273" s="18">
        <v>2033</v>
      </c>
      <c r="B273" s="11" t="s">
        <v>40</v>
      </c>
      <c r="C273" s="12" t="s">
        <v>33</v>
      </c>
      <c r="D273" s="21">
        <v>363004.17218593054</v>
      </c>
      <c r="E273" s="22">
        <v>348830.47262516723</v>
      </c>
      <c r="F273" s="22">
        <v>336113.7971850491</v>
      </c>
      <c r="G273" s="22">
        <v>325059.92205221433</v>
      </c>
      <c r="H273" s="22">
        <v>314170.43255970767</v>
      </c>
      <c r="I273" s="22">
        <v>296340.78235675336</v>
      </c>
      <c r="J273" s="22">
        <v>278922.65259993199</v>
      </c>
      <c r="K273" s="22">
        <v>233303.83507951885</v>
      </c>
      <c r="L273" s="22">
        <v>229074.51312018768</v>
      </c>
      <c r="M273" s="22">
        <v>227836.45250352629</v>
      </c>
      <c r="N273" s="22">
        <v>232617.2389642513</v>
      </c>
      <c r="O273" s="22">
        <v>242762.04142948537</v>
      </c>
      <c r="P273" s="22">
        <v>250102.79604049097</v>
      </c>
      <c r="Q273" s="22">
        <v>269680.64798466233</v>
      </c>
      <c r="R273" s="22">
        <v>284010.44950938143</v>
      </c>
      <c r="S273" s="22">
        <v>289463.53897233377</v>
      </c>
      <c r="T273" s="22">
        <v>292912.41878278158</v>
      </c>
      <c r="U273" s="22">
        <v>309363.10208373365</v>
      </c>
      <c r="V273" s="22">
        <v>318634.57009044162</v>
      </c>
      <c r="W273" s="22">
        <v>338514.14768741885</v>
      </c>
      <c r="X273" s="22">
        <v>355475.96761085483</v>
      </c>
      <c r="Y273" s="22">
        <v>370568.03206288838</v>
      </c>
      <c r="Z273" s="22">
        <v>374236.26355576963</v>
      </c>
      <c r="AA273" s="23">
        <v>363368.65318969497</v>
      </c>
      <c r="AB273" s="96">
        <f t="shared" ref="AB273" si="93">+SUM(D273:AA273)*AC273+SUM(D274:AA274)*AC274+SUM(D275:AA275)*AC275</f>
        <v>216775001.37481588</v>
      </c>
      <c r="AC273" s="16">
        <v>20</v>
      </c>
      <c r="AD273" s="16">
        <f t="shared" si="89"/>
        <v>144887338.0046435</v>
      </c>
    </row>
    <row r="274" spans="1:30" ht="13.5" thickBot="1" x14ac:dyDescent="0.35">
      <c r="A274" s="18">
        <v>2033</v>
      </c>
      <c r="B274" s="19" t="s">
        <v>40</v>
      </c>
      <c r="C274" s="20" t="s">
        <v>34</v>
      </c>
      <c r="D274" s="21">
        <v>364001.86674655398</v>
      </c>
      <c r="E274" s="22">
        <v>349269.41452628974</v>
      </c>
      <c r="F274" s="22">
        <v>336324.1713780422</v>
      </c>
      <c r="G274" s="22">
        <v>325043.62203035032</v>
      </c>
      <c r="H274" s="22">
        <v>313917.31886472926</v>
      </c>
      <c r="I274" s="22">
        <v>295167.90358086344</v>
      </c>
      <c r="J274" s="22">
        <v>276982.36307278182</v>
      </c>
      <c r="K274" s="22">
        <v>233116.93734306871</v>
      </c>
      <c r="L274" s="22">
        <v>231292.98324915487</v>
      </c>
      <c r="M274" s="22">
        <v>231408.61878826914</v>
      </c>
      <c r="N274" s="22">
        <v>237148.30977417904</v>
      </c>
      <c r="O274" s="22">
        <v>247838.51950659114</v>
      </c>
      <c r="P274" s="22">
        <v>254753.24583694417</v>
      </c>
      <c r="Q274" s="22">
        <v>276406.4585550233</v>
      </c>
      <c r="R274" s="22">
        <v>291773.36679150112</v>
      </c>
      <c r="S274" s="22">
        <v>296686.95031063218</v>
      </c>
      <c r="T274" s="22">
        <v>299207.78444841446</v>
      </c>
      <c r="U274" s="22">
        <v>313452.67422434018</v>
      </c>
      <c r="V274" s="22">
        <v>321624.77307782095</v>
      </c>
      <c r="W274" s="22">
        <v>341459.85309550184</v>
      </c>
      <c r="X274" s="22">
        <v>358722.31762443454</v>
      </c>
      <c r="Y274" s="22">
        <v>373597.35001243412</v>
      </c>
      <c r="Z274" s="22">
        <v>376960.7637373769</v>
      </c>
      <c r="AA274" s="23">
        <v>365439.55484125169</v>
      </c>
      <c r="AB274" s="97"/>
      <c r="AC274" s="16">
        <v>4</v>
      </c>
      <c r="AD274" s="16">
        <f t="shared" si="89"/>
        <v>29246388.485666201</v>
      </c>
    </row>
    <row r="275" spans="1:30" ht="13.5" thickBot="1" x14ac:dyDescent="0.35">
      <c r="A275" s="18">
        <v>2033</v>
      </c>
      <c r="B275" s="25" t="s">
        <v>40</v>
      </c>
      <c r="C275" s="26" t="s">
        <v>36</v>
      </c>
      <c r="D275" s="21">
        <v>362453.04255091405</v>
      </c>
      <c r="E275" s="22">
        <v>349184.59649045108</v>
      </c>
      <c r="F275" s="22">
        <v>336412.57340331713</v>
      </c>
      <c r="G275" s="22">
        <v>325500.0202425216</v>
      </c>
      <c r="H275" s="22">
        <v>315324.47472342494</v>
      </c>
      <c r="I275" s="22">
        <v>300508.6231410171</v>
      </c>
      <c r="J275" s="22">
        <v>286134.85619740025</v>
      </c>
      <c r="K275" s="22">
        <v>236273.9408444888</v>
      </c>
      <c r="L275" s="22">
        <v>228717.24171639443</v>
      </c>
      <c r="M275" s="22">
        <v>225809.46513832282</v>
      </c>
      <c r="N275" s="22">
        <v>228404.07016428022</v>
      </c>
      <c r="O275" s="22">
        <v>236594.62296016511</v>
      </c>
      <c r="P275" s="22">
        <v>242421.26471889016</v>
      </c>
      <c r="Q275" s="22">
        <v>252396.68818836552</v>
      </c>
      <c r="R275" s="22">
        <v>265735.09519132454</v>
      </c>
      <c r="S275" s="22">
        <v>272299.76929259108</v>
      </c>
      <c r="T275" s="22">
        <v>278396.05449859065</v>
      </c>
      <c r="U275" s="22">
        <v>302663.2848522811</v>
      </c>
      <c r="V275" s="22">
        <v>314920.50054285384</v>
      </c>
      <c r="W275" s="22">
        <v>330634.23504892463</v>
      </c>
      <c r="X275" s="22">
        <v>341871.75515041145</v>
      </c>
      <c r="Y275" s="22">
        <v>354952.01623454265</v>
      </c>
      <c r="Z275" s="22">
        <v>361820.06692032289</v>
      </c>
      <c r="AA275" s="23">
        <v>357450.88920589909</v>
      </c>
      <c r="AB275" s="97"/>
      <c r="AC275" s="16">
        <v>6</v>
      </c>
      <c r="AD275" s="16">
        <f t="shared" si="89"/>
        <v>42641274.884506166</v>
      </c>
    </row>
    <row r="276" spans="1:30" ht="13.5" thickBot="1" x14ac:dyDescent="0.35">
      <c r="A276" s="18">
        <v>2033</v>
      </c>
      <c r="B276" s="11" t="s">
        <v>41</v>
      </c>
      <c r="C276" s="12" t="s">
        <v>33</v>
      </c>
      <c r="D276" s="21">
        <v>350990.80016506766</v>
      </c>
      <c r="E276" s="22">
        <v>337150.09807527071</v>
      </c>
      <c r="F276" s="22">
        <v>324791.04701413721</v>
      </c>
      <c r="G276" s="22">
        <v>314041.99325670168</v>
      </c>
      <c r="H276" s="22">
        <v>303449.8765201692</v>
      </c>
      <c r="I276" s="22">
        <v>285992.31265903037</v>
      </c>
      <c r="J276" s="22">
        <v>268965.97793865</v>
      </c>
      <c r="K276" s="22">
        <v>223771.52411829351</v>
      </c>
      <c r="L276" s="22">
        <v>219833.34117407174</v>
      </c>
      <c r="M276" s="22">
        <v>218688.06314199211</v>
      </c>
      <c r="N276" s="22">
        <v>223390.70921443045</v>
      </c>
      <c r="O276" s="22">
        <v>233282.89753477191</v>
      </c>
      <c r="P276" s="22">
        <v>240308.84583555534</v>
      </c>
      <c r="Q276" s="22">
        <v>259776.57078283755</v>
      </c>
      <c r="R276" s="22">
        <v>273999.14542656665</v>
      </c>
      <c r="S276" s="22">
        <v>279385.09834937617</v>
      </c>
      <c r="T276" s="22">
        <v>282881.70094862435</v>
      </c>
      <c r="U276" s="22">
        <v>299218.91783937626</v>
      </c>
      <c r="V276" s="22">
        <v>307956.44539515401</v>
      </c>
      <c r="W276" s="22">
        <v>327190.25000207481</v>
      </c>
      <c r="X276" s="22">
        <v>343674.14989043155</v>
      </c>
      <c r="Y276" s="22">
        <v>358236.41485716484</v>
      </c>
      <c r="Z276" s="22">
        <v>361721.47927833779</v>
      </c>
      <c r="AA276" s="23">
        <v>351060.59993610735</v>
      </c>
      <c r="AB276" s="96">
        <f t="shared" ref="AB276" si="94">+SUM(D276:AA276)*AC276+SUM(D277:AA277)*AC277+SUM(D278:AA278)*AC278</f>
        <v>216909089.26939696</v>
      </c>
      <c r="AC276" s="16">
        <v>19</v>
      </c>
      <c r="AD276" s="16">
        <f t="shared" si="89"/>
        <v>132805406.92772967</v>
      </c>
    </row>
    <row r="277" spans="1:30" ht="13.5" thickBot="1" x14ac:dyDescent="0.35">
      <c r="A277" s="18">
        <v>2033</v>
      </c>
      <c r="B277" s="19" t="s">
        <v>41</v>
      </c>
      <c r="C277" s="20" t="s">
        <v>34</v>
      </c>
      <c r="D277" s="21">
        <v>354556.75233394129</v>
      </c>
      <c r="E277" s="22">
        <v>340187.4926212274</v>
      </c>
      <c r="F277" s="22">
        <v>327561.38272042386</v>
      </c>
      <c r="G277" s="22">
        <v>316558.92767386261</v>
      </c>
      <c r="H277" s="22">
        <v>305706.91624773428</v>
      </c>
      <c r="I277" s="22">
        <v>287419.72185216629</v>
      </c>
      <c r="J277" s="22">
        <v>269682.50128156308</v>
      </c>
      <c r="K277" s="22">
        <v>225830.11643192536</v>
      </c>
      <c r="L277" s="22">
        <v>223786.64214582107</v>
      </c>
      <c r="M277" s="22">
        <v>223725.45043177609</v>
      </c>
      <c r="N277" s="22">
        <v>229227.48286999724</v>
      </c>
      <c r="O277" s="22">
        <v>239620.90433368008</v>
      </c>
      <c r="P277" s="22">
        <v>246373.93292193091</v>
      </c>
      <c r="Q277" s="22">
        <v>267543.23052833957</v>
      </c>
      <c r="R277" s="22">
        <v>282624.1592137065</v>
      </c>
      <c r="S277" s="22">
        <v>287579.54311476863</v>
      </c>
      <c r="T277" s="22">
        <v>290299.13754124672</v>
      </c>
      <c r="U277" s="22">
        <v>304857.28667616611</v>
      </c>
      <c r="V277" s="22">
        <v>312827.92245817918</v>
      </c>
      <c r="W277" s="22">
        <v>332174.01718397642</v>
      </c>
      <c r="X277" s="22">
        <v>349010.91795169457</v>
      </c>
      <c r="Y277" s="22">
        <v>363519.24286750145</v>
      </c>
      <c r="Z277" s="22">
        <v>366799.73986911599</v>
      </c>
      <c r="AA277" s="23">
        <v>355562.55814555119</v>
      </c>
      <c r="AB277" s="97"/>
      <c r="AC277" s="16">
        <v>5</v>
      </c>
      <c r="AD277" s="16">
        <f t="shared" si="89"/>
        <v>35515179.897081472</v>
      </c>
    </row>
    <row r="278" spans="1:30" ht="13.5" thickBot="1" x14ac:dyDescent="0.35">
      <c r="A278" s="18">
        <v>2033</v>
      </c>
      <c r="B278" s="25" t="s">
        <v>41</v>
      </c>
      <c r="C278" s="26" t="s">
        <v>36</v>
      </c>
      <c r="D278" s="21">
        <v>353181.12347639445</v>
      </c>
      <c r="E278" s="22">
        <v>339794.01088927133</v>
      </c>
      <c r="F278" s="22">
        <v>327140.2043926983</v>
      </c>
      <c r="G278" s="22">
        <v>316311.59527004353</v>
      </c>
      <c r="H278" s="22">
        <v>306230.10432317702</v>
      </c>
      <c r="I278" s="22">
        <v>291136.4310072051</v>
      </c>
      <c r="J278" s="22">
        <v>276621.1473064145</v>
      </c>
      <c r="K278" s="22">
        <v>228314.50588675516</v>
      </c>
      <c r="L278" s="22">
        <v>222743.0312204159</v>
      </c>
      <c r="M278" s="22">
        <v>220902.83120093573</v>
      </c>
      <c r="N278" s="22">
        <v>224090.04149825865</v>
      </c>
      <c r="O278" s="22">
        <v>232412.98320836743</v>
      </c>
      <c r="P278" s="22">
        <v>237580.97565785731</v>
      </c>
      <c r="Q278" s="22">
        <v>248671.4010468921</v>
      </c>
      <c r="R278" s="22">
        <v>262681.61144893983</v>
      </c>
      <c r="S278" s="22">
        <v>268810.5903435896</v>
      </c>
      <c r="T278" s="22">
        <v>274325.50703108485</v>
      </c>
      <c r="U278" s="22">
        <v>297097.31722464412</v>
      </c>
      <c r="V278" s="22">
        <v>308179.68244808295</v>
      </c>
      <c r="W278" s="22">
        <v>323143.71663142642</v>
      </c>
      <c r="X278" s="22">
        <v>333974.29604639916</v>
      </c>
      <c r="Y278" s="22">
        <v>346358.46298787545</v>
      </c>
      <c r="Z278" s="22">
        <v>352971.77177623508</v>
      </c>
      <c r="AA278" s="23">
        <v>348541.29261786834</v>
      </c>
      <c r="AB278" s="97"/>
      <c r="AC278" s="16">
        <v>7</v>
      </c>
      <c r="AD278" s="16">
        <f t="shared" si="89"/>
        <v>48588502.44458583</v>
      </c>
    </row>
    <row r="279" spans="1:30" ht="13.5" thickBot="1" x14ac:dyDescent="0.35">
      <c r="A279" s="18">
        <v>2033</v>
      </c>
      <c r="B279" s="11" t="s">
        <v>42</v>
      </c>
      <c r="C279" s="12" t="s">
        <v>33</v>
      </c>
      <c r="D279" s="21">
        <v>364634.04528590903</v>
      </c>
      <c r="E279" s="22">
        <v>350582.59624307253</v>
      </c>
      <c r="F279" s="22">
        <v>337880.09441464505</v>
      </c>
      <c r="G279" s="22">
        <v>326848.3422780137</v>
      </c>
      <c r="H279" s="22">
        <v>315985.37783034157</v>
      </c>
      <c r="I279" s="22">
        <v>298385.46085572499</v>
      </c>
      <c r="J279" s="22">
        <v>281145.84464142565</v>
      </c>
      <c r="K279" s="22">
        <v>234968.22287673119</v>
      </c>
      <c r="L279" s="22">
        <v>229979.68363294631</v>
      </c>
      <c r="M279" s="22">
        <v>228330.24108223786</v>
      </c>
      <c r="N279" s="22">
        <v>232838.17605098049</v>
      </c>
      <c r="O279" s="22">
        <v>242857.73221358203</v>
      </c>
      <c r="P279" s="22">
        <v>250382.21321940079</v>
      </c>
      <c r="Q279" s="22">
        <v>269314.91634627734</v>
      </c>
      <c r="R279" s="22">
        <v>283318.9055654176</v>
      </c>
      <c r="S279" s="22">
        <v>288924.48122758081</v>
      </c>
      <c r="T279" s="22">
        <v>292612.63137248578</v>
      </c>
      <c r="U279" s="22">
        <v>309715.72609129793</v>
      </c>
      <c r="V279" s="22">
        <v>319420.19049366046</v>
      </c>
      <c r="W279" s="22">
        <v>339418.31608379079</v>
      </c>
      <c r="X279" s="22">
        <v>356362.71029481199</v>
      </c>
      <c r="Y279" s="22">
        <v>371608.94369831751</v>
      </c>
      <c r="Z279" s="22">
        <v>375402.91523506923</v>
      </c>
      <c r="AA279" s="23">
        <v>364707.89216268226</v>
      </c>
      <c r="AB279" s="96">
        <f t="shared" ref="AB279" si="95">+SUM(D279:AA279)*AC279+SUM(D280:AA280)*AC280+SUM(D281:AA281)*AC281</f>
        <v>225218938.34129888</v>
      </c>
      <c r="AC279" s="16">
        <v>22</v>
      </c>
      <c r="AD279" s="16">
        <f t="shared" si="89"/>
        <v>159843764.50232086</v>
      </c>
    </row>
    <row r="280" spans="1:30" ht="13.5" thickBot="1" x14ac:dyDescent="0.35">
      <c r="A280" s="18">
        <v>2033</v>
      </c>
      <c r="B280" s="19" t="s">
        <v>42</v>
      </c>
      <c r="C280" s="20" t="s">
        <v>34</v>
      </c>
      <c r="D280" s="21">
        <v>366004.88196460757</v>
      </c>
      <c r="E280" s="22">
        <v>351195.40790131124</v>
      </c>
      <c r="F280" s="22">
        <v>338182.48650976346</v>
      </c>
      <c r="G280" s="22">
        <v>326842.9620038165</v>
      </c>
      <c r="H280" s="22">
        <v>315658.49008508265</v>
      </c>
      <c r="I280" s="22">
        <v>296811.05211637495</v>
      </c>
      <c r="J280" s="22">
        <v>278530.43688308663</v>
      </c>
      <c r="K280" s="22">
        <v>234729.44104523299</v>
      </c>
      <c r="L280" s="22">
        <v>233001.59958963376</v>
      </c>
      <c r="M280" s="22">
        <v>233187.33439859888</v>
      </c>
      <c r="N280" s="22">
        <v>238995.44392588956</v>
      </c>
      <c r="O280" s="22">
        <v>249754.82310974153</v>
      </c>
      <c r="P280" s="22">
        <v>256702.19757927797</v>
      </c>
      <c r="Q280" s="22">
        <v>278448.68493530777</v>
      </c>
      <c r="R280" s="22">
        <v>293858.84159026755</v>
      </c>
      <c r="S280" s="22">
        <v>298733.03022829263</v>
      </c>
      <c r="T280" s="22">
        <v>301162.82508440572</v>
      </c>
      <c r="U280" s="22">
        <v>315275.48878348077</v>
      </c>
      <c r="V280" s="22">
        <v>323490.31169306074</v>
      </c>
      <c r="W280" s="22">
        <v>343429.09029376146</v>
      </c>
      <c r="X280" s="22">
        <v>360781.80367016414</v>
      </c>
      <c r="Y280" s="22">
        <v>375734.60331595328</v>
      </c>
      <c r="Z280" s="22">
        <v>379115.60110090859</v>
      </c>
      <c r="AA280" s="23">
        <v>367534.15886888886</v>
      </c>
      <c r="AB280" s="97"/>
      <c r="AC280" s="16">
        <v>4</v>
      </c>
      <c r="AD280" s="16">
        <f t="shared" si="89"/>
        <v>29428643.986707635</v>
      </c>
    </row>
    <row r="281" spans="1:30" ht="13.5" thickBot="1" x14ac:dyDescent="0.35">
      <c r="A281" s="18">
        <v>2033</v>
      </c>
      <c r="B281" s="25" t="s">
        <v>42</v>
      </c>
      <c r="C281" s="26" t="s">
        <v>36</v>
      </c>
      <c r="D281" s="21">
        <v>365690.48778363987</v>
      </c>
      <c r="E281" s="22">
        <v>352072.9642335542</v>
      </c>
      <c r="F281" s="22">
        <v>339023.9162279974</v>
      </c>
      <c r="G281" s="22">
        <v>327887.55728355044</v>
      </c>
      <c r="H281" s="22">
        <v>317599.42873936368</v>
      </c>
      <c r="I281" s="22">
        <v>302560.16803464835</v>
      </c>
      <c r="J281" s="22">
        <v>288092.22229361121</v>
      </c>
      <c r="K281" s="22">
        <v>238796.53921414874</v>
      </c>
      <c r="L281" s="22">
        <v>232547.83786484311</v>
      </c>
      <c r="M281" s="22">
        <v>230437.6199262361</v>
      </c>
      <c r="N281" s="22">
        <v>233415.31379959272</v>
      </c>
      <c r="O281" s="22">
        <v>241716.78848738159</v>
      </c>
      <c r="P281" s="22">
        <v>246940.18932232293</v>
      </c>
      <c r="Q281" s="22">
        <v>256679.44071064549</v>
      </c>
      <c r="R281" s="22">
        <v>270683.40308631485</v>
      </c>
      <c r="S281" s="22">
        <v>277011.08339605934</v>
      </c>
      <c r="T281" s="22">
        <v>282820.76096638339</v>
      </c>
      <c r="U281" s="22">
        <v>306818.99107395834</v>
      </c>
      <c r="V281" s="22">
        <v>318887.21244266198</v>
      </c>
      <c r="W281" s="22">
        <v>333839.94596693374</v>
      </c>
      <c r="X281" s="22">
        <v>344247.63656497665</v>
      </c>
      <c r="Y281" s="22">
        <v>356843.01177337655</v>
      </c>
      <c r="Z281" s="22">
        <v>364155.3012459306</v>
      </c>
      <c r="AA281" s="23">
        <v>360538.15001594723</v>
      </c>
      <c r="AB281" s="97"/>
      <c r="AC281" s="16">
        <v>5</v>
      </c>
      <c r="AD281" s="16">
        <f t="shared" si="89"/>
        <v>35946529.852270402</v>
      </c>
    </row>
    <row r="282" spans="1:30" ht="13.5" thickBot="1" x14ac:dyDescent="0.35">
      <c r="A282" s="18">
        <v>2033</v>
      </c>
      <c r="B282" s="11" t="s">
        <v>43</v>
      </c>
      <c r="C282" s="12" t="s">
        <v>33</v>
      </c>
      <c r="D282" s="21">
        <v>364186.34736686712</v>
      </c>
      <c r="E282" s="22">
        <v>349914.85482373345</v>
      </c>
      <c r="F282" s="22">
        <v>337138.63924591511</v>
      </c>
      <c r="G282" s="22">
        <v>326030.11498005356</v>
      </c>
      <c r="H282" s="22">
        <v>315085.39218415617</v>
      </c>
      <c r="I282" s="22">
        <v>297110.29973820405</v>
      </c>
      <c r="J282" s="22">
        <v>279563.64204557508</v>
      </c>
      <c r="K282" s="22">
        <v>234003.25933177711</v>
      </c>
      <c r="L282" s="22">
        <v>229955.13073949181</v>
      </c>
      <c r="M282" s="22">
        <v>228816.98839432205</v>
      </c>
      <c r="N282" s="22">
        <v>233690.21707722556</v>
      </c>
      <c r="O282" s="22">
        <v>243913.07196053627</v>
      </c>
      <c r="P282" s="22">
        <v>251232.34834029133</v>
      </c>
      <c r="Q282" s="22">
        <v>271090.53983892169</v>
      </c>
      <c r="R282" s="22">
        <v>285587.53954608919</v>
      </c>
      <c r="S282" s="22">
        <v>291034.47385161591</v>
      </c>
      <c r="T282" s="22">
        <v>294451.94859281962</v>
      </c>
      <c r="U282" s="22">
        <v>310758.89659668156</v>
      </c>
      <c r="V282" s="22">
        <v>319942.8777790505</v>
      </c>
      <c r="W282" s="22">
        <v>339873.9884106628</v>
      </c>
      <c r="X282" s="22">
        <v>356914.78765481798</v>
      </c>
      <c r="Y282" s="22">
        <v>372027.02791261108</v>
      </c>
      <c r="Z282" s="22">
        <v>375674.10146829375</v>
      </c>
      <c r="AA282" s="23">
        <v>364708.22713328764</v>
      </c>
      <c r="AB282" s="96">
        <f t="shared" ref="AB282" si="96">+SUM(D282:AA282)*AC282+SUM(D283:AA283)*AC283+SUM(D284:AA284)*AC284</f>
        <v>218460742.70884782</v>
      </c>
      <c r="AC282" s="16">
        <v>22</v>
      </c>
      <c r="AD282" s="16">
        <f t="shared" si="89"/>
        <v>159999503.730286</v>
      </c>
    </row>
    <row r="283" spans="1:30" ht="13.5" thickBot="1" x14ac:dyDescent="0.35">
      <c r="A283" s="18">
        <v>2033</v>
      </c>
      <c r="B283" s="19" t="s">
        <v>43</v>
      </c>
      <c r="C283" s="20" t="s">
        <v>34</v>
      </c>
      <c r="D283" s="21">
        <v>366431.584117027</v>
      </c>
      <c r="E283" s="22">
        <v>351605.70209741115</v>
      </c>
      <c r="F283" s="22">
        <v>338578.36321575742</v>
      </c>
      <c r="G283" s="22">
        <v>327226.27523713215</v>
      </c>
      <c r="H283" s="22">
        <v>316029.41163413483</v>
      </c>
      <c r="I283" s="22">
        <v>297161.09190165874</v>
      </c>
      <c r="J283" s="22">
        <v>278860.22290817881</v>
      </c>
      <c r="K283" s="22">
        <v>234887.98642792503</v>
      </c>
      <c r="L283" s="22">
        <v>233044.20021589604</v>
      </c>
      <c r="M283" s="22">
        <v>233155.13241541004</v>
      </c>
      <c r="N283" s="22">
        <v>238928.218227101</v>
      </c>
      <c r="O283" s="22">
        <v>249685.18383172341</v>
      </c>
      <c r="P283" s="22">
        <v>256644.0357466139</v>
      </c>
      <c r="Q283" s="22">
        <v>278436.12721549982</v>
      </c>
      <c r="R283" s="22">
        <v>293903.3904593297</v>
      </c>
      <c r="S283" s="22">
        <v>298853.22634756344</v>
      </c>
      <c r="T283" s="22">
        <v>301398.20018114452</v>
      </c>
      <c r="U283" s="22">
        <v>315663.80280567921</v>
      </c>
      <c r="V283" s="22">
        <v>323887.72721710132</v>
      </c>
      <c r="W283" s="22">
        <v>343848.59671765077</v>
      </c>
      <c r="X283" s="22">
        <v>361220.5357979433</v>
      </c>
      <c r="Y283" s="22">
        <v>376189.9021956909</v>
      </c>
      <c r="Z283" s="22">
        <v>379574.645911375</v>
      </c>
      <c r="AA283" s="23">
        <v>367980.37217720691</v>
      </c>
      <c r="AB283" s="97"/>
      <c r="AC283" s="16">
        <v>4</v>
      </c>
      <c r="AD283" s="16">
        <f t="shared" si="89"/>
        <v>29452775.740008622</v>
      </c>
    </row>
    <row r="284" spans="1:30" ht="13.5" thickBot="1" x14ac:dyDescent="0.35">
      <c r="A284" s="18">
        <v>2033</v>
      </c>
      <c r="B284" s="25" t="s">
        <v>43</v>
      </c>
      <c r="C284" s="26" t="s">
        <v>36</v>
      </c>
      <c r="D284" s="21">
        <v>367982.69756254356</v>
      </c>
      <c r="E284" s="22">
        <v>353930.05751792889</v>
      </c>
      <c r="F284" s="22">
        <v>340550.82416234567</v>
      </c>
      <c r="G284" s="22">
        <v>329151.71792359801</v>
      </c>
      <c r="H284" s="22">
        <v>318763.01478881249</v>
      </c>
      <c r="I284" s="22">
        <v>303487.92208552093</v>
      </c>
      <c r="J284" s="22">
        <v>288975.3668873781</v>
      </c>
      <c r="K284" s="22">
        <v>240301.46033661361</v>
      </c>
      <c r="L284" s="22">
        <v>235796.65348939149</v>
      </c>
      <c r="M284" s="22">
        <v>234725.22324029022</v>
      </c>
      <c r="N284" s="22">
        <v>238161.97716524423</v>
      </c>
      <c r="O284" s="22">
        <v>246540.63729736829</v>
      </c>
      <c r="P284" s="22">
        <v>250827.2574205469</v>
      </c>
      <c r="Q284" s="22">
        <v>260195.77145823717</v>
      </c>
      <c r="R284" s="22">
        <v>275205.70234673773</v>
      </c>
      <c r="S284" s="22">
        <v>281300.95123110403</v>
      </c>
      <c r="T284" s="22">
        <v>286907.80496245553</v>
      </c>
      <c r="U284" s="22">
        <v>310785.85514675837</v>
      </c>
      <c r="V284" s="22">
        <v>322487.41345495026</v>
      </c>
      <c r="W284" s="22">
        <v>336190.58290681848</v>
      </c>
      <c r="X284" s="22">
        <v>345275.45827534836</v>
      </c>
      <c r="Y284" s="22">
        <v>357053.96387999249</v>
      </c>
      <c r="Z284" s="22">
        <v>364987.53203325457</v>
      </c>
      <c r="AA284" s="23">
        <v>362529.9640650588</v>
      </c>
      <c r="AB284" s="97"/>
      <c r="AC284" s="16">
        <v>4</v>
      </c>
      <c r="AD284" s="16">
        <f t="shared" si="89"/>
        <v>29008463.238553185</v>
      </c>
    </row>
    <row r="285" spans="1:30" ht="13.5" thickBot="1" x14ac:dyDescent="0.35">
      <c r="A285" s="18">
        <v>2033</v>
      </c>
      <c r="B285" s="11" t="s">
        <v>44</v>
      </c>
      <c r="C285" s="12" t="s">
        <v>33</v>
      </c>
      <c r="D285" s="21">
        <v>353723.81721859187</v>
      </c>
      <c r="E285" s="22">
        <v>340012.98963679106</v>
      </c>
      <c r="F285" s="22">
        <v>327649.57741568249</v>
      </c>
      <c r="G285" s="22">
        <v>316909.13981940161</v>
      </c>
      <c r="H285" s="22">
        <v>306331.499100563</v>
      </c>
      <c r="I285" s="22">
        <v>289133.43723803811</v>
      </c>
      <c r="J285" s="22">
        <v>272302.49845136539</v>
      </c>
      <c r="K285" s="22">
        <v>226220.27113311054</v>
      </c>
      <c r="L285" s="22">
        <v>221202.38110782843</v>
      </c>
      <c r="M285" s="22">
        <v>219460.9994531835</v>
      </c>
      <c r="N285" s="22">
        <v>223786.19722526026</v>
      </c>
      <c r="O285" s="22">
        <v>233523.65496127977</v>
      </c>
      <c r="P285" s="22">
        <v>240798.70687283372</v>
      </c>
      <c r="Q285" s="22">
        <v>259505.21988802397</v>
      </c>
      <c r="R285" s="22">
        <v>273379.64687495411</v>
      </c>
      <c r="S285" s="22">
        <v>279036.76583080052</v>
      </c>
      <c r="T285" s="22">
        <v>282952.11313541635</v>
      </c>
      <c r="U285" s="22">
        <v>300269.4799803301</v>
      </c>
      <c r="V285" s="22">
        <v>309571.30110410193</v>
      </c>
      <c r="W285" s="22">
        <v>328990.01104529161</v>
      </c>
      <c r="X285" s="22">
        <v>345481.60041166464</v>
      </c>
      <c r="Y285" s="22">
        <v>360265.45988692669</v>
      </c>
      <c r="Z285" s="22">
        <v>363916.10368300689</v>
      </c>
      <c r="AA285" s="23">
        <v>353454.60676464735</v>
      </c>
      <c r="AB285" s="96">
        <f t="shared" ref="AB285" si="97">+SUM(D285:AA285)*AC285+SUM(D286:AA286)*AC286+SUM(D287:AA287)*AC287</f>
        <v>217808195.02958071</v>
      </c>
      <c r="AC285" s="16">
        <v>20</v>
      </c>
      <c r="AD285" s="16">
        <f t="shared" si="89"/>
        <v>140557549.5647819</v>
      </c>
    </row>
    <row r="286" spans="1:30" ht="13.5" thickBot="1" x14ac:dyDescent="0.35">
      <c r="A286" s="18">
        <v>2033</v>
      </c>
      <c r="B286" s="19" t="s">
        <v>44</v>
      </c>
      <c r="C286" s="20" t="s">
        <v>34</v>
      </c>
      <c r="D286" s="21">
        <v>355440.28996166767</v>
      </c>
      <c r="E286" s="22">
        <v>341037.05562117172</v>
      </c>
      <c r="F286" s="22">
        <v>328381.09258994978</v>
      </c>
      <c r="G286" s="22">
        <v>317352.62337687123</v>
      </c>
      <c r="H286" s="22">
        <v>306474.95349259942</v>
      </c>
      <c r="I286" s="22">
        <v>288144.52091808594</v>
      </c>
      <c r="J286" s="22">
        <v>270365.36252473987</v>
      </c>
      <c r="K286" s="22">
        <v>226397.97483351213</v>
      </c>
      <c r="L286" s="22">
        <v>224291.11614917457</v>
      </c>
      <c r="M286" s="22">
        <v>224191.26413167562</v>
      </c>
      <c r="N286" s="22">
        <v>229685.01715365029</v>
      </c>
      <c r="O286" s="22">
        <v>240095.65235708197</v>
      </c>
      <c r="P286" s="22">
        <v>246866.58885342247</v>
      </c>
      <c r="Q286" s="22">
        <v>268096.9843166396</v>
      </c>
      <c r="R286" s="22">
        <v>283234.12666804629</v>
      </c>
      <c r="S286" s="22">
        <v>288237.29776313185</v>
      </c>
      <c r="T286" s="22">
        <v>291021.08264178835</v>
      </c>
      <c r="U286" s="22">
        <v>305661.33710816107</v>
      </c>
      <c r="V286" s="22">
        <v>313650.81863374735</v>
      </c>
      <c r="W286" s="22">
        <v>333042.6551987548</v>
      </c>
      <c r="X286" s="22">
        <v>349919.36507619935</v>
      </c>
      <c r="Y286" s="22">
        <v>364461.99342507188</v>
      </c>
      <c r="Z286" s="22">
        <v>367750.24682240892</v>
      </c>
      <c r="AA286" s="23">
        <v>356486.49594538647</v>
      </c>
      <c r="AB286" s="97"/>
      <c r="AC286" s="16">
        <v>5</v>
      </c>
      <c r="AD286" s="16">
        <f t="shared" si="89"/>
        <v>35601429.577814698</v>
      </c>
    </row>
    <row r="287" spans="1:30" ht="13.5" thickBot="1" x14ac:dyDescent="0.35">
      <c r="A287" s="18">
        <v>2033</v>
      </c>
      <c r="B287" s="25" t="s">
        <v>44</v>
      </c>
      <c r="C287" s="26" t="s">
        <v>36</v>
      </c>
      <c r="D287" s="21">
        <v>354307.54437881638</v>
      </c>
      <c r="E287" s="22">
        <v>341036.54229189805</v>
      </c>
      <c r="F287" s="22">
        <v>328333.34571905865</v>
      </c>
      <c r="G287" s="22">
        <v>317495.17179163563</v>
      </c>
      <c r="H287" s="22">
        <v>307505.11944537383</v>
      </c>
      <c r="I287" s="22">
        <v>292887.46779345337</v>
      </c>
      <c r="J287" s="22">
        <v>278854.0946173236</v>
      </c>
      <c r="K287" s="22">
        <v>229676.59216801057</v>
      </c>
      <c r="L287" s="22">
        <v>223448.48804960481</v>
      </c>
      <c r="M287" s="22">
        <v>221273.53551744638</v>
      </c>
      <c r="N287" s="22">
        <v>224070.64215694027</v>
      </c>
      <c r="O287" s="22">
        <v>232074.7235421598</v>
      </c>
      <c r="P287" s="22">
        <v>237004.55461530434</v>
      </c>
      <c r="Q287" s="22">
        <v>246471.95037601792</v>
      </c>
      <c r="R287" s="22">
        <v>260365.4419149656</v>
      </c>
      <c r="S287" s="22">
        <v>266738.63624280907</v>
      </c>
      <c r="T287" s="22">
        <v>272780.09059114405</v>
      </c>
      <c r="U287" s="22">
        <v>297008.5858263275</v>
      </c>
      <c r="V287" s="22">
        <v>308650.09961401188</v>
      </c>
      <c r="W287" s="22">
        <v>322947.68943573028</v>
      </c>
      <c r="X287" s="22">
        <v>332827.3367801432</v>
      </c>
      <c r="Y287" s="22">
        <v>344908.32962784957</v>
      </c>
      <c r="Z287" s="22">
        <v>352096.17812782363</v>
      </c>
      <c r="AA287" s="23">
        <v>348773.82054016972</v>
      </c>
      <c r="AB287" s="97"/>
      <c r="AC287" s="16">
        <v>6</v>
      </c>
      <c r="AD287" s="16">
        <f t="shared" si="89"/>
        <v>41649215.88698411</v>
      </c>
    </row>
    <row r="288" spans="1:30" ht="13.5" thickBot="1" x14ac:dyDescent="0.35">
      <c r="A288" s="18">
        <v>2033</v>
      </c>
      <c r="B288" s="11" t="s">
        <v>45</v>
      </c>
      <c r="C288" s="12" t="s">
        <v>33</v>
      </c>
      <c r="D288" s="21">
        <v>349682.93362775195</v>
      </c>
      <c r="E288" s="22">
        <v>336002.12077362702</v>
      </c>
      <c r="F288" s="22">
        <v>323728.29866169603</v>
      </c>
      <c r="G288" s="22">
        <v>313059.30537921179</v>
      </c>
      <c r="H288" s="22">
        <v>302548.94262084848</v>
      </c>
      <c r="I288" s="22">
        <v>285338.8094942157</v>
      </c>
      <c r="J288" s="22">
        <v>268526.20286300534</v>
      </c>
      <c r="K288" s="22">
        <v>222660.01942758504</v>
      </c>
      <c r="L288" s="22">
        <v>217965.54617801128</v>
      </c>
      <c r="M288" s="22">
        <v>216367.14868164359</v>
      </c>
      <c r="N288" s="22">
        <v>220758.71119293533</v>
      </c>
      <c r="O288" s="22">
        <v>230473.35699551212</v>
      </c>
      <c r="P288" s="22">
        <v>237577.66913370942</v>
      </c>
      <c r="Q288" s="22">
        <v>256594.35445942852</v>
      </c>
      <c r="R288" s="22">
        <v>270643.97503519437</v>
      </c>
      <c r="S288" s="22">
        <v>276286.51809521468</v>
      </c>
      <c r="T288" s="22">
        <v>280222.82789173798</v>
      </c>
      <c r="U288" s="22">
        <v>297358.63562109566</v>
      </c>
      <c r="V288" s="22">
        <v>306304.28428511252</v>
      </c>
      <c r="W288" s="22">
        <v>325490.62885734154</v>
      </c>
      <c r="X288" s="22">
        <v>341861.75010536384</v>
      </c>
      <c r="Y288" s="22">
        <v>356427.10372116283</v>
      </c>
      <c r="Z288" s="22">
        <v>359966.72830712859</v>
      </c>
      <c r="AA288" s="23">
        <v>349476.5126204564</v>
      </c>
      <c r="AB288" s="96">
        <f t="shared" ref="AB288" si="98">+SUM(D288:AA288)*AC288+SUM(D289:AA289)*AC289+SUM(D290:AA290)*AC290</f>
        <v>207625911.70293784</v>
      </c>
      <c r="AC288" s="16">
        <v>20</v>
      </c>
      <c r="AD288" s="16">
        <f t="shared" si="89"/>
        <v>138906447.68057984</v>
      </c>
    </row>
    <row r="289" spans="1:30" ht="13.5" thickBot="1" x14ac:dyDescent="0.35">
      <c r="A289" s="18">
        <v>2033</v>
      </c>
      <c r="B289" s="19" t="s">
        <v>45</v>
      </c>
      <c r="C289" s="20" t="s">
        <v>34</v>
      </c>
      <c r="D289" s="21">
        <v>349752.57791724842</v>
      </c>
      <c r="E289" s="22">
        <v>335568.05288077937</v>
      </c>
      <c r="F289" s="22">
        <v>323104.26730087952</v>
      </c>
      <c r="G289" s="22">
        <v>312243.26247594145</v>
      </c>
      <c r="H289" s="22">
        <v>301530.76713188633</v>
      </c>
      <c r="I289" s="22">
        <v>283478.67732790019</v>
      </c>
      <c r="J289" s="22">
        <v>265969.49075244379</v>
      </c>
      <c r="K289" s="22">
        <v>221784.15607384316</v>
      </c>
      <c r="L289" s="22">
        <v>219378.56930978069</v>
      </c>
      <c r="M289" s="22">
        <v>219062.68815957781</v>
      </c>
      <c r="N289" s="22">
        <v>224352.77805252574</v>
      </c>
      <c r="O289" s="22">
        <v>234563.75706183771</v>
      </c>
      <c r="P289" s="22">
        <v>241242.84230575673</v>
      </c>
      <c r="Q289" s="22">
        <v>262213.24597881077</v>
      </c>
      <c r="R289" s="22">
        <v>277236.64207916771</v>
      </c>
      <c r="S289" s="22">
        <v>282367.57721360814</v>
      </c>
      <c r="T289" s="22">
        <v>285435.33464784699</v>
      </c>
      <c r="U289" s="22">
        <v>300485.31835936574</v>
      </c>
      <c r="V289" s="22">
        <v>308353.48172108055</v>
      </c>
      <c r="W289" s="22">
        <v>327450.85837669019</v>
      </c>
      <c r="X289" s="22">
        <v>344071.29987827531</v>
      </c>
      <c r="Y289" s="22">
        <v>358393.10226197116</v>
      </c>
      <c r="Z289" s="22">
        <v>361631.42440116184</v>
      </c>
      <c r="AA289" s="23">
        <v>350538.71060211852</v>
      </c>
      <c r="AB289" s="97"/>
      <c r="AC289" s="16">
        <v>4</v>
      </c>
      <c r="AD289" s="16">
        <f t="shared" si="89"/>
        <v>27960835.529081993</v>
      </c>
    </row>
    <row r="290" spans="1:30" ht="13.5" thickBot="1" x14ac:dyDescent="0.35">
      <c r="A290" s="18">
        <v>2033</v>
      </c>
      <c r="B290" s="25" t="s">
        <v>45</v>
      </c>
      <c r="C290" s="26" t="s">
        <v>36</v>
      </c>
      <c r="D290" s="21">
        <v>348261.35736199509</v>
      </c>
      <c r="E290" s="22">
        <v>335486.38938478363</v>
      </c>
      <c r="F290" s="22">
        <v>323189.38149110647</v>
      </c>
      <c r="G290" s="22">
        <v>312682.68639331474</v>
      </c>
      <c r="H290" s="22">
        <v>302885.58825802774</v>
      </c>
      <c r="I290" s="22">
        <v>288620.76563615602</v>
      </c>
      <c r="J290" s="22">
        <v>274781.58570658119</v>
      </c>
      <c r="K290" s="22">
        <v>224823.74476801301</v>
      </c>
      <c r="L290" s="22">
        <v>216898.62437511058</v>
      </c>
      <c r="M290" s="22">
        <v>213671.77740397002</v>
      </c>
      <c r="N290" s="22">
        <v>215933.75290877614</v>
      </c>
      <c r="O290" s="22">
        <v>223738.04185260242</v>
      </c>
      <c r="P290" s="22">
        <v>229369.51040533508</v>
      </c>
      <c r="Q290" s="22">
        <v>239096.44344017582</v>
      </c>
      <c r="R290" s="22">
        <v>252166.78202484091</v>
      </c>
      <c r="S290" s="22">
        <v>258887.40062471034</v>
      </c>
      <c r="T290" s="22">
        <v>265397.63147990749</v>
      </c>
      <c r="U290" s="22">
        <v>290097.20636089769</v>
      </c>
      <c r="V290" s="22">
        <v>301898.55349855771</v>
      </c>
      <c r="W290" s="22">
        <v>317027.86511520774</v>
      </c>
      <c r="X290" s="22">
        <v>327847.4410313007</v>
      </c>
      <c r="Y290" s="22">
        <v>340441.2229799843</v>
      </c>
      <c r="Z290" s="22">
        <v>347053.83814056084</v>
      </c>
      <c r="AA290" s="23">
        <v>342847.15823741595</v>
      </c>
      <c r="AB290" s="97"/>
      <c r="AC290" s="16">
        <v>6</v>
      </c>
      <c r="AD290" s="16">
        <f t="shared" si="89"/>
        <v>40758628.493276</v>
      </c>
    </row>
    <row r="291" spans="1:30" ht="13.5" thickBot="1" x14ac:dyDescent="0.35">
      <c r="A291" s="18">
        <v>2033</v>
      </c>
      <c r="B291" s="11" t="s">
        <v>46</v>
      </c>
      <c r="C291" s="12" t="s">
        <v>33</v>
      </c>
      <c r="D291" s="21">
        <v>345439.90583613078</v>
      </c>
      <c r="E291" s="22">
        <v>333200.41735659901</v>
      </c>
      <c r="F291" s="22">
        <v>322087.82298334443</v>
      </c>
      <c r="G291" s="22">
        <v>312107.58089323272</v>
      </c>
      <c r="H291" s="22">
        <v>302027.78432529262</v>
      </c>
      <c r="I291" s="22">
        <v>285770.16540087451</v>
      </c>
      <c r="J291" s="22">
        <v>269455.98610909929</v>
      </c>
      <c r="K291" s="22">
        <v>222332.07521813788</v>
      </c>
      <c r="L291" s="22">
        <v>216587.86151524456</v>
      </c>
      <c r="M291" s="22">
        <v>214301.31472335564</v>
      </c>
      <c r="N291" s="22">
        <v>218096.77523641798</v>
      </c>
      <c r="O291" s="22">
        <v>227240.71745996963</v>
      </c>
      <c r="P291" s="22">
        <v>234330.67784082177</v>
      </c>
      <c r="Q291" s="22">
        <v>251661.76073876608</v>
      </c>
      <c r="R291" s="22">
        <v>264708.80235570821</v>
      </c>
      <c r="S291" s="22">
        <v>270561.6208407724</v>
      </c>
      <c r="T291" s="22">
        <v>274721.61470504169</v>
      </c>
      <c r="U291" s="22">
        <v>293282.44696485414</v>
      </c>
      <c r="V291" s="22">
        <v>302734.8625535054</v>
      </c>
      <c r="W291" s="22">
        <v>321525.45883639343</v>
      </c>
      <c r="X291" s="22">
        <v>337489.47696083819</v>
      </c>
      <c r="Y291" s="22">
        <v>352065.23576911673</v>
      </c>
      <c r="Z291" s="22">
        <v>355884.03574554523</v>
      </c>
      <c r="AA291" s="23">
        <v>346268.12278355961</v>
      </c>
      <c r="AB291" s="96">
        <f t="shared" ref="AB291" si="99">+SUM(D291:AA291)*AC291+SUM(D292:AA292)*AC292+SUM(D293:AA293)*AC293</f>
        <v>213565933.12175992</v>
      </c>
      <c r="AC291" s="16">
        <v>21</v>
      </c>
      <c r="AD291" s="16">
        <f t="shared" si="89"/>
        <v>144351532.98620504</v>
      </c>
    </row>
    <row r="292" spans="1:30" ht="13.5" thickBot="1" x14ac:dyDescent="0.35">
      <c r="A292" s="18">
        <v>2033</v>
      </c>
      <c r="B292" s="19" t="s">
        <v>46</v>
      </c>
      <c r="C292" s="20" t="s">
        <v>34</v>
      </c>
      <c r="D292" s="21">
        <v>345396.2965743487</v>
      </c>
      <c r="E292" s="22">
        <v>332108.77655459777</v>
      </c>
      <c r="F292" s="22">
        <v>320311.63522559492</v>
      </c>
      <c r="G292" s="22">
        <v>309553.58353865519</v>
      </c>
      <c r="H292" s="22">
        <v>299177.7041311675</v>
      </c>
      <c r="I292" s="22">
        <v>283120.45096544386</v>
      </c>
      <c r="J292" s="22">
        <v>267273.52843368798</v>
      </c>
      <c r="K292" s="22">
        <v>222587.69840865963</v>
      </c>
      <c r="L292" s="22">
        <v>220359.5136080326</v>
      </c>
      <c r="M292" s="22">
        <v>219321.91014400194</v>
      </c>
      <c r="N292" s="22">
        <v>224226.70864394392</v>
      </c>
      <c r="O292" s="22">
        <v>232868.01005793276</v>
      </c>
      <c r="P292" s="22">
        <v>238505.63867303869</v>
      </c>
      <c r="Q292" s="22">
        <v>257239.09479892364</v>
      </c>
      <c r="R292" s="22">
        <v>271817.3562879985</v>
      </c>
      <c r="S292" s="22">
        <v>277166.02352661185</v>
      </c>
      <c r="T292" s="22">
        <v>280372.34458725317</v>
      </c>
      <c r="U292" s="22">
        <v>296231.80788120604</v>
      </c>
      <c r="V292" s="22">
        <v>306152.68022611481</v>
      </c>
      <c r="W292" s="22">
        <v>323522.09358229663</v>
      </c>
      <c r="X292" s="22">
        <v>338988.68323447404</v>
      </c>
      <c r="Y292" s="22">
        <v>353632.10114007973</v>
      </c>
      <c r="Z292" s="22">
        <v>358074.86802194396</v>
      </c>
      <c r="AA292" s="23">
        <v>348340.03954736877</v>
      </c>
      <c r="AB292" s="97"/>
      <c r="AC292" s="16">
        <v>5</v>
      </c>
      <c r="AD292" s="16">
        <f t="shared" si="89"/>
        <v>34631742.738966882</v>
      </c>
    </row>
    <row r="293" spans="1:30" ht="13.5" thickBot="1" x14ac:dyDescent="0.35">
      <c r="A293" s="28">
        <v>2033</v>
      </c>
      <c r="B293" s="25" t="s">
        <v>46</v>
      </c>
      <c r="C293" s="26" t="s">
        <v>36</v>
      </c>
      <c r="D293" s="21">
        <v>351371.19904450182</v>
      </c>
      <c r="E293" s="22">
        <v>337762.6618287412</v>
      </c>
      <c r="F293" s="22">
        <v>325014.69503699953</v>
      </c>
      <c r="G293" s="22">
        <v>314104.99948273145</v>
      </c>
      <c r="H293" s="22">
        <v>303999.29703253863</v>
      </c>
      <c r="I293" s="22">
        <v>288679.59818906907</v>
      </c>
      <c r="J293" s="22">
        <v>274052.92750192777</v>
      </c>
      <c r="K293" s="22">
        <v>226362.08847866626</v>
      </c>
      <c r="L293" s="22">
        <v>221999.60730079786</v>
      </c>
      <c r="M293" s="22">
        <v>220833.25026106701</v>
      </c>
      <c r="N293" s="22">
        <v>224370.11892596688</v>
      </c>
      <c r="O293" s="22">
        <v>232781.22829163191</v>
      </c>
      <c r="P293" s="22">
        <v>237417.59090855398</v>
      </c>
      <c r="Q293" s="22">
        <v>248876.40602298072</v>
      </c>
      <c r="R293" s="22">
        <v>263537.02428310958</v>
      </c>
      <c r="S293" s="22">
        <v>269499.28435927228</v>
      </c>
      <c r="T293" s="22">
        <v>274833.03119612194</v>
      </c>
      <c r="U293" s="22">
        <v>297138.76022036304</v>
      </c>
      <c r="V293" s="22">
        <v>307680.9541298215</v>
      </c>
      <c r="W293" s="22">
        <v>322005.41309495899</v>
      </c>
      <c r="X293" s="22">
        <v>332294.9787753282</v>
      </c>
      <c r="Y293" s="22">
        <v>344188.36871779931</v>
      </c>
      <c r="Z293" s="22">
        <v>350916.16118462721</v>
      </c>
      <c r="AA293" s="23">
        <v>346811.83505002147</v>
      </c>
      <c r="AB293" s="97"/>
      <c r="AC293" s="16">
        <v>5</v>
      </c>
      <c r="AD293" s="16">
        <f t="shared" si="89"/>
        <v>34582657.39658799</v>
      </c>
    </row>
    <row r="294" spans="1:30" ht="13.5" thickBot="1" x14ac:dyDescent="0.35">
      <c r="A294" s="10">
        <v>2034</v>
      </c>
      <c r="B294" s="11" t="s">
        <v>32</v>
      </c>
      <c r="C294" s="12" t="s">
        <v>33</v>
      </c>
      <c r="D294" s="21">
        <v>331824.99537454575</v>
      </c>
      <c r="E294" s="22">
        <v>318353.59948793909</v>
      </c>
      <c r="F294" s="22">
        <v>305968.04954006273</v>
      </c>
      <c r="G294" s="22">
        <v>294941.65824159764</v>
      </c>
      <c r="H294" s="22">
        <v>284991.6204657288</v>
      </c>
      <c r="I294" s="22">
        <v>274934.77078130981</v>
      </c>
      <c r="J294" s="22">
        <v>260696.61575294286</v>
      </c>
      <c r="K294" s="22">
        <v>211074.98602731762</v>
      </c>
      <c r="L294" s="22">
        <v>209019.70985386358</v>
      </c>
      <c r="M294" s="22">
        <v>209595.72139042115</v>
      </c>
      <c r="N294" s="22">
        <v>213965.79983510976</v>
      </c>
      <c r="O294" s="22">
        <v>221956.77332370679</v>
      </c>
      <c r="P294" s="22">
        <v>226401.65653387341</v>
      </c>
      <c r="Q294" s="22">
        <v>241581.0054615961</v>
      </c>
      <c r="R294" s="22">
        <v>254457.73248098273</v>
      </c>
      <c r="S294" s="22">
        <v>260925.49573730983</v>
      </c>
      <c r="T294" s="22">
        <v>262143.36062596799</v>
      </c>
      <c r="U294" s="22">
        <v>276927.22429156245</v>
      </c>
      <c r="V294" s="22">
        <v>290111.64459325722</v>
      </c>
      <c r="W294" s="22">
        <v>301454.14803461032</v>
      </c>
      <c r="X294" s="22">
        <v>314005.63347016042</v>
      </c>
      <c r="Y294" s="22">
        <v>328326.88829709264</v>
      </c>
      <c r="Z294" s="22">
        <v>334957.53741713869</v>
      </c>
      <c r="AA294" s="23">
        <v>328273.32530252822</v>
      </c>
      <c r="AB294" s="96">
        <f t="shared" ref="AB294" si="100">+SUM(D294:AA294)*AC294+SUM(D295:AA295)*AC295+SUM(D296:AA296)*AC296</f>
        <v>204619251.10983881</v>
      </c>
      <c r="AC294" s="16">
        <v>21</v>
      </c>
      <c r="AD294" s="16">
        <f t="shared" si="89"/>
        <v>137694688.99873313</v>
      </c>
    </row>
    <row r="295" spans="1:30" ht="13.5" thickBot="1" x14ac:dyDescent="0.35">
      <c r="A295" s="18">
        <v>2034</v>
      </c>
      <c r="B295" s="19" t="s">
        <v>32</v>
      </c>
      <c r="C295" s="20" t="s">
        <v>34</v>
      </c>
      <c r="D295" s="21">
        <v>331444.54668365302</v>
      </c>
      <c r="E295" s="22">
        <v>318192.90438964043</v>
      </c>
      <c r="F295" s="22">
        <v>304862.0232196931</v>
      </c>
      <c r="G295" s="22">
        <v>293325.8085621575</v>
      </c>
      <c r="H295" s="22">
        <v>282070.85016753693</v>
      </c>
      <c r="I295" s="22">
        <v>270487.24547225545</v>
      </c>
      <c r="J295" s="22">
        <v>257074.35618836037</v>
      </c>
      <c r="K295" s="22">
        <v>210213.12184571329</v>
      </c>
      <c r="L295" s="22">
        <v>212439.5894994195</v>
      </c>
      <c r="M295" s="22">
        <v>215750.91224760425</v>
      </c>
      <c r="N295" s="22">
        <v>222287.94028139429</v>
      </c>
      <c r="O295" s="22">
        <v>231727.22575576798</v>
      </c>
      <c r="P295" s="22">
        <v>234671.82684802829</v>
      </c>
      <c r="Q295" s="22">
        <v>251492.86811392917</v>
      </c>
      <c r="R295" s="22">
        <v>269472.0973167863</v>
      </c>
      <c r="S295" s="22">
        <v>274738.11433312448</v>
      </c>
      <c r="T295" s="22">
        <v>274315.63738083391</v>
      </c>
      <c r="U295" s="22">
        <v>285777.36523109535</v>
      </c>
      <c r="V295" s="22">
        <v>295987.06285958277</v>
      </c>
      <c r="W295" s="22">
        <v>308602.7029119014</v>
      </c>
      <c r="X295" s="22">
        <v>322298.47150616313</v>
      </c>
      <c r="Y295" s="22">
        <v>337402.39936413406</v>
      </c>
      <c r="Z295" s="22">
        <v>343005.96375489561</v>
      </c>
      <c r="AA295" s="23">
        <v>333360.82480180304</v>
      </c>
      <c r="AB295" s="97"/>
      <c r="AC295" s="16">
        <v>4</v>
      </c>
      <c r="AD295" s="16">
        <f t="shared" si="89"/>
        <v>26724007.434941895</v>
      </c>
    </row>
    <row r="296" spans="1:30" ht="13.5" thickBot="1" x14ac:dyDescent="0.35">
      <c r="A296" s="18">
        <v>2034</v>
      </c>
      <c r="B296" s="25" t="s">
        <v>32</v>
      </c>
      <c r="C296" s="26" t="s">
        <v>36</v>
      </c>
      <c r="D296" s="21">
        <v>334313.32785011223</v>
      </c>
      <c r="E296" s="22">
        <v>320882.53100046789</v>
      </c>
      <c r="F296" s="22">
        <v>307437.73421053635</v>
      </c>
      <c r="G296" s="22">
        <v>295707.92288069281</v>
      </c>
      <c r="H296" s="22">
        <v>284811.68456127355</v>
      </c>
      <c r="I296" s="22">
        <v>274973.6512160204</v>
      </c>
      <c r="J296" s="22">
        <v>261282.88817408468</v>
      </c>
      <c r="K296" s="22">
        <v>213570.70386693106</v>
      </c>
      <c r="L296" s="22">
        <v>213593.41295019162</v>
      </c>
      <c r="M296" s="22">
        <v>215865.91567930652</v>
      </c>
      <c r="N296" s="22">
        <v>222285.00370996332</v>
      </c>
      <c r="O296" s="22">
        <v>233215.2097068764</v>
      </c>
      <c r="P296" s="22">
        <v>239892.65433856568</v>
      </c>
      <c r="Q296" s="22">
        <v>254176.69094289702</v>
      </c>
      <c r="R296" s="22">
        <v>270155.50780348928</v>
      </c>
      <c r="S296" s="22">
        <v>275050.78795099363</v>
      </c>
      <c r="T296" s="22">
        <v>272951.27323192713</v>
      </c>
      <c r="U296" s="22">
        <v>285459.22625525651</v>
      </c>
      <c r="V296" s="22">
        <v>297516.98218362179</v>
      </c>
      <c r="W296" s="22">
        <v>306628.22956143302</v>
      </c>
      <c r="X296" s="22">
        <v>318071.32505047537</v>
      </c>
      <c r="Y296" s="22">
        <v>330905.13406615087</v>
      </c>
      <c r="Z296" s="22">
        <v>337626.46892574948</v>
      </c>
      <c r="AA296" s="23">
        <v>333718.17991028191</v>
      </c>
      <c r="AB296" s="97"/>
      <c r="AC296" s="16">
        <v>6</v>
      </c>
      <c r="AD296" s="16">
        <f t="shared" si="89"/>
        <v>40200554.676163793</v>
      </c>
    </row>
    <row r="297" spans="1:30" ht="13.5" thickBot="1" x14ac:dyDescent="0.35">
      <c r="A297" s="18">
        <v>2034</v>
      </c>
      <c r="B297" s="11" t="s">
        <v>35</v>
      </c>
      <c r="C297" s="12" t="s">
        <v>33</v>
      </c>
      <c r="D297" s="21">
        <v>334119.93611461419</v>
      </c>
      <c r="E297" s="22">
        <v>321507.70911843947</v>
      </c>
      <c r="F297" s="22">
        <v>310162.88951896201</v>
      </c>
      <c r="G297" s="22">
        <v>300045.48394913488</v>
      </c>
      <c r="H297" s="22">
        <v>289894.19366697408</v>
      </c>
      <c r="I297" s="22">
        <v>277546.18713175936</v>
      </c>
      <c r="J297" s="22">
        <v>259970.10568299764</v>
      </c>
      <c r="K297" s="22">
        <v>210081.11142275832</v>
      </c>
      <c r="L297" s="22">
        <v>208109.57807651206</v>
      </c>
      <c r="M297" s="22">
        <v>209929.95011631184</v>
      </c>
      <c r="N297" s="22">
        <v>217729.90081112707</v>
      </c>
      <c r="O297" s="22">
        <v>228560.32462225266</v>
      </c>
      <c r="P297" s="22">
        <v>234881.97440772588</v>
      </c>
      <c r="Q297" s="22">
        <v>253598.87192528974</v>
      </c>
      <c r="R297" s="22">
        <v>266481.84749885288</v>
      </c>
      <c r="S297" s="22">
        <v>271826.63181090285</v>
      </c>
      <c r="T297" s="22">
        <v>272040.43242440716</v>
      </c>
      <c r="U297" s="22">
        <v>284277.36739333731</v>
      </c>
      <c r="V297" s="22">
        <v>294264.73995886988</v>
      </c>
      <c r="W297" s="22">
        <v>310282.50524917216</v>
      </c>
      <c r="X297" s="22">
        <v>324259.23375356849</v>
      </c>
      <c r="Y297" s="22">
        <v>338387.1714399003</v>
      </c>
      <c r="Z297" s="22">
        <v>340861.41000178142</v>
      </c>
      <c r="AA297" s="23">
        <v>332472.55781420681</v>
      </c>
      <c r="AB297" s="96">
        <f t="shared" ref="AB297" si="101">+SUM(D297:AA297)*AC297+SUM(D298:AA298)*AC298+SUM(D299:AA299)*AC299</f>
        <v>188722235.10186309</v>
      </c>
      <c r="AC297" s="16">
        <v>20</v>
      </c>
      <c r="AD297" s="16">
        <f t="shared" si="89"/>
        <v>133825842.27819718</v>
      </c>
    </row>
    <row r="298" spans="1:30" ht="13.5" thickBot="1" x14ac:dyDescent="0.35">
      <c r="A298" s="18">
        <v>2034</v>
      </c>
      <c r="B298" s="19" t="s">
        <v>35</v>
      </c>
      <c r="C298" s="20" t="s">
        <v>34</v>
      </c>
      <c r="D298" s="21">
        <v>340983.44049119786</v>
      </c>
      <c r="E298" s="22">
        <v>326548.58134695044</v>
      </c>
      <c r="F298" s="22">
        <v>313778.04699242994</v>
      </c>
      <c r="G298" s="22">
        <v>302219.71062219318</v>
      </c>
      <c r="H298" s="22">
        <v>290580.37613979122</v>
      </c>
      <c r="I298" s="22">
        <v>275945.13873809023</v>
      </c>
      <c r="J298" s="22">
        <v>253847.95408122189</v>
      </c>
      <c r="K298" s="22">
        <v>205733.0262378554</v>
      </c>
      <c r="L298" s="22">
        <v>208668.42275976483</v>
      </c>
      <c r="M298" s="22">
        <v>214686.6276568805</v>
      </c>
      <c r="N298" s="22">
        <v>224040.54424402662</v>
      </c>
      <c r="O298" s="22">
        <v>237065.26277235884</v>
      </c>
      <c r="P298" s="22">
        <v>246865.37234876506</v>
      </c>
      <c r="Q298" s="22">
        <v>267919.58215416002</v>
      </c>
      <c r="R298" s="22">
        <v>286179.62958997925</v>
      </c>
      <c r="S298" s="22">
        <v>289830.15550808323</v>
      </c>
      <c r="T298" s="22">
        <v>288287.02599193808</v>
      </c>
      <c r="U298" s="22">
        <v>294993.39635158132</v>
      </c>
      <c r="V298" s="22">
        <v>303513.98633404647</v>
      </c>
      <c r="W298" s="22">
        <v>319472.06515349873</v>
      </c>
      <c r="X298" s="22">
        <v>334678.23201671743</v>
      </c>
      <c r="Y298" s="22">
        <v>350761.54374714347</v>
      </c>
      <c r="Z298" s="22">
        <v>353415.19330884807</v>
      </c>
      <c r="AA298" s="23">
        <v>342703.37562783656</v>
      </c>
      <c r="AB298" s="97"/>
      <c r="AC298" s="16">
        <v>4</v>
      </c>
      <c r="AD298" s="16">
        <f t="shared" si="89"/>
        <v>27490866.76086143</v>
      </c>
    </row>
    <row r="299" spans="1:30" ht="13.5" thickBot="1" x14ac:dyDescent="0.35">
      <c r="A299" s="18">
        <v>2034</v>
      </c>
      <c r="B299" s="25" t="s">
        <v>35</v>
      </c>
      <c r="C299" s="26" t="s">
        <v>36</v>
      </c>
      <c r="D299" s="21">
        <v>342582.85199333687</v>
      </c>
      <c r="E299" s="22">
        <v>327881.52445102838</v>
      </c>
      <c r="F299" s="22">
        <v>315349.3487695856</v>
      </c>
      <c r="G299" s="22">
        <v>303519.75784068095</v>
      </c>
      <c r="H299" s="22">
        <v>291072.96481451159</v>
      </c>
      <c r="I299" s="22">
        <v>278235.79782951588</v>
      </c>
      <c r="J299" s="22">
        <v>258406.13682118349</v>
      </c>
      <c r="K299" s="22">
        <v>209898.08057043664</v>
      </c>
      <c r="L299" s="22">
        <v>211139.57173010751</v>
      </c>
      <c r="M299" s="22">
        <v>214561.90836131369</v>
      </c>
      <c r="N299" s="22">
        <v>223081.51228125778</v>
      </c>
      <c r="O299" s="22">
        <v>236808.29057193338</v>
      </c>
      <c r="P299" s="22">
        <v>245290.95650477201</v>
      </c>
      <c r="Q299" s="22">
        <v>267042.38653790031</v>
      </c>
      <c r="R299" s="22">
        <v>287145.51354977058</v>
      </c>
      <c r="S299" s="22">
        <v>290023.6756436287</v>
      </c>
      <c r="T299" s="22">
        <v>285889.26365092344</v>
      </c>
      <c r="U299" s="22">
        <v>294079.19417650829</v>
      </c>
      <c r="V299" s="22">
        <v>301235.32939345163</v>
      </c>
      <c r="W299" s="22">
        <v>314764.44570462749</v>
      </c>
      <c r="X299" s="22">
        <v>326118.54863941541</v>
      </c>
      <c r="Y299" s="22">
        <v>339325.60096591176</v>
      </c>
      <c r="Z299" s="22">
        <v>346666.13723872142</v>
      </c>
      <c r="AA299" s="23">
        <v>341262.71766059299</v>
      </c>
      <c r="AB299" s="97"/>
      <c r="AC299" s="16">
        <v>4</v>
      </c>
      <c r="AD299" s="16">
        <f t="shared" si="89"/>
        <v>27405526.062804461</v>
      </c>
    </row>
    <row r="300" spans="1:30" ht="13.5" thickBot="1" x14ac:dyDescent="0.35">
      <c r="A300" s="18">
        <v>2034</v>
      </c>
      <c r="B300" s="11" t="s">
        <v>37</v>
      </c>
      <c r="C300" s="12" t="s">
        <v>33</v>
      </c>
      <c r="D300" s="21">
        <v>351821.5740116713</v>
      </c>
      <c r="E300" s="22">
        <v>339318.76821719971</v>
      </c>
      <c r="F300" s="22">
        <v>327687.64613197278</v>
      </c>
      <c r="G300" s="22">
        <v>317254.09970473428</v>
      </c>
      <c r="H300" s="22">
        <v>306735.50012157246</v>
      </c>
      <c r="I300" s="22">
        <v>291758.81599204434</v>
      </c>
      <c r="J300" s="22">
        <v>272214.28263452474</v>
      </c>
      <c r="K300" s="22">
        <v>224929.77447573302</v>
      </c>
      <c r="L300" s="22">
        <v>222226.16960795879</v>
      </c>
      <c r="M300" s="22">
        <v>224161.25884964867</v>
      </c>
      <c r="N300" s="22">
        <v>231383.47327245137</v>
      </c>
      <c r="O300" s="22">
        <v>242380.9801113788</v>
      </c>
      <c r="P300" s="22">
        <v>249657.03611964852</v>
      </c>
      <c r="Q300" s="22">
        <v>267800.40690102155</v>
      </c>
      <c r="R300" s="22">
        <v>280953.16516826733</v>
      </c>
      <c r="S300" s="22">
        <v>286081.7357549094</v>
      </c>
      <c r="T300" s="22">
        <v>287545.50454048818</v>
      </c>
      <c r="U300" s="22">
        <v>299676.07545682159</v>
      </c>
      <c r="V300" s="22">
        <v>309357.78391524573</v>
      </c>
      <c r="W300" s="22">
        <v>326793.72032335529</v>
      </c>
      <c r="X300" s="22">
        <v>341269.68108276033</v>
      </c>
      <c r="Y300" s="22">
        <v>356242.52556607052</v>
      </c>
      <c r="Z300" s="22">
        <v>360186.55518878851</v>
      </c>
      <c r="AA300" s="23">
        <v>351427.3411603584</v>
      </c>
      <c r="AB300" s="96">
        <f t="shared" ref="AB300" si="102">+SUM(D300:AA300)*AC300+SUM(D301:AA301)*AC301+SUM(D302:AA302)*AC302</f>
        <v>220188374.64764085</v>
      </c>
      <c r="AC300" s="16">
        <v>22</v>
      </c>
      <c r="AD300" s="16">
        <f t="shared" si="89"/>
        <v>155515005.23478973</v>
      </c>
    </row>
    <row r="301" spans="1:30" ht="13.5" thickBot="1" x14ac:dyDescent="0.35">
      <c r="A301" s="18">
        <v>2034</v>
      </c>
      <c r="B301" s="19" t="s">
        <v>37</v>
      </c>
      <c r="C301" s="20" t="s">
        <v>34</v>
      </c>
      <c r="D301" s="21">
        <v>349915.72025132534</v>
      </c>
      <c r="E301" s="22">
        <v>336079.93603388628</v>
      </c>
      <c r="F301" s="22">
        <v>323539.97824225831</v>
      </c>
      <c r="G301" s="22">
        <v>312702.1825437973</v>
      </c>
      <c r="H301" s="22">
        <v>301698.04930333828</v>
      </c>
      <c r="I301" s="22">
        <v>284553.24140484573</v>
      </c>
      <c r="J301" s="22">
        <v>262000.50657612379</v>
      </c>
      <c r="K301" s="22">
        <v>217950.12833882033</v>
      </c>
      <c r="L301" s="22">
        <v>222658.11284514781</v>
      </c>
      <c r="M301" s="22">
        <v>227746.35938233213</v>
      </c>
      <c r="N301" s="22">
        <v>236070.26036977294</v>
      </c>
      <c r="O301" s="22">
        <v>247753.57815399871</v>
      </c>
      <c r="P301" s="22">
        <v>255597.63344652869</v>
      </c>
      <c r="Q301" s="22">
        <v>279607.11411731259</v>
      </c>
      <c r="R301" s="22">
        <v>296846.46987773239</v>
      </c>
      <c r="S301" s="22">
        <v>301108.34727121331</v>
      </c>
      <c r="T301" s="22">
        <v>300317.0707990182</v>
      </c>
      <c r="U301" s="22">
        <v>306494.75924365298</v>
      </c>
      <c r="V301" s="22">
        <v>313551.5401243876</v>
      </c>
      <c r="W301" s="22">
        <v>333372.13482263085</v>
      </c>
      <c r="X301" s="22">
        <v>348647.80715352198</v>
      </c>
      <c r="Y301" s="22">
        <v>363397.04975492181</v>
      </c>
      <c r="Z301" s="22">
        <v>367729.39804101316</v>
      </c>
      <c r="AA301" s="23">
        <v>357322.40362343291</v>
      </c>
      <c r="AB301" s="97"/>
      <c r="AC301" s="16">
        <v>4</v>
      </c>
      <c r="AD301" s="16">
        <f t="shared" si="89"/>
        <v>28586639.126884062</v>
      </c>
    </row>
    <row r="302" spans="1:30" ht="13.5" thickBot="1" x14ac:dyDescent="0.35">
      <c r="A302" s="18">
        <v>2034</v>
      </c>
      <c r="B302" s="25" t="s">
        <v>37</v>
      </c>
      <c r="C302" s="26" t="s">
        <v>36</v>
      </c>
      <c r="D302" s="21">
        <v>360026.87577609904</v>
      </c>
      <c r="E302" s="22">
        <v>346150.09846886608</v>
      </c>
      <c r="F302" s="22">
        <v>333796.9604491464</v>
      </c>
      <c r="G302" s="22">
        <v>322056.70582894154</v>
      </c>
      <c r="H302" s="22">
        <v>309735.67155258683</v>
      </c>
      <c r="I302" s="22">
        <v>293601.33305410203</v>
      </c>
      <c r="J302" s="22">
        <v>272112.43858047563</v>
      </c>
      <c r="K302" s="22">
        <v>226055.61386211292</v>
      </c>
      <c r="L302" s="22">
        <v>226763.28021112893</v>
      </c>
      <c r="M302" s="22">
        <v>231083.50203501555</v>
      </c>
      <c r="N302" s="22">
        <v>239133.22001494939</v>
      </c>
      <c r="O302" s="22">
        <v>248535.42142754834</v>
      </c>
      <c r="P302" s="22">
        <v>257265.38369993996</v>
      </c>
      <c r="Q302" s="22">
        <v>277176.93986743613</v>
      </c>
      <c r="R302" s="22">
        <v>294601.1390640334</v>
      </c>
      <c r="S302" s="22">
        <v>299024.81363278104</v>
      </c>
      <c r="T302" s="22">
        <v>297421.96729902813</v>
      </c>
      <c r="U302" s="22">
        <v>307168.69770956726</v>
      </c>
      <c r="V302" s="22">
        <v>317082.46761417447</v>
      </c>
      <c r="W302" s="22">
        <v>332083.40689504182</v>
      </c>
      <c r="X302" s="22">
        <v>343675.11186240136</v>
      </c>
      <c r="Y302" s="22">
        <v>358313.2930714761</v>
      </c>
      <c r="Z302" s="22">
        <v>365352.24511352053</v>
      </c>
      <c r="AA302" s="23">
        <v>359129.47010303603</v>
      </c>
      <c r="AB302" s="97"/>
      <c r="AC302" s="16">
        <v>5</v>
      </c>
      <c r="AD302" s="16">
        <f t="shared" si="89"/>
        <v>36086730.285967045</v>
      </c>
    </row>
    <row r="303" spans="1:30" ht="13.5" thickBot="1" x14ac:dyDescent="0.35">
      <c r="A303" s="18">
        <v>2034</v>
      </c>
      <c r="B303" s="11" t="s">
        <v>38</v>
      </c>
      <c r="C303" s="12" t="s">
        <v>33</v>
      </c>
      <c r="D303" s="21">
        <v>343875.89636923227</v>
      </c>
      <c r="E303" s="22">
        <v>330656.66227408336</v>
      </c>
      <c r="F303" s="22">
        <v>318552.83186084259</v>
      </c>
      <c r="G303" s="22">
        <v>308088.4226520285</v>
      </c>
      <c r="H303" s="22">
        <v>297959.93470859231</v>
      </c>
      <c r="I303" s="22">
        <v>281899.5540397513</v>
      </c>
      <c r="J303" s="22">
        <v>266256.42897367611</v>
      </c>
      <c r="K303" s="22">
        <v>220509.64772281525</v>
      </c>
      <c r="L303" s="22">
        <v>215178.34552329659</v>
      </c>
      <c r="M303" s="22">
        <v>213273.97777015838</v>
      </c>
      <c r="N303" s="22">
        <v>217028.66204228095</v>
      </c>
      <c r="O303" s="22">
        <v>226025.55677964599</v>
      </c>
      <c r="P303" s="22">
        <v>232477.93956547385</v>
      </c>
      <c r="Q303" s="22">
        <v>248344.97179295323</v>
      </c>
      <c r="R303" s="22">
        <v>261929.15461809342</v>
      </c>
      <c r="S303" s="22">
        <v>267724.31918579567</v>
      </c>
      <c r="T303" s="22">
        <v>272260.79262851516</v>
      </c>
      <c r="U303" s="22">
        <v>291221.06845970801</v>
      </c>
      <c r="V303" s="22">
        <v>300833.82507903507</v>
      </c>
      <c r="W303" s="22">
        <v>318364.32349907531</v>
      </c>
      <c r="X303" s="22">
        <v>332673.77315099892</v>
      </c>
      <c r="Y303" s="22">
        <v>346325.76381339639</v>
      </c>
      <c r="Z303" s="22">
        <v>350782.44280041731</v>
      </c>
      <c r="AA303" s="23">
        <v>342457.51630230161</v>
      </c>
      <c r="AB303" s="96">
        <f t="shared" ref="AB303" si="103">+SUM(D303:AA303)*AC303+SUM(D304:AA304)*AC304+SUM(D305:AA305)*AC305</f>
        <v>204580055.23882669</v>
      </c>
      <c r="AC303" s="16">
        <v>18</v>
      </c>
      <c r="AD303" s="16">
        <f t="shared" si="89"/>
        <v>122484632.60901901</v>
      </c>
    </row>
    <row r="304" spans="1:30" ht="13.5" thickBot="1" x14ac:dyDescent="0.35">
      <c r="A304" s="18">
        <v>2034</v>
      </c>
      <c r="B304" s="19" t="s">
        <v>38</v>
      </c>
      <c r="C304" s="20" t="s">
        <v>34</v>
      </c>
      <c r="D304" s="21">
        <v>343195.41539399343</v>
      </c>
      <c r="E304" s="22">
        <v>330265.894106591</v>
      </c>
      <c r="F304" s="22">
        <v>318411.87814404233</v>
      </c>
      <c r="G304" s="22">
        <v>308133.893719132</v>
      </c>
      <c r="H304" s="22">
        <v>298021.3194050031</v>
      </c>
      <c r="I304" s="22">
        <v>281958.44863352797</v>
      </c>
      <c r="J304" s="22">
        <v>266144.38949257758</v>
      </c>
      <c r="K304" s="22">
        <v>219910.86412076876</v>
      </c>
      <c r="L304" s="22">
        <v>213126.91304316148</v>
      </c>
      <c r="M304" s="22">
        <v>210342.01470027599</v>
      </c>
      <c r="N304" s="22">
        <v>213792.52358371904</v>
      </c>
      <c r="O304" s="22">
        <v>222844.38194792662</v>
      </c>
      <c r="P304" s="22">
        <v>230223.71268391941</v>
      </c>
      <c r="Q304" s="22">
        <v>246971.61318603941</v>
      </c>
      <c r="R304" s="22">
        <v>259791.97450417248</v>
      </c>
      <c r="S304" s="22">
        <v>265797.01576813526</v>
      </c>
      <c r="T304" s="22">
        <v>270459.46839765552</v>
      </c>
      <c r="U304" s="22">
        <v>289241.43985705898</v>
      </c>
      <c r="V304" s="22">
        <v>299061.19446637697</v>
      </c>
      <c r="W304" s="22">
        <v>317965.8370248283</v>
      </c>
      <c r="X304" s="22">
        <v>333780.94861437834</v>
      </c>
      <c r="Y304" s="22">
        <v>348303.2676277358</v>
      </c>
      <c r="Z304" s="22">
        <v>352067.40895300917</v>
      </c>
      <c r="AA304" s="23">
        <v>342363.15303712862</v>
      </c>
      <c r="AB304" s="97"/>
      <c r="AC304" s="16">
        <v>5</v>
      </c>
      <c r="AD304" s="16">
        <f t="shared" si="89"/>
        <v>33910874.852055788</v>
      </c>
    </row>
    <row r="305" spans="1:30" ht="13.5" thickBot="1" x14ac:dyDescent="0.35">
      <c r="A305" s="18">
        <v>2034</v>
      </c>
      <c r="B305" s="25" t="s">
        <v>38</v>
      </c>
      <c r="C305" s="26" t="s">
        <v>36</v>
      </c>
      <c r="D305" s="21">
        <v>345295.39638785872</v>
      </c>
      <c r="E305" s="22">
        <v>331654.30660564621</v>
      </c>
      <c r="F305" s="22">
        <v>319493.12871408556</v>
      </c>
      <c r="G305" s="22">
        <v>308914.14718145051</v>
      </c>
      <c r="H305" s="22">
        <v>298488.64318410045</v>
      </c>
      <c r="I305" s="22">
        <v>281267.24512206629</v>
      </c>
      <c r="J305" s="22">
        <v>264480.65426884184</v>
      </c>
      <c r="K305" s="22">
        <v>220379.9294738168</v>
      </c>
      <c r="L305" s="22">
        <v>216538.79032164748</v>
      </c>
      <c r="M305" s="22">
        <v>215415.67551964987</v>
      </c>
      <c r="N305" s="22">
        <v>220053.27778937033</v>
      </c>
      <c r="O305" s="22">
        <v>229795.05950427035</v>
      </c>
      <c r="P305" s="22">
        <v>236672.99315569602</v>
      </c>
      <c r="Q305" s="22">
        <v>255981.09620713213</v>
      </c>
      <c r="R305" s="22">
        <v>270083.39363241277</v>
      </c>
      <c r="S305" s="22">
        <v>275426.6129127309</v>
      </c>
      <c r="T305" s="22">
        <v>278939.11569660908</v>
      </c>
      <c r="U305" s="22">
        <v>295009.29441928462</v>
      </c>
      <c r="V305" s="22">
        <v>303515.38258310594</v>
      </c>
      <c r="W305" s="22">
        <v>322412.19077972189</v>
      </c>
      <c r="X305" s="22">
        <v>338631.87158036337</v>
      </c>
      <c r="Y305" s="22">
        <v>352925.67940800963</v>
      </c>
      <c r="Z305" s="22">
        <v>356328.13685128884</v>
      </c>
      <c r="AA305" s="23">
        <v>345804.80409396708</v>
      </c>
      <c r="AB305" s="97"/>
      <c r="AC305" s="16">
        <v>7</v>
      </c>
      <c r="AD305" s="16">
        <f t="shared" si="89"/>
        <v>48184547.7777519</v>
      </c>
    </row>
    <row r="306" spans="1:30" ht="13.5" thickBot="1" x14ac:dyDescent="0.35">
      <c r="A306" s="18">
        <v>2034</v>
      </c>
      <c r="B306" s="11" t="s">
        <v>39</v>
      </c>
      <c r="C306" s="12" t="s">
        <v>33</v>
      </c>
      <c r="D306" s="21">
        <v>353993.49845609011</v>
      </c>
      <c r="E306" s="22">
        <v>340506.25201046898</v>
      </c>
      <c r="F306" s="22">
        <v>328149.48382265645</v>
      </c>
      <c r="G306" s="22">
        <v>317455.68458351819</v>
      </c>
      <c r="H306" s="22">
        <v>307044.59779322619</v>
      </c>
      <c r="I306" s="22">
        <v>290529.42187120143</v>
      </c>
      <c r="J306" s="22">
        <v>274380.32788291789</v>
      </c>
      <c r="K306" s="22">
        <v>228545.26660460318</v>
      </c>
      <c r="L306" s="22">
        <v>222962.24484259365</v>
      </c>
      <c r="M306" s="22">
        <v>220967.33610781934</v>
      </c>
      <c r="N306" s="22">
        <v>224875.57285409447</v>
      </c>
      <c r="O306" s="22">
        <v>234203.66921908146</v>
      </c>
      <c r="P306" s="22">
        <v>241170.47998833391</v>
      </c>
      <c r="Q306" s="22">
        <v>257717.9155555497</v>
      </c>
      <c r="R306" s="22">
        <v>271243.75860273693</v>
      </c>
      <c r="S306" s="22">
        <v>277007.09516856592</v>
      </c>
      <c r="T306" s="22">
        <v>281279.70827639138</v>
      </c>
      <c r="U306" s="22">
        <v>299773.78985850455</v>
      </c>
      <c r="V306" s="22">
        <v>309745.28436464886</v>
      </c>
      <c r="W306" s="22">
        <v>328284.87442703953</v>
      </c>
      <c r="X306" s="22">
        <v>343557.45486138639</v>
      </c>
      <c r="Y306" s="22">
        <v>357922.77305510873</v>
      </c>
      <c r="Z306" s="22">
        <v>362253.59803418739</v>
      </c>
      <c r="AA306" s="23">
        <v>353185.78683672979</v>
      </c>
      <c r="AB306" s="96">
        <f t="shared" ref="AB306" si="104">+SUM(D306:AA306)*AC306+SUM(D307:AA307)*AC307+SUM(D308:AA308)*AC308</f>
        <v>218608198.21113616</v>
      </c>
      <c r="AC306" s="16">
        <v>21</v>
      </c>
      <c r="AD306" s="16">
        <f t="shared" si="89"/>
        <v>147561873.37662649</v>
      </c>
    </row>
    <row r="307" spans="1:30" ht="13.5" thickBot="1" x14ac:dyDescent="0.35">
      <c r="A307" s="18">
        <v>2034</v>
      </c>
      <c r="B307" s="19" t="s">
        <v>39</v>
      </c>
      <c r="C307" s="20" t="s">
        <v>34</v>
      </c>
      <c r="D307" s="21">
        <v>354755.42660976021</v>
      </c>
      <c r="E307" s="22">
        <v>340403.70835923316</v>
      </c>
      <c r="F307" s="22">
        <v>327793.01194762922</v>
      </c>
      <c r="G307" s="22">
        <v>316803.98829231696</v>
      </c>
      <c r="H307" s="22">
        <v>305965.22460141568</v>
      </c>
      <c r="I307" s="22">
        <v>287700.35453816561</v>
      </c>
      <c r="J307" s="22">
        <v>269984.78691212321</v>
      </c>
      <c r="K307" s="22">
        <v>227222.53186624238</v>
      </c>
      <c r="L307" s="22">
        <v>225323.24703233884</v>
      </c>
      <c r="M307" s="22">
        <v>225355.33587867138</v>
      </c>
      <c r="N307" s="22">
        <v>230902.16849779233</v>
      </c>
      <c r="O307" s="22">
        <v>241300.71392449603</v>
      </c>
      <c r="P307" s="22">
        <v>248040.80137141471</v>
      </c>
      <c r="Q307" s="22">
        <v>269157.52734996245</v>
      </c>
      <c r="R307" s="22">
        <v>284170.30041532789</v>
      </c>
      <c r="S307" s="22">
        <v>289032.34569072461</v>
      </c>
      <c r="T307" s="22">
        <v>291608.84324288956</v>
      </c>
      <c r="U307" s="22">
        <v>305738.95957423176</v>
      </c>
      <c r="V307" s="22">
        <v>313699.86509811255</v>
      </c>
      <c r="W307" s="22">
        <v>333022.34282513073</v>
      </c>
      <c r="X307" s="22">
        <v>349838.68972549151</v>
      </c>
      <c r="Y307" s="22">
        <v>364329.30341344164</v>
      </c>
      <c r="Z307" s="22">
        <v>367605.79570533172</v>
      </c>
      <c r="AA307" s="23">
        <v>356382.33191868413</v>
      </c>
      <c r="AB307" s="97"/>
      <c r="AC307" s="16">
        <v>4</v>
      </c>
      <c r="AD307" s="16">
        <f t="shared" si="89"/>
        <v>28504550.419163704</v>
      </c>
    </row>
    <row r="308" spans="1:30" ht="13.5" thickBot="1" x14ac:dyDescent="0.35">
      <c r="A308" s="18">
        <v>2034</v>
      </c>
      <c r="B308" s="25" t="s">
        <v>39</v>
      </c>
      <c r="C308" s="26" t="s">
        <v>36</v>
      </c>
      <c r="D308" s="21">
        <v>355255.92843746947</v>
      </c>
      <c r="E308" s="22">
        <v>341153.71419509104</v>
      </c>
      <c r="F308" s="22">
        <v>328429.47107426898</v>
      </c>
      <c r="G308" s="22">
        <v>317425.27591412893</v>
      </c>
      <c r="H308" s="22">
        <v>306847.28347280424</v>
      </c>
      <c r="I308" s="22">
        <v>289741.84936227533</v>
      </c>
      <c r="J308" s="22">
        <v>273248.66684544767</v>
      </c>
      <c r="K308" s="22">
        <v>228969.31163492179</v>
      </c>
      <c r="L308" s="22">
        <v>226211.38832081179</v>
      </c>
      <c r="M308" s="22">
        <v>225861.96118695778</v>
      </c>
      <c r="N308" s="22">
        <v>230654.92349257777</v>
      </c>
      <c r="O308" s="22">
        <v>240286.05487920778</v>
      </c>
      <c r="P308" s="22">
        <v>246163.88631275727</v>
      </c>
      <c r="Q308" s="22">
        <v>263271.86410530109</v>
      </c>
      <c r="R308" s="22">
        <v>278137.06854480336</v>
      </c>
      <c r="S308" s="22">
        <v>283368.70722402458</v>
      </c>
      <c r="T308" s="22">
        <v>286933.18956188631</v>
      </c>
      <c r="U308" s="22">
        <v>304164.97945961362</v>
      </c>
      <c r="V308" s="22">
        <v>313248.02219819516</v>
      </c>
      <c r="W308" s="22">
        <v>330551.3115024232</v>
      </c>
      <c r="X308" s="22">
        <v>344693.6499051663</v>
      </c>
      <c r="Y308" s="22">
        <v>358154.66020496329</v>
      </c>
      <c r="Z308" s="22">
        <v>362898.93356181466</v>
      </c>
      <c r="AA308" s="23">
        <v>354623.63449408469</v>
      </c>
      <c r="AB308" s="97"/>
      <c r="AC308" s="16">
        <v>6</v>
      </c>
      <c r="AD308" s="16">
        <f t="shared" si="89"/>
        <v>42541774.415345982</v>
      </c>
    </row>
    <row r="309" spans="1:30" ht="13.5" thickBot="1" x14ac:dyDescent="0.35">
      <c r="A309" s="18">
        <v>2034</v>
      </c>
      <c r="B309" s="11" t="s">
        <v>40</v>
      </c>
      <c r="C309" s="12" t="s">
        <v>33</v>
      </c>
      <c r="D309" s="21">
        <v>359638.5803187674</v>
      </c>
      <c r="E309" s="22">
        <v>345950.39104079443</v>
      </c>
      <c r="F309" s="22">
        <v>333433.25927891704</v>
      </c>
      <c r="G309" s="22">
        <v>322591.98834019911</v>
      </c>
      <c r="H309" s="22">
        <v>312002.68569910934</v>
      </c>
      <c r="I309" s="22">
        <v>295147.68178037117</v>
      </c>
      <c r="J309" s="22">
        <v>278645.10493121512</v>
      </c>
      <c r="K309" s="22">
        <v>232698.27630580048</v>
      </c>
      <c r="L309" s="22">
        <v>227036.13260376261</v>
      </c>
      <c r="M309" s="22">
        <v>225008.1276184122</v>
      </c>
      <c r="N309" s="22">
        <v>229031.04513603068</v>
      </c>
      <c r="O309" s="22">
        <v>238572.87419854678</v>
      </c>
      <c r="P309" s="22">
        <v>245788.76534289806</v>
      </c>
      <c r="Q309" s="22">
        <v>262948.77990267589</v>
      </c>
      <c r="R309" s="22">
        <v>276602.59735964832</v>
      </c>
      <c r="S309" s="22">
        <v>282402.48843429505</v>
      </c>
      <c r="T309" s="22">
        <v>286609.87227212859</v>
      </c>
      <c r="U309" s="22">
        <v>304860.06938781199</v>
      </c>
      <c r="V309" s="22">
        <v>314920.98786616779</v>
      </c>
      <c r="W309" s="22">
        <v>334014.21672124654</v>
      </c>
      <c r="X309" s="22">
        <v>349849.57505554904</v>
      </c>
      <c r="Y309" s="22">
        <v>364587.69238382496</v>
      </c>
      <c r="Z309" s="22">
        <v>368817.24804095313</v>
      </c>
      <c r="AA309" s="23">
        <v>359273.19697107177</v>
      </c>
      <c r="AB309" s="96">
        <f t="shared" ref="AB309" si="105">+SUM(D309:AA309)*AC309+SUM(D310:AA310)*AC310+SUM(D311:AA311)*AC311</f>
        <v>215459752.95505041</v>
      </c>
      <c r="AC309" s="16">
        <v>20</v>
      </c>
      <c r="AD309" s="16">
        <f t="shared" si="89"/>
        <v>143008632.73980394</v>
      </c>
    </row>
    <row r="310" spans="1:30" ht="13.5" thickBot="1" x14ac:dyDescent="0.35">
      <c r="A310" s="18">
        <v>2034</v>
      </c>
      <c r="B310" s="19" t="s">
        <v>40</v>
      </c>
      <c r="C310" s="20" t="s">
        <v>34</v>
      </c>
      <c r="D310" s="21">
        <v>361240.64309561881</v>
      </c>
      <c r="E310" s="22">
        <v>346639.54914305039</v>
      </c>
      <c r="F310" s="22">
        <v>333809.72905468667</v>
      </c>
      <c r="G310" s="22">
        <v>322629.7599361933</v>
      </c>
      <c r="H310" s="22">
        <v>311602.66170182487</v>
      </c>
      <c r="I310" s="22">
        <v>293020.42094363726</v>
      </c>
      <c r="J310" s="22">
        <v>274997.0273112107</v>
      </c>
      <c r="K310" s="22">
        <v>232107.52809188608</v>
      </c>
      <c r="L310" s="22">
        <v>230271.72705740994</v>
      </c>
      <c r="M310" s="22">
        <v>230367.84115140981</v>
      </c>
      <c r="N310" s="22">
        <v>236046.13555958527</v>
      </c>
      <c r="O310" s="22">
        <v>246637.49511740325</v>
      </c>
      <c r="P310" s="22">
        <v>253491.49986071739</v>
      </c>
      <c r="Q310" s="22">
        <v>274956.94961266266</v>
      </c>
      <c r="R310" s="22">
        <v>290196.71122271032</v>
      </c>
      <c r="S310" s="22">
        <v>295083.80065207963</v>
      </c>
      <c r="T310" s="22">
        <v>297609.88768207387</v>
      </c>
      <c r="U310" s="22">
        <v>311640.73551834584</v>
      </c>
      <c r="V310" s="22">
        <v>319739.96987291065</v>
      </c>
      <c r="W310" s="22">
        <v>339398.19530373963</v>
      </c>
      <c r="X310" s="22">
        <v>356506.74333575933</v>
      </c>
      <c r="Y310" s="22">
        <v>371249.14617524977</v>
      </c>
      <c r="Z310" s="22">
        <v>374582.5708533015</v>
      </c>
      <c r="AA310" s="23">
        <v>363164.08796773653</v>
      </c>
      <c r="AB310" s="97"/>
      <c r="AC310" s="16">
        <v>4</v>
      </c>
      <c r="AD310" s="16">
        <f t="shared" si="89"/>
        <v>29067963.264884811</v>
      </c>
    </row>
    <row r="311" spans="1:30" ht="13.5" thickBot="1" x14ac:dyDescent="0.35">
      <c r="A311" s="18">
        <v>2034</v>
      </c>
      <c r="B311" s="25" t="s">
        <v>40</v>
      </c>
      <c r="C311" s="26" t="s">
        <v>36</v>
      </c>
      <c r="D311" s="21">
        <v>361749.84165165568</v>
      </c>
      <c r="E311" s="22">
        <v>347402.58709315321</v>
      </c>
      <c r="F311" s="22">
        <v>334457.24730600789</v>
      </c>
      <c r="G311" s="22">
        <v>323261.84306235908</v>
      </c>
      <c r="H311" s="22">
        <v>312500.04724326468</v>
      </c>
      <c r="I311" s="22">
        <v>295097.38881676371</v>
      </c>
      <c r="J311" s="22">
        <v>278317.62047813862</v>
      </c>
      <c r="K311" s="22">
        <v>233884.65993573322</v>
      </c>
      <c r="L311" s="22">
        <v>231175.3007041176</v>
      </c>
      <c r="M311" s="22">
        <v>230883.26958972713</v>
      </c>
      <c r="N311" s="22">
        <v>235794.59442092697</v>
      </c>
      <c r="O311" s="22">
        <v>245605.20533917189</v>
      </c>
      <c r="P311" s="22">
        <v>251581.97149386557</v>
      </c>
      <c r="Q311" s="22">
        <v>268969.01698269183</v>
      </c>
      <c r="R311" s="22">
        <v>284058.64581190667</v>
      </c>
      <c r="S311" s="22">
        <v>289321.7507064133</v>
      </c>
      <c r="T311" s="22">
        <v>292852.98976265622</v>
      </c>
      <c r="U311" s="22">
        <v>310039.40589830745</v>
      </c>
      <c r="V311" s="22">
        <v>319280.27574302815</v>
      </c>
      <c r="W311" s="22">
        <v>336884.22729846154</v>
      </c>
      <c r="X311" s="22">
        <v>351272.30321542639</v>
      </c>
      <c r="Y311" s="22">
        <v>364967.21226066287</v>
      </c>
      <c r="Z311" s="22">
        <v>369793.92219259101</v>
      </c>
      <c r="AA311" s="23">
        <v>361374.83138657617</v>
      </c>
      <c r="AB311" s="97"/>
      <c r="AC311" s="16">
        <v>6</v>
      </c>
      <c r="AD311" s="16">
        <f t="shared" si="89"/>
        <v>43383156.950361654</v>
      </c>
    </row>
    <row r="312" spans="1:30" ht="13.5" thickBot="1" x14ac:dyDescent="0.35">
      <c r="A312" s="18">
        <v>2034</v>
      </c>
      <c r="B312" s="11" t="s">
        <v>41</v>
      </c>
      <c r="C312" s="12" t="s">
        <v>33</v>
      </c>
      <c r="D312" s="21">
        <v>348688.1930689537</v>
      </c>
      <c r="E312" s="22">
        <v>335255.2862778618</v>
      </c>
      <c r="F312" s="22">
        <v>322982.83426093822</v>
      </c>
      <c r="G312" s="22">
        <v>312368.31851273694</v>
      </c>
      <c r="H312" s="22">
        <v>302084.64719998074</v>
      </c>
      <c r="I312" s="22">
        <v>285723.379383035</v>
      </c>
      <c r="J312" s="22">
        <v>269791.41378207912</v>
      </c>
      <c r="K312" s="22">
        <v>224215.98868359649</v>
      </c>
      <c r="L312" s="22">
        <v>219168.37969204932</v>
      </c>
      <c r="M312" s="22">
        <v>217452.91514421397</v>
      </c>
      <c r="N312" s="22">
        <v>221404.77144733159</v>
      </c>
      <c r="O312" s="22">
        <v>230599.68740698099</v>
      </c>
      <c r="P312" s="22">
        <v>237134.62116779783</v>
      </c>
      <c r="Q312" s="22">
        <v>253421.39709434044</v>
      </c>
      <c r="R312" s="22">
        <v>267180.83462190721</v>
      </c>
      <c r="S312" s="22">
        <v>272892.57676861918</v>
      </c>
      <c r="T312" s="22">
        <v>277216.55913242901</v>
      </c>
      <c r="U312" s="22">
        <v>295784.64124826266</v>
      </c>
      <c r="V312" s="22">
        <v>305425.71732218965</v>
      </c>
      <c r="W312" s="22">
        <v>323249.93064076448</v>
      </c>
      <c r="X312" s="22">
        <v>337851.3184847213</v>
      </c>
      <c r="Y312" s="22">
        <v>351704.19416713942</v>
      </c>
      <c r="Z312" s="22">
        <v>356154.88933509041</v>
      </c>
      <c r="AA312" s="23">
        <v>347588.07512045669</v>
      </c>
      <c r="AB312" s="96">
        <f t="shared" ref="AB312" si="106">+SUM(D312:AA312)*AC312+SUM(D313:AA313)*AC313+SUM(D314:AA314)*AC314</f>
        <v>215658197.14797112</v>
      </c>
      <c r="AC312" s="16">
        <v>19</v>
      </c>
      <c r="AD312" s="16">
        <f t="shared" si="89"/>
        <v>131391470.82930604</v>
      </c>
    </row>
    <row r="313" spans="1:30" ht="13.5" thickBot="1" x14ac:dyDescent="0.35">
      <c r="A313" s="18">
        <v>2034</v>
      </c>
      <c r="B313" s="19" t="s">
        <v>41</v>
      </c>
      <c r="C313" s="20" t="s">
        <v>34</v>
      </c>
      <c r="D313" s="21">
        <v>349570.49239613145</v>
      </c>
      <c r="E313" s="22">
        <v>335418.15015909314</v>
      </c>
      <c r="F313" s="22">
        <v>322982.64324981748</v>
      </c>
      <c r="G313" s="22">
        <v>312146.28059929126</v>
      </c>
      <c r="H313" s="22">
        <v>301458.0904814016</v>
      </c>
      <c r="I313" s="22">
        <v>283446.95846655359</v>
      </c>
      <c r="J313" s="22">
        <v>265977.49790506694</v>
      </c>
      <c r="K313" s="22">
        <v>223096.19485704182</v>
      </c>
      <c r="L313" s="22">
        <v>220983.32112300018</v>
      </c>
      <c r="M313" s="22">
        <v>220857.11099437781</v>
      </c>
      <c r="N313" s="22">
        <v>226239.63745012134</v>
      </c>
      <c r="O313" s="22">
        <v>236463.55874311511</v>
      </c>
      <c r="P313" s="22">
        <v>243117.96730544046</v>
      </c>
      <c r="Q313" s="22">
        <v>263986.60491108999</v>
      </c>
      <c r="R313" s="22">
        <v>278875.06713874853</v>
      </c>
      <c r="S313" s="22">
        <v>283817.40110443835</v>
      </c>
      <c r="T313" s="22">
        <v>286594.83137337404</v>
      </c>
      <c r="U313" s="22">
        <v>301020.48640058632</v>
      </c>
      <c r="V313" s="22">
        <v>308870.79794683977</v>
      </c>
      <c r="W313" s="22">
        <v>327924.84519656643</v>
      </c>
      <c r="X313" s="22">
        <v>344507.57712846756</v>
      </c>
      <c r="Y313" s="22">
        <v>358796.88524870266</v>
      </c>
      <c r="Z313" s="22">
        <v>362027.86006596126</v>
      </c>
      <c r="AA313" s="23">
        <v>350960.31415815296</v>
      </c>
      <c r="AB313" s="97"/>
      <c r="AC313" s="16">
        <v>5</v>
      </c>
      <c r="AD313" s="16">
        <f t="shared" si="89"/>
        <v>35045702.872016899</v>
      </c>
    </row>
    <row r="314" spans="1:30" ht="13.5" thickBot="1" x14ac:dyDescent="0.35">
      <c r="A314" s="18">
        <v>2034</v>
      </c>
      <c r="B314" s="25" t="s">
        <v>41</v>
      </c>
      <c r="C314" s="26" t="s">
        <v>36</v>
      </c>
      <c r="D314" s="21">
        <v>351469.38916362583</v>
      </c>
      <c r="E314" s="22">
        <v>337357.60714707209</v>
      </c>
      <c r="F314" s="22">
        <v>324817.10003060027</v>
      </c>
      <c r="G314" s="22">
        <v>313924.64390575036</v>
      </c>
      <c r="H314" s="22">
        <v>303297.65792378178</v>
      </c>
      <c r="I314" s="22">
        <v>285693.94795028528</v>
      </c>
      <c r="J314" s="22">
        <v>268660.99626907246</v>
      </c>
      <c r="K314" s="22">
        <v>225152.42449960858</v>
      </c>
      <c r="L314" s="22">
        <v>222727.85111905137</v>
      </c>
      <c r="M314" s="22">
        <v>222479.86225897475</v>
      </c>
      <c r="N314" s="22">
        <v>227590.59556527311</v>
      </c>
      <c r="O314" s="22">
        <v>237544.71883279929</v>
      </c>
      <c r="P314" s="22">
        <v>243863.21374648748</v>
      </c>
      <c r="Q314" s="22">
        <v>263121.87948164914</v>
      </c>
      <c r="R314" s="22">
        <v>277994.86864403053</v>
      </c>
      <c r="S314" s="22">
        <v>283078.56463428854</v>
      </c>
      <c r="T314" s="22">
        <v>286226.22922384046</v>
      </c>
      <c r="U314" s="22">
        <v>301890.86621242511</v>
      </c>
      <c r="V314" s="22">
        <v>310251.40426763013</v>
      </c>
      <c r="W314" s="22">
        <v>328539.46438033163</v>
      </c>
      <c r="X314" s="22">
        <v>344068.14035204746</v>
      </c>
      <c r="Y314" s="22">
        <v>357987.83243090927</v>
      </c>
      <c r="Z314" s="22">
        <v>361853.93056849885</v>
      </c>
      <c r="AA314" s="23">
        <v>351981.58948456345</v>
      </c>
      <c r="AB314" s="97"/>
      <c r="AC314" s="16">
        <v>7</v>
      </c>
      <c r="AD314" s="16">
        <f t="shared" si="89"/>
        <v>49221023.44664818</v>
      </c>
    </row>
    <row r="315" spans="1:30" ht="13.5" thickBot="1" x14ac:dyDescent="0.35">
      <c r="A315" s="18">
        <v>2034</v>
      </c>
      <c r="B315" s="11" t="s">
        <v>42</v>
      </c>
      <c r="C315" s="12" t="s">
        <v>33</v>
      </c>
      <c r="D315" s="21">
        <v>361093.26867917523</v>
      </c>
      <c r="E315" s="22">
        <v>347306.85704164719</v>
      </c>
      <c r="F315" s="22">
        <v>334727.43735314114</v>
      </c>
      <c r="G315" s="22">
        <v>323828.70275695942</v>
      </c>
      <c r="H315" s="22">
        <v>313177.97023991484</v>
      </c>
      <c r="I315" s="22">
        <v>296170.97056355333</v>
      </c>
      <c r="J315" s="22">
        <v>279528.88363163179</v>
      </c>
      <c r="K315" s="22">
        <v>233806.13317781364</v>
      </c>
      <c r="L315" s="22">
        <v>228421.87791181874</v>
      </c>
      <c r="M315" s="22">
        <v>226561.96717541706</v>
      </c>
      <c r="N315" s="22">
        <v>230721.40469103673</v>
      </c>
      <c r="O315" s="22">
        <v>240364.75957534355</v>
      </c>
      <c r="P315" s="22">
        <v>247582.74511031611</v>
      </c>
      <c r="Q315" s="22">
        <v>265012.18132380606</v>
      </c>
      <c r="R315" s="22">
        <v>278767.51666759967</v>
      </c>
      <c r="S315" s="22">
        <v>284482.03704954818</v>
      </c>
      <c r="T315" s="22">
        <v>288523.1766176126</v>
      </c>
      <c r="U315" s="22">
        <v>306447.69951918657</v>
      </c>
      <c r="V315" s="22">
        <v>316441.30255257175</v>
      </c>
      <c r="W315" s="22">
        <v>335630.66770606831</v>
      </c>
      <c r="X315" s="22">
        <v>351587.40629630268</v>
      </c>
      <c r="Y315" s="22">
        <v>366377.36662679724</v>
      </c>
      <c r="Z315" s="22">
        <v>370576.4198828371</v>
      </c>
      <c r="AA315" s="23">
        <v>360901.84442824463</v>
      </c>
      <c r="AB315" s="96">
        <f t="shared" ref="AB315" si="107">+SUM(D315:AA315)*AC315+SUM(D316:AA316)*AC316+SUM(D317:AA317)*AC317</f>
        <v>223271522.43903303</v>
      </c>
      <c r="AC315" s="16">
        <v>21</v>
      </c>
      <c r="AD315" s="16">
        <f t="shared" si="89"/>
        <v>150948852.52814522</v>
      </c>
    </row>
    <row r="316" spans="1:30" ht="13.5" thickBot="1" x14ac:dyDescent="0.35">
      <c r="A316" s="18">
        <v>2034</v>
      </c>
      <c r="B316" s="19" t="s">
        <v>42</v>
      </c>
      <c r="C316" s="20" t="s">
        <v>34</v>
      </c>
      <c r="D316" s="21">
        <v>360446.71912166307</v>
      </c>
      <c r="E316" s="22">
        <v>346511.85055373341</v>
      </c>
      <c r="F316" s="22">
        <v>333946.88988765399</v>
      </c>
      <c r="G316" s="22">
        <v>323031.31306628557</v>
      </c>
      <c r="H316" s="22">
        <v>312281.16434029047</v>
      </c>
      <c r="I316" s="22">
        <v>294801.7006789819</v>
      </c>
      <c r="J316" s="22">
        <v>277695.59621487645</v>
      </c>
      <c r="K316" s="22">
        <v>232729.50654422023</v>
      </c>
      <c r="L316" s="22">
        <v>228013.83592738607</v>
      </c>
      <c r="M316" s="22">
        <v>226496.22831251615</v>
      </c>
      <c r="N316" s="22">
        <v>231031.50576352948</v>
      </c>
      <c r="O316" s="22">
        <v>240976.06595321005</v>
      </c>
      <c r="P316" s="22">
        <v>248356.16060212813</v>
      </c>
      <c r="Q316" s="22">
        <v>267298.98561604001</v>
      </c>
      <c r="R316" s="22">
        <v>281267.63521261245</v>
      </c>
      <c r="S316" s="22">
        <v>286781.9500521383</v>
      </c>
      <c r="T316" s="22">
        <v>290384.82930873462</v>
      </c>
      <c r="U316" s="22">
        <v>307031.61116319534</v>
      </c>
      <c r="V316" s="22">
        <v>316482.8760694465</v>
      </c>
      <c r="W316" s="22">
        <v>336217.45345452661</v>
      </c>
      <c r="X316" s="22">
        <v>352977.88151935191</v>
      </c>
      <c r="Y316" s="22">
        <v>368001.90115208243</v>
      </c>
      <c r="Z316" s="22">
        <v>371711.41509315267</v>
      </c>
      <c r="AA316" s="23">
        <v>361078.58038432722</v>
      </c>
      <c r="AB316" s="97"/>
      <c r="AC316" s="16">
        <v>4</v>
      </c>
      <c r="AD316" s="16">
        <f t="shared" si="89"/>
        <v>28782214.623968329</v>
      </c>
    </row>
    <row r="317" spans="1:30" ht="13.5" thickBot="1" x14ac:dyDescent="0.35">
      <c r="A317" s="18">
        <v>2034</v>
      </c>
      <c r="B317" s="25" t="s">
        <v>42</v>
      </c>
      <c r="C317" s="26" t="s">
        <v>36</v>
      </c>
      <c r="D317" s="21">
        <v>362878.17048043455</v>
      </c>
      <c r="E317" s="22">
        <v>348488.33973654482</v>
      </c>
      <c r="F317" s="22">
        <v>335504.58401522692</v>
      </c>
      <c r="G317" s="22">
        <v>324275.95685742254</v>
      </c>
      <c r="H317" s="22">
        <v>313482.22487855452</v>
      </c>
      <c r="I317" s="22">
        <v>296027.92320502148</v>
      </c>
      <c r="J317" s="22">
        <v>279198.36007641564</v>
      </c>
      <c r="K317" s="22">
        <v>234831.91555128261</v>
      </c>
      <c r="L317" s="22">
        <v>232199.7368357449</v>
      </c>
      <c r="M317" s="22">
        <v>231962.89665282168</v>
      </c>
      <c r="N317" s="22">
        <v>236919.78028063814</v>
      </c>
      <c r="O317" s="22">
        <v>246770.21740558848</v>
      </c>
      <c r="P317" s="22">
        <v>252761.89477785889</v>
      </c>
      <c r="Q317" s="22">
        <v>270184.46138653689</v>
      </c>
      <c r="R317" s="22">
        <v>285288.95067116182</v>
      </c>
      <c r="S317" s="22">
        <v>290515.17499936343</v>
      </c>
      <c r="T317" s="22">
        <v>293972.82604275859</v>
      </c>
      <c r="U317" s="22">
        <v>311060.09781159624</v>
      </c>
      <c r="V317" s="22">
        <v>320328.39039326255</v>
      </c>
      <c r="W317" s="22">
        <v>337984.58254301426</v>
      </c>
      <c r="X317" s="22">
        <v>352415.35578476032</v>
      </c>
      <c r="Y317" s="22">
        <v>366150.90514790529</v>
      </c>
      <c r="Z317" s="22">
        <v>370991.93857956887</v>
      </c>
      <c r="AA317" s="23">
        <v>362547.86370642902</v>
      </c>
      <c r="AB317" s="97"/>
      <c r="AC317" s="16">
        <v>6</v>
      </c>
      <c r="AD317" s="16">
        <f t="shared" si="89"/>
        <v>43540455.286919475</v>
      </c>
    </row>
    <row r="318" spans="1:30" ht="13.5" thickBot="1" x14ac:dyDescent="0.35">
      <c r="A318" s="18">
        <v>2034</v>
      </c>
      <c r="B318" s="11" t="s">
        <v>43</v>
      </c>
      <c r="C318" s="12" t="s">
        <v>33</v>
      </c>
      <c r="D318" s="21">
        <v>361810.37320447905</v>
      </c>
      <c r="E318" s="22">
        <v>347830.25114194583</v>
      </c>
      <c r="F318" s="22">
        <v>335106.55171443906</v>
      </c>
      <c r="G318" s="22">
        <v>324093.71113175183</v>
      </c>
      <c r="H318" s="22">
        <v>313405.05032715731</v>
      </c>
      <c r="I318" s="22">
        <v>296300.16511621105</v>
      </c>
      <c r="J318" s="22">
        <v>279650.50841665006</v>
      </c>
      <c r="K318" s="22">
        <v>234121.72215496277</v>
      </c>
      <c r="L318" s="22">
        <v>229482.76228801743</v>
      </c>
      <c r="M318" s="22">
        <v>228059.62229423909</v>
      </c>
      <c r="N318" s="22">
        <v>232401.91808783516</v>
      </c>
      <c r="O318" s="22">
        <v>242062.85931989396</v>
      </c>
      <c r="P318" s="22">
        <v>248833.77996121001</v>
      </c>
      <c r="Q318" s="22">
        <v>266095.72397958155</v>
      </c>
      <c r="R318" s="22">
        <v>280347.23816427222</v>
      </c>
      <c r="S318" s="22">
        <v>286000.41608611488</v>
      </c>
      <c r="T318" s="22">
        <v>290027.89246032457</v>
      </c>
      <c r="U318" s="22">
        <v>308002.76111041405</v>
      </c>
      <c r="V318" s="22">
        <v>317810.0861871168</v>
      </c>
      <c r="W318" s="22">
        <v>336391.67444208381</v>
      </c>
      <c r="X318" s="22">
        <v>351710.41020402231</v>
      </c>
      <c r="Y318" s="22">
        <v>366100.23841224785</v>
      </c>
      <c r="Z318" s="22">
        <v>370587.07489909814</v>
      </c>
      <c r="AA318" s="23">
        <v>361466.26968809252</v>
      </c>
      <c r="AB318" s="96">
        <f t="shared" ref="AB318" si="108">+SUM(D318:AA318)*AC318+SUM(D319:AA319)*AC319+SUM(D320:AA320)*AC320</f>
        <v>217004487.63179594</v>
      </c>
      <c r="AC318" s="16">
        <v>21</v>
      </c>
      <c r="AD318" s="16">
        <f t="shared" si="89"/>
        <v>151361680.27663538</v>
      </c>
    </row>
    <row r="319" spans="1:30" ht="13.5" thickBot="1" x14ac:dyDescent="0.35">
      <c r="A319" s="18">
        <v>2034</v>
      </c>
      <c r="B319" s="19" t="s">
        <v>43</v>
      </c>
      <c r="C319" s="20" t="s">
        <v>34</v>
      </c>
      <c r="D319" s="21">
        <v>361822.19447965111</v>
      </c>
      <c r="E319" s="22">
        <v>347198.73816107929</v>
      </c>
      <c r="F319" s="22">
        <v>334349.26850854588</v>
      </c>
      <c r="G319" s="22">
        <v>323152.17666197853</v>
      </c>
      <c r="H319" s="22">
        <v>312108.1898295728</v>
      </c>
      <c r="I319" s="22">
        <v>293497.4893634796</v>
      </c>
      <c r="J319" s="22">
        <v>275446.49192778079</v>
      </c>
      <c r="K319" s="22">
        <v>232436.28289048484</v>
      </c>
      <c r="L319" s="22">
        <v>230525.56216171948</v>
      </c>
      <c r="M319" s="22">
        <v>230574.39129078225</v>
      </c>
      <c r="N319" s="22">
        <v>236235.16554673808</v>
      </c>
      <c r="O319" s="22">
        <v>246833.68194134245</v>
      </c>
      <c r="P319" s="22">
        <v>253700.5744017559</v>
      </c>
      <c r="Q319" s="22">
        <v>275212.50192083616</v>
      </c>
      <c r="R319" s="22">
        <v>290500.91931767936</v>
      </c>
      <c r="S319" s="22">
        <v>295439.91482702788</v>
      </c>
      <c r="T319" s="22">
        <v>298041.00271766889</v>
      </c>
      <c r="U319" s="22">
        <v>312169.96780782001</v>
      </c>
      <c r="V319" s="22">
        <v>320281.60657835333</v>
      </c>
      <c r="W319" s="22">
        <v>339969.93964587618</v>
      </c>
      <c r="X319" s="22">
        <v>357104.69034559408</v>
      </c>
      <c r="Y319" s="22">
        <v>371869.67197329958</v>
      </c>
      <c r="Z319" s="22">
        <v>375208.20197174273</v>
      </c>
      <c r="AA319" s="23">
        <v>363772.23106135486</v>
      </c>
      <c r="AB319" s="97"/>
      <c r="AC319" s="16">
        <v>5</v>
      </c>
      <c r="AD319" s="16">
        <f t="shared" si="89"/>
        <v>36387254.276660822</v>
      </c>
    </row>
    <row r="320" spans="1:30" ht="13.5" thickBot="1" x14ac:dyDescent="0.35">
      <c r="A320" s="18">
        <v>2034</v>
      </c>
      <c r="B320" s="25" t="s">
        <v>43</v>
      </c>
      <c r="C320" s="26" t="s">
        <v>36</v>
      </c>
      <c r="D320" s="21">
        <v>363458.19710667257</v>
      </c>
      <c r="E320" s="22">
        <v>348771.83166169841</v>
      </c>
      <c r="F320" s="22">
        <v>335867.08445419004</v>
      </c>
      <c r="G320" s="22">
        <v>324621.82347093103</v>
      </c>
      <c r="H320" s="22">
        <v>313530.3261493161</v>
      </c>
      <c r="I320" s="22">
        <v>294839.56370043638</v>
      </c>
      <c r="J320" s="22">
        <v>276710.9120867764</v>
      </c>
      <c r="K320" s="22">
        <v>233714.16491860876</v>
      </c>
      <c r="L320" s="22">
        <v>231853.06223540369</v>
      </c>
      <c r="M320" s="22">
        <v>231940.14673933663</v>
      </c>
      <c r="N320" s="22">
        <v>237646.30171985898</v>
      </c>
      <c r="O320" s="22">
        <v>248297.68277289165</v>
      </c>
      <c r="P320" s="22">
        <v>255192.19877451929</v>
      </c>
      <c r="Q320" s="22">
        <v>276785.75878847821</v>
      </c>
      <c r="R320" s="22">
        <v>292119.64056881686</v>
      </c>
      <c r="S320" s="22">
        <v>297044.25305571436</v>
      </c>
      <c r="T320" s="22">
        <v>299599.4756982791</v>
      </c>
      <c r="U320" s="22">
        <v>313658.78795279382</v>
      </c>
      <c r="V320" s="22">
        <v>321805.3224482247</v>
      </c>
      <c r="W320" s="22">
        <v>341578.35340156977</v>
      </c>
      <c r="X320" s="22">
        <v>358786.81664736138</v>
      </c>
      <c r="Y320" s="22">
        <v>373615.31623383879</v>
      </c>
      <c r="Z320" s="22">
        <v>376968.20836398966</v>
      </c>
      <c r="AA320" s="23">
        <v>365483.04067522992</v>
      </c>
      <c r="AB320" s="97"/>
      <c r="AC320" s="16">
        <v>4</v>
      </c>
      <c r="AD320" s="16">
        <f t="shared" si="89"/>
        <v>29255553.078499746</v>
      </c>
    </row>
    <row r="321" spans="1:30" ht="13.5" thickBot="1" x14ac:dyDescent="0.35">
      <c r="A321" s="18">
        <v>2034</v>
      </c>
      <c r="B321" s="11" t="s">
        <v>44</v>
      </c>
      <c r="C321" s="12" t="s">
        <v>33</v>
      </c>
      <c r="D321" s="21">
        <v>351205.6629888051</v>
      </c>
      <c r="E321" s="22">
        <v>337852.86694940686</v>
      </c>
      <c r="F321" s="22">
        <v>325573.28637175163</v>
      </c>
      <c r="G321" s="22">
        <v>314957.78580835229</v>
      </c>
      <c r="H321" s="22">
        <v>304661.71316923358</v>
      </c>
      <c r="I321" s="22">
        <v>288429.84366152762</v>
      </c>
      <c r="J321" s="22">
        <v>272571.38291100756</v>
      </c>
      <c r="K321" s="22">
        <v>226339.18199288414</v>
      </c>
      <c r="L321" s="22">
        <v>220450.38663163857</v>
      </c>
      <c r="M321" s="22">
        <v>218265.43893902641</v>
      </c>
      <c r="N321" s="22">
        <v>221955.10913536424</v>
      </c>
      <c r="O321" s="22">
        <v>231076.42444661699</v>
      </c>
      <c r="P321" s="22">
        <v>237872.51912516815</v>
      </c>
      <c r="Q321" s="22">
        <v>253790.10426150629</v>
      </c>
      <c r="R321" s="22">
        <v>267286.33754655049</v>
      </c>
      <c r="S321" s="22">
        <v>273205.39840781118</v>
      </c>
      <c r="T321" s="22">
        <v>277820.94629750622</v>
      </c>
      <c r="U321" s="22">
        <v>297016.86461323284</v>
      </c>
      <c r="V321" s="22">
        <v>307061.06167588994</v>
      </c>
      <c r="W321" s="22">
        <v>325172.39820340247</v>
      </c>
      <c r="X321" s="22">
        <v>339952.22099528089</v>
      </c>
      <c r="Y321" s="22">
        <v>354059.76553336595</v>
      </c>
      <c r="Z321" s="22">
        <v>358562.06312230357</v>
      </c>
      <c r="AA321" s="23">
        <v>349975.07267126505</v>
      </c>
      <c r="AB321" s="96">
        <f t="shared" ref="AB321" si="109">+SUM(D321:AA321)*AC321+SUM(D322:AA322)*AC322+SUM(D323:AA323)*AC323</f>
        <v>216830573.1811094</v>
      </c>
      <c r="AC321" s="16">
        <v>21</v>
      </c>
      <c r="AD321" s="16">
        <f t="shared" si="89"/>
        <v>146057390.54463688</v>
      </c>
    </row>
    <row r="322" spans="1:30" ht="13.5" thickBot="1" x14ac:dyDescent="0.35">
      <c r="A322" s="18">
        <v>2034</v>
      </c>
      <c r="B322" s="19" t="s">
        <v>44</v>
      </c>
      <c r="C322" s="20" t="s">
        <v>34</v>
      </c>
      <c r="D322" s="21">
        <v>353220.21550497605</v>
      </c>
      <c r="E322" s="22">
        <v>338927.53064953646</v>
      </c>
      <c r="F322" s="22">
        <v>326368.70623058174</v>
      </c>
      <c r="G322" s="22">
        <v>315424.88408799056</v>
      </c>
      <c r="H322" s="22">
        <v>304630.7038405526</v>
      </c>
      <c r="I322" s="22">
        <v>286440.96326854842</v>
      </c>
      <c r="J322" s="22">
        <v>268798.26566995552</v>
      </c>
      <c r="K322" s="22">
        <v>225826.08018686046</v>
      </c>
      <c r="L322" s="22">
        <v>223734.71940046645</v>
      </c>
      <c r="M322" s="22">
        <v>223635.19113471761</v>
      </c>
      <c r="N322" s="22">
        <v>229086.53316505227</v>
      </c>
      <c r="O322" s="22">
        <v>239417.17878347007</v>
      </c>
      <c r="P322" s="22">
        <v>246136.1684587987</v>
      </c>
      <c r="Q322" s="22">
        <v>267203.74070439272</v>
      </c>
      <c r="R322" s="22">
        <v>282224.93683546787</v>
      </c>
      <c r="S322" s="22">
        <v>287190.1215194593</v>
      </c>
      <c r="T322" s="22">
        <v>289953.20376394567</v>
      </c>
      <c r="U322" s="22">
        <v>304341.86327264982</v>
      </c>
      <c r="V322" s="22">
        <v>312270.02294179454</v>
      </c>
      <c r="W322" s="22">
        <v>331513.02088515076</v>
      </c>
      <c r="X322" s="22">
        <v>348260.19655227195</v>
      </c>
      <c r="Y322" s="22">
        <v>362691.20552195999</v>
      </c>
      <c r="Z322" s="22">
        <v>365954.2205102552</v>
      </c>
      <c r="AA322" s="23">
        <v>354776.92256663798</v>
      </c>
      <c r="AB322" s="97"/>
      <c r="AC322" s="16">
        <v>4</v>
      </c>
      <c r="AD322" s="16">
        <f t="shared" si="89"/>
        <v>28352106.381821975</v>
      </c>
    </row>
    <row r="323" spans="1:30" ht="13.5" thickBot="1" x14ac:dyDescent="0.35">
      <c r="A323" s="18">
        <v>2034</v>
      </c>
      <c r="B323" s="25" t="s">
        <v>44</v>
      </c>
      <c r="C323" s="26" t="s">
        <v>36</v>
      </c>
      <c r="D323" s="21">
        <v>353469.43705350935</v>
      </c>
      <c r="E323" s="22">
        <v>339300.99105561938</v>
      </c>
      <c r="F323" s="22">
        <v>326685.62680976384</v>
      </c>
      <c r="G323" s="22">
        <v>315734.25011748384</v>
      </c>
      <c r="H323" s="22">
        <v>305069.91917535191</v>
      </c>
      <c r="I323" s="22">
        <v>287457.5120066739</v>
      </c>
      <c r="J323" s="22">
        <v>270423.4929242353</v>
      </c>
      <c r="K323" s="22">
        <v>226695.87752784006</v>
      </c>
      <c r="L323" s="22">
        <v>224176.96343430481</v>
      </c>
      <c r="M323" s="22">
        <v>223887.46182958237</v>
      </c>
      <c r="N323" s="22">
        <v>228963.4191629542</v>
      </c>
      <c r="O323" s="22">
        <v>238911.93607605097</v>
      </c>
      <c r="P323" s="22">
        <v>245201.57111771611</v>
      </c>
      <c r="Q323" s="22">
        <v>264273.01392824179</v>
      </c>
      <c r="R323" s="22">
        <v>279220.72924582835</v>
      </c>
      <c r="S323" s="22">
        <v>284369.95050137519</v>
      </c>
      <c r="T323" s="22">
        <v>287624.99318354012</v>
      </c>
      <c r="U323" s="22">
        <v>303558.11036744836</v>
      </c>
      <c r="V323" s="22">
        <v>312045.03078197251</v>
      </c>
      <c r="W323" s="22">
        <v>330282.58731103566</v>
      </c>
      <c r="X323" s="22">
        <v>345698.25827293406</v>
      </c>
      <c r="Y323" s="22">
        <v>359616.58309929917</v>
      </c>
      <c r="Z323" s="22">
        <v>363610.46988399077</v>
      </c>
      <c r="AA323" s="23">
        <v>353901.19090834161</v>
      </c>
      <c r="AB323" s="97"/>
      <c r="AC323" s="16">
        <v>6</v>
      </c>
      <c r="AD323" s="16">
        <f t="shared" si="89"/>
        <v>42421076.254650556</v>
      </c>
    </row>
    <row r="324" spans="1:30" ht="13.5" thickBot="1" x14ac:dyDescent="0.35">
      <c r="A324" s="18">
        <v>2034</v>
      </c>
      <c r="B324" s="11" t="s">
        <v>45</v>
      </c>
      <c r="C324" s="12" t="s">
        <v>33</v>
      </c>
      <c r="D324" s="21">
        <v>346645.68353668309</v>
      </c>
      <c r="E324" s="22">
        <v>333425.86747485131</v>
      </c>
      <c r="F324" s="22">
        <v>321338.25324265129</v>
      </c>
      <c r="G324" s="22">
        <v>310868.83580177819</v>
      </c>
      <c r="H324" s="22">
        <v>300642.49531666521</v>
      </c>
      <c r="I324" s="22">
        <v>284362.82128259458</v>
      </c>
      <c r="J324" s="22">
        <v>268423.94078374916</v>
      </c>
      <c r="K324" s="22">
        <v>222281.45551449285</v>
      </c>
      <c r="L324" s="22">
        <v>216216.04434143513</v>
      </c>
      <c r="M324" s="22">
        <v>213863.54558383784</v>
      </c>
      <c r="N324" s="22">
        <v>217531.42180286418</v>
      </c>
      <c r="O324" s="22">
        <v>226671.43898624525</v>
      </c>
      <c r="P324" s="22">
        <v>233658.57559688421</v>
      </c>
      <c r="Q324" s="22">
        <v>250353.23838600056</v>
      </c>
      <c r="R324" s="22">
        <v>263754.45886223856</v>
      </c>
      <c r="S324" s="22">
        <v>269726.67577137845</v>
      </c>
      <c r="T324" s="22">
        <v>274384.10808769101</v>
      </c>
      <c r="U324" s="22">
        <v>293231.41425799928</v>
      </c>
      <c r="V324" s="22">
        <v>302941.94976077421</v>
      </c>
      <c r="W324" s="22">
        <v>321380.21125447482</v>
      </c>
      <c r="X324" s="22">
        <v>336674.23106646456</v>
      </c>
      <c r="Y324" s="22">
        <v>350905.77251221793</v>
      </c>
      <c r="Z324" s="22">
        <v>354987.8628266718</v>
      </c>
      <c r="AA324" s="23">
        <v>345767.50348836958</v>
      </c>
      <c r="AB324" s="96">
        <f t="shared" ref="AB324" si="110">+SUM(D324:AA324)*AC324+SUM(D325:AA325)*AC325+SUM(D326:AA326)*AC326</f>
        <v>206516426.70909411</v>
      </c>
      <c r="AC324" s="16">
        <v>20</v>
      </c>
      <c r="AD324" s="16">
        <f t="shared" si="89"/>
        <v>137200756.11078024</v>
      </c>
    </row>
    <row r="325" spans="1:30" ht="13.5" thickBot="1" x14ac:dyDescent="0.35">
      <c r="A325" s="18">
        <v>2034</v>
      </c>
      <c r="B325" s="19" t="s">
        <v>45</v>
      </c>
      <c r="C325" s="20" t="s">
        <v>34</v>
      </c>
      <c r="D325" s="21">
        <v>347305.49984817923</v>
      </c>
      <c r="E325" s="22">
        <v>333240.25325521018</v>
      </c>
      <c r="F325" s="22">
        <v>320881.27632701106</v>
      </c>
      <c r="G325" s="22">
        <v>310111.60228312021</v>
      </c>
      <c r="H325" s="22">
        <v>299489.18889580003</v>
      </c>
      <c r="I325" s="22">
        <v>281588.90009806579</v>
      </c>
      <c r="J325" s="22">
        <v>264226.94922604691</v>
      </c>
      <c r="K325" s="22">
        <v>221022.3225537051</v>
      </c>
      <c r="L325" s="22">
        <v>218616.03655311873</v>
      </c>
      <c r="M325" s="22">
        <v>218289.04541137361</v>
      </c>
      <c r="N325" s="22">
        <v>223527.04174959808</v>
      </c>
      <c r="O325" s="22">
        <v>233649.52531555019</v>
      </c>
      <c r="P325" s="22">
        <v>240273.13954540965</v>
      </c>
      <c r="Q325" s="22">
        <v>261071.14974264824</v>
      </c>
      <c r="R325" s="22">
        <v>275975.56054488377</v>
      </c>
      <c r="S325" s="22">
        <v>281076.24175624322</v>
      </c>
      <c r="T325" s="22">
        <v>284138.84692021523</v>
      </c>
      <c r="U325" s="22">
        <v>298959.26322287892</v>
      </c>
      <c r="V325" s="22">
        <v>306761.26277039642</v>
      </c>
      <c r="W325" s="22">
        <v>325698.0485456941</v>
      </c>
      <c r="X325" s="22">
        <v>342178.7278495676</v>
      </c>
      <c r="Y325" s="22">
        <v>356380.09741707478</v>
      </c>
      <c r="Z325" s="22">
        <v>359591.18832904275</v>
      </c>
      <c r="AA325" s="23">
        <v>348591.75376442837</v>
      </c>
      <c r="AB325" s="97"/>
      <c r="AC325" s="16">
        <v>4</v>
      </c>
      <c r="AD325" s="16">
        <f t="shared" si="89"/>
        <v>27810571.68770105</v>
      </c>
    </row>
    <row r="326" spans="1:30" ht="13.5" thickBot="1" x14ac:dyDescent="0.35">
      <c r="A326" s="18">
        <v>2034</v>
      </c>
      <c r="B326" s="25" t="s">
        <v>45</v>
      </c>
      <c r="C326" s="26" t="s">
        <v>36</v>
      </c>
      <c r="D326" s="21">
        <v>347796.0112631942</v>
      </c>
      <c r="E326" s="22">
        <v>333975.28838085581</v>
      </c>
      <c r="F326" s="22">
        <v>321505.03122564172</v>
      </c>
      <c r="G326" s="22">
        <v>310720.48851216974</v>
      </c>
      <c r="H326" s="22">
        <v>300353.64117384981</v>
      </c>
      <c r="I326" s="22">
        <v>283589.64506937395</v>
      </c>
      <c r="J326" s="22">
        <v>267425.67953211092</v>
      </c>
      <c r="K326" s="22">
        <v>222734.23521539514</v>
      </c>
      <c r="L326" s="22">
        <v>219486.4498383929</v>
      </c>
      <c r="M326" s="22">
        <v>218785.55807744586</v>
      </c>
      <c r="N326" s="22">
        <v>223284.7319504146</v>
      </c>
      <c r="O326" s="22">
        <v>232655.11966804237</v>
      </c>
      <c r="P326" s="22">
        <v>238433.68919714878</v>
      </c>
      <c r="Q326" s="22">
        <v>255302.96899562899</v>
      </c>
      <c r="R326" s="22">
        <v>270062.75675859355</v>
      </c>
      <c r="S326" s="22">
        <v>275525.6539968552</v>
      </c>
      <c r="T326" s="22">
        <v>279556.52298808133</v>
      </c>
      <c r="U326" s="22">
        <v>297416.70099736139</v>
      </c>
      <c r="V326" s="22">
        <v>306318.43901245459</v>
      </c>
      <c r="W326" s="22">
        <v>323276.34096433496</v>
      </c>
      <c r="X326" s="22">
        <v>337136.38709703361</v>
      </c>
      <c r="Y326" s="22">
        <v>350328.7049750819</v>
      </c>
      <c r="Z326" s="22">
        <v>354978.27888001245</v>
      </c>
      <c r="AA326" s="23">
        <v>346868.16133266495</v>
      </c>
      <c r="AB326" s="97"/>
      <c r="AC326" s="16">
        <v>6</v>
      </c>
      <c r="AD326" s="16">
        <f t="shared" ref="AD326:AD389" si="111">+SUM(D326:AA326)*AC326</f>
        <v>41505098.910612822</v>
      </c>
    </row>
    <row r="327" spans="1:30" ht="13.5" thickBot="1" x14ac:dyDescent="0.35">
      <c r="A327" s="18">
        <v>2034</v>
      </c>
      <c r="B327" s="11" t="s">
        <v>46</v>
      </c>
      <c r="C327" s="12" t="s">
        <v>33</v>
      </c>
      <c r="D327" s="21">
        <v>344415.30798257404</v>
      </c>
      <c r="E327" s="22">
        <v>331229.18989006733</v>
      </c>
      <c r="F327" s="22">
        <v>319164.32035678526</v>
      </c>
      <c r="G327" s="22">
        <v>308723.65188428137</v>
      </c>
      <c r="H327" s="22">
        <v>298569.48825051764</v>
      </c>
      <c r="I327" s="22">
        <v>282435.07846757787</v>
      </c>
      <c r="J327" s="22">
        <v>266676.80387790158</v>
      </c>
      <c r="K327" s="22">
        <v>220693.67066208541</v>
      </c>
      <c r="L327" s="22">
        <v>214936.52737397471</v>
      </c>
      <c r="M327" s="22">
        <v>212766.31044084602</v>
      </c>
      <c r="N327" s="22">
        <v>216446.07451711109</v>
      </c>
      <c r="O327" s="22">
        <v>225488.23904796352</v>
      </c>
      <c r="P327" s="22">
        <v>232206.20125908553</v>
      </c>
      <c r="Q327" s="22">
        <v>248475.73224887927</v>
      </c>
      <c r="R327" s="22">
        <v>261948.62020567004</v>
      </c>
      <c r="S327" s="22">
        <v>267855.4211722021</v>
      </c>
      <c r="T327" s="22">
        <v>272497.53847891343</v>
      </c>
      <c r="U327" s="22">
        <v>291455.16563264187</v>
      </c>
      <c r="V327" s="22">
        <v>301095.44043977716</v>
      </c>
      <c r="W327" s="22">
        <v>319056.92197415454</v>
      </c>
      <c r="X327" s="22">
        <v>333845.47363705613</v>
      </c>
      <c r="Y327" s="22">
        <v>347766.5300276769</v>
      </c>
      <c r="Z327" s="22">
        <v>352016.16666618874</v>
      </c>
      <c r="AA327" s="23">
        <v>343243.91260507249</v>
      </c>
      <c r="AB327" s="96">
        <f t="shared" ref="AB327" si="112">+SUM(D327:AA327)*AC327+SUM(D328:AA328)*AC328+SUM(D329:AA329)*AC329</f>
        <v>210897794.62660596</v>
      </c>
      <c r="AC327" s="16">
        <v>19</v>
      </c>
      <c r="AD327" s="16">
        <f t="shared" si="111"/>
        <v>129447147.95488109</v>
      </c>
    </row>
    <row r="328" spans="1:30" ht="13.5" thickBot="1" x14ac:dyDescent="0.35">
      <c r="A328" s="18">
        <v>2034</v>
      </c>
      <c r="B328" s="19" t="s">
        <v>46</v>
      </c>
      <c r="C328" s="20" t="s">
        <v>34</v>
      </c>
      <c r="D328" s="21">
        <v>330738.42041467485</v>
      </c>
      <c r="E328" s="22">
        <v>322227.6667114367</v>
      </c>
      <c r="F328" s="22">
        <v>314501.76220784953</v>
      </c>
      <c r="G328" s="22">
        <v>306412.15917358699</v>
      </c>
      <c r="H328" s="22">
        <v>297394.03982972656</v>
      </c>
      <c r="I328" s="22">
        <v>282763.45134718512</v>
      </c>
      <c r="J328" s="22">
        <v>266901.32091523457</v>
      </c>
      <c r="K328" s="22">
        <v>219468.6916365806</v>
      </c>
      <c r="L328" s="22">
        <v>214242.35134079252</v>
      </c>
      <c r="M328" s="22">
        <v>211907.33171595898</v>
      </c>
      <c r="N328" s="22">
        <v>215297.58507019148</v>
      </c>
      <c r="O328" s="22">
        <v>223431.73425361956</v>
      </c>
      <c r="P328" s="22">
        <v>229702.27603024914</v>
      </c>
      <c r="Q328" s="22">
        <v>245063.73045287892</v>
      </c>
      <c r="R328" s="22">
        <v>256642.13423946663</v>
      </c>
      <c r="S328" s="22">
        <v>262351.76027422643</v>
      </c>
      <c r="T328" s="22">
        <v>265871.77884652303</v>
      </c>
      <c r="U328" s="22">
        <v>285273.00031265226</v>
      </c>
      <c r="V328" s="22">
        <v>294390.73053572176</v>
      </c>
      <c r="W328" s="22">
        <v>311672.12432756333</v>
      </c>
      <c r="X328" s="22">
        <v>326695.84261702251</v>
      </c>
      <c r="Y328" s="22">
        <v>340795.63324495638</v>
      </c>
      <c r="Z328" s="22">
        <v>344946.27061783115</v>
      </c>
      <c r="AA328" s="23">
        <v>337088.81881990365</v>
      </c>
      <c r="AB328" s="97"/>
      <c r="AC328" s="16">
        <v>5</v>
      </c>
      <c r="AD328" s="16">
        <f t="shared" si="111"/>
        <v>33528903.074679166</v>
      </c>
    </row>
    <row r="329" spans="1:30" ht="13.5" thickBot="1" x14ac:dyDescent="0.35">
      <c r="A329" s="28">
        <v>2034</v>
      </c>
      <c r="B329" s="25" t="s">
        <v>46</v>
      </c>
      <c r="C329" s="26" t="s">
        <v>36</v>
      </c>
      <c r="D329" s="21">
        <v>342312.55183852284</v>
      </c>
      <c r="E329" s="22">
        <v>329065.10961786576</v>
      </c>
      <c r="F329" s="22">
        <v>317200.09823211207</v>
      </c>
      <c r="G329" s="22">
        <v>306559.43493716873</v>
      </c>
      <c r="H329" s="22">
        <v>296344.96969669417</v>
      </c>
      <c r="I329" s="22">
        <v>280437.92253305233</v>
      </c>
      <c r="J329" s="22">
        <v>264858.27633242105</v>
      </c>
      <c r="K329" s="22">
        <v>220690.92393240528</v>
      </c>
      <c r="L329" s="22">
        <v>218016.2657694626</v>
      </c>
      <c r="M329" s="22">
        <v>216991.83909010424</v>
      </c>
      <c r="N329" s="22">
        <v>221595.3709986074</v>
      </c>
      <c r="O329" s="22">
        <v>230227.03778733703</v>
      </c>
      <c r="P329" s="22">
        <v>235720.14674292342</v>
      </c>
      <c r="Q329" s="22">
        <v>253155.95192180443</v>
      </c>
      <c r="R329" s="22">
        <v>267615.34804142546</v>
      </c>
      <c r="S329" s="22">
        <v>273023.82286641968</v>
      </c>
      <c r="T329" s="22">
        <v>276626.77864394762</v>
      </c>
      <c r="U329" s="22">
        <v>293363.84205965034</v>
      </c>
      <c r="V329" s="22">
        <v>303034.16331046476</v>
      </c>
      <c r="W329" s="22">
        <v>319800.20935022132</v>
      </c>
      <c r="X329" s="22">
        <v>334254.9547362334</v>
      </c>
      <c r="Y329" s="22">
        <v>348169.51060269476</v>
      </c>
      <c r="Z329" s="22">
        <v>352823.0759907997</v>
      </c>
      <c r="AA329" s="23">
        <v>344075.76597418787</v>
      </c>
      <c r="AB329" s="97"/>
      <c r="AC329" s="16">
        <v>7</v>
      </c>
      <c r="AD329" s="16">
        <f t="shared" si="111"/>
        <v>47921743.597045697</v>
      </c>
    </row>
    <row r="330" spans="1:30" ht="13.5" thickBot="1" x14ac:dyDescent="0.35">
      <c r="A330" s="10">
        <v>2035</v>
      </c>
      <c r="B330" s="11" t="s">
        <v>32</v>
      </c>
      <c r="C330" s="12" t="s">
        <v>33</v>
      </c>
      <c r="D330" s="21">
        <v>331433.82654460456</v>
      </c>
      <c r="E330" s="22">
        <v>318158.17819140351</v>
      </c>
      <c r="F330" s="22">
        <v>305681.90441806987</v>
      </c>
      <c r="G330" s="22">
        <v>294639.73303793173</v>
      </c>
      <c r="H330" s="22">
        <v>284498.346474513</v>
      </c>
      <c r="I330" s="22">
        <v>274644.61826955422</v>
      </c>
      <c r="J330" s="22">
        <v>260587.55109479441</v>
      </c>
      <c r="K330" s="22">
        <v>211785.75239436838</v>
      </c>
      <c r="L330" s="22">
        <v>209509.37278055825</v>
      </c>
      <c r="M330" s="22">
        <v>210607.68447468599</v>
      </c>
      <c r="N330" s="22">
        <v>215323.38574994126</v>
      </c>
      <c r="O330" s="22">
        <v>224035.64498601077</v>
      </c>
      <c r="P330" s="22">
        <v>228681.47291149624</v>
      </c>
      <c r="Q330" s="22">
        <v>243358.69943660864</v>
      </c>
      <c r="R330" s="22">
        <v>256433.24233478564</v>
      </c>
      <c r="S330" s="22">
        <v>262464.80392115499</v>
      </c>
      <c r="T330" s="22">
        <v>263375.04281930637</v>
      </c>
      <c r="U330" s="22">
        <v>278159.3137430537</v>
      </c>
      <c r="V330" s="22">
        <v>291145.25185406348</v>
      </c>
      <c r="W330" s="22">
        <v>302106.17853238451</v>
      </c>
      <c r="X330" s="22">
        <v>314155.16736928158</v>
      </c>
      <c r="Y330" s="22">
        <v>327984.4299880343</v>
      </c>
      <c r="Z330" s="22">
        <v>334501.02236202802</v>
      </c>
      <c r="AA330" s="23">
        <v>328786.07120195113</v>
      </c>
      <c r="AB330" s="96">
        <f t="shared" ref="AB330" si="113">+SUM(D330:AA330)*AC330+SUM(D331:AA331)*AC331+SUM(D332:AA332)*AC332</f>
        <v>204734436.20897639</v>
      </c>
      <c r="AC330" s="16">
        <v>21</v>
      </c>
      <c r="AD330" s="16">
        <f t="shared" si="111"/>
        <v>138013190.59270227</v>
      </c>
    </row>
    <row r="331" spans="1:30" ht="13.5" thickBot="1" x14ac:dyDescent="0.35">
      <c r="A331" s="18">
        <v>2035</v>
      </c>
      <c r="B331" s="19" t="s">
        <v>32</v>
      </c>
      <c r="C331" s="20" t="s">
        <v>34</v>
      </c>
      <c r="D331" s="21">
        <v>336216.44980435644</v>
      </c>
      <c r="E331" s="22">
        <v>322055.73555542855</v>
      </c>
      <c r="F331" s="22">
        <v>309033.19825681846</v>
      </c>
      <c r="G331" s="22">
        <v>296602.16868871188</v>
      </c>
      <c r="H331" s="22">
        <v>286217.68462809833</v>
      </c>
      <c r="I331" s="22">
        <v>275394.49919526884</v>
      </c>
      <c r="J331" s="22">
        <v>260271.05758601482</v>
      </c>
      <c r="K331" s="22">
        <v>213104.7225197732</v>
      </c>
      <c r="L331" s="22">
        <v>215042.79791755418</v>
      </c>
      <c r="M331" s="22">
        <v>216999.62073608043</v>
      </c>
      <c r="N331" s="22">
        <v>222388.68105061847</v>
      </c>
      <c r="O331" s="22">
        <v>230717.90040553026</v>
      </c>
      <c r="P331" s="22">
        <v>235405.81051307323</v>
      </c>
      <c r="Q331" s="22">
        <v>251773.81035508215</v>
      </c>
      <c r="R331" s="22">
        <v>266466.8229651578</v>
      </c>
      <c r="S331" s="22">
        <v>272818.55948592286</v>
      </c>
      <c r="T331" s="22">
        <v>272045.47873742186</v>
      </c>
      <c r="U331" s="22">
        <v>281394.48980936577</v>
      </c>
      <c r="V331" s="22">
        <v>292842.92384389503</v>
      </c>
      <c r="W331" s="22">
        <v>304061.57196939492</v>
      </c>
      <c r="X331" s="22">
        <v>317319.54041903577</v>
      </c>
      <c r="Y331" s="22">
        <v>332831.61041527131</v>
      </c>
      <c r="Z331" s="22">
        <v>339767.38604307105</v>
      </c>
      <c r="AA331" s="23">
        <v>330701.4144935559</v>
      </c>
      <c r="AB331" s="97"/>
      <c r="AC331" s="16">
        <v>4</v>
      </c>
      <c r="AD331" s="16">
        <f t="shared" si="111"/>
        <v>26725895.741578005</v>
      </c>
    </row>
    <row r="332" spans="1:30" ht="13.5" thickBot="1" x14ac:dyDescent="0.35">
      <c r="A332" s="18">
        <v>2035</v>
      </c>
      <c r="B332" s="25" t="s">
        <v>32</v>
      </c>
      <c r="C332" s="26" t="s">
        <v>36</v>
      </c>
      <c r="D332" s="21">
        <v>330550.69364377134</v>
      </c>
      <c r="E332" s="22">
        <v>317220.08305946254</v>
      </c>
      <c r="F332" s="22">
        <v>304056.87015824055</v>
      </c>
      <c r="G332" s="22">
        <v>293128.64269512828</v>
      </c>
      <c r="H332" s="22">
        <v>282459.25407460571</v>
      </c>
      <c r="I332" s="22">
        <v>271539.59305868496</v>
      </c>
      <c r="J332" s="22">
        <v>258542.52449535872</v>
      </c>
      <c r="K332" s="22">
        <v>212175.60516157351</v>
      </c>
      <c r="L332" s="22">
        <v>213049.34864376936</v>
      </c>
      <c r="M332" s="22">
        <v>214294.66140664462</v>
      </c>
      <c r="N332" s="22">
        <v>220154.87055156092</v>
      </c>
      <c r="O332" s="22">
        <v>229167.60666447028</v>
      </c>
      <c r="P332" s="22">
        <v>233921.35400329425</v>
      </c>
      <c r="Q332" s="22">
        <v>250086.28684591199</v>
      </c>
      <c r="R332" s="22">
        <v>267420.52064790553</v>
      </c>
      <c r="S332" s="22">
        <v>273118.47449756507</v>
      </c>
      <c r="T332" s="22">
        <v>272452.54525039293</v>
      </c>
      <c r="U332" s="22">
        <v>285080.51027577074</v>
      </c>
      <c r="V332" s="22">
        <v>296839.25130618428</v>
      </c>
      <c r="W332" s="22">
        <v>308069.5816581237</v>
      </c>
      <c r="X332" s="22">
        <v>321396.71008743974</v>
      </c>
      <c r="Y332" s="22">
        <v>335491.81396402529</v>
      </c>
      <c r="Z332" s="22">
        <v>341637.27329534997</v>
      </c>
      <c r="AA332" s="23">
        <v>334037.57033744984</v>
      </c>
      <c r="AB332" s="97"/>
      <c r="AC332" s="16">
        <v>6</v>
      </c>
      <c r="AD332" s="16">
        <f t="shared" si="111"/>
        <v>39995349.874696113</v>
      </c>
    </row>
    <row r="333" spans="1:30" ht="13.5" thickBot="1" x14ac:dyDescent="0.35">
      <c r="A333" s="18">
        <v>2035</v>
      </c>
      <c r="B333" s="11" t="s">
        <v>35</v>
      </c>
      <c r="C333" s="12" t="s">
        <v>33</v>
      </c>
      <c r="D333" s="21">
        <v>334756.52205287543</v>
      </c>
      <c r="E333" s="22">
        <v>322009.64624749683</v>
      </c>
      <c r="F333" s="22">
        <v>310614.06006095011</v>
      </c>
      <c r="G333" s="22">
        <v>300384.42859517591</v>
      </c>
      <c r="H333" s="22">
        <v>289965.82559962402</v>
      </c>
      <c r="I333" s="22">
        <v>277932.86810763885</v>
      </c>
      <c r="J333" s="22">
        <v>260623.79714020604</v>
      </c>
      <c r="K333" s="22">
        <v>211791.89102536719</v>
      </c>
      <c r="L333" s="22">
        <v>209884.7341846347</v>
      </c>
      <c r="M333" s="22">
        <v>211844.5222185257</v>
      </c>
      <c r="N333" s="22">
        <v>219333.75709106712</v>
      </c>
      <c r="O333" s="22">
        <v>230430.05793411372</v>
      </c>
      <c r="P333" s="22">
        <v>237024.51362858489</v>
      </c>
      <c r="Q333" s="22">
        <v>255216.17131641024</v>
      </c>
      <c r="R333" s="22">
        <v>268619.84928933688</v>
      </c>
      <c r="S333" s="22">
        <v>273537.57785492262</v>
      </c>
      <c r="T333" s="22">
        <v>273027.51701273618</v>
      </c>
      <c r="U333" s="22">
        <v>285200.85520459531</v>
      </c>
      <c r="V333" s="22">
        <v>294755.0203344067</v>
      </c>
      <c r="W333" s="22">
        <v>309879.95623781142</v>
      </c>
      <c r="X333" s="22">
        <v>322810.21812184295</v>
      </c>
      <c r="Y333" s="22">
        <v>336382.21440723044</v>
      </c>
      <c r="Z333" s="22">
        <v>340020.33021438599</v>
      </c>
      <c r="AA333" s="23">
        <v>332536.12909191975</v>
      </c>
      <c r="AB333" s="96">
        <f t="shared" ref="AB333" si="114">+SUM(D333:AA333)*AC333+SUM(D334:AA334)*AC334+SUM(D335:AA335)*AC335</f>
        <v>188900643.8154285</v>
      </c>
      <c r="AC333" s="16">
        <v>20</v>
      </c>
      <c r="AD333" s="16">
        <f t="shared" si="111"/>
        <v>134171649.25943719</v>
      </c>
    </row>
    <row r="334" spans="1:30" ht="13.5" thickBot="1" x14ac:dyDescent="0.35">
      <c r="A334" s="18">
        <v>2035</v>
      </c>
      <c r="B334" s="19" t="s">
        <v>35</v>
      </c>
      <c r="C334" s="20" t="s">
        <v>34</v>
      </c>
      <c r="D334" s="21">
        <v>338121.25842864625</v>
      </c>
      <c r="E334" s="22">
        <v>324256.01641256985</v>
      </c>
      <c r="F334" s="22">
        <v>312122.70243426046</v>
      </c>
      <c r="G334" s="22">
        <v>300984.94691005675</v>
      </c>
      <c r="H334" s="22">
        <v>290007.0706395717</v>
      </c>
      <c r="I334" s="22">
        <v>275750.82969624165</v>
      </c>
      <c r="J334" s="22">
        <v>254811.67069889564</v>
      </c>
      <c r="K334" s="22">
        <v>205419.01974460413</v>
      </c>
      <c r="L334" s="22">
        <v>206054.39252822439</v>
      </c>
      <c r="M334" s="22">
        <v>208554.58552892448</v>
      </c>
      <c r="N334" s="22">
        <v>218418.35744912285</v>
      </c>
      <c r="O334" s="22">
        <v>230635.60794403398</v>
      </c>
      <c r="P334" s="22">
        <v>237680.31118415721</v>
      </c>
      <c r="Q334" s="22">
        <v>261873.43780751992</v>
      </c>
      <c r="R334" s="22">
        <v>279302.18689378537</v>
      </c>
      <c r="S334" s="22">
        <v>284439.8533187366</v>
      </c>
      <c r="T334" s="22">
        <v>284229.35512310453</v>
      </c>
      <c r="U334" s="22">
        <v>291477.65133065556</v>
      </c>
      <c r="V334" s="22">
        <v>300680.26593431283</v>
      </c>
      <c r="W334" s="22">
        <v>318477.48492058349</v>
      </c>
      <c r="X334" s="22">
        <v>334893.80192688154</v>
      </c>
      <c r="Y334" s="22">
        <v>350704.97876067023</v>
      </c>
      <c r="Z334" s="22">
        <v>352184.85070148797</v>
      </c>
      <c r="AA334" s="23">
        <v>342357.32603213011</v>
      </c>
      <c r="AB334" s="97"/>
      <c r="AC334" s="16">
        <v>4</v>
      </c>
      <c r="AD334" s="16">
        <f t="shared" si="111"/>
        <v>27213751.849396706</v>
      </c>
    </row>
    <row r="335" spans="1:30" ht="13.5" thickBot="1" x14ac:dyDescent="0.35">
      <c r="A335" s="18">
        <v>2035</v>
      </c>
      <c r="B335" s="25" t="s">
        <v>35</v>
      </c>
      <c r="C335" s="26" t="s">
        <v>36</v>
      </c>
      <c r="D335" s="21">
        <v>340758.91074239882</v>
      </c>
      <c r="E335" s="22">
        <v>326354.27947100205</v>
      </c>
      <c r="F335" s="22">
        <v>313610.48774589325</v>
      </c>
      <c r="G335" s="22">
        <v>302076.3555551829</v>
      </c>
      <c r="H335" s="22">
        <v>290461.39486952423</v>
      </c>
      <c r="I335" s="22">
        <v>275856.80495048285</v>
      </c>
      <c r="J335" s="22">
        <v>253805.89375437307</v>
      </c>
      <c r="K335" s="22">
        <v>206421.20716386795</v>
      </c>
      <c r="L335" s="22">
        <v>209300.07689180502</v>
      </c>
      <c r="M335" s="22">
        <v>215272.53965458577</v>
      </c>
      <c r="N335" s="22">
        <v>224588.55141733389</v>
      </c>
      <c r="O335" s="22">
        <v>237579.66199603683</v>
      </c>
      <c r="P335" s="22">
        <v>247360.91940495142</v>
      </c>
      <c r="Q335" s="22">
        <v>268380.54334172077</v>
      </c>
      <c r="R335" s="22">
        <v>286620.03966431582</v>
      </c>
      <c r="S335" s="22">
        <v>290293.95688839187</v>
      </c>
      <c r="T335" s="22">
        <v>288803.75670221681</v>
      </c>
      <c r="U335" s="22">
        <v>295310.35972223815</v>
      </c>
      <c r="V335" s="22">
        <v>303813.10683502036</v>
      </c>
      <c r="W335" s="22">
        <v>319737.76802478358</v>
      </c>
      <c r="X335" s="22">
        <v>334912.09182851034</v>
      </c>
      <c r="Y335" s="22">
        <v>350961.72368044592</v>
      </c>
      <c r="Z335" s="22">
        <v>353609.81626506196</v>
      </c>
      <c r="AA335" s="23">
        <v>342920.430078506</v>
      </c>
      <c r="AB335" s="97"/>
      <c r="AC335" s="16">
        <v>4</v>
      </c>
      <c r="AD335" s="16">
        <f t="shared" si="111"/>
        <v>27515242.706594601</v>
      </c>
    </row>
    <row r="336" spans="1:30" ht="13.5" thickBot="1" x14ac:dyDescent="0.35">
      <c r="A336" s="18">
        <v>2035</v>
      </c>
      <c r="B336" s="11" t="s">
        <v>37</v>
      </c>
      <c r="C336" s="12" t="s">
        <v>33</v>
      </c>
      <c r="D336" s="21">
        <v>349122.83607936039</v>
      </c>
      <c r="E336" s="22">
        <v>336556.41715849598</v>
      </c>
      <c r="F336" s="22">
        <v>325243.50640670973</v>
      </c>
      <c r="G336" s="22">
        <v>314700.1184608523</v>
      </c>
      <c r="H336" s="22">
        <v>303945.80376166874</v>
      </c>
      <c r="I336" s="22">
        <v>289920.2320468328</v>
      </c>
      <c r="J336" s="22">
        <v>271363.62237320485</v>
      </c>
      <c r="K336" s="22">
        <v>224471.21135209344</v>
      </c>
      <c r="L336" s="22">
        <v>221393.19905936724</v>
      </c>
      <c r="M336" s="22">
        <v>223076.90032173527</v>
      </c>
      <c r="N336" s="22">
        <v>229734.97434344416</v>
      </c>
      <c r="O336" s="22">
        <v>239759.78569703727</v>
      </c>
      <c r="P336" s="22">
        <v>246956.14818901094</v>
      </c>
      <c r="Q336" s="22">
        <v>264440.30463294196</v>
      </c>
      <c r="R336" s="22">
        <v>277815.50087321596</v>
      </c>
      <c r="S336" s="22">
        <v>283007.39288509474</v>
      </c>
      <c r="T336" s="22">
        <v>284316.28941015137</v>
      </c>
      <c r="U336" s="22">
        <v>296689.13559206598</v>
      </c>
      <c r="V336" s="22">
        <v>305945.28743648197</v>
      </c>
      <c r="W336" s="22">
        <v>321705.33487502491</v>
      </c>
      <c r="X336" s="22">
        <v>335298.58446399978</v>
      </c>
      <c r="Y336" s="22">
        <v>349933.02920025558</v>
      </c>
      <c r="Z336" s="22">
        <v>354906.41631829663</v>
      </c>
      <c r="AA336" s="23">
        <v>347678.38790835114</v>
      </c>
      <c r="AB336" s="96">
        <f t="shared" ref="AB336" si="115">+SUM(D336:AA336)*AC336+SUM(D337:AA337)*AC337+SUM(D338:AA338)*AC338</f>
        <v>218078251.17278647</v>
      </c>
      <c r="AC336" s="16">
        <v>19</v>
      </c>
      <c r="AD336" s="16">
        <f t="shared" si="111"/>
        <v>132961627.95806816</v>
      </c>
    </row>
    <row r="337" spans="1:30" ht="13.5" thickBot="1" x14ac:dyDescent="0.35">
      <c r="A337" s="18">
        <v>2035</v>
      </c>
      <c r="B337" s="19" t="s">
        <v>37</v>
      </c>
      <c r="C337" s="20" t="s">
        <v>34</v>
      </c>
      <c r="D337" s="21">
        <v>345489.45599315909</v>
      </c>
      <c r="E337" s="22">
        <v>333204.61899360374</v>
      </c>
      <c r="F337" s="22">
        <v>320433.3573717316</v>
      </c>
      <c r="G337" s="22">
        <v>309601.63903622638</v>
      </c>
      <c r="H337" s="22">
        <v>298751.64378007827</v>
      </c>
      <c r="I337" s="22">
        <v>282676.1062722957</v>
      </c>
      <c r="J337" s="22">
        <v>259952.43765403339</v>
      </c>
      <c r="K337" s="22">
        <v>215200.60040896939</v>
      </c>
      <c r="L337" s="22">
        <v>216471.30859065219</v>
      </c>
      <c r="M337" s="22">
        <v>220821.91061826091</v>
      </c>
      <c r="N337" s="22">
        <v>229573.52522714023</v>
      </c>
      <c r="O337" s="22">
        <v>241143.97158127278</v>
      </c>
      <c r="P337" s="22">
        <v>248393.38054568198</v>
      </c>
      <c r="Q337" s="22">
        <v>270074.73932063096</v>
      </c>
      <c r="R337" s="22">
        <v>284777.04311256582</v>
      </c>
      <c r="S337" s="22">
        <v>288991.02543603873</v>
      </c>
      <c r="T337" s="22">
        <v>289234.69282050815</v>
      </c>
      <c r="U337" s="22">
        <v>297423.84809242218</v>
      </c>
      <c r="V337" s="22">
        <v>304514.0683453033</v>
      </c>
      <c r="W337" s="22">
        <v>323448.92355378816</v>
      </c>
      <c r="X337" s="22">
        <v>338645.8580831837</v>
      </c>
      <c r="Y337" s="22">
        <v>354592.92430605704</v>
      </c>
      <c r="Z337" s="22">
        <v>357983.02966411179</v>
      </c>
      <c r="AA337" s="23">
        <v>347138.18949386239</v>
      </c>
      <c r="AB337" s="97"/>
      <c r="AC337" s="16">
        <v>5</v>
      </c>
      <c r="AD337" s="16">
        <f t="shared" si="111"/>
        <v>34892691.491507895</v>
      </c>
    </row>
    <row r="338" spans="1:30" ht="13.5" thickBot="1" x14ac:dyDescent="0.35">
      <c r="A338" s="18">
        <v>2035</v>
      </c>
      <c r="B338" s="25" t="s">
        <v>37</v>
      </c>
      <c r="C338" s="26" t="s">
        <v>36</v>
      </c>
      <c r="D338" s="21">
        <v>352542.41247591603</v>
      </c>
      <c r="E338" s="22">
        <v>338946.81981752429</v>
      </c>
      <c r="F338" s="22">
        <v>326813.99652315676</v>
      </c>
      <c r="G338" s="22">
        <v>316323.94771001296</v>
      </c>
      <c r="H338" s="22">
        <v>305650.88554790587</v>
      </c>
      <c r="I338" s="22">
        <v>287570.10561517184</v>
      </c>
      <c r="J338" s="22">
        <v>265501.38303816214</v>
      </c>
      <c r="K338" s="22">
        <v>221519.79199762063</v>
      </c>
      <c r="L338" s="22">
        <v>223120.14714908731</v>
      </c>
      <c r="M338" s="22">
        <v>226986.40010265348</v>
      </c>
      <c r="N338" s="22">
        <v>235280.17384049186</v>
      </c>
      <c r="O338" s="22">
        <v>247153.25697275804</v>
      </c>
      <c r="P338" s="22">
        <v>255675.31173193787</v>
      </c>
      <c r="Q338" s="22">
        <v>276867.64083357208</v>
      </c>
      <c r="R338" s="22">
        <v>293202.46070208965</v>
      </c>
      <c r="S338" s="22">
        <v>297945.04107417649</v>
      </c>
      <c r="T338" s="22">
        <v>297784.25749216619</v>
      </c>
      <c r="U338" s="22">
        <v>306609.11211949168</v>
      </c>
      <c r="V338" s="22">
        <v>317502.08602483297</v>
      </c>
      <c r="W338" s="22">
        <v>337187.47227263736</v>
      </c>
      <c r="X338" s="22">
        <v>351248.03235206049</v>
      </c>
      <c r="Y338" s="22">
        <v>365345.44179981324</v>
      </c>
      <c r="Z338" s="22">
        <v>369103.0468441578</v>
      </c>
      <c r="AA338" s="23">
        <v>358968.16499266215</v>
      </c>
      <c r="AB338" s="97"/>
      <c r="AC338" s="16">
        <v>7</v>
      </c>
      <c r="AD338" s="16">
        <f t="shared" si="111"/>
        <v>50223931.723210409</v>
      </c>
    </row>
    <row r="339" spans="1:30" ht="13.5" thickBot="1" x14ac:dyDescent="0.35">
      <c r="A339" s="18">
        <v>2035</v>
      </c>
      <c r="B339" s="11" t="s">
        <v>38</v>
      </c>
      <c r="C339" s="12" t="s">
        <v>33</v>
      </c>
      <c r="D339" s="21">
        <v>344104.85089287936</v>
      </c>
      <c r="E339" s="22">
        <v>330909.67406074901</v>
      </c>
      <c r="F339" s="22">
        <v>318839.11826486973</v>
      </c>
      <c r="G339" s="22">
        <v>308397.8560347748</v>
      </c>
      <c r="H339" s="22">
        <v>298267.34915978933</v>
      </c>
      <c r="I339" s="22">
        <v>282173.9025359092</v>
      </c>
      <c r="J339" s="22">
        <v>266480.51549992699</v>
      </c>
      <c r="K339" s="22">
        <v>221503.50034325902</v>
      </c>
      <c r="L339" s="22">
        <v>216072.85968832858</v>
      </c>
      <c r="M339" s="22">
        <v>214101.93241125022</v>
      </c>
      <c r="N339" s="22">
        <v>217852.71833012759</v>
      </c>
      <c r="O339" s="22">
        <v>226876.10948000228</v>
      </c>
      <c r="P339" s="22">
        <v>233437.0245579709</v>
      </c>
      <c r="Q339" s="22">
        <v>249519.9068379364</v>
      </c>
      <c r="R339" s="22">
        <v>263037.73883894616</v>
      </c>
      <c r="S339" s="22">
        <v>268838.9596187938</v>
      </c>
      <c r="T339" s="22">
        <v>273355.21181361948</v>
      </c>
      <c r="U339" s="22">
        <v>291913.88972978399</v>
      </c>
      <c r="V339" s="22">
        <v>301497.42876580602</v>
      </c>
      <c r="W339" s="22">
        <v>319210.82129613892</v>
      </c>
      <c r="X339" s="22">
        <v>333740.65769538371</v>
      </c>
      <c r="Y339" s="22">
        <v>347497.75083652872</v>
      </c>
      <c r="Z339" s="22">
        <v>351837.551083231</v>
      </c>
      <c r="AA339" s="23">
        <v>343289.45147724194</v>
      </c>
      <c r="AB339" s="96">
        <f t="shared" ref="AB339" si="116">+SUM(D339:AA339)*AC339+SUM(D340:AA340)*AC340+SUM(D341:AA341)*AC341</f>
        <v>204940477.75397751</v>
      </c>
      <c r="AC339" s="16">
        <v>21</v>
      </c>
      <c r="AD339" s="16">
        <f t="shared" si="111"/>
        <v>143277892.36431822</v>
      </c>
    </row>
    <row r="340" spans="1:30" ht="13.5" thickBot="1" x14ac:dyDescent="0.35">
      <c r="A340" s="18">
        <v>2035</v>
      </c>
      <c r="B340" s="19" t="s">
        <v>38</v>
      </c>
      <c r="C340" s="20" t="s">
        <v>34</v>
      </c>
      <c r="D340" s="21">
        <v>345183.897011647</v>
      </c>
      <c r="E340" s="22">
        <v>331220.5432690219</v>
      </c>
      <c r="F340" s="22">
        <v>318951.09846372041</v>
      </c>
      <c r="G340" s="22">
        <v>308259.44315759948</v>
      </c>
      <c r="H340" s="22">
        <v>297713.98170783755</v>
      </c>
      <c r="I340" s="22">
        <v>279943.36795245123</v>
      </c>
      <c r="J340" s="22">
        <v>262707.19224194041</v>
      </c>
      <c r="K340" s="22">
        <v>220520.73836408756</v>
      </c>
      <c r="L340" s="22">
        <v>218243.35411258898</v>
      </c>
      <c r="M340" s="22">
        <v>217992.05589001757</v>
      </c>
      <c r="N340" s="22">
        <v>223232.63440389032</v>
      </c>
      <c r="O340" s="22">
        <v>233295.80008833049</v>
      </c>
      <c r="P340" s="22">
        <v>239867.73556442233</v>
      </c>
      <c r="Q340" s="22">
        <v>260494.05138303665</v>
      </c>
      <c r="R340" s="22">
        <v>275251.35599749279</v>
      </c>
      <c r="S340" s="22">
        <v>280246.41676816053</v>
      </c>
      <c r="T340" s="22">
        <v>283176.87445071613</v>
      </c>
      <c r="U340" s="22">
        <v>297553.56615029875</v>
      </c>
      <c r="V340" s="22">
        <v>305299.04568111984</v>
      </c>
      <c r="W340" s="22">
        <v>324098.64772016078</v>
      </c>
      <c r="X340" s="22">
        <v>340459.93605717306</v>
      </c>
      <c r="Y340" s="22">
        <v>354558.4266588224</v>
      </c>
      <c r="Z340" s="22">
        <v>357746.25546844694</v>
      </c>
      <c r="AA340" s="23">
        <v>346826.50409548875</v>
      </c>
      <c r="AB340" s="97"/>
      <c r="AC340" s="16">
        <v>4</v>
      </c>
      <c r="AD340" s="16">
        <f t="shared" si="111"/>
        <v>27691371.690633886</v>
      </c>
    </row>
    <row r="341" spans="1:30" ht="13.5" thickBot="1" x14ac:dyDescent="0.35">
      <c r="A341" s="18">
        <v>2035</v>
      </c>
      <c r="B341" s="25" t="s">
        <v>38</v>
      </c>
      <c r="C341" s="26" t="s">
        <v>36</v>
      </c>
      <c r="D341" s="21">
        <v>343201.11459881149</v>
      </c>
      <c r="E341" s="22">
        <v>330290.27266336919</v>
      </c>
      <c r="F341" s="22">
        <v>318453.38226420246</v>
      </c>
      <c r="G341" s="22">
        <v>308190.24650106754</v>
      </c>
      <c r="H341" s="22">
        <v>298092.28187979863</v>
      </c>
      <c r="I341" s="22">
        <v>282052.61722786666</v>
      </c>
      <c r="J341" s="22">
        <v>266261.40474690049</v>
      </c>
      <c r="K341" s="22">
        <v>220784.60852698376</v>
      </c>
      <c r="L341" s="22">
        <v>213991.29581237864</v>
      </c>
      <c r="M341" s="22">
        <v>211197.81590598519</v>
      </c>
      <c r="N341" s="22">
        <v>214636.37281178992</v>
      </c>
      <c r="O341" s="22">
        <v>223672.7450739388</v>
      </c>
      <c r="P341" s="22">
        <v>231042.05009930176</v>
      </c>
      <c r="Q341" s="22">
        <v>247769.36956765671</v>
      </c>
      <c r="R341" s="22">
        <v>260577.93667544861</v>
      </c>
      <c r="S341" s="22">
        <v>266586.10720070475</v>
      </c>
      <c r="T341" s="22">
        <v>271260.72702788148</v>
      </c>
      <c r="U341" s="22">
        <v>289780.29847025184</v>
      </c>
      <c r="V341" s="22">
        <v>299585.86642498046</v>
      </c>
      <c r="W341" s="22">
        <v>318463.19734024099</v>
      </c>
      <c r="X341" s="22">
        <v>334255.46074932849</v>
      </c>
      <c r="Y341" s="22">
        <v>348756.79928691278</v>
      </c>
      <c r="Z341" s="22">
        <v>352515.50253609032</v>
      </c>
      <c r="AA341" s="23">
        <v>342825.26641318854</v>
      </c>
      <c r="AB341" s="97"/>
      <c r="AC341" s="16">
        <v>5</v>
      </c>
      <c r="AD341" s="16">
        <f t="shared" si="111"/>
        <v>33971213.6990254</v>
      </c>
    </row>
    <row r="342" spans="1:30" ht="13.5" thickBot="1" x14ac:dyDescent="0.35">
      <c r="A342" s="18">
        <v>2035</v>
      </c>
      <c r="B342" s="11" t="s">
        <v>39</v>
      </c>
      <c r="C342" s="12" t="s">
        <v>33</v>
      </c>
      <c r="D342" s="21">
        <v>349976.28389128007</v>
      </c>
      <c r="E342" s="22">
        <v>336734.60968921281</v>
      </c>
      <c r="F342" s="22">
        <v>324525.56768030243</v>
      </c>
      <c r="G342" s="22">
        <v>313975.6515481532</v>
      </c>
      <c r="H342" s="22">
        <v>303752.39342605759</v>
      </c>
      <c r="I342" s="22">
        <v>287698.56560465309</v>
      </c>
      <c r="J342" s="22">
        <v>272006.594198298</v>
      </c>
      <c r="K342" s="22">
        <v>226564.95048221719</v>
      </c>
      <c r="L342" s="22">
        <v>220588.94767050268</v>
      </c>
      <c r="M342" s="22">
        <v>218361.62062629405</v>
      </c>
      <c r="N342" s="22">
        <v>221973.71241393191</v>
      </c>
      <c r="O342" s="22">
        <v>231001.32409981004</v>
      </c>
      <c r="P342" s="22">
        <v>237770.93754823337</v>
      </c>
      <c r="Q342" s="22">
        <v>253324.01612012219</v>
      </c>
      <c r="R342" s="22">
        <v>266641.72322306863</v>
      </c>
      <c r="S342" s="22">
        <v>272527.39200978156</v>
      </c>
      <c r="T342" s="22">
        <v>277128.04647731083</v>
      </c>
      <c r="U342" s="22">
        <v>296146.85064718343</v>
      </c>
      <c r="V342" s="22">
        <v>306261.2222145095</v>
      </c>
      <c r="W342" s="22">
        <v>324234.92981691693</v>
      </c>
      <c r="X342" s="22">
        <v>338847.22670273512</v>
      </c>
      <c r="Y342" s="22">
        <v>352877.09966493363</v>
      </c>
      <c r="Z342" s="22">
        <v>357424.17529792414</v>
      </c>
      <c r="AA342" s="23">
        <v>349011.15434300492</v>
      </c>
      <c r="AB342" s="96">
        <f t="shared" ref="AB342" si="117">+SUM(D342:AA342)*AC342+SUM(D343:AA343)*AC343+SUM(D344:AA344)*AC344</f>
        <v>216205952.00477123</v>
      </c>
      <c r="AC342" s="16">
        <v>20</v>
      </c>
      <c r="AD342" s="16">
        <f t="shared" si="111"/>
        <v>138787099.90792874</v>
      </c>
    </row>
    <row r="343" spans="1:30" ht="13.5" thickBot="1" x14ac:dyDescent="0.35">
      <c r="A343" s="18">
        <v>2035</v>
      </c>
      <c r="B343" s="19" t="s">
        <v>39</v>
      </c>
      <c r="C343" s="20" t="s">
        <v>34</v>
      </c>
      <c r="D343" s="21">
        <v>350692.31511770585</v>
      </c>
      <c r="E343" s="22">
        <v>336517.14645181148</v>
      </c>
      <c r="F343" s="22">
        <v>324061.58221145929</v>
      </c>
      <c r="G343" s="22">
        <v>313207.74150274595</v>
      </c>
      <c r="H343" s="22">
        <v>302502.31231536245</v>
      </c>
      <c r="I343" s="22">
        <v>284462.12999797985</v>
      </c>
      <c r="J343" s="22">
        <v>266964.49280028837</v>
      </c>
      <c r="K343" s="22">
        <v>224934.37066694323</v>
      </c>
      <c r="L343" s="22">
        <v>222905.92122086373</v>
      </c>
      <c r="M343" s="22">
        <v>222837.28289195729</v>
      </c>
      <c r="N343" s="22">
        <v>228260.42454064073</v>
      </c>
      <c r="O343" s="22">
        <v>238511.87709418187</v>
      </c>
      <c r="P343" s="22">
        <v>245174.10690316945</v>
      </c>
      <c r="Q343" s="22">
        <v>266059.83528692549</v>
      </c>
      <c r="R343" s="22">
        <v>280941.47565030545</v>
      </c>
      <c r="S343" s="22">
        <v>285837.6732852307</v>
      </c>
      <c r="T343" s="22">
        <v>288532.94001789863</v>
      </c>
      <c r="U343" s="22">
        <v>302566.42108572752</v>
      </c>
      <c r="V343" s="22">
        <v>310429.39446385362</v>
      </c>
      <c r="W343" s="22">
        <v>329514.17414264998</v>
      </c>
      <c r="X343" s="22">
        <v>346123.65249887749</v>
      </c>
      <c r="Y343" s="22">
        <v>360436.00796136493</v>
      </c>
      <c r="Z343" s="22">
        <v>363672.19404440332</v>
      </c>
      <c r="AA343" s="23">
        <v>352586.79720103618</v>
      </c>
      <c r="AB343" s="97"/>
      <c r="AC343" s="16">
        <v>4</v>
      </c>
      <c r="AD343" s="16">
        <f t="shared" si="111"/>
        <v>28190929.077413533</v>
      </c>
    </row>
    <row r="344" spans="1:30" ht="13.5" thickBot="1" x14ac:dyDescent="0.35">
      <c r="A344" s="18">
        <v>2035</v>
      </c>
      <c r="B344" s="25" t="s">
        <v>39</v>
      </c>
      <c r="C344" s="26" t="s">
        <v>36</v>
      </c>
      <c r="D344" s="21">
        <v>350904.1771908892</v>
      </c>
      <c r="E344" s="22">
        <v>336834.62339692423</v>
      </c>
      <c r="F344" s="22">
        <v>324330.99491407321</v>
      </c>
      <c r="G344" s="22">
        <v>313470.7321179905</v>
      </c>
      <c r="H344" s="22">
        <v>302875.68721794273</v>
      </c>
      <c r="I344" s="22">
        <v>285326.29332742974</v>
      </c>
      <c r="J344" s="22">
        <v>268346.09089047037</v>
      </c>
      <c r="K344" s="22">
        <v>225673.78131980935</v>
      </c>
      <c r="L344" s="22">
        <v>223281.87080633643</v>
      </c>
      <c r="M344" s="22">
        <v>223051.7370301809</v>
      </c>
      <c r="N344" s="22">
        <v>228155.76590307147</v>
      </c>
      <c r="O344" s="22">
        <v>238082.37263084576</v>
      </c>
      <c r="P344" s="22">
        <v>244379.61007318538</v>
      </c>
      <c r="Q344" s="22">
        <v>263568.43815700844</v>
      </c>
      <c r="R344" s="22">
        <v>278387.61282439821</v>
      </c>
      <c r="S344" s="22">
        <v>283440.25908834761</v>
      </c>
      <c r="T344" s="22">
        <v>286553.73908894573</v>
      </c>
      <c r="U344" s="22">
        <v>301900.15640541923</v>
      </c>
      <c r="V344" s="22">
        <v>310238.12968073029</v>
      </c>
      <c r="W344" s="22">
        <v>328468.18831413472</v>
      </c>
      <c r="X344" s="22">
        <v>343945.76074584626</v>
      </c>
      <c r="Y344" s="22">
        <v>357822.28581512783</v>
      </c>
      <c r="Z344" s="22">
        <v>361679.78259512264</v>
      </c>
      <c r="AA344" s="23">
        <v>351842.3418127647</v>
      </c>
      <c r="AB344" s="97"/>
      <c r="AC344" s="16">
        <v>7</v>
      </c>
      <c r="AD344" s="16">
        <f t="shared" si="111"/>
        <v>49227923.019428961</v>
      </c>
    </row>
    <row r="345" spans="1:30" ht="13.5" thickBot="1" x14ac:dyDescent="0.35">
      <c r="A345" s="18">
        <v>2035</v>
      </c>
      <c r="B345" s="11" t="s">
        <v>40</v>
      </c>
      <c r="C345" s="12" t="s">
        <v>33</v>
      </c>
      <c r="D345" s="21">
        <v>357770.06565583718</v>
      </c>
      <c r="E345" s="22">
        <v>344249.02813620289</v>
      </c>
      <c r="F345" s="22">
        <v>331781.65609568881</v>
      </c>
      <c r="G345" s="22">
        <v>321008.62295949011</v>
      </c>
      <c r="H345" s="22">
        <v>310569.36680610199</v>
      </c>
      <c r="I345" s="22">
        <v>294177.8509470158</v>
      </c>
      <c r="J345" s="22">
        <v>278155.61782747105</v>
      </c>
      <c r="K345" s="22">
        <v>232508.42229479845</v>
      </c>
      <c r="L345" s="22">
        <v>226538.0858444937</v>
      </c>
      <c r="M345" s="22">
        <v>224351.12306616487</v>
      </c>
      <c r="N345" s="22">
        <v>228087.39798855394</v>
      </c>
      <c r="O345" s="22">
        <v>237322.03328674831</v>
      </c>
      <c r="P345" s="22">
        <v>244230.75337003643</v>
      </c>
      <c r="Q345" s="22">
        <v>260081.02928868035</v>
      </c>
      <c r="R345" s="22">
        <v>273630.69713243534</v>
      </c>
      <c r="S345" s="22">
        <v>279557.73352008744</v>
      </c>
      <c r="T345" s="22">
        <v>284122.7954212887</v>
      </c>
      <c r="U345" s="22">
        <v>303110.06513939204</v>
      </c>
      <c r="V345" s="22">
        <v>313441.49343978724</v>
      </c>
      <c r="W345" s="22">
        <v>331794.78890205105</v>
      </c>
      <c r="X345" s="22">
        <v>346714.39128948544</v>
      </c>
      <c r="Y345" s="22">
        <v>361041.25360732031</v>
      </c>
      <c r="Z345" s="22">
        <v>365686.18627858273</v>
      </c>
      <c r="AA345" s="23">
        <v>357098.03651700879</v>
      </c>
      <c r="AB345" s="96">
        <f t="shared" ref="AB345" si="118">+SUM(D345:AA345)*AC345+SUM(D346:AA346)*AC346+SUM(D347:AA347)*AC347</f>
        <v>214274644.70977667</v>
      </c>
      <c r="AC345" s="16">
        <v>20</v>
      </c>
      <c r="AD345" s="16">
        <f t="shared" si="111"/>
        <v>142140569.89629447</v>
      </c>
    </row>
    <row r="346" spans="1:30" ht="13.5" thickBot="1" x14ac:dyDescent="0.35">
      <c r="A346" s="18">
        <v>2035</v>
      </c>
      <c r="B346" s="19" t="s">
        <v>40</v>
      </c>
      <c r="C346" s="20" t="s">
        <v>34</v>
      </c>
      <c r="D346" s="21">
        <v>357699.94642691844</v>
      </c>
      <c r="E346" s="22">
        <v>343255.31366816105</v>
      </c>
      <c r="F346" s="22">
        <v>330562.97430377098</v>
      </c>
      <c r="G346" s="22">
        <v>319502.8065728129</v>
      </c>
      <c r="H346" s="22">
        <v>308593.87160481518</v>
      </c>
      <c r="I346" s="22">
        <v>290210.75288379507</v>
      </c>
      <c r="J346" s="22">
        <v>272380.49284077052</v>
      </c>
      <c r="K346" s="22">
        <v>230214.71752476008</v>
      </c>
      <c r="L346" s="22">
        <v>228256.22368734068</v>
      </c>
      <c r="M346" s="22">
        <v>228257.66135209994</v>
      </c>
      <c r="N346" s="22">
        <v>233823.34835402007</v>
      </c>
      <c r="O346" s="22">
        <v>244283.31782236317</v>
      </c>
      <c r="P346" s="22">
        <v>251068.59648903081</v>
      </c>
      <c r="Q346" s="22">
        <v>272330.88384493429</v>
      </c>
      <c r="R346" s="22">
        <v>287457.32103291701</v>
      </c>
      <c r="S346" s="22">
        <v>292379.74373664532</v>
      </c>
      <c r="T346" s="22">
        <v>295019.19963233673</v>
      </c>
      <c r="U346" s="22">
        <v>308943.61296145193</v>
      </c>
      <c r="V346" s="22">
        <v>316956.05821102316</v>
      </c>
      <c r="W346" s="22">
        <v>336403.63165720593</v>
      </c>
      <c r="X346" s="22">
        <v>353328.84932657197</v>
      </c>
      <c r="Y346" s="22">
        <v>367913.27674617933</v>
      </c>
      <c r="Z346" s="22">
        <v>371210.98138802673</v>
      </c>
      <c r="AA346" s="23">
        <v>359914.85573607672</v>
      </c>
      <c r="AB346" s="97"/>
      <c r="AC346" s="16">
        <v>5</v>
      </c>
      <c r="AD346" s="16">
        <f t="shared" si="111"/>
        <v>35999842.189020135</v>
      </c>
    </row>
    <row r="347" spans="1:30" ht="13.5" thickBot="1" x14ac:dyDescent="0.35">
      <c r="A347" s="18">
        <v>2035</v>
      </c>
      <c r="B347" s="25" t="s">
        <v>40</v>
      </c>
      <c r="C347" s="26" t="s">
        <v>36</v>
      </c>
      <c r="D347" s="21">
        <v>358906.74504145776</v>
      </c>
      <c r="E347" s="22">
        <v>344415.7073165162</v>
      </c>
      <c r="F347" s="22">
        <v>331682.59242056089</v>
      </c>
      <c r="G347" s="22">
        <v>320586.8926883316</v>
      </c>
      <c r="H347" s="22">
        <v>309642.91157089203</v>
      </c>
      <c r="I347" s="22">
        <v>291200.73506579007</v>
      </c>
      <c r="J347" s="22">
        <v>273313.19335779204</v>
      </c>
      <c r="K347" s="22">
        <v>231157.34820004957</v>
      </c>
      <c r="L347" s="22">
        <v>229235.45515265904</v>
      </c>
      <c r="M347" s="22">
        <v>229265.11192454532</v>
      </c>
      <c r="N347" s="22">
        <v>234864.27405335652</v>
      </c>
      <c r="O347" s="22">
        <v>245363.2391782442</v>
      </c>
      <c r="P347" s="22">
        <v>252168.89437164561</v>
      </c>
      <c r="Q347" s="22">
        <v>273491.39800110133</v>
      </c>
      <c r="R347" s="22">
        <v>288651.37202704931</v>
      </c>
      <c r="S347" s="22">
        <v>293563.18508304225</v>
      </c>
      <c r="T347" s="22">
        <v>296168.80844269757</v>
      </c>
      <c r="U347" s="22">
        <v>310041.84230324934</v>
      </c>
      <c r="V347" s="22">
        <v>318080.0284115235</v>
      </c>
      <c r="W347" s="22">
        <v>337590.07931928016</v>
      </c>
      <c r="X347" s="22">
        <v>354569.67110578198</v>
      </c>
      <c r="Y347" s="22">
        <v>369200.95259724598</v>
      </c>
      <c r="Z347" s="22">
        <v>372509.25147675577</v>
      </c>
      <c r="AA347" s="23">
        <v>361176.83578284713</v>
      </c>
      <c r="AB347" s="97"/>
      <c r="AC347" s="16">
        <v>5</v>
      </c>
      <c r="AD347" s="16">
        <f t="shared" si="111"/>
        <v>36134232.624462068</v>
      </c>
    </row>
    <row r="348" spans="1:30" ht="13.5" thickBot="1" x14ac:dyDescent="0.35">
      <c r="A348" s="18">
        <v>2035</v>
      </c>
      <c r="B348" s="11" t="s">
        <v>41</v>
      </c>
      <c r="C348" s="12" t="s">
        <v>33</v>
      </c>
      <c r="D348" s="21">
        <v>347958.67996205064</v>
      </c>
      <c r="E348" s="22">
        <v>334575.91942437104</v>
      </c>
      <c r="F348" s="22">
        <v>322324.40695867885</v>
      </c>
      <c r="G348" s="22">
        <v>311736.07023924158</v>
      </c>
      <c r="H348" s="22">
        <v>301508.55936489516</v>
      </c>
      <c r="I348" s="22">
        <v>285294.53385233018</v>
      </c>
      <c r="J348" s="22">
        <v>269523.2301253443</v>
      </c>
      <c r="K348" s="22">
        <v>224632.4182837613</v>
      </c>
      <c r="L348" s="22">
        <v>219588.99735747743</v>
      </c>
      <c r="M348" s="22">
        <v>217879.72417944082</v>
      </c>
      <c r="N348" s="22">
        <v>221765.08802676131</v>
      </c>
      <c r="O348" s="22">
        <v>230860.53146643989</v>
      </c>
      <c r="P348" s="22">
        <v>237251.53008809773</v>
      </c>
      <c r="Q348" s="22">
        <v>253129.99805649277</v>
      </c>
      <c r="R348" s="22">
        <v>266887.79421441676</v>
      </c>
      <c r="S348" s="22">
        <v>272617.05846378836</v>
      </c>
      <c r="T348" s="22">
        <v>277029.321332947</v>
      </c>
      <c r="U348" s="22">
        <v>295591.36792113574</v>
      </c>
      <c r="V348" s="22">
        <v>305269.47274671367</v>
      </c>
      <c r="W348" s="22">
        <v>322792.90740644309</v>
      </c>
      <c r="X348" s="22">
        <v>337047.83370630315</v>
      </c>
      <c r="Y348" s="22">
        <v>350719.689783498</v>
      </c>
      <c r="Z348" s="22">
        <v>355307.03865710075</v>
      </c>
      <c r="AA348" s="23">
        <v>347077.73566116672</v>
      </c>
      <c r="AB348" s="96">
        <f t="shared" ref="AB348" si="119">+SUM(D348:AA348)*AC348+SUM(D349:AA349)*AC349+SUM(D350:AA350)*AC350</f>
        <v>215048527.47864026</v>
      </c>
      <c r="AC348" s="16">
        <v>20</v>
      </c>
      <c r="AD348" s="16">
        <f t="shared" si="111"/>
        <v>138167398.14557794</v>
      </c>
    </row>
    <row r="349" spans="1:30" ht="13.5" thickBot="1" x14ac:dyDescent="0.35">
      <c r="A349" s="18">
        <v>2035</v>
      </c>
      <c r="B349" s="19" t="s">
        <v>41</v>
      </c>
      <c r="C349" s="20" t="s">
        <v>34</v>
      </c>
      <c r="D349" s="21">
        <v>348131.32263391168</v>
      </c>
      <c r="E349" s="22">
        <v>334054.63168267201</v>
      </c>
      <c r="F349" s="22">
        <v>321685.59872318426</v>
      </c>
      <c r="G349" s="22">
        <v>310907.16180354846</v>
      </c>
      <c r="H349" s="22">
        <v>300276.10536090046</v>
      </c>
      <c r="I349" s="22">
        <v>282361.25177634967</v>
      </c>
      <c r="J349" s="22">
        <v>264985.17414268875</v>
      </c>
      <c r="K349" s="22">
        <v>222858.46738257029</v>
      </c>
      <c r="L349" s="22">
        <v>220696.65342678956</v>
      </c>
      <c r="M349" s="22">
        <v>220531.49607915909</v>
      </c>
      <c r="N349" s="22">
        <v>225863.35041037344</v>
      </c>
      <c r="O349" s="22">
        <v>236025.04793767974</v>
      </c>
      <c r="P349" s="22">
        <v>242645.88220960042</v>
      </c>
      <c r="Q349" s="22">
        <v>263414.32908738463</v>
      </c>
      <c r="R349" s="22">
        <v>278244.35189738253</v>
      </c>
      <c r="S349" s="22">
        <v>283197.3733685019</v>
      </c>
      <c r="T349" s="22">
        <v>286019.3761487364</v>
      </c>
      <c r="U349" s="22">
        <v>300235.82751697459</v>
      </c>
      <c r="V349" s="22">
        <v>308044.17525593407</v>
      </c>
      <c r="W349" s="22">
        <v>326996.36917636951</v>
      </c>
      <c r="X349" s="22">
        <v>343490.45818459825</v>
      </c>
      <c r="Y349" s="22">
        <v>357703.3828684832</v>
      </c>
      <c r="Z349" s="22">
        <v>360917.08652346954</v>
      </c>
      <c r="AA349" s="23">
        <v>349908.70213567943</v>
      </c>
      <c r="AB349" s="97"/>
      <c r="AC349" s="16">
        <v>4</v>
      </c>
      <c r="AD349" s="16">
        <f t="shared" si="111"/>
        <v>27956774.30293176</v>
      </c>
    </row>
    <row r="350" spans="1:30" ht="13.5" thickBot="1" x14ac:dyDescent="0.35">
      <c r="A350" s="18">
        <v>2035</v>
      </c>
      <c r="B350" s="25" t="s">
        <v>41</v>
      </c>
      <c r="C350" s="26" t="s">
        <v>36</v>
      </c>
      <c r="D350" s="21">
        <v>348131.32263391168</v>
      </c>
      <c r="E350" s="22">
        <v>334054.63168267201</v>
      </c>
      <c r="F350" s="22">
        <v>321685.59872318426</v>
      </c>
      <c r="G350" s="22">
        <v>310907.16180354852</v>
      </c>
      <c r="H350" s="22">
        <v>300276.10536090046</v>
      </c>
      <c r="I350" s="22">
        <v>282361.25177634967</v>
      </c>
      <c r="J350" s="22">
        <v>264985.17414268875</v>
      </c>
      <c r="K350" s="22">
        <v>222858.46738257029</v>
      </c>
      <c r="L350" s="22">
        <v>220696.65342678962</v>
      </c>
      <c r="M350" s="22">
        <v>220531.49607915903</v>
      </c>
      <c r="N350" s="22">
        <v>225863.35041037344</v>
      </c>
      <c r="O350" s="22">
        <v>236025.04793767977</v>
      </c>
      <c r="P350" s="22">
        <v>242645.88220960042</v>
      </c>
      <c r="Q350" s="22">
        <v>263414.32908738457</v>
      </c>
      <c r="R350" s="22">
        <v>278244.35189738258</v>
      </c>
      <c r="S350" s="22">
        <v>283197.3733685019</v>
      </c>
      <c r="T350" s="22">
        <v>286019.3761487364</v>
      </c>
      <c r="U350" s="22">
        <v>300235.82751697459</v>
      </c>
      <c r="V350" s="22">
        <v>308044.17525593407</v>
      </c>
      <c r="W350" s="22">
        <v>326996.36917636957</v>
      </c>
      <c r="X350" s="22">
        <v>343490.4581845983</v>
      </c>
      <c r="Y350" s="22">
        <v>357703.3828684832</v>
      </c>
      <c r="Z350" s="22">
        <v>360917.08652346954</v>
      </c>
      <c r="AA350" s="23">
        <v>349908.70213567937</v>
      </c>
      <c r="AB350" s="97"/>
      <c r="AC350" s="16">
        <v>7</v>
      </c>
      <c r="AD350" s="16">
        <f t="shared" si="111"/>
        <v>48924355.03013058</v>
      </c>
    </row>
    <row r="351" spans="1:30" ht="13.5" thickBot="1" x14ac:dyDescent="0.35">
      <c r="A351" s="18">
        <v>2035</v>
      </c>
      <c r="B351" s="11" t="s">
        <v>42</v>
      </c>
      <c r="C351" s="12" t="s">
        <v>33</v>
      </c>
      <c r="D351" s="21">
        <v>359026.81025234686</v>
      </c>
      <c r="E351" s="22">
        <v>345373.38684084755</v>
      </c>
      <c r="F351" s="22">
        <v>332865.92387107416</v>
      </c>
      <c r="G351" s="22">
        <v>322041.57573198655</v>
      </c>
      <c r="H351" s="22">
        <v>311503.42875976086</v>
      </c>
      <c r="I351" s="22">
        <v>294783.75692658266</v>
      </c>
      <c r="J351" s="22">
        <v>278435.54536045628</v>
      </c>
      <c r="K351" s="22">
        <v>233262.71844908621</v>
      </c>
      <c r="L351" s="22">
        <v>227709.49380448874</v>
      </c>
      <c r="M351" s="22">
        <v>225753.14918086806</v>
      </c>
      <c r="N351" s="22">
        <v>229744.23774826643</v>
      </c>
      <c r="O351" s="22">
        <v>239198.37789669269</v>
      </c>
      <c r="P351" s="22">
        <v>246243.57164078293</v>
      </c>
      <c r="Q351" s="22">
        <v>262985.84987077722</v>
      </c>
      <c r="R351" s="22">
        <v>276652.14014139882</v>
      </c>
      <c r="S351" s="22">
        <v>282430.83773838647</v>
      </c>
      <c r="T351" s="22">
        <v>286667.98986099561</v>
      </c>
      <c r="U351" s="22">
        <v>304833.97716899676</v>
      </c>
      <c r="V351" s="22">
        <v>314919.78320850193</v>
      </c>
      <c r="W351" s="22">
        <v>333682.03951288195</v>
      </c>
      <c r="X351" s="22">
        <v>349139.60117647907</v>
      </c>
      <c r="Y351" s="22">
        <v>363676.60500500439</v>
      </c>
      <c r="Z351" s="22">
        <v>368058.6087281176</v>
      </c>
      <c r="AA351" s="23">
        <v>358878.75026581797</v>
      </c>
      <c r="AB351" s="96">
        <f t="shared" ref="AB351" si="120">+SUM(D351:AA351)*AC351+SUM(D352:AA352)*AC352+SUM(D353:AA353)*AC353</f>
        <v>222183896.6806345</v>
      </c>
      <c r="AC351" s="16">
        <v>21</v>
      </c>
      <c r="AD351" s="16">
        <f t="shared" si="111"/>
        <v>150105231.34195256</v>
      </c>
    </row>
    <row r="352" spans="1:30" ht="13.5" thickBot="1" x14ac:dyDescent="0.35">
      <c r="A352" s="18">
        <v>2035</v>
      </c>
      <c r="B352" s="19" t="s">
        <v>42</v>
      </c>
      <c r="C352" s="20" t="s">
        <v>34</v>
      </c>
      <c r="D352" s="21">
        <v>360219.60316147649</v>
      </c>
      <c r="E352" s="22">
        <v>345678.08216954215</v>
      </c>
      <c r="F352" s="22">
        <v>332900.608184118</v>
      </c>
      <c r="G352" s="22">
        <v>321766.25372041337</v>
      </c>
      <c r="H352" s="22">
        <v>310784.1464224201</v>
      </c>
      <c r="I352" s="22">
        <v>292277.72183942993</v>
      </c>
      <c r="J352" s="22">
        <v>274327.86426689371</v>
      </c>
      <c r="K352" s="22">
        <v>232258.57168509494</v>
      </c>
      <c r="L352" s="22">
        <v>230432.36440301288</v>
      </c>
      <c r="M352" s="22">
        <v>230529.47009548169</v>
      </c>
      <c r="N352" s="22">
        <v>236185.36169557582</v>
      </c>
      <c r="O352" s="22">
        <v>246733.77258315499</v>
      </c>
      <c r="P352" s="22">
        <v>253559.74301699959</v>
      </c>
      <c r="Q352" s="22">
        <v>274937.21618141024</v>
      </c>
      <c r="R352" s="22">
        <v>290114.06051817193</v>
      </c>
      <c r="S352" s="22">
        <v>294979.9145474055</v>
      </c>
      <c r="T352" s="22">
        <v>297493.61990894185</v>
      </c>
      <c r="U352" s="22">
        <v>311236.58953915973</v>
      </c>
      <c r="V352" s="22">
        <v>319302.77874170127</v>
      </c>
      <c r="W352" s="22">
        <v>338880.79794322076</v>
      </c>
      <c r="X352" s="22">
        <v>355919.54251655872</v>
      </c>
      <c r="Y352" s="22">
        <v>370601.79585034348</v>
      </c>
      <c r="Z352" s="22">
        <v>373921.62004217354</v>
      </c>
      <c r="AA352" s="23">
        <v>362549.72495569097</v>
      </c>
      <c r="AB352" s="97"/>
      <c r="AC352" s="16">
        <v>4</v>
      </c>
      <c r="AD352" s="16">
        <f t="shared" si="111"/>
        <v>29030364.895953562</v>
      </c>
    </row>
    <row r="353" spans="1:30" ht="13.5" thickBot="1" x14ac:dyDescent="0.35">
      <c r="A353" s="18">
        <v>2035</v>
      </c>
      <c r="B353" s="25" t="s">
        <v>42</v>
      </c>
      <c r="C353" s="26" t="s">
        <v>36</v>
      </c>
      <c r="D353" s="21">
        <v>359201.66686906037</v>
      </c>
      <c r="E353" s="22">
        <v>345256.26040396298</v>
      </c>
      <c r="F353" s="22">
        <v>332621.79817828845</v>
      </c>
      <c r="G353" s="22">
        <v>321676.74328429165</v>
      </c>
      <c r="H353" s="22">
        <v>311031.74395745923</v>
      </c>
      <c r="I353" s="22">
        <v>293879.22711516527</v>
      </c>
      <c r="J353" s="22">
        <v>277191.28057700215</v>
      </c>
      <c r="K353" s="22">
        <v>232931.67565532494</v>
      </c>
      <c r="L353" s="22">
        <v>228711.24080581102</v>
      </c>
      <c r="M353" s="22">
        <v>227509.51279279115</v>
      </c>
      <c r="N353" s="22">
        <v>231995.16158305889</v>
      </c>
      <c r="O353" s="22">
        <v>241698.72324385421</v>
      </c>
      <c r="P353" s="22">
        <v>248424.53184261595</v>
      </c>
      <c r="Q353" s="22">
        <v>266069.66403845133</v>
      </c>
      <c r="R353" s="22">
        <v>280320.16247032495</v>
      </c>
      <c r="S353" s="22">
        <v>285813.62214482302</v>
      </c>
      <c r="T353" s="22">
        <v>289591.35879578668</v>
      </c>
      <c r="U353" s="22">
        <v>306709.20767135016</v>
      </c>
      <c r="V353" s="22">
        <v>316222.99513360468</v>
      </c>
      <c r="W353" s="22">
        <v>334789.99389307183</v>
      </c>
      <c r="X353" s="22">
        <v>350209.9938641144</v>
      </c>
      <c r="Y353" s="22">
        <v>364528.10157358175</v>
      </c>
      <c r="Z353" s="22">
        <v>368833.93805959792</v>
      </c>
      <c r="AA353" s="23">
        <v>359498.13650133437</v>
      </c>
      <c r="AB353" s="97"/>
      <c r="AC353" s="16">
        <v>6</v>
      </c>
      <c r="AD353" s="16">
        <f t="shared" si="111"/>
        <v>43048300.44272837</v>
      </c>
    </row>
    <row r="354" spans="1:30" ht="13.5" thickBot="1" x14ac:dyDescent="0.35">
      <c r="A354" s="18">
        <v>2035</v>
      </c>
      <c r="B354" s="11" t="s">
        <v>43</v>
      </c>
      <c r="C354" s="12" t="s">
        <v>33</v>
      </c>
      <c r="D354" s="21">
        <v>359208.88704013743</v>
      </c>
      <c r="E354" s="22">
        <v>345374.97110096004</v>
      </c>
      <c r="F354" s="22">
        <v>332762.06132142543</v>
      </c>
      <c r="G354" s="22">
        <v>321848.76642450382</v>
      </c>
      <c r="H354" s="22">
        <v>311265.27311553987</v>
      </c>
      <c r="I354" s="22">
        <v>294374.09660555999</v>
      </c>
      <c r="J354" s="22">
        <v>277929.34058234189</v>
      </c>
      <c r="K354" s="22">
        <v>233031.92616948267</v>
      </c>
      <c r="L354" s="22">
        <v>228189.93281995752</v>
      </c>
      <c r="M354" s="22">
        <v>226635.47388240238</v>
      </c>
      <c r="N354" s="22">
        <v>230838.52033193473</v>
      </c>
      <c r="O354" s="22">
        <v>240360.83494136139</v>
      </c>
      <c r="P354" s="22">
        <v>247075.0053417366</v>
      </c>
      <c r="Q354" s="22">
        <v>264009.54525717616</v>
      </c>
      <c r="R354" s="22">
        <v>278131.82073546795</v>
      </c>
      <c r="S354" s="22">
        <v>283840.24146407418</v>
      </c>
      <c r="T354" s="22">
        <v>288011.22719574702</v>
      </c>
      <c r="U354" s="22">
        <v>305993.15682652715</v>
      </c>
      <c r="V354" s="22">
        <v>315801.94650141208</v>
      </c>
      <c r="W354" s="22">
        <v>334177.01179850678</v>
      </c>
      <c r="X354" s="22">
        <v>349281.70552170865</v>
      </c>
      <c r="Y354" s="22">
        <v>363534.95086726826</v>
      </c>
      <c r="Z354" s="22">
        <v>368040.50816475594</v>
      </c>
      <c r="AA354" s="23">
        <v>359106.93194645096</v>
      </c>
      <c r="AB354" s="96">
        <f t="shared" ref="AB354" si="121">+SUM(D354:AA354)*AC354+SUM(D355:AA355)*AC355+SUM(D356:AA356)*AC356</f>
        <v>215360167.80950305</v>
      </c>
      <c r="AC354" s="16">
        <v>20</v>
      </c>
      <c r="AD354" s="16">
        <f t="shared" si="111"/>
        <v>143176482.71912876</v>
      </c>
    </row>
    <row r="355" spans="1:30" ht="13.5" thickBot="1" x14ac:dyDescent="0.35">
      <c r="A355" s="18">
        <v>2035</v>
      </c>
      <c r="B355" s="19" t="s">
        <v>43</v>
      </c>
      <c r="C355" s="20" t="s">
        <v>34</v>
      </c>
      <c r="D355" s="21">
        <v>358463.4848351028</v>
      </c>
      <c r="E355" s="22">
        <v>343989.4917724923</v>
      </c>
      <c r="F355" s="22">
        <v>331271.35383318755</v>
      </c>
      <c r="G355" s="22">
        <v>320188.70509556978</v>
      </c>
      <c r="H355" s="22">
        <v>309257.5965181269</v>
      </c>
      <c r="I355" s="22">
        <v>290837.11208761268</v>
      </c>
      <c r="J355" s="22">
        <v>272970.61008112796</v>
      </c>
      <c r="K355" s="22">
        <v>230686.84991542762</v>
      </c>
      <c r="L355" s="22">
        <v>228659.86115501268</v>
      </c>
      <c r="M355" s="22">
        <v>228618.86484966381</v>
      </c>
      <c r="N355" s="22">
        <v>234172.40895012216</v>
      </c>
      <c r="O355" s="22">
        <v>244645.5296619166</v>
      </c>
      <c r="P355" s="22">
        <v>251446.73884421191</v>
      </c>
      <c r="Q355" s="22">
        <v>272764.41389409994</v>
      </c>
      <c r="R355" s="22">
        <v>287944.24644034443</v>
      </c>
      <c r="S355" s="22">
        <v>292916.4175641443</v>
      </c>
      <c r="T355" s="22">
        <v>295624.87926025037</v>
      </c>
      <c r="U355" s="22">
        <v>309638.45986743487</v>
      </c>
      <c r="V355" s="22">
        <v>317667.19129271305</v>
      </c>
      <c r="W355" s="22">
        <v>337154.29406962515</v>
      </c>
      <c r="X355" s="22">
        <v>354113.91410434333</v>
      </c>
      <c r="Y355" s="22">
        <v>368727.98597581818</v>
      </c>
      <c r="Z355" s="22">
        <v>372032.39356483769</v>
      </c>
      <c r="AA355" s="23">
        <v>360713.30729581695</v>
      </c>
      <c r="AB355" s="97"/>
      <c r="AC355" s="16">
        <v>5</v>
      </c>
      <c r="AD355" s="16">
        <f t="shared" si="111"/>
        <v>36072530.554645017</v>
      </c>
    </row>
    <row r="356" spans="1:30" ht="13.5" thickBot="1" x14ac:dyDescent="0.35">
      <c r="A356" s="18">
        <v>2035</v>
      </c>
      <c r="B356" s="25" t="s">
        <v>43</v>
      </c>
      <c r="C356" s="26" t="s">
        <v>36</v>
      </c>
      <c r="D356" s="21">
        <v>358810.32028293191</v>
      </c>
      <c r="E356" s="22">
        <v>344322.99037436047</v>
      </c>
      <c r="F356" s="22">
        <v>331593.13349572278</v>
      </c>
      <c r="G356" s="22">
        <v>320500.272816009</v>
      </c>
      <c r="H356" s="22">
        <v>309559.09193090035</v>
      </c>
      <c r="I356" s="22">
        <v>291121.63421856181</v>
      </c>
      <c r="J356" s="22">
        <v>273238.66938913031</v>
      </c>
      <c r="K356" s="22">
        <v>230957.76316347299</v>
      </c>
      <c r="L356" s="22">
        <v>228941.29351639451</v>
      </c>
      <c r="M356" s="22">
        <v>228908.40741811725</v>
      </c>
      <c r="N356" s="22">
        <v>234471.57231237376</v>
      </c>
      <c r="O356" s="22">
        <v>244955.90042516962</v>
      </c>
      <c r="P356" s="22">
        <v>251762.9658470146</v>
      </c>
      <c r="Q356" s="22">
        <v>273097.94713006564</v>
      </c>
      <c r="R356" s="22">
        <v>288287.41820594907</v>
      </c>
      <c r="S356" s="22">
        <v>293256.54010357382</v>
      </c>
      <c r="T356" s="22">
        <v>295955.2782860414</v>
      </c>
      <c r="U356" s="22">
        <v>309954.09236899088</v>
      </c>
      <c r="V356" s="22">
        <v>317990.22174960992</v>
      </c>
      <c r="W356" s="22">
        <v>337495.28062798182</v>
      </c>
      <c r="X356" s="22">
        <v>354470.52785272151</v>
      </c>
      <c r="Y356" s="22">
        <v>369098.06564369547</v>
      </c>
      <c r="Z356" s="22">
        <v>372405.51803001564</v>
      </c>
      <c r="AA356" s="23">
        <v>361076.0019570468</v>
      </c>
      <c r="AB356" s="97"/>
      <c r="AC356" s="16">
        <v>5</v>
      </c>
      <c r="AD356" s="16">
        <f t="shared" si="111"/>
        <v>36111154.535729267</v>
      </c>
    </row>
    <row r="357" spans="1:30" ht="13.5" thickBot="1" x14ac:dyDescent="0.35">
      <c r="A357" s="18">
        <v>2035</v>
      </c>
      <c r="B357" s="11" t="s">
        <v>44</v>
      </c>
      <c r="C357" s="12" t="s">
        <v>33</v>
      </c>
      <c r="D357" s="21">
        <v>349796.34577832953</v>
      </c>
      <c r="E357" s="22">
        <v>336510.47420473181</v>
      </c>
      <c r="F357" s="22">
        <v>324272.56805607531</v>
      </c>
      <c r="G357" s="22">
        <v>313700.37194009015</v>
      </c>
      <c r="H357" s="22">
        <v>303475.38003055536</v>
      </c>
      <c r="I357" s="22">
        <v>287403.62097342347</v>
      </c>
      <c r="J357" s="22">
        <v>271719.50127180066</v>
      </c>
      <c r="K357" s="22">
        <v>226202.88525406903</v>
      </c>
      <c r="L357" s="22">
        <v>220338.98255529438</v>
      </c>
      <c r="M357" s="22">
        <v>218166.94024317741</v>
      </c>
      <c r="N357" s="22">
        <v>221790.17761709206</v>
      </c>
      <c r="O357" s="22">
        <v>230802.73646006349</v>
      </c>
      <c r="P357" s="22">
        <v>237442.50596366578</v>
      </c>
      <c r="Q357" s="22">
        <v>252973.39367448495</v>
      </c>
      <c r="R357" s="22">
        <v>266464.63120404311</v>
      </c>
      <c r="S357" s="22">
        <v>272396.46553369774</v>
      </c>
      <c r="T357" s="22">
        <v>277098.84390931076</v>
      </c>
      <c r="U357" s="22">
        <v>296264.67556275718</v>
      </c>
      <c r="V357" s="22">
        <v>306307.80693311151</v>
      </c>
      <c r="W357" s="22">
        <v>324094.93929206679</v>
      </c>
      <c r="X357" s="22">
        <v>338518.79678511689</v>
      </c>
      <c r="Y357" s="22">
        <v>352421.93793259538</v>
      </c>
      <c r="Z357" s="22">
        <v>357040.8933373185</v>
      </c>
      <c r="AA357" s="23">
        <v>348783.61797972262</v>
      </c>
      <c r="AB357" s="96">
        <f t="shared" ref="AB357" si="122">+SUM(D357:AA357)*AC357+SUM(D358:AA358)*AC358+SUM(D359:AA359)*AC359</f>
        <v>216132568.63535595</v>
      </c>
      <c r="AC357" s="16">
        <v>22</v>
      </c>
      <c r="AD357" s="16">
        <f t="shared" si="111"/>
        <v>152547746.83483711</v>
      </c>
    </row>
    <row r="358" spans="1:30" ht="13.5" thickBot="1" x14ac:dyDescent="0.35">
      <c r="A358" s="18">
        <v>2035</v>
      </c>
      <c r="B358" s="19" t="s">
        <v>44</v>
      </c>
      <c r="C358" s="20" t="s">
        <v>34</v>
      </c>
      <c r="D358" s="21">
        <v>351640.83989064454</v>
      </c>
      <c r="E358" s="22">
        <v>337429.19764955482</v>
      </c>
      <c r="F358" s="22">
        <v>324941.58448127605</v>
      </c>
      <c r="G358" s="22">
        <v>314059.81617716135</v>
      </c>
      <c r="H358" s="22">
        <v>303326.84126628988</v>
      </c>
      <c r="I358" s="22">
        <v>285240.24045740295</v>
      </c>
      <c r="J358" s="22">
        <v>267697.58076995373</v>
      </c>
      <c r="K358" s="22">
        <v>225480.01102790414</v>
      </c>
      <c r="L358" s="22">
        <v>223336.32297522432</v>
      </c>
      <c r="M358" s="22">
        <v>223195.13814017925</v>
      </c>
      <c r="N358" s="22">
        <v>228592.2334847585</v>
      </c>
      <c r="O358" s="22">
        <v>238856.23358753236</v>
      </c>
      <c r="P358" s="22">
        <v>245539.25294456378</v>
      </c>
      <c r="Q358" s="22">
        <v>266499.47532062669</v>
      </c>
      <c r="R358" s="22">
        <v>281458.03196303401</v>
      </c>
      <c r="S358" s="22">
        <v>286434.60376449843</v>
      </c>
      <c r="T358" s="22">
        <v>289245.33566079719</v>
      </c>
      <c r="U358" s="22">
        <v>303429.61211405066</v>
      </c>
      <c r="V358" s="22">
        <v>311312.81740317028</v>
      </c>
      <c r="W358" s="22">
        <v>330446.70338631532</v>
      </c>
      <c r="X358" s="22">
        <v>347098.91894532758</v>
      </c>
      <c r="Y358" s="22">
        <v>361448.10097302124</v>
      </c>
      <c r="Z358" s="22">
        <v>364692.61396060855</v>
      </c>
      <c r="AA358" s="23">
        <v>353578.6937137557</v>
      </c>
      <c r="AB358" s="97"/>
      <c r="AC358" s="16">
        <v>4</v>
      </c>
      <c r="AD358" s="16">
        <f t="shared" si="111"/>
        <v>28259920.800230604</v>
      </c>
    </row>
    <row r="359" spans="1:30" ht="13.5" thickBot="1" x14ac:dyDescent="0.35">
      <c r="A359" s="18">
        <v>2035</v>
      </c>
      <c r="B359" s="25" t="s">
        <v>44</v>
      </c>
      <c r="C359" s="26" t="s">
        <v>36</v>
      </c>
      <c r="D359" s="21">
        <v>351640.83989064454</v>
      </c>
      <c r="E359" s="22">
        <v>337429.19764955482</v>
      </c>
      <c r="F359" s="22">
        <v>324941.58448127605</v>
      </c>
      <c r="G359" s="22">
        <v>314059.81617716135</v>
      </c>
      <c r="H359" s="22">
        <v>303326.84126628988</v>
      </c>
      <c r="I359" s="22">
        <v>285240.24045740295</v>
      </c>
      <c r="J359" s="22">
        <v>267697.58076995373</v>
      </c>
      <c r="K359" s="22">
        <v>225480.01102790414</v>
      </c>
      <c r="L359" s="22">
        <v>223336.32297522429</v>
      </c>
      <c r="M359" s="22">
        <v>223195.13814017928</v>
      </c>
      <c r="N359" s="22">
        <v>228592.23348475847</v>
      </c>
      <c r="O359" s="22">
        <v>238856.23358753236</v>
      </c>
      <c r="P359" s="22">
        <v>245539.25294456381</v>
      </c>
      <c r="Q359" s="22">
        <v>266499.47532062669</v>
      </c>
      <c r="R359" s="22">
        <v>281458.03196303401</v>
      </c>
      <c r="S359" s="22">
        <v>286434.60376449843</v>
      </c>
      <c r="T359" s="22">
        <v>289245.33566079719</v>
      </c>
      <c r="U359" s="22">
        <v>303429.61211405066</v>
      </c>
      <c r="V359" s="22">
        <v>311312.81740317028</v>
      </c>
      <c r="W359" s="22">
        <v>330446.70338631532</v>
      </c>
      <c r="X359" s="22">
        <v>347098.91894532758</v>
      </c>
      <c r="Y359" s="22">
        <v>361448.10097302124</v>
      </c>
      <c r="Z359" s="22">
        <v>364692.61396060855</v>
      </c>
      <c r="AA359" s="23">
        <v>353578.6937137557</v>
      </c>
      <c r="AB359" s="97"/>
      <c r="AC359" s="16">
        <v>5</v>
      </c>
      <c r="AD359" s="16">
        <f t="shared" si="111"/>
        <v>35324901.000288256</v>
      </c>
    </row>
    <row r="360" spans="1:30" ht="13.5" thickBot="1" x14ac:dyDescent="0.35">
      <c r="A360" s="18">
        <v>2035</v>
      </c>
      <c r="B360" s="11" t="s">
        <v>45</v>
      </c>
      <c r="C360" s="12" t="s">
        <v>33</v>
      </c>
      <c r="D360" s="21">
        <v>344272.71485813538</v>
      </c>
      <c r="E360" s="22">
        <v>331235.96977092547</v>
      </c>
      <c r="F360" s="22">
        <v>319216.12734332716</v>
      </c>
      <c r="G360" s="22">
        <v>308829.65912110789</v>
      </c>
      <c r="H360" s="22">
        <v>298764.6925954285</v>
      </c>
      <c r="I360" s="22">
        <v>282958.9236168121</v>
      </c>
      <c r="J360" s="22">
        <v>267509.45741422742</v>
      </c>
      <c r="K360" s="22">
        <v>221683.37984145372</v>
      </c>
      <c r="L360" s="22">
        <v>215307.86127180801</v>
      </c>
      <c r="M360" s="22">
        <v>212791.15187286926</v>
      </c>
      <c r="N360" s="22">
        <v>216168.48808123148</v>
      </c>
      <c r="O360" s="22">
        <v>224994.6055934405</v>
      </c>
      <c r="P360" s="22">
        <v>231675.69258847515</v>
      </c>
      <c r="Q360" s="22">
        <v>247083.06942213149</v>
      </c>
      <c r="R360" s="22">
        <v>260368.17781530716</v>
      </c>
      <c r="S360" s="22">
        <v>266466.31171409739</v>
      </c>
      <c r="T360" s="22">
        <v>271481.81955282099</v>
      </c>
      <c r="U360" s="22">
        <v>291048.05223390914</v>
      </c>
      <c r="V360" s="22">
        <v>301004.71657528362</v>
      </c>
      <c r="W360" s="22">
        <v>318700.3907233238</v>
      </c>
      <c r="X360" s="22">
        <v>333087.14539244102</v>
      </c>
      <c r="Y360" s="22">
        <v>346899.72822095314</v>
      </c>
      <c r="Z360" s="22">
        <v>351375.69486032252</v>
      </c>
      <c r="AA360" s="23">
        <v>343091.84535360127</v>
      </c>
      <c r="AB360" s="96">
        <f t="shared" ref="AB360" si="123">+SUM(D360:AA360)*AC360+SUM(D361:AA361)*AC361+SUM(D362:AA362)*AC362</f>
        <v>205203292.93938541</v>
      </c>
      <c r="AC360" s="16">
        <v>20</v>
      </c>
      <c r="AD360" s="16">
        <f t="shared" si="111"/>
        <v>136120313.51666868</v>
      </c>
    </row>
    <row r="361" spans="1:30" ht="13.5" thickBot="1" x14ac:dyDescent="0.35">
      <c r="A361" s="18">
        <v>2035</v>
      </c>
      <c r="B361" s="19" t="s">
        <v>45</v>
      </c>
      <c r="C361" s="20" t="s">
        <v>34</v>
      </c>
      <c r="D361" s="21">
        <v>344781.09931356128</v>
      </c>
      <c r="E361" s="22">
        <v>330833.2343304801</v>
      </c>
      <c r="F361" s="22">
        <v>318577.39932722424</v>
      </c>
      <c r="G361" s="22">
        <v>307897.60367038369</v>
      </c>
      <c r="H361" s="22">
        <v>297363.83970531542</v>
      </c>
      <c r="I361" s="22">
        <v>279612.93788794079</v>
      </c>
      <c r="J361" s="22">
        <v>262395.88129350753</v>
      </c>
      <c r="K361" s="22">
        <v>219925.46721832216</v>
      </c>
      <c r="L361" s="22">
        <v>217428.8795587662</v>
      </c>
      <c r="M361" s="22">
        <v>217032.00795699257</v>
      </c>
      <c r="N361" s="22">
        <v>222186.15782177824</v>
      </c>
      <c r="O361" s="22">
        <v>232210.28830497697</v>
      </c>
      <c r="P361" s="22">
        <v>238782.28441006053</v>
      </c>
      <c r="Q361" s="22">
        <v>259427.54708434152</v>
      </c>
      <c r="R361" s="22">
        <v>274246.3257445732</v>
      </c>
      <c r="S361" s="22">
        <v>279372.43940741575</v>
      </c>
      <c r="T361" s="22">
        <v>282518.37478201312</v>
      </c>
      <c r="U361" s="22">
        <v>297187.00602542254</v>
      </c>
      <c r="V361" s="22">
        <v>304923.89393332688</v>
      </c>
      <c r="W361" s="22">
        <v>323702.6426357787</v>
      </c>
      <c r="X361" s="22">
        <v>340045.78231985617</v>
      </c>
      <c r="Y361" s="22">
        <v>354128.63426227734</v>
      </c>
      <c r="Z361" s="22">
        <v>357312.92699347739</v>
      </c>
      <c r="AA361" s="23">
        <v>346405.28828388179</v>
      </c>
      <c r="AB361" s="97"/>
      <c r="AC361" s="16">
        <v>4</v>
      </c>
      <c r="AD361" s="16">
        <f t="shared" si="111"/>
        <v>27633191.769086692</v>
      </c>
    </row>
    <row r="362" spans="1:30" ht="13.5" thickBot="1" x14ac:dyDescent="0.35">
      <c r="A362" s="18">
        <v>2035</v>
      </c>
      <c r="B362" s="25" t="s">
        <v>45</v>
      </c>
      <c r="C362" s="26" t="s">
        <v>36</v>
      </c>
      <c r="D362" s="21">
        <v>344781.09931356128</v>
      </c>
      <c r="E362" s="22">
        <v>330833.23433048005</v>
      </c>
      <c r="F362" s="22">
        <v>318577.39932722418</v>
      </c>
      <c r="G362" s="22">
        <v>307897.60367038375</v>
      </c>
      <c r="H362" s="22">
        <v>297363.83970531542</v>
      </c>
      <c r="I362" s="22">
        <v>279612.93788794079</v>
      </c>
      <c r="J362" s="22">
        <v>262395.88129350753</v>
      </c>
      <c r="K362" s="22">
        <v>219925.46721832218</v>
      </c>
      <c r="L362" s="22">
        <v>217428.87955876623</v>
      </c>
      <c r="M362" s="22">
        <v>217032.00795699257</v>
      </c>
      <c r="N362" s="22">
        <v>222186.15782177824</v>
      </c>
      <c r="O362" s="22">
        <v>232210.28830497697</v>
      </c>
      <c r="P362" s="22">
        <v>238782.28441006053</v>
      </c>
      <c r="Q362" s="22">
        <v>259427.54708434152</v>
      </c>
      <c r="R362" s="22">
        <v>274246.3257445732</v>
      </c>
      <c r="S362" s="22">
        <v>279372.43940741575</v>
      </c>
      <c r="T362" s="22">
        <v>282518.37478201318</v>
      </c>
      <c r="U362" s="22">
        <v>297187.00602542254</v>
      </c>
      <c r="V362" s="22">
        <v>304923.89393332688</v>
      </c>
      <c r="W362" s="22">
        <v>323702.6426357787</v>
      </c>
      <c r="X362" s="22">
        <v>340045.78231985617</v>
      </c>
      <c r="Y362" s="22">
        <v>354128.63426227734</v>
      </c>
      <c r="Z362" s="22">
        <v>357312.92699347739</v>
      </c>
      <c r="AA362" s="23">
        <v>346405.28828388179</v>
      </c>
      <c r="AB362" s="97"/>
      <c r="AC362" s="16">
        <v>6</v>
      </c>
      <c r="AD362" s="16">
        <f t="shared" si="111"/>
        <v>41449787.653630041</v>
      </c>
    </row>
    <row r="363" spans="1:30" ht="13.5" thickBot="1" x14ac:dyDescent="0.35">
      <c r="A363" s="18">
        <v>2035</v>
      </c>
      <c r="B363" s="11" t="s">
        <v>46</v>
      </c>
      <c r="C363" s="12" t="s">
        <v>33</v>
      </c>
      <c r="D363" s="21">
        <v>341658.79316271964</v>
      </c>
      <c r="E363" s="22">
        <v>328734.88124638546</v>
      </c>
      <c r="F363" s="22">
        <v>316897.27349664626</v>
      </c>
      <c r="G363" s="22">
        <v>306533.54136477213</v>
      </c>
      <c r="H363" s="22">
        <v>296504.82858168357</v>
      </c>
      <c r="I363" s="22">
        <v>280877.05891534069</v>
      </c>
      <c r="J363" s="22">
        <v>265549.50649267103</v>
      </c>
      <c r="K363" s="22">
        <v>220334.84342248071</v>
      </c>
      <c r="L363" s="22">
        <v>214735.31556744679</v>
      </c>
      <c r="M363" s="22">
        <v>212435.19004734739</v>
      </c>
      <c r="N363" s="22">
        <v>216041.27642948888</v>
      </c>
      <c r="O363" s="22">
        <v>224682.27528979248</v>
      </c>
      <c r="P363" s="22">
        <v>231099.77674801377</v>
      </c>
      <c r="Q363" s="22">
        <v>246954.92153034901</v>
      </c>
      <c r="R363" s="22">
        <v>260332.45852660964</v>
      </c>
      <c r="S363" s="22">
        <v>266268.75550101022</v>
      </c>
      <c r="T363" s="22">
        <v>270923.78448279726</v>
      </c>
      <c r="U363" s="22">
        <v>289672.18759925623</v>
      </c>
      <c r="V363" s="22">
        <v>299662.09564421448</v>
      </c>
      <c r="W363" s="22">
        <v>317131.54354110098</v>
      </c>
      <c r="X363" s="22">
        <v>331624.53742568113</v>
      </c>
      <c r="Y363" s="22">
        <v>345547.60570449888</v>
      </c>
      <c r="Z363" s="22">
        <v>350013.51244223246</v>
      </c>
      <c r="AA363" s="23">
        <v>341521.35214663501</v>
      </c>
      <c r="AB363" s="96">
        <f t="shared" ref="AB363" si="124">+SUM(D363:AA363)*AC363+SUM(D364:AA364)*AC364+SUM(D365:AA365)*AC365</f>
        <v>210160379.79079807</v>
      </c>
      <c r="AC363" s="16">
        <v>20</v>
      </c>
      <c r="AD363" s="16">
        <f t="shared" si="111"/>
        <v>135514746.30618346</v>
      </c>
    </row>
    <row r="364" spans="1:30" ht="13.5" thickBot="1" x14ac:dyDescent="0.35">
      <c r="A364" s="18">
        <v>2035</v>
      </c>
      <c r="B364" s="19" t="s">
        <v>46</v>
      </c>
      <c r="C364" s="20" t="s">
        <v>34</v>
      </c>
      <c r="D364" s="21">
        <v>343829.30436974071</v>
      </c>
      <c r="E364" s="22">
        <v>329918.03870957077</v>
      </c>
      <c r="F364" s="22">
        <v>317694.36312737135</v>
      </c>
      <c r="G364" s="22">
        <v>307042.59135019581</v>
      </c>
      <c r="H364" s="22">
        <v>296536.46807632258</v>
      </c>
      <c r="I364" s="22">
        <v>278832.14478464826</v>
      </c>
      <c r="J364" s="22">
        <v>261660.26590125856</v>
      </c>
      <c r="K364" s="22">
        <v>219302.80378775657</v>
      </c>
      <c r="L364" s="22">
        <v>216866.4320022864</v>
      </c>
      <c r="M364" s="22">
        <v>216505.90211979562</v>
      </c>
      <c r="N364" s="22">
        <v>221666.0386885576</v>
      </c>
      <c r="O364" s="22">
        <v>231670.61174205932</v>
      </c>
      <c r="P364" s="22">
        <v>238223.5838408859</v>
      </c>
      <c r="Q364" s="22">
        <v>258804.54997824089</v>
      </c>
      <c r="R364" s="22">
        <v>273565.60371251957</v>
      </c>
      <c r="S364" s="22">
        <v>278645.2069001107</v>
      </c>
      <c r="T364" s="22">
        <v>281729.94890519523</v>
      </c>
      <c r="U364" s="22">
        <v>296320.83902615303</v>
      </c>
      <c r="V364" s="22">
        <v>304037.42527074105</v>
      </c>
      <c r="W364" s="22">
        <v>322766.89836804004</v>
      </c>
      <c r="X364" s="22">
        <v>339067.15350689099</v>
      </c>
      <c r="Y364" s="22">
        <v>353113.0519194082</v>
      </c>
      <c r="Z364" s="22">
        <v>356288.98903789948</v>
      </c>
      <c r="AA364" s="23">
        <v>345409.97207018448</v>
      </c>
      <c r="AB364" s="97"/>
      <c r="AC364" s="16">
        <v>4</v>
      </c>
      <c r="AD364" s="16">
        <f t="shared" si="111"/>
        <v>27557992.748783331</v>
      </c>
    </row>
    <row r="365" spans="1:30" ht="13.5" thickBot="1" x14ac:dyDescent="0.35">
      <c r="A365" s="28">
        <v>2035</v>
      </c>
      <c r="B365" s="25" t="s">
        <v>46</v>
      </c>
      <c r="C365" s="26" t="s">
        <v>36</v>
      </c>
      <c r="D365" s="21">
        <v>333575.66206527158</v>
      </c>
      <c r="E365" s="22">
        <v>323661.82344495907</v>
      </c>
      <c r="F365" s="22">
        <v>314636.59720555606</v>
      </c>
      <c r="G365" s="22">
        <v>305843.11852327728</v>
      </c>
      <c r="H365" s="22">
        <v>296546.61653735273</v>
      </c>
      <c r="I365" s="22">
        <v>281581.81990059785</v>
      </c>
      <c r="J365" s="22">
        <v>265920.87607416807</v>
      </c>
      <c r="K365" s="22">
        <v>219865.81094325683</v>
      </c>
      <c r="L365" s="22">
        <v>215053.78586584501</v>
      </c>
      <c r="M365" s="22">
        <v>213102.53311655324</v>
      </c>
      <c r="N365" s="22">
        <v>216653.25151484803</v>
      </c>
      <c r="O365" s="22">
        <v>224962.26071102169</v>
      </c>
      <c r="P365" s="22">
        <v>230930.18118228755</v>
      </c>
      <c r="Q365" s="22">
        <v>246061.28031350594</v>
      </c>
      <c r="R365" s="22">
        <v>258455.35770713942</v>
      </c>
      <c r="S365" s="22">
        <v>264143.99513993505</v>
      </c>
      <c r="T365" s="22">
        <v>267982.81714149809</v>
      </c>
      <c r="U365" s="22">
        <v>287133.7814410585</v>
      </c>
      <c r="V365" s="22">
        <v>296278.48489456944</v>
      </c>
      <c r="W365" s="22">
        <v>313061.15983921412</v>
      </c>
      <c r="X365" s="22">
        <v>327274.74413105828</v>
      </c>
      <c r="Y365" s="22">
        <v>340871.33213361993</v>
      </c>
      <c r="Z365" s="22">
        <v>345335.53872397461</v>
      </c>
      <c r="AA365" s="23">
        <v>337872.99085390102</v>
      </c>
      <c r="AB365" s="97"/>
      <c r="AC365" s="16">
        <v>7</v>
      </c>
      <c r="AD365" s="16">
        <f t="shared" si="111"/>
        <v>47087640.735831283</v>
      </c>
    </row>
    <row r="366" spans="1:30" ht="13.5" thickBot="1" x14ac:dyDescent="0.35">
      <c r="A366" s="10">
        <v>2036</v>
      </c>
      <c r="B366" s="11" t="s">
        <v>32</v>
      </c>
      <c r="C366" s="12" t="s">
        <v>33</v>
      </c>
      <c r="D366" s="21">
        <v>326159.72367004631</v>
      </c>
      <c r="E366" s="22">
        <v>313232.65466049127</v>
      </c>
      <c r="F366" s="22">
        <v>300985.91151589307</v>
      </c>
      <c r="G366" s="22">
        <v>290071.29103336681</v>
      </c>
      <c r="H366" s="22">
        <v>279909.63721770718</v>
      </c>
      <c r="I366" s="22">
        <v>269977.9307694328</v>
      </c>
      <c r="J366" s="22">
        <v>256156.64359795084</v>
      </c>
      <c r="K366" s="22">
        <v>208057.73106329821</v>
      </c>
      <c r="L366" s="22">
        <v>205446.24411977531</v>
      </c>
      <c r="M366" s="22">
        <v>206574.57353946302</v>
      </c>
      <c r="N366" s="22">
        <v>211463.78225540023</v>
      </c>
      <c r="O366" s="22">
        <v>220025.85405552157</v>
      </c>
      <c r="P366" s="22">
        <v>224138.95924841639</v>
      </c>
      <c r="Q366" s="22">
        <v>238568.54653191532</v>
      </c>
      <c r="R366" s="22">
        <v>252247.03648753843</v>
      </c>
      <c r="S366" s="22">
        <v>258164.23495749207</v>
      </c>
      <c r="T366" s="22">
        <v>259285.46378234529</v>
      </c>
      <c r="U366" s="22">
        <v>274534.52190984407</v>
      </c>
      <c r="V366" s="22">
        <v>287205.67569696845</v>
      </c>
      <c r="W366" s="22">
        <v>298022.94613738684</v>
      </c>
      <c r="X366" s="22">
        <v>309824.265381579</v>
      </c>
      <c r="Y366" s="22">
        <v>323425.76793497324</v>
      </c>
      <c r="Z366" s="22">
        <v>329880.29335849191</v>
      </c>
      <c r="AA366" s="23">
        <v>324171.96396467387</v>
      </c>
      <c r="AB366" s="96">
        <f t="shared" ref="AB366" si="125">+SUM(D366:AA366)*AC366+SUM(D367:AA367)*AC367+SUM(D368:AA368)*AC368</f>
        <v>201836242.3555871</v>
      </c>
      <c r="AC366" s="16">
        <v>21</v>
      </c>
      <c r="AD366" s="16">
        <f t="shared" si="111"/>
        <v>135818164.7106894</v>
      </c>
    </row>
    <row r="367" spans="1:30" ht="13.5" thickBot="1" x14ac:dyDescent="0.35">
      <c r="A367" s="18">
        <v>2036</v>
      </c>
      <c r="B367" s="19" t="s">
        <v>32</v>
      </c>
      <c r="C367" s="20" t="s">
        <v>34</v>
      </c>
      <c r="D367" s="21">
        <v>327632.3488784256</v>
      </c>
      <c r="E367" s="22">
        <v>313632.88361385616</v>
      </c>
      <c r="F367" s="22">
        <v>300447.81540569861</v>
      </c>
      <c r="G367" s="22">
        <v>289576.68500006211</v>
      </c>
      <c r="H367" s="22">
        <v>279355.67129632161</v>
      </c>
      <c r="I367" s="22">
        <v>268923.9207407491</v>
      </c>
      <c r="J367" s="22">
        <v>255459.01735831163</v>
      </c>
      <c r="K367" s="22">
        <v>210779.6835896399</v>
      </c>
      <c r="L367" s="22">
        <v>214122.43834269844</v>
      </c>
      <c r="M367" s="22">
        <v>217114.74974837189</v>
      </c>
      <c r="N367" s="22">
        <v>222885.05943193275</v>
      </c>
      <c r="O367" s="22">
        <v>232679.85141228756</v>
      </c>
      <c r="P367" s="22">
        <v>238642.97731852616</v>
      </c>
      <c r="Q367" s="22">
        <v>255361.93535008389</v>
      </c>
      <c r="R367" s="22">
        <v>269577.63377006701</v>
      </c>
      <c r="S367" s="22">
        <v>275635.56561927038</v>
      </c>
      <c r="T367" s="22">
        <v>274831.10693115671</v>
      </c>
      <c r="U367" s="22">
        <v>282903.46073735884</v>
      </c>
      <c r="V367" s="22">
        <v>293435.61960642016</v>
      </c>
      <c r="W367" s="22">
        <v>305839.74969119229</v>
      </c>
      <c r="X367" s="22">
        <v>319360.17635153991</v>
      </c>
      <c r="Y367" s="22">
        <v>334646.75139797654</v>
      </c>
      <c r="Z367" s="22">
        <v>340569.14692966419</v>
      </c>
      <c r="AA367" s="23">
        <v>331904.37350395881</v>
      </c>
      <c r="AB367" s="97"/>
      <c r="AC367" s="16">
        <v>4</v>
      </c>
      <c r="AD367" s="16">
        <f t="shared" si="111"/>
        <v>26621274.48810228</v>
      </c>
    </row>
    <row r="368" spans="1:30" ht="13.5" thickBot="1" x14ac:dyDescent="0.35">
      <c r="A368" s="18">
        <v>2036</v>
      </c>
      <c r="B368" s="25" t="s">
        <v>32</v>
      </c>
      <c r="C368" s="26" t="s">
        <v>36</v>
      </c>
      <c r="D368" s="21">
        <v>330174.54951887735</v>
      </c>
      <c r="E368" s="22">
        <v>316559.85020170029</v>
      </c>
      <c r="F368" s="22">
        <v>303688.94885123434</v>
      </c>
      <c r="G368" s="22">
        <v>292146.40368160605</v>
      </c>
      <c r="H368" s="22">
        <v>282239.03613802762</v>
      </c>
      <c r="I368" s="22">
        <v>272124.41451066296</v>
      </c>
      <c r="J368" s="22">
        <v>258285.72610687127</v>
      </c>
      <c r="K368" s="22">
        <v>212203.57612670949</v>
      </c>
      <c r="L368" s="22">
        <v>212407.700178297</v>
      </c>
      <c r="M368" s="22">
        <v>212107.76205122945</v>
      </c>
      <c r="N368" s="22">
        <v>216354.11953012404</v>
      </c>
      <c r="O368" s="22">
        <v>224111.51150976834</v>
      </c>
      <c r="P368" s="22">
        <v>229548.77918898338</v>
      </c>
      <c r="Q368" s="22">
        <v>245351.62300897637</v>
      </c>
      <c r="R368" s="22">
        <v>260140.51884066002</v>
      </c>
      <c r="S368" s="22">
        <v>266578.79042434035</v>
      </c>
      <c r="T368" s="22">
        <v>266145.13367745868</v>
      </c>
      <c r="U368" s="22">
        <v>277267.71260270267</v>
      </c>
      <c r="V368" s="22">
        <v>289761.83222383965</v>
      </c>
      <c r="W368" s="22">
        <v>299844.50846154219</v>
      </c>
      <c r="X368" s="22">
        <v>312893.89606706554</v>
      </c>
      <c r="Y368" s="22">
        <v>326838.75111984008</v>
      </c>
      <c r="Z368" s="22">
        <v>333370.99418504076</v>
      </c>
      <c r="AA368" s="23">
        <v>325987.72126034484</v>
      </c>
      <c r="AB368" s="97"/>
      <c r="AC368" s="16">
        <v>6</v>
      </c>
      <c r="AD368" s="16">
        <f t="shared" si="111"/>
        <v>39396803.156795412</v>
      </c>
    </row>
    <row r="369" spans="1:30" ht="13.5" thickBot="1" x14ac:dyDescent="0.35">
      <c r="A369" s="18">
        <v>2036</v>
      </c>
      <c r="B369" s="11" t="s">
        <v>35</v>
      </c>
      <c r="C369" s="12" t="s">
        <v>33</v>
      </c>
      <c r="D369" s="21">
        <v>336729.96389952296</v>
      </c>
      <c r="E369" s="22">
        <v>324199.72571826988</v>
      </c>
      <c r="F369" s="22">
        <v>312843.78558685206</v>
      </c>
      <c r="G369" s="22">
        <v>302669.29034059524</v>
      </c>
      <c r="H369" s="22">
        <v>292356.13330595213</v>
      </c>
      <c r="I369" s="22">
        <v>280632.56496995944</v>
      </c>
      <c r="J369" s="22">
        <v>262847.18409516686</v>
      </c>
      <c r="K369" s="22">
        <v>214610.2890437021</v>
      </c>
      <c r="L369" s="22">
        <v>212861.99689131515</v>
      </c>
      <c r="M369" s="22">
        <v>215604.22953803695</v>
      </c>
      <c r="N369" s="22">
        <v>222520.59715374527</v>
      </c>
      <c r="O369" s="22">
        <v>233734.55172360805</v>
      </c>
      <c r="P369" s="22">
        <v>240556.98204903016</v>
      </c>
      <c r="Q369" s="22">
        <v>257746.31728277204</v>
      </c>
      <c r="R369" s="22">
        <v>271538.11284753471</v>
      </c>
      <c r="S369" s="22">
        <v>276216.9773642295</v>
      </c>
      <c r="T369" s="22">
        <v>275690.38000603294</v>
      </c>
      <c r="U369" s="22">
        <v>286871.19347398606</v>
      </c>
      <c r="V369" s="22">
        <v>296373.11176575406</v>
      </c>
      <c r="W369" s="22">
        <v>311229.56946245569</v>
      </c>
      <c r="X369" s="22">
        <v>323608.45890346519</v>
      </c>
      <c r="Y369" s="22">
        <v>337165.92451142566</v>
      </c>
      <c r="Z369" s="22">
        <v>341217.57495666086</v>
      </c>
      <c r="AA369" s="23">
        <v>334007.09712306125</v>
      </c>
      <c r="AB369" s="96">
        <f t="shared" ref="AB369" si="126">+SUM(D369:AA369)*AC369+SUM(D370:AA370)*AC370+SUM(D371:AA371)*AC371</f>
        <v>196558509.15979183</v>
      </c>
      <c r="AC369" s="16">
        <v>21</v>
      </c>
      <c r="AD369" s="16">
        <f t="shared" si="111"/>
        <v>142040472.25227585</v>
      </c>
    </row>
    <row r="370" spans="1:30" ht="13.5" thickBot="1" x14ac:dyDescent="0.35">
      <c r="A370" s="18">
        <v>2036</v>
      </c>
      <c r="B370" s="19" t="s">
        <v>35</v>
      </c>
      <c r="C370" s="20" t="s">
        <v>34</v>
      </c>
      <c r="D370" s="21">
        <v>333934.16016471526</v>
      </c>
      <c r="E370" s="22">
        <v>320064.84004817641</v>
      </c>
      <c r="F370" s="22">
        <v>307970.43751127244</v>
      </c>
      <c r="G370" s="22">
        <v>296608.99534311629</v>
      </c>
      <c r="H370" s="22">
        <v>284665.72672186256</v>
      </c>
      <c r="I370" s="22">
        <v>269544.79397877981</v>
      </c>
      <c r="J370" s="22">
        <v>251395.34825745347</v>
      </c>
      <c r="K370" s="22">
        <v>205958.1008731719</v>
      </c>
      <c r="L370" s="22">
        <v>206876.7910219414</v>
      </c>
      <c r="M370" s="22">
        <v>209016.92583110917</v>
      </c>
      <c r="N370" s="22">
        <v>220272.67277900595</v>
      </c>
      <c r="O370" s="22">
        <v>232844.79789384361</v>
      </c>
      <c r="P370" s="22">
        <v>241812.5543954107</v>
      </c>
      <c r="Q370" s="22">
        <v>265157.44181850244</v>
      </c>
      <c r="R370" s="22">
        <v>281022.76663859864</v>
      </c>
      <c r="S370" s="22">
        <v>286151.91681707947</v>
      </c>
      <c r="T370" s="22">
        <v>284603.10718863853</v>
      </c>
      <c r="U370" s="22">
        <v>293238.56733981159</v>
      </c>
      <c r="V370" s="22">
        <v>301576.29697126191</v>
      </c>
      <c r="W370" s="22">
        <v>318522.06104541937</v>
      </c>
      <c r="X370" s="22">
        <v>335698.55142249307</v>
      </c>
      <c r="Y370" s="22">
        <v>350931.30621551361</v>
      </c>
      <c r="Z370" s="22">
        <v>351356.27074477379</v>
      </c>
      <c r="AA370" s="23">
        <v>340518.49109310121</v>
      </c>
      <c r="AB370" s="97"/>
      <c r="AC370" s="16">
        <v>4</v>
      </c>
      <c r="AD370" s="16">
        <f t="shared" si="111"/>
        <v>27158971.688460205</v>
      </c>
    </row>
    <row r="371" spans="1:30" ht="13.5" thickBot="1" x14ac:dyDescent="0.35">
      <c r="A371" s="18">
        <v>2036</v>
      </c>
      <c r="B371" s="25" t="s">
        <v>35</v>
      </c>
      <c r="C371" s="26" t="s">
        <v>36</v>
      </c>
      <c r="D371" s="21">
        <v>339083.35102631472</v>
      </c>
      <c r="E371" s="22">
        <v>325200.85177005979</v>
      </c>
      <c r="F371" s="22">
        <v>313052.43617915368</v>
      </c>
      <c r="G371" s="22">
        <v>301900.81815461215</v>
      </c>
      <c r="H371" s="22">
        <v>290909.27837596543</v>
      </c>
      <c r="I371" s="22">
        <v>276635.29353940079</v>
      </c>
      <c r="J371" s="22">
        <v>255670.07281911219</v>
      </c>
      <c r="K371" s="22">
        <v>207221.6153775331</v>
      </c>
      <c r="L371" s="22">
        <v>207986.81466467056</v>
      </c>
      <c r="M371" s="22">
        <v>210574.99826075719</v>
      </c>
      <c r="N371" s="22">
        <v>220497.96132079235</v>
      </c>
      <c r="O371" s="22">
        <v>232746.63843730444</v>
      </c>
      <c r="P371" s="22">
        <v>239795.83216735479</v>
      </c>
      <c r="Q371" s="22">
        <v>263994.7295925286</v>
      </c>
      <c r="R371" s="22">
        <v>281399.8701275338</v>
      </c>
      <c r="S371" s="22">
        <v>286464.44033581024</v>
      </c>
      <c r="T371" s="22">
        <v>286126.39106062648</v>
      </c>
      <c r="U371" s="22">
        <v>292822.91606928414</v>
      </c>
      <c r="V371" s="22">
        <v>302036.98461873649</v>
      </c>
      <c r="W371" s="22">
        <v>319856.35474252072</v>
      </c>
      <c r="X371" s="22">
        <v>336293.10415995866</v>
      </c>
      <c r="Y371" s="22">
        <v>352123.96022298909</v>
      </c>
      <c r="Z371" s="22">
        <v>353605.67407219089</v>
      </c>
      <c r="AA371" s="23">
        <v>343765.91766873252</v>
      </c>
      <c r="AB371" s="97"/>
      <c r="AC371" s="16">
        <v>4</v>
      </c>
      <c r="AD371" s="16">
        <f t="shared" si="111"/>
        <v>27359065.219055772</v>
      </c>
    </row>
    <row r="372" spans="1:30" ht="13.5" thickBot="1" x14ac:dyDescent="0.35">
      <c r="A372" s="18">
        <v>2036</v>
      </c>
      <c r="B372" s="11" t="s">
        <v>37</v>
      </c>
      <c r="C372" s="12" t="s">
        <v>33</v>
      </c>
      <c r="D372" s="21">
        <v>347924.62597730319</v>
      </c>
      <c r="E372" s="22">
        <v>334851.30371219694</v>
      </c>
      <c r="F372" s="22">
        <v>323026.68259749044</v>
      </c>
      <c r="G372" s="22">
        <v>312467.53462371411</v>
      </c>
      <c r="H372" s="22">
        <v>301844.8844998604</v>
      </c>
      <c r="I372" s="22">
        <v>286824.90825761354</v>
      </c>
      <c r="J372" s="22">
        <v>267493.5358980145</v>
      </c>
      <c r="K372" s="22">
        <v>221858.91844127444</v>
      </c>
      <c r="L372" s="22">
        <v>219724.94304171467</v>
      </c>
      <c r="M372" s="22">
        <v>221524.0905020088</v>
      </c>
      <c r="N372" s="22">
        <v>228181.99429372401</v>
      </c>
      <c r="O372" s="22">
        <v>238661.98359220097</v>
      </c>
      <c r="P372" s="22">
        <v>246368.74279452401</v>
      </c>
      <c r="Q372" s="22">
        <v>264528.04896922724</v>
      </c>
      <c r="R372" s="22">
        <v>278595.20411312708</v>
      </c>
      <c r="S372" s="22">
        <v>283496.25536321191</v>
      </c>
      <c r="T372" s="22">
        <v>284837.74904063222</v>
      </c>
      <c r="U372" s="22">
        <v>296907.03684857849</v>
      </c>
      <c r="V372" s="22">
        <v>306945.94570362126</v>
      </c>
      <c r="W372" s="22">
        <v>323446.45169672917</v>
      </c>
      <c r="X372" s="22">
        <v>336922.21629771055</v>
      </c>
      <c r="Y372" s="22">
        <v>351520.3685822041</v>
      </c>
      <c r="Z372" s="22">
        <v>356795.46448733786</v>
      </c>
      <c r="AA372" s="23">
        <v>349255.34819197649</v>
      </c>
      <c r="AB372" s="96">
        <f t="shared" ref="AB372" si="127">+SUM(D372:AA372)*AC372+SUM(D373:AA373)*AC373+SUM(D374:AA374)*AC374</f>
        <v>216035407.30993217</v>
      </c>
      <c r="AC372" s="16">
        <v>20</v>
      </c>
      <c r="AD372" s="16">
        <f t="shared" si="111"/>
        <v>139680084.75051993</v>
      </c>
    </row>
    <row r="373" spans="1:30" ht="13.5" thickBot="1" x14ac:dyDescent="0.35">
      <c r="A373" s="18">
        <v>2036</v>
      </c>
      <c r="B373" s="19" t="s">
        <v>37</v>
      </c>
      <c r="C373" s="20" t="s">
        <v>34</v>
      </c>
      <c r="D373" s="21">
        <v>342965.51338281564</v>
      </c>
      <c r="E373" s="22">
        <v>330394.08417848917</v>
      </c>
      <c r="F373" s="22">
        <v>319921.74243148917</v>
      </c>
      <c r="G373" s="22">
        <v>309528.61228301656</v>
      </c>
      <c r="H373" s="22">
        <v>298806.23796597467</v>
      </c>
      <c r="I373" s="22">
        <v>282905.39496336755</v>
      </c>
      <c r="J373" s="22">
        <v>263075.17476518673</v>
      </c>
      <c r="K373" s="22">
        <v>220067.99038036325</v>
      </c>
      <c r="L373" s="22">
        <v>219330.06900917954</v>
      </c>
      <c r="M373" s="22">
        <v>222124.58819260797</v>
      </c>
      <c r="N373" s="22">
        <v>230750.03153287066</v>
      </c>
      <c r="O373" s="22">
        <v>241147.48324769633</v>
      </c>
      <c r="P373" s="22">
        <v>246815.72815957424</v>
      </c>
      <c r="Q373" s="22">
        <v>267318.58042342076</v>
      </c>
      <c r="R373" s="22">
        <v>281337.19841303764</v>
      </c>
      <c r="S373" s="22">
        <v>286615.05947680259</v>
      </c>
      <c r="T373" s="22">
        <v>287276.7925466093</v>
      </c>
      <c r="U373" s="22">
        <v>296583.59964926308</v>
      </c>
      <c r="V373" s="22">
        <v>304736.60359042359</v>
      </c>
      <c r="W373" s="22">
        <v>323173.86694970942</v>
      </c>
      <c r="X373" s="22">
        <v>338117.2078470494</v>
      </c>
      <c r="Y373" s="22">
        <v>351837.05233190709</v>
      </c>
      <c r="Z373" s="22">
        <v>353973.00975149585</v>
      </c>
      <c r="AA373" s="23">
        <v>343141.42848051421</v>
      </c>
      <c r="AB373" s="97"/>
      <c r="AC373" s="16">
        <v>5</v>
      </c>
      <c r="AD373" s="16">
        <f t="shared" si="111"/>
        <v>34809715.249764316</v>
      </c>
    </row>
    <row r="374" spans="1:30" ht="13.5" thickBot="1" x14ac:dyDescent="0.35">
      <c r="A374" s="18">
        <v>2036</v>
      </c>
      <c r="B374" s="25" t="s">
        <v>37</v>
      </c>
      <c r="C374" s="26" t="s">
        <v>36</v>
      </c>
      <c r="D374" s="21">
        <v>342217.05992009951</v>
      </c>
      <c r="E374" s="22">
        <v>329810.33360375115</v>
      </c>
      <c r="F374" s="22">
        <v>317298.51515414147</v>
      </c>
      <c r="G374" s="22">
        <v>306733.60965618613</v>
      </c>
      <c r="H374" s="22">
        <v>295979.0507113901</v>
      </c>
      <c r="I374" s="22">
        <v>279611.13259172352</v>
      </c>
      <c r="J374" s="22">
        <v>257380.84743145088</v>
      </c>
      <c r="K374" s="22">
        <v>214061.24446540314</v>
      </c>
      <c r="L374" s="22">
        <v>215435.4380444464</v>
      </c>
      <c r="M374" s="22">
        <v>219691.61092433822</v>
      </c>
      <c r="N374" s="22">
        <v>228168.96766393972</v>
      </c>
      <c r="O374" s="22">
        <v>238861.66072591863</v>
      </c>
      <c r="P374" s="22">
        <v>246540.93125407561</v>
      </c>
      <c r="Q374" s="22">
        <v>268375.35648633726</v>
      </c>
      <c r="R374" s="22">
        <v>283191.90668822516</v>
      </c>
      <c r="S374" s="22">
        <v>287716.42510973336</v>
      </c>
      <c r="T374" s="22">
        <v>287747.59850460559</v>
      </c>
      <c r="U374" s="22">
        <v>295439.6842816025</v>
      </c>
      <c r="V374" s="22">
        <v>302568.66863076243</v>
      </c>
      <c r="W374" s="22">
        <v>320718.34399124043</v>
      </c>
      <c r="X374" s="22">
        <v>335805.31223764014</v>
      </c>
      <c r="Y374" s="22">
        <v>351613.37390065071</v>
      </c>
      <c r="Z374" s="22">
        <v>354907.31826004415</v>
      </c>
      <c r="AA374" s="23">
        <v>344393.49470361596</v>
      </c>
      <c r="AB374" s="97"/>
      <c r="AC374" s="16">
        <v>6</v>
      </c>
      <c r="AD374" s="16">
        <f t="shared" si="111"/>
        <v>41545607.309647933</v>
      </c>
    </row>
    <row r="375" spans="1:30" ht="13.5" thickBot="1" x14ac:dyDescent="0.35">
      <c r="A375" s="18">
        <v>2036</v>
      </c>
      <c r="B375" s="11" t="s">
        <v>38</v>
      </c>
      <c r="C375" s="12" t="s">
        <v>33</v>
      </c>
      <c r="D375" s="21">
        <v>342153.23391451046</v>
      </c>
      <c r="E375" s="22">
        <v>329245.30934831768</v>
      </c>
      <c r="F375" s="22">
        <v>317296.55796279968</v>
      </c>
      <c r="G375" s="22">
        <v>306983.46674880537</v>
      </c>
      <c r="H375" s="22">
        <v>297030.15008958941</v>
      </c>
      <c r="I375" s="22">
        <v>281504.62936503429</v>
      </c>
      <c r="J375" s="22">
        <v>266343.69945150951</v>
      </c>
      <c r="K375" s="22">
        <v>221389.22942510276</v>
      </c>
      <c r="L375" s="22">
        <v>215063.79125855322</v>
      </c>
      <c r="M375" s="22">
        <v>212592.02769793189</v>
      </c>
      <c r="N375" s="22">
        <v>215880.36393555783</v>
      </c>
      <c r="O375" s="22">
        <v>224545.53120885169</v>
      </c>
      <c r="P375" s="22">
        <v>231040.84450474317</v>
      </c>
      <c r="Q375" s="22">
        <v>245742.84703751543</v>
      </c>
      <c r="R375" s="22">
        <v>258881.42125795915</v>
      </c>
      <c r="S375" s="22">
        <v>264919.08438283415</v>
      </c>
      <c r="T375" s="22">
        <v>269931.34410396923</v>
      </c>
      <c r="U375" s="22">
        <v>289365.79446780909</v>
      </c>
      <c r="V375" s="22">
        <v>299401.54551075166</v>
      </c>
      <c r="W375" s="22">
        <v>316665.13916739944</v>
      </c>
      <c r="X375" s="22">
        <v>330551.62919935258</v>
      </c>
      <c r="Y375" s="22">
        <v>344105.76527384843</v>
      </c>
      <c r="Z375" s="22">
        <v>348761.78405841591</v>
      </c>
      <c r="AA375" s="23">
        <v>340969.00780777278</v>
      </c>
      <c r="AB375" s="96">
        <f t="shared" ref="AB375" si="128">+SUM(D375:AA375)*AC375+SUM(D376:AA376)*AC376+SUM(D377:AA377)*AC377</f>
        <v>203909940.0238263</v>
      </c>
      <c r="AC375" s="16">
        <v>20</v>
      </c>
      <c r="AD375" s="16">
        <f t="shared" si="111"/>
        <v>135407283.94357872</v>
      </c>
    </row>
    <row r="376" spans="1:30" ht="13.5" thickBot="1" x14ac:dyDescent="0.35">
      <c r="A376" s="18">
        <v>2036</v>
      </c>
      <c r="B376" s="19" t="s">
        <v>38</v>
      </c>
      <c r="C376" s="20" t="s">
        <v>34</v>
      </c>
      <c r="D376" s="21">
        <v>343059.42759221618</v>
      </c>
      <c r="E376" s="22">
        <v>329197.71992752003</v>
      </c>
      <c r="F376" s="22">
        <v>317017.59040891915</v>
      </c>
      <c r="G376" s="22">
        <v>306403.76488842611</v>
      </c>
      <c r="H376" s="22">
        <v>295935.06900774431</v>
      </c>
      <c r="I376" s="22">
        <v>278293.8162371128</v>
      </c>
      <c r="J376" s="22">
        <v>261183.11107556612</v>
      </c>
      <c r="K376" s="22">
        <v>219768.29861662304</v>
      </c>
      <c r="L376" s="22">
        <v>217408.14346340584</v>
      </c>
      <c r="M376" s="22">
        <v>217093.32344062408</v>
      </c>
      <c r="N376" s="22">
        <v>222259.6322674613</v>
      </c>
      <c r="O376" s="22">
        <v>232237.05448952288</v>
      </c>
      <c r="P376" s="22">
        <v>238764.44313330416</v>
      </c>
      <c r="Q376" s="22">
        <v>259259.35085773919</v>
      </c>
      <c r="R376" s="22">
        <v>273944.10872146528</v>
      </c>
      <c r="S376" s="22">
        <v>278964.01072340773</v>
      </c>
      <c r="T376" s="22">
        <v>281971.14049238723</v>
      </c>
      <c r="U376" s="22">
        <v>296089.51320464228</v>
      </c>
      <c r="V376" s="22">
        <v>303778.60960355261</v>
      </c>
      <c r="W376" s="22">
        <v>322441.3601490974</v>
      </c>
      <c r="X376" s="22">
        <v>338683.54667002906</v>
      </c>
      <c r="Y376" s="22">
        <v>352679.40746649046</v>
      </c>
      <c r="Z376" s="22">
        <v>355844.03051182808</v>
      </c>
      <c r="AA376" s="23">
        <v>345003.76934727386</v>
      </c>
      <c r="AB376" s="97"/>
      <c r="AC376" s="16">
        <v>4</v>
      </c>
      <c r="AD376" s="16">
        <f t="shared" si="111"/>
        <v>27549120.969185438</v>
      </c>
    </row>
    <row r="377" spans="1:30" ht="13.5" thickBot="1" x14ac:dyDescent="0.35">
      <c r="A377" s="18">
        <v>2036</v>
      </c>
      <c r="B377" s="25" t="s">
        <v>38</v>
      </c>
      <c r="C377" s="26" t="s">
        <v>36</v>
      </c>
      <c r="D377" s="21">
        <v>341847.37302774872</v>
      </c>
      <c r="E377" s="22">
        <v>328433.41905215511</v>
      </c>
      <c r="F377" s="22">
        <v>316444.45046334603</v>
      </c>
      <c r="G377" s="22">
        <v>306018.4015459934</v>
      </c>
      <c r="H377" s="22">
        <v>295745.12003366207</v>
      </c>
      <c r="I377" s="22">
        <v>278834.55540484336</v>
      </c>
      <c r="J377" s="22">
        <v>262336.44256521721</v>
      </c>
      <c r="K377" s="22">
        <v>219566.36536343241</v>
      </c>
      <c r="L377" s="22">
        <v>215338.5733211718</v>
      </c>
      <c r="M377" s="22">
        <v>213969.88476217422</v>
      </c>
      <c r="N377" s="22">
        <v>218384.72487000923</v>
      </c>
      <c r="O377" s="22">
        <v>227927.4005199119</v>
      </c>
      <c r="P377" s="22">
        <v>234775.71788232724</v>
      </c>
      <c r="Q377" s="22">
        <v>253648.70963170927</v>
      </c>
      <c r="R377" s="22">
        <v>267521.69318036578</v>
      </c>
      <c r="S377" s="22">
        <v>272961.37319380505</v>
      </c>
      <c r="T377" s="22">
        <v>276696.31501594139</v>
      </c>
      <c r="U377" s="22">
        <v>292533.90543682507</v>
      </c>
      <c r="V377" s="22">
        <v>301061.0131064803</v>
      </c>
      <c r="W377" s="22">
        <v>319735.13186782377</v>
      </c>
      <c r="X377" s="22">
        <v>335725.60471213679</v>
      </c>
      <c r="Y377" s="22">
        <v>349871.56844713632</v>
      </c>
      <c r="Z377" s="22">
        <v>353267.27458565263</v>
      </c>
      <c r="AA377" s="23">
        <v>342944.16718715261</v>
      </c>
      <c r="AB377" s="97"/>
      <c r="AC377" s="16">
        <v>6</v>
      </c>
      <c r="AD377" s="16">
        <f t="shared" si="111"/>
        <v>40953535.111062147</v>
      </c>
    </row>
    <row r="378" spans="1:30" ht="13.5" thickBot="1" x14ac:dyDescent="0.35">
      <c r="A378" s="18">
        <v>2036</v>
      </c>
      <c r="B378" s="11" t="s">
        <v>39</v>
      </c>
      <c r="C378" s="12" t="s">
        <v>33</v>
      </c>
      <c r="D378" s="21">
        <v>349729.55209932831</v>
      </c>
      <c r="E378" s="22">
        <v>336391.83603597758</v>
      </c>
      <c r="F378" s="22">
        <v>324162.03826575214</v>
      </c>
      <c r="G378" s="22">
        <v>313587.27713043254</v>
      </c>
      <c r="H378" s="22">
        <v>303335.82919820066</v>
      </c>
      <c r="I378" s="22">
        <v>287108.11330394645</v>
      </c>
      <c r="J378" s="22">
        <v>271277.25422744476</v>
      </c>
      <c r="K378" s="22">
        <v>227057.72927850866</v>
      </c>
      <c r="L378" s="22">
        <v>221637.6179007233</v>
      </c>
      <c r="M378" s="22">
        <v>219717.27623362312</v>
      </c>
      <c r="N378" s="22">
        <v>223535.7651226442</v>
      </c>
      <c r="O378" s="22">
        <v>232664.21246929624</v>
      </c>
      <c r="P378" s="22">
        <v>239315.88499020957</v>
      </c>
      <c r="Q378" s="22">
        <v>255323.33612613039</v>
      </c>
      <c r="R378" s="22">
        <v>268860.03237200528</v>
      </c>
      <c r="S378" s="22">
        <v>274619.93528519705</v>
      </c>
      <c r="T378" s="22">
        <v>279017.08927381836</v>
      </c>
      <c r="U378" s="22">
        <v>297159.5130622221</v>
      </c>
      <c r="V378" s="22">
        <v>306986.3514435736</v>
      </c>
      <c r="W378" s="22">
        <v>324901.06954340206</v>
      </c>
      <c r="X378" s="22">
        <v>339545.21885985625</v>
      </c>
      <c r="Y378" s="22">
        <v>353485.85290396068</v>
      </c>
      <c r="Z378" s="22">
        <v>357948.21102015179</v>
      </c>
      <c r="AA378" s="23">
        <v>349403.00959120563</v>
      </c>
      <c r="AB378" s="96">
        <f t="shared" ref="AB378" si="129">+SUM(D378:AA378)*AC378+SUM(D379:AA379)*AC379+SUM(D380:AA380)*AC380</f>
        <v>216445838.0070366</v>
      </c>
      <c r="AC378" s="16">
        <v>20</v>
      </c>
      <c r="AD378" s="16">
        <f t="shared" si="111"/>
        <v>139135400.11475223</v>
      </c>
    </row>
    <row r="379" spans="1:30" ht="13.5" thickBot="1" x14ac:dyDescent="0.35">
      <c r="A379" s="18">
        <v>2036</v>
      </c>
      <c r="B379" s="19" t="s">
        <v>39</v>
      </c>
      <c r="C379" s="20" t="s">
        <v>34</v>
      </c>
      <c r="D379" s="21">
        <v>351710.49313180865</v>
      </c>
      <c r="E379" s="22">
        <v>337516.12648077839</v>
      </c>
      <c r="F379" s="22">
        <v>325043.69318279589</v>
      </c>
      <c r="G379" s="22">
        <v>314175.15269325423</v>
      </c>
      <c r="H379" s="22">
        <v>303455.22472456814</v>
      </c>
      <c r="I379" s="22">
        <v>285390.60988294968</v>
      </c>
      <c r="J379" s="22">
        <v>267869.27495108993</v>
      </c>
      <c r="K379" s="22">
        <v>226649.72223965064</v>
      </c>
      <c r="L379" s="22">
        <v>224643.45336995428</v>
      </c>
      <c r="M379" s="22">
        <v>224591.11939968535</v>
      </c>
      <c r="N379" s="22">
        <v>230030.66896731738</v>
      </c>
      <c r="O379" s="22">
        <v>240299.13903160632</v>
      </c>
      <c r="P379" s="22">
        <v>246969.56538370618</v>
      </c>
      <c r="Q379" s="22">
        <v>267878.87781675789</v>
      </c>
      <c r="R379" s="22">
        <v>282771.92147051683</v>
      </c>
      <c r="S379" s="22">
        <v>287659.39377906476</v>
      </c>
      <c r="T379" s="22">
        <v>290333.72045084857</v>
      </c>
      <c r="U379" s="22">
        <v>303962.2882467481</v>
      </c>
      <c r="V379" s="22">
        <v>311835.91075714171</v>
      </c>
      <c r="W379" s="22">
        <v>330946.53769922152</v>
      </c>
      <c r="X379" s="22">
        <v>347578.51092137367</v>
      </c>
      <c r="Y379" s="22">
        <v>361910.25016643933</v>
      </c>
      <c r="Z379" s="22">
        <v>365150.81914281624</v>
      </c>
      <c r="AA379" s="23">
        <v>354050.40891309438</v>
      </c>
      <c r="AB379" s="97"/>
      <c r="AC379" s="16">
        <v>5</v>
      </c>
      <c r="AD379" s="16">
        <f t="shared" si="111"/>
        <v>35412114.414015949</v>
      </c>
    </row>
    <row r="380" spans="1:30" ht="13.5" thickBot="1" x14ac:dyDescent="0.35">
      <c r="A380" s="18">
        <v>2036</v>
      </c>
      <c r="B380" s="25" t="s">
        <v>39</v>
      </c>
      <c r="C380" s="26" t="s">
        <v>36</v>
      </c>
      <c r="D380" s="21">
        <v>348837.04612875968</v>
      </c>
      <c r="E380" s="22">
        <v>335162.12293599971</v>
      </c>
      <c r="F380" s="22">
        <v>322939.90829960885</v>
      </c>
      <c r="G380" s="22">
        <v>312311.02002340282</v>
      </c>
      <c r="H380" s="22">
        <v>301837.87125053973</v>
      </c>
      <c r="I380" s="22">
        <v>284598.31065073051</v>
      </c>
      <c r="J380" s="22">
        <v>267779.22611250519</v>
      </c>
      <c r="K380" s="22">
        <v>225164.56515128448</v>
      </c>
      <c r="L380" s="22">
        <v>221204.65149630516</v>
      </c>
      <c r="M380" s="22">
        <v>220039.64823837645</v>
      </c>
      <c r="N380" s="22">
        <v>224667.67831126691</v>
      </c>
      <c r="O380" s="22">
        <v>234440.02066436154</v>
      </c>
      <c r="P380" s="22">
        <v>241409.96533154103</v>
      </c>
      <c r="Q380" s="22">
        <v>260584.08455382052</v>
      </c>
      <c r="R380" s="22">
        <v>274604.04611661501</v>
      </c>
      <c r="S380" s="22">
        <v>279933.86216946231</v>
      </c>
      <c r="T380" s="22">
        <v>283396.07648773334</v>
      </c>
      <c r="U380" s="22">
        <v>298847.03933128359</v>
      </c>
      <c r="V380" s="22">
        <v>307540.04235269647</v>
      </c>
      <c r="W380" s="22">
        <v>326577.46712830564</v>
      </c>
      <c r="X380" s="22">
        <v>342879.03550700721</v>
      </c>
      <c r="Y380" s="22">
        <v>357300.20974956482</v>
      </c>
      <c r="Z380" s="22">
        <v>360761.97953898576</v>
      </c>
      <c r="AA380" s="23">
        <v>350238.03551458026</v>
      </c>
      <c r="AB380" s="97"/>
      <c r="AC380" s="16">
        <v>6</v>
      </c>
      <c r="AD380" s="16">
        <f t="shared" si="111"/>
        <v>41898323.478268422</v>
      </c>
    </row>
    <row r="381" spans="1:30" ht="13.5" thickBot="1" x14ac:dyDescent="0.35">
      <c r="A381" s="18">
        <v>2036</v>
      </c>
      <c r="B381" s="11" t="s">
        <v>40</v>
      </c>
      <c r="C381" s="12" t="s">
        <v>33</v>
      </c>
      <c r="D381" s="21">
        <v>354220.82975398499</v>
      </c>
      <c r="E381" s="22">
        <v>340947.06353454263</v>
      </c>
      <c r="F381" s="22">
        <v>328639.44129011355</v>
      </c>
      <c r="G381" s="22">
        <v>318014.54853774863</v>
      </c>
      <c r="H381" s="22">
        <v>307739.69376560126</v>
      </c>
      <c r="I381" s="22">
        <v>291742.91077537625</v>
      </c>
      <c r="J381" s="22">
        <v>276091.41028801101</v>
      </c>
      <c r="K381" s="22">
        <v>230864.02543288225</v>
      </c>
      <c r="L381" s="22">
        <v>224375.0729931815</v>
      </c>
      <c r="M381" s="22">
        <v>221877.16250972523</v>
      </c>
      <c r="N381" s="22">
        <v>225320.41586264296</v>
      </c>
      <c r="O381" s="22">
        <v>234303.00789340958</v>
      </c>
      <c r="P381" s="22">
        <v>241155.08040595907</v>
      </c>
      <c r="Q381" s="22">
        <v>256271.5828221401</v>
      </c>
      <c r="R381" s="22">
        <v>269553.93666020851</v>
      </c>
      <c r="S381" s="22">
        <v>275616.30121661199</v>
      </c>
      <c r="T381" s="22">
        <v>280486.01864380261</v>
      </c>
      <c r="U381" s="22">
        <v>299771.08736649319</v>
      </c>
      <c r="V381" s="22">
        <v>310243.0117814031</v>
      </c>
      <c r="W381" s="22">
        <v>328278.02512487327</v>
      </c>
      <c r="X381" s="22">
        <v>342817.33595706162</v>
      </c>
      <c r="Y381" s="22">
        <v>356960.72612852918</v>
      </c>
      <c r="Z381" s="22">
        <v>361702.00371774385</v>
      </c>
      <c r="AA381" s="23">
        <v>353501.95898708521</v>
      </c>
      <c r="AB381" s="96">
        <f t="shared" ref="AB381" si="130">+SUM(D381:AA381)*AC381+SUM(D382:AA382)*AC382+SUM(D383:AA383)*AC383</f>
        <v>211811314.42273366</v>
      </c>
      <c r="AC381" s="16">
        <v>18</v>
      </c>
      <c r="AD381" s="16">
        <f t="shared" si="111"/>
        <v>126548867.72608437</v>
      </c>
    </row>
    <row r="382" spans="1:30" ht="13.5" thickBot="1" x14ac:dyDescent="0.35">
      <c r="A382" s="18">
        <v>2036</v>
      </c>
      <c r="B382" s="19" t="s">
        <v>40</v>
      </c>
      <c r="C382" s="20" t="s">
        <v>34</v>
      </c>
      <c r="D382" s="21">
        <v>352898.32149698352</v>
      </c>
      <c r="E382" s="22">
        <v>338658.27934180998</v>
      </c>
      <c r="F382" s="22">
        <v>326145.71148250561</v>
      </c>
      <c r="G382" s="22">
        <v>315242.19753635512</v>
      </c>
      <c r="H382" s="22">
        <v>304487.77432555007</v>
      </c>
      <c r="I382" s="22">
        <v>286365.03005763667</v>
      </c>
      <c r="J382" s="22">
        <v>268787.31389891746</v>
      </c>
      <c r="K382" s="22">
        <v>227372.51342007212</v>
      </c>
      <c r="L382" s="22">
        <v>225251.05852917902</v>
      </c>
      <c r="M382" s="22">
        <v>225127.03425758405</v>
      </c>
      <c r="N382" s="22">
        <v>230544.5558690097</v>
      </c>
      <c r="O382" s="22">
        <v>240832.40043626516</v>
      </c>
      <c r="P382" s="22">
        <v>247527.89578277103</v>
      </c>
      <c r="Q382" s="22">
        <v>268525.00203861017</v>
      </c>
      <c r="R382" s="22">
        <v>283504.14176204352</v>
      </c>
      <c r="S382" s="22">
        <v>288474.32306186971</v>
      </c>
      <c r="T382" s="22">
        <v>291264.51371747523</v>
      </c>
      <c r="U382" s="22">
        <v>305043.25399193354</v>
      </c>
      <c r="V382" s="22">
        <v>312942.21272805933</v>
      </c>
      <c r="W382" s="22">
        <v>332114.33501836663</v>
      </c>
      <c r="X382" s="22">
        <v>348799.82762468705</v>
      </c>
      <c r="Y382" s="22">
        <v>363177.68441985996</v>
      </c>
      <c r="Z382" s="22">
        <v>366428.6810979686</v>
      </c>
      <c r="AA382" s="23">
        <v>355292.55128695746</v>
      </c>
      <c r="AB382" s="97"/>
      <c r="AC382" s="16">
        <v>4</v>
      </c>
      <c r="AD382" s="16">
        <f t="shared" si="111"/>
        <v>28419226.452729881</v>
      </c>
    </row>
    <row r="383" spans="1:30" ht="13.5" thickBot="1" x14ac:dyDescent="0.35">
      <c r="A383" s="18">
        <v>2036</v>
      </c>
      <c r="B383" s="25" t="s">
        <v>40</v>
      </c>
      <c r="C383" s="26" t="s">
        <v>36</v>
      </c>
      <c r="D383" s="21">
        <v>352925.07757447724</v>
      </c>
      <c r="E383" s="22">
        <v>338684.00656920683</v>
      </c>
      <c r="F383" s="22">
        <v>326170.53467067907</v>
      </c>
      <c r="G383" s="22">
        <v>315266.23294024699</v>
      </c>
      <c r="H383" s="22">
        <v>304511.03271703993</v>
      </c>
      <c r="I383" s="22">
        <v>286386.97907187958</v>
      </c>
      <c r="J383" s="22">
        <v>268807.99291446415</v>
      </c>
      <c r="K383" s="22">
        <v>227393.41259835433</v>
      </c>
      <c r="L383" s="22">
        <v>225272.76918798711</v>
      </c>
      <c r="M383" s="22">
        <v>225149.37056561644</v>
      </c>
      <c r="N383" s="22">
        <v>230567.63435811395</v>
      </c>
      <c r="O383" s="22">
        <v>240856.34350276933</v>
      </c>
      <c r="P383" s="22">
        <v>247552.29061970467</v>
      </c>
      <c r="Q383" s="22">
        <v>268550.73193780042</v>
      </c>
      <c r="R383" s="22">
        <v>283530.61521050916</v>
      </c>
      <c r="S383" s="22">
        <v>288500.56128255703</v>
      </c>
      <c r="T383" s="22">
        <v>291290.00183292956</v>
      </c>
      <c r="U383" s="22">
        <v>305067.60296699946</v>
      </c>
      <c r="V383" s="22">
        <v>312967.13240680506</v>
      </c>
      <c r="W383" s="22">
        <v>332140.6398924411</v>
      </c>
      <c r="X383" s="22">
        <v>348827.33803386422</v>
      </c>
      <c r="Y383" s="22">
        <v>363206.23363630974</v>
      </c>
      <c r="Z383" s="22">
        <v>366457.46520053822</v>
      </c>
      <c r="AA383" s="23">
        <v>355320.53079863422</v>
      </c>
      <c r="AB383" s="97"/>
      <c r="AC383" s="16">
        <v>8</v>
      </c>
      <c r="AD383" s="16">
        <f t="shared" si="111"/>
        <v>56843220.243919425</v>
      </c>
    </row>
    <row r="384" spans="1:30" ht="13.5" thickBot="1" x14ac:dyDescent="0.35">
      <c r="A384" s="18">
        <v>2036</v>
      </c>
      <c r="B384" s="11" t="s">
        <v>41</v>
      </c>
      <c r="C384" s="12" t="s">
        <v>33</v>
      </c>
      <c r="D384" s="21">
        <v>347948.5104426365</v>
      </c>
      <c r="E384" s="22">
        <v>334604.78680342011</v>
      </c>
      <c r="F384" s="22">
        <v>322397.40828315582</v>
      </c>
      <c r="G384" s="22">
        <v>311841.72602149472</v>
      </c>
      <c r="H384" s="22">
        <v>301620.64796708548</v>
      </c>
      <c r="I384" s="22">
        <v>285392.12914973375</v>
      </c>
      <c r="J384" s="22">
        <v>269586.45321200328</v>
      </c>
      <c r="K384" s="22">
        <v>225496.78118725566</v>
      </c>
      <c r="L384" s="22">
        <v>220325.48376928622</v>
      </c>
      <c r="M384" s="22">
        <v>218532.57887943898</v>
      </c>
      <c r="N384" s="22">
        <v>222400.69881343923</v>
      </c>
      <c r="O384" s="22">
        <v>231512.23290582842</v>
      </c>
      <c r="P384" s="22">
        <v>238017.272258043</v>
      </c>
      <c r="Q384" s="22">
        <v>254086.75032364327</v>
      </c>
      <c r="R384" s="22">
        <v>267755.68036957679</v>
      </c>
      <c r="S384" s="22">
        <v>273494.02686796902</v>
      </c>
      <c r="T384" s="22">
        <v>277893.19671935687</v>
      </c>
      <c r="U384" s="22">
        <v>295974.83558368456</v>
      </c>
      <c r="V384" s="22">
        <v>305629.90276849235</v>
      </c>
      <c r="W384" s="22">
        <v>323333.89590405399</v>
      </c>
      <c r="X384" s="22">
        <v>337806.15436749422</v>
      </c>
      <c r="Y384" s="22">
        <v>351581.96044357179</v>
      </c>
      <c r="Z384" s="22">
        <v>356048.87703424162</v>
      </c>
      <c r="AA384" s="23">
        <v>347600.0448868706</v>
      </c>
      <c r="AB384" s="96">
        <f t="shared" ref="AB384" si="131">+SUM(D384:AA384)*AC384+SUM(D385:AA385)*AC385+SUM(D386:AA386)*AC386</f>
        <v>215149779.90588319</v>
      </c>
      <c r="AC384" s="16">
        <v>23</v>
      </c>
      <c r="AD384" s="16">
        <f t="shared" si="111"/>
        <v>159180286.8041209</v>
      </c>
    </row>
    <row r="385" spans="1:30" ht="13.5" thickBot="1" x14ac:dyDescent="0.35">
      <c r="A385" s="18">
        <v>2036</v>
      </c>
      <c r="B385" s="19" t="s">
        <v>41</v>
      </c>
      <c r="C385" s="20" t="s">
        <v>34</v>
      </c>
      <c r="D385" s="21">
        <v>347904.84100820584</v>
      </c>
      <c r="E385" s="22">
        <v>333856.81290610728</v>
      </c>
      <c r="F385" s="22">
        <v>321512.96567577746</v>
      </c>
      <c r="G385" s="22">
        <v>310756.47572595684</v>
      </c>
      <c r="H385" s="22">
        <v>300147.06615813769</v>
      </c>
      <c r="I385" s="22">
        <v>282268.69065976911</v>
      </c>
      <c r="J385" s="22">
        <v>264927.99406086997</v>
      </c>
      <c r="K385" s="22">
        <v>223602.81261438041</v>
      </c>
      <c r="L385" s="22">
        <v>221426.31343288577</v>
      </c>
      <c r="M385" s="22">
        <v>221248.93702333429</v>
      </c>
      <c r="N385" s="22">
        <v>226562.99506308636</v>
      </c>
      <c r="O385" s="22">
        <v>236701.60206158631</v>
      </c>
      <c r="P385" s="22">
        <v>243309.58779384824</v>
      </c>
      <c r="Q385" s="22">
        <v>264039.3466582594</v>
      </c>
      <c r="R385" s="22">
        <v>278845.8736731637</v>
      </c>
      <c r="S385" s="22">
        <v>283800.56819716864</v>
      </c>
      <c r="T385" s="22">
        <v>286635.65357167833</v>
      </c>
      <c r="U385" s="22">
        <v>300499.0104666276</v>
      </c>
      <c r="V385" s="22">
        <v>308291.45890836889</v>
      </c>
      <c r="W385" s="22">
        <v>327205.06251826079</v>
      </c>
      <c r="X385" s="22">
        <v>343665.56639013893</v>
      </c>
      <c r="Y385" s="22">
        <v>357849.550826811</v>
      </c>
      <c r="Z385" s="22">
        <v>361056.71076329378</v>
      </c>
      <c r="AA385" s="23">
        <v>350070.74156257336</v>
      </c>
      <c r="AB385" s="97"/>
      <c r="AC385" s="16">
        <v>4</v>
      </c>
      <c r="AD385" s="16">
        <f t="shared" si="111"/>
        <v>27984746.550881162</v>
      </c>
    </row>
    <row r="386" spans="1:30" ht="13.5" thickBot="1" x14ac:dyDescent="0.35">
      <c r="A386" s="18">
        <v>2036</v>
      </c>
      <c r="B386" s="25" t="s">
        <v>41</v>
      </c>
      <c r="C386" s="26" t="s">
        <v>36</v>
      </c>
      <c r="D386" s="21">
        <v>347904.84100820584</v>
      </c>
      <c r="E386" s="22">
        <v>333856.81290610728</v>
      </c>
      <c r="F386" s="22">
        <v>321512.96567577746</v>
      </c>
      <c r="G386" s="22">
        <v>310756.47572595684</v>
      </c>
      <c r="H386" s="22">
        <v>300147.06615813769</v>
      </c>
      <c r="I386" s="22">
        <v>282268.69065976911</v>
      </c>
      <c r="J386" s="22">
        <v>264927.99406086997</v>
      </c>
      <c r="K386" s="22">
        <v>223602.81261438041</v>
      </c>
      <c r="L386" s="22">
        <v>221426.31343288577</v>
      </c>
      <c r="M386" s="22">
        <v>221248.93702333429</v>
      </c>
      <c r="N386" s="22">
        <v>226562.99506308636</v>
      </c>
      <c r="O386" s="22">
        <v>236701.60206158631</v>
      </c>
      <c r="P386" s="22">
        <v>243309.58779384824</v>
      </c>
      <c r="Q386" s="22">
        <v>264039.3466582594</v>
      </c>
      <c r="R386" s="22">
        <v>278845.8736731637</v>
      </c>
      <c r="S386" s="22">
        <v>283800.56819716864</v>
      </c>
      <c r="T386" s="22">
        <v>286635.65357167833</v>
      </c>
      <c r="U386" s="22">
        <v>300499.0104666276</v>
      </c>
      <c r="V386" s="22">
        <v>308291.45890836889</v>
      </c>
      <c r="W386" s="22">
        <v>327205.06251826079</v>
      </c>
      <c r="X386" s="22">
        <v>343665.56639013893</v>
      </c>
      <c r="Y386" s="22">
        <v>357849.550826811</v>
      </c>
      <c r="Z386" s="22">
        <v>361056.71076329378</v>
      </c>
      <c r="AA386" s="23">
        <v>350070.74156257336</v>
      </c>
      <c r="AB386" s="97"/>
      <c r="AC386" s="16">
        <v>4</v>
      </c>
      <c r="AD386" s="16">
        <f t="shared" si="111"/>
        <v>27984746.550881162</v>
      </c>
    </row>
    <row r="387" spans="1:30" ht="13.5" thickBot="1" x14ac:dyDescent="0.35">
      <c r="A387" s="18">
        <v>2036</v>
      </c>
      <c r="B387" s="11" t="s">
        <v>42</v>
      </c>
      <c r="C387" s="12" t="s">
        <v>33</v>
      </c>
      <c r="D387" s="21">
        <v>353884.59586282651</v>
      </c>
      <c r="E387" s="22">
        <v>340434.53401719546</v>
      </c>
      <c r="F387" s="22">
        <v>328074.37410228048</v>
      </c>
      <c r="G387" s="22">
        <v>317391.24718892016</v>
      </c>
      <c r="H387" s="22">
        <v>307044.65862352599</v>
      </c>
      <c r="I387" s="22">
        <v>290721.74938444869</v>
      </c>
      <c r="J387" s="22">
        <v>274793.5517829326</v>
      </c>
      <c r="K387" s="22">
        <v>230309.12488571811</v>
      </c>
      <c r="L387" s="22">
        <v>224727.02283584815</v>
      </c>
      <c r="M387" s="22">
        <v>222737.95231859793</v>
      </c>
      <c r="N387" s="22">
        <v>226544.54883721477</v>
      </c>
      <c r="O387" s="22">
        <v>235729.43844176785</v>
      </c>
      <c r="P387" s="22">
        <v>242451.38012368922</v>
      </c>
      <c r="Q387" s="22">
        <v>258380.58023321879</v>
      </c>
      <c r="R387" s="22">
        <v>271984.81933230365</v>
      </c>
      <c r="S387" s="22">
        <v>277813.06706081622</v>
      </c>
      <c r="T387" s="22">
        <v>282281.02705500688</v>
      </c>
      <c r="U387" s="22">
        <v>300635.63881976879</v>
      </c>
      <c r="V387" s="22">
        <v>310674.11353599408</v>
      </c>
      <c r="W387" s="22">
        <v>328730.6232105096</v>
      </c>
      <c r="X387" s="22">
        <v>343438.19005057454</v>
      </c>
      <c r="Y387" s="22">
        <v>357517.17211580556</v>
      </c>
      <c r="Z387" s="22">
        <v>362095.58288100129</v>
      </c>
      <c r="AA387" s="23">
        <v>353585.76229784876</v>
      </c>
      <c r="AB387" s="96">
        <f t="shared" ref="AB387" si="132">+SUM(D387:AA387)*AC387+SUM(D388:AA388)*AC388+SUM(D389:AA389)*AC389</f>
        <v>219283294.28669235</v>
      </c>
      <c r="AC387" s="16">
        <v>19</v>
      </c>
      <c r="AD387" s="16">
        <f t="shared" si="111"/>
        <v>133797634.34495845</v>
      </c>
    </row>
    <row r="388" spans="1:30" ht="13.5" thickBot="1" x14ac:dyDescent="0.35">
      <c r="A388" s="18">
        <v>2036</v>
      </c>
      <c r="B388" s="19" t="s">
        <v>42</v>
      </c>
      <c r="C388" s="20" t="s">
        <v>34</v>
      </c>
      <c r="D388" s="21">
        <v>355407.49329371704</v>
      </c>
      <c r="E388" s="22">
        <v>341070.96608215116</v>
      </c>
      <c r="F388" s="22">
        <v>328473.61786880315</v>
      </c>
      <c r="G388" s="22">
        <v>317496.22589992592</v>
      </c>
      <c r="H388" s="22">
        <v>306668.93484795507</v>
      </c>
      <c r="I388" s="22">
        <v>288423.3978253844</v>
      </c>
      <c r="J388" s="22">
        <v>270726.58181314392</v>
      </c>
      <c r="K388" s="22">
        <v>229421.70529928323</v>
      </c>
      <c r="L388" s="22">
        <v>227442.19602274476</v>
      </c>
      <c r="M388" s="22">
        <v>227420.15744014288</v>
      </c>
      <c r="N388" s="22">
        <v>232931.22022879045</v>
      </c>
      <c r="O388" s="22">
        <v>243308.4215861648</v>
      </c>
      <c r="P388" s="22">
        <v>250044.1009169734</v>
      </c>
      <c r="Q388" s="22">
        <v>271153.98776440258</v>
      </c>
      <c r="R388" s="22">
        <v>286179.74057649146</v>
      </c>
      <c r="S388" s="22">
        <v>291087.29914564546</v>
      </c>
      <c r="T388" s="22">
        <v>293742.19120479253</v>
      </c>
      <c r="U388" s="22">
        <v>307326.68890608038</v>
      </c>
      <c r="V388" s="22">
        <v>315279.1679528057</v>
      </c>
      <c r="W388" s="22">
        <v>334581.19318020967</v>
      </c>
      <c r="X388" s="22">
        <v>351379.74027594121</v>
      </c>
      <c r="Y388" s="22">
        <v>365855.01590657583</v>
      </c>
      <c r="Z388" s="22">
        <v>369128.04008954711</v>
      </c>
      <c r="AA388" s="23">
        <v>357916.45614005119</v>
      </c>
      <c r="AB388" s="97"/>
      <c r="AC388" s="16">
        <v>5</v>
      </c>
      <c r="AD388" s="16">
        <f t="shared" si="111"/>
        <v>35812322.701338619</v>
      </c>
    </row>
    <row r="389" spans="1:30" ht="13.5" thickBot="1" x14ac:dyDescent="0.35">
      <c r="A389" s="18">
        <v>2036</v>
      </c>
      <c r="B389" s="25" t="s">
        <v>42</v>
      </c>
      <c r="C389" s="26" t="s">
        <v>36</v>
      </c>
      <c r="D389" s="21">
        <v>353810.83510955091</v>
      </c>
      <c r="E389" s="22">
        <v>339890.79403211543</v>
      </c>
      <c r="F389" s="22">
        <v>327480.35605194699</v>
      </c>
      <c r="G389" s="22">
        <v>316684.60280791199</v>
      </c>
      <c r="H389" s="22">
        <v>306045.50046946894</v>
      </c>
      <c r="I389" s="22">
        <v>288472.39103556157</v>
      </c>
      <c r="J389" s="22">
        <v>271342.69483027916</v>
      </c>
      <c r="K389" s="22">
        <v>228833.84529578572</v>
      </c>
      <c r="L389" s="22">
        <v>225185.24232303261</v>
      </c>
      <c r="M389" s="22">
        <v>224218.08524625879</v>
      </c>
      <c r="N389" s="22">
        <v>229049.42887353705</v>
      </c>
      <c r="O389" s="22">
        <v>239024.87354765795</v>
      </c>
      <c r="P389" s="22">
        <v>246035.79130794326</v>
      </c>
      <c r="Q389" s="22">
        <v>265683.84414995991</v>
      </c>
      <c r="R389" s="22">
        <v>279976.46926554927</v>
      </c>
      <c r="S389" s="22">
        <v>285260.21472246415</v>
      </c>
      <c r="T389" s="22">
        <v>288574.04048036959</v>
      </c>
      <c r="U389" s="22">
        <v>303702.66718992096</v>
      </c>
      <c r="V389" s="22">
        <v>312385.77143554168</v>
      </c>
      <c r="W389" s="22">
        <v>331670.74381431111</v>
      </c>
      <c r="X389" s="22">
        <v>348222.87822667963</v>
      </c>
      <c r="Y389" s="22">
        <v>362810.68794186082</v>
      </c>
      <c r="Z389" s="22">
        <v>366283.66595383134</v>
      </c>
      <c r="AA389" s="23">
        <v>355545.61023064342</v>
      </c>
      <c r="AB389" s="97"/>
      <c r="AC389" s="16">
        <v>7</v>
      </c>
      <c r="AD389" s="16">
        <f t="shared" si="111"/>
        <v>49673337.240395285</v>
      </c>
    </row>
    <row r="390" spans="1:30" ht="13.5" thickBot="1" x14ac:dyDescent="0.35">
      <c r="A390" s="18">
        <v>2036</v>
      </c>
      <c r="B390" s="11" t="s">
        <v>43</v>
      </c>
      <c r="C390" s="12" t="s">
        <v>33</v>
      </c>
      <c r="D390" s="21">
        <v>356299.26623645046</v>
      </c>
      <c r="E390" s="22">
        <v>342531.9175702823</v>
      </c>
      <c r="F390" s="22">
        <v>330022.12328750273</v>
      </c>
      <c r="G390" s="22">
        <v>319191.10424099636</v>
      </c>
      <c r="H390" s="22">
        <v>308671.13713166065</v>
      </c>
      <c r="I390" s="22">
        <v>291794.92155503301</v>
      </c>
      <c r="J390" s="22">
        <v>275370.68578085158</v>
      </c>
      <c r="K390" s="22">
        <v>231497.36967397321</v>
      </c>
      <c r="L390" s="22">
        <v>226828.12464973694</v>
      </c>
      <c r="M390" s="22">
        <v>225342.76514462309</v>
      </c>
      <c r="N390" s="22">
        <v>229584.45564465004</v>
      </c>
      <c r="O390" s="22">
        <v>239091.10584844984</v>
      </c>
      <c r="P390" s="22">
        <v>245757.11708732892</v>
      </c>
      <c r="Q390" s="22">
        <v>262952.05536030757</v>
      </c>
      <c r="R390" s="22">
        <v>277084.37180313596</v>
      </c>
      <c r="S390" s="22">
        <v>282750.57385302777</v>
      </c>
      <c r="T390" s="22">
        <v>286873.11490346823</v>
      </c>
      <c r="U390" s="22">
        <v>304236.58371576312</v>
      </c>
      <c r="V390" s="22">
        <v>313800.05810046033</v>
      </c>
      <c r="W390" s="22">
        <v>332109.92692604638</v>
      </c>
      <c r="X390" s="22">
        <v>347244.46467421978</v>
      </c>
      <c r="Y390" s="22">
        <v>361402.63855858293</v>
      </c>
      <c r="Z390" s="22">
        <v>365761.50178646954</v>
      </c>
      <c r="AA390" s="23">
        <v>356696.00862581353</v>
      </c>
      <c r="AB390" s="96">
        <f t="shared" ref="AB390" si="133">+SUM(D390:AA390)*AC390+SUM(D391:AA391)*AC391+SUM(D392:AA392)*AC392</f>
        <v>214023462.87313348</v>
      </c>
      <c r="AC390" s="16">
        <v>22</v>
      </c>
      <c r="AD390" s="16">
        <f t="shared" ref="AD390:AD453" si="134">+SUM(D390:AA390)*AC390</f>
        <v>156483654.62749436</v>
      </c>
    </row>
    <row r="391" spans="1:30" ht="13.5" thickBot="1" x14ac:dyDescent="0.35">
      <c r="A391" s="18">
        <v>2036</v>
      </c>
      <c r="B391" s="19" t="s">
        <v>43</v>
      </c>
      <c r="C391" s="20" t="s">
        <v>34</v>
      </c>
      <c r="D391" s="21">
        <v>358164.44470575842</v>
      </c>
      <c r="E391" s="22">
        <v>343721.90458076529</v>
      </c>
      <c r="F391" s="22">
        <v>331031.40399056562</v>
      </c>
      <c r="G391" s="22">
        <v>319972.83857659408</v>
      </c>
      <c r="H391" s="22">
        <v>309065.48401607579</v>
      </c>
      <c r="I391" s="22">
        <v>290685.02850813814</v>
      </c>
      <c r="J391" s="22">
        <v>272857.35158403538</v>
      </c>
      <c r="K391" s="22">
        <v>231363.47507311852</v>
      </c>
      <c r="L391" s="22">
        <v>229311.45464861018</v>
      </c>
      <c r="M391" s="22">
        <v>229251.18434910936</v>
      </c>
      <c r="N391" s="22">
        <v>234781.95784672044</v>
      </c>
      <c r="O391" s="22">
        <v>245228.61944685108</v>
      </c>
      <c r="P391" s="22">
        <v>252016.02499557109</v>
      </c>
      <c r="Q391" s="22">
        <v>273292.92814772733</v>
      </c>
      <c r="R391" s="22">
        <v>288450.10829073383</v>
      </c>
      <c r="S391" s="22">
        <v>293429.60849923606</v>
      </c>
      <c r="T391" s="22">
        <v>296161.22252667201</v>
      </c>
      <c r="U391" s="22">
        <v>309835.61201730679</v>
      </c>
      <c r="V391" s="22">
        <v>317846.89648184826</v>
      </c>
      <c r="W391" s="22">
        <v>337291.65250445873</v>
      </c>
      <c r="X391" s="22">
        <v>354214.418170886</v>
      </c>
      <c r="Y391" s="22">
        <v>368796.73270429112</v>
      </c>
      <c r="Z391" s="22">
        <v>372093.95959857694</v>
      </c>
      <c r="AA391" s="23">
        <v>360799.4704474879</v>
      </c>
      <c r="AB391" s="97"/>
      <c r="AC391" s="16">
        <v>4</v>
      </c>
      <c r="AD391" s="16">
        <f t="shared" si="134"/>
        <v>28878655.126844555</v>
      </c>
    </row>
    <row r="392" spans="1:30" ht="13.5" thickBot="1" x14ac:dyDescent="0.35">
      <c r="A392" s="18">
        <v>2036</v>
      </c>
      <c r="B392" s="25" t="s">
        <v>43</v>
      </c>
      <c r="C392" s="26" t="s">
        <v>36</v>
      </c>
      <c r="D392" s="21">
        <v>355723.04029041523</v>
      </c>
      <c r="E392" s="22">
        <v>341374.3793661198</v>
      </c>
      <c r="F392" s="22">
        <v>328766.36939332879</v>
      </c>
      <c r="G392" s="22">
        <v>317779.68671417679</v>
      </c>
      <c r="H392" s="22">
        <v>306943.23198976804</v>
      </c>
      <c r="I392" s="22">
        <v>288682.25286594348</v>
      </c>
      <c r="J392" s="22">
        <v>270970.4591622054</v>
      </c>
      <c r="K392" s="22">
        <v>229456.49352295476</v>
      </c>
      <c r="L392" s="22">
        <v>227330.42815896356</v>
      </c>
      <c r="M392" s="22">
        <v>227213.06941744193</v>
      </c>
      <c r="N392" s="22">
        <v>232676.12132371916</v>
      </c>
      <c r="O392" s="22">
        <v>243043.89306855819</v>
      </c>
      <c r="P392" s="22">
        <v>249790.07604564293</v>
      </c>
      <c r="Q392" s="22">
        <v>270945.15914070362</v>
      </c>
      <c r="R392" s="22">
        <v>286034.49284827471</v>
      </c>
      <c r="S392" s="22">
        <v>291035.45682091627</v>
      </c>
      <c r="T392" s="22">
        <v>293835.51549343701</v>
      </c>
      <c r="U392" s="22">
        <v>307613.84781255829</v>
      </c>
      <c r="V392" s="22">
        <v>315573.05743599951</v>
      </c>
      <c r="W392" s="22">
        <v>334891.41892292822</v>
      </c>
      <c r="X392" s="22">
        <v>351704.18346070312</v>
      </c>
      <c r="Y392" s="22">
        <v>366191.71023372334</v>
      </c>
      <c r="Z392" s="22">
        <v>369467.5045390965</v>
      </c>
      <c r="AA392" s="23">
        <v>358246.43167105853</v>
      </c>
      <c r="AB392" s="97"/>
      <c r="AC392" s="16">
        <v>4</v>
      </c>
      <c r="AD392" s="16">
        <f t="shared" si="134"/>
        <v>28661153.118794553</v>
      </c>
    </row>
    <row r="393" spans="1:30" ht="13.5" thickBot="1" x14ac:dyDescent="0.35">
      <c r="A393" s="18">
        <v>2036</v>
      </c>
      <c r="B393" s="11" t="s">
        <v>44</v>
      </c>
      <c r="C393" s="12" t="s">
        <v>33</v>
      </c>
      <c r="D393" s="21">
        <v>347405.34472748288</v>
      </c>
      <c r="E393" s="22">
        <v>334337.79835547204</v>
      </c>
      <c r="F393" s="22">
        <v>322239.08326419583</v>
      </c>
      <c r="G393" s="22">
        <v>311793.4441340419</v>
      </c>
      <c r="H393" s="22">
        <v>301694.59901084559</v>
      </c>
      <c r="I393" s="22">
        <v>285939.58200147696</v>
      </c>
      <c r="J393" s="22">
        <v>270536.33932640566</v>
      </c>
      <c r="K393" s="22">
        <v>225451.49454740717</v>
      </c>
      <c r="L393" s="22">
        <v>219020.99605664349</v>
      </c>
      <c r="M393" s="22">
        <v>216513.38281668795</v>
      </c>
      <c r="N393" s="22">
        <v>219870.28527500955</v>
      </c>
      <c r="O393" s="22">
        <v>228687.69810098223</v>
      </c>
      <c r="P393" s="22">
        <v>235374.27725527008</v>
      </c>
      <c r="Q393" s="22">
        <v>250359.36605714718</v>
      </c>
      <c r="R393" s="22">
        <v>263558.19833546854</v>
      </c>
      <c r="S393" s="22">
        <v>269617.95540326886</v>
      </c>
      <c r="T393" s="22">
        <v>274574.11304277205</v>
      </c>
      <c r="U393" s="22">
        <v>293909.35240631393</v>
      </c>
      <c r="V393" s="22">
        <v>304116.86321525328</v>
      </c>
      <c r="W393" s="22">
        <v>321783.81752671365</v>
      </c>
      <c r="X393" s="22">
        <v>336037.5011014553</v>
      </c>
      <c r="Y393" s="22">
        <v>349886.06793423934</v>
      </c>
      <c r="Z393" s="22">
        <v>354536.89600564283</v>
      </c>
      <c r="AA393" s="23">
        <v>346481.03754539485</v>
      </c>
      <c r="AB393" s="96">
        <f t="shared" ref="AB393" si="135">+SUM(D393:AA393)*AC393+SUM(D394:AA394)*AC394+SUM(D395:AA395)*AC395</f>
        <v>214671290.77710325</v>
      </c>
      <c r="AC393" s="16">
        <v>22</v>
      </c>
      <c r="AD393" s="16">
        <f t="shared" si="134"/>
        <v>151441960.85580301</v>
      </c>
    </row>
    <row r="394" spans="1:30" ht="13.5" thickBot="1" x14ac:dyDescent="0.35">
      <c r="A394" s="18">
        <v>2036</v>
      </c>
      <c r="B394" s="19" t="s">
        <v>44</v>
      </c>
      <c r="C394" s="20" t="s">
        <v>34</v>
      </c>
      <c r="D394" s="21">
        <v>349325.31689367938</v>
      </c>
      <c r="E394" s="22">
        <v>335222.66730408772</v>
      </c>
      <c r="F394" s="22">
        <v>322830.82477561285</v>
      </c>
      <c r="G394" s="22">
        <v>312032.51148396847</v>
      </c>
      <c r="H394" s="22">
        <v>301381.850451687</v>
      </c>
      <c r="I394" s="22">
        <v>283433.96032417717</v>
      </c>
      <c r="J394" s="22">
        <v>266025.83969711437</v>
      </c>
      <c r="K394" s="22">
        <v>224594.38971717382</v>
      </c>
      <c r="L394" s="22">
        <v>222373.97413936554</v>
      </c>
      <c r="M394" s="22">
        <v>222172.58683891245</v>
      </c>
      <c r="N394" s="22">
        <v>227494.4168462214</v>
      </c>
      <c r="O394" s="22">
        <v>237667.9879947569</v>
      </c>
      <c r="P394" s="22">
        <v>244302.84218980811</v>
      </c>
      <c r="Q394" s="22">
        <v>265119.89031774516</v>
      </c>
      <c r="R394" s="22">
        <v>279996.43489905266</v>
      </c>
      <c r="S394" s="22">
        <v>284992.23506361165</v>
      </c>
      <c r="T394" s="22">
        <v>287873.31765012693</v>
      </c>
      <c r="U394" s="22">
        <v>301791.69366823888</v>
      </c>
      <c r="V394" s="22">
        <v>309614.44067729561</v>
      </c>
      <c r="W394" s="22">
        <v>328601.58408619155</v>
      </c>
      <c r="X394" s="22">
        <v>345126.08962434175</v>
      </c>
      <c r="Y394" s="22">
        <v>359365.22417339101</v>
      </c>
      <c r="Z394" s="22">
        <v>362584.85417649715</v>
      </c>
      <c r="AA394" s="23">
        <v>351556.1693736341</v>
      </c>
      <c r="AB394" s="97"/>
      <c r="AC394" s="16">
        <v>4</v>
      </c>
      <c r="AD394" s="16">
        <f t="shared" si="134"/>
        <v>28101924.409466766</v>
      </c>
    </row>
    <row r="395" spans="1:30" ht="13.5" thickBot="1" x14ac:dyDescent="0.35">
      <c r="A395" s="18">
        <v>2036</v>
      </c>
      <c r="B395" s="25" t="s">
        <v>44</v>
      </c>
      <c r="C395" s="26" t="s">
        <v>36</v>
      </c>
      <c r="D395" s="21">
        <v>349325.31689367938</v>
      </c>
      <c r="E395" s="22">
        <v>335222.66730408772</v>
      </c>
      <c r="F395" s="22">
        <v>322830.82477561285</v>
      </c>
      <c r="G395" s="22">
        <v>312032.51148396847</v>
      </c>
      <c r="H395" s="22">
        <v>301381.850451687</v>
      </c>
      <c r="I395" s="22">
        <v>283433.96032417717</v>
      </c>
      <c r="J395" s="22">
        <v>266025.83969711437</v>
      </c>
      <c r="K395" s="22">
        <v>224594.38971717382</v>
      </c>
      <c r="L395" s="22">
        <v>222373.97413936554</v>
      </c>
      <c r="M395" s="22">
        <v>222172.58683891245</v>
      </c>
      <c r="N395" s="22">
        <v>227494.4168462214</v>
      </c>
      <c r="O395" s="22">
        <v>237667.98799475693</v>
      </c>
      <c r="P395" s="22">
        <v>244302.84218980809</v>
      </c>
      <c r="Q395" s="22">
        <v>265119.89031774516</v>
      </c>
      <c r="R395" s="22">
        <v>279996.43489905266</v>
      </c>
      <c r="S395" s="22">
        <v>284992.23506361165</v>
      </c>
      <c r="T395" s="22">
        <v>287873.31765012693</v>
      </c>
      <c r="U395" s="22">
        <v>301791.69366823888</v>
      </c>
      <c r="V395" s="22">
        <v>309614.44067729561</v>
      </c>
      <c r="W395" s="22">
        <v>328601.58408619155</v>
      </c>
      <c r="X395" s="22">
        <v>345126.08962434175</v>
      </c>
      <c r="Y395" s="22">
        <v>359365.22417339101</v>
      </c>
      <c r="Z395" s="22">
        <v>362584.85417649715</v>
      </c>
      <c r="AA395" s="23">
        <v>351556.1693736341</v>
      </c>
      <c r="AB395" s="97"/>
      <c r="AC395" s="16">
        <v>5</v>
      </c>
      <c r="AD395" s="16">
        <f t="shared" si="134"/>
        <v>35127405.511833459</v>
      </c>
    </row>
    <row r="396" spans="1:30" ht="13.5" thickBot="1" x14ac:dyDescent="0.35">
      <c r="A396" s="18">
        <v>2036</v>
      </c>
      <c r="B396" s="11" t="s">
        <v>45</v>
      </c>
      <c r="C396" s="12" t="s">
        <v>33</v>
      </c>
      <c r="D396" s="21">
        <v>340183.80169496645</v>
      </c>
      <c r="E396" s="22">
        <v>327274.27267440507</v>
      </c>
      <c r="F396" s="22">
        <v>315380.11044884782</v>
      </c>
      <c r="G396" s="22">
        <v>305104.50513411785</v>
      </c>
      <c r="H396" s="22">
        <v>295163.01685431704</v>
      </c>
      <c r="I396" s="22">
        <v>279541.16610781831</v>
      </c>
      <c r="J396" s="22">
        <v>264291.3518523809</v>
      </c>
      <c r="K396" s="22">
        <v>219357.2646276874</v>
      </c>
      <c r="L396" s="22">
        <v>213090.94602364508</v>
      </c>
      <c r="M396" s="22">
        <v>210611.51228727269</v>
      </c>
      <c r="N396" s="22">
        <v>213934.2690455328</v>
      </c>
      <c r="O396" s="22">
        <v>222631.1497586153</v>
      </c>
      <c r="P396" s="22">
        <v>229128.9114035113</v>
      </c>
      <c r="Q396" s="22">
        <v>244329.60908169905</v>
      </c>
      <c r="R396" s="22">
        <v>257603.95979470346</v>
      </c>
      <c r="S396" s="22">
        <v>263696.94487332716</v>
      </c>
      <c r="T396" s="22">
        <v>268785.3047820268</v>
      </c>
      <c r="U396" s="22">
        <v>288079.66382951464</v>
      </c>
      <c r="V396" s="22">
        <v>297860.950516287</v>
      </c>
      <c r="W396" s="22">
        <v>315188.8516202899</v>
      </c>
      <c r="X396" s="22">
        <v>329245.65066713688</v>
      </c>
      <c r="Y396" s="22">
        <v>342787.11999185086</v>
      </c>
      <c r="Z396" s="22">
        <v>347267.07180632243</v>
      </c>
      <c r="AA396" s="23">
        <v>339213.19272102055</v>
      </c>
      <c r="AB396" s="96">
        <f t="shared" ref="AB396" si="136">+SUM(D396:AA396)*AC396+SUM(D397:AA397)*AC397+SUM(D398:AA398)*AC398</f>
        <v>203205381.36512634</v>
      </c>
      <c r="AC396" s="16">
        <v>18</v>
      </c>
      <c r="AD396" s="16">
        <f t="shared" si="134"/>
        <v>121135510.75675131</v>
      </c>
    </row>
    <row r="397" spans="1:30" ht="13.5" thickBot="1" x14ac:dyDescent="0.35">
      <c r="A397" s="18">
        <v>2036</v>
      </c>
      <c r="B397" s="19" t="s">
        <v>45</v>
      </c>
      <c r="C397" s="20" t="s">
        <v>34</v>
      </c>
      <c r="D397" s="21">
        <v>341402.87583826442</v>
      </c>
      <c r="E397" s="22">
        <v>327604.86747451063</v>
      </c>
      <c r="F397" s="22">
        <v>315480.70982853125</v>
      </c>
      <c r="G397" s="22">
        <v>304915.65847658477</v>
      </c>
      <c r="H397" s="22">
        <v>294495.06984397862</v>
      </c>
      <c r="I397" s="22">
        <v>276934.88468034205</v>
      </c>
      <c r="J397" s="22">
        <v>259902.8090775616</v>
      </c>
      <c r="K397" s="22">
        <v>218198.16742903233</v>
      </c>
      <c r="L397" s="22">
        <v>215584.06420515865</v>
      </c>
      <c r="M397" s="22">
        <v>215096.51142860792</v>
      </c>
      <c r="N397" s="22">
        <v>220142.80660611851</v>
      </c>
      <c r="O397" s="22">
        <v>230041.09302885615</v>
      </c>
      <c r="P397" s="22">
        <v>236547.26420051558</v>
      </c>
      <c r="Q397" s="22">
        <v>256997.9407725661</v>
      </c>
      <c r="R397" s="22">
        <v>271708.1793522925</v>
      </c>
      <c r="S397" s="22">
        <v>276868.13596218231</v>
      </c>
      <c r="T397" s="22">
        <v>280122.65652227181</v>
      </c>
      <c r="U397" s="22">
        <v>294581.99262873398</v>
      </c>
      <c r="V397" s="22">
        <v>302235.75499252119</v>
      </c>
      <c r="W397" s="22">
        <v>320812.74379844673</v>
      </c>
      <c r="X397" s="22">
        <v>336980.29190164636</v>
      </c>
      <c r="Y397" s="22">
        <v>350911.83691751363</v>
      </c>
      <c r="Z397" s="22">
        <v>354061.9174345702</v>
      </c>
      <c r="AA397" s="23">
        <v>343271.47098800895</v>
      </c>
      <c r="AB397" s="97"/>
      <c r="AC397" s="16">
        <v>5</v>
      </c>
      <c r="AD397" s="16">
        <f t="shared" si="134"/>
        <v>34224498.516944081</v>
      </c>
    </row>
    <row r="398" spans="1:30" ht="13.5" thickBot="1" x14ac:dyDescent="0.35">
      <c r="A398" s="18">
        <v>2036</v>
      </c>
      <c r="B398" s="25" t="s">
        <v>45</v>
      </c>
      <c r="C398" s="26" t="s">
        <v>36</v>
      </c>
      <c r="D398" s="21">
        <v>340960.77592967154</v>
      </c>
      <c r="E398" s="22">
        <v>327179.76761137776</v>
      </c>
      <c r="F398" s="22">
        <v>315070.54771769658</v>
      </c>
      <c r="G398" s="22">
        <v>304518.51319749391</v>
      </c>
      <c r="H398" s="22">
        <v>294110.76340914739</v>
      </c>
      <c r="I398" s="22">
        <v>276572.21353795298</v>
      </c>
      <c r="J398" s="22">
        <v>259561.12256222102</v>
      </c>
      <c r="K398" s="22">
        <v>217852.84308878073</v>
      </c>
      <c r="L398" s="22">
        <v>215225.33149193469</v>
      </c>
      <c r="M398" s="22">
        <v>214727.44089718373</v>
      </c>
      <c r="N398" s="22">
        <v>219761.47276053371</v>
      </c>
      <c r="O398" s="22">
        <v>229645.47347231163</v>
      </c>
      <c r="P398" s="22">
        <v>236144.17988514731</v>
      </c>
      <c r="Q398" s="22">
        <v>256572.79676247115</v>
      </c>
      <c r="R398" s="22">
        <v>271270.74942073534</v>
      </c>
      <c r="S398" s="22">
        <v>276434.59278044198</v>
      </c>
      <c r="T398" s="22">
        <v>279701.50758834451</v>
      </c>
      <c r="U398" s="22">
        <v>294179.66610484419</v>
      </c>
      <c r="V398" s="22">
        <v>301823.99853463686</v>
      </c>
      <c r="W398" s="22">
        <v>320378.09927977243</v>
      </c>
      <c r="X398" s="22">
        <v>336525.72791014053</v>
      </c>
      <c r="Y398" s="22">
        <v>350440.10835469031</v>
      </c>
      <c r="Z398" s="22">
        <v>353586.30776727281</v>
      </c>
      <c r="AA398" s="23">
        <v>342809.15585389995</v>
      </c>
      <c r="AB398" s="97"/>
      <c r="AC398" s="16">
        <v>7</v>
      </c>
      <c r="AD398" s="16">
        <f t="shared" si="134"/>
        <v>47845372.091430925</v>
      </c>
    </row>
    <row r="399" spans="1:30" ht="13.5" thickBot="1" x14ac:dyDescent="0.35">
      <c r="A399" s="18">
        <v>2036</v>
      </c>
      <c r="B399" s="11" t="s">
        <v>46</v>
      </c>
      <c r="C399" s="12" t="s">
        <v>33</v>
      </c>
      <c r="D399" s="21">
        <v>336418.98508332937</v>
      </c>
      <c r="E399" s="22">
        <v>324774.94720023993</v>
      </c>
      <c r="F399" s="22">
        <v>313960.49323784118</v>
      </c>
      <c r="G399" s="22">
        <v>304279.28638488933</v>
      </c>
      <c r="H399" s="22">
        <v>294714.62188984914</v>
      </c>
      <c r="I399" s="22">
        <v>280234.82891182794</v>
      </c>
      <c r="J399" s="22">
        <v>265546.95586577529</v>
      </c>
      <c r="K399" s="22">
        <v>220138.11525083528</v>
      </c>
      <c r="L399" s="22">
        <v>214187.14409267911</v>
      </c>
      <c r="M399" s="22">
        <v>211340.84212092462</v>
      </c>
      <c r="N399" s="22">
        <v>214473.69548133793</v>
      </c>
      <c r="O399" s="22">
        <v>222523.35650229012</v>
      </c>
      <c r="P399" s="22">
        <v>228730.03504689806</v>
      </c>
      <c r="Q399" s="22">
        <v>242991.39313578096</v>
      </c>
      <c r="R399" s="22">
        <v>255872.13202801489</v>
      </c>
      <c r="S399" s="22">
        <v>261964.44966300888</v>
      </c>
      <c r="T399" s="22">
        <v>266448.14298879413</v>
      </c>
      <c r="U399" s="22">
        <v>285992.19138502702</v>
      </c>
      <c r="V399" s="22">
        <v>296499.53415898728</v>
      </c>
      <c r="W399" s="22">
        <v>312737.5153808223</v>
      </c>
      <c r="X399" s="22">
        <v>326525.93404317461</v>
      </c>
      <c r="Y399" s="22">
        <v>340039.98061444837</v>
      </c>
      <c r="Z399" s="22">
        <v>344909.50401547097</v>
      </c>
      <c r="AA399" s="23">
        <v>337847.00419801392</v>
      </c>
      <c r="AB399" s="96">
        <f t="shared" ref="AB399" si="137">+SUM(D399:AA399)*AC399+SUM(D400:AA400)*AC400+SUM(D401:AA401)*AC401</f>
        <v>208972372.51315537</v>
      </c>
      <c r="AC399" s="16">
        <v>21</v>
      </c>
      <c r="AD399" s="16">
        <f t="shared" si="134"/>
        <v>140766172.86228544</v>
      </c>
    </row>
    <row r="400" spans="1:30" ht="13.5" thickBot="1" x14ac:dyDescent="0.35">
      <c r="A400" s="18">
        <v>2036</v>
      </c>
      <c r="B400" s="19" t="s">
        <v>46</v>
      </c>
      <c r="C400" s="20" t="s">
        <v>34</v>
      </c>
      <c r="D400" s="21">
        <v>341849.87133926334</v>
      </c>
      <c r="E400" s="22">
        <v>328034.67468008195</v>
      </c>
      <c r="F400" s="22">
        <v>315895.41386863572</v>
      </c>
      <c r="G400" s="22">
        <v>305317.20154308656</v>
      </c>
      <c r="H400" s="22">
        <v>294883.63189530594</v>
      </c>
      <c r="I400" s="22">
        <v>277301.57186086202</v>
      </c>
      <c r="J400" s="22">
        <v>260248.27925780966</v>
      </c>
      <c r="K400" s="22">
        <v>218681.003599319</v>
      </c>
      <c r="L400" s="22">
        <v>216179.05716860126</v>
      </c>
      <c r="M400" s="22">
        <v>215766.81502179921</v>
      </c>
      <c r="N400" s="22">
        <v>220861.35789152115</v>
      </c>
      <c r="O400" s="22">
        <v>230786.48280513458</v>
      </c>
      <c r="P400" s="22">
        <v>237296.93273285142</v>
      </c>
      <c r="Q400" s="22">
        <v>257751.31365375975</v>
      </c>
      <c r="R400" s="22">
        <v>272439.3583272791</v>
      </c>
      <c r="S400" s="22">
        <v>277534.64393256995</v>
      </c>
      <c r="T400" s="22">
        <v>280679.36768869316</v>
      </c>
      <c r="U400" s="22">
        <v>294988.77431453823</v>
      </c>
      <c r="V400" s="22">
        <v>302652.07103467395</v>
      </c>
      <c r="W400" s="22">
        <v>321252.20135228254</v>
      </c>
      <c r="X400" s="22">
        <v>337439.88950655411</v>
      </c>
      <c r="Y400" s="22">
        <v>351388.78916558332</v>
      </c>
      <c r="Z400" s="22">
        <v>354542.79376451595</v>
      </c>
      <c r="AA400" s="23">
        <v>343738.90556778107</v>
      </c>
      <c r="AB400" s="97"/>
      <c r="AC400" s="16">
        <v>4</v>
      </c>
      <c r="AD400" s="16">
        <f t="shared" si="134"/>
        <v>27430041.60789001</v>
      </c>
    </row>
    <row r="401" spans="1:30" ht="13.5" thickBot="1" x14ac:dyDescent="0.35">
      <c r="A401" s="28">
        <v>2036</v>
      </c>
      <c r="B401" s="25" t="s">
        <v>46</v>
      </c>
      <c r="C401" s="26" t="s">
        <v>36</v>
      </c>
      <c r="D401" s="21">
        <v>340641.88365298259</v>
      </c>
      <c r="E401" s="22">
        <v>327272.93830853491</v>
      </c>
      <c r="F401" s="22">
        <v>315324.19701333501</v>
      </c>
      <c r="G401" s="22">
        <v>304933.13123301166</v>
      </c>
      <c r="H401" s="22">
        <v>294694.32026822265</v>
      </c>
      <c r="I401" s="22">
        <v>277840.49665456155</v>
      </c>
      <c r="J401" s="22">
        <v>261397.74090627136</v>
      </c>
      <c r="K401" s="22">
        <v>218479.74790468602</v>
      </c>
      <c r="L401" s="22">
        <v>214116.43117716213</v>
      </c>
      <c r="M401" s="22">
        <v>212653.85660141797</v>
      </c>
      <c r="N401" s="22">
        <v>216999.45219946434</v>
      </c>
      <c r="O401" s="22">
        <v>226491.2892717408</v>
      </c>
      <c r="P401" s="22">
        <v>233321.59108702853</v>
      </c>
      <c r="Q401" s="22">
        <v>252159.49814324183</v>
      </c>
      <c r="R401" s="22">
        <v>266038.49229594244</v>
      </c>
      <c r="S401" s="22">
        <v>271552.1474068028</v>
      </c>
      <c r="T401" s="22">
        <v>275422.24114536284</v>
      </c>
      <c r="U401" s="22">
        <v>291445.09688723151</v>
      </c>
      <c r="V401" s="22">
        <v>299943.59304945607</v>
      </c>
      <c r="W401" s="22">
        <v>318555.05343841814</v>
      </c>
      <c r="X401" s="22">
        <v>334491.87250582041</v>
      </c>
      <c r="Y401" s="22">
        <v>348590.3714541425</v>
      </c>
      <c r="Z401" s="22">
        <v>351974.68377951818</v>
      </c>
      <c r="AA401" s="23">
        <v>341686.21411229629</v>
      </c>
      <c r="AB401" s="97"/>
      <c r="AC401" s="16">
        <v>6</v>
      </c>
      <c r="AD401" s="16">
        <f t="shared" si="134"/>
        <v>40776158.042979918</v>
      </c>
    </row>
    <row r="402" spans="1:30" ht="13.5" thickBot="1" x14ac:dyDescent="0.35">
      <c r="A402" s="10">
        <v>2037</v>
      </c>
      <c r="B402" s="11" t="s">
        <v>32</v>
      </c>
      <c r="C402" s="12" t="s">
        <v>33</v>
      </c>
      <c r="D402" s="21">
        <v>325408.13065328216</v>
      </c>
      <c r="E402" s="22">
        <v>313029.71288253728</v>
      </c>
      <c r="F402" s="22">
        <v>301014.04256118473</v>
      </c>
      <c r="G402" s="22">
        <v>290124.55120931566</v>
      </c>
      <c r="H402" s="22">
        <v>280019.0299678219</v>
      </c>
      <c r="I402" s="22">
        <v>270275.00738466671</v>
      </c>
      <c r="J402" s="22">
        <v>256398.99243285187</v>
      </c>
      <c r="K402" s="22">
        <v>214616.98531202035</v>
      </c>
      <c r="L402" s="22">
        <v>215338.57257471219</v>
      </c>
      <c r="M402" s="22">
        <v>218457.67308064393</v>
      </c>
      <c r="N402" s="22">
        <v>224219.0198102782</v>
      </c>
      <c r="O402" s="22">
        <v>233128.07179131839</v>
      </c>
      <c r="P402" s="22">
        <v>237377.83275640936</v>
      </c>
      <c r="Q402" s="22">
        <v>251296.26385107488</v>
      </c>
      <c r="R402" s="22">
        <v>263315.13927340455</v>
      </c>
      <c r="S402" s="22">
        <v>267659.40517421241</v>
      </c>
      <c r="T402" s="22">
        <v>266069.28199518065</v>
      </c>
      <c r="U402" s="22">
        <v>274748.423219788</v>
      </c>
      <c r="V402" s="22">
        <v>286597.7598318152</v>
      </c>
      <c r="W402" s="22">
        <v>296987.26980730594</v>
      </c>
      <c r="X402" s="22">
        <v>308185.70525382395</v>
      </c>
      <c r="Y402" s="22">
        <v>321332.52292951045</v>
      </c>
      <c r="Z402" s="22">
        <v>327776.87723399641</v>
      </c>
      <c r="AA402" s="23">
        <v>321876.48817990319</v>
      </c>
      <c r="AB402" s="96">
        <f t="shared" ref="AB402" si="138">+SUM(D402:AA402)*AC402+SUM(D403:AA403)*AC403+SUM(D404:AA404)*AC404</f>
        <v>203537416.65941355</v>
      </c>
      <c r="AC402" s="16">
        <v>20</v>
      </c>
      <c r="AD402" s="16">
        <f t="shared" si="134"/>
        <v>131305055.18334118</v>
      </c>
    </row>
    <row r="403" spans="1:30" ht="13.5" thickBot="1" x14ac:dyDescent="0.35">
      <c r="A403" s="18">
        <v>2037</v>
      </c>
      <c r="B403" s="19" t="s">
        <v>32</v>
      </c>
      <c r="C403" s="20" t="s">
        <v>34</v>
      </c>
      <c r="D403" s="21">
        <v>317116.46053460415</v>
      </c>
      <c r="E403" s="22">
        <v>303927.19730794069</v>
      </c>
      <c r="F403" s="22">
        <v>293312.93605228991</v>
      </c>
      <c r="G403" s="22">
        <v>283297.45672808849</v>
      </c>
      <c r="H403" s="22">
        <v>274308.70947039605</v>
      </c>
      <c r="I403" s="22">
        <v>265319.36829944578</v>
      </c>
      <c r="J403" s="22">
        <v>252598.16441360567</v>
      </c>
      <c r="K403" s="22">
        <v>214086.6032209525</v>
      </c>
      <c r="L403" s="22">
        <v>216693.9274651786</v>
      </c>
      <c r="M403" s="22">
        <v>220863.06677739727</v>
      </c>
      <c r="N403" s="22">
        <v>227940.42972038555</v>
      </c>
      <c r="O403" s="22">
        <v>236984.44976798687</v>
      </c>
      <c r="P403" s="22">
        <v>240651.05956504555</v>
      </c>
      <c r="Q403" s="22">
        <v>255350.65566347429</v>
      </c>
      <c r="R403" s="22">
        <v>270628.49047620507</v>
      </c>
      <c r="S403" s="22">
        <v>274899.97347138519</v>
      </c>
      <c r="T403" s="22">
        <v>271121.16887903603</v>
      </c>
      <c r="U403" s="22">
        <v>276164.64806752704</v>
      </c>
      <c r="V403" s="22">
        <v>286972.92143697792</v>
      </c>
      <c r="W403" s="22">
        <v>299385.24706524622</v>
      </c>
      <c r="X403" s="22">
        <v>313232.55216852308</v>
      </c>
      <c r="Y403" s="22">
        <v>327890.3384510451</v>
      </c>
      <c r="Z403" s="22">
        <v>332592.17400191905</v>
      </c>
      <c r="AA403" s="23">
        <v>323809.46397123329</v>
      </c>
      <c r="AB403" s="97"/>
      <c r="AC403" s="16">
        <v>5</v>
      </c>
      <c r="AD403" s="16">
        <f t="shared" si="134"/>
        <v>32895737.314879447</v>
      </c>
    </row>
    <row r="404" spans="1:30" ht="13.5" thickBot="1" x14ac:dyDescent="0.35">
      <c r="A404" s="18">
        <v>2037</v>
      </c>
      <c r="B404" s="25" t="s">
        <v>32</v>
      </c>
      <c r="C404" s="26" t="s">
        <v>36</v>
      </c>
      <c r="D404" s="21">
        <v>323280.48661230842</v>
      </c>
      <c r="E404" s="22">
        <v>310278.77913382021</v>
      </c>
      <c r="F404" s="22">
        <v>297885.45108698396</v>
      </c>
      <c r="G404" s="22">
        <v>287636.24424494774</v>
      </c>
      <c r="H404" s="22">
        <v>278443.55100068433</v>
      </c>
      <c r="I404" s="22">
        <v>268398.79344271147</v>
      </c>
      <c r="J404" s="22">
        <v>256118.55869526521</v>
      </c>
      <c r="K404" s="22">
        <v>215940.20601528848</v>
      </c>
      <c r="L404" s="22">
        <v>219753.47784589449</v>
      </c>
      <c r="M404" s="22">
        <v>222177.73835345136</v>
      </c>
      <c r="N404" s="22">
        <v>226849.63805580151</v>
      </c>
      <c r="O404" s="22">
        <v>234368.61796732844</v>
      </c>
      <c r="P404" s="22">
        <v>239290.70294709966</v>
      </c>
      <c r="Q404" s="22">
        <v>253707.10872676934</v>
      </c>
      <c r="R404" s="22">
        <v>265223.95029311959</v>
      </c>
      <c r="S404" s="22">
        <v>268221.08742084564</v>
      </c>
      <c r="T404" s="22">
        <v>266089.33581729181</v>
      </c>
      <c r="U404" s="22">
        <v>273666.71160230658</v>
      </c>
      <c r="V404" s="22">
        <v>284331.11016425083</v>
      </c>
      <c r="W404" s="22">
        <v>294460.39328189538</v>
      </c>
      <c r="X404" s="22">
        <v>306453.77080187527</v>
      </c>
      <c r="Y404" s="22">
        <v>319600.40094780951</v>
      </c>
      <c r="Z404" s="22">
        <v>325349.25208363862</v>
      </c>
      <c r="AA404" s="23">
        <v>318578.66032410035</v>
      </c>
      <c r="AB404" s="97"/>
      <c r="AC404" s="16">
        <v>6</v>
      </c>
      <c r="AD404" s="16">
        <f t="shared" si="134"/>
        <v>39336624.161192924</v>
      </c>
    </row>
    <row r="405" spans="1:30" ht="13.5" thickBot="1" x14ac:dyDescent="0.35">
      <c r="A405" s="18">
        <v>2037</v>
      </c>
      <c r="B405" s="11" t="s">
        <v>35</v>
      </c>
      <c r="C405" s="12" t="s">
        <v>33</v>
      </c>
      <c r="D405" s="21">
        <v>330642.09345396433</v>
      </c>
      <c r="E405" s="22">
        <v>318421.90728410945</v>
      </c>
      <c r="F405" s="22">
        <v>307540.83559778734</v>
      </c>
      <c r="G405" s="22">
        <v>297726.90404147661</v>
      </c>
      <c r="H405" s="22">
        <v>288131.54236420087</v>
      </c>
      <c r="I405" s="22">
        <v>276714.10188314115</v>
      </c>
      <c r="J405" s="22">
        <v>259042.13718685665</v>
      </c>
      <c r="K405" s="22">
        <v>216300.3244032884</v>
      </c>
      <c r="L405" s="22">
        <v>216808.21692581702</v>
      </c>
      <c r="M405" s="22">
        <v>220418.27077898398</v>
      </c>
      <c r="N405" s="22">
        <v>228313.05061485487</v>
      </c>
      <c r="O405" s="22">
        <v>239196.7860802534</v>
      </c>
      <c r="P405" s="22">
        <v>246114.2068695364</v>
      </c>
      <c r="Q405" s="22">
        <v>262270.01538467361</v>
      </c>
      <c r="R405" s="22">
        <v>274651.60971208441</v>
      </c>
      <c r="S405" s="22">
        <v>278172.40222133324</v>
      </c>
      <c r="T405" s="22">
        <v>275576.56808362447</v>
      </c>
      <c r="U405" s="22">
        <v>281737.32209086651</v>
      </c>
      <c r="V405" s="22">
        <v>290939.98074244166</v>
      </c>
      <c r="W405" s="22">
        <v>305046.02732170781</v>
      </c>
      <c r="X405" s="22">
        <v>317112.62479941844</v>
      </c>
      <c r="Y405" s="22">
        <v>330101.12707095215</v>
      </c>
      <c r="Z405" s="22">
        <v>333987.32151553332</v>
      </c>
      <c r="AA405" s="23">
        <v>327080.68500923237</v>
      </c>
      <c r="AB405" s="96">
        <f t="shared" ref="AB405" si="139">+SUM(D405:AA405)*AC405+SUM(D406:AA406)*AC406+SUM(D407:AA407)*AC407</f>
        <v>187956451.58762398</v>
      </c>
      <c r="AC405" s="16">
        <v>20</v>
      </c>
      <c r="AD405" s="16">
        <f t="shared" si="134"/>
        <v>134440921.22872275</v>
      </c>
    </row>
    <row r="406" spans="1:30" ht="13.5" thickBot="1" x14ac:dyDescent="0.35">
      <c r="A406" s="18">
        <v>2037</v>
      </c>
      <c r="B406" s="19" t="s">
        <v>35</v>
      </c>
      <c r="C406" s="20" t="s">
        <v>34</v>
      </c>
      <c r="D406" s="21">
        <v>321394.9149725617</v>
      </c>
      <c r="E406" s="22">
        <v>310476.78328405396</v>
      </c>
      <c r="F406" s="22">
        <v>299664.95929682453</v>
      </c>
      <c r="G406" s="22">
        <v>290613.87502746691</v>
      </c>
      <c r="H406" s="22">
        <v>279810.4809063531</v>
      </c>
      <c r="I406" s="22">
        <v>268037.25550011493</v>
      </c>
      <c r="J406" s="22">
        <v>252706.05238747108</v>
      </c>
      <c r="K406" s="22">
        <v>212943.82297927854</v>
      </c>
      <c r="L406" s="22">
        <v>215374.80890667788</v>
      </c>
      <c r="M406" s="22">
        <v>220980.56468040982</v>
      </c>
      <c r="N406" s="22">
        <v>228442.81761466927</v>
      </c>
      <c r="O406" s="22">
        <v>240061.91799426801</v>
      </c>
      <c r="P406" s="22">
        <v>243667.90394588583</v>
      </c>
      <c r="Q406" s="22">
        <v>263084.66866325558</v>
      </c>
      <c r="R406" s="22">
        <v>277406.95088771067</v>
      </c>
      <c r="S406" s="22">
        <v>278553.26249528024</v>
      </c>
      <c r="T406" s="22">
        <v>275830.98090587038</v>
      </c>
      <c r="U406" s="22">
        <v>280301.61804991122</v>
      </c>
      <c r="V406" s="22">
        <v>288789.60275759036</v>
      </c>
      <c r="W406" s="22">
        <v>304807.99734961335</v>
      </c>
      <c r="X406" s="22">
        <v>317425.84681155276</v>
      </c>
      <c r="Y406" s="22">
        <v>331011.75697183295</v>
      </c>
      <c r="Z406" s="22">
        <v>332336.0413995831</v>
      </c>
      <c r="AA406" s="23">
        <v>325051.36749894323</v>
      </c>
      <c r="AB406" s="97"/>
      <c r="AC406" s="16">
        <v>4</v>
      </c>
      <c r="AD406" s="16">
        <f t="shared" si="134"/>
        <v>26635105.00514872</v>
      </c>
    </row>
    <row r="407" spans="1:30" ht="13.5" thickBot="1" x14ac:dyDescent="0.35">
      <c r="A407" s="18">
        <v>2037</v>
      </c>
      <c r="B407" s="25" t="s">
        <v>35</v>
      </c>
      <c r="C407" s="26" t="s">
        <v>36</v>
      </c>
      <c r="D407" s="21">
        <v>325682.78475731588</v>
      </c>
      <c r="E407" s="22">
        <v>312605.10069253226</v>
      </c>
      <c r="F407" s="22">
        <v>301201.02507808758</v>
      </c>
      <c r="G407" s="22">
        <v>290488.07376201864</v>
      </c>
      <c r="H407" s="22">
        <v>279226.50560891599</v>
      </c>
      <c r="I407" s="22">
        <v>264968.64873364859</v>
      </c>
      <c r="J407" s="22">
        <v>247855.1409985862</v>
      </c>
      <c r="K407" s="22">
        <v>208390.19984274698</v>
      </c>
      <c r="L407" s="22">
        <v>211504.66482271231</v>
      </c>
      <c r="M407" s="22">
        <v>215001.50231627151</v>
      </c>
      <c r="N407" s="22">
        <v>226432.18741420482</v>
      </c>
      <c r="O407" s="22">
        <v>238569.33140146502</v>
      </c>
      <c r="P407" s="22">
        <v>246950.69440503715</v>
      </c>
      <c r="Q407" s="22">
        <v>268539.00072154478</v>
      </c>
      <c r="R407" s="22">
        <v>282709.47232337657</v>
      </c>
      <c r="S407" s="22">
        <v>286160.87792097451</v>
      </c>
      <c r="T407" s="22">
        <v>282482.69101989374</v>
      </c>
      <c r="U407" s="22">
        <v>286545.47856237553</v>
      </c>
      <c r="V407" s="22">
        <v>294407.30545954744</v>
      </c>
      <c r="W407" s="22">
        <v>310385.83554869902</v>
      </c>
      <c r="X407" s="22">
        <v>326581.92249497271</v>
      </c>
      <c r="Y407" s="22">
        <v>340945.21881703887</v>
      </c>
      <c r="Z407" s="22">
        <v>341345.92712903296</v>
      </c>
      <c r="AA407" s="23">
        <v>331126.74860713107</v>
      </c>
      <c r="AB407" s="97"/>
      <c r="AC407" s="16">
        <v>4</v>
      </c>
      <c r="AD407" s="16">
        <f t="shared" si="134"/>
        <v>26880425.35375252</v>
      </c>
    </row>
    <row r="408" spans="1:30" ht="13.5" thickBot="1" x14ac:dyDescent="0.35">
      <c r="A408" s="18">
        <v>2037</v>
      </c>
      <c r="B408" s="11" t="s">
        <v>37</v>
      </c>
      <c r="C408" s="12" t="s">
        <v>33</v>
      </c>
      <c r="D408" s="21">
        <v>341903.01548580267</v>
      </c>
      <c r="E408" s="22">
        <v>329585.22555905872</v>
      </c>
      <c r="F408" s="22">
        <v>318301.03473303467</v>
      </c>
      <c r="G408" s="22">
        <v>308088.00212266168</v>
      </c>
      <c r="H408" s="22">
        <v>297907.80570702523</v>
      </c>
      <c r="I408" s="22">
        <v>283894.73564169562</v>
      </c>
      <c r="J408" s="22">
        <v>264967.69269844069</v>
      </c>
      <c r="K408" s="22">
        <v>225766.77476727709</v>
      </c>
      <c r="L408" s="22">
        <v>226803.18186849577</v>
      </c>
      <c r="M408" s="22">
        <v>230616.75440556352</v>
      </c>
      <c r="N408" s="22">
        <v>238082.65093747425</v>
      </c>
      <c r="O408" s="22">
        <v>248002.12735103894</v>
      </c>
      <c r="P408" s="22">
        <v>255210.86472166955</v>
      </c>
      <c r="Q408" s="22">
        <v>272556.23262805259</v>
      </c>
      <c r="R408" s="22">
        <v>285455.5754890191</v>
      </c>
      <c r="S408" s="22">
        <v>288870.01454032387</v>
      </c>
      <c r="T408" s="22">
        <v>287740.18380310695</v>
      </c>
      <c r="U408" s="22">
        <v>294000.62598221959</v>
      </c>
      <c r="V408" s="22">
        <v>302482.53749121813</v>
      </c>
      <c r="W408" s="22">
        <v>317949.71044631535</v>
      </c>
      <c r="X408" s="22">
        <v>330698.68465403386</v>
      </c>
      <c r="Y408" s="22">
        <v>344599.8266655553</v>
      </c>
      <c r="Z408" s="22">
        <v>350017.43324034521</v>
      </c>
      <c r="AA408" s="23">
        <v>342945.67994926975</v>
      </c>
      <c r="AB408" s="96">
        <f t="shared" ref="AB408" si="140">+SUM(D408:AA408)*AC408+SUM(D409:AA409)*AC409+SUM(D410:AA410)*AC410</f>
        <v>217386914.80538878</v>
      </c>
      <c r="AC408" s="16">
        <v>21</v>
      </c>
      <c r="AD408" s="16">
        <f t="shared" si="134"/>
        <v>146715373.78866261</v>
      </c>
    </row>
    <row r="409" spans="1:30" ht="13.5" thickBot="1" x14ac:dyDescent="0.35">
      <c r="A409" s="18">
        <v>2037</v>
      </c>
      <c r="B409" s="19" t="s">
        <v>37</v>
      </c>
      <c r="C409" s="20" t="s">
        <v>34</v>
      </c>
      <c r="D409" s="21">
        <v>345307.42014575802</v>
      </c>
      <c r="E409" s="22">
        <v>332639.09183377924</v>
      </c>
      <c r="F409" s="22">
        <v>320797.79117246234</v>
      </c>
      <c r="G409" s="22">
        <v>311209.48530611832</v>
      </c>
      <c r="H409" s="22">
        <v>300707.90074255952</v>
      </c>
      <c r="I409" s="22">
        <v>283426.16774539498</v>
      </c>
      <c r="J409" s="22">
        <v>265118.42640635092</v>
      </c>
      <c r="K409" s="22">
        <v>228139.54440608621</v>
      </c>
      <c r="L409" s="22">
        <v>229868.24079947392</v>
      </c>
      <c r="M409" s="22">
        <v>234317.9307811023</v>
      </c>
      <c r="N409" s="22">
        <v>243409.88620241845</v>
      </c>
      <c r="O409" s="22">
        <v>256261.61094752204</v>
      </c>
      <c r="P409" s="22">
        <v>264139.14615870436</v>
      </c>
      <c r="Q409" s="22">
        <v>284508.10693762917</v>
      </c>
      <c r="R409" s="22">
        <v>296851.91264060419</v>
      </c>
      <c r="S409" s="22">
        <v>298168.25190007547</v>
      </c>
      <c r="T409" s="22">
        <v>294573.40903332474</v>
      </c>
      <c r="U409" s="22">
        <v>298067.48681668128</v>
      </c>
      <c r="V409" s="22">
        <v>309164.17754815123</v>
      </c>
      <c r="W409" s="22">
        <v>328245.64521076047</v>
      </c>
      <c r="X409" s="22">
        <v>344739.66750949877</v>
      </c>
      <c r="Y409" s="22">
        <v>360115.52094601677</v>
      </c>
      <c r="Z409" s="22">
        <v>361109.19072539121</v>
      </c>
      <c r="AA409" s="23">
        <v>349234.44687393209</v>
      </c>
      <c r="AB409" s="97"/>
      <c r="AC409" s="16">
        <v>4</v>
      </c>
      <c r="AD409" s="16">
        <f t="shared" si="134"/>
        <v>28560481.835159179</v>
      </c>
    </row>
    <row r="410" spans="1:30" ht="13.5" thickBot="1" x14ac:dyDescent="0.35">
      <c r="A410" s="18">
        <v>2037</v>
      </c>
      <c r="B410" s="25" t="s">
        <v>37</v>
      </c>
      <c r="C410" s="26" t="s">
        <v>36</v>
      </c>
      <c r="D410" s="21">
        <v>342303.83234177536</v>
      </c>
      <c r="E410" s="22">
        <v>330217.77502576145</v>
      </c>
      <c r="F410" s="22">
        <v>319523.159021464</v>
      </c>
      <c r="G410" s="22">
        <v>309544.56532702706</v>
      </c>
      <c r="H410" s="22">
        <v>299412.83789427188</v>
      </c>
      <c r="I410" s="22">
        <v>283671.80678282393</v>
      </c>
      <c r="J410" s="22">
        <v>263301.85816314933</v>
      </c>
      <c r="K410" s="22">
        <v>225623.80128267079</v>
      </c>
      <c r="L410" s="22">
        <v>228204.01500227829</v>
      </c>
      <c r="M410" s="22">
        <v>232782.77479081284</v>
      </c>
      <c r="N410" s="22">
        <v>241732.74275462131</v>
      </c>
      <c r="O410" s="22">
        <v>252126.40086932713</v>
      </c>
      <c r="P410" s="22">
        <v>257675.98687475533</v>
      </c>
      <c r="Q410" s="22">
        <v>276087.8473418192</v>
      </c>
      <c r="R410" s="22">
        <v>288269.63793363475</v>
      </c>
      <c r="S410" s="22">
        <v>291348.05382371118</v>
      </c>
      <c r="T410" s="22">
        <v>289276.26426883403</v>
      </c>
      <c r="U410" s="22">
        <v>293949.89276510332</v>
      </c>
      <c r="V410" s="22">
        <v>302243.23678503162</v>
      </c>
      <c r="W410" s="22">
        <v>320151.36234467477</v>
      </c>
      <c r="X410" s="22">
        <v>333921.89676730806</v>
      </c>
      <c r="Y410" s="22">
        <v>347702.17965654779</v>
      </c>
      <c r="Z410" s="22">
        <v>349775.38275676587</v>
      </c>
      <c r="AA410" s="23">
        <v>339662.55302032706</v>
      </c>
      <c r="AB410" s="97"/>
      <c r="AC410" s="16">
        <v>6</v>
      </c>
      <c r="AD410" s="16">
        <f t="shared" si="134"/>
        <v>42111059.181566983</v>
      </c>
    </row>
    <row r="411" spans="1:30" ht="13.5" thickBot="1" x14ac:dyDescent="0.35">
      <c r="A411" s="18">
        <v>2037</v>
      </c>
      <c r="B411" s="11" t="s">
        <v>38</v>
      </c>
      <c r="C411" s="12" t="s">
        <v>33</v>
      </c>
      <c r="D411" s="21">
        <v>336483.84668871842</v>
      </c>
      <c r="E411" s="22">
        <v>324166.28116620664</v>
      </c>
      <c r="F411" s="22">
        <v>312811.51627601456</v>
      </c>
      <c r="G411" s="22">
        <v>302999.68124808569</v>
      </c>
      <c r="H411" s="22">
        <v>293492.16410519276</v>
      </c>
      <c r="I411" s="22">
        <v>278558.24792465888</v>
      </c>
      <c r="J411" s="22">
        <v>263962.59740763908</v>
      </c>
      <c r="K411" s="22">
        <v>225361.46348860214</v>
      </c>
      <c r="L411" s="22">
        <v>221974.87623871252</v>
      </c>
      <c r="M411" s="22">
        <v>221329.24570318172</v>
      </c>
      <c r="N411" s="22">
        <v>225476.50131616899</v>
      </c>
      <c r="O411" s="22">
        <v>234144.12995479442</v>
      </c>
      <c r="P411" s="22">
        <v>240360.58773191791</v>
      </c>
      <c r="Q411" s="22">
        <v>254429.37529190251</v>
      </c>
      <c r="R411" s="22">
        <v>266069.66246572271</v>
      </c>
      <c r="S411" s="22">
        <v>270215.23026733915</v>
      </c>
      <c r="T411" s="22">
        <v>272368.39920969465</v>
      </c>
      <c r="U411" s="22">
        <v>285898.98832040199</v>
      </c>
      <c r="V411" s="22">
        <v>295294.29349558707</v>
      </c>
      <c r="W411" s="22">
        <v>312000.68890709052</v>
      </c>
      <c r="X411" s="22">
        <v>325583.71369434771</v>
      </c>
      <c r="Y411" s="22">
        <v>338623.7627994928</v>
      </c>
      <c r="Z411" s="22">
        <v>342852.06782999454</v>
      </c>
      <c r="AA411" s="23">
        <v>335030.01772011898</v>
      </c>
      <c r="AB411" s="96">
        <f t="shared" ref="AB411" si="141">+SUM(D411:AA411)*AC411+SUM(D412:AA412)*AC412+SUM(D413:AA413)*AC413</f>
        <v>203996719.60656452</v>
      </c>
      <c r="AC411" s="16">
        <v>20</v>
      </c>
      <c r="AD411" s="16">
        <f t="shared" si="134"/>
        <v>135589746.78503174</v>
      </c>
    </row>
    <row r="412" spans="1:30" ht="13.5" thickBot="1" x14ac:dyDescent="0.35">
      <c r="A412" s="18">
        <v>2037</v>
      </c>
      <c r="B412" s="19" t="s">
        <v>38</v>
      </c>
      <c r="C412" s="20" t="s">
        <v>34</v>
      </c>
      <c r="D412" s="21">
        <v>337415.18195487489</v>
      </c>
      <c r="E412" s="22">
        <v>324224.39563531429</v>
      </c>
      <c r="F412" s="22">
        <v>312633.79729701363</v>
      </c>
      <c r="G412" s="22">
        <v>302533.69218294491</v>
      </c>
      <c r="H412" s="22">
        <v>292571.69228027528</v>
      </c>
      <c r="I412" s="22">
        <v>275784.29484443006</v>
      </c>
      <c r="J412" s="22">
        <v>259501.7659509806</v>
      </c>
      <c r="K412" s="22">
        <v>224059.80947104905</v>
      </c>
      <c r="L412" s="22">
        <v>224328.20404362213</v>
      </c>
      <c r="M412" s="22">
        <v>225682.52050483815</v>
      </c>
      <c r="N412" s="22">
        <v>231512.91955033355</v>
      </c>
      <c r="O412" s="22">
        <v>241323.48809136808</v>
      </c>
      <c r="P412" s="22">
        <v>247451.59271010829</v>
      </c>
      <c r="Q412" s="22">
        <v>266480.23152626824</v>
      </c>
      <c r="R412" s="22">
        <v>279571.52067911002</v>
      </c>
      <c r="S412" s="22">
        <v>282799.54254120786</v>
      </c>
      <c r="T412" s="22">
        <v>283180.84172968636</v>
      </c>
      <c r="U412" s="22">
        <v>292080.27316612535</v>
      </c>
      <c r="V412" s="22">
        <v>299397.20914846793</v>
      </c>
      <c r="W412" s="22">
        <v>317156.6627840774</v>
      </c>
      <c r="X412" s="22">
        <v>332612.71025979467</v>
      </c>
      <c r="Y412" s="22">
        <v>345931.15655733348</v>
      </c>
      <c r="Z412" s="22">
        <v>348942.60849260405</v>
      </c>
      <c r="AA412" s="23">
        <v>338627.02745968098</v>
      </c>
      <c r="AB412" s="97"/>
      <c r="AC412" s="16">
        <v>4</v>
      </c>
      <c r="AD412" s="16">
        <f t="shared" si="134"/>
        <v>27543212.55544604</v>
      </c>
    </row>
    <row r="413" spans="1:30" ht="13.5" thickBot="1" x14ac:dyDescent="0.35">
      <c r="A413" s="18">
        <v>2037</v>
      </c>
      <c r="B413" s="25" t="s">
        <v>38</v>
      </c>
      <c r="C413" s="26" t="s">
        <v>36</v>
      </c>
      <c r="D413" s="21">
        <v>336491.79985972575</v>
      </c>
      <c r="E413" s="22">
        <v>323841.75610415521</v>
      </c>
      <c r="F413" s="22">
        <v>312380.88543086901</v>
      </c>
      <c r="G413" s="22">
        <v>302452.49620372732</v>
      </c>
      <c r="H413" s="22">
        <v>292796.29094363126</v>
      </c>
      <c r="I413" s="22">
        <v>277237.03929211135</v>
      </c>
      <c r="J413" s="22">
        <v>262099.20487855468</v>
      </c>
      <c r="K413" s="22">
        <v>224670.39007311105</v>
      </c>
      <c r="L413" s="22">
        <v>222766.95239650519</v>
      </c>
      <c r="M413" s="22">
        <v>222943.08138453681</v>
      </c>
      <c r="N413" s="22">
        <v>227711.93928485332</v>
      </c>
      <c r="O413" s="22">
        <v>236756.13506275439</v>
      </c>
      <c r="P413" s="22">
        <v>242793.38169183268</v>
      </c>
      <c r="Q413" s="22">
        <v>258436.3697073971</v>
      </c>
      <c r="R413" s="22">
        <v>270687.35949291993</v>
      </c>
      <c r="S413" s="22">
        <v>274484.68988637603</v>
      </c>
      <c r="T413" s="22">
        <v>276012.60686327727</v>
      </c>
      <c r="U413" s="22">
        <v>287973.43132760975</v>
      </c>
      <c r="V413" s="22">
        <v>296603.50087631255</v>
      </c>
      <c r="W413" s="22">
        <v>313445.84586673864</v>
      </c>
      <c r="X413" s="22">
        <v>327433.51089699747</v>
      </c>
      <c r="Y413" s="22">
        <v>340421.63637581043</v>
      </c>
      <c r="Z413" s="22">
        <v>344327.51176845405</v>
      </c>
      <c r="AA413" s="23">
        <v>335858.89534619829</v>
      </c>
      <c r="AB413" s="97"/>
      <c r="AC413" s="16">
        <v>6</v>
      </c>
      <c r="AD413" s="16">
        <f t="shared" si="134"/>
        <v>40863760.26608675</v>
      </c>
    </row>
    <row r="414" spans="1:30" ht="13.5" thickBot="1" x14ac:dyDescent="0.35">
      <c r="A414" s="18">
        <v>2037</v>
      </c>
      <c r="B414" s="11" t="s">
        <v>39</v>
      </c>
      <c r="C414" s="12" t="s">
        <v>33</v>
      </c>
      <c r="D414" s="21">
        <v>342107.87438404461</v>
      </c>
      <c r="E414" s="22">
        <v>329387.74666349613</v>
      </c>
      <c r="F414" s="22">
        <v>317766.05434943252</v>
      </c>
      <c r="G414" s="22">
        <v>307714.29133085447</v>
      </c>
      <c r="H414" s="22">
        <v>297975.12232160405</v>
      </c>
      <c r="I414" s="22">
        <v>282480.75714158366</v>
      </c>
      <c r="J414" s="22">
        <v>267392.02622183203</v>
      </c>
      <c r="K414" s="22">
        <v>229570.01514112254</v>
      </c>
      <c r="L414" s="22">
        <v>227313.3238539836</v>
      </c>
      <c r="M414" s="22">
        <v>227349.43263185455</v>
      </c>
      <c r="N414" s="22">
        <v>232010.6878980356</v>
      </c>
      <c r="O414" s="22">
        <v>241037.09008427194</v>
      </c>
      <c r="P414" s="22">
        <v>247146.96326908865</v>
      </c>
      <c r="Q414" s="22">
        <v>262095.2242416208</v>
      </c>
      <c r="R414" s="22">
        <v>274232.40088559844</v>
      </c>
      <c r="S414" s="22">
        <v>278082.840636726</v>
      </c>
      <c r="T414" s="22">
        <v>279680.60686180566</v>
      </c>
      <c r="U414" s="22">
        <v>292142.10751249472</v>
      </c>
      <c r="V414" s="22">
        <v>301275.45999968948</v>
      </c>
      <c r="W414" s="22">
        <v>318162.758952023</v>
      </c>
      <c r="X414" s="22">
        <v>331997.87773350056</v>
      </c>
      <c r="Y414" s="22">
        <v>345121.95334764366</v>
      </c>
      <c r="Z414" s="22">
        <v>349334.48533451726</v>
      </c>
      <c r="AA414" s="23">
        <v>341215.68164649152</v>
      </c>
      <c r="AB414" s="96">
        <f t="shared" ref="AB414" si="142">+SUM(D414:AA414)*AC414+SUM(D415:AA415)*AC415+SUM(D416:AA416)*AC416</f>
        <v>215446362.05958807</v>
      </c>
      <c r="AC414" s="16">
        <v>19</v>
      </c>
      <c r="AD414" s="16">
        <f t="shared" si="134"/>
        <v>131529262.866423</v>
      </c>
    </row>
    <row r="415" spans="1:30" ht="13.5" thickBot="1" x14ac:dyDescent="0.35">
      <c r="A415" s="18">
        <v>2037</v>
      </c>
      <c r="B415" s="19" t="s">
        <v>39</v>
      </c>
      <c r="C415" s="20" t="s">
        <v>34</v>
      </c>
      <c r="D415" s="21">
        <v>344576.82744102291</v>
      </c>
      <c r="E415" s="22">
        <v>331597.10018545995</v>
      </c>
      <c r="F415" s="22">
        <v>319946.67049622751</v>
      </c>
      <c r="G415" s="22">
        <v>309820.13355663943</v>
      </c>
      <c r="H415" s="22">
        <v>299844.43864467618</v>
      </c>
      <c r="I415" s="22">
        <v>283520.70002227358</v>
      </c>
      <c r="J415" s="22">
        <v>267571.32591414422</v>
      </c>
      <c r="K415" s="22">
        <v>230687.45321419757</v>
      </c>
      <c r="L415" s="22">
        <v>229049.11462885662</v>
      </c>
      <c r="M415" s="22">
        <v>229390.61714953286</v>
      </c>
      <c r="N415" s="22">
        <v>234584.17738864399</v>
      </c>
      <c r="O415" s="22">
        <v>244158.56540060486</v>
      </c>
      <c r="P415" s="22">
        <v>250818.38915201664</v>
      </c>
      <c r="Q415" s="22">
        <v>268292.76192536397</v>
      </c>
      <c r="R415" s="22">
        <v>280605.73805619252</v>
      </c>
      <c r="S415" s="22">
        <v>284207.61972310388</v>
      </c>
      <c r="T415" s="22">
        <v>285134.55999336485</v>
      </c>
      <c r="U415" s="22">
        <v>295623.51415320084</v>
      </c>
      <c r="V415" s="22">
        <v>304140.76133669767</v>
      </c>
      <c r="W415" s="22">
        <v>322360.86025442451</v>
      </c>
      <c r="X415" s="22">
        <v>337900.57218973973</v>
      </c>
      <c r="Y415" s="22">
        <v>351736.15498344798</v>
      </c>
      <c r="Z415" s="22">
        <v>355103.6004988557</v>
      </c>
      <c r="AA415" s="23">
        <v>345155.58100036404</v>
      </c>
      <c r="AB415" s="97"/>
      <c r="AC415" s="16">
        <v>5</v>
      </c>
      <c r="AD415" s="16">
        <f t="shared" si="134"/>
        <v>35029136.18654526</v>
      </c>
    </row>
    <row r="416" spans="1:30" ht="13.5" thickBot="1" x14ac:dyDescent="0.35">
      <c r="A416" s="18">
        <v>2037</v>
      </c>
      <c r="B416" s="25" t="s">
        <v>39</v>
      </c>
      <c r="C416" s="26" t="s">
        <v>36</v>
      </c>
      <c r="D416" s="21">
        <v>342998.43955053994</v>
      </c>
      <c r="E416" s="22">
        <v>329925.38352502149</v>
      </c>
      <c r="F416" s="22">
        <v>318270.61158270453</v>
      </c>
      <c r="G416" s="22">
        <v>308132.15168748342</v>
      </c>
      <c r="H416" s="22">
        <v>298140.77844814211</v>
      </c>
      <c r="I416" s="22">
        <v>281636.50488871441</v>
      </c>
      <c r="J416" s="22">
        <v>265548.93144980859</v>
      </c>
      <c r="K416" s="22">
        <v>229168.60293911287</v>
      </c>
      <c r="L416" s="22">
        <v>228185.36882696053</v>
      </c>
      <c r="M416" s="22">
        <v>228883.71972911214</v>
      </c>
      <c r="N416" s="22">
        <v>234309.11899931901</v>
      </c>
      <c r="O416" s="22">
        <v>243984.38959678015</v>
      </c>
      <c r="P416" s="22">
        <v>250486.48252685167</v>
      </c>
      <c r="Q416" s="22">
        <v>268481.620094479</v>
      </c>
      <c r="R416" s="22">
        <v>281049.48540999385</v>
      </c>
      <c r="S416" s="22">
        <v>284508.15888378676</v>
      </c>
      <c r="T416" s="22">
        <v>285212.94851636322</v>
      </c>
      <c r="U416" s="22">
        <v>295128.81285736983</v>
      </c>
      <c r="V416" s="22">
        <v>303280.70782640169</v>
      </c>
      <c r="W416" s="22">
        <v>321390.63371552952</v>
      </c>
      <c r="X416" s="22">
        <v>336934.90770105465</v>
      </c>
      <c r="Y416" s="22">
        <v>350633.50836003717</v>
      </c>
      <c r="Z416" s="22">
        <v>353894.28648113</v>
      </c>
      <c r="AA416" s="23">
        <v>343809.16163470148</v>
      </c>
      <c r="AB416" s="97"/>
      <c r="AC416" s="16">
        <v>7</v>
      </c>
      <c r="AD416" s="16">
        <f t="shared" si="134"/>
        <v>48887963.006619796</v>
      </c>
    </row>
    <row r="417" spans="1:30" ht="13.5" thickBot="1" x14ac:dyDescent="0.35">
      <c r="A417" s="18">
        <v>2037</v>
      </c>
      <c r="B417" s="11" t="s">
        <v>40</v>
      </c>
      <c r="C417" s="12" t="s">
        <v>33</v>
      </c>
      <c r="D417" s="21">
        <v>348082.74946792203</v>
      </c>
      <c r="E417" s="22">
        <v>335143.04607551498</v>
      </c>
      <c r="F417" s="22">
        <v>323320.969612872</v>
      </c>
      <c r="G417" s="22">
        <v>313095.94478353648</v>
      </c>
      <c r="H417" s="22">
        <v>303189.29661922069</v>
      </c>
      <c r="I417" s="22">
        <v>287428.17912784335</v>
      </c>
      <c r="J417" s="22">
        <v>272080.18304382713</v>
      </c>
      <c r="K417" s="22">
        <v>234058.70186571704</v>
      </c>
      <c r="L417" s="22">
        <v>231788.07235483246</v>
      </c>
      <c r="M417" s="22">
        <v>231840.78720030002</v>
      </c>
      <c r="N417" s="22">
        <v>236590.6331063266</v>
      </c>
      <c r="O417" s="22">
        <v>245774.77146453669</v>
      </c>
      <c r="P417" s="22">
        <v>251986.35791716201</v>
      </c>
      <c r="Q417" s="22">
        <v>267186.92322929762</v>
      </c>
      <c r="R417" s="22">
        <v>279528.28408667893</v>
      </c>
      <c r="S417" s="22">
        <v>283431.90318301826</v>
      </c>
      <c r="T417" s="22">
        <v>285036.84186417214</v>
      </c>
      <c r="U417" s="22">
        <v>297512.70738416055</v>
      </c>
      <c r="V417" s="22">
        <v>306801.6665225068</v>
      </c>
      <c r="W417" s="22">
        <v>323975.59709259728</v>
      </c>
      <c r="X417" s="22">
        <v>338044.836617989</v>
      </c>
      <c r="Y417" s="22">
        <v>351392.03202177968</v>
      </c>
      <c r="Z417" s="22">
        <v>355678.41627894866</v>
      </c>
      <c r="AA417" s="23">
        <v>347423.11979647446</v>
      </c>
      <c r="AB417" s="96">
        <f t="shared" ref="AB417" si="143">+SUM(D417:AA417)*AC417+SUM(D418:AA418)*AC418+SUM(D419:AA419)*AC419</f>
        <v>212207653.96824923</v>
      </c>
      <c r="AC417" s="16">
        <v>19</v>
      </c>
      <c r="AD417" s="16">
        <f t="shared" si="134"/>
        <v>133957448.39362749</v>
      </c>
    </row>
    <row r="418" spans="1:30" ht="13.5" thickBot="1" x14ac:dyDescent="0.35">
      <c r="A418" s="18">
        <v>2037</v>
      </c>
      <c r="B418" s="19" t="s">
        <v>40</v>
      </c>
      <c r="C418" s="20" t="s">
        <v>34</v>
      </c>
      <c r="D418" s="21">
        <v>352213.75045437587</v>
      </c>
      <c r="E418" s="22">
        <v>339681.24120831129</v>
      </c>
      <c r="F418" s="22">
        <v>328050.19352587254</v>
      </c>
      <c r="G418" s="22">
        <v>317979.69691516168</v>
      </c>
      <c r="H418" s="22">
        <v>308078.12439161172</v>
      </c>
      <c r="I418" s="22">
        <v>292620.61667258339</v>
      </c>
      <c r="J418" s="22">
        <v>277333.89588820934</v>
      </c>
      <c r="K418" s="22">
        <v>237821.00118388521</v>
      </c>
      <c r="L418" s="22">
        <v>232879.97969600905</v>
      </c>
      <c r="M418" s="22">
        <v>231405.46859248364</v>
      </c>
      <c r="N418" s="22">
        <v>235429.49969699752</v>
      </c>
      <c r="O418" s="22">
        <v>244500.84737191859</v>
      </c>
      <c r="P418" s="22">
        <v>251925.20849487418</v>
      </c>
      <c r="Q418" s="22">
        <v>266925.64828110032</v>
      </c>
      <c r="R418" s="22">
        <v>278067.4515246661</v>
      </c>
      <c r="S418" s="22">
        <v>282451.9606083734</v>
      </c>
      <c r="T418" s="22">
        <v>284597.01837792411</v>
      </c>
      <c r="U418" s="22">
        <v>298043.66986321489</v>
      </c>
      <c r="V418" s="22">
        <v>308319.28795847844</v>
      </c>
      <c r="W418" s="22">
        <v>327071.64846108027</v>
      </c>
      <c r="X418" s="22">
        <v>342591.4230818213</v>
      </c>
      <c r="Y418" s="22">
        <v>357087.648177344</v>
      </c>
      <c r="Z418" s="22">
        <v>360968.57728444139</v>
      </c>
      <c r="AA418" s="23">
        <v>351678.72368341545</v>
      </c>
      <c r="AB418" s="97"/>
      <c r="AC418" s="16">
        <v>4</v>
      </c>
      <c r="AD418" s="16">
        <f t="shared" si="134"/>
        <v>28430890.325576618</v>
      </c>
    </row>
    <row r="419" spans="1:30" ht="13.5" thickBot="1" x14ac:dyDescent="0.35">
      <c r="A419" s="18">
        <v>2037</v>
      </c>
      <c r="B419" s="25" t="s">
        <v>40</v>
      </c>
      <c r="C419" s="26" t="s">
        <v>36</v>
      </c>
      <c r="D419" s="21">
        <v>347866.12861265952</v>
      </c>
      <c r="E419" s="22">
        <v>334273.47256901709</v>
      </c>
      <c r="F419" s="22">
        <v>322329.75574002805</v>
      </c>
      <c r="G419" s="22">
        <v>311921.94141461625</v>
      </c>
      <c r="H419" s="22">
        <v>301656.43980589189</v>
      </c>
      <c r="I419" s="22">
        <v>284357.59850217123</v>
      </c>
      <c r="J419" s="22">
        <v>267579.00703631371</v>
      </c>
      <c r="K419" s="22">
        <v>232146.31576330806</v>
      </c>
      <c r="L419" s="22">
        <v>232675.08359915929</v>
      </c>
      <c r="M419" s="22">
        <v>234236.55355151012</v>
      </c>
      <c r="N419" s="22">
        <v>240336.27375980667</v>
      </c>
      <c r="O419" s="22">
        <v>250477.43306063215</v>
      </c>
      <c r="P419" s="22">
        <v>256783.87565288157</v>
      </c>
      <c r="Q419" s="22">
        <v>276344.66623128392</v>
      </c>
      <c r="R419" s="22">
        <v>289746.25424612424</v>
      </c>
      <c r="S419" s="22">
        <v>292917.25853302708</v>
      </c>
      <c r="T419" s="22">
        <v>293061.39168278198</v>
      </c>
      <c r="U419" s="22">
        <v>301591.00356543076</v>
      </c>
      <c r="V419" s="22">
        <v>309130.85689122125</v>
      </c>
      <c r="W419" s="22">
        <v>327431.36900200311</v>
      </c>
      <c r="X419" s="22">
        <v>343358.29951562203</v>
      </c>
      <c r="Y419" s="22">
        <v>357082.50481866102</v>
      </c>
      <c r="Z419" s="22">
        <v>360185.70347236033</v>
      </c>
      <c r="AA419" s="23">
        <v>349555.84855135984</v>
      </c>
      <c r="AB419" s="97"/>
      <c r="AC419" s="16">
        <v>7</v>
      </c>
      <c r="AD419" s="16">
        <f t="shared" si="134"/>
        <v>49819315.249045096</v>
      </c>
    </row>
    <row r="420" spans="1:30" ht="13.5" thickBot="1" x14ac:dyDescent="0.35">
      <c r="A420" s="18">
        <v>2037</v>
      </c>
      <c r="B420" s="11" t="s">
        <v>41</v>
      </c>
      <c r="C420" s="12" t="s">
        <v>33</v>
      </c>
      <c r="D420" s="21">
        <v>341816.92949172971</v>
      </c>
      <c r="E420" s="22">
        <v>329158.72305197181</v>
      </c>
      <c r="F420" s="22">
        <v>317556.53225120809</v>
      </c>
      <c r="G420" s="22">
        <v>307527.73295641871</v>
      </c>
      <c r="H420" s="22">
        <v>297825.21671211044</v>
      </c>
      <c r="I420" s="22">
        <v>282464.70619523333</v>
      </c>
      <c r="J420" s="22">
        <v>267501.31663379393</v>
      </c>
      <c r="K420" s="22">
        <v>229407.13519263454</v>
      </c>
      <c r="L420" s="22">
        <v>226874.87520308493</v>
      </c>
      <c r="M420" s="22">
        <v>226754.25297289435</v>
      </c>
      <c r="N420" s="22">
        <v>231284.23209597019</v>
      </c>
      <c r="O420" s="22">
        <v>240220.1673495998</v>
      </c>
      <c r="P420" s="22">
        <v>246318.04798487097</v>
      </c>
      <c r="Q420" s="22">
        <v>260922.85638142994</v>
      </c>
      <c r="R420" s="22">
        <v>272988.7614587904</v>
      </c>
      <c r="S420" s="22">
        <v>276930.17757687322</v>
      </c>
      <c r="T420" s="22">
        <v>278700.41311751102</v>
      </c>
      <c r="U420" s="22">
        <v>291548.89016896527</v>
      </c>
      <c r="V420" s="22">
        <v>300810.47534763021</v>
      </c>
      <c r="W420" s="22">
        <v>317593.05444851069</v>
      </c>
      <c r="X420" s="22">
        <v>331268.89739054249</v>
      </c>
      <c r="Y420" s="22">
        <v>344350.77379751665</v>
      </c>
      <c r="Z420" s="22">
        <v>348652.8494290387</v>
      </c>
      <c r="AA420" s="23">
        <v>340728.45332420326</v>
      </c>
      <c r="AB420" s="96">
        <f t="shared" ref="AB420" si="144">+SUM(D420:AA420)*AC420+SUM(D421:AA421)*AC421+SUM(D422:AA422)*AC422</f>
        <v>214859133.14756578</v>
      </c>
      <c r="AC420" s="16">
        <v>22</v>
      </c>
      <c r="AD420" s="16">
        <f t="shared" si="134"/>
        <v>152002520.35171571</v>
      </c>
    </row>
    <row r="421" spans="1:30" ht="13.5" thickBot="1" x14ac:dyDescent="0.35">
      <c r="A421" s="18">
        <v>2037</v>
      </c>
      <c r="B421" s="19" t="s">
        <v>41</v>
      </c>
      <c r="C421" s="20" t="s">
        <v>34</v>
      </c>
      <c r="D421" s="21">
        <v>341773.51636605448</v>
      </c>
      <c r="E421" s="22">
        <v>328415.13923346699</v>
      </c>
      <c r="F421" s="22">
        <v>316677.28069763747</v>
      </c>
      <c r="G421" s="22">
        <v>306448.85231407481</v>
      </c>
      <c r="H421" s="22">
        <v>296360.28378823033</v>
      </c>
      <c r="I421" s="22">
        <v>279359.60008447676</v>
      </c>
      <c r="J421" s="22">
        <v>262870.1993496315</v>
      </c>
      <c r="K421" s="22">
        <v>227524.28287839462</v>
      </c>
      <c r="L421" s="22">
        <v>227969.24377359694</v>
      </c>
      <c r="M421" s="22">
        <v>229454.6680118689</v>
      </c>
      <c r="N421" s="22">
        <v>235422.09860465382</v>
      </c>
      <c r="O421" s="22">
        <v>245379.07857141085</v>
      </c>
      <c r="P421" s="22">
        <v>251579.30136414483</v>
      </c>
      <c r="Q421" s="22">
        <v>270817.03800075763</v>
      </c>
      <c r="R421" s="22">
        <v>284013.86315587175</v>
      </c>
      <c r="S421" s="22">
        <v>287176.22678350372</v>
      </c>
      <c r="T421" s="22">
        <v>287391.55791910936</v>
      </c>
      <c r="U421" s="22">
        <v>296046.51133880514</v>
      </c>
      <c r="V421" s="22">
        <v>303456.41003166675</v>
      </c>
      <c r="W421" s="22">
        <v>321441.50004721561</v>
      </c>
      <c r="X421" s="22">
        <v>337093.91880057199</v>
      </c>
      <c r="Y421" s="22">
        <v>350581.57784928306</v>
      </c>
      <c r="Z421" s="22">
        <v>353631.29070895922</v>
      </c>
      <c r="AA421" s="23">
        <v>343184.64875439968</v>
      </c>
      <c r="AB421" s="97"/>
      <c r="AC421" s="16">
        <v>4</v>
      </c>
      <c r="AD421" s="16">
        <f t="shared" si="134"/>
        <v>27936272.353711139</v>
      </c>
    </row>
    <row r="422" spans="1:30" ht="13.5" thickBot="1" x14ac:dyDescent="0.35">
      <c r="A422" s="18">
        <v>2037</v>
      </c>
      <c r="B422" s="25" t="s">
        <v>41</v>
      </c>
      <c r="C422" s="26" t="s">
        <v>36</v>
      </c>
      <c r="D422" s="21">
        <v>341773.51636605448</v>
      </c>
      <c r="E422" s="22">
        <v>328415.13923346699</v>
      </c>
      <c r="F422" s="22">
        <v>316677.28069763747</v>
      </c>
      <c r="G422" s="22">
        <v>306448.85231407481</v>
      </c>
      <c r="H422" s="22">
        <v>296360.28378823033</v>
      </c>
      <c r="I422" s="22">
        <v>279359.60008447676</v>
      </c>
      <c r="J422" s="22">
        <v>262870.1993496315</v>
      </c>
      <c r="K422" s="22">
        <v>227524.28287839462</v>
      </c>
      <c r="L422" s="22">
        <v>227969.24377359691</v>
      </c>
      <c r="M422" s="22">
        <v>229454.6680118689</v>
      </c>
      <c r="N422" s="22">
        <v>235422.09860465382</v>
      </c>
      <c r="O422" s="22">
        <v>245379.07857141085</v>
      </c>
      <c r="P422" s="22">
        <v>251579.30136414483</v>
      </c>
      <c r="Q422" s="22">
        <v>270817.03800075763</v>
      </c>
      <c r="R422" s="22">
        <v>284013.86315587175</v>
      </c>
      <c r="S422" s="22">
        <v>287176.22678350372</v>
      </c>
      <c r="T422" s="22">
        <v>287391.55791910936</v>
      </c>
      <c r="U422" s="22">
        <v>296046.51133880514</v>
      </c>
      <c r="V422" s="22">
        <v>303456.41003166675</v>
      </c>
      <c r="W422" s="22">
        <v>321441.50004721561</v>
      </c>
      <c r="X422" s="22">
        <v>337093.91880057199</v>
      </c>
      <c r="Y422" s="22">
        <v>350581.57784928306</v>
      </c>
      <c r="Z422" s="22">
        <v>353631.29070895922</v>
      </c>
      <c r="AA422" s="23">
        <v>343184.64875439968</v>
      </c>
      <c r="AB422" s="97"/>
      <c r="AC422" s="16">
        <v>5</v>
      </c>
      <c r="AD422" s="16">
        <f t="shared" si="134"/>
        <v>34920340.442138925</v>
      </c>
    </row>
    <row r="423" spans="1:30" ht="13.5" thickBot="1" x14ac:dyDescent="0.35">
      <c r="A423" s="18">
        <v>2037</v>
      </c>
      <c r="B423" s="11" t="s">
        <v>42</v>
      </c>
      <c r="C423" s="12" t="s">
        <v>33</v>
      </c>
      <c r="D423" s="21">
        <v>347976.33095867297</v>
      </c>
      <c r="E423" s="22">
        <v>335039.5029518393</v>
      </c>
      <c r="F423" s="22">
        <v>323220.78489925142</v>
      </c>
      <c r="G423" s="22">
        <v>312998.54531344224</v>
      </c>
      <c r="H423" s="22">
        <v>303094.31576235715</v>
      </c>
      <c r="I423" s="22">
        <v>287335.55730871065</v>
      </c>
      <c r="J423" s="22">
        <v>271989.96133631858</v>
      </c>
      <c r="K423" s="22">
        <v>234070.09379548879</v>
      </c>
      <c r="L423" s="22">
        <v>231873.47386616151</v>
      </c>
      <c r="M423" s="22">
        <v>231973.89558986897</v>
      </c>
      <c r="N423" s="22">
        <v>236749.48881756378</v>
      </c>
      <c r="O423" s="22">
        <v>245941.02234366559</v>
      </c>
      <c r="P423" s="22">
        <v>252148.60388379396</v>
      </c>
      <c r="Q423" s="22">
        <v>267338.30571356002</v>
      </c>
      <c r="R423" s="22">
        <v>279653.36762074521</v>
      </c>
      <c r="S423" s="22">
        <v>283512.17038227833</v>
      </c>
      <c r="T423" s="22">
        <v>285046.29480070458</v>
      </c>
      <c r="U423" s="22">
        <v>297423.72931719484</v>
      </c>
      <c r="V423" s="22">
        <v>306707.20881384215</v>
      </c>
      <c r="W423" s="22">
        <v>323877.72344275011</v>
      </c>
      <c r="X423" s="22">
        <v>337945.60412142292</v>
      </c>
      <c r="Y423" s="22">
        <v>351289.37696655199</v>
      </c>
      <c r="Z423" s="22">
        <v>355572.65350566828</v>
      </c>
      <c r="AA423" s="23">
        <v>347316.17613853508</v>
      </c>
      <c r="AB423" s="96">
        <f t="shared" ref="AB423" si="145">+SUM(D423:AA423)*AC423+SUM(D424:AA424)*AC424+SUM(D425:AA425)*AC425</f>
        <v>219330767.21906239</v>
      </c>
      <c r="AC423" s="16">
        <v>19</v>
      </c>
      <c r="AD423" s="16">
        <f t="shared" si="134"/>
        <v>133951789.56535737</v>
      </c>
    </row>
    <row r="424" spans="1:30" ht="13.5" thickBot="1" x14ac:dyDescent="0.35">
      <c r="A424" s="18">
        <v>2037</v>
      </c>
      <c r="B424" s="19" t="s">
        <v>42</v>
      </c>
      <c r="C424" s="20" t="s">
        <v>34</v>
      </c>
      <c r="D424" s="21">
        <v>350245.71068064106</v>
      </c>
      <c r="E424" s="22">
        <v>337051.57967785303</v>
      </c>
      <c r="F424" s="22">
        <v>325210.94981992932</v>
      </c>
      <c r="G424" s="22">
        <v>314918.86076713912</v>
      </c>
      <c r="H424" s="22">
        <v>304779.9685580075</v>
      </c>
      <c r="I424" s="22">
        <v>288184.80278224032</v>
      </c>
      <c r="J424" s="22">
        <v>271971.30630061025</v>
      </c>
      <c r="K424" s="22">
        <v>235012.55635844413</v>
      </c>
      <c r="L424" s="22">
        <v>233449.03208855499</v>
      </c>
      <c r="M424" s="22">
        <v>233860.80669431365</v>
      </c>
      <c r="N424" s="22">
        <v>239175.83978978862</v>
      </c>
      <c r="O424" s="22">
        <v>248919.72310352884</v>
      </c>
      <c r="P424" s="22">
        <v>255680.99031791749</v>
      </c>
      <c r="Q424" s="22">
        <v>273439.52167828829</v>
      </c>
      <c r="R424" s="22">
        <v>285931.44480437913</v>
      </c>
      <c r="S424" s="22">
        <v>289536.89803019894</v>
      </c>
      <c r="T424" s="22">
        <v>290390.78264068638</v>
      </c>
      <c r="U424" s="22">
        <v>300760.50066243828</v>
      </c>
      <c r="V424" s="22">
        <v>309406.37718206161</v>
      </c>
      <c r="W424" s="22">
        <v>327920.62296005257</v>
      </c>
      <c r="X424" s="22">
        <v>343713.9951304209</v>
      </c>
      <c r="Y424" s="22">
        <v>357771.43316075992</v>
      </c>
      <c r="Z424" s="22">
        <v>361190.80280554132</v>
      </c>
      <c r="AA424" s="23">
        <v>351076.60429245885</v>
      </c>
      <c r="AB424" s="97"/>
      <c r="AC424" s="16">
        <v>5</v>
      </c>
      <c r="AD424" s="16">
        <f t="shared" si="134"/>
        <v>35648005.551431268</v>
      </c>
    </row>
    <row r="425" spans="1:30" ht="13.5" thickBot="1" x14ac:dyDescent="0.35">
      <c r="A425" s="18">
        <v>2037</v>
      </c>
      <c r="B425" s="25" t="s">
        <v>42</v>
      </c>
      <c r="C425" s="26" t="s">
        <v>36</v>
      </c>
      <c r="D425" s="21">
        <v>348526.52931917261</v>
      </c>
      <c r="E425" s="22">
        <v>335246.89085013262</v>
      </c>
      <c r="F425" s="22">
        <v>323407.57732858107</v>
      </c>
      <c r="G425" s="22">
        <v>313108.62345770188</v>
      </c>
      <c r="H425" s="22">
        <v>302959.10314042441</v>
      </c>
      <c r="I425" s="22">
        <v>286194.32159239834</v>
      </c>
      <c r="J425" s="22">
        <v>269852.63971372001</v>
      </c>
      <c r="K425" s="22">
        <v>233388.20201580337</v>
      </c>
      <c r="L425" s="22">
        <v>232464.52457666729</v>
      </c>
      <c r="M425" s="22">
        <v>233223.70089090374</v>
      </c>
      <c r="N425" s="22">
        <v>238762.35959656586</v>
      </c>
      <c r="O425" s="22">
        <v>248600.20201355824</v>
      </c>
      <c r="P425" s="22">
        <v>255203.40992937904</v>
      </c>
      <c r="Q425" s="22">
        <v>273466.31026717747</v>
      </c>
      <c r="R425" s="22">
        <v>286204.54042065243</v>
      </c>
      <c r="S425" s="22">
        <v>289670.47849086823</v>
      </c>
      <c r="T425" s="22">
        <v>290310.323458692</v>
      </c>
      <c r="U425" s="22">
        <v>300122.9537101282</v>
      </c>
      <c r="V425" s="22">
        <v>308405.65917041281</v>
      </c>
      <c r="W425" s="22">
        <v>326802.88766617421</v>
      </c>
      <c r="X425" s="22">
        <v>342593.29536423518</v>
      </c>
      <c r="Y425" s="22">
        <v>356509.46815192129</v>
      </c>
      <c r="Z425" s="22">
        <v>359822.38504735299</v>
      </c>
      <c r="AA425" s="23">
        <v>349578.19986648328</v>
      </c>
      <c r="AB425" s="97"/>
      <c r="AC425" s="16">
        <v>7</v>
      </c>
      <c r="AD425" s="16">
        <f t="shared" si="134"/>
        <v>49730972.102273747</v>
      </c>
    </row>
    <row r="426" spans="1:30" ht="13.5" thickBot="1" x14ac:dyDescent="0.35">
      <c r="A426" s="18">
        <v>2037</v>
      </c>
      <c r="B426" s="11" t="s">
        <v>43</v>
      </c>
      <c r="C426" s="12" t="s">
        <v>33</v>
      </c>
      <c r="D426" s="21">
        <v>350451.66576297412</v>
      </c>
      <c r="E426" s="22">
        <v>337335.23958305834</v>
      </c>
      <c r="F426" s="22">
        <v>325416.42247175367</v>
      </c>
      <c r="G426" s="22">
        <v>315097.15345527226</v>
      </c>
      <c r="H426" s="22">
        <v>305074.42718798271</v>
      </c>
      <c r="I426" s="22">
        <v>288996.88458885642</v>
      </c>
      <c r="J426" s="22">
        <v>273349.86346564745</v>
      </c>
      <c r="K426" s="22">
        <v>235567.56181765237</v>
      </c>
      <c r="L426" s="22">
        <v>233646.74339000144</v>
      </c>
      <c r="M426" s="22">
        <v>233894.71310665517</v>
      </c>
      <c r="N426" s="22">
        <v>238854.80179324851</v>
      </c>
      <c r="O426" s="22">
        <v>248229.58734258794</v>
      </c>
      <c r="P426" s="22">
        <v>254496.75981838489</v>
      </c>
      <c r="Q426" s="22">
        <v>270397.65051207336</v>
      </c>
      <c r="R426" s="22">
        <v>282972.89111840836</v>
      </c>
      <c r="S426" s="22">
        <v>286813.17039972678</v>
      </c>
      <c r="T426" s="22">
        <v>288245.97790141846</v>
      </c>
      <c r="U426" s="22">
        <v>300222.13991669938</v>
      </c>
      <c r="V426" s="22">
        <v>309335.73033143417</v>
      </c>
      <c r="W426" s="22">
        <v>326779.63848446548</v>
      </c>
      <c r="X426" s="22">
        <v>341197.43360968266</v>
      </c>
      <c r="Y426" s="22">
        <v>354686.51136399241</v>
      </c>
      <c r="Z426" s="22">
        <v>358840.72468747443</v>
      </c>
      <c r="AA426" s="23">
        <v>350205.86119831708</v>
      </c>
      <c r="AB426" s="96">
        <f t="shared" ref="AB426" si="146">+SUM(D426:AA426)*AC426+SUM(D427:AA427)*AC427+SUM(D428:AA428)*AC428</f>
        <v>214193520.64239872</v>
      </c>
      <c r="AC426" s="16">
        <v>22</v>
      </c>
      <c r="AD426" s="16">
        <f t="shared" si="134"/>
        <v>156422410.17277092</v>
      </c>
    </row>
    <row r="427" spans="1:30" ht="13.5" thickBot="1" x14ac:dyDescent="0.35">
      <c r="A427" s="18">
        <v>2037</v>
      </c>
      <c r="B427" s="19" t="s">
        <v>43</v>
      </c>
      <c r="C427" s="20" t="s">
        <v>34</v>
      </c>
      <c r="D427" s="21">
        <v>352654.29357791645</v>
      </c>
      <c r="E427" s="22">
        <v>338877.51846865658</v>
      </c>
      <c r="F427" s="22">
        <v>326772.01824902726</v>
      </c>
      <c r="G427" s="22">
        <v>316223.22507131757</v>
      </c>
      <c r="H427" s="22">
        <v>305818.67230451043</v>
      </c>
      <c r="I427" s="22">
        <v>288285.50987275748</v>
      </c>
      <c r="J427" s="22">
        <v>271279.64431321679</v>
      </c>
      <c r="K427" s="22">
        <v>235770.58023522352</v>
      </c>
      <c r="L427" s="22">
        <v>236359.18101095501</v>
      </c>
      <c r="M427" s="22">
        <v>237976.44811908659</v>
      </c>
      <c r="N427" s="22">
        <v>244177.94171509473</v>
      </c>
      <c r="O427" s="22">
        <v>254463.0888894363</v>
      </c>
      <c r="P427" s="22">
        <v>260853.20921233864</v>
      </c>
      <c r="Q427" s="22">
        <v>280669.02448593732</v>
      </c>
      <c r="R427" s="22">
        <v>294233.65220631525</v>
      </c>
      <c r="S427" s="22">
        <v>297415.16227848636</v>
      </c>
      <c r="T427" s="22">
        <v>297509.29019632045</v>
      </c>
      <c r="U427" s="22">
        <v>305948.40271625662</v>
      </c>
      <c r="V427" s="22">
        <v>313590.3869828122</v>
      </c>
      <c r="W427" s="22">
        <v>332138.7883346178</v>
      </c>
      <c r="X427" s="22">
        <v>348281.45678458241</v>
      </c>
      <c r="Y427" s="22">
        <v>362191.5630512464</v>
      </c>
      <c r="Z427" s="22">
        <v>365336.79602367693</v>
      </c>
      <c r="AA427" s="23">
        <v>354562.95460368623</v>
      </c>
      <c r="AB427" s="97"/>
      <c r="AC427" s="16">
        <v>4</v>
      </c>
      <c r="AD427" s="16">
        <f t="shared" si="134"/>
        <v>28885555.234813899</v>
      </c>
    </row>
    <row r="428" spans="1:30" ht="13.5" thickBot="1" x14ac:dyDescent="0.35">
      <c r="A428" s="18">
        <v>2037</v>
      </c>
      <c r="B428" s="25" t="s">
        <v>43</v>
      </c>
      <c r="C428" s="26" t="s">
        <v>36</v>
      </c>
      <c r="D428" s="21">
        <v>352654.29357791645</v>
      </c>
      <c r="E428" s="22">
        <v>338877.51846865658</v>
      </c>
      <c r="F428" s="22">
        <v>326772.01824902726</v>
      </c>
      <c r="G428" s="22">
        <v>316223.22507131757</v>
      </c>
      <c r="H428" s="22">
        <v>305818.67230451043</v>
      </c>
      <c r="I428" s="22">
        <v>288285.50987275748</v>
      </c>
      <c r="J428" s="22">
        <v>271279.64431321679</v>
      </c>
      <c r="K428" s="22">
        <v>235770.58023522352</v>
      </c>
      <c r="L428" s="22">
        <v>236359.18101095501</v>
      </c>
      <c r="M428" s="22">
        <v>237976.44811908659</v>
      </c>
      <c r="N428" s="22">
        <v>244177.94171509473</v>
      </c>
      <c r="O428" s="22">
        <v>254463.0888894363</v>
      </c>
      <c r="P428" s="22">
        <v>260853.20921233864</v>
      </c>
      <c r="Q428" s="22">
        <v>280669.02448593732</v>
      </c>
      <c r="R428" s="22">
        <v>294233.65220631525</v>
      </c>
      <c r="S428" s="22">
        <v>297415.16227848636</v>
      </c>
      <c r="T428" s="22">
        <v>297509.29019632045</v>
      </c>
      <c r="U428" s="22">
        <v>305948.40271625662</v>
      </c>
      <c r="V428" s="22">
        <v>313590.3869828122</v>
      </c>
      <c r="W428" s="22">
        <v>332138.7883346178</v>
      </c>
      <c r="X428" s="22">
        <v>348281.45678458241</v>
      </c>
      <c r="Y428" s="22">
        <v>362191.5630512464</v>
      </c>
      <c r="Z428" s="22">
        <v>365336.79602367693</v>
      </c>
      <c r="AA428" s="23">
        <v>354562.95460368623</v>
      </c>
      <c r="AB428" s="97"/>
      <c r="AC428" s="16">
        <v>4</v>
      </c>
      <c r="AD428" s="16">
        <f t="shared" si="134"/>
        <v>28885555.234813899</v>
      </c>
    </row>
    <row r="429" spans="1:30" ht="13.5" thickBot="1" x14ac:dyDescent="0.35">
      <c r="A429" s="18">
        <v>2037</v>
      </c>
      <c r="B429" s="11" t="s">
        <v>44</v>
      </c>
      <c r="C429" s="12" t="s">
        <v>33</v>
      </c>
      <c r="D429" s="21">
        <v>340684.39414249588</v>
      </c>
      <c r="E429" s="22">
        <v>328097.43953732157</v>
      </c>
      <c r="F429" s="22">
        <v>316538.51508802595</v>
      </c>
      <c r="G429" s="22">
        <v>306550.7771629761</v>
      </c>
      <c r="H429" s="22">
        <v>296896.78966950986</v>
      </c>
      <c r="I429" s="22">
        <v>281658.06260769896</v>
      </c>
      <c r="J429" s="22">
        <v>266810.57431076444</v>
      </c>
      <c r="K429" s="22">
        <v>228485.7147470435</v>
      </c>
      <c r="L429" s="22">
        <v>225719.99073131481</v>
      </c>
      <c r="M429" s="22">
        <v>225455.94016307392</v>
      </c>
      <c r="N429" s="22">
        <v>229867.20065333109</v>
      </c>
      <c r="O429" s="22">
        <v>238714.75343621516</v>
      </c>
      <c r="P429" s="22">
        <v>244789.87001130762</v>
      </c>
      <c r="Q429" s="22">
        <v>259164.4847301525</v>
      </c>
      <c r="R429" s="22">
        <v>271183.872176231</v>
      </c>
      <c r="S429" s="22">
        <v>275216.91134194518</v>
      </c>
      <c r="T429" s="22">
        <v>277162.61710889905</v>
      </c>
      <c r="U429" s="22">
        <v>290338.34835280676</v>
      </c>
      <c r="V429" s="22">
        <v>299649.94338103262</v>
      </c>
      <c r="W429" s="22">
        <v>316321.95257478609</v>
      </c>
      <c r="X429" s="22">
        <v>329863.30540498189</v>
      </c>
      <c r="Y429" s="22">
        <v>342882.6559313265</v>
      </c>
      <c r="Z429" s="22">
        <v>347226.93016378832</v>
      </c>
      <c r="AA429" s="23">
        <v>339441.72596834425</v>
      </c>
      <c r="AB429" s="96">
        <f t="shared" ref="AB429" si="147">+SUM(D429:AA429)*AC429+SUM(D430:AA430)*AC430+SUM(D431:AA431)*AC431</f>
        <v>214134646.49556249</v>
      </c>
      <c r="AC429" s="16">
        <v>21</v>
      </c>
      <c r="AD429" s="16">
        <f t="shared" si="134"/>
        <v>144453178.1573028</v>
      </c>
    </row>
    <row r="430" spans="1:30" ht="13.5" thickBot="1" x14ac:dyDescent="0.35">
      <c r="A430" s="18">
        <v>2037</v>
      </c>
      <c r="B430" s="19" t="s">
        <v>44</v>
      </c>
      <c r="C430" s="20" t="s">
        <v>34</v>
      </c>
      <c r="D430" s="21">
        <v>343289.91117622226</v>
      </c>
      <c r="E430" s="22">
        <v>330826.54858792177</v>
      </c>
      <c r="F430" s="22">
        <v>319394.42248580593</v>
      </c>
      <c r="G430" s="22">
        <v>309482.78792645218</v>
      </c>
      <c r="H430" s="22">
        <v>299730.93451248237</v>
      </c>
      <c r="I430" s="22">
        <v>284251.55952171813</v>
      </c>
      <c r="J430" s="22">
        <v>269009.28404046461</v>
      </c>
      <c r="K430" s="22">
        <v>230367.19209077224</v>
      </c>
      <c r="L430" s="22">
        <v>226424.78023042117</v>
      </c>
      <c r="M430" s="22">
        <v>225454.372634247</v>
      </c>
      <c r="N430" s="22">
        <v>229727.98417647305</v>
      </c>
      <c r="O430" s="22">
        <v>238783.52198954034</v>
      </c>
      <c r="P430" s="22">
        <v>245823.39901995854</v>
      </c>
      <c r="Q430" s="22">
        <v>261441.56845718605</v>
      </c>
      <c r="R430" s="22">
        <v>272860.28980067594</v>
      </c>
      <c r="S430" s="22">
        <v>277032.29217786243</v>
      </c>
      <c r="T430" s="22">
        <v>278935.1758771821</v>
      </c>
      <c r="U430" s="22">
        <v>291597.89463224338</v>
      </c>
      <c r="V430" s="22">
        <v>301093.11003866448</v>
      </c>
      <c r="W430" s="22">
        <v>319332.84651061741</v>
      </c>
      <c r="X430" s="22">
        <v>334585.17429122113</v>
      </c>
      <c r="Y430" s="22">
        <v>348600.26054070686</v>
      </c>
      <c r="Z430" s="22">
        <v>352237.74102726293</v>
      </c>
      <c r="AA430" s="23">
        <v>342887.89544488984</v>
      </c>
      <c r="AB430" s="97"/>
      <c r="AC430" s="16">
        <v>5</v>
      </c>
      <c r="AD430" s="16">
        <f t="shared" si="134"/>
        <v>34665854.735954955</v>
      </c>
    </row>
    <row r="431" spans="1:30" ht="13.5" thickBot="1" x14ac:dyDescent="0.35">
      <c r="A431" s="18">
        <v>2037</v>
      </c>
      <c r="B431" s="25" t="s">
        <v>44</v>
      </c>
      <c r="C431" s="26" t="s">
        <v>36</v>
      </c>
      <c r="D431" s="21">
        <v>342728.5389719528</v>
      </c>
      <c r="E431" s="22">
        <v>329333.43840332737</v>
      </c>
      <c r="F431" s="22">
        <v>317563.31138960662</v>
      </c>
      <c r="G431" s="22">
        <v>307306.76409371011</v>
      </c>
      <c r="H431" s="22">
        <v>297190.46114344435</v>
      </c>
      <c r="I431" s="22">
        <v>280143.0409600719</v>
      </c>
      <c r="J431" s="22">
        <v>263608.30931061169</v>
      </c>
      <c r="K431" s="22">
        <v>228158.68116492865</v>
      </c>
      <c r="L431" s="22">
        <v>228550.31955548577</v>
      </c>
      <c r="M431" s="22">
        <v>230003.9475652143</v>
      </c>
      <c r="N431" s="22">
        <v>235967.95165875749</v>
      </c>
      <c r="O431" s="22">
        <v>245945.44758285015</v>
      </c>
      <c r="P431" s="22">
        <v>252164.52360488093</v>
      </c>
      <c r="Q431" s="22">
        <v>271465.43595034303</v>
      </c>
      <c r="R431" s="22">
        <v>284717.6900121927</v>
      </c>
      <c r="S431" s="22">
        <v>287922.34947271674</v>
      </c>
      <c r="T431" s="22">
        <v>288192.07999485102</v>
      </c>
      <c r="U431" s="22">
        <v>296915.61562450876</v>
      </c>
      <c r="V431" s="22">
        <v>304345.8848263023</v>
      </c>
      <c r="W431" s="22">
        <v>322380.41754707438</v>
      </c>
      <c r="X431" s="22">
        <v>338075.8662728013</v>
      </c>
      <c r="Y431" s="22">
        <v>351600.60416570585</v>
      </c>
      <c r="Z431" s="22">
        <v>354658.70097307459</v>
      </c>
      <c r="AA431" s="23">
        <v>344183.34021653607</v>
      </c>
      <c r="AB431" s="97"/>
      <c r="AC431" s="16">
        <v>5</v>
      </c>
      <c r="AD431" s="16">
        <f t="shared" si="134"/>
        <v>35015613.602304749</v>
      </c>
    </row>
    <row r="432" spans="1:30" ht="13.5" thickBot="1" x14ac:dyDescent="0.35">
      <c r="A432" s="18">
        <v>2037</v>
      </c>
      <c r="B432" s="11" t="s">
        <v>45</v>
      </c>
      <c r="C432" s="12" t="s">
        <v>33</v>
      </c>
      <c r="D432" s="21">
        <v>334413.34259183129</v>
      </c>
      <c r="E432" s="22">
        <v>321972.84003570594</v>
      </c>
      <c r="F432" s="22">
        <v>310607.47410904942</v>
      </c>
      <c r="G432" s="22">
        <v>300777.36014085374</v>
      </c>
      <c r="H432" s="22">
        <v>291253.08667705883</v>
      </c>
      <c r="I432" s="22">
        <v>276099.03779659665</v>
      </c>
      <c r="J432" s="22">
        <v>261342.28635730027</v>
      </c>
      <c r="K432" s="22">
        <v>223127.18346028402</v>
      </c>
      <c r="L432" s="22">
        <v>220417.91241174043</v>
      </c>
      <c r="M432" s="22">
        <v>220121.89466884159</v>
      </c>
      <c r="N432" s="22">
        <v>224497.23487976773</v>
      </c>
      <c r="O432" s="22">
        <v>233261.07483123738</v>
      </c>
      <c r="P432" s="22">
        <v>239250.30878895929</v>
      </c>
      <c r="Q432" s="22">
        <v>253969.18631653575</v>
      </c>
      <c r="R432" s="22">
        <v>266021.10608197737</v>
      </c>
      <c r="S432" s="22">
        <v>270099.45288778044</v>
      </c>
      <c r="T432" s="22">
        <v>272163.35017943615</v>
      </c>
      <c r="U432" s="22">
        <v>285243.93225095462</v>
      </c>
      <c r="V432" s="22">
        <v>294171.60627926188</v>
      </c>
      <c r="W432" s="22">
        <v>310683.32676895621</v>
      </c>
      <c r="X432" s="22">
        <v>324211.30347649881</v>
      </c>
      <c r="Y432" s="22">
        <v>337043.18618308619</v>
      </c>
      <c r="Z432" s="22">
        <v>341162.35945965629</v>
      </c>
      <c r="AA432" s="23">
        <v>333222.96059309924</v>
      </c>
      <c r="AB432" s="96">
        <f t="shared" ref="AB432" si="148">+SUM(D432:AA432)*AC432+SUM(D433:AA433)*AC433+SUM(D434:AA434)*AC434</f>
        <v>203376652.2556099</v>
      </c>
      <c r="AC432" s="16">
        <v>19</v>
      </c>
      <c r="AD432" s="16">
        <f t="shared" si="134"/>
        <v>128157523.33730289</v>
      </c>
    </row>
    <row r="433" spans="1:30" ht="13.5" thickBot="1" x14ac:dyDescent="0.35">
      <c r="A433" s="18">
        <v>2037</v>
      </c>
      <c r="B433" s="19" t="s">
        <v>45</v>
      </c>
      <c r="C433" s="20" t="s">
        <v>34</v>
      </c>
      <c r="D433" s="21">
        <v>337228.5434984524</v>
      </c>
      <c r="E433" s="22">
        <v>324634.07175842719</v>
      </c>
      <c r="F433" s="22">
        <v>313270.37997274939</v>
      </c>
      <c r="G433" s="22">
        <v>303399.13449871069</v>
      </c>
      <c r="H433" s="22">
        <v>293677.85282857192</v>
      </c>
      <c r="I433" s="22">
        <v>277885.59082033497</v>
      </c>
      <c r="J433" s="22">
        <v>262427.10289641394</v>
      </c>
      <c r="K433" s="22">
        <v>224746.46362443722</v>
      </c>
      <c r="L433" s="22">
        <v>222127.51216951429</v>
      </c>
      <c r="M433" s="22">
        <v>221844.52038124335</v>
      </c>
      <c r="N433" s="22">
        <v>226545.38994401394</v>
      </c>
      <c r="O433" s="22">
        <v>235744.72786705568</v>
      </c>
      <c r="P433" s="22">
        <v>242377.45550702099</v>
      </c>
      <c r="Q433" s="22">
        <v>259139.9691967383</v>
      </c>
      <c r="R433" s="22">
        <v>271151.02566578198</v>
      </c>
      <c r="S433" s="22">
        <v>275100.30923032732</v>
      </c>
      <c r="T433" s="22">
        <v>276696.01377609395</v>
      </c>
      <c r="U433" s="22">
        <v>288308.45934712928</v>
      </c>
      <c r="V433" s="22">
        <v>296890.11522266455</v>
      </c>
      <c r="W433" s="22">
        <v>314748.75829284807</v>
      </c>
      <c r="X433" s="22">
        <v>329906.92459261045</v>
      </c>
      <c r="Y433" s="22">
        <v>343507.6821982977</v>
      </c>
      <c r="Z433" s="22">
        <v>346872.49911516201</v>
      </c>
      <c r="AA433" s="23">
        <v>337268.51150596992</v>
      </c>
      <c r="AB433" s="97"/>
      <c r="AC433" s="16">
        <v>4</v>
      </c>
      <c r="AD433" s="16">
        <f t="shared" si="134"/>
        <v>27301996.055642273</v>
      </c>
    </row>
    <row r="434" spans="1:30" ht="13.5" thickBot="1" x14ac:dyDescent="0.35">
      <c r="A434" s="18">
        <v>2037</v>
      </c>
      <c r="B434" s="25" t="s">
        <v>45</v>
      </c>
      <c r="C434" s="26" t="s">
        <v>36</v>
      </c>
      <c r="D434" s="21">
        <v>335829.94355158653</v>
      </c>
      <c r="E434" s="22">
        <v>322700.1143242963</v>
      </c>
      <c r="F434" s="22">
        <v>311163.07831012591</v>
      </c>
      <c r="G434" s="22">
        <v>301109.64767204871</v>
      </c>
      <c r="H434" s="22">
        <v>291193.6840353419</v>
      </c>
      <c r="I434" s="22">
        <v>274483.86430485023</v>
      </c>
      <c r="J434" s="22">
        <v>258276.58002473228</v>
      </c>
      <c r="K434" s="22">
        <v>222560.17369150795</v>
      </c>
      <c r="L434" s="22">
        <v>222587.69310495025</v>
      </c>
      <c r="M434" s="22">
        <v>223778.12092407374</v>
      </c>
      <c r="N434" s="22">
        <v>229494.45110310521</v>
      </c>
      <c r="O434" s="22">
        <v>239229.55967337525</v>
      </c>
      <c r="P434" s="22">
        <v>245337.28925319508</v>
      </c>
      <c r="Q434" s="22">
        <v>264323.19723311643</v>
      </c>
      <c r="R434" s="22">
        <v>277438.11865560972</v>
      </c>
      <c r="S434" s="22">
        <v>280798.84716824483</v>
      </c>
      <c r="T434" s="22">
        <v>281414.7754977002</v>
      </c>
      <c r="U434" s="22">
        <v>290637.65025683417</v>
      </c>
      <c r="V434" s="22">
        <v>297920.7733086198</v>
      </c>
      <c r="W434" s="22">
        <v>315598.15718525386</v>
      </c>
      <c r="X434" s="22">
        <v>330982.77937294898</v>
      </c>
      <c r="Y434" s="22">
        <v>344239.67863756709</v>
      </c>
      <c r="Z434" s="22">
        <v>347237.21408984408</v>
      </c>
      <c r="AA434" s="23">
        <v>336969.30328746029</v>
      </c>
      <c r="AB434" s="97"/>
      <c r="AC434" s="16">
        <v>7</v>
      </c>
      <c r="AD434" s="16">
        <f t="shared" si="134"/>
        <v>47917132.862664729</v>
      </c>
    </row>
    <row r="435" spans="1:30" ht="13.5" thickBot="1" x14ac:dyDescent="0.35">
      <c r="A435" s="18">
        <v>2037</v>
      </c>
      <c r="B435" s="11" t="s">
        <v>46</v>
      </c>
      <c r="C435" s="12" t="s">
        <v>33</v>
      </c>
      <c r="D435" s="21">
        <v>330597.19285835343</v>
      </c>
      <c r="E435" s="22">
        <v>319422.03504262725</v>
      </c>
      <c r="F435" s="22">
        <v>309104.90297332912</v>
      </c>
      <c r="G435" s="22">
        <v>299863.7930167453</v>
      </c>
      <c r="H435" s="22">
        <v>290731.12882486242</v>
      </c>
      <c r="I435" s="22">
        <v>276786.33537996851</v>
      </c>
      <c r="J435" s="22">
        <v>262675.94775510707</v>
      </c>
      <c r="K435" s="22">
        <v>223822.80153788746</v>
      </c>
      <c r="L435" s="22">
        <v>221184.60357746974</v>
      </c>
      <c r="M435" s="22">
        <v>220414.04785919157</v>
      </c>
      <c r="N435" s="22">
        <v>224501.75487721679</v>
      </c>
      <c r="O435" s="22">
        <v>232575.15654918714</v>
      </c>
      <c r="P435" s="22">
        <v>238293.87558841432</v>
      </c>
      <c r="Q435" s="22">
        <v>251805.79474276322</v>
      </c>
      <c r="R435" s="22">
        <v>263382.12307917944</v>
      </c>
      <c r="S435" s="22">
        <v>267513.40858784452</v>
      </c>
      <c r="T435" s="22">
        <v>269108.44753657165</v>
      </c>
      <c r="U435" s="22">
        <v>282707.63242524606</v>
      </c>
      <c r="V435" s="22">
        <v>292451.5090300265</v>
      </c>
      <c r="W435" s="22">
        <v>307858.61715031666</v>
      </c>
      <c r="X435" s="22">
        <v>321014.08374216157</v>
      </c>
      <c r="Y435" s="22">
        <v>333799.63003812311</v>
      </c>
      <c r="Z435" s="22">
        <v>338359.99501455238</v>
      </c>
      <c r="AA435" s="23">
        <v>331516.88220477133</v>
      </c>
      <c r="AB435" s="96">
        <f t="shared" ref="AB435" si="149">+SUM(D435:AA435)*AC435+SUM(D436:AA436)*AC436+SUM(D437:AA437)*AC437</f>
        <v>208960824.55298939</v>
      </c>
      <c r="AC435" s="16">
        <v>21</v>
      </c>
      <c r="AD435" s="16">
        <f t="shared" si="134"/>
        <v>140899325.68723023</v>
      </c>
    </row>
    <row r="436" spans="1:30" ht="13.5" thickBot="1" x14ac:dyDescent="0.35">
      <c r="A436" s="18">
        <v>2037</v>
      </c>
      <c r="B436" s="19" t="s">
        <v>46</v>
      </c>
      <c r="C436" s="20" t="s">
        <v>34</v>
      </c>
      <c r="D436" s="21">
        <v>337126.68749356945</v>
      </c>
      <c r="E436" s="22">
        <v>324536.75168044376</v>
      </c>
      <c r="F436" s="22">
        <v>313176.73330470931</v>
      </c>
      <c r="G436" s="22">
        <v>303308.7215824576</v>
      </c>
      <c r="H436" s="22">
        <v>293590.6452012838</v>
      </c>
      <c r="I436" s="22">
        <v>277804.40419834876</v>
      </c>
      <c r="J436" s="22">
        <v>262351.60781746998</v>
      </c>
      <c r="K436" s="22">
        <v>224807.73915593611</v>
      </c>
      <c r="L436" s="22">
        <v>222285.89556276606</v>
      </c>
      <c r="M436" s="22">
        <v>222066.7069586131</v>
      </c>
      <c r="N436" s="22">
        <v>226801.09984510561</v>
      </c>
      <c r="O436" s="22">
        <v>236009.48643609698</v>
      </c>
      <c r="P436" s="22">
        <v>242637.60597564394</v>
      </c>
      <c r="Q436" s="22">
        <v>259373.19280382202</v>
      </c>
      <c r="R436" s="22">
        <v>271344.04869412957</v>
      </c>
      <c r="S436" s="22">
        <v>275231.39306730498</v>
      </c>
      <c r="T436" s="22">
        <v>276729.39532262669</v>
      </c>
      <c r="U436" s="22">
        <v>288211.98063572287</v>
      </c>
      <c r="V436" s="22">
        <v>296792.79751115956</v>
      </c>
      <c r="W436" s="22">
        <v>314646.28178763151</v>
      </c>
      <c r="X436" s="22">
        <v>329799.55453877925</v>
      </c>
      <c r="Y436" s="22">
        <v>343396.6619392818</v>
      </c>
      <c r="Z436" s="22">
        <v>346760.95783954882</v>
      </c>
      <c r="AA436" s="23">
        <v>337160.77525709884</v>
      </c>
      <c r="AB436" s="97"/>
      <c r="AC436" s="16">
        <v>4</v>
      </c>
      <c r="AD436" s="16">
        <f t="shared" si="134"/>
        <v>27303804.498438194</v>
      </c>
    </row>
    <row r="437" spans="1:30" ht="13.5" thickBot="1" x14ac:dyDescent="0.35">
      <c r="A437" s="28">
        <v>2037</v>
      </c>
      <c r="B437" s="25" t="s">
        <v>46</v>
      </c>
      <c r="C437" s="26" t="s">
        <v>36</v>
      </c>
      <c r="D437" s="21">
        <v>334830.87564173492</v>
      </c>
      <c r="E437" s="22">
        <v>322119.59652515239</v>
      </c>
      <c r="F437" s="22">
        <v>310758.6565420893</v>
      </c>
      <c r="G437" s="22">
        <v>300878.76444519201</v>
      </c>
      <c r="H437" s="22">
        <v>291143.63720500091</v>
      </c>
      <c r="I437" s="22">
        <v>275118.91344293766</v>
      </c>
      <c r="J437" s="22">
        <v>259485.03564799903</v>
      </c>
      <c r="K437" s="22">
        <v>222625.27420960009</v>
      </c>
      <c r="L437" s="22">
        <v>220990.54820097363</v>
      </c>
      <c r="M437" s="22">
        <v>221253.57696334517</v>
      </c>
      <c r="N437" s="22">
        <v>226299.40691261331</v>
      </c>
      <c r="O437" s="22">
        <v>235640.32392710898</v>
      </c>
      <c r="P437" s="22">
        <v>242051.27961314959</v>
      </c>
      <c r="Q437" s="22">
        <v>259488.25921063451</v>
      </c>
      <c r="R437" s="22">
        <v>271801.91579865204</v>
      </c>
      <c r="S437" s="22">
        <v>275495.65219373803</v>
      </c>
      <c r="T437" s="22">
        <v>276695.44698113366</v>
      </c>
      <c r="U437" s="22">
        <v>287404.34430522809</v>
      </c>
      <c r="V437" s="22">
        <v>295484.76905123162</v>
      </c>
      <c r="W437" s="22">
        <v>313180.66515043803</v>
      </c>
      <c r="X437" s="22">
        <v>328333.49509901414</v>
      </c>
      <c r="Y437" s="22">
        <v>341738.43846886605</v>
      </c>
      <c r="Z437" s="22">
        <v>344956.26436890307</v>
      </c>
      <c r="AA437" s="23">
        <v>335173.92131542758</v>
      </c>
      <c r="AB437" s="97"/>
      <c r="AC437" s="16">
        <v>6</v>
      </c>
      <c r="AD437" s="16">
        <f t="shared" si="134"/>
        <v>40757694.367320985</v>
      </c>
    </row>
    <row r="438" spans="1:30" ht="13.5" thickBot="1" x14ac:dyDescent="0.35">
      <c r="A438" s="10">
        <v>2038</v>
      </c>
      <c r="B438" s="11" t="s">
        <v>32</v>
      </c>
      <c r="C438" s="12" t="s">
        <v>33</v>
      </c>
      <c r="D438" s="21">
        <v>311012.55112489092</v>
      </c>
      <c r="E438" s="22">
        <v>298774.36143839377</v>
      </c>
      <c r="F438" s="22">
        <v>286943.88698372379</v>
      </c>
      <c r="G438" s="22">
        <v>276380.05973268079</v>
      </c>
      <c r="H438" s="22">
        <v>266564.1724129236</v>
      </c>
      <c r="I438" s="22">
        <v>257005.89981770478</v>
      </c>
      <c r="J438" s="22">
        <v>244192.83851855254</v>
      </c>
      <c r="K438" s="22">
        <v>233998.83904991299</v>
      </c>
      <c r="L438" s="22">
        <v>237763.40418519801</v>
      </c>
      <c r="M438" s="22">
        <v>242181.97881893133</v>
      </c>
      <c r="N438" s="22">
        <v>248616.60505110529</v>
      </c>
      <c r="O438" s="22">
        <v>257550.0312652007</v>
      </c>
      <c r="P438" s="22">
        <v>261842.0897143218</v>
      </c>
      <c r="Q438" s="22">
        <v>275421.32023361995</v>
      </c>
      <c r="R438" s="22">
        <v>288071.17482371873</v>
      </c>
      <c r="S438" s="22">
        <v>292029.13825173938</v>
      </c>
      <c r="T438" s="22">
        <v>289483.16466850956</v>
      </c>
      <c r="U438" s="22">
        <v>267705.21345945616</v>
      </c>
      <c r="V438" s="22">
        <v>277650.59072771028</v>
      </c>
      <c r="W438" s="22">
        <v>287370.1146399026</v>
      </c>
      <c r="X438" s="22">
        <v>297966.95157760772</v>
      </c>
      <c r="Y438" s="22">
        <v>310360.22388330451</v>
      </c>
      <c r="Z438" s="22">
        <v>316214.81416811771</v>
      </c>
      <c r="AA438" s="23">
        <v>310208.34496569849</v>
      </c>
      <c r="AB438" s="96">
        <f t="shared" ref="AB438" si="150">+SUM(D438:AA438)*AC438+SUM(D439:AA439)*AC439+SUM(D440:AA440)*AC440</f>
        <v>202929719.93651807</v>
      </c>
      <c r="AC438" s="16">
        <v>19</v>
      </c>
      <c r="AD438" s="16">
        <f t="shared" si="134"/>
        <v>126070847.62074557</v>
      </c>
    </row>
    <row r="439" spans="1:30" ht="13.5" thickBot="1" x14ac:dyDescent="0.35">
      <c r="A439" s="18">
        <v>2038</v>
      </c>
      <c r="B439" s="19" t="s">
        <v>32</v>
      </c>
      <c r="C439" s="20" t="s">
        <v>34</v>
      </c>
      <c r="D439" s="21">
        <v>305640.47490784188</v>
      </c>
      <c r="E439" s="22">
        <v>295152.69079040334</v>
      </c>
      <c r="F439" s="22">
        <v>285127.88466154208</v>
      </c>
      <c r="G439" s="22">
        <v>276179.35362177092</v>
      </c>
      <c r="H439" s="22">
        <v>267682.51789604814</v>
      </c>
      <c r="I439" s="22">
        <v>259398.78620081962</v>
      </c>
      <c r="J439" s="22">
        <v>245643.58022856517</v>
      </c>
      <c r="K439" s="22">
        <v>228613.27670945646</v>
      </c>
      <c r="L439" s="22">
        <v>221429.28149330238</v>
      </c>
      <c r="M439" s="22">
        <v>219299.03481417187</v>
      </c>
      <c r="N439" s="22">
        <v>221592.05417711381</v>
      </c>
      <c r="O439" s="22">
        <v>228226.45826438177</v>
      </c>
      <c r="P439" s="22">
        <v>232185.48695138487</v>
      </c>
      <c r="Q439" s="22">
        <v>245533.96105043794</v>
      </c>
      <c r="R439" s="22">
        <v>253192.84849878997</v>
      </c>
      <c r="S439" s="22">
        <v>258583.39565571575</v>
      </c>
      <c r="T439" s="22">
        <v>259713.77761096152</v>
      </c>
      <c r="U439" s="22">
        <v>245907.34345138533</v>
      </c>
      <c r="V439" s="22">
        <v>261569.65719173351</v>
      </c>
      <c r="W439" s="22">
        <v>272908.9926620872</v>
      </c>
      <c r="X439" s="22">
        <v>284921.05665421172</v>
      </c>
      <c r="Y439" s="22">
        <v>298651.3022930256</v>
      </c>
      <c r="Z439" s="22">
        <v>305169.37527207128</v>
      </c>
      <c r="AA439" s="23">
        <v>299324.2223025948</v>
      </c>
      <c r="AB439" s="97"/>
      <c r="AC439" s="16">
        <v>5</v>
      </c>
      <c r="AD439" s="16">
        <f t="shared" si="134"/>
        <v>31358234.066799089</v>
      </c>
    </row>
    <row r="440" spans="1:30" ht="13.5" thickBot="1" x14ac:dyDescent="0.35">
      <c r="A440" s="18">
        <v>2038</v>
      </c>
      <c r="B440" s="25" t="s">
        <v>32</v>
      </c>
      <c r="C440" s="26" t="s">
        <v>36</v>
      </c>
      <c r="D440" s="21">
        <v>305320.87103059795</v>
      </c>
      <c r="E440" s="22">
        <v>292796.97405842494</v>
      </c>
      <c r="F440" s="22">
        <v>282068.96795458003</v>
      </c>
      <c r="G440" s="22">
        <v>272352.73362995638</v>
      </c>
      <c r="H440" s="22">
        <v>263975.43883791746</v>
      </c>
      <c r="I440" s="22">
        <v>255034.19783152029</v>
      </c>
      <c r="J440" s="22">
        <v>243238.92600970637</v>
      </c>
      <c r="K440" s="22">
        <v>233376.7982584952</v>
      </c>
      <c r="L440" s="22">
        <v>234734.74943946977</v>
      </c>
      <c r="M440" s="22">
        <v>237292.99704983731</v>
      </c>
      <c r="N440" s="22">
        <v>242333.19583191164</v>
      </c>
      <c r="O440" s="22">
        <v>249804.32744379737</v>
      </c>
      <c r="P440" s="22">
        <v>253404.08783144219</v>
      </c>
      <c r="Q440" s="22">
        <v>266688.83286664879</v>
      </c>
      <c r="R440" s="22">
        <v>279487.55507518764</v>
      </c>
      <c r="S440" s="22">
        <v>282303.13946931262</v>
      </c>
      <c r="T440" s="22">
        <v>280169.74131388468</v>
      </c>
      <c r="U440" s="22">
        <v>260279.11603198494</v>
      </c>
      <c r="V440" s="22">
        <v>270366.18154185993</v>
      </c>
      <c r="W440" s="22">
        <v>280838.38117068802</v>
      </c>
      <c r="X440" s="22">
        <v>293144.68741745985</v>
      </c>
      <c r="Y440" s="22">
        <v>306137.6425605581</v>
      </c>
      <c r="Z440" s="22">
        <v>311000.98634218652</v>
      </c>
      <c r="AA440" s="23">
        <v>303940.64942734654</v>
      </c>
      <c r="AB440" s="97"/>
      <c r="AC440" s="16">
        <v>7</v>
      </c>
      <c r="AD440" s="16">
        <f t="shared" si="134"/>
        <v>45500638.248973422</v>
      </c>
    </row>
    <row r="441" spans="1:30" ht="13.5" thickBot="1" x14ac:dyDescent="0.35">
      <c r="A441" s="18">
        <v>2038</v>
      </c>
      <c r="B441" s="11" t="s">
        <v>35</v>
      </c>
      <c r="C441" s="12" t="s">
        <v>33</v>
      </c>
      <c r="D441" s="21">
        <v>317747.93219357089</v>
      </c>
      <c r="E441" s="22">
        <v>305218.81269885041</v>
      </c>
      <c r="F441" s="22">
        <v>294278.54665548319</v>
      </c>
      <c r="G441" s="22">
        <v>284144.41934840247</v>
      </c>
      <c r="H441" s="22">
        <v>273912.00811989413</v>
      </c>
      <c r="I441" s="22">
        <v>261762.97172839317</v>
      </c>
      <c r="J441" s="22">
        <v>244178.73830506011</v>
      </c>
      <c r="K441" s="22">
        <v>232565.47578887368</v>
      </c>
      <c r="L441" s="22">
        <v>235121.87485475195</v>
      </c>
      <c r="M441" s="22">
        <v>239430.26211450162</v>
      </c>
      <c r="N441" s="22">
        <v>248376.84388484378</v>
      </c>
      <c r="O441" s="22">
        <v>259570.30428929519</v>
      </c>
      <c r="P441" s="22">
        <v>266046.55504648975</v>
      </c>
      <c r="Q441" s="22">
        <v>283695.29045985267</v>
      </c>
      <c r="R441" s="22">
        <v>297646.84697184782</v>
      </c>
      <c r="S441" s="22">
        <v>300385.10599254305</v>
      </c>
      <c r="T441" s="22">
        <v>297294.14014555939</v>
      </c>
      <c r="U441" s="22">
        <v>273754.69213577342</v>
      </c>
      <c r="V441" s="22">
        <v>281818.04851525358</v>
      </c>
      <c r="W441" s="22">
        <v>295480.27972531994</v>
      </c>
      <c r="X441" s="22">
        <v>307457.10644025542</v>
      </c>
      <c r="Y441" s="22">
        <v>319962.63503240282</v>
      </c>
      <c r="Z441" s="22">
        <v>323163.69966643595</v>
      </c>
      <c r="AA441" s="23">
        <v>316014.10869151232</v>
      </c>
      <c r="AB441" s="96">
        <f t="shared" ref="AB441" si="151">+SUM(D441:AA441)*AC441+SUM(D442:AA442)*AC442+SUM(D443:AA443)*AC443</f>
        <v>187931948.85938892</v>
      </c>
      <c r="AC441" s="16">
        <v>20</v>
      </c>
      <c r="AD441" s="16">
        <f t="shared" si="134"/>
        <v>135180533.97610337</v>
      </c>
    </row>
    <row r="442" spans="1:30" ht="13.5" thickBot="1" x14ac:dyDescent="0.35">
      <c r="A442" s="18">
        <v>2038</v>
      </c>
      <c r="B442" s="19" t="s">
        <v>35</v>
      </c>
      <c r="C442" s="20" t="s">
        <v>34</v>
      </c>
      <c r="D442" s="21">
        <v>306578.85494375054</v>
      </c>
      <c r="E442" s="22">
        <v>298367.47944299667</v>
      </c>
      <c r="F442" s="22">
        <v>290206.25425809709</v>
      </c>
      <c r="G442" s="22">
        <v>283771.28532925062</v>
      </c>
      <c r="H442" s="22">
        <v>278347.59839252534</v>
      </c>
      <c r="I442" s="22">
        <v>270942.4793076897</v>
      </c>
      <c r="J442" s="22">
        <v>258113.30229646323</v>
      </c>
      <c r="K442" s="22">
        <v>241579.67040025524</v>
      </c>
      <c r="L442" s="22">
        <v>233836.52087128547</v>
      </c>
      <c r="M442" s="22">
        <v>232638.77574890782</v>
      </c>
      <c r="N442" s="22">
        <v>236399.41643871629</v>
      </c>
      <c r="O442" s="22">
        <v>243962.14109964838</v>
      </c>
      <c r="P442" s="22">
        <v>252637.26800965893</v>
      </c>
      <c r="Q442" s="22">
        <v>262245.30415616464</v>
      </c>
      <c r="R442" s="22">
        <v>265286.3058838743</v>
      </c>
      <c r="S442" s="22">
        <v>271930.48795305198</v>
      </c>
      <c r="T442" s="22">
        <v>271830.86495889944</v>
      </c>
      <c r="U442" s="22">
        <v>256991.28649412742</v>
      </c>
      <c r="V442" s="22">
        <v>268137.15238597401</v>
      </c>
      <c r="W442" s="22">
        <v>282460.98605618504</v>
      </c>
      <c r="X442" s="22">
        <v>295679.03372576268</v>
      </c>
      <c r="Y442" s="22">
        <v>308905.96609624429</v>
      </c>
      <c r="Z442" s="22">
        <v>311844.28124185855</v>
      </c>
      <c r="AA442" s="23">
        <v>304843.8396766982</v>
      </c>
      <c r="AB442" s="97"/>
      <c r="AC442" s="16">
        <v>4</v>
      </c>
      <c r="AD442" s="16">
        <f t="shared" si="134"/>
        <v>26110146.220672347</v>
      </c>
    </row>
    <row r="443" spans="1:30" ht="13.5" thickBot="1" x14ac:dyDescent="0.35">
      <c r="A443" s="18">
        <v>2038</v>
      </c>
      <c r="B443" s="25" t="s">
        <v>35</v>
      </c>
      <c r="C443" s="26" t="s">
        <v>36</v>
      </c>
      <c r="D443" s="21">
        <v>307842.85928823234</v>
      </c>
      <c r="E443" s="22">
        <v>297413.63028632448</v>
      </c>
      <c r="F443" s="22">
        <v>287085.94863637467</v>
      </c>
      <c r="G443" s="22">
        <v>278440.16259405611</v>
      </c>
      <c r="H443" s="22">
        <v>268120.53332950367</v>
      </c>
      <c r="I443" s="22">
        <v>256874.50082542791</v>
      </c>
      <c r="J443" s="22">
        <v>242229.81319037889</v>
      </c>
      <c r="K443" s="22">
        <v>232120.96036413882</v>
      </c>
      <c r="L443" s="22">
        <v>234382.77178991461</v>
      </c>
      <c r="M443" s="22">
        <v>239697.8312055915</v>
      </c>
      <c r="N443" s="22">
        <v>246804.00215853986</v>
      </c>
      <c r="O443" s="22">
        <v>257895.22894019066</v>
      </c>
      <c r="P443" s="22">
        <v>261341.74212660105</v>
      </c>
      <c r="Q443" s="22">
        <v>279900.42224790785</v>
      </c>
      <c r="R443" s="22">
        <v>293602.54332305514</v>
      </c>
      <c r="S443" s="22">
        <v>294734.68206439109</v>
      </c>
      <c r="T443" s="22">
        <v>292193.80244808987</v>
      </c>
      <c r="U443" s="22">
        <v>268823.90113889956</v>
      </c>
      <c r="V443" s="22">
        <v>276931.80263767485</v>
      </c>
      <c r="W443" s="22">
        <v>292232.9100257617</v>
      </c>
      <c r="X443" s="22">
        <v>304285.74519065366</v>
      </c>
      <c r="Y443" s="22">
        <v>317263.292293337</v>
      </c>
      <c r="Z443" s="22">
        <v>318528.27662899985</v>
      </c>
      <c r="AA443" s="23">
        <v>311569.80291925662</v>
      </c>
      <c r="AB443" s="97"/>
      <c r="AC443" s="16">
        <v>4</v>
      </c>
      <c r="AD443" s="16">
        <f t="shared" si="134"/>
        <v>26641268.662613209</v>
      </c>
    </row>
    <row r="444" spans="1:30" ht="13.5" thickBot="1" x14ac:dyDescent="0.35">
      <c r="A444" s="18">
        <v>2038</v>
      </c>
      <c r="B444" s="11" t="s">
        <v>37</v>
      </c>
      <c r="C444" s="12" t="s">
        <v>33</v>
      </c>
      <c r="D444" s="21">
        <v>326732.90397367603</v>
      </c>
      <c r="E444" s="22">
        <v>314890.08615514782</v>
      </c>
      <c r="F444" s="22">
        <v>304122.52580491197</v>
      </c>
      <c r="G444" s="22">
        <v>294336.72227762803</v>
      </c>
      <c r="H444" s="22">
        <v>284379.94005808147</v>
      </c>
      <c r="I444" s="22">
        <v>270349.37085976807</v>
      </c>
      <c r="J444" s="22">
        <v>251775.54649872202</v>
      </c>
      <c r="K444" s="22">
        <v>243542.95132482724</v>
      </c>
      <c r="L444" s="22">
        <v>246326.51576748342</v>
      </c>
      <c r="M444" s="22">
        <v>250715.48058697119</v>
      </c>
      <c r="N444" s="22">
        <v>258600.44148593795</v>
      </c>
      <c r="O444" s="22">
        <v>268115.71745758061</v>
      </c>
      <c r="P444" s="22">
        <v>274285.38494136091</v>
      </c>
      <c r="Q444" s="22">
        <v>292400.94066133368</v>
      </c>
      <c r="R444" s="22">
        <v>305390.43032018672</v>
      </c>
      <c r="S444" s="22">
        <v>307778.04750387219</v>
      </c>
      <c r="T444" s="22">
        <v>305509.89931307692</v>
      </c>
      <c r="U444" s="22">
        <v>282387.41150347277</v>
      </c>
      <c r="V444" s="22">
        <v>289801.37033964175</v>
      </c>
      <c r="W444" s="22">
        <v>305028.75165774685</v>
      </c>
      <c r="X444" s="22">
        <v>317230.37908480025</v>
      </c>
      <c r="Y444" s="22">
        <v>330522.90875766845</v>
      </c>
      <c r="Z444" s="22">
        <v>335132.98720835091</v>
      </c>
      <c r="AA444" s="23">
        <v>327781.98452284432</v>
      </c>
      <c r="AB444" s="96">
        <f t="shared" ref="AB444" si="152">+SUM(D444:AA444)*AC444+SUM(D445:AA445)*AC445+SUM(D446:AA446)*AC446</f>
        <v>217363986.8854844</v>
      </c>
      <c r="AC444" s="16">
        <v>22</v>
      </c>
      <c r="AD444" s="16">
        <f t="shared" si="134"/>
        <v>153717051.35743201</v>
      </c>
    </row>
    <row r="445" spans="1:30" ht="13.5" thickBot="1" x14ac:dyDescent="0.35">
      <c r="A445" s="18">
        <v>2038</v>
      </c>
      <c r="B445" s="19" t="s">
        <v>37</v>
      </c>
      <c r="C445" s="20" t="s">
        <v>34</v>
      </c>
      <c r="D445" s="21">
        <v>332704.0716887028</v>
      </c>
      <c r="E445" s="22">
        <v>321830.90044775291</v>
      </c>
      <c r="F445" s="22">
        <v>311468.68914133607</v>
      </c>
      <c r="G445" s="22">
        <v>302222.3000927057</v>
      </c>
      <c r="H445" s="22">
        <v>293807.80419595982</v>
      </c>
      <c r="I445" s="22">
        <v>282831.40556437615</v>
      </c>
      <c r="J445" s="22">
        <v>266182.41574210953</v>
      </c>
      <c r="K445" s="22">
        <v>250272.82057595527</v>
      </c>
      <c r="L445" s="22">
        <v>241468.53302771246</v>
      </c>
      <c r="M445" s="22">
        <v>240723.26221275303</v>
      </c>
      <c r="N445" s="22">
        <v>245066.70698315327</v>
      </c>
      <c r="O445" s="22">
        <v>254150.39418364316</v>
      </c>
      <c r="P445" s="22">
        <v>261822.1694839487</v>
      </c>
      <c r="Q445" s="22">
        <v>272341.09380938497</v>
      </c>
      <c r="R445" s="22">
        <v>279262.80610389024</v>
      </c>
      <c r="S445" s="22">
        <v>286030.1136877386</v>
      </c>
      <c r="T445" s="22">
        <v>290781.10633955267</v>
      </c>
      <c r="U445" s="22">
        <v>276303.11757359258</v>
      </c>
      <c r="V445" s="22">
        <v>287301.46300529898</v>
      </c>
      <c r="W445" s="22">
        <v>302129.53398967866</v>
      </c>
      <c r="X445" s="22">
        <v>316705.91690500465</v>
      </c>
      <c r="Y445" s="22">
        <v>331285.84358511225</v>
      </c>
      <c r="Z445" s="22">
        <v>335941.8837530876</v>
      </c>
      <c r="AA445" s="23">
        <v>329260.52027036803</v>
      </c>
      <c r="AB445" s="97"/>
      <c r="AC445" s="16">
        <v>4</v>
      </c>
      <c r="AD445" s="16">
        <f t="shared" si="134"/>
        <v>27647579.489451267</v>
      </c>
    </row>
    <row r="446" spans="1:30" ht="13.5" thickBot="1" x14ac:dyDescent="0.35">
      <c r="A446" s="18">
        <v>2038</v>
      </c>
      <c r="B446" s="25" t="s">
        <v>37</v>
      </c>
      <c r="C446" s="26" t="s">
        <v>36</v>
      </c>
      <c r="D446" s="21">
        <v>332931.10748776892</v>
      </c>
      <c r="E446" s="22">
        <v>320658.72339869046</v>
      </c>
      <c r="F446" s="22">
        <v>309631.17728305416</v>
      </c>
      <c r="G446" s="22">
        <v>300242.95702892251</v>
      </c>
      <c r="H446" s="22">
        <v>290198.53995487047</v>
      </c>
      <c r="I446" s="22">
        <v>273093.29200907919</v>
      </c>
      <c r="J446" s="22">
        <v>254667.14787318901</v>
      </c>
      <c r="K446" s="22">
        <v>247922.20838959696</v>
      </c>
      <c r="L446" s="22">
        <v>251057.64241859465</v>
      </c>
      <c r="M446" s="22">
        <v>256259.16739959893</v>
      </c>
      <c r="N446" s="22">
        <v>265291.3696046198</v>
      </c>
      <c r="O446" s="22">
        <v>277781.0316553539</v>
      </c>
      <c r="P446" s="22">
        <v>285874.48949117801</v>
      </c>
      <c r="Q446" s="22">
        <v>304215.02722557919</v>
      </c>
      <c r="R446" s="22">
        <v>316841.09411988384</v>
      </c>
      <c r="S446" s="22">
        <v>319255.18155625399</v>
      </c>
      <c r="T446" s="22">
        <v>315872.84261279245</v>
      </c>
      <c r="U446" s="22">
        <v>290573.69463496126</v>
      </c>
      <c r="V446" s="22">
        <v>301258.86228107347</v>
      </c>
      <c r="W446" s="22">
        <v>319726.75185736135</v>
      </c>
      <c r="X446" s="22">
        <v>334053.47137923876</v>
      </c>
      <c r="Y446" s="22">
        <v>347363.05227980373</v>
      </c>
      <c r="Z446" s="22">
        <v>348267.85037335788</v>
      </c>
      <c r="AA446" s="23">
        <v>336834.52540540323</v>
      </c>
      <c r="AB446" s="97"/>
      <c r="AC446" s="16">
        <v>5</v>
      </c>
      <c r="AD446" s="16">
        <f t="shared" si="134"/>
        <v>35999356.03860113</v>
      </c>
    </row>
    <row r="447" spans="1:30" ht="13.5" thickBot="1" x14ac:dyDescent="0.35">
      <c r="A447" s="18">
        <v>2038</v>
      </c>
      <c r="B447" s="11" t="s">
        <v>38</v>
      </c>
      <c r="C447" s="12" t="s">
        <v>33</v>
      </c>
      <c r="D447" s="21">
        <v>322495.20158661145</v>
      </c>
      <c r="E447" s="22">
        <v>310390.75427567138</v>
      </c>
      <c r="F447" s="22">
        <v>299413.31671971997</v>
      </c>
      <c r="G447" s="22">
        <v>289909.09700077365</v>
      </c>
      <c r="H447" s="22">
        <v>280688.66675343667</v>
      </c>
      <c r="I447" s="22">
        <v>265859.82968313887</v>
      </c>
      <c r="J447" s="22">
        <v>251449.76034062455</v>
      </c>
      <c r="K447" s="22">
        <v>243596.77116047527</v>
      </c>
      <c r="L447" s="22">
        <v>241840.48392780818</v>
      </c>
      <c r="M447" s="22">
        <v>242050.39067334938</v>
      </c>
      <c r="N447" s="22">
        <v>246596.87102934363</v>
      </c>
      <c r="O447" s="22">
        <v>255205.5269605605</v>
      </c>
      <c r="P447" s="22">
        <v>260869.80278745171</v>
      </c>
      <c r="Q447" s="22">
        <v>275611.60527646088</v>
      </c>
      <c r="R447" s="22">
        <v>287386.36755718215</v>
      </c>
      <c r="S447" s="22">
        <v>291027.33099510882</v>
      </c>
      <c r="T447" s="22">
        <v>292537.75333924836</v>
      </c>
      <c r="U447" s="22">
        <v>276401.72632315126</v>
      </c>
      <c r="V447" s="22">
        <v>284671.72257915681</v>
      </c>
      <c r="W447" s="22">
        <v>300584.10798914538</v>
      </c>
      <c r="X447" s="22">
        <v>313734.56362608552</v>
      </c>
      <c r="Y447" s="22">
        <v>326039.58124987519</v>
      </c>
      <c r="Z447" s="22">
        <v>329880.66231524164</v>
      </c>
      <c r="AA447" s="23">
        <v>322003.92244396359</v>
      </c>
      <c r="AB447" s="96">
        <f t="shared" ref="AB447" si="153">+SUM(D447:AA447)*AC447+SUM(D448:AA448)*AC448+SUM(D449:AA449)*AC449</f>
        <v>203380135.84000236</v>
      </c>
      <c r="AC447" s="16">
        <v>20</v>
      </c>
      <c r="AD447" s="16">
        <f t="shared" si="134"/>
        <v>136204916.33187169</v>
      </c>
    </row>
    <row r="448" spans="1:30" ht="13.5" thickBot="1" x14ac:dyDescent="0.35">
      <c r="A448" s="18">
        <v>2038</v>
      </c>
      <c r="B448" s="19" t="s">
        <v>38</v>
      </c>
      <c r="C448" s="20" t="s">
        <v>34</v>
      </c>
      <c r="D448" s="21">
        <v>315798.22107689083</v>
      </c>
      <c r="E448" s="22">
        <v>305663.43940658291</v>
      </c>
      <c r="F448" s="22">
        <v>295657.45719160279</v>
      </c>
      <c r="G448" s="22">
        <v>287053.54141549306</v>
      </c>
      <c r="H448" s="22">
        <v>278622.80394638178</v>
      </c>
      <c r="I448" s="22">
        <v>266599.91124887206</v>
      </c>
      <c r="J448" s="22">
        <v>254415.56548948018</v>
      </c>
      <c r="K448" s="22">
        <v>241092.63802430258</v>
      </c>
      <c r="L448" s="22">
        <v>231132.70107930462</v>
      </c>
      <c r="M448" s="22">
        <v>226653.91137150358</v>
      </c>
      <c r="N448" s="22">
        <v>228102.07379969271</v>
      </c>
      <c r="O448" s="22">
        <v>235079.507489176</v>
      </c>
      <c r="P448" s="22">
        <v>242667.82820416952</v>
      </c>
      <c r="Q448" s="22">
        <v>251987.18476293603</v>
      </c>
      <c r="R448" s="22">
        <v>260065.02266646313</v>
      </c>
      <c r="S448" s="22">
        <v>265458.3476566578</v>
      </c>
      <c r="T448" s="22">
        <v>269834.49497605202</v>
      </c>
      <c r="U448" s="22">
        <v>260043.04476613208</v>
      </c>
      <c r="V448" s="22">
        <v>271576.24754791323</v>
      </c>
      <c r="W448" s="22">
        <v>288563.36493814597</v>
      </c>
      <c r="X448" s="22">
        <v>301923.736889055</v>
      </c>
      <c r="Y448" s="22">
        <v>315433.36105723586</v>
      </c>
      <c r="Z448" s="22">
        <v>319560.77564839023</v>
      </c>
      <c r="AA448" s="23">
        <v>312543.7792068391</v>
      </c>
      <c r="AB448" s="97"/>
      <c r="AC448" s="16">
        <v>4</v>
      </c>
      <c r="AD448" s="16">
        <f t="shared" si="134"/>
        <v>26102115.839437094</v>
      </c>
    </row>
    <row r="449" spans="1:30" ht="13.5" thickBot="1" x14ac:dyDescent="0.35">
      <c r="A449" s="18">
        <v>2038</v>
      </c>
      <c r="B449" s="25" t="s">
        <v>38</v>
      </c>
      <c r="C449" s="26" t="s">
        <v>36</v>
      </c>
      <c r="D449" s="21">
        <v>322612.70247464516</v>
      </c>
      <c r="E449" s="22">
        <v>310150.7872594053</v>
      </c>
      <c r="F449" s="22">
        <v>299054.89151581883</v>
      </c>
      <c r="G449" s="22">
        <v>289422.56289984548</v>
      </c>
      <c r="H449" s="22">
        <v>280042.70655936183</v>
      </c>
      <c r="I449" s="22">
        <v>264551.64106742031</v>
      </c>
      <c r="J449" s="22">
        <v>249569.29920637628</v>
      </c>
      <c r="K449" s="22">
        <v>242956.47211418182</v>
      </c>
      <c r="L449" s="22">
        <v>242783.04418875338</v>
      </c>
      <c r="M449" s="22">
        <v>243871.68624451</v>
      </c>
      <c r="N449" s="22">
        <v>249078.72178486755</v>
      </c>
      <c r="O449" s="22">
        <v>258085.6839707568</v>
      </c>
      <c r="P449" s="22">
        <v>263550.06149536156</v>
      </c>
      <c r="Q449" s="22">
        <v>279939.21289822087</v>
      </c>
      <c r="R449" s="22">
        <v>292369.61178385728</v>
      </c>
      <c r="S449" s="22">
        <v>295640.6254964713</v>
      </c>
      <c r="T449" s="22">
        <v>296489.15983471781</v>
      </c>
      <c r="U449" s="22">
        <v>278701.18705621985</v>
      </c>
      <c r="V449" s="22">
        <v>286165.89297104214</v>
      </c>
      <c r="W449" s="22">
        <v>302206.811165753</v>
      </c>
      <c r="X449" s="22">
        <v>315765.72825107229</v>
      </c>
      <c r="Y449" s="22">
        <v>328007.64835650666</v>
      </c>
      <c r="Z449" s="22">
        <v>331520.48797896813</v>
      </c>
      <c r="AA449" s="23">
        <v>322980.65154145967</v>
      </c>
      <c r="AB449" s="97"/>
      <c r="AC449" s="16">
        <v>6</v>
      </c>
      <c r="AD449" s="16">
        <f t="shared" si="134"/>
        <v>41073103.668693557</v>
      </c>
    </row>
    <row r="450" spans="1:30" ht="13.5" thickBot="1" x14ac:dyDescent="0.35">
      <c r="A450" s="18">
        <v>2038</v>
      </c>
      <c r="B450" s="11" t="s">
        <v>39</v>
      </c>
      <c r="C450" s="12" t="s">
        <v>33</v>
      </c>
      <c r="D450" s="21">
        <v>329852.91212027363</v>
      </c>
      <c r="E450" s="22">
        <v>317132.22266152175</v>
      </c>
      <c r="F450" s="22">
        <v>305784.63379962131</v>
      </c>
      <c r="G450" s="22">
        <v>295939.09852500382</v>
      </c>
      <c r="H450" s="22">
        <v>286369.09432818391</v>
      </c>
      <c r="I450" s="22">
        <v>270610.20105989691</v>
      </c>
      <c r="J450" s="22">
        <v>255375.23213810549</v>
      </c>
      <c r="K450" s="22">
        <v>248845.63808284496</v>
      </c>
      <c r="L450" s="22">
        <v>248927.37257287052</v>
      </c>
      <c r="M450" s="22">
        <v>250221.98135759323</v>
      </c>
      <c r="N450" s="22">
        <v>255609.9077120701</v>
      </c>
      <c r="O450" s="22">
        <v>264806.0776284677</v>
      </c>
      <c r="P450" s="22">
        <v>270325.80055477767</v>
      </c>
      <c r="Q450" s="22">
        <v>286762.78952243447</v>
      </c>
      <c r="R450" s="22">
        <v>299347.69611033733</v>
      </c>
      <c r="S450" s="22">
        <v>302521.13782520749</v>
      </c>
      <c r="T450" s="22">
        <v>303141.82890618982</v>
      </c>
      <c r="U450" s="22">
        <v>285141.77422245615</v>
      </c>
      <c r="V450" s="22">
        <v>292842.10928239865</v>
      </c>
      <c r="W450" s="22">
        <v>309108.45993974246</v>
      </c>
      <c r="X450" s="22">
        <v>322796.60179866274</v>
      </c>
      <c r="Y450" s="22">
        <v>335242.98779282701</v>
      </c>
      <c r="Z450" s="22">
        <v>338926.29362159292</v>
      </c>
      <c r="AA450" s="23">
        <v>330385.20836224913</v>
      </c>
      <c r="AB450" s="96">
        <f t="shared" ref="AB450" si="154">+SUM(D450:AA450)*AC450+SUM(D451:AA451)*AC451+SUM(D452:AA452)*AC452</f>
        <v>215712889.7239894</v>
      </c>
      <c r="AC450" s="16">
        <v>21</v>
      </c>
      <c r="AD450" s="16">
        <f t="shared" si="134"/>
        <v>147126358.25843191</v>
      </c>
    </row>
    <row r="451" spans="1:30" ht="13.5" thickBot="1" x14ac:dyDescent="0.35">
      <c r="A451" s="18">
        <v>2038</v>
      </c>
      <c r="B451" s="19" t="s">
        <v>39</v>
      </c>
      <c r="C451" s="20" t="s">
        <v>34</v>
      </c>
      <c r="D451" s="21">
        <v>324326.73011583963</v>
      </c>
      <c r="E451" s="22">
        <v>313922.11753311777</v>
      </c>
      <c r="F451" s="22">
        <v>303649.73359400657</v>
      </c>
      <c r="G451" s="22">
        <v>294816.74505444494</v>
      </c>
      <c r="H451" s="22">
        <v>286161.54556359386</v>
      </c>
      <c r="I451" s="22">
        <v>273818.55242268473</v>
      </c>
      <c r="J451" s="22">
        <v>261309.80765398295</v>
      </c>
      <c r="K451" s="22">
        <v>247996.94796388442</v>
      </c>
      <c r="L451" s="22">
        <v>238129.83665428602</v>
      </c>
      <c r="M451" s="22">
        <v>233767.29333239706</v>
      </c>
      <c r="N451" s="22">
        <v>235384.17275073612</v>
      </c>
      <c r="O451" s="22">
        <v>242592.37821198275</v>
      </c>
      <c r="P451" s="22">
        <v>250370.86421606527</v>
      </c>
      <c r="Q451" s="22">
        <v>259870.80919552859</v>
      </c>
      <c r="R451" s="22">
        <v>268038.02844067756</v>
      </c>
      <c r="S451" s="22">
        <v>273354.40449811536</v>
      </c>
      <c r="T451" s="22">
        <v>277493.90785196092</v>
      </c>
      <c r="U451" s="22">
        <v>267448.97360431729</v>
      </c>
      <c r="V451" s="22">
        <v>279289.23920510121</v>
      </c>
      <c r="W451" s="22">
        <v>296728.62577426591</v>
      </c>
      <c r="X451" s="22">
        <v>310444.70754418988</v>
      </c>
      <c r="Y451" s="22">
        <v>324314.01525901741</v>
      </c>
      <c r="Z451" s="22">
        <v>328551.31914835965</v>
      </c>
      <c r="AA451" s="23">
        <v>321347.50047286029</v>
      </c>
      <c r="AB451" s="97"/>
      <c r="AC451" s="16">
        <v>4</v>
      </c>
      <c r="AD451" s="16">
        <f t="shared" si="134"/>
        <v>26852513.024245664</v>
      </c>
    </row>
    <row r="452" spans="1:30" ht="13.5" thickBot="1" x14ac:dyDescent="0.35">
      <c r="A452" s="18">
        <v>2038</v>
      </c>
      <c r="B452" s="25" t="s">
        <v>39</v>
      </c>
      <c r="C452" s="26" t="s">
        <v>36</v>
      </c>
      <c r="D452" s="21">
        <v>329464.24066736526</v>
      </c>
      <c r="E452" s="22">
        <v>317380.80633150536</v>
      </c>
      <c r="F452" s="22">
        <v>306380.17964373081</v>
      </c>
      <c r="G452" s="22">
        <v>296834.32119605289</v>
      </c>
      <c r="H452" s="22">
        <v>287438.31514910393</v>
      </c>
      <c r="I452" s="22">
        <v>272364.80011042824</v>
      </c>
      <c r="J452" s="22">
        <v>257562.58683887552</v>
      </c>
      <c r="K452" s="22">
        <v>249259.6083293338</v>
      </c>
      <c r="L452" s="22">
        <v>246308.98563835453</v>
      </c>
      <c r="M452" s="22">
        <v>245853.42230426823</v>
      </c>
      <c r="N452" s="22">
        <v>250263.52643537591</v>
      </c>
      <c r="O452" s="22">
        <v>259098.4599424506</v>
      </c>
      <c r="P452" s="22">
        <v>265703.06419997115</v>
      </c>
      <c r="Q452" s="22">
        <v>281225.1039827285</v>
      </c>
      <c r="R452" s="22">
        <v>292408.26552844298</v>
      </c>
      <c r="S452" s="22">
        <v>296168.75512712379</v>
      </c>
      <c r="T452" s="22">
        <v>297602.1920688345</v>
      </c>
      <c r="U452" s="22">
        <v>281180.71448682522</v>
      </c>
      <c r="V452" s="22">
        <v>289940.66750721337</v>
      </c>
      <c r="W452" s="22">
        <v>307372.34290494293</v>
      </c>
      <c r="X452" s="22">
        <v>322047.72219744336</v>
      </c>
      <c r="Y452" s="22">
        <v>335388.45957097475</v>
      </c>
      <c r="Z452" s="22">
        <v>338778.27933788998</v>
      </c>
      <c r="AA452" s="23">
        <v>329644.92071939685</v>
      </c>
      <c r="AB452" s="97"/>
      <c r="AC452" s="16">
        <v>6</v>
      </c>
      <c r="AD452" s="16">
        <f t="shared" si="134"/>
        <v>41734018.441311799</v>
      </c>
    </row>
    <row r="453" spans="1:30" ht="13.5" thickBot="1" x14ac:dyDescent="0.35">
      <c r="A453" s="18">
        <v>2038</v>
      </c>
      <c r="B453" s="11" t="s">
        <v>40</v>
      </c>
      <c r="C453" s="12" t="s">
        <v>33</v>
      </c>
      <c r="D453" s="21">
        <v>334690.69149449421</v>
      </c>
      <c r="E453" s="22">
        <v>321793.4048745223</v>
      </c>
      <c r="F453" s="22">
        <v>310278.96554940316</v>
      </c>
      <c r="G453" s="22">
        <v>300290.9753482829</v>
      </c>
      <c r="H453" s="22">
        <v>290590.13893099187</v>
      </c>
      <c r="I453" s="22">
        <v>274636.03749946732</v>
      </c>
      <c r="J453" s="22">
        <v>259215.16334407512</v>
      </c>
      <c r="K453" s="22">
        <v>252468.99104003343</v>
      </c>
      <c r="L453" s="22">
        <v>252517.06176444626</v>
      </c>
      <c r="M453" s="22">
        <v>253812.50746615589</v>
      </c>
      <c r="N453" s="22">
        <v>259253.2519728996</v>
      </c>
      <c r="O453" s="22">
        <v>268559.43086223479</v>
      </c>
      <c r="P453" s="22">
        <v>274135.25139633752</v>
      </c>
      <c r="Q453" s="22">
        <v>290700.34517131129</v>
      </c>
      <c r="R453" s="22">
        <v>303466.59303817537</v>
      </c>
      <c r="S453" s="22">
        <v>306702.86352998362</v>
      </c>
      <c r="T453" s="22">
        <v>307370.78711665131</v>
      </c>
      <c r="U453" s="22">
        <v>289473.11600425019</v>
      </c>
      <c r="V453" s="22">
        <v>297315.63854488893</v>
      </c>
      <c r="W453" s="22">
        <v>313760.68984783645</v>
      </c>
      <c r="X453" s="22">
        <v>327572.18990057497</v>
      </c>
      <c r="Y453" s="22">
        <v>340169.59524159849</v>
      </c>
      <c r="Z453" s="22">
        <v>343946.71736395598</v>
      </c>
      <c r="AA453" s="23">
        <v>335364.12509191607</v>
      </c>
      <c r="AB453" s="96">
        <f t="shared" ref="AB453" si="155">+SUM(D453:AA453)*AC453+SUM(D454:AA454)*AC454+SUM(D455:AA455)*AC455</f>
        <v>211838328.90133828</v>
      </c>
      <c r="AC453" s="16">
        <v>20</v>
      </c>
      <c r="AD453" s="16">
        <f t="shared" si="134"/>
        <v>142161690.64788976</v>
      </c>
    </row>
    <row r="454" spans="1:30" ht="13.5" thickBot="1" x14ac:dyDescent="0.35">
      <c r="A454" s="18">
        <v>2038</v>
      </c>
      <c r="B454" s="19" t="s">
        <v>40</v>
      </c>
      <c r="C454" s="20" t="s">
        <v>34</v>
      </c>
      <c r="D454" s="21">
        <v>328321.86157225596</v>
      </c>
      <c r="E454" s="22">
        <v>317790.84823634574</v>
      </c>
      <c r="F454" s="22">
        <v>307393.66992775461</v>
      </c>
      <c r="G454" s="22">
        <v>298453.3735576102</v>
      </c>
      <c r="H454" s="22">
        <v>289693.02611185523</v>
      </c>
      <c r="I454" s="22">
        <v>277200.08374244696</v>
      </c>
      <c r="J454" s="22">
        <v>264539.37610654236</v>
      </c>
      <c r="K454" s="22">
        <v>250965.08173343123</v>
      </c>
      <c r="L454" s="22">
        <v>240945.15758080862</v>
      </c>
      <c r="M454" s="22">
        <v>236507.94679598082</v>
      </c>
      <c r="N454" s="22">
        <v>238132.4920217747</v>
      </c>
      <c r="O454" s="22">
        <v>245424.1255930397</v>
      </c>
      <c r="P454" s="22">
        <v>253298.20082210537</v>
      </c>
      <c r="Q454" s="22">
        <v>262919.77025046234</v>
      </c>
      <c r="R454" s="22">
        <v>271197.77426626958</v>
      </c>
      <c r="S454" s="22">
        <v>276599.02993517398</v>
      </c>
      <c r="T454" s="22">
        <v>280821.31821497093</v>
      </c>
      <c r="U454" s="22">
        <v>270918.2387631266</v>
      </c>
      <c r="V454" s="22">
        <v>282902.34619156056</v>
      </c>
      <c r="W454" s="22">
        <v>300553.59568017209</v>
      </c>
      <c r="X454" s="22">
        <v>314436.30768766883</v>
      </c>
      <c r="Y454" s="22">
        <v>328474.10711013241</v>
      </c>
      <c r="Z454" s="22">
        <v>332762.88801496616</v>
      </c>
      <c r="AA454" s="23">
        <v>325471.55352864956</v>
      </c>
      <c r="AB454" s="97"/>
      <c r="AC454" s="16">
        <v>4</v>
      </c>
      <c r="AD454" s="16">
        <f t="shared" ref="AD454:AD517" si="156">+SUM(D454:AA454)*AC454</f>
        <v>27182888.693780422</v>
      </c>
    </row>
    <row r="455" spans="1:30" ht="13.5" thickBot="1" x14ac:dyDescent="0.35">
      <c r="A455" s="18">
        <v>2038</v>
      </c>
      <c r="B455" s="25" t="s">
        <v>40</v>
      </c>
      <c r="C455" s="26" t="s">
        <v>36</v>
      </c>
      <c r="D455" s="21">
        <v>335417.18447587214</v>
      </c>
      <c r="E455" s="22">
        <v>323127.17389433441</v>
      </c>
      <c r="F455" s="22">
        <v>311933.77018838911</v>
      </c>
      <c r="G455" s="22">
        <v>302221.10498961114</v>
      </c>
      <c r="H455" s="22">
        <v>292661.14118363097</v>
      </c>
      <c r="I455" s="22">
        <v>277333.67920530419</v>
      </c>
      <c r="J455" s="22">
        <v>262279.80516814045</v>
      </c>
      <c r="K455" s="22">
        <v>253747.90718505395</v>
      </c>
      <c r="L455" s="22">
        <v>250726.17666568208</v>
      </c>
      <c r="M455" s="22">
        <v>250254.23217553788</v>
      </c>
      <c r="N455" s="22">
        <v>254735.06333480179</v>
      </c>
      <c r="O455" s="22">
        <v>263721.51231074083</v>
      </c>
      <c r="P455" s="22">
        <v>270450.59984817571</v>
      </c>
      <c r="Q455" s="22">
        <v>286210.99523177487</v>
      </c>
      <c r="R455" s="22">
        <v>297568.83753227105</v>
      </c>
      <c r="S455" s="22">
        <v>301392.00541734271</v>
      </c>
      <c r="T455" s="22">
        <v>302844.8790942948</v>
      </c>
      <c r="U455" s="22">
        <v>286461.56648387265</v>
      </c>
      <c r="V455" s="22">
        <v>295396.58671536006</v>
      </c>
      <c r="W455" s="22">
        <v>313140.57956843538</v>
      </c>
      <c r="X455" s="22">
        <v>328073.20485749125</v>
      </c>
      <c r="Y455" s="22">
        <v>341656.04188528447</v>
      </c>
      <c r="Z455" s="22">
        <v>345111.57817366091</v>
      </c>
      <c r="AA455" s="23">
        <v>335825.96769295208</v>
      </c>
      <c r="AB455" s="97"/>
      <c r="AC455" s="16">
        <v>6</v>
      </c>
      <c r="AD455" s="16">
        <f t="shared" si="156"/>
        <v>42493749.559668086</v>
      </c>
    </row>
    <row r="456" spans="1:30" ht="13.5" thickBot="1" x14ac:dyDescent="0.35">
      <c r="A456" s="18">
        <v>2038</v>
      </c>
      <c r="B456" s="11" t="s">
        <v>41</v>
      </c>
      <c r="C456" s="12" t="s">
        <v>33</v>
      </c>
      <c r="D456" s="21">
        <v>326658.34766531555</v>
      </c>
      <c r="E456" s="22">
        <v>314102.06205630512</v>
      </c>
      <c r="F456" s="22">
        <v>302847.46655846119</v>
      </c>
      <c r="G456" s="22">
        <v>293095.92215747049</v>
      </c>
      <c r="H456" s="22">
        <v>283661.26740536245</v>
      </c>
      <c r="I456" s="22">
        <v>268241.80860136182</v>
      </c>
      <c r="J456" s="22">
        <v>253351.19397160728</v>
      </c>
      <c r="K456" s="22">
        <v>246494.02764279148</v>
      </c>
      <c r="L456" s="22">
        <v>246295.04078310999</v>
      </c>
      <c r="M456" s="22">
        <v>247422.1059436482</v>
      </c>
      <c r="N456" s="22">
        <v>252584.97831751761</v>
      </c>
      <c r="O456" s="22">
        <v>261550.61476515647</v>
      </c>
      <c r="P456" s="22">
        <v>266883.35348303104</v>
      </c>
      <c r="Q456" s="22">
        <v>282546.29286200023</v>
      </c>
      <c r="R456" s="22">
        <v>295034.54463533813</v>
      </c>
      <c r="S456" s="22">
        <v>298323.90865838487</v>
      </c>
      <c r="T456" s="22">
        <v>299237.16048136179</v>
      </c>
      <c r="U456" s="22">
        <v>281920.74306806677</v>
      </c>
      <c r="V456" s="22">
        <v>289724.83126807859</v>
      </c>
      <c r="W456" s="22">
        <v>305509.51097217359</v>
      </c>
      <c r="X456" s="22">
        <v>318636.68129622249</v>
      </c>
      <c r="Y456" s="22">
        <v>330796.7997318093</v>
      </c>
      <c r="Z456" s="22">
        <v>334678.3808930291</v>
      </c>
      <c r="AA456" s="23">
        <v>326691.6357258322</v>
      </c>
      <c r="AB456" s="96">
        <f t="shared" ref="AB456" si="157">+SUM(D456:AA456)*AC456+SUM(D457:AA457)*AC457+SUM(D458:AA458)*AC458</f>
        <v>213308171.9302175</v>
      </c>
      <c r="AC456" s="16">
        <v>20</v>
      </c>
      <c r="AD456" s="16">
        <f t="shared" si="156"/>
        <v>138525773.57886875</v>
      </c>
    </row>
    <row r="457" spans="1:30" ht="13.5" thickBot="1" x14ac:dyDescent="0.35">
      <c r="A457" s="18">
        <v>2038</v>
      </c>
      <c r="B457" s="19" t="s">
        <v>41</v>
      </c>
      <c r="C457" s="20" t="s">
        <v>34</v>
      </c>
      <c r="D457" s="21">
        <v>320960.39061278041</v>
      </c>
      <c r="E457" s="22">
        <v>310662.28462522733</v>
      </c>
      <c r="F457" s="22">
        <v>300495.05372558994</v>
      </c>
      <c r="G457" s="22">
        <v>291752.48388514231</v>
      </c>
      <c r="H457" s="22">
        <v>283185.88315959339</v>
      </c>
      <c r="I457" s="22">
        <v>270969.23880516511</v>
      </c>
      <c r="J457" s="22">
        <v>258588.53953595291</v>
      </c>
      <c r="K457" s="22">
        <v>245258.88663051667</v>
      </c>
      <c r="L457" s="22">
        <v>235345.68082393642</v>
      </c>
      <c r="M457" s="22">
        <v>230931.03393422425</v>
      </c>
      <c r="N457" s="22">
        <v>232477.88053380133</v>
      </c>
      <c r="O457" s="22">
        <v>239593.80815571625</v>
      </c>
      <c r="P457" s="22">
        <v>247297.54629722875</v>
      </c>
      <c r="Q457" s="22">
        <v>256727.99364043382</v>
      </c>
      <c r="R457" s="22">
        <v>264863.25194343267</v>
      </c>
      <c r="S457" s="22">
        <v>270215.82544288214</v>
      </c>
      <c r="T457" s="22">
        <v>274458.06272085308</v>
      </c>
      <c r="U457" s="22">
        <v>264525.73453744501</v>
      </c>
      <c r="V457" s="22">
        <v>276244.79751150851</v>
      </c>
      <c r="W457" s="22">
        <v>293505.66617137601</v>
      </c>
      <c r="X457" s="22">
        <v>307081.34356230375</v>
      </c>
      <c r="Y457" s="22">
        <v>320808.67840401281</v>
      </c>
      <c r="Z457" s="22">
        <v>325002.60722231225</v>
      </c>
      <c r="AA457" s="23">
        <v>317872.53028330149</v>
      </c>
      <c r="AB457" s="97"/>
      <c r="AC457" s="16">
        <v>5</v>
      </c>
      <c r="AD457" s="16">
        <f t="shared" si="156"/>
        <v>33194126.010823682</v>
      </c>
    </row>
    <row r="458" spans="1:30" ht="13.5" thickBot="1" x14ac:dyDescent="0.35">
      <c r="A458" s="18">
        <v>2038</v>
      </c>
      <c r="B458" s="25" t="s">
        <v>41</v>
      </c>
      <c r="C458" s="26" t="s">
        <v>36</v>
      </c>
      <c r="D458" s="21">
        <v>325482.46427857439</v>
      </c>
      <c r="E458" s="22">
        <v>312792.49442285282</v>
      </c>
      <c r="F458" s="22">
        <v>301641.95798328548</v>
      </c>
      <c r="G458" s="22">
        <v>291925.32499931502</v>
      </c>
      <c r="H458" s="22">
        <v>282341.55376650294</v>
      </c>
      <c r="I458" s="22">
        <v>266191.52584125433</v>
      </c>
      <c r="J458" s="22">
        <v>250527.19804251028</v>
      </c>
      <c r="K458" s="22">
        <v>244672.99548697236</v>
      </c>
      <c r="L458" s="22">
        <v>245020.02570458487</v>
      </c>
      <c r="M458" s="22">
        <v>246381.35162767881</v>
      </c>
      <c r="N458" s="22">
        <v>252022.6820249325</v>
      </c>
      <c r="O458" s="22">
        <v>261471.93723517982</v>
      </c>
      <c r="P458" s="22">
        <v>267364.43058853125</v>
      </c>
      <c r="Q458" s="22">
        <v>285653.85050317092</v>
      </c>
      <c r="R458" s="22">
        <v>298216.91637974884</v>
      </c>
      <c r="S458" s="22">
        <v>301267.65948230779</v>
      </c>
      <c r="T458" s="22">
        <v>301546.85834319418</v>
      </c>
      <c r="U458" s="22">
        <v>282201.60794761259</v>
      </c>
      <c r="V458" s="22">
        <v>289240.74077887367</v>
      </c>
      <c r="W458" s="22">
        <v>306325.91870763485</v>
      </c>
      <c r="X458" s="22">
        <v>321195.14422640484</v>
      </c>
      <c r="Y458" s="22">
        <v>334007.92717552948</v>
      </c>
      <c r="Z458" s="22">
        <v>336905.04288605141</v>
      </c>
      <c r="AA458" s="23">
        <v>326981.11498814233</v>
      </c>
      <c r="AB458" s="97"/>
      <c r="AC458" s="16">
        <v>6</v>
      </c>
      <c r="AD458" s="16">
        <f t="shared" si="156"/>
        <v>41588272.340525076</v>
      </c>
    </row>
    <row r="459" spans="1:30" ht="13.5" thickBot="1" x14ac:dyDescent="0.35">
      <c r="A459" s="18">
        <v>2038</v>
      </c>
      <c r="B459" s="11" t="s">
        <v>42</v>
      </c>
      <c r="C459" s="12" t="s">
        <v>33</v>
      </c>
      <c r="D459" s="21">
        <v>335201.97884049761</v>
      </c>
      <c r="E459" s="22">
        <v>322386.02301229211</v>
      </c>
      <c r="F459" s="22">
        <v>310897.26497187029</v>
      </c>
      <c r="G459" s="22">
        <v>300935.17721282231</v>
      </c>
      <c r="H459" s="22">
        <v>291255.45063445583</v>
      </c>
      <c r="I459" s="22">
        <v>275426.21840792458</v>
      </c>
      <c r="J459" s="22">
        <v>260098.03159404715</v>
      </c>
      <c r="K459" s="22">
        <v>253136.97253243448</v>
      </c>
      <c r="L459" s="22">
        <v>252806.70898792995</v>
      </c>
      <c r="M459" s="22">
        <v>253898.45145916514</v>
      </c>
      <c r="N459" s="22">
        <v>259207.86703829688</v>
      </c>
      <c r="O459" s="22">
        <v>268454.08124298498</v>
      </c>
      <c r="P459" s="22">
        <v>274150.60576522676</v>
      </c>
      <c r="Q459" s="22">
        <v>290411.5784905536</v>
      </c>
      <c r="R459" s="22">
        <v>302959.985740926</v>
      </c>
      <c r="S459" s="22">
        <v>306245.16064981848</v>
      </c>
      <c r="T459" s="22">
        <v>306984.17235441902</v>
      </c>
      <c r="U459" s="22">
        <v>289331.01654565649</v>
      </c>
      <c r="V459" s="22">
        <v>297388.04540151393</v>
      </c>
      <c r="W459" s="22">
        <v>313932.81721892301</v>
      </c>
      <c r="X459" s="22">
        <v>327784.56521235459</v>
      </c>
      <c r="Y459" s="22">
        <v>340482.23891130573</v>
      </c>
      <c r="Z459" s="22">
        <v>344290.78839957825</v>
      </c>
      <c r="AA459" s="23">
        <v>335745.01112101425</v>
      </c>
      <c r="AB459" s="96">
        <f t="shared" ref="AB459" si="158">+SUM(D459:AA459)*AC459+SUM(D460:AA460)*AC460+SUM(D461:AA461)*AC461</f>
        <v>219355871.59058571</v>
      </c>
      <c r="AC459" s="16">
        <v>21</v>
      </c>
      <c r="AD459" s="16">
        <f t="shared" si="156"/>
        <v>149381614.44666621</v>
      </c>
    </row>
    <row r="460" spans="1:30" ht="13.5" thickBot="1" x14ac:dyDescent="0.35">
      <c r="A460" s="18">
        <v>2038</v>
      </c>
      <c r="B460" s="19" t="s">
        <v>42</v>
      </c>
      <c r="C460" s="20" t="s">
        <v>34</v>
      </c>
      <c r="D460" s="21">
        <v>328286.31332403602</v>
      </c>
      <c r="E460" s="22">
        <v>317756.42468837625</v>
      </c>
      <c r="F460" s="22">
        <v>307360.35678660666</v>
      </c>
      <c r="G460" s="22">
        <v>298421.01522994955</v>
      </c>
      <c r="H460" s="22">
        <v>289661.60337934125</v>
      </c>
      <c r="I460" s="22">
        <v>277169.99524197361</v>
      </c>
      <c r="J460" s="22">
        <v>264510.63975524891</v>
      </c>
      <c r="K460" s="22">
        <v>251040.30130658252</v>
      </c>
      <c r="L460" s="22">
        <v>241096.69267467211</v>
      </c>
      <c r="M460" s="22">
        <v>236709.45166664163</v>
      </c>
      <c r="N460" s="22">
        <v>238361.1808216848</v>
      </c>
      <c r="O460" s="22">
        <v>245661.49444038619</v>
      </c>
      <c r="P460" s="22">
        <v>253532.23428428141</v>
      </c>
      <c r="Q460" s="22">
        <v>263138.58205244178</v>
      </c>
      <c r="R460" s="22">
        <v>271389.28528214066</v>
      </c>
      <c r="S460" s="22">
        <v>276743.61014846078</v>
      </c>
      <c r="T460" s="22">
        <v>280891.22059903399</v>
      </c>
      <c r="U460" s="22">
        <v>270887.36961642862</v>
      </c>
      <c r="V460" s="22">
        <v>282870.19715581532</v>
      </c>
      <c r="W460" s="22">
        <v>300519.56151105103</v>
      </c>
      <c r="X460" s="22">
        <v>314400.79086069012</v>
      </c>
      <c r="Y460" s="22">
        <v>328437.09106213658</v>
      </c>
      <c r="Z460" s="22">
        <v>332725.41393004602</v>
      </c>
      <c r="AA460" s="23">
        <v>325434.85814996209</v>
      </c>
      <c r="AB460" s="97"/>
      <c r="AC460" s="16">
        <v>3</v>
      </c>
      <c r="AD460" s="16">
        <f t="shared" si="156"/>
        <v>20391017.051903963</v>
      </c>
    </row>
    <row r="461" spans="1:30" ht="13.5" thickBot="1" x14ac:dyDescent="0.35">
      <c r="A461" s="18">
        <v>2038</v>
      </c>
      <c r="B461" s="25" t="s">
        <v>42</v>
      </c>
      <c r="C461" s="26" t="s">
        <v>36</v>
      </c>
      <c r="D461" s="21">
        <v>334893.87248136487</v>
      </c>
      <c r="E461" s="22">
        <v>322501.08945660543</v>
      </c>
      <c r="F461" s="22">
        <v>311279.34982646536</v>
      </c>
      <c r="G461" s="22">
        <v>301535.49833482603</v>
      </c>
      <c r="H461" s="22">
        <v>291941.64815216378</v>
      </c>
      <c r="I461" s="22">
        <v>276434.1138183524</v>
      </c>
      <c r="J461" s="22">
        <v>261235.03058533627</v>
      </c>
      <c r="K461" s="22">
        <v>253214.40623434115</v>
      </c>
      <c r="L461" s="22">
        <v>250813.99998346512</v>
      </c>
      <c r="M461" s="22">
        <v>250694.18085284292</v>
      </c>
      <c r="N461" s="22">
        <v>255408.15244224743</v>
      </c>
      <c r="O461" s="22">
        <v>264508.47160503565</v>
      </c>
      <c r="P461" s="22">
        <v>271121.60461710737</v>
      </c>
      <c r="Q461" s="22">
        <v>287319.85944107932</v>
      </c>
      <c r="R461" s="22">
        <v>298874.75237813673</v>
      </c>
      <c r="S461" s="22">
        <v>302530.18599749374</v>
      </c>
      <c r="T461" s="22">
        <v>303709.91273217165</v>
      </c>
      <c r="U461" s="22">
        <v>286736.71153885819</v>
      </c>
      <c r="V461" s="22">
        <v>295395.91602529795</v>
      </c>
      <c r="W461" s="22">
        <v>313090.10963242577</v>
      </c>
      <c r="X461" s="22">
        <v>328059.54074082716</v>
      </c>
      <c r="Y461" s="22">
        <v>341561.65783658664</v>
      </c>
      <c r="Z461" s="22">
        <v>344938.54563992616</v>
      </c>
      <c r="AA461" s="23">
        <v>335521.4027921189</v>
      </c>
      <c r="AB461" s="97"/>
      <c r="AC461" s="16">
        <v>7</v>
      </c>
      <c r="AD461" s="16">
        <f t="shared" si="156"/>
        <v>49583240.09201552</v>
      </c>
    </row>
    <row r="462" spans="1:30" ht="13.5" thickBot="1" x14ac:dyDescent="0.35">
      <c r="A462" s="18">
        <v>2038</v>
      </c>
      <c r="B462" s="11" t="s">
        <v>43</v>
      </c>
      <c r="C462" s="12" t="s">
        <v>33</v>
      </c>
      <c r="D462" s="21">
        <v>336325.4726627054</v>
      </c>
      <c r="E462" s="22">
        <v>323352.76614849892</v>
      </c>
      <c r="F462" s="22">
        <v>311787.60598553007</v>
      </c>
      <c r="G462" s="22">
        <v>301751.50294366333</v>
      </c>
      <c r="H462" s="22">
        <v>291990.32741767779</v>
      </c>
      <c r="I462" s="22">
        <v>275900.90290671913</v>
      </c>
      <c r="J462" s="22">
        <v>260344.2047049049</v>
      </c>
      <c r="K462" s="22">
        <v>253579.67195278642</v>
      </c>
      <c r="L462" s="22">
        <v>253642.26624613052</v>
      </c>
      <c r="M462" s="22">
        <v>254944.39401632984</v>
      </c>
      <c r="N462" s="22">
        <v>260438.76878304919</v>
      </c>
      <c r="O462" s="22">
        <v>269824.84758482635</v>
      </c>
      <c r="P462" s="22">
        <v>275471.47186262644</v>
      </c>
      <c r="Q462" s="22">
        <v>292320.93417946709</v>
      </c>
      <c r="R462" s="22">
        <v>305166.80003131885</v>
      </c>
      <c r="S462" s="22">
        <v>308417.97257905459</v>
      </c>
      <c r="T462" s="22">
        <v>309068.10513140407</v>
      </c>
      <c r="U462" s="22">
        <v>291055.6538813847</v>
      </c>
      <c r="V462" s="22">
        <v>298881.11138428363</v>
      </c>
      <c r="W462" s="22">
        <v>315506.35770245362</v>
      </c>
      <c r="X462" s="22">
        <v>329517.51604684</v>
      </c>
      <c r="Y462" s="22">
        <v>342227.4096767052</v>
      </c>
      <c r="Z462" s="22">
        <v>345950.50424322509</v>
      </c>
      <c r="AA462" s="23">
        <v>337180.29123637197</v>
      </c>
      <c r="AB462" s="96">
        <f t="shared" ref="AB462" si="159">+SUM(D462:AA462)*AC462+SUM(D463:AA463)*AC463+SUM(D464:AA464)*AC464</f>
        <v>213274670.73285732</v>
      </c>
      <c r="AC462" s="16">
        <v>22</v>
      </c>
      <c r="AD462" s="16">
        <f t="shared" si="156"/>
        <v>157182230.90477508</v>
      </c>
    </row>
    <row r="463" spans="1:30" ht="13.5" thickBot="1" x14ac:dyDescent="0.35">
      <c r="A463" s="18">
        <v>2038</v>
      </c>
      <c r="B463" s="19" t="s">
        <v>43</v>
      </c>
      <c r="C463" s="20" t="s">
        <v>34</v>
      </c>
      <c r="D463" s="21">
        <v>330279.42918943753</v>
      </c>
      <c r="E463" s="22">
        <v>319686.48096504417</v>
      </c>
      <c r="F463" s="22">
        <v>309228.15487717051</v>
      </c>
      <c r="G463" s="22">
        <v>300235.27892697742</v>
      </c>
      <c r="H463" s="22">
        <v>291423.41021495673</v>
      </c>
      <c r="I463" s="22">
        <v>278856.99447999505</v>
      </c>
      <c r="J463" s="22">
        <v>266121.82681915857</v>
      </c>
      <c r="K463" s="22">
        <v>252416.01175270267</v>
      </c>
      <c r="L463" s="22">
        <v>242318.68815449002</v>
      </c>
      <c r="M463" s="22">
        <v>237843.23161395613</v>
      </c>
      <c r="N463" s="22">
        <v>239470.61571408872</v>
      </c>
      <c r="O463" s="22">
        <v>246802.81093347477</v>
      </c>
      <c r="P463" s="22">
        <v>254723.80740058873</v>
      </c>
      <c r="Q463" s="22">
        <v>264405.44730524597</v>
      </c>
      <c r="R463" s="22">
        <v>272738.62030050275</v>
      </c>
      <c r="S463" s="22">
        <v>278183.02021075675</v>
      </c>
      <c r="T463" s="22">
        <v>282448.36092686845</v>
      </c>
      <c r="U463" s="22">
        <v>272618.13805414876</v>
      </c>
      <c r="V463" s="22">
        <v>284672.72629325831</v>
      </c>
      <c r="W463" s="22">
        <v>302427.78613076935</v>
      </c>
      <c r="X463" s="22">
        <v>316392.14500287472</v>
      </c>
      <c r="Y463" s="22">
        <v>330512.50338847417</v>
      </c>
      <c r="Z463" s="22">
        <v>334826.50742792903</v>
      </c>
      <c r="AA463" s="23">
        <v>327492.29121941724</v>
      </c>
      <c r="AB463" s="97"/>
      <c r="AC463" s="16">
        <v>4</v>
      </c>
      <c r="AD463" s="16">
        <f t="shared" si="156"/>
        <v>27344497.149209138</v>
      </c>
    </row>
    <row r="464" spans="1:30" ht="13.5" thickBot="1" x14ac:dyDescent="0.35">
      <c r="A464" s="18">
        <v>2038</v>
      </c>
      <c r="B464" s="25" t="s">
        <v>43</v>
      </c>
      <c r="C464" s="26" t="s">
        <v>36</v>
      </c>
      <c r="D464" s="21">
        <v>337172.86172099569</v>
      </c>
      <c r="E464" s="22">
        <v>324033.36160276009</v>
      </c>
      <c r="F464" s="22">
        <v>312487.82788346399</v>
      </c>
      <c r="G464" s="22">
        <v>302426.99230282096</v>
      </c>
      <c r="H464" s="22">
        <v>292503.72497607465</v>
      </c>
      <c r="I464" s="22">
        <v>275781.59748121444</v>
      </c>
      <c r="J464" s="22">
        <v>259562.37558362426</v>
      </c>
      <c r="K464" s="22">
        <v>253564.48583757968</v>
      </c>
      <c r="L464" s="22">
        <v>254089.15011474505</v>
      </c>
      <c r="M464" s="22">
        <v>255607.4597498519</v>
      </c>
      <c r="N464" s="22">
        <v>261508.74295146132</v>
      </c>
      <c r="O464" s="22">
        <v>271313.51345859474</v>
      </c>
      <c r="P464" s="22">
        <v>277409.2616784767</v>
      </c>
      <c r="Q464" s="22">
        <v>296315.37766998133</v>
      </c>
      <c r="R464" s="22">
        <v>309265.43148548662</v>
      </c>
      <c r="S464" s="22">
        <v>312322.3882184145</v>
      </c>
      <c r="T464" s="22">
        <v>312448.37462559156</v>
      </c>
      <c r="U464" s="22">
        <v>292840.28231619502</v>
      </c>
      <c r="V464" s="22">
        <v>300128.76981618121</v>
      </c>
      <c r="W464" s="22">
        <v>317819.17412504734</v>
      </c>
      <c r="X464" s="22">
        <v>333215.12799123058</v>
      </c>
      <c r="Y464" s="22">
        <v>346481.79174134531</v>
      </c>
      <c r="Z464" s="22">
        <v>349481.53505466622</v>
      </c>
      <c r="AA464" s="23">
        <v>339206.06133246922</v>
      </c>
      <c r="AB464" s="97"/>
      <c r="AC464" s="16">
        <v>4</v>
      </c>
      <c r="AD464" s="16">
        <f t="shared" si="156"/>
        <v>28747942.678873084</v>
      </c>
    </row>
    <row r="465" spans="1:30" ht="13.5" thickBot="1" x14ac:dyDescent="0.35">
      <c r="A465" s="18">
        <v>2038</v>
      </c>
      <c r="B465" s="11" t="s">
        <v>44</v>
      </c>
      <c r="C465" s="12" t="s">
        <v>33</v>
      </c>
      <c r="D465" s="21">
        <v>326389.52043604368</v>
      </c>
      <c r="E465" s="22">
        <v>313842.72348123265</v>
      </c>
      <c r="F465" s="22">
        <v>302597.51628249825</v>
      </c>
      <c r="G465" s="22">
        <v>292853.88838666392</v>
      </c>
      <c r="H465" s="22">
        <v>283426.17129062035</v>
      </c>
      <c r="I465" s="22">
        <v>268016.13011943462</v>
      </c>
      <c r="J465" s="22">
        <v>253134.34104433394</v>
      </c>
      <c r="K465" s="22">
        <v>246180.19139490015</v>
      </c>
      <c r="L465" s="22">
        <v>245902.370400688</v>
      </c>
      <c r="M465" s="22">
        <v>246976.08276103582</v>
      </c>
      <c r="N465" s="22">
        <v>252107.2212961608</v>
      </c>
      <c r="O465" s="22">
        <v>261057.4133067544</v>
      </c>
      <c r="P465" s="22">
        <v>266390.79667953507</v>
      </c>
      <c r="Q465" s="22">
        <v>282066.91174504679</v>
      </c>
      <c r="R465" s="22">
        <v>294573.98551512707</v>
      </c>
      <c r="S465" s="22">
        <v>297909.77380459668</v>
      </c>
      <c r="T465" s="22">
        <v>298899.84426188114</v>
      </c>
      <c r="U465" s="22">
        <v>281682.50856186065</v>
      </c>
      <c r="V465" s="22">
        <v>289477.353403177</v>
      </c>
      <c r="W465" s="22">
        <v>305254.57274973963</v>
      </c>
      <c r="X465" s="22">
        <v>318378.14472829708</v>
      </c>
      <c r="Y465" s="22">
        <v>330531.13812632469</v>
      </c>
      <c r="Z465" s="22">
        <v>334405.73883604421</v>
      </c>
      <c r="AA465" s="23">
        <v>326417.72165902768</v>
      </c>
      <c r="AB465" s="96">
        <f t="shared" ref="AB465" si="160">+SUM(D465:AA465)*AC465+SUM(D466:AA466)*AC466+SUM(D467:AA467)*AC467</f>
        <v>212600871.24040848</v>
      </c>
      <c r="AC465" s="16">
        <v>20</v>
      </c>
      <c r="AD465" s="16">
        <f t="shared" si="156"/>
        <v>138369441.20542052</v>
      </c>
    </row>
    <row r="466" spans="1:30" ht="13.5" thickBot="1" x14ac:dyDescent="0.35">
      <c r="A466" s="18">
        <v>2038</v>
      </c>
      <c r="B466" s="19" t="s">
        <v>44</v>
      </c>
      <c r="C466" s="20" t="s">
        <v>34</v>
      </c>
      <c r="D466" s="21">
        <v>318066.69503389637</v>
      </c>
      <c r="E466" s="22">
        <v>307860.14180365799</v>
      </c>
      <c r="F466" s="22">
        <v>297783.30014882359</v>
      </c>
      <c r="G466" s="22">
        <v>289118.45395735337</v>
      </c>
      <c r="H466" s="22">
        <v>280628.01247100672</v>
      </c>
      <c r="I466" s="22">
        <v>268519.97716343927</v>
      </c>
      <c r="J466" s="22">
        <v>256249.34543062135</v>
      </c>
      <c r="K466" s="22">
        <v>242862.4352046485</v>
      </c>
      <c r="L466" s="22">
        <v>232878.02389295353</v>
      </c>
      <c r="M466" s="22">
        <v>228397.81398247881</v>
      </c>
      <c r="N466" s="22">
        <v>229872.97782180941</v>
      </c>
      <c r="O466" s="22">
        <v>236905.61354001198</v>
      </c>
      <c r="P466" s="22">
        <v>244546.14563215309</v>
      </c>
      <c r="Q466" s="22">
        <v>253922.81070585112</v>
      </c>
      <c r="R466" s="22">
        <v>262041.68338003763</v>
      </c>
      <c r="S466" s="22">
        <v>267444.82827511767</v>
      </c>
      <c r="T466" s="22">
        <v>271806.5306437012</v>
      </c>
      <c r="U466" s="22">
        <v>262012.92679593776</v>
      </c>
      <c r="V466" s="22">
        <v>273627.80434700055</v>
      </c>
      <c r="W466" s="22">
        <v>290735.21953480598</v>
      </c>
      <c r="X466" s="22">
        <v>304190.20573270717</v>
      </c>
      <c r="Y466" s="22">
        <v>317795.50110843492</v>
      </c>
      <c r="Z466" s="22">
        <v>321952.14484268508</v>
      </c>
      <c r="AA466" s="23">
        <v>314885.4560844152</v>
      </c>
      <c r="AB466" s="97"/>
      <c r="AC466" s="16">
        <v>5</v>
      </c>
      <c r="AD466" s="16">
        <f t="shared" si="156"/>
        <v>32870520.237667743</v>
      </c>
    </row>
    <row r="467" spans="1:30" ht="13.5" thickBot="1" x14ac:dyDescent="0.35">
      <c r="A467" s="18">
        <v>2038</v>
      </c>
      <c r="B467" s="25" t="s">
        <v>44</v>
      </c>
      <c r="C467" s="26" t="s">
        <v>36</v>
      </c>
      <c r="D467" s="21">
        <v>326800.31104029954</v>
      </c>
      <c r="E467" s="22">
        <v>314814.27522819978</v>
      </c>
      <c r="F467" s="22">
        <v>303901.77163481363</v>
      </c>
      <c r="G467" s="22">
        <v>294432.43789481389</v>
      </c>
      <c r="H467" s="22">
        <v>285111.78202967742</v>
      </c>
      <c r="I467" s="22">
        <v>270160.20239998697</v>
      </c>
      <c r="J467" s="22">
        <v>255477.46446567029</v>
      </c>
      <c r="K467" s="22">
        <v>247003.86291266876</v>
      </c>
      <c r="L467" s="22">
        <v>243873.30397831975</v>
      </c>
      <c r="M467" s="22">
        <v>243287.9882202989</v>
      </c>
      <c r="N467" s="22">
        <v>247588.80770042088</v>
      </c>
      <c r="O467" s="22">
        <v>256327.27544161156</v>
      </c>
      <c r="P467" s="22">
        <v>262886.66158617858</v>
      </c>
      <c r="Q467" s="22">
        <v>278318.42469180096</v>
      </c>
      <c r="R467" s="22">
        <v>289480.20476379991</v>
      </c>
      <c r="S467" s="22">
        <v>293334.21579627722</v>
      </c>
      <c r="T467" s="22">
        <v>294954.10357513319</v>
      </c>
      <c r="U467" s="22">
        <v>278787.24312711676</v>
      </c>
      <c r="V467" s="22">
        <v>287479.52683466073</v>
      </c>
      <c r="W467" s="22">
        <v>304772.35655096365</v>
      </c>
      <c r="X467" s="22">
        <v>319330.18364044925</v>
      </c>
      <c r="Y467" s="22">
        <v>332565.01782647963</v>
      </c>
      <c r="Z467" s="22">
        <v>335928.41604127048</v>
      </c>
      <c r="AA467" s="23">
        <v>326869.12883912615</v>
      </c>
      <c r="AB467" s="97"/>
      <c r="AC467" s="16">
        <v>6</v>
      </c>
      <c r="AD467" s="16">
        <f t="shared" si="156"/>
        <v>41360909.797320232</v>
      </c>
    </row>
    <row r="468" spans="1:30" ht="13.5" thickBot="1" x14ac:dyDescent="0.35">
      <c r="A468" s="18">
        <v>2038</v>
      </c>
      <c r="B468" s="11" t="s">
        <v>45</v>
      </c>
      <c r="C468" s="12" t="s">
        <v>33</v>
      </c>
      <c r="D468" s="21">
        <v>321870.97003970447</v>
      </c>
      <c r="E468" s="22">
        <v>309460.76652793621</v>
      </c>
      <c r="F468" s="22">
        <v>298381.59406890959</v>
      </c>
      <c r="G468" s="22">
        <v>288771.06687527371</v>
      </c>
      <c r="H468" s="22">
        <v>279436.50652348454</v>
      </c>
      <c r="I468" s="22">
        <v>264083.8986002981</v>
      </c>
      <c r="J468" s="22">
        <v>249244.29085582207</v>
      </c>
      <c r="K468" s="22">
        <v>242254.75818150304</v>
      </c>
      <c r="L468" s="22">
        <v>241806.91244957497</v>
      </c>
      <c r="M468" s="22">
        <v>242728.16529454003</v>
      </c>
      <c r="N468" s="22">
        <v>247784.19897166389</v>
      </c>
      <c r="O468" s="22">
        <v>256677.38929157605</v>
      </c>
      <c r="P468" s="22">
        <v>262059.96303488957</v>
      </c>
      <c r="Q468" s="22">
        <v>278097.34027385537</v>
      </c>
      <c r="R468" s="22">
        <v>290555.16511409282</v>
      </c>
      <c r="S468" s="22">
        <v>293973.71499369375</v>
      </c>
      <c r="T468" s="22">
        <v>295103.63829646097</v>
      </c>
      <c r="U468" s="22">
        <v>277851.06661958183</v>
      </c>
      <c r="V468" s="22">
        <v>285395.85736725142</v>
      </c>
      <c r="W468" s="22">
        <v>301221.90739057306</v>
      </c>
      <c r="X468" s="22">
        <v>314514.72367059073</v>
      </c>
      <c r="Y468" s="22">
        <v>326637.32668657927</v>
      </c>
      <c r="Z468" s="22">
        <v>330269.92767527216</v>
      </c>
      <c r="AA468" s="23">
        <v>322008.08630653704</v>
      </c>
      <c r="AB468" s="96">
        <f t="shared" ref="AB468" si="161">+SUM(D468:AA468)*AC468+SUM(D469:AA469)*AC469+SUM(D470:AA470)*AC470</f>
        <v>203390217.87966835</v>
      </c>
      <c r="AC468" s="16">
        <v>20</v>
      </c>
      <c r="AD468" s="16">
        <f t="shared" si="156"/>
        <v>136403784.70219329</v>
      </c>
    </row>
    <row r="469" spans="1:30" ht="13.5" thickBot="1" x14ac:dyDescent="0.35">
      <c r="A469" s="18">
        <v>2038</v>
      </c>
      <c r="B469" s="19" t="s">
        <v>45</v>
      </c>
      <c r="C469" s="20" t="s">
        <v>34</v>
      </c>
      <c r="D469" s="21">
        <v>315002.49800850771</v>
      </c>
      <c r="E469" s="22">
        <v>304892.89197916922</v>
      </c>
      <c r="F469" s="22">
        <v>294911.76545659458</v>
      </c>
      <c r="G469" s="22">
        <v>286329.22252319212</v>
      </c>
      <c r="H469" s="22">
        <v>277919.42770746356</v>
      </c>
      <c r="I469" s="22">
        <v>265926.40087582206</v>
      </c>
      <c r="J469" s="22">
        <v>253772.32204513837</v>
      </c>
      <c r="K469" s="22">
        <v>240221.69193563735</v>
      </c>
      <c r="L469" s="22">
        <v>230085.84757642573</v>
      </c>
      <c r="M469" s="22">
        <v>225486.19826045548</v>
      </c>
      <c r="N469" s="22">
        <v>226857.81225600574</v>
      </c>
      <c r="O469" s="22">
        <v>233792.69070594839</v>
      </c>
      <c r="P469" s="22">
        <v>241368.81306011844</v>
      </c>
      <c r="Q469" s="22">
        <v>250702.86938942035</v>
      </c>
      <c r="R469" s="22">
        <v>258831.08382148159</v>
      </c>
      <c r="S469" s="22">
        <v>264334.61838718847</v>
      </c>
      <c r="T469" s="22">
        <v>268897.8277676109</v>
      </c>
      <c r="U469" s="22">
        <v>259352.0601646695</v>
      </c>
      <c r="V469" s="22">
        <v>270856.61351107963</v>
      </c>
      <c r="W469" s="22">
        <v>287801.53348824161</v>
      </c>
      <c r="X469" s="22">
        <v>301128.71716352733</v>
      </c>
      <c r="Y469" s="22">
        <v>314604.78230115795</v>
      </c>
      <c r="Z469" s="22">
        <v>318721.94405103161</v>
      </c>
      <c r="AA469" s="23">
        <v>311722.37841251557</v>
      </c>
      <c r="AB469" s="97"/>
      <c r="AC469" s="16">
        <v>4</v>
      </c>
      <c r="AD469" s="16">
        <f t="shared" si="156"/>
        <v>26014088.043393616</v>
      </c>
    </row>
    <row r="470" spans="1:30" ht="13.5" thickBot="1" x14ac:dyDescent="0.35">
      <c r="A470" s="18">
        <v>2038</v>
      </c>
      <c r="B470" s="25" t="s">
        <v>45</v>
      </c>
      <c r="C470" s="26" t="s">
        <v>36</v>
      </c>
      <c r="D470" s="21">
        <v>322605.73049505247</v>
      </c>
      <c r="E470" s="22">
        <v>310401.72305914428</v>
      </c>
      <c r="F470" s="22">
        <v>299488.93216438493</v>
      </c>
      <c r="G470" s="22">
        <v>289999.30632155802</v>
      </c>
      <c r="H470" s="22">
        <v>280648.98712815385</v>
      </c>
      <c r="I470" s="22">
        <v>265267.92771856004</v>
      </c>
      <c r="J470" s="22">
        <v>250259.504181219</v>
      </c>
      <c r="K470" s="22">
        <v>242814.76806338</v>
      </c>
      <c r="L470" s="22">
        <v>241134.20275614262</v>
      </c>
      <c r="M470" s="22">
        <v>241319.22333581513</v>
      </c>
      <c r="N470" s="22">
        <v>246126.46455241216</v>
      </c>
      <c r="O470" s="22">
        <v>255084.06173300763</v>
      </c>
      <c r="P470" s="22">
        <v>261254.94960671631</v>
      </c>
      <c r="Q470" s="22">
        <v>277982.69279377151</v>
      </c>
      <c r="R470" s="22">
        <v>289817.55020005704</v>
      </c>
      <c r="S470" s="22">
        <v>293416.3779702335</v>
      </c>
      <c r="T470" s="22">
        <v>294649.59158473066</v>
      </c>
      <c r="U470" s="22">
        <v>277288.84247768385</v>
      </c>
      <c r="V470" s="22">
        <v>285074.9125427886</v>
      </c>
      <c r="W470" s="22">
        <v>302080.50867439562</v>
      </c>
      <c r="X470" s="22">
        <v>316635.69421306765</v>
      </c>
      <c r="Y470" s="22">
        <v>329521.26670929586</v>
      </c>
      <c r="Z470" s="22">
        <v>332619.30317125906</v>
      </c>
      <c r="AA470" s="23">
        <v>323231.66756074451</v>
      </c>
      <c r="AB470" s="97"/>
      <c r="AC470" s="16">
        <v>6</v>
      </c>
      <c r="AD470" s="16">
        <f t="shared" si="156"/>
        <v>40972345.134081446</v>
      </c>
    </row>
    <row r="471" spans="1:30" ht="13.5" thickBot="1" x14ac:dyDescent="0.35">
      <c r="A471" s="18">
        <v>2038</v>
      </c>
      <c r="B471" s="11" t="s">
        <v>46</v>
      </c>
      <c r="C471" s="12" t="s">
        <v>33</v>
      </c>
      <c r="D471" s="21">
        <v>317777.82316173142</v>
      </c>
      <c r="E471" s="22">
        <v>306685.88794121798</v>
      </c>
      <c r="F471" s="22">
        <v>296635.56720564474</v>
      </c>
      <c r="G471" s="22">
        <v>287633.36059066962</v>
      </c>
      <c r="H471" s="22">
        <v>278730.35390760179</v>
      </c>
      <c r="I471" s="22">
        <v>264747.88883353444</v>
      </c>
      <c r="J471" s="22">
        <v>250723.72440155732</v>
      </c>
      <c r="K471" s="22">
        <v>242688.58406449482</v>
      </c>
      <c r="L471" s="22">
        <v>241655.8828605451</v>
      </c>
      <c r="M471" s="22">
        <v>241777.9258078085</v>
      </c>
      <c r="N471" s="22">
        <v>246305.95266798834</v>
      </c>
      <c r="O471" s="22">
        <v>254411.03494603626</v>
      </c>
      <c r="P471" s="22">
        <v>259653.60109601903</v>
      </c>
      <c r="Q471" s="22">
        <v>274002.47489166813</v>
      </c>
      <c r="R471" s="22">
        <v>285733.21650184115</v>
      </c>
      <c r="S471" s="22">
        <v>289342.4714515977</v>
      </c>
      <c r="T471" s="22">
        <v>290295.96825948678</v>
      </c>
      <c r="U471" s="22">
        <v>274117.85448822012</v>
      </c>
      <c r="V471" s="22">
        <v>282698.42735385499</v>
      </c>
      <c r="W471" s="22">
        <v>297506.7272489905</v>
      </c>
      <c r="X471" s="22">
        <v>310357.14090187213</v>
      </c>
      <c r="Y471" s="22">
        <v>322480.21887242026</v>
      </c>
      <c r="Z471" s="22">
        <v>326597.60587911418</v>
      </c>
      <c r="AA471" s="23">
        <v>319528.72332017089</v>
      </c>
      <c r="AB471" s="96">
        <f t="shared" ref="AB471" si="162">+SUM(D471:AA471)*AC471+SUM(D472:AA472)*AC472+SUM(D473:AA473)*AC473</f>
        <v>208940644.47953817</v>
      </c>
      <c r="AC471" s="16">
        <v>22</v>
      </c>
      <c r="AD471" s="16">
        <f t="shared" si="156"/>
        <v>148765945.16638991</v>
      </c>
    </row>
    <row r="472" spans="1:30" ht="13.5" thickBot="1" x14ac:dyDescent="0.35">
      <c r="A472" s="18">
        <v>2038</v>
      </c>
      <c r="B472" s="19" t="s">
        <v>46</v>
      </c>
      <c r="C472" s="20" t="s">
        <v>34</v>
      </c>
      <c r="D472" s="21">
        <v>315204.81880721252</v>
      </c>
      <c r="E472" s="22">
        <v>305088.81161144905</v>
      </c>
      <c r="F472" s="22">
        <v>295101.36527267256</v>
      </c>
      <c r="G472" s="22">
        <v>286513.38807353243</v>
      </c>
      <c r="H472" s="22">
        <v>278098.26837213995</v>
      </c>
      <c r="I472" s="22">
        <v>266097.64783600922</v>
      </c>
      <c r="J472" s="22">
        <v>253935.87332647209</v>
      </c>
      <c r="K472" s="22">
        <v>240524.79268126204</v>
      </c>
      <c r="L472" s="22">
        <v>230493.89734699836</v>
      </c>
      <c r="M472" s="22">
        <v>225964.59192677515</v>
      </c>
      <c r="N472" s="22">
        <v>227377.56470223537</v>
      </c>
      <c r="O472" s="22">
        <v>234330.83361132699</v>
      </c>
      <c r="P472" s="22">
        <v>241908.06109419049</v>
      </c>
      <c r="Q472" s="22">
        <v>251227.0196000807</v>
      </c>
      <c r="R472" s="22">
        <v>259321.28263854005</v>
      </c>
      <c r="S472" s="22">
        <v>264759.69583913172</v>
      </c>
      <c r="T472" s="22">
        <v>269215.93517674948</v>
      </c>
      <c r="U472" s="22">
        <v>259527.75012769227</v>
      </c>
      <c r="V472" s="22">
        <v>271039.58788858913</v>
      </c>
      <c r="W472" s="22">
        <v>287995.23699332692</v>
      </c>
      <c r="X472" s="22">
        <v>301330.85913005564</v>
      </c>
      <c r="Y472" s="22">
        <v>314815.45699739381</v>
      </c>
      <c r="Z472" s="22">
        <v>318935.22563792981</v>
      </c>
      <c r="AA472" s="23">
        <v>311931.22803792846</v>
      </c>
      <c r="AB472" s="97"/>
      <c r="AC472" s="16">
        <v>3</v>
      </c>
      <c r="AD472" s="16">
        <f t="shared" si="156"/>
        <v>19532217.578189082</v>
      </c>
    </row>
    <row r="473" spans="1:30" ht="13.5" thickBot="1" x14ac:dyDescent="0.35">
      <c r="A473" s="28">
        <v>2038</v>
      </c>
      <c r="B473" s="25" t="s">
        <v>46</v>
      </c>
      <c r="C473" s="26" t="s">
        <v>36</v>
      </c>
      <c r="D473" s="21">
        <v>321421.31698889955</v>
      </c>
      <c r="E473" s="22">
        <v>309626.21755075868</v>
      </c>
      <c r="F473" s="22">
        <v>298889.50601621153</v>
      </c>
      <c r="G473" s="22">
        <v>289572.51804328483</v>
      </c>
      <c r="H473" s="22">
        <v>280401.72027444042</v>
      </c>
      <c r="I473" s="22">
        <v>265686.76167352259</v>
      </c>
      <c r="J473" s="22">
        <v>251237.33888535589</v>
      </c>
      <c r="K473" s="22">
        <v>242706.78265087167</v>
      </c>
      <c r="L473" s="22">
        <v>239436.96887468503</v>
      </c>
      <c r="M473" s="22">
        <v>238734.49604550109</v>
      </c>
      <c r="N473" s="22">
        <v>242896.86098342764</v>
      </c>
      <c r="O473" s="22">
        <v>251471.07571752998</v>
      </c>
      <c r="P473" s="22">
        <v>257927.71981495948</v>
      </c>
      <c r="Q473" s="22">
        <v>273162.16664649511</v>
      </c>
      <c r="R473" s="22">
        <v>284222.404285689</v>
      </c>
      <c r="S473" s="22">
        <v>288137.48433142446</v>
      </c>
      <c r="T473" s="22">
        <v>289928.70252789673</v>
      </c>
      <c r="U473" s="22">
        <v>273989.39173506567</v>
      </c>
      <c r="V473" s="22">
        <v>282532.6978382896</v>
      </c>
      <c r="W473" s="22">
        <v>299544.11226308666</v>
      </c>
      <c r="X473" s="22">
        <v>313867.39405786438</v>
      </c>
      <c r="Y473" s="22">
        <v>326885.57264210674</v>
      </c>
      <c r="Z473" s="22">
        <v>330192.16763489315</v>
      </c>
      <c r="AA473" s="23">
        <v>321275.57834427082</v>
      </c>
      <c r="AB473" s="97"/>
      <c r="AC473" s="16">
        <v>6</v>
      </c>
      <c r="AD473" s="16">
        <f t="shared" si="156"/>
        <v>40642481.734959178</v>
      </c>
    </row>
    <row r="474" spans="1:30" ht="13.5" thickBot="1" x14ac:dyDescent="0.35">
      <c r="A474" s="10">
        <v>2039</v>
      </c>
      <c r="B474" s="11" t="s">
        <v>32</v>
      </c>
      <c r="C474" s="12" t="s">
        <v>33</v>
      </c>
      <c r="D474" s="21">
        <v>306464.02386068081</v>
      </c>
      <c r="E474" s="22">
        <v>294196.71531569399</v>
      </c>
      <c r="F474" s="22">
        <v>282834.56716654624</v>
      </c>
      <c r="G474" s="22">
        <v>272588.11255234887</v>
      </c>
      <c r="H474" s="22">
        <v>263192.15199585212</v>
      </c>
      <c r="I474" s="22">
        <v>253846.69566319758</v>
      </c>
      <c r="J474" s="22">
        <v>241288.2221873755</v>
      </c>
      <c r="K474" s="22">
        <v>231524.64712431357</v>
      </c>
      <c r="L474" s="22">
        <v>235415.46453916997</v>
      </c>
      <c r="M474" s="22">
        <v>239506.23433195116</v>
      </c>
      <c r="N474" s="22">
        <v>245784.15959318363</v>
      </c>
      <c r="O474" s="22">
        <v>254807.44355915725</v>
      </c>
      <c r="P474" s="22">
        <v>259220.96494015952</v>
      </c>
      <c r="Q474" s="22">
        <v>273593.3685866298</v>
      </c>
      <c r="R474" s="22">
        <v>287258.94739003759</v>
      </c>
      <c r="S474" s="22">
        <v>290931.38122942473</v>
      </c>
      <c r="T474" s="22">
        <v>287720.15481953585</v>
      </c>
      <c r="U474" s="22">
        <v>265065.54631609807</v>
      </c>
      <c r="V474" s="22">
        <v>274738.38963265868</v>
      </c>
      <c r="W474" s="22">
        <v>285514.8379284222</v>
      </c>
      <c r="X474" s="22">
        <v>297534.92232545867</v>
      </c>
      <c r="Y474" s="22">
        <v>310895.58653752023</v>
      </c>
      <c r="Z474" s="22">
        <v>316242.81851221755</v>
      </c>
      <c r="AA474" s="23">
        <v>308724.94269848074</v>
      </c>
      <c r="AB474" s="96">
        <f t="shared" ref="AB474" si="163">+SUM(D474:AA474)*AC474+SUM(D475:AA475)*AC475+SUM(D476:AA476)*AC476</f>
        <v>201672211.80806315</v>
      </c>
      <c r="AC474" s="16">
        <v>20</v>
      </c>
      <c r="AD474" s="16">
        <f t="shared" si="156"/>
        <v>131577805.97612226</v>
      </c>
    </row>
    <row r="475" spans="1:30" ht="13.5" thickBot="1" x14ac:dyDescent="0.35">
      <c r="A475" s="18">
        <v>2039</v>
      </c>
      <c r="B475" s="19" t="s">
        <v>32</v>
      </c>
      <c r="C475" s="20" t="s">
        <v>34</v>
      </c>
      <c r="D475" s="21">
        <v>312330.76026691403</v>
      </c>
      <c r="E475" s="22">
        <v>300554.22518029535</v>
      </c>
      <c r="F475" s="22">
        <v>288759.03827680362</v>
      </c>
      <c r="G475" s="22">
        <v>277949.39169872052</v>
      </c>
      <c r="H475" s="22">
        <v>267711.22164582775</v>
      </c>
      <c r="I475" s="22">
        <v>258415.382810688</v>
      </c>
      <c r="J475" s="22">
        <v>245281.36507096037</v>
      </c>
      <c r="K475" s="22">
        <v>233052.15234875173</v>
      </c>
      <c r="L475" s="22">
        <v>234009.62993637711</v>
      </c>
      <c r="M475" s="22">
        <v>238680.34052644644</v>
      </c>
      <c r="N475" s="22">
        <v>244378.54671228281</v>
      </c>
      <c r="O475" s="22">
        <v>252394.81389241549</v>
      </c>
      <c r="P475" s="22">
        <v>255535.27008606974</v>
      </c>
      <c r="Q475" s="22">
        <v>265783.43277967907</v>
      </c>
      <c r="R475" s="22">
        <v>274508.93434787431</v>
      </c>
      <c r="S475" s="22">
        <v>279300.41768776742</v>
      </c>
      <c r="T475" s="22">
        <v>280019.86024070851</v>
      </c>
      <c r="U475" s="22">
        <v>265366.08474431775</v>
      </c>
      <c r="V475" s="22">
        <v>276933.55554907484</v>
      </c>
      <c r="W475" s="22">
        <v>283500.37571432034</v>
      </c>
      <c r="X475" s="22">
        <v>288843.91649400594</v>
      </c>
      <c r="Y475" s="22">
        <v>297664.47762058768</v>
      </c>
      <c r="Z475" s="22">
        <v>305098.85584091861</v>
      </c>
      <c r="AA475" s="23">
        <v>304619.18039809086</v>
      </c>
      <c r="AB475" s="97"/>
      <c r="AC475" s="16">
        <v>4</v>
      </c>
      <c r="AD475" s="16">
        <f t="shared" si="156"/>
        <v>26122764.919479594</v>
      </c>
    </row>
    <row r="476" spans="1:30" ht="13.5" thickBot="1" x14ac:dyDescent="0.35">
      <c r="A476" s="18">
        <v>2039</v>
      </c>
      <c r="B476" s="25" t="s">
        <v>32</v>
      </c>
      <c r="C476" s="26" t="s">
        <v>36</v>
      </c>
      <c r="D476" s="21">
        <v>305567.89996021922</v>
      </c>
      <c r="E476" s="22">
        <v>294446.38520471036</v>
      </c>
      <c r="F476" s="22">
        <v>283962.39386942674</v>
      </c>
      <c r="G476" s="22">
        <v>274913.50762988866</v>
      </c>
      <c r="H476" s="22">
        <v>266776.70952464064</v>
      </c>
      <c r="I476" s="22">
        <v>258242.85267526112</v>
      </c>
      <c r="J476" s="22">
        <v>245583.11326167412</v>
      </c>
      <c r="K476" s="22">
        <v>230081.03487729357</v>
      </c>
      <c r="L476" s="22">
        <v>224371.47364828276</v>
      </c>
      <c r="M476" s="22">
        <v>222666.95012381999</v>
      </c>
      <c r="N476" s="22">
        <v>225302.82523456059</v>
      </c>
      <c r="O476" s="22">
        <v>231114.70867081621</v>
      </c>
      <c r="P476" s="22">
        <v>234689.55386612611</v>
      </c>
      <c r="Q476" s="22">
        <v>247158.67547298889</v>
      </c>
      <c r="R476" s="22">
        <v>255562.10933106305</v>
      </c>
      <c r="S476" s="22">
        <v>259908.98334589487</v>
      </c>
      <c r="T476" s="22">
        <v>260931.87053767819</v>
      </c>
      <c r="U476" s="22">
        <v>247883.19102450117</v>
      </c>
      <c r="V476" s="22">
        <v>261603.8667578976</v>
      </c>
      <c r="W476" s="22">
        <v>271733.884848669</v>
      </c>
      <c r="X476" s="22">
        <v>283676.23027726461</v>
      </c>
      <c r="Y476" s="22">
        <v>296549.00308906293</v>
      </c>
      <c r="Z476" s="22">
        <v>302274.31299103535</v>
      </c>
      <c r="AA476" s="23">
        <v>296661.4512716913</v>
      </c>
      <c r="AB476" s="97"/>
      <c r="AC476" s="16">
        <v>7</v>
      </c>
      <c r="AD476" s="16">
        <f t="shared" si="156"/>
        <v>43971640.912461266</v>
      </c>
    </row>
    <row r="477" spans="1:30" ht="13.5" thickBot="1" x14ac:dyDescent="0.35">
      <c r="A477" s="18">
        <v>2039</v>
      </c>
      <c r="B477" s="11" t="s">
        <v>35</v>
      </c>
      <c r="C477" s="12" t="s">
        <v>33</v>
      </c>
      <c r="D477" s="21">
        <v>314420.46632277832</v>
      </c>
      <c r="E477" s="22">
        <v>302123.60647655127</v>
      </c>
      <c r="F477" s="22">
        <v>291165.62247098971</v>
      </c>
      <c r="G477" s="22">
        <v>281197.64948405861</v>
      </c>
      <c r="H477" s="22">
        <v>270694.67328834982</v>
      </c>
      <c r="I477" s="22">
        <v>258238.34233839475</v>
      </c>
      <c r="J477" s="22">
        <v>240762.95195990714</v>
      </c>
      <c r="K477" s="22">
        <v>229711.751619888</v>
      </c>
      <c r="L477" s="22">
        <v>232820.67940494162</v>
      </c>
      <c r="M477" s="22">
        <v>237481.16691368126</v>
      </c>
      <c r="N477" s="22">
        <v>246496.05132414796</v>
      </c>
      <c r="O477" s="22">
        <v>258172.07562216077</v>
      </c>
      <c r="P477" s="22">
        <v>264966.10749163717</v>
      </c>
      <c r="Q477" s="22">
        <v>284591.6045959153</v>
      </c>
      <c r="R477" s="22">
        <v>299625.61661160376</v>
      </c>
      <c r="S477" s="22">
        <v>301865.94466187339</v>
      </c>
      <c r="T477" s="22">
        <v>298417.22347927827</v>
      </c>
      <c r="U477" s="22">
        <v>274287.54510517162</v>
      </c>
      <c r="V477" s="22">
        <v>281872.57049903495</v>
      </c>
      <c r="W477" s="22">
        <v>296464.33059092128</v>
      </c>
      <c r="X477" s="22">
        <v>309675.75418637949</v>
      </c>
      <c r="Y477" s="22">
        <v>323103.64144187496</v>
      </c>
      <c r="Z477" s="22">
        <v>325492.64685854048</v>
      </c>
      <c r="AA477" s="23">
        <v>317496.59106519615</v>
      </c>
      <c r="AB477" s="96">
        <f t="shared" ref="AB477" si="164">+SUM(D477:AA477)*AC477+SUM(D478:AA478)*AC478+SUM(D479:AA479)*AC479</f>
        <v>187475481.33182281</v>
      </c>
      <c r="AC477" s="16">
        <v>20</v>
      </c>
      <c r="AD477" s="16">
        <f t="shared" si="156"/>
        <v>134822892.27626553</v>
      </c>
    </row>
    <row r="478" spans="1:30" ht="13.5" thickBot="1" x14ac:dyDescent="0.35">
      <c r="A478" s="18">
        <v>2039</v>
      </c>
      <c r="B478" s="19" t="s">
        <v>35</v>
      </c>
      <c r="C478" s="20" t="s">
        <v>34</v>
      </c>
      <c r="D478" s="21">
        <v>320138.25366370589</v>
      </c>
      <c r="E478" s="22">
        <v>308739.19602190627</v>
      </c>
      <c r="F478" s="22">
        <v>298670.49225852749</v>
      </c>
      <c r="G478" s="22">
        <v>289349.35464729584</v>
      </c>
      <c r="H478" s="22">
        <v>280543.64364090387</v>
      </c>
      <c r="I478" s="22">
        <v>271022.71426715999</v>
      </c>
      <c r="J478" s="22">
        <v>256102.55297586622</v>
      </c>
      <c r="K478" s="22">
        <v>242016.66029512539</v>
      </c>
      <c r="L478" s="22">
        <v>240946.93363125078</v>
      </c>
      <c r="M478" s="22">
        <v>244082.83536047596</v>
      </c>
      <c r="N478" s="22">
        <v>250519.15996182</v>
      </c>
      <c r="O478" s="22">
        <v>258955.30315498821</v>
      </c>
      <c r="P478" s="22">
        <v>260736.58795006812</v>
      </c>
      <c r="Q478" s="22">
        <v>269231.49670812488</v>
      </c>
      <c r="R478" s="22">
        <v>277488.54541435477</v>
      </c>
      <c r="S478" s="22">
        <v>281397.67625088635</v>
      </c>
      <c r="T478" s="22">
        <v>281215.03541681595</v>
      </c>
      <c r="U478" s="22">
        <v>264378.67974106863</v>
      </c>
      <c r="V478" s="22">
        <v>274751.35451343982</v>
      </c>
      <c r="W478" s="22">
        <v>285185.73785005097</v>
      </c>
      <c r="X478" s="22">
        <v>290877.10040812369</v>
      </c>
      <c r="Y478" s="22">
        <v>299045.01658799825</v>
      </c>
      <c r="Z478" s="22">
        <v>304325.04560075898</v>
      </c>
      <c r="AA478" s="23">
        <v>301710.79474912176</v>
      </c>
      <c r="AB478" s="97"/>
      <c r="AC478" s="16">
        <v>4</v>
      </c>
      <c r="AD478" s="16">
        <f t="shared" si="156"/>
        <v>26605720.68427936</v>
      </c>
    </row>
    <row r="479" spans="1:30" ht="13.5" thickBot="1" x14ac:dyDescent="0.35">
      <c r="A479" s="18">
        <v>2039</v>
      </c>
      <c r="B479" s="25" t="s">
        <v>35</v>
      </c>
      <c r="C479" s="26" t="s">
        <v>36</v>
      </c>
      <c r="D479" s="21">
        <v>305880.13864709839</v>
      </c>
      <c r="E479" s="22">
        <v>297690.27847357217</v>
      </c>
      <c r="F479" s="22">
        <v>289550.43721276859</v>
      </c>
      <c r="G479" s="22">
        <v>283132.32909636345</v>
      </c>
      <c r="H479" s="22">
        <v>277722.85322564206</v>
      </c>
      <c r="I479" s="22">
        <v>270337.13692664355</v>
      </c>
      <c r="J479" s="22">
        <v>257541.57473931985</v>
      </c>
      <c r="K479" s="22">
        <v>240827.0372668776</v>
      </c>
      <c r="L479" s="22">
        <v>233015.93007137621</v>
      </c>
      <c r="M479" s="22">
        <v>231763.27557508333</v>
      </c>
      <c r="N479" s="22">
        <v>235481.97849785042</v>
      </c>
      <c r="O479" s="22">
        <v>243013.79436140059</v>
      </c>
      <c r="P479" s="22">
        <v>251669.11625720258</v>
      </c>
      <c r="Q479" s="22">
        <v>261268.62408008493</v>
      </c>
      <c r="R479" s="22">
        <v>264332.63874924841</v>
      </c>
      <c r="S479" s="22">
        <v>271013.77472705254</v>
      </c>
      <c r="T479" s="22">
        <v>271001.46443168208</v>
      </c>
      <c r="U479" s="22">
        <v>256736.23037060042</v>
      </c>
      <c r="V479" s="22">
        <v>267852.8920259733</v>
      </c>
      <c r="W479" s="22">
        <v>282139.19459453871</v>
      </c>
      <c r="X479" s="22">
        <v>295322.60852694343</v>
      </c>
      <c r="Y479" s="22">
        <v>308514.88388068741</v>
      </c>
      <c r="Z479" s="22">
        <v>311445.5000954892</v>
      </c>
      <c r="AA479" s="23">
        <v>304463.40098598669</v>
      </c>
      <c r="AB479" s="97"/>
      <c r="AC479" s="16">
        <v>4</v>
      </c>
      <c r="AD479" s="16">
        <f t="shared" si="156"/>
        <v>26046868.371277943</v>
      </c>
    </row>
    <row r="480" spans="1:30" ht="13.5" thickBot="1" x14ac:dyDescent="0.35">
      <c r="A480" s="18">
        <v>2039</v>
      </c>
      <c r="B480" s="11" t="s">
        <v>37</v>
      </c>
      <c r="C480" s="12" t="s">
        <v>33</v>
      </c>
      <c r="D480" s="21">
        <v>326624.0910809972</v>
      </c>
      <c r="E480" s="22">
        <v>314749.77674509998</v>
      </c>
      <c r="F480" s="22">
        <v>303814.60535450547</v>
      </c>
      <c r="G480" s="22">
        <v>293981.91581682302</v>
      </c>
      <c r="H480" s="22">
        <v>283796.80836002703</v>
      </c>
      <c r="I480" s="22">
        <v>268693.01903328777</v>
      </c>
      <c r="J480" s="22">
        <v>249351.12842858676</v>
      </c>
      <c r="K480" s="22">
        <v>241878.92961855346</v>
      </c>
      <c r="L480" s="22">
        <v>245635.17024385047</v>
      </c>
      <c r="M480" s="22">
        <v>250759.358032427</v>
      </c>
      <c r="N480" s="22">
        <v>259621.29734444289</v>
      </c>
      <c r="O480" s="22">
        <v>270223.34600378363</v>
      </c>
      <c r="P480" s="22">
        <v>276695.33106897486</v>
      </c>
      <c r="Q480" s="22">
        <v>296218.14209143765</v>
      </c>
      <c r="R480" s="22">
        <v>309653.97703726141</v>
      </c>
      <c r="S480" s="22">
        <v>311959.11494351801</v>
      </c>
      <c r="T480" s="22">
        <v>309041.86504542304</v>
      </c>
      <c r="U480" s="22">
        <v>284484.47199228557</v>
      </c>
      <c r="V480" s="22">
        <v>291557.86938546691</v>
      </c>
      <c r="W480" s="22">
        <v>308319.85543333343</v>
      </c>
      <c r="X480" s="22">
        <v>321871.27751112118</v>
      </c>
      <c r="Y480" s="22">
        <v>335520.79123914742</v>
      </c>
      <c r="Z480" s="22">
        <v>338657.77469583123</v>
      </c>
      <c r="AA480" s="23">
        <v>329227.8379768827</v>
      </c>
      <c r="AB480" s="96">
        <f t="shared" ref="AB480" si="165">+SUM(D480:AA480)*AC480+SUM(D481:AA481)*AC481+SUM(D482:AA482)*AC482</f>
        <v>217251196.1563043</v>
      </c>
      <c r="AC480" s="16">
        <v>22</v>
      </c>
      <c r="AD480" s="16">
        <f t="shared" si="156"/>
        <v>154491430.59862745</v>
      </c>
    </row>
    <row r="481" spans="1:30" ht="13.5" thickBot="1" x14ac:dyDescent="0.35">
      <c r="A481" s="18">
        <v>2039</v>
      </c>
      <c r="B481" s="19" t="s">
        <v>37</v>
      </c>
      <c r="C481" s="20" t="s">
        <v>34</v>
      </c>
      <c r="D481" s="21">
        <v>331360.42800515919</v>
      </c>
      <c r="E481" s="22">
        <v>319124.80854140257</v>
      </c>
      <c r="F481" s="22">
        <v>309125.98080720211</v>
      </c>
      <c r="G481" s="22">
        <v>299659.23250826728</v>
      </c>
      <c r="H481" s="22">
        <v>290466.69650780602</v>
      </c>
      <c r="I481" s="22">
        <v>279643.86079341394</v>
      </c>
      <c r="J481" s="22">
        <v>264486.83368637005</v>
      </c>
      <c r="K481" s="22">
        <v>253767.71017586542</v>
      </c>
      <c r="L481" s="22">
        <v>254541.31880963853</v>
      </c>
      <c r="M481" s="22">
        <v>257193.0501595817</v>
      </c>
      <c r="N481" s="22">
        <v>261987.38383628204</v>
      </c>
      <c r="O481" s="22">
        <v>268546.91255455709</v>
      </c>
      <c r="P481" s="22">
        <v>274232.57046984282</v>
      </c>
      <c r="Q481" s="22">
        <v>286868.800904317</v>
      </c>
      <c r="R481" s="22">
        <v>298547.02161153982</v>
      </c>
      <c r="S481" s="22">
        <v>301201.72348446847</v>
      </c>
      <c r="T481" s="22">
        <v>300443.40899212868</v>
      </c>
      <c r="U481" s="22">
        <v>283652.51706344308</v>
      </c>
      <c r="V481" s="22">
        <v>293117.72667471529</v>
      </c>
      <c r="W481" s="22">
        <v>302695.1960824015</v>
      </c>
      <c r="X481" s="22">
        <v>309124.32275488297</v>
      </c>
      <c r="Y481" s="22">
        <v>320287.4691583424</v>
      </c>
      <c r="Z481" s="22">
        <v>329108.77251207293</v>
      </c>
      <c r="AA481" s="23">
        <v>328799.67165415484</v>
      </c>
      <c r="AB481" s="97"/>
      <c r="AC481" s="16">
        <v>4</v>
      </c>
      <c r="AD481" s="16">
        <f t="shared" si="156"/>
        <v>28071933.670991417</v>
      </c>
    </row>
    <row r="482" spans="1:30" ht="13.5" thickBot="1" x14ac:dyDescent="0.35">
      <c r="A482" s="18">
        <v>2039</v>
      </c>
      <c r="B482" s="25" t="s">
        <v>37</v>
      </c>
      <c r="C482" s="26" t="s">
        <v>36</v>
      </c>
      <c r="D482" s="21">
        <v>333369.25140200515</v>
      </c>
      <c r="E482" s="22">
        <v>322390.44567767635</v>
      </c>
      <c r="F482" s="22">
        <v>311869.03445355379</v>
      </c>
      <c r="G482" s="22">
        <v>302916.65570613474</v>
      </c>
      <c r="H482" s="22">
        <v>294553.21862371429</v>
      </c>
      <c r="I482" s="22">
        <v>282125.26490918628</v>
      </c>
      <c r="J482" s="22">
        <v>265986.02200302802</v>
      </c>
      <c r="K482" s="22">
        <v>250679.40062400055</v>
      </c>
      <c r="L482" s="22">
        <v>241558.39684672753</v>
      </c>
      <c r="M482" s="22">
        <v>240584.16253367934</v>
      </c>
      <c r="N482" s="22">
        <v>244803.35322941709</v>
      </c>
      <c r="O482" s="22">
        <v>254437.11952969403</v>
      </c>
      <c r="P482" s="22">
        <v>262762.62588597817</v>
      </c>
      <c r="Q482" s="22">
        <v>273180.54762057995</v>
      </c>
      <c r="R482" s="22">
        <v>280078.214895321</v>
      </c>
      <c r="S482" s="22">
        <v>286318.05684971763</v>
      </c>
      <c r="T482" s="22">
        <v>290510.48954338965</v>
      </c>
      <c r="U482" s="22">
        <v>276693.9907397161</v>
      </c>
      <c r="V482" s="22">
        <v>290057.76761762204</v>
      </c>
      <c r="W482" s="22">
        <v>305887.26051503082</v>
      </c>
      <c r="X482" s="22">
        <v>320721.7838091717</v>
      </c>
      <c r="Y482" s="22">
        <v>335119.78537069412</v>
      </c>
      <c r="Z482" s="22">
        <v>339151.81932079914</v>
      </c>
      <c r="AA482" s="23">
        <v>331811.70963024796</v>
      </c>
      <c r="AB482" s="97"/>
      <c r="AC482" s="16">
        <v>5</v>
      </c>
      <c r="AD482" s="16">
        <f t="shared" si="156"/>
        <v>34687831.886685431</v>
      </c>
    </row>
    <row r="483" spans="1:30" ht="13.5" thickBot="1" x14ac:dyDescent="0.35">
      <c r="A483" s="18">
        <v>2039</v>
      </c>
      <c r="B483" s="11" t="s">
        <v>38</v>
      </c>
      <c r="C483" s="12" t="s">
        <v>33</v>
      </c>
      <c r="D483" s="21">
        <v>320475.00745033519</v>
      </c>
      <c r="E483" s="22">
        <v>308326.54947126604</v>
      </c>
      <c r="F483" s="22">
        <v>297478.13065278652</v>
      </c>
      <c r="G483" s="22">
        <v>288042.96815838775</v>
      </c>
      <c r="H483" s="22">
        <v>278745.58248585142</v>
      </c>
      <c r="I483" s="22">
        <v>263422.84426696255</v>
      </c>
      <c r="J483" s="22">
        <v>248478.38269887178</v>
      </c>
      <c r="K483" s="22">
        <v>241178.13509185929</v>
      </c>
      <c r="L483" s="22">
        <v>239700.02450582327</v>
      </c>
      <c r="M483" s="22">
        <v>239996.74677516808</v>
      </c>
      <c r="N483" s="22">
        <v>244844.05575140077</v>
      </c>
      <c r="O483" s="22">
        <v>253775.78325677686</v>
      </c>
      <c r="P483" s="22">
        <v>259878.16260851474</v>
      </c>
      <c r="Q483" s="22">
        <v>276589.42466714233</v>
      </c>
      <c r="R483" s="22">
        <v>288376.13919279556</v>
      </c>
      <c r="S483" s="22">
        <v>291883.31394398736</v>
      </c>
      <c r="T483" s="22">
        <v>292998.14921937633</v>
      </c>
      <c r="U483" s="22">
        <v>275898.31118761364</v>
      </c>
      <c r="V483" s="22">
        <v>283569.99084667431</v>
      </c>
      <c r="W483" s="22">
        <v>300453.5461487993</v>
      </c>
      <c r="X483" s="22">
        <v>314922.64549181628</v>
      </c>
      <c r="Y483" s="22">
        <v>327705.8034288233</v>
      </c>
      <c r="Z483" s="22">
        <v>330765.51624166768</v>
      </c>
      <c r="AA483" s="23">
        <v>321408.4745487519</v>
      </c>
      <c r="AB483" s="96">
        <f t="shared" ref="AB483" si="166">+SUM(D483:AA483)*AC483+SUM(D484:AA484)*AC484+SUM(D485:AA485)*AC485</f>
        <v>202404169.58690554</v>
      </c>
      <c r="AC483" s="16">
        <v>19</v>
      </c>
      <c r="AD483" s="16">
        <f t="shared" si="156"/>
        <v>128989360.07373758</v>
      </c>
    </row>
    <row r="484" spans="1:30" ht="13.5" thickBot="1" x14ac:dyDescent="0.35">
      <c r="A484" s="18">
        <v>2039</v>
      </c>
      <c r="B484" s="19" t="s">
        <v>38</v>
      </c>
      <c r="C484" s="20" t="s">
        <v>34</v>
      </c>
      <c r="D484" s="21">
        <v>323204.49254871707</v>
      </c>
      <c r="E484" s="22">
        <v>311311.48277711531</v>
      </c>
      <c r="F484" s="22">
        <v>299988.3895697663</v>
      </c>
      <c r="G484" s="22">
        <v>290341.1146481469</v>
      </c>
      <c r="H484" s="22">
        <v>281548.96260383225</v>
      </c>
      <c r="I484" s="22">
        <v>268621.36848588631</v>
      </c>
      <c r="J484" s="22">
        <v>256339.12399414243</v>
      </c>
      <c r="K484" s="22">
        <v>246226.68572818435</v>
      </c>
      <c r="L484" s="22">
        <v>244111.72850416732</v>
      </c>
      <c r="M484" s="22">
        <v>244321.58971224917</v>
      </c>
      <c r="N484" s="22">
        <v>247847.3647711201</v>
      </c>
      <c r="O484" s="22">
        <v>255151.77137000748</v>
      </c>
      <c r="P484" s="22">
        <v>258723.34254700394</v>
      </c>
      <c r="Q484" s="22">
        <v>266331.86952301365</v>
      </c>
      <c r="R484" s="22">
        <v>278439.08861517569</v>
      </c>
      <c r="S484" s="22">
        <v>282551.86059255101</v>
      </c>
      <c r="T484" s="22">
        <v>285622.47823060764</v>
      </c>
      <c r="U484" s="22">
        <v>275165.45914619957</v>
      </c>
      <c r="V484" s="22">
        <v>285068.704860917</v>
      </c>
      <c r="W484" s="22">
        <v>296665.95119154104</v>
      </c>
      <c r="X484" s="22">
        <v>304354.64962747064</v>
      </c>
      <c r="Y484" s="22">
        <v>314323.017265592</v>
      </c>
      <c r="Z484" s="22">
        <v>321037.34306279849</v>
      </c>
      <c r="AA484" s="23">
        <v>318957.45773396816</v>
      </c>
      <c r="AB484" s="97"/>
      <c r="AC484" s="16">
        <v>5</v>
      </c>
      <c r="AD484" s="16">
        <f t="shared" si="156"/>
        <v>33781276.485550866</v>
      </c>
    </row>
    <row r="485" spans="1:30" ht="13.5" thickBot="1" x14ac:dyDescent="0.35">
      <c r="A485" s="18">
        <v>2039</v>
      </c>
      <c r="B485" s="25" t="s">
        <v>38</v>
      </c>
      <c r="C485" s="26" t="s">
        <v>36</v>
      </c>
      <c r="D485" s="21">
        <v>316529.51835664583</v>
      </c>
      <c r="E485" s="22">
        <v>305636.34886266012</v>
      </c>
      <c r="F485" s="22">
        <v>295334.46954104677</v>
      </c>
      <c r="G485" s="22">
        <v>286433.88100561011</v>
      </c>
      <c r="H485" s="22">
        <v>277691.83512083633</v>
      </c>
      <c r="I485" s="22">
        <v>264409.1579265038</v>
      </c>
      <c r="J485" s="22">
        <v>251178.97099969196</v>
      </c>
      <c r="K485" s="22">
        <v>240145.29954045851</v>
      </c>
      <c r="L485" s="22">
        <v>233510.70089289834</v>
      </c>
      <c r="M485" s="22">
        <v>230893.89339552415</v>
      </c>
      <c r="N485" s="22">
        <v>233656.92698766474</v>
      </c>
      <c r="O485" s="22">
        <v>241372.90094265653</v>
      </c>
      <c r="P485" s="22">
        <v>248347.85215864331</v>
      </c>
      <c r="Q485" s="22">
        <v>260566.65782087439</v>
      </c>
      <c r="R485" s="22">
        <v>270103.16224597872</v>
      </c>
      <c r="S485" s="22">
        <v>274770.53788710065</v>
      </c>
      <c r="T485" s="22">
        <v>277904.74894744059</v>
      </c>
      <c r="U485" s="22">
        <v>265560.57427630521</v>
      </c>
      <c r="V485" s="22">
        <v>275524.6274158514</v>
      </c>
      <c r="W485" s="22">
        <v>292407.8212864247</v>
      </c>
      <c r="X485" s="22">
        <v>306156.91199836467</v>
      </c>
      <c r="Y485" s="22">
        <v>319329.28512411105</v>
      </c>
      <c r="Z485" s="22">
        <v>323019.35368609219</v>
      </c>
      <c r="AA485" s="23">
        <v>315103.40151679778</v>
      </c>
      <c r="AB485" s="97"/>
      <c r="AC485" s="16">
        <v>6</v>
      </c>
      <c r="AD485" s="16">
        <f t="shared" si="156"/>
        <v>39633533.027617097</v>
      </c>
    </row>
    <row r="486" spans="1:30" ht="13.5" thickBot="1" x14ac:dyDescent="0.35">
      <c r="A486" s="18">
        <v>2039</v>
      </c>
      <c r="B486" s="11" t="s">
        <v>39</v>
      </c>
      <c r="C486" s="12" t="s">
        <v>33</v>
      </c>
      <c r="D486" s="21">
        <v>330087.15527168417</v>
      </c>
      <c r="E486" s="22">
        <v>317335.51707232872</v>
      </c>
      <c r="F486" s="22">
        <v>306074.86381455406</v>
      </c>
      <c r="G486" s="22">
        <v>296268.13578108</v>
      </c>
      <c r="H486" s="22">
        <v>286598.32322730916</v>
      </c>
      <c r="I486" s="22">
        <v>270414.28763805231</v>
      </c>
      <c r="J486" s="22">
        <v>254690.39730439032</v>
      </c>
      <c r="K486" s="22">
        <v>248396.79294287795</v>
      </c>
      <c r="L486" s="22">
        <v>248382.62221241844</v>
      </c>
      <c r="M486" s="22">
        <v>249571.20409084664</v>
      </c>
      <c r="N486" s="22">
        <v>255141.78853837436</v>
      </c>
      <c r="O486" s="22">
        <v>264627.81569014251</v>
      </c>
      <c r="P486" s="22">
        <v>270690.19255363347</v>
      </c>
      <c r="Q486" s="22">
        <v>288770.1420674746</v>
      </c>
      <c r="R486" s="22">
        <v>301239.66151095839</v>
      </c>
      <c r="S486" s="22">
        <v>304358.57584819134</v>
      </c>
      <c r="T486" s="22">
        <v>304694.99676170404</v>
      </c>
      <c r="U486" s="22">
        <v>286073.71134978312</v>
      </c>
      <c r="V486" s="22">
        <v>293447.43802680721</v>
      </c>
      <c r="W486" s="22">
        <v>310785.47159085516</v>
      </c>
      <c r="X486" s="22">
        <v>325802.42231700924</v>
      </c>
      <c r="Y486" s="22">
        <v>338843.97717125015</v>
      </c>
      <c r="Z486" s="22">
        <v>341847.33127440972</v>
      </c>
      <c r="AA486" s="23">
        <v>331921.35200843017</v>
      </c>
      <c r="AB486" s="96">
        <f t="shared" ref="AB486" si="167">+SUM(D486:AA486)*AC486+SUM(D487:AA487)*AC487+SUM(D488:AA488)*AC488</f>
        <v>215798992.59331521</v>
      </c>
      <c r="AC486" s="16">
        <v>21</v>
      </c>
      <c r="AD486" s="16">
        <f t="shared" si="156"/>
        <v>147547347.6973559</v>
      </c>
    </row>
    <row r="487" spans="1:30" ht="13.5" thickBot="1" x14ac:dyDescent="0.35">
      <c r="A487" s="18">
        <v>2039</v>
      </c>
      <c r="B487" s="19" t="s">
        <v>39</v>
      </c>
      <c r="C487" s="20" t="s">
        <v>34</v>
      </c>
      <c r="D487" s="21">
        <v>330691.8861627389</v>
      </c>
      <c r="E487" s="22">
        <v>318527.0735248421</v>
      </c>
      <c r="F487" s="22">
        <v>306945.20232536283</v>
      </c>
      <c r="G487" s="22">
        <v>297077.44856567046</v>
      </c>
      <c r="H487" s="22">
        <v>288084.36066302913</v>
      </c>
      <c r="I487" s="22">
        <v>274861.31928631209</v>
      </c>
      <c r="J487" s="22">
        <v>262298.37635729276</v>
      </c>
      <c r="K487" s="22">
        <v>252300.62592001882</v>
      </c>
      <c r="L487" s="22">
        <v>250466.77347257169</v>
      </c>
      <c r="M487" s="22">
        <v>250898.13412889029</v>
      </c>
      <c r="N487" s="22">
        <v>254624.26376441927</v>
      </c>
      <c r="O487" s="22">
        <v>262137.01781317501</v>
      </c>
      <c r="P487" s="22">
        <v>265779.29249493277</v>
      </c>
      <c r="Q487" s="22">
        <v>273499.56009571877</v>
      </c>
      <c r="R487" s="22">
        <v>285767.81977285573</v>
      </c>
      <c r="S487" s="22">
        <v>289771.63780436903</v>
      </c>
      <c r="T487" s="22">
        <v>292587.45058152208</v>
      </c>
      <c r="U487" s="22">
        <v>281857.60132002627</v>
      </c>
      <c r="V487" s="22">
        <v>291987.17582977359</v>
      </c>
      <c r="W487" s="22">
        <v>303849.4656484907</v>
      </c>
      <c r="X487" s="22">
        <v>311713.8816120351</v>
      </c>
      <c r="Y487" s="22">
        <v>321910.06634173845</v>
      </c>
      <c r="Z487" s="22">
        <v>328777.84135255602</v>
      </c>
      <c r="AA487" s="23">
        <v>326650.4223207524</v>
      </c>
      <c r="AB487" s="97"/>
      <c r="AC487" s="16">
        <v>4</v>
      </c>
      <c r="AD487" s="16">
        <f t="shared" si="156"/>
        <v>27692258.788636379</v>
      </c>
    </row>
    <row r="488" spans="1:30" ht="13.5" thickBot="1" x14ac:dyDescent="0.35">
      <c r="A488" s="18">
        <v>2039</v>
      </c>
      <c r="B488" s="25" t="s">
        <v>39</v>
      </c>
      <c r="C488" s="26" t="s">
        <v>36</v>
      </c>
      <c r="D488" s="21">
        <v>324949.54473366943</v>
      </c>
      <c r="E488" s="22">
        <v>314149.85362943338</v>
      </c>
      <c r="F488" s="22">
        <v>303719.715793996</v>
      </c>
      <c r="G488" s="22">
        <v>294729.41129914793</v>
      </c>
      <c r="H488" s="22">
        <v>285909.49131376919</v>
      </c>
      <c r="I488" s="22">
        <v>272913.08829911874</v>
      </c>
      <c r="J488" s="22">
        <v>259860.58575762573</v>
      </c>
      <c r="K488" s="22">
        <v>247641.15502469652</v>
      </c>
      <c r="L488" s="22">
        <v>239463.9364882301</v>
      </c>
      <c r="M488" s="22">
        <v>236047.30419946089</v>
      </c>
      <c r="N488" s="22">
        <v>238335.91301330793</v>
      </c>
      <c r="O488" s="22">
        <v>245925.87669889085</v>
      </c>
      <c r="P488" s="22">
        <v>253394.57242033549</v>
      </c>
      <c r="Q488" s="22">
        <v>264389.31425319758</v>
      </c>
      <c r="R488" s="22">
        <v>273313.12348029687</v>
      </c>
      <c r="S488" s="22">
        <v>278266.47681504075</v>
      </c>
      <c r="T488" s="22">
        <v>281781.36399912462</v>
      </c>
      <c r="U488" s="22">
        <v>270672.02491280908</v>
      </c>
      <c r="V488" s="22">
        <v>281714.22577772173</v>
      </c>
      <c r="W488" s="22">
        <v>299110.42858247709</v>
      </c>
      <c r="X488" s="22">
        <v>313033.87947254232</v>
      </c>
      <c r="Y488" s="22">
        <v>326738.23830754904</v>
      </c>
      <c r="Z488" s="22">
        <v>330753.6535774041</v>
      </c>
      <c r="AA488" s="23">
        <v>323084.50670397881</v>
      </c>
      <c r="AB488" s="97"/>
      <c r="AC488" s="16">
        <v>6</v>
      </c>
      <c r="AD488" s="16">
        <f t="shared" si="156"/>
        <v>40559386.107322939</v>
      </c>
    </row>
    <row r="489" spans="1:30" ht="13.5" thickBot="1" x14ac:dyDescent="0.35">
      <c r="A489" s="18">
        <v>2039</v>
      </c>
      <c r="B489" s="11" t="s">
        <v>40</v>
      </c>
      <c r="C489" s="12" t="s">
        <v>33</v>
      </c>
      <c r="D489" s="21">
        <v>333663.68730059941</v>
      </c>
      <c r="E489" s="22">
        <v>320780.6524246856</v>
      </c>
      <c r="F489" s="22">
        <v>309401.45057823771</v>
      </c>
      <c r="G489" s="22">
        <v>299491.74272605515</v>
      </c>
      <c r="H489" s="22">
        <v>289720.51445157384</v>
      </c>
      <c r="I489" s="22">
        <v>273371.71404168743</v>
      </c>
      <c r="J489" s="22">
        <v>257486.54485843587</v>
      </c>
      <c r="K489" s="22">
        <v>250991.02394467965</v>
      </c>
      <c r="L489" s="22">
        <v>250901.87950682925</v>
      </c>
      <c r="M489" s="22">
        <v>252056.15685482541</v>
      </c>
      <c r="N489" s="22">
        <v>257658.45582640907</v>
      </c>
      <c r="O489" s="22">
        <v>267234.46377808583</v>
      </c>
      <c r="P489" s="22">
        <v>273367.60144464427</v>
      </c>
      <c r="Q489" s="22">
        <v>291631.47019645793</v>
      </c>
      <c r="R489" s="22">
        <v>304243.06628464803</v>
      </c>
      <c r="S489" s="22">
        <v>307432.56033846474</v>
      </c>
      <c r="T489" s="22">
        <v>307832.67507521092</v>
      </c>
      <c r="U489" s="22">
        <v>289290.99381793005</v>
      </c>
      <c r="V489" s="22">
        <v>296754.21163271379</v>
      </c>
      <c r="W489" s="22">
        <v>314278.53958824702</v>
      </c>
      <c r="X489" s="22">
        <v>329453.62359912327</v>
      </c>
      <c r="Y489" s="22">
        <v>342637.0512605611</v>
      </c>
      <c r="Z489" s="22">
        <v>345675.49775029148</v>
      </c>
      <c r="AA489" s="23">
        <v>335649.3149914461</v>
      </c>
      <c r="AB489" s="96">
        <f t="shared" ref="AB489" si="168">+SUM(D489:AA489)*AC489+SUM(D490:AA490)*AC490+SUM(D491:AA491)*AC491</f>
        <v>211450340.09792817</v>
      </c>
      <c r="AC489" s="16">
        <v>20</v>
      </c>
      <c r="AD489" s="16">
        <f t="shared" si="156"/>
        <v>142020097.84543687</v>
      </c>
    </row>
    <row r="490" spans="1:30" ht="13.5" thickBot="1" x14ac:dyDescent="0.35">
      <c r="A490" s="18">
        <v>2039</v>
      </c>
      <c r="B490" s="19" t="s">
        <v>40</v>
      </c>
      <c r="C490" s="20" t="s">
        <v>34</v>
      </c>
      <c r="D490" s="21">
        <v>335938.66660852893</v>
      </c>
      <c r="E490" s="22">
        <v>323583.388497932</v>
      </c>
      <c r="F490" s="22">
        <v>311820.17898783315</v>
      </c>
      <c r="G490" s="22">
        <v>301797.924995357</v>
      </c>
      <c r="H490" s="22">
        <v>292664.03157524514</v>
      </c>
      <c r="I490" s="22">
        <v>279233.95595136657</v>
      </c>
      <c r="J490" s="22">
        <v>266474.31399091071</v>
      </c>
      <c r="K490" s="22">
        <v>256245.05536506278</v>
      </c>
      <c r="L490" s="22">
        <v>254378.16652622639</v>
      </c>
      <c r="M490" s="22">
        <v>254813.43699040057</v>
      </c>
      <c r="N490" s="22">
        <v>258596.33498217759</v>
      </c>
      <c r="O490" s="22">
        <v>266226.17333611497</v>
      </c>
      <c r="P490" s="22">
        <v>269925.61874342163</v>
      </c>
      <c r="Q490" s="22">
        <v>277767.57880393905</v>
      </c>
      <c r="R490" s="22">
        <v>290229.44154056336</v>
      </c>
      <c r="S490" s="22">
        <v>294298.61118600721</v>
      </c>
      <c r="T490" s="22">
        <v>297162.77646447602</v>
      </c>
      <c r="U490" s="22">
        <v>286547.11044805247</v>
      </c>
      <c r="V490" s="22">
        <v>296835.28453961655</v>
      </c>
      <c r="W490" s="22">
        <v>308883.30320635479</v>
      </c>
      <c r="X490" s="22">
        <v>316870.85297792353</v>
      </c>
      <c r="Y490" s="22">
        <v>327226.6802111399</v>
      </c>
      <c r="Z490" s="22">
        <v>334201.98454055598</v>
      </c>
      <c r="AA490" s="23">
        <v>332041.25633387355</v>
      </c>
      <c r="AB490" s="97"/>
      <c r="AC490" s="16">
        <v>4</v>
      </c>
      <c r="AD490" s="16">
        <f t="shared" si="156"/>
        <v>28135048.507212315</v>
      </c>
    </row>
    <row r="491" spans="1:30" ht="13.5" thickBot="1" x14ac:dyDescent="0.35">
      <c r="A491" s="18">
        <v>2039</v>
      </c>
      <c r="B491" s="25" t="s">
        <v>40</v>
      </c>
      <c r="C491" s="26" t="s">
        <v>36</v>
      </c>
      <c r="D491" s="21">
        <v>330774.77454543934</v>
      </c>
      <c r="E491" s="22">
        <v>319784.84582271235</v>
      </c>
      <c r="F491" s="22">
        <v>309170.52523154038</v>
      </c>
      <c r="G491" s="22">
        <v>300021.50694629265</v>
      </c>
      <c r="H491" s="22">
        <v>291045.90222696634</v>
      </c>
      <c r="I491" s="22">
        <v>277820.92799866857</v>
      </c>
      <c r="J491" s="22">
        <v>264538.63902088307</v>
      </c>
      <c r="K491" s="22">
        <v>252043.14109428562</v>
      </c>
      <c r="L491" s="22">
        <v>243733.0514834456</v>
      </c>
      <c r="M491" s="22">
        <v>240264.06600233683</v>
      </c>
      <c r="N491" s="22">
        <v>242597.3252428055</v>
      </c>
      <c r="O491" s="22">
        <v>250322.68778884225</v>
      </c>
      <c r="P491" s="22">
        <v>257923.62586160234</v>
      </c>
      <c r="Q491" s="22">
        <v>269106.95071972912</v>
      </c>
      <c r="R491" s="22">
        <v>278181.73833292956</v>
      </c>
      <c r="S491" s="22">
        <v>283214.07923157827</v>
      </c>
      <c r="T491" s="22">
        <v>286777.40432959091</v>
      </c>
      <c r="U491" s="22">
        <v>275766.78445827239</v>
      </c>
      <c r="V491" s="22">
        <v>287005.93770729069</v>
      </c>
      <c r="W491" s="22">
        <v>304709.9574825833</v>
      </c>
      <c r="X491" s="22">
        <v>318879.28506786627</v>
      </c>
      <c r="Y491" s="22">
        <v>332826.4016667339</v>
      </c>
      <c r="Z491" s="22">
        <v>336913.2983702654</v>
      </c>
      <c r="AA491" s="23">
        <v>329109.43424717104</v>
      </c>
      <c r="AB491" s="97"/>
      <c r="AC491" s="16">
        <v>6</v>
      </c>
      <c r="AD491" s="16">
        <f t="shared" si="156"/>
        <v>41295193.745278984</v>
      </c>
    </row>
    <row r="492" spans="1:30" ht="13.5" thickBot="1" x14ac:dyDescent="0.35">
      <c r="A492" s="18">
        <v>2039</v>
      </c>
      <c r="B492" s="11" t="s">
        <v>41</v>
      </c>
      <c r="C492" s="12" t="s">
        <v>33</v>
      </c>
      <c r="D492" s="21">
        <v>323475.47273415496</v>
      </c>
      <c r="E492" s="22">
        <v>310867.15538415947</v>
      </c>
      <c r="F492" s="22">
        <v>299788.36610008852</v>
      </c>
      <c r="G492" s="22">
        <v>290134.25394472387</v>
      </c>
      <c r="H492" s="22">
        <v>280612.14865315211</v>
      </c>
      <c r="I492" s="22">
        <v>264566.03667590336</v>
      </c>
      <c r="J492" s="22">
        <v>249002.49962999986</v>
      </c>
      <c r="K492" s="22">
        <v>242962.09239160456</v>
      </c>
      <c r="L492" s="22">
        <v>243206.15962014906</v>
      </c>
      <c r="M492" s="22">
        <v>244492.4667028244</v>
      </c>
      <c r="N492" s="22">
        <v>250060.87541342134</v>
      </c>
      <c r="O492" s="22">
        <v>259436.66785960188</v>
      </c>
      <c r="P492" s="22">
        <v>265294.58575627784</v>
      </c>
      <c r="Q492" s="22">
        <v>283485.32543363422</v>
      </c>
      <c r="R492" s="22">
        <v>296002.91905937821</v>
      </c>
      <c r="S492" s="22">
        <v>299096.08586312289</v>
      </c>
      <c r="T492" s="22">
        <v>299472.8548296378</v>
      </c>
      <c r="U492" s="22">
        <v>280734.99436973431</v>
      </c>
      <c r="V492" s="22">
        <v>287728.83451390901</v>
      </c>
      <c r="W492" s="22">
        <v>304704.07935342559</v>
      </c>
      <c r="X492" s="22">
        <v>319477.63013572112</v>
      </c>
      <c r="Y492" s="22">
        <v>332207.97034896706</v>
      </c>
      <c r="Z492" s="22">
        <v>335086.44482079177</v>
      </c>
      <c r="AA492" s="23">
        <v>325226.37157255667</v>
      </c>
      <c r="AB492" s="96">
        <f t="shared" ref="AB492" si="169">+SUM(D492:AA492)*AC492+SUM(D493:AA493)*AC493+SUM(D494:AA494)*AC494</f>
        <v>211567162.3725962</v>
      </c>
      <c r="AC492" s="16">
        <v>19</v>
      </c>
      <c r="AD492" s="16">
        <f t="shared" si="156"/>
        <v>130855323.53217186</v>
      </c>
    </row>
    <row r="493" spans="1:30" ht="13.5" thickBot="1" x14ac:dyDescent="0.35">
      <c r="A493" s="18">
        <v>2039</v>
      </c>
      <c r="B493" s="19" t="s">
        <v>41</v>
      </c>
      <c r="C493" s="20" t="s">
        <v>34</v>
      </c>
      <c r="D493" s="21">
        <v>325486.90761489642</v>
      </c>
      <c r="E493" s="22">
        <v>313511.04298230523</v>
      </c>
      <c r="F493" s="22">
        <v>302109.06534353981</v>
      </c>
      <c r="G493" s="22">
        <v>292394.58088977431</v>
      </c>
      <c r="H493" s="22">
        <v>283541.17668562644</v>
      </c>
      <c r="I493" s="22">
        <v>270523.52008273004</v>
      </c>
      <c r="J493" s="22">
        <v>258155.70905404194</v>
      </c>
      <c r="K493" s="22">
        <v>248114.14406417924</v>
      </c>
      <c r="L493" s="22">
        <v>246111.36407663953</v>
      </c>
      <c r="M493" s="22">
        <v>246406.1687831305</v>
      </c>
      <c r="N493" s="22">
        <v>250002.64878613601</v>
      </c>
      <c r="O493" s="22">
        <v>257373.89640208046</v>
      </c>
      <c r="P493" s="22">
        <v>260966.14237998269</v>
      </c>
      <c r="Q493" s="22">
        <v>268603.73533730704</v>
      </c>
      <c r="R493" s="22">
        <v>280750.74629957258</v>
      </c>
      <c r="S493" s="22">
        <v>284813.98849740904</v>
      </c>
      <c r="T493" s="22">
        <v>287780.8045395675</v>
      </c>
      <c r="U493" s="22">
        <v>277205.45422458724</v>
      </c>
      <c r="V493" s="22">
        <v>287177.69273951213</v>
      </c>
      <c r="W493" s="22">
        <v>298855.73344019346</v>
      </c>
      <c r="X493" s="22">
        <v>306597.99662149313</v>
      </c>
      <c r="Y493" s="22">
        <v>316635.81074379361</v>
      </c>
      <c r="Z493" s="22">
        <v>323396.91313845117</v>
      </c>
      <c r="AA493" s="23">
        <v>321302.53790226305</v>
      </c>
      <c r="AB493" s="97"/>
      <c r="AC493" s="16">
        <v>5</v>
      </c>
      <c r="AD493" s="16">
        <f t="shared" si="156"/>
        <v>34039088.903146066</v>
      </c>
    </row>
    <row r="494" spans="1:30" ht="13.5" thickBot="1" x14ac:dyDescent="0.35">
      <c r="A494" s="18">
        <v>2039</v>
      </c>
      <c r="B494" s="25" t="s">
        <v>41</v>
      </c>
      <c r="C494" s="26" t="s">
        <v>36</v>
      </c>
      <c r="D494" s="21">
        <v>319718.70822145726</v>
      </c>
      <c r="E494" s="22">
        <v>308826.27054616361</v>
      </c>
      <c r="F494" s="22">
        <v>298462.8280618565</v>
      </c>
      <c r="G494" s="22">
        <v>289515.1121565568</v>
      </c>
      <c r="H494" s="22">
        <v>280729.72178183921</v>
      </c>
      <c r="I494" s="22">
        <v>267497.4423894927</v>
      </c>
      <c r="J494" s="22">
        <v>254286.57729379513</v>
      </c>
      <c r="K494" s="22">
        <v>242945.31633187397</v>
      </c>
      <c r="L494" s="22">
        <v>235903.30930540751</v>
      </c>
      <c r="M494" s="22">
        <v>233084.45130722551</v>
      </c>
      <c r="N494" s="22">
        <v>235736.61000696151</v>
      </c>
      <c r="O494" s="22">
        <v>243441.38997249096</v>
      </c>
      <c r="P494" s="22">
        <v>250573.22637997102</v>
      </c>
      <c r="Q494" s="22">
        <v>262459.85745269485</v>
      </c>
      <c r="R494" s="22">
        <v>271825.01523759775</v>
      </c>
      <c r="S494" s="22">
        <v>276553.87364443357</v>
      </c>
      <c r="T494" s="22">
        <v>279753.92824259307</v>
      </c>
      <c r="U494" s="22">
        <v>267708.59714892245</v>
      </c>
      <c r="V494" s="22">
        <v>278006.34152601223</v>
      </c>
      <c r="W494" s="22">
        <v>295077.43733177771</v>
      </c>
      <c r="X494" s="22">
        <v>308909.60628744093</v>
      </c>
      <c r="Y494" s="22">
        <v>322266.43343032518</v>
      </c>
      <c r="Z494" s="22">
        <v>326058.83703212469</v>
      </c>
      <c r="AA494" s="23">
        <v>318194.81423645408</v>
      </c>
      <c r="AB494" s="97"/>
      <c r="AC494" s="16">
        <v>7</v>
      </c>
      <c r="AD494" s="16">
        <f t="shared" si="156"/>
        <v>46672749.937278271</v>
      </c>
    </row>
    <row r="495" spans="1:30" ht="13.5" thickBot="1" x14ac:dyDescent="0.35">
      <c r="A495" s="18">
        <v>2039</v>
      </c>
      <c r="B495" s="11" t="s">
        <v>42</v>
      </c>
      <c r="C495" s="12" t="s">
        <v>33</v>
      </c>
      <c r="D495" s="21">
        <v>334965.39747408859</v>
      </c>
      <c r="E495" s="22">
        <v>322018.30605545093</v>
      </c>
      <c r="F495" s="22">
        <v>310589.87881306565</v>
      </c>
      <c r="G495" s="22">
        <v>300636.53579292487</v>
      </c>
      <c r="H495" s="22">
        <v>290821.91278610821</v>
      </c>
      <c r="I495" s="22">
        <v>274385.97569840035</v>
      </c>
      <c r="J495" s="22">
        <v>258419.64549082739</v>
      </c>
      <c r="K495" s="22">
        <v>252095.48702772695</v>
      </c>
      <c r="L495" s="22">
        <v>252193.58215623163</v>
      </c>
      <c r="M495" s="22">
        <v>253469.25221846346</v>
      </c>
      <c r="N495" s="22">
        <v>259163.2026310201</v>
      </c>
      <c r="O495" s="22">
        <v>268805.62174166989</v>
      </c>
      <c r="P495" s="22">
        <v>274946.04238429386</v>
      </c>
      <c r="Q495" s="22">
        <v>293313.5469881146</v>
      </c>
      <c r="R495" s="22">
        <v>305959.03774011764</v>
      </c>
      <c r="S495" s="22">
        <v>309071.15033991082</v>
      </c>
      <c r="T495" s="22">
        <v>309327.83483816119</v>
      </c>
      <c r="U495" s="22">
        <v>290561.20340732328</v>
      </c>
      <c r="V495" s="22">
        <v>298022.03351342608</v>
      </c>
      <c r="W495" s="22">
        <v>315611.16555237945</v>
      </c>
      <c r="X495" s="22">
        <v>330851.77989690221</v>
      </c>
      <c r="Y495" s="22">
        <v>344078.86471040786</v>
      </c>
      <c r="Z495" s="22">
        <v>347120.30133462307</v>
      </c>
      <c r="AA495" s="23">
        <v>337038.19547582156</v>
      </c>
      <c r="AB495" s="96">
        <f t="shared" ref="AB495" si="170">+SUM(D495:AA495)*AC495+SUM(D496:AA496)*AC496+SUM(D497:AA497)*AC497</f>
        <v>219363037.23019987</v>
      </c>
      <c r="AC495" s="16">
        <v>22</v>
      </c>
      <c r="AD495" s="16">
        <f t="shared" si="156"/>
        <v>156936250.9894841</v>
      </c>
    </row>
    <row r="496" spans="1:30" ht="13.5" thickBot="1" x14ac:dyDescent="0.35">
      <c r="A496" s="18">
        <v>2039</v>
      </c>
      <c r="B496" s="19" t="s">
        <v>42</v>
      </c>
      <c r="C496" s="20" t="s">
        <v>34</v>
      </c>
      <c r="D496" s="21">
        <v>336493.22082902316</v>
      </c>
      <c r="E496" s="22">
        <v>324117.81162416079</v>
      </c>
      <c r="F496" s="22">
        <v>312335.43570781901</v>
      </c>
      <c r="G496" s="22">
        <v>302296.85193805501</v>
      </c>
      <c r="H496" s="22">
        <v>293148.0761925269</v>
      </c>
      <c r="I496" s="22">
        <v>279696.1182511517</v>
      </c>
      <c r="J496" s="22">
        <v>266915.68634547573</v>
      </c>
      <c r="K496" s="22">
        <v>256797.93139025412</v>
      </c>
      <c r="L496" s="22">
        <v>255027.8359111691</v>
      </c>
      <c r="M496" s="22">
        <v>255529.48644903876</v>
      </c>
      <c r="N496" s="22">
        <v>259354.84579480675</v>
      </c>
      <c r="O496" s="22">
        <v>267009.66570283554</v>
      </c>
      <c r="P496" s="22">
        <v>270711.82919529476</v>
      </c>
      <c r="Q496" s="22">
        <v>278547.73393196397</v>
      </c>
      <c r="R496" s="22">
        <v>290994.85189174279</v>
      </c>
      <c r="S496" s="22">
        <v>295009.14948010963</v>
      </c>
      <c r="T496" s="22">
        <v>297779.49766704469</v>
      </c>
      <c r="U496" s="22">
        <v>287042.76432681939</v>
      </c>
      <c r="V496" s="22">
        <v>297347.70147305535</v>
      </c>
      <c r="W496" s="22">
        <v>309415.35060034011</v>
      </c>
      <c r="X496" s="22">
        <v>317415.9149002718</v>
      </c>
      <c r="Y496" s="22">
        <v>327788.61541892623</v>
      </c>
      <c r="Z496" s="22">
        <v>334775.28497280169</v>
      </c>
      <c r="AA496" s="23">
        <v>332611.03617979004</v>
      </c>
      <c r="AB496" s="97"/>
      <c r="AC496" s="16">
        <v>4</v>
      </c>
      <c r="AD496" s="16">
        <f t="shared" si="156"/>
        <v>28192650.784697909</v>
      </c>
    </row>
    <row r="497" spans="1:30" ht="13.5" thickBot="1" x14ac:dyDescent="0.35">
      <c r="A497" s="18">
        <v>2039</v>
      </c>
      <c r="B497" s="25" t="s">
        <v>42</v>
      </c>
      <c r="C497" s="26" t="s">
        <v>36</v>
      </c>
      <c r="D497" s="21">
        <v>330559.65034329845</v>
      </c>
      <c r="E497" s="22">
        <v>319961.52054327523</v>
      </c>
      <c r="F497" s="22">
        <v>309498.07873063494</v>
      </c>
      <c r="G497" s="22">
        <v>300500.80388545257</v>
      </c>
      <c r="H497" s="22">
        <v>291684.62481873145</v>
      </c>
      <c r="I497" s="22">
        <v>279112.06217998575</v>
      </c>
      <c r="J497" s="22">
        <v>266370.66506980278</v>
      </c>
      <c r="K497" s="22">
        <v>252700.89003162499</v>
      </c>
      <c r="L497" s="22">
        <v>242717.67200030494</v>
      </c>
      <c r="M497" s="22">
        <v>238318.33303009547</v>
      </c>
      <c r="N497" s="22">
        <v>239989.79497770499</v>
      </c>
      <c r="O497" s="22">
        <v>247340.5413776015</v>
      </c>
      <c r="P497" s="22">
        <v>255261.4660029572</v>
      </c>
      <c r="Q497" s="22">
        <v>264925.38544557232</v>
      </c>
      <c r="R497" s="22">
        <v>273220.84113933385</v>
      </c>
      <c r="S497" s="22">
        <v>278594.56824973307</v>
      </c>
      <c r="T497" s="22">
        <v>282744.56203664001</v>
      </c>
      <c r="U497" s="22">
        <v>273226.14563576516</v>
      </c>
      <c r="V497" s="22">
        <v>285286.63041654811</v>
      </c>
      <c r="W497" s="22">
        <v>303050.37520025257</v>
      </c>
      <c r="X497" s="22">
        <v>317021.56478464726</v>
      </c>
      <c r="Y497" s="22">
        <v>331148.83019021351</v>
      </c>
      <c r="Z497" s="22">
        <v>335464.94443900062</v>
      </c>
      <c r="AA497" s="23">
        <v>328127.14067439327</v>
      </c>
      <c r="AB497" s="97"/>
      <c r="AC497" s="16">
        <v>5</v>
      </c>
      <c r="AD497" s="16">
        <f t="shared" si="156"/>
        <v>34234135.456017844</v>
      </c>
    </row>
    <row r="498" spans="1:30" ht="13.5" thickBot="1" x14ac:dyDescent="0.35">
      <c r="A498" s="18">
        <v>2039</v>
      </c>
      <c r="B498" s="11" t="s">
        <v>43</v>
      </c>
      <c r="C498" s="12" t="s">
        <v>33</v>
      </c>
      <c r="D498" s="21">
        <v>334773.81305368053</v>
      </c>
      <c r="E498" s="22">
        <v>321731.04119392013</v>
      </c>
      <c r="F498" s="22">
        <v>310270.50152765337</v>
      </c>
      <c r="G498" s="22">
        <v>300283.73018809711</v>
      </c>
      <c r="H498" s="22">
        <v>290433.51437459415</v>
      </c>
      <c r="I498" s="22">
        <v>273834.48914816231</v>
      </c>
      <c r="J498" s="22">
        <v>257734.66730946733</v>
      </c>
      <c r="K498" s="22">
        <v>251540.49418607354</v>
      </c>
      <c r="L498" s="22">
        <v>251945.25075000527</v>
      </c>
      <c r="M498" s="22">
        <v>253376.04935473434</v>
      </c>
      <c r="N498" s="22">
        <v>259191.69813524888</v>
      </c>
      <c r="O498" s="22">
        <v>268909.70188675879</v>
      </c>
      <c r="P498" s="22">
        <v>274964.42239944311</v>
      </c>
      <c r="Q498" s="22">
        <v>293753.24886027776</v>
      </c>
      <c r="R498" s="22">
        <v>306648.70954822691</v>
      </c>
      <c r="S498" s="22">
        <v>309754.65028453484</v>
      </c>
      <c r="T498" s="22">
        <v>309994.18377719459</v>
      </c>
      <c r="U498" s="22">
        <v>291016.88291602867</v>
      </c>
      <c r="V498" s="22">
        <v>298251.71520109469</v>
      </c>
      <c r="W498" s="22">
        <v>315811.8891370307</v>
      </c>
      <c r="X498" s="22">
        <v>331094.50354648929</v>
      </c>
      <c r="Y498" s="22">
        <v>344263.50290535815</v>
      </c>
      <c r="Z498" s="22">
        <v>347241.16319086548</v>
      </c>
      <c r="AA498" s="23">
        <v>337041.33379830117</v>
      </c>
      <c r="AB498" s="96">
        <f t="shared" ref="AB498" si="171">+SUM(D498:AA498)*AC498+SUM(D499:AA499)*AC499+SUM(D500:AA500)*AC500</f>
        <v>212420804.27864757</v>
      </c>
      <c r="AC498" s="16">
        <v>22</v>
      </c>
      <c r="AD498" s="16">
        <f t="shared" si="156"/>
        <v>156944945.44681132</v>
      </c>
    </row>
    <row r="499" spans="1:30" ht="13.5" thickBot="1" x14ac:dyDescent="0.35">
      <c r="A499" s="18">
        <v>2039</v>
      </c>
      <c r="B499" s="19" t="s">
        <v>43</v>
      </c>
      <c r="C499" s="20" t="s">
        <v>34</v>
      </c>
      <c r="D499" s="21">
        <v>337235.53226938727</v>
      </c>
      <c r="E499" s="22">
        <v>324833.17612042441</v>
      </c>
      <c r="F499" s="22">
        <v>313025.14456555533</v>
      </c>
      <c r="G499" s="22">
        <v>302964.70219287882</v>
      </c>
      <c r="H499" s="22">
        <v>293796.00536478107</v>
      </c>
      <c r="I499" s="22">
        <v>280314.75633874867</v>
      </c>
      <c r="J499" s="22">
        <v>267506.49556871451</v>
      </c>
      <c r="K499" s="22">
        <v>257171.78885935238</v>
      </c>
      <c r="L499" s="22">
        <v>255261.1662363339</v>
      </c>
      <c r="M499" s="22">
        <v>255674.00668676425</v>
      </c>
      <c r="N499" s="22">
        <v>259458.00462232795</v>
      </c>
      <c r="O499" s="22">
        <v>267112.31201425375</v>
      </c>
      <c r="P499" s="22">
        <v>270827.06762463483</v>
      </c>
      <c r="Q499" s="22">
        <v>278705.81631137035</v>
      </c>
      <c r="R499" s="22">
        <v>291228.01963597286</v>
      </c>
      <c r="S499" s="22">
        <v>295335.25371747551</v>
      </c>
      <c r="T499" s="22">
        <v>298246.45707434305</v>
      </c>
      <c r="U499" s="22">
        <v>287706.23334584781</v>
      </c>
      <c r="V499" s="22">
        <v>298033.60906850907</v>
      </c>
      <c r="W499" s="22">
        <v>310127.53500499442</v>
      </c>
      <c r="X499" s="22">
        <v>318145.52020433976</v>
      </c>
      <c r="Y499" s="22">
        <v>328540.80685137317</v>
      </c>
      <c r="Z499" s="22">
        <v>335542.68959059083</v>
      </c>
      <c r="AA499" s="23">
        <v>333373.72823492542</v>
      </c>
      <c r="AB499" s="97"/>
      <c r="AC499" s="16">
        <v>4</v>
      </c>
      <c r="AD499" s="16">
        <f t="shared" si="156"/>
        <v>28240663.3100156</v>
      </c>
    </row>
    <row r="500" spans="1:30" ht="13.5" thickBot="1" x14ac:dyDescent="0.35">
      <c r="A500" s="18">
        <v>2039</v>
      </c>
      <c r="B500" s="25" t="s">
        <v>43</v>
      </c>
      <c r="C500" s="26" t="s">
        <v>36</v>
      </c>
      <c r="D500" s="21">
        <v>329001.84450454597</v>
      </c>
      <c r="E500" s="22">
        <v>318453.00165126985</v>
      </c>
      <c r="F500" s="22">
        <v>308038.22041451785</v>
      </c>
      <c r="G500" s="22">
        <v>299082.78768813674</v>
      </c>
      <c r="H500" s="22">
        <v>290307.60854841897</v>
      </c>
      <c r="I500" s="22">
        <v>277793.51502044481</v>
      </c>
      <c r="J500" s="22">
        <v>265111.37219122495</v>
      </c>
      <c r="K500" s="22">
        <v>251250.35868884635</v>
      </c>
      <c r="L500" s="22">
        <v>241110.49585598332</v>
      </c>
      <c r="M500" s="22">
        <v>236598.0367945926</v>
      </c>
      <c r="N500" s="22">
        <v>238187.89340364345</v>
      </c>
      <c r="O500" s="22">
        <v>245478.92757524582</v>
      </c>
      <c r="P500" s="22">
        <v>253369.74767876315</v>
      </c>
      <c r="Q500" s="22">
        <v>263027.03171294054</v>
      </c>
      <c r="R500" s="22">
        <v>271355.20244753809</v>
      </c>
      <c r="S500" s="22">
        <v>276829.03878536401</v>
      </c>
      <c r="T500" s="22">
        <v>281160.05621915864</v>
      </c>
      <c r="U500" s="22">
        <v>271873.38876667811</v>
      </c>
      <c r="V500" s="22">
        <v>283877.78587139444</v>
      </c>
      <c r="W500" s="22">
        <v>301558.9197832091</v>
      </c>
      <c r="X500" s="22">
        <v>315465.13589680922</v>
      </c>
      <c r="Y500" s="22">
        <v>329526.70199590706</v>
      </c>
      <c r="Z500" s="22">
        <v>333822.74401523959</v>
      </c>
      <c r="AA500" s="23">
        <v>326519.0649452919</v>
      </c>
      <c r="AB500" s="97"/>
      <c r="AC500" s="16">
        <v>4</v>
      </c>
      <c r="AD500" s="16">
        <f t="shared" si="156"/>
        <v>27235195.521820661</v>
      </c>
    </row>
    <row r="501" spans="1:30" ht="13.5" thickBot="1" x14ac:dyDescent="0.35">
      <c r="A501" s="18">
        <v>2039</v>
      </c>
      <c r="B501" s="11" t="s">
        <v>44</v>
      </c>
      <c r="C501" s="12" t="s">
        <v>33</v>
      </c>
      <c r="D501" s="21">
        <v>323887.71401523089</v>
      </c>
      <c r="E501" s="22">
        <v>311488.06869048491</v>
      </c>
      <c r="F501" s="22">
        <v>300479.42264150677</v>
      </c>
      <c r="G501" s="22">
        <v>290898.29829459562</v>
      </c>
      <c r="H501" s="22">
        <v>281453.89479450387</v>
      </c>
      <c r="I501" s="22">
        <v>265763.37989282189</v>
      </c>
      <c r="J501" s="22">
        <v>250490.94621062404</v>
      </c>
      <c r="K501" s="22">
        <v>243603.87517456693</v>
      </c>
      <c r="L501" s="22">
        <v>242764.08670539479</v>
      </c>
      <c r="M501" s="22">
        <v>243438.93814960116</v>
      </c>
      <c r="N501" s="22">
        <v>248590.96408051858</v>
      </c>
      <c r="O501" s="22">
        <v>257749.66713726553</v>
      </c>
      <c r="P501" s="22">
        <v>263807.99951494439</v>
      </c>
      <c r="Q501" s="22">
        <v>281158.87182299234</v>
      </c>
      <c r="R501" s="22">
        <v>293277.55899434316</v>
      </c>
      <c r="S501" s="22">
        <v>296640.2019629096</v>
      </c>
      <c r="T501" s="22">
        <v>297464.39306310983</v>
      </c>
      <c r="U501" s="22">
        <v>279737.41769451607</v>
      </c>
      <c r="V501" s="22">
        <v>287223.56035196903</v>
      </c>
      <c r="W501" s="22">
        <v>304261.63155662792</v>
      </c>
      <c r="X501" s="22">
        <v>318943.43702034268</v>
      </c>
      <c r="Y501" s="22">
        <v>331800.13465380401</v>
      </c>
      <c r="Z501" s="22">
        <v>334817.52203445404</v>
      </c>
      <c r="AA501" s="23">
        <v>325214.10569084098</v>
      </c>
      <c r="AB501" s="96">
        <f t="shared" ref="AB501" si="172">+SUM(D501:AA501)*AC501+SUM(D502:AA502)*AC502+SUM(D503:AA503)*AC503</f>
        <v>210843806.3341864</v>
      </c>
      <c r="AC501" s="16">
        <v>20</v>
      </c>
      <c r="AD501" s="16">
        <f t="shared" si="156"/>
        <v>137499121.80295938</v>
      </c>
    </row>
    <row r="502" spans="1:30" ht="13.5" thickBot="1" x14ac:dyDescent="0.35">
      <c r="A502" s="18">
        <v>2039</v>
      </c>
      <c r="B502" s="19" t="s">
        <v>44</v>
      </c>
      <c r="C502" s="20" t="s">
        <v>34</v>
      </c>
      <c r="D502" s="21">
        <v>323888.66549909284</v>
      </c>
      <c r="E502" s="22">
        <v>311970.81929193798</v>
      </c>
      <c r="F502" s="22">
        <v>300624.07981841243</v>
      </c>
      <c r="G502" s="22">
        <v>290956.65827903565</v>
      </c>
      <c r="H502" s="22">
        <v>282146.14538899634</v>
      </c>
      <c r="I502" s="22">
        <v>269191.55429010687</v>
      </c>
      <c r="J502" s="22">
        <v>256883.66051532855</v>
      </c>
      <c r="K502" s="22">
        <v>246751.31947766495</v>
      </c>
      <c r="L502" s="22">
        <v>244639.64036176904</v>
      </c>
      <c r="M502" s="22">
        <v>244855.00142518658</v>
      </c>
      <c r="N502" s="22">
        <v>248390.93709065756</v>
      </c>
      <c r="O502" s="22">
        <v>255711.56492723487</v>
      </c>
      <c r="P502" s="22">
        <v>259290.33960618434</v>
      </c>
      <c r="Q502" s="22">
        <v>266913.30410764262</v>
      </c>
      <c r="R502" s="22">
        <v>279043.10552218463</v>
      </c>
      <c r="S502" s="22">
        <v>283159.72599826305</v>
      </c>
      <c r="T502" s="22">
        <v>286229.16541093204</v>
      </c>
      <c r="U502" s="22">
        <v>275776.96468356374</v>
      </c>
      <c r="V502" s="22">
        <v>285700.89156551159</v>
      </c>
      <c r="W502" s="22">
        <v>297322.35668234807</v>
      </c>
      <c r="X502" s="22">
        <v>305027.11159740773</v>
      </c>
      <c r="Y502" s="22">
        <v>315016.29639831348</v>
      </c>
      <c r="Z502" s="22">
        <v>321744.64387070114</v>
      </c>
      <c r="AA502" s="23">
        <v>319660.4150713011</v>
      </c>
      <c r="AB502" s="97"/>
      <c r="AC502" s="16">
        <v>5</v>
      </c>
      <c r="AD502" s="16">
        <f t="shared" si="156"/>
        <v>33854471.834398888</v>
      </c>
    </row>
    <row r="503" spans="1:30" ht="13.5" thickBot="1" x14ac:dyDescent="0.35">
      <c r="A503" s="18">
        <v>2039</v>
      </c>
      <c r="B503" s="25" t="s">
        <v>44</v>
      </c>
      <c r="C503" s="26" t="s">
        <v>36</v>
      </c>
      <c r="D503" s="21">
        <v>316904.50486966217</v>
      </c>
      <c r="E503" s="22">
        <v>306365.70109756023</v>
      </c>
      <c r="F503" s="22">
        <v>296189.24181190872</v>
      </c>
      <c r="G503" s="22">
        <v>287417.43283733283</v>
      </c>
      <c r="H503" s="22">
        <v>278811.78769006388</v>
      </c>
      <c r="I503" s="22">
        <v>266127.9712692977</v>
      </c>
      <c r="J503" s="22">
        <v>253390.26823466457</v>
      </c>
      <c r="K503" s="22">
        <v>241105.71895002841</v>
      </c>
      <c r="L503" s="22">
        <v>232786.63230677997</v>
      </c>
      <c r="M503" s="22">
        <v>229227.45402153151</v>
      </c>
      <c r="N503" s="22">
        <v>231336.33988648947</v>
      </c>
      <c r="O503" s="22">
        <v>238699.16770136775</v>
      </c>
      <c r="P503" s="22">
        <v>245994.72386365858</v>
      </c>
      <c r="Q503" s="22">
        <v>256799.16129344609</v>
      </c>
      <c r="R503" s="22">
        <v>265635.21951512998</v>
      </c>
      <c r="S503" s="22">
        <v>270683.23059059796</v>
      </c>
      <c r="T503" s="22">
        <v>274457.30196662678</v>
      </c>
      <c r="U503" s="22">
        <v>263647.08725630987</v>
      </c>
      <c r="V503" s="22">
        <v>274413.31283871661</v>
      </c>
      <c r="W503" s="22">
        <v>291384.05873335595</v>
      </c>
      <c r="X503" s="22">
        <v>304968.84307778266</v>
      </c>
      <c r="Y503" s="22">
        <v>318337.03065958334</v>
      </c>
      <c r="Z503" s="22">
        <v>322252.61415227305</v>
      </c>
      <c r="AA503" s="23">
        <v>314767.31151385448</v>
      </c>
      <c r="AB503" s="97"/>
      <c r="AC503" s="16">
        <v>6</v>
      </c>
      <c r="AD503" s="16">
        <f t="shared" si="156"/>
        <v>39490212.696828134</v>
      </c>
    </row>
    <row r="504" spans="1:30" ht="13.5" thickBot="1" x14ac:dyDescent="0.35">
      <c r="A504" s="18">
        <v>2039</v>
      </c>
      <c r="B504" s="11" t="s">
        <v>45</v>
      </c>
      <c r="C504" s="12" t="s">
        <v>33</v>
      </c>
      <c r="D504" s="21">
        <v>321107.95540144981</v>
      </c>
      <c r="E504" s="22">
        <v>308590.67607589462</v>
      </c>
      <c r="F504" s="22">
        <v>297591.8808990157</v>
      </c>
      <c r="G504" s="22">
        <v>288007.47600703518</v>
      </c>
      <c r="H504" s="22">
        <v>278554.12482675293</v>
      </c>
      <c r="I504" s="22">
        <v>262623.87337980344</v>
      </c>
      <c r="J504" s="22">
        <v>247172.71244457568</v>
      </c>
      <c r="K504" s="22">
        <v>240799.56950357166</v>
      </c>
      <c r="L504" s="22">
        <v>240740.79544684821</v>
      </c>
      <c r="M504" s="22">
        <v>241819.76717132461</v>
      </c>
      <c r="N504" s="22">
        <v>247238.50420993572</v>
      </c>
      <c r="O504" s="22">
        <v>256508.75160827456</v>
      </c>
      <c r="P504" s="22">
        <v>262334.35356257972</v>
      </c>
      <c r="Q504" s="22">
        <v>280450.54220261209</v>
      </c>
      <c r="R504" s="22">
        <v>292983.45388114604</v>
      </c>
      <c r="S504" s="22">
        <v>296239.76236792619</v>
      </c>
      <c r="T504" s="22">
        <v>296910.81452776247</v>
      </c>
      <c r="U504" s="22">
        <v>278580.4700185582</v>
      </c>
      <c r="V504" s="22">
        <v>285523.81132356956</v>
      </c>
      <c r="W504" s="22">
        <v>302376.48685334611</v>
      </c>
      <c r="X504" s="22">
        <v>317043.36560004391</v>
      </c>
      <c r="Y504" s="22">
        <v>329681.78672596894</v>
      </c>
      <c r="Z504" s="22">
        <v>332539.47724843369</v>
      </c>
      <c r="AA504" s="23">
        <v>322750.59840024699</v>
      </c>
      <c r="AB504" s="96">
        <f t="shared" ref="AB504" si="173">+SUM(D504:AA504)*AC504+SUM(D505:AA505)*AC505+SUM(D506:AA506)*AC506</f>
        <v>203010966.14732748</v>
      </c>
      <c r="AC504" s="16">
        <v>20</v>
      </c>
      <c r="AD504" s="16">
        <f t="shared" si="156"/>
        <v>136563420.19373351</v>
      </c>
    </row>
    <row r="505" spans="1:30" ht="13.5" thickBot="1" x14ac:dyDescent="0.35">
      <c r="A505" s="18">
        <v>2039</v>
      </c>
      <c r="B505" s="19" t="s">
        <v>45</v>
      </c>
      <c r="C505" s="20" t="s">
        <v>34</v>
      </c>
      <c r="D505" s="21">
        <v>322301.88220732845</v>
      </c>
      <c r="E505" s="22">
        <v>310441.63845426176</v>
      </c>
      <c r="F505" s="22">
        <v>299149.74110809789</v>
      </c>
      <c r="G505" s="22">
        <v>289529.0450588552</v>
      </c>
      <c r="H505" s="22">
        <v>280761.11596755096</v>
      </c>
      <c r="I505" s="22">
        <v>267869.13821557257</v>
      </c>
      <c r="J505" s="22">
        <v>255620.73210943499</v>
      </c>
      <c r="K505" s="22">
        <v>245278.49347588618</v>
      </c>
      <c r="L505" s="22">
        <v>242970.35927337548</v>
      </c>
      <c r="M505" s="22">
        <v>243048.73901078175</v>
      </c>
      <c r="N505" s="22">
        <v>246492.4472996922</v>
      </c>
      <c r="O505" s="22">
        <v>253751.71384158367</v>
      </c>
      <c r="P505" s="22">
        <v>257320.04223622655</v>
      </c>
      <c r="Q505" s="22">
        <v>264945.14676132734</v>
      </c>
      <c r="R505" s="22">
        <v>277088.87474179739</v>
      </c>
      <c r="S505" s="22">
        <v>281312.90948648233</v>
      </c>
      <c r="T505" s="22">
        <v>284571.37751010922</v>
      </c>
      <c r="U505" s="22">
        <v>274358.71690136456</v>
      </c>
      <c r="V505" s="22">
        <v>284234.67852745525</v>
      </c>
      <c r="W505" s="22">
        <v>295799.97368713742</v>
      </c>
      <c r="X505" s="22">
        <v>303467.48925680353</v>
      </c>
      <c r="Y505" s="22">
        <v>313408.39339114685</v>
      </c>
      <c r="Z505" s="22">
        <v>320104.2207823362</v>
      </c>
      <c r="AA505" s="23">
        <v>318030.06567340327</v>
      </c>
      <c r="AB505" s="97"/>
      <c r="AC505" s="16">
        <v>4</v>
      </c>
      <c r="AD505" s="16">
        <f t="shared" si="156"/>
        <v>26927427.739912044</v>
      </c>
    </row>
    <row r="506" spans="1:30" ht="13.5" thickBot="1" x14ac:dyDescent="0.35">
      <c r="A506" s="18">
        <v>2039</v>
      </c>
      <c r="B506" s="25" t="s">
        <v>45</v>
      </c>
      <c r="C506" s="26" t="s">
        <v>36</v>
      </c>
      <c r="D506" s="21">
        <v>317344.88989727764</v>
      </c>
      <c r="E506" s="22">
        <v>306795.29058323399</v>
      </c>
      <c r="F506" s="22">
        <v>296606.25004868512</v>
      </c>
      <c r="G506" s="22">
        <v>287823.80209462129</v>
      </c>
      <c r="H506" s="22">
        <v>279207.81960928295</v>
      </c>
      <c r="I506" s="22">
        <v>266512.72553114098</v>
      </c>
      <c r="J506" s="22">
        <v>253762.61311237665</v>
      </c>
      <c r="K506" s="22">
        <v>241244.93574980277</v>
      </c>
      <c r="L506" s="22">
        <v>232751.75811711888</v>
      </c>
      <c r="M506" s="22">
        <v>229082.3122879196</v>
      </c>
      <c r="N506" s="22">
        <v>231134.46396511255</v>
      </c>
      <c r="O506" s="22">
        <v>238485.42736663565</v>
      </c>
      <c r="P506" s="22">
        <v>245798.92876336511</v>
      </c>
      <c r="Q506" s="22">
        <v>256631.52085878383</v>
      </c>
      <c r="R506" s="22">
        <v>265523.88240183651</v>
      </c>
      <c r="S506" s="22">
        <v>270672.49737342523</v>
      </c>
      <c r="T506" s="22">
        <v>274602.11223874294</v>
      </c>
      <c r="U506" s="22">
        <v>264010.32224510412</v>
      </c>
      <c r="V506" s="22">
        <v>274799.16049853846</v>
      </c>
      <c r="W506" s="22">
        <v>291793.83986265521</v>
      </c>
      <c r="X506" s="22">
        <v>305395.45024116803</v>
      </c>
      <c r="Y506" s="22">
        <v>318783.75287865708</v>
      </c>
      <c r="Z506" s="22">
        <v>322706.90140381368</v>
      </c>
      <c r="AA506" s="23">
        <v>315215.71181769419</v>
      </c>
      <c r="AB506" s="97"/>
      <c r="AC506" s="16">
        <v>6</v>
      </c>
      <c r="AD506" s="16">
        <f t="shared" si="156"/>
        <v>39520118.213681951</v>
      </c>
    </row>
    <row r="507" spans="1:30" ht="13.5" thickBot="1" x14ac:dyDescent="0.35">
      <c r="A507" s="18">
        <v>2039</v>
      </c>
      <c r="B507" s="11" t="s">
        <v>46</v>
      </c>
      <c r="C507" s="12" t="s">
        <v>33</v>
      </c>
      <c r="D507" s="21">
        <v>317129.40668446774</v>
      </c>
      <c r="E507" s="22">
        <v>306072.28612923581</v>
      </c>
      <c r="F507" s="22">
        <v>296224.32075508957</v>
      </c>
      <c r="G507" s="22">
        <v>287259.12692870584</v>
      </c>
      <c r="H507" s="22">
        <v>278247.30801181227</v>
      </c>
      <c r="I507" s="22">
        <v>263588.32556374162</v>
      </c>
      <c r="J507" s="22">
        <v>248931.43694000057</v>
      </c>
      <c r="K507" s="22">
        <v>241307.16683820583</v>
      </c>
      <c r="L507" s="22">
        <v>240291.29508076346</v>
      </c>
      <c r="M507" s="22">
        <v>240581.48309357319</v>
      </c>
      <c r="N507" s="22">
        <v>245376.55574097094</v>
      </c>
      <c r="O507" s="22">
        <v>253813.6064661665</v>
      </c>
      <c r="P507" s="22">
        <v>259441.73163523889</v>
      </c>
      <c r="Q507" s="22">
        <v>275522.21716593811</v>
      </c>
      <c r="R507" s="22">
        <v>287030.48526985297</v>
      </c>
      <c r="S507" s="22">
        <v>290517.57469041168</v>
      </c>
      <c r="T507" s="22">
        <v>291407.72284096683</v>
      </c>
      <c r="U507" s="22">
        <v>274540.83630371193</v>
      </c>
      <c r="V507" s="22">
        <v>282435.43864045379</v>
      </c>
      <c r="W507" s="22">
        <v>298616.79902758577</v>
      </c>
      <c r="X507" s="22">
        <v>312699.60758119117</v>
      </c>
      <c r="Y507" s="22">
        <v>325454.47426231747</v>
      </c>
      <c r="Z507" s="22">
        <v>328833.51887392637</v>
      </c>
      <c r="AA507" s="23">
        <v>320112.92419525015</v>
      </c>
      <c r="AB507" s="96">
        <f t="shared" ref="AB507" si="174">+SUM(D507:AA507)*AC507+SUM(D508:AA508)*AC508+SUM(D509:AA509)*AC509</f>
        <v>208464815.062711</v>
      </c>
      <c r="AC507" s="16">
        <v>21</v>
      </c>
      <c r="AD507" s="16">
        <f t="shared" si="156"/>
        <v>142074148.62311113</v>
      </c>
    </row>
    <row r="508" spans="1:30" ht="13.5" thickBot="1" x14ac:dyDescent="0.35">
      <c r="A508" s="18">
        <v>2039</v>
      </c>
      <c r="B508" s="19" t="s">
        <v>46</v>
      </c>
      <c r="C508" s="20" t="s">
        <v>34</v>
      </c>
      <c r="D508" s="21">
        <v>320859.06020589411</v>
      </c>
      <c r="E508" s="22">
        <v>309023.77618284512</v>
      </c>
      <c r="F508" s="22">
        <v>297618.81549799413</v>
      </c>
      <c r="G508" s="22">
        <v>288243.28841197555</v>
      </c>
      <c r="H508" s="22">
        <v>279613.22727024072</v>
      </c>
      <c r="I508" s="22">
        <v>267783.88329983829</v>
      </c>
      <c r="J508" s="22">
        <v>256016.90537233642</v>
      </c>
      <c r="K508" s="22">
        <v>245474.2919189551</v>
      </c>
      <c r="L508" s="22">
        <v>242957.7573371719</v>
      </c>
      <c r="M508" s="22">
        <v>241891.22694247379</v>
      </c>
      <c r="N508" s="22">
        <v>245113.0603298684</v>
      </c>
      <c r="O508" s="22">
        <v>252225.49908143291</v>
      </c>
      <c r="P508" s="22">
        <v>256658.28481719177</v>
      </c>
      <c r="Q508" s="22">
        <v>264911.00501440518</v>
      </c>
      <c r="R508" s="22">
        <v>277298.51034860028</v>
      </c>
      <c r="S508" s="22">
        <v>281658.12908672402</v>
      </c>
      <c r="T508" s="22">
        <v>283570.2410526984</v>
      </c>
      <c r="U508" s="22">
        <v>272659.61441526824</v>
      </c>
      <c r="V508" s="22">
        <v>283700.07243618357</v>
      </c>
      <c r="W508" s="22">
        <v>294335.46346531773</v>
      </c>
      <c r="X508" s="22">
        <v>303134.08362356399</v>
      </c>
      <c r="Y508" s="22">
        <v>313131.86685480794</v>
      </c>
      <c r="Z508" s="22">
        <v>319574.05955142609</v>
      </c>
      <c r="AA508" s="23">
        <v>317860.05549134809</v>
      </c>
      <c r="AB508" s="97"/>
      <c r="AC508" s="16">
        <v>5</v>
      </c>
      <c r="AD508" s="16">
        <f t="shared" si="156"/>
        <v>33576560.890042812</v>
      </c>
    </row>
    <row r="509" spans="1:30" ht="13.5" thickBot="1" x14ac:dyDescent="0.35">
      <c r="A509" s="28">
        <v>2039</v>
      </c>
      <c r="B509" s="25" t="s">
        <v>46</v>
      </c>
      <c r="C509" s="26" t="s">
        <v>36</v>
      </c>
      <c r="D509" s="21">
        <v>315809.98580768483</v>
      </c>
      <c r="E509" s="22">
        <v>305234.9398732821</v>
      </c>
      <c r="F509" s="22">
        <v>295066.13216125703</v>
      </c>
      <c r="G509" s="22">
        <v>286296.8515882417</v>
      </c>
      <c r="H509" s="22">
        <v>277691.70752766577</v>
      </c>
      <c r="I509" s="22">
        <v>264930.35893703904</v>
      </c>
      <c r="J509" s="22">
        <v>252136.22444682484</v>
      </c>
      <c r="K509" s="22">
        <v>240040.98206951871</v>
      </c>
      <c r="L509" s="22">
        <v>231998.72643118602</v>
      </c>
      <c r="M509" s="22">
        <v>228582.97229462356</v>
      </c>
      <c r="N509" s="22">
        <v>230784.40558465634</v>
      </c>
      <c r="O509" s="22">
        <v>238183.14043637266</v>
      </c>
      <c r="P509" s="22">
        <v>245395.127748214</v>
      </c>
      <c r="Q509" s="22">
        <v>256458.80072392654</v>
      </c>
      <c r="R509" s="22">
        <v>265433.044368478</v>
      </c>
      <c r="S509" s="22">
        <v>270440.03952319163</v>
      </c>
      <c r="T509" s="22">
        <v>274156.15083753213</v>
      </c>
      <c r="U509" s="22">
        <v>263129.9407965318</v>
      </c>
      <c r="V509" s="22">
        <v>273704.13850677223</v>
      </c>
      <c r="W509" s="22">
        <v>290603.74722776224</v>
      </c>
      <c r="X509" s="22">
        <v>304177.70352512761</v>
      </c>
      <c r="Y509" s="22">
        <v>317464.89776316209</v>
      </c>
      <c r="Z509" s="22">
        <v>321323.67271157698</v>
      </c>
      <c r="AA509" s="23">
        <v>313777.41902078118</v>
      </c>
      <c r="AB509" s="97"/>
      <c r="AC509" s="16">
        <v>5</v>
      </c>
      <c r="AD509" s="16">
        <f t="shared" si="156"/>
        <v>32814105.549557045</v>
      </c>
    </row>
    <row r="510" spans="1:30" ht="13.5" thickBot="1" x14ac:dyDescent="0.35">
      <c r="A510" s="10">
        <v>2040</v>
      </c>
      <c r="B510" s="11" t="s">
        <v>32</v>
      </c>
      <c r="C510" s="12" t="s">
        <v>33</v>
      </c>
      <c r="D510" s="21">
        <v>303821.43741808878</v>
      </c>
      <c r="E510" s="22">
        <v>291860.27413956338</v>
      </c>
      <c r="F510" s="22">
        <v>280946.25183564564</v>
      </c>
      <c r="G510" s="22">
        <v>271182.72821171663</v>
      </c>
      <c r="H510" s="22">
        <v>262214.78351891588</v>
      </c>
      <c r="I510" s="22">
        <v>253131.69122973661</v>
      </c>
      <c r="J510" s="22">
        <v>240655.37280953565</v>
      </c>
      <c r="K510" s="22">
        <v>229393.14281945373</v>
      </c>
      <c r="L510" s="22">
        <v>230819.4952053967</v>
      </c>
      <c r="M510" s="22">
        <v>233321.11364049171</v>
      </c>
      <c r="N510" s="22">
        <v>238616.04449591303</v>
      </c>
      <c r="O510" s="22">
        <v>246677.12250401411</v>
      </c>
      <c r="P510" s="22">
        <v>250347.41407103161</v>
      </c>
      <c r="Q510" s="22">
        <v>264571.18844609725</v>
      </c>
      <c r="R510" s="22">
        <v>277014.38183326635</v>
      </c>
      <c r="S510" s="22">
        <v>281306.36820065294</v>
      </c>
      <c r="T510" s="22">
        <v>279310.18706672965</v>
      </c>
      <c r="U510" s="22">
        <v>259091.18545686291</v>
      </c>
      <c r="V510" s="22">
        <v>269967.01993040834</v>
      </c>
      <c r="W510" s="22">
        <v>281080.62772951752</v>
      </c>
      <c r="X510" s="22">
        <v>293310.68610445224</v>
      </c>
      <c r="Y510" s="22">
        <v>306875.41405126761</v>
      </c>
      <c r="Z510" s="22">
        <v>312218.68087713595</v>
      </c>
      <c r="AA510" s="23">
        <v>304487.50248661346</v>
      </c>
      <c r="AB510" s="96">
        <f t="shared" ref="AB510" si="175">+SUM(D510:AA510)*AC510+SUM(D511:AA511)*AC511+SUM(D512:AA512)*AC512</f>
        <v>200548148.75878441</v>
      </c>
      <c r="AC510" s="16">
        <v>21</v>
      </c>
      <c r="AD510" s="16">
        <f t="shared" si="156"/>
        <v>135706622.39573264</v>
      </c>
    </row>
    <row r="511" spans="1:30" ht="13.5" thickBot="1" x14ac:dyDescent="0.35">
      <c r="A511" s="18">
        <v>2040</v>
      </c>
      <c r="B511" s="19" t="s">
        <v>32</v>
      </c>
      <c r="C511" s="20" t="s">
        <v>34</v>
      </c>
      <c r="D511" s="21">
        <v>306951.01080284739</v>
      </c>
      <c r="E511" s="22">
        <v>294908.24779603363</v>
      </c>
      <c r="F511" s="22">
        <v>283236.9304611861</v>
      </c>
      <c r="G511" s="22">
        <v>272712.4286681973</v>
      </c>
      <c r="H511" s="22">
        <v>262865.66745070869</v>
      </c>
      <c r="I511" s="22">
        <v>253887.73245284692</v>
      </c>
      <c r="J511" s="22">
        <v>241278.45737044042</v>
      </c>
      <c r="K511" s="22">
        <v>231087.07825728221</v>
      </c>
      <c r="L511" s="22">
        <v>235011.60929498196</v>
      </c>
      <c r="M511" s="22">
        <v>240028.92888931074</v>
      </c>
      <c r="N511" s="22">
        <v>247265.38550341208</v>
      </c>
      <c r="O511" s="22">
        <v>258142.77725744824</v>
      </c>
      <c r="P511" s="22">
        <v>264283.63233170909</v>
      </c>
      <c r="Q511" s="22">
        <v>278018.46990653907</v>
      </c>
      <c r="R511" s="22">
        <v>292070.68088060454</v>
      </c>
      <c r="S511" s="22">
        <v>294534.89120578632</v>
      </c>
      <c r="T511" s="22">
        <v>289754.66181362158</v>
      </c>
      <c r="U511" s="22">
        <v>266814.10279786668</v>
      </c>
      <c r="V511" s="22">
        <v>275720.15289000026</v>
      </c>
      <c r="W511" s="22">
        <v>284930.0500133615</v>
      </c>
      <c r="X511" s="22">
        <v>295809.89756871818</v>
      </c>
      <c r="Y511" s="22">
        <v>307961.92893996742</v>
      </c>
      <c r="Z511" s="22">
        <v>313641.83034243801</v>
      </c>
      <c r="AA511" s="23">
        <v>308568.21262369608</v>
      </c>
      <c r="AB511" s="97"/>
      <c r="AC511" s="16">
        <v>4</v>
      </c>
      <c r="AD511" s="16">
        <f t="shared" si="156"/>
        <v>26397939.062076021</v>
      </c>
    </row>
    <row r="512" spans="1:30" ht="13.5" thickBot="1" x14ac:dyDescent="0.35">
      <c r="A512" s="18">
        <v>2040</v>
      </c>
      <c r="B512" s="25" t="s">
        <v>32</v>
      </c>
      <c r="C512" s="26" t="s">
        <v>36</v>
      </c>
      <c r="D512" s="21">
        <v>309883.6087270063</v>
      </c>
      <c r="E512" s="22">
        <v>298399.56168130884</v>
      </c>
      <c r="F512" s="22">
        <v>286730.75223176624</v>
      </c>
      <c r="G512" s="22">
        <v>276287.56573641411</v>
      </c>
      <c r="H512" s="22">
        <v>266864.47796748177</v>
      </c>
      <c r="I512" s="22">
        <v>257596.68315977513</v>
      </c>
      <c r="J512" s="22">
        <v>244643.47020016133</v>
      </c>
      <c r="K512" s="22">
        <v>231246.46663993041</v>
      </c>
      <c r="L512" s="22">
        <v>229979.79073549234</v>
      </c>
      <c r="M512" s="22">
        <v>232186.37903639706</v>
      </c>
      <c r="N512" s="22">
        <v>236270.93790062983</v>
      </c>
      <c r="O512" s="22">
        <v>242703.85129974448</v>
      </c>
      <c r="P512" s="22">
        <v>246642.99384199778</v>
      </c>
      <c r="Q512" s="22">
        <v>256715.18823894238</v>
      </c>
      <c r="R512" s="22">
        <v>264830.10353908688</v>
      </c>
      <c r="S512" s="22">
        <v>268908.18893578876</v>
      </c>
      <c r="T512" s="22">
        <v>270659.03065207176</v>
      </c>
      <c r="U512" s="22">
        <v>259044.57375792577</v>
      </c>
      <c r="V512" s="22">
        <v>270694.92903288448</v>
      </c>
      <c r="W512" s="22">
        <v>277487.5389087777</v>
      </c>
      <c r="X512" s="22">
        <v>284673.54836826393</v>
      </c>
      <c r="Y512" s="22">
        <v>294168.76886102126</v>
      </c>
      <c r="Z512" s="22">
        <v>300978.07565541874</v>
      </c>
      <c r="AA512" s="23">
        <v>299668.06505433895</v>
      </c>
      <c r="AB512" s="97"/>
      <c r="AC512" s="16">
        <v>6</v>
      </c>
      <c r="AD512" s="16">
        <f t="shared" si="156"/>
        <v>38443587.300975755</v>
      </c>
    </row>
    <row r="513" spans="1:30" ht="13.5" thickBot="1" x14ac:dyDescent="0.35">
      <c r="A513" s="18">
        <v>2040</v>
      </c>
      <c r="B513" s="11" t="s">
        <v>35</v>
      </c>
      <c r="C513" s="12" t="s">
        <v>33</v>
      </c>
      <c r="D513" s="21">
        <v>310786.05230673699</v>
      </c>
      <c r="E513" s="22">
        <v>299776.96771358151</v>
      </c>
      <c r="F513" s="22">
        <v>289626.29515026865</v>
      </c>
      <c r="G513" s="22">
        <v>280581.32484148879</v>
      </c>
      <c r="H513" s="22">
        <v>271322.13242877467</v>
      </c>
      <c r="I513" s="22">
        <v>259827.36160777393</v>
      </c>
      <c r="J513" s="22">
        <v>243560.00593323598</v>
      </c>
      <c r="K513" s="22">
        <v>231521.86442656137</v>
      </c>
      <c r="L513" s="22">
        <v>232216.18371508626</v>
      </c>
      <c r="M513" s="22">
        <v>235689.68078890326</v>
      </c>
      <c r="N513" s="22">
        <v>243878.24908538855</v>
      </c>
      <c r="O513" s="22">
        <v>254255.05263444042</v>
      </c>
      <c r="P513" s="22">
        <v>261167.66263064905</v>
      </c>
      <c r="Q513" s="22">
        <v>278647.36361460597</v>
      </c>
      <c r="R513" s="22">
        <v>290688.39607139333</v>
      </c>
      <c r="S513" s="22">
        <v>293981.66327909625</v>
      </c>
      <c r="T513" s="22">
        <v>291699.34508072369</v>
      </c>
      <c r="U513" s="22">
        <v>270054.54574327858</v>
      </c>
      <c r="V513" s="22">
        <v>278557.4051892276</v>
      </c>
      <c r="W513" s="22">
        <v>293647.55519790214</v>
      </c>
      <c r="X513" s="22">
        <v>307427.40870351135</v>
      </c>
      <c r="Y513" s="22">
        <v>321119.46107461845</v>
      </c>
      <c r="Z513" s="22">
        <v>322813.20825719135</v>
      </c>
      <c r="AA513" s="23">
        <v>314433.49399207946</v>
      </c>
      <c r="AB513" s="96">
        <f t="shared" ref="AB513" si="176">+SUM(D513:AA513)*AC513+SUM(D514:AA514)*AC514+SUM(D515:AA515)*AC515</f>
        <v>193949714.67569643</v>
      </c>
      <c r="AC513" s="16">
        <v>21</v>
      </c>
      <c r="AD513" s="16">
        <f t="shared" si="156"/>
        <v>140222852.26879683</v>
      </c>
    </row>
    <row r="514" spans="1:30" ht="13.5" thickBot="1" x14ac:dyDescent="0.35">
      <c r="A514" s="18">
        <v>2040</v>
      </c>
      <c r="B514" s="19" t="s">
        <v>35</v>
      </c>
      <c r="C514" s="20" t="s">
        <v>34</v>
      </c>
      <c r="D514" s="21">
        <v>319147.02384328505</v>
      </c>
      <c r="E514" s="22">
        <v>305976.38095766603</v>
      </c>
      <c r="F514" s="22">
        <v>294749.04043313785</v>
      </c>
      <c r="G514" s="22">
        <v>284151.1323762511</v>
      </c>
      <c r="H514" s="22">
        <v>273000.28456695535</v>
      </c>
      <c r="I514" s="22">
        <v>261499.70806895773</v>
      </c>
      <c r="J514" s="22">
        <v>243734.68766981218</v>
      </c>
      <c r="K514" s="22">
        <v>232470.84520559426</v>
      </c>
      <c r="L514" s="22">
        <v>235702.33356974518</v>
      </c>
      <c r="M514" s="22">
        <v>240162.37449886376</v>
      </c>
      <c r="N514" s="22">
        <v>248565.43959496918</v>
      </c>
      <c r="O514" s="22">
        <v>261129.40543156367</v>
      </c>
      <c r="P514" s="22">
        <v>268658.61123570468</v>
      </c>
      <c r="Q514" s="22">
        <v>287745.53698877431</v>
      </c>
      <c r="R514" s="22">
        <v>305011.53343945043</v>
      </c>
      <c r="S514" s="22">
        <v>306284.48225422599</v>
      </c>
      <c r="T514" s="22">
        <v>300489.96650166443</v>
      </c>
      <c r="U514" s="22">
        <v>276577.8438520006</v>
      </c>
      <c r="V514" s="22">
        <v>282988.89082121622</v>
      </c>
      <c r="W514" s="22">
        <v>295109.37170838122</v>
      </c>
      <c r="X514" s="22">
        <v>305281.29901292507</v>
      </c>
      <c r="Y514" s="22">
        <v>317113.24883265223</v>
      </c>
      <c r="Z514" s="22">
        <v>323689.4972401433</v>
      </c>
      <c r="AA514" s="23">
        <v>318848.67525179673</v>
      </c>
      <c r="AB514" s="97"/>
      <c r="AC514" s="16">
        <v>4</v>
      </c>
      <c r="AD514" s="16">
        <f t="shared" si="156"/>
        <v>27152350.453422945</v>
      </c>
    </row>
    <row r="515" spans="1:30" ht="13.5" thickBot="1" x14ac:dyDescent="0.35">
      <c r="A515" s="18">
        <v>2040</v>
      </c>
      <c r="B515" s="25" t="s">
        <v>35</v>
      </c>
      <c r="C515" s="26" t="s">
        <v>36</v>
      </c>
      <c r="D515" s="21">
        <v>319624.65189790202</v>
      </c>
      <c r="E515" s="22">
        <v>308247.0835889795</v>
      </c>
      <c r="F515" s="22">
        <v>298197.36119525513</v>
      </c>
      <c r="G515" s="22">
        <v>288893.79565315536</v>
      </c>
      <c r="H515" s="22">
        <v>280104.6850413733</v>
      </c>
      <c r="I515" s="22">
        <v>270601.70438120217</v>
      </c>
      <c r="J515" s="22">
        <v>255709.67035469139</v>
      </c>
      <c r="K515" s="22">
        <v>241640.46530753194</v>
      </c>
      <c r="L515" s="22">
        <v>240631.79610701103</v>
      </c>
      <c r="M515" s="22">
        <v>243800.62271658602</v>
      </c>
      <c r="N515" s="22">
        <v>250246.27948867311</v>
      </c>
      <c r="O515" s="22">
        <v>258673.94076726687</v>
      </c>
      <c r="P515" s="22">
        <v>260449.9102620671</v>
      </c>
      <c r="Q515" s="22">
        <v>268917.66724423243</v>
      </c>
      <c r="R515" s="22">
        <v>277138.42218549852</v>
      </c>
      <c r="S515" s="22">
        <v>281003.81224966748</v>
      </c>
      <c r="T515" s="22">
        <v>280763.27406458685</v>
      </c>
      <c r="U515" s="22">
        <v>264239.9493267705</v>
      </c>
      <c r="V515" s="22">
        <v>274593.06968789006</v>
      </c>
      <c r="W515" s="22">
        <v>285007.78228118783</v>
      </c>
      <c r="X515" s="22">
        <v>290688.41556773841</v>
      </c>
      <c r="Y515" s="22">
        <v>298840.93371426524</v>
      </c>
      <c r="Z515" s="22">
        <v>304111.00889534788</v>
      </c>
      <c r="AA515" s="23">
        <v>301501.68639029335</v>
      </c>
      <c r="AB515" s="97"/>
      <c r="AC515" s="16">
        <v>4</v>
      </c>
      <c r="AD515" s="16">
        <f t="shared" si="156"/>
        <v>26574511.953476682</v>
      </c>
    </row>
    <row r="516" spans="1:30" ht="13.5" thickBot="1" x14ac:dyDescent="0.35">
      <c r="A516" s="18">
        <v>2040</v>
      </c>
      <c r="B516" s="11" t="s">
        <v>37</v>
      </c>
      <c r="C516" s="12" t="s">
        <v>33</v>
      </c>
      <c r="D516" s="21">
        <v>328253.81778599962</v>
      </c>
      <c r="E516" s="22">
        <v>316407.02836936549</v>
      </c>
      <c r="F516" s="22">
        <v>305368.50125015638</v>
      </c>
      <c r="G516" s="22">
        <v>295790.05206943187</v>
      </c>
      <c r="H516" s="22">
        <v>286037.71748471493</v>
      </c>
      <c r="I516" s="22">
        <v>271294.33291571104</v>
      </c>
      <c r="J516" s="22">
        <v>252006.63322950955</v>
      </c>
      <c r="K516" s="22">
        <v>242775.97480534841</v>
      </c>
      <c r="L516" s="22">
        <v>244751.71635764357</v>
      </c>
      <c r="M516" s="22">
        <v>249115.60778490483</v>
      </c>
      <c r="N516" s="22">
        <v>257158.88641685978</v>
      </c>
      <c r="O516" s="22">
        <v>268075.68509960227</v>
      </c>
      <c r="P516" s="22">
        <v>274734.96108842629</v>
      </c>
      <c r="Q516" s="22">
        <v>293272.28474162164</v>
      </c>
      <c r="R516" s="22">
        <v>305100.23277215712</v>
      </c>
      <c r="S516" s="22">
        <v>308370.61473279941</v>
      </c>
      <c r="T516" s="22">
        <v>307171.6432743129</v>
      </c>
      <c r="U516" s="22">
        <v>284261.48426463379</v>
      </c>
      <c r="V516" s="22">
        <v>292459.26597877184</v>
      </c>
      <c r="W516" s="22">
        <v>309560.89555410884</v>
      </c>
      <c r="X516" s="22">
        <v>323907.75339112635</v>
      </c>
      <c r="Y516" s="22">
        <v>337816.81112712377</v>
      </c>
      <c r="Z516" s="22">
        <v>340469.46159811545</v>
      </c>
      <c r="AA516" s="23">
        <v>330571.46597052523</v>
      </c>
      <c r="AB516" s="96">
        <f t="shared" ref="AB516" si="177">+SUM(D516:AA516)*AC516+SUM(D517:AA517)*AC517+SUM(D518:AA518)*AC518</f>
        <v>217394235.8244769</v>
      </c>
      <c r="AC516" s="16">
        <v>19</v>
      </c>
      <c r="AD516" s="16">
        <f t="shared" si="156"/>
        <v>133469923.73319642</v>
      </c>
    </row>
    <row r="517" spans="1:30" ht="13.5" thickBot="1" x14ac:dyDescent="0.35">
      <c r="A517" s="18">
        <v>2040</v>
      </c>
      <c r="B517" s="19" t="s">
        <v>37</v>
      </c>
      <c r="C517" s="20" t="s">
        <v>34</v>
      </c>
      <c r="D517" s="21">
        <v>329203.55732568481</v>
      </c>
      <c r="E517" s="22">
        <v>316902.53508761339</v>
      </c>
      <c r="F517" s="22">
        <v>305738.16889661935</v>
      </c>
      <c r="G517" s="22">
        <v>295331.3911409768</v>
      </c>
      <c r="H517" s="22">
        <v>284433.28519237984</v>
      </c>
      <c r="I517" s="22">
        <v>268935.39965487923</v>
      </c>
      <c r="J517" s="22">
        <v>249876.33287155777</v>
      </c>
      <c r="K517" s="22">
        <v>242076.529942327</v>
      </c>
      <c r="L517" s="22">
        <v>244946.72948916737</v>
      </c>
      <c r="M517" s="22">
        <v>249359.28958160485</v>
      </c>
      <c r="N517" s="22">
        <v>258036.4879267145</v>
      </c>
      <c r="O517" s="22">
        <v>268061.95158517256</v>
      </c>
      <c r="P517" s="22">
        <v>275549.37475624518</v>
      </c>
      <c r="Q517" s="22">
        <v>293494.98339522199</v>
      </c>
      <c r="R517" s="22">
        <v>308295.08363587002</v>
      </c>
      <c r="S517" s="22">
        <v>310510.74861650122</v>
      </c>
      <c r="T517" s="22">
        <v>306880.4882839105</v>
      </c>
      <c r="U517" s="22">
        <v>284124.65891257796</v>
      </c>
      <c r="V517" s="22">
        <v>292393.3518668873</v>
      </c>
      <c r="W517" s="22">
        <v>307309.47688695381</v>
      </c>
      <c r="X517" s="22">
        <v>319120.10478115838</v>
      </c>
      <c r="Y517" s="22">
        <v>332600.1416419617</v>
      </c>
      <c r="Z517" s="22">
        <v>337825.84300813836</v>
      </c>
      <c r="AA517" s="23">
        <v>330606.90171311679</v>
      </c>
      <c r="AB517" s="97"/>
      <c r="AC517" s="16">
        <v>5</v>
      </c>
      <c r="AD517" s="16">
        <f t="shared" si="156"/>
        <v>35058064.080966197</v>
      </c>
    </row>
    <row r="518" spans="1:30" ht="13.5" thickBot="1" x14ac:dyDescent="0.35">
      <c r="A518" s="18">
        <v>2040</v>
      </c>
      <c r="B518" s="25" t="s">
        <v>37</v>
      </c>
      <c r="C518" s="26" t="s">
        <v>36</v>
      </c>
      <c r="D518" s="21">
        <v>330555.59274383046</v>
      </c>
      <c r="E518" s="22">
        <v>318381.7689952575</v>
      </c>
      <c r="F518" s="22">
        <v>308135.98101913178</v>
      </c>
      <c r="G518" s="22">
        <v>298605.56658706447</v>
      </c>
      <c r="H518" s="22">
        <v>289394.85250623658</v>
      </c>
      <c r="I518" s="22">
        <v>277011.00202457811</v>
      </c>
      <c r="J518" s="22">
        <v>261628.9496238658</v>
      </c>
      <c r="K518" s="22">
        <v>251485.01484571776</v>
      </c>
      <c r="L518" s="22">
        <v>250221.75556860672</v>
      </c>
      <c r="M518" s="22">
        <v>251870.2308983253</v>
      </c>
      <c r="N518" s="22">
        <v>256652.81778139094</v>
      </c>
      <c r="O518" s="22">
        <v>264402.18992685102</v>
      </c>
      <c r="P518" s="22">
        <v>270614.00524749316</v>
      </c>
      <c r="Q518" s="22">
        <v>284177.44668870274</v>
      </c>
      <c r="R518" s="22">
        <v>295758.04289665498</v>
      </c>
      <c r="S518" s="22">
        <v>298606.02808982914</v>
      </c>
      <c r="T518" s="22">
        <v>298314.61569236952</v>
      </c>
      <c r="U518" s="22">
        <v>282248.12751714612</v>
      </c>
      <c r="V518" s="22">
        <v>291058.07295597892</v>
      </c>
      <c r="W518" s="22">
        <v>303399.81190383539</v>
      </c>
      <c r="X518" s="22">
        <v>313006.5951689115</v>
      </c>
      <c r="Y518" s="22">
        <v>324957.9954692765</v>
      </c>
      <c r="Z518" s="22">
        <v>331854.98201617145</v>
      </c>
      <c r="AA518" s="23">
        <v>328551.12673481216</v>
      </c>
      <c r="AB518" s="97"/>
      <c r="AC518" s="16">
        <v>7</v>
      </c>
      <c r="AD518" s="16">
        <f t="shared" ref="AD518:AD545" si="178">+SUM(D518:AA518)*AC518</f>
        <v>48866248.010314271</v>
      </c>
    </row>
    <row r="519" spans="1:30" ht="13.5" thickBot="1" x14ac:dyDescent="0.35">
      <c r="A519" s="18">
        <v>2040</v>
      </c>
      <c r="B519" s="11" t="s">
        <v>38</v>
      </c>
      <c r="C519" s="12" t="s">
        <v>33</v>
      </c>
      <c r="D519" s="21">
        <v>318059.41594387527</v>
      </c>
      <c r="E519" s="22">
        <v>306388.18831297418</v>
      </c>
      <c r="F519" s="22">
        <v>295767.20879642235</v>
      </c>
      <c r="G519" s="22">
        <v>286550.34851358295</v>
      </c>
      <c r="H519" s="22">
        <v>277477.9618447831</v>
      </c>
      <c r="I519" s="22">
        <v>262915.17331247882</v>
      </c>
      <c r="J519" s="22">
        <v>248616.61699133948</v>
      </c>
      <c r="K519" s="22">
        <v>239837.04630308336</v>
      </c>
      <c r="L519" s="22">
        <v>236483.70258397245</v>
      </c>
      <c r="M519" s="22">
        <v>235707.91635627052</v>
      </c>
      <c r="N519" s="22">
        <v>239781.91688203931</v>
      </c>
      <c r="O519" s="22">
        <v>248249.32846246651</v>
      </c>
      <c r="P519" s="22">
        <v>254635.19829639239</v>
      </c>
      <c r="Q519" s="22">
        <v>269751.40140863945</v>
      </c>
      <c r="R519" s="22">
        <v>280751.86754624371</v>
      </c>
      <c r="S519" s="22">
        <v>284707.49819711491</v>
      </c>
      <c r="T519" s="22">
        <v>286612.25087262213</v>
      </c>
      <c r="U519" s="22">
        <v>271676.82650162547</v>
      </c>
      <c r="V519" s="22">
        <v>280114.43091282342</v>
      </c>
      <c r="W519" s="22">
        <v>296938.15731211629</v>
      </c>
      <c r="X519" s="22">
        <v>311107.00168692367</v>
      </c>
      <c r="Y519" s="22">
        <v>323979.60579912638</v>
      </c>
      <c r="Z519" s="22">
        <v>327246.57226705016</v>
      </c>
      <c r="AA519" s="23">
        <v>318421.16830125812</v>
      </c>
      <c r="AB519" s="96">
        <f t="shared" ref="AB519" si="179">+SUM(D519:AA519)*AC519+SUM(D520:AA520)*AC520+SUM(D521:AA521)*AC521</f>
        <v>201405564.56778479</v>
      </c>
      <c r="AC519" s="16">
        <v>21</v>
      </c>
      <c r="AD519" s="16">
        <f t="shared" si="178"/>
        <v>140737312.8715097</v>
      </c>
    </row>
    <row r="520" spans="1:30" ht="13.5" thickBot="1" x14ac:dyDescent="0.35">
      <c r="A520" s="18">
        <v>2040</v>
      </c>
      <c r="B520" s="19" t="s">
        <v>38</v>
      </c>
      <c r="C520" s="20" t="s">
        <v>34</v>
      </c>
      <c r="D520" s="21">
        <v>319822.53693360998</v>
      </c>
      <c r="E520" s="22">
        <v>307899.2161390055</v>
      </c>
      <c r="F520" s="22">
        <v>297149.65505440655</v>
      </c>
      <c r="G520" s="22">
        <v>287811.00929737918</v>
      </c>
      <c r="H520" s="22">
        <v>278613.81383092434</v>
      </c>
      <c r="I520" s="22">
        <v>263656.2982230885</v>
      </c>
      <c r="J520" s="22">
        <v>249019.04610516794</v>
      </c>
      <c r="K520" s="22">
        <v>240872.04099380402</v>
      </c>
      <c r="L520" s="22">
        <v>238413.31744042513</v>
      </c>
      <c r="M520" s="22">
        <v>238149.90947376535</v>
      </c>
      <c r="N520" s="22">
        <v>242602.61258539616</v>
      </c>
      <c r="O520" s="22">
        <v>251308.73546478146</v>
      </c>
      <c r="P520" s="22">
        <v>257567.53097122477</v>
      </c>
      <c r="Q520" s="22">
        <v>273489.06966538192</v>
      </c>
      <c r="R520" s="22">
        <v>284896.00584794144</v>
      </c>
      <c r="S520" s="22">
        <v>288648.17579984979</v>
      </c>
      <c r="T520" s="22">
        <v>290184.7370505174</v>
      </c>
      <c r="U520" s="22">
        <v>274408.10742130422</v>
      </c>
      <c r="V520" s="22">
        <v>282486.43991993775</v>
      </c>
      <c r="W520" s="22">
        <v>299367.39386932593</v>
      </c>
      <c r="X520" s="22">
        <v>313706.23182247288</v>
      </c>
      <c r="Y520" s="22">
        <v>326556.7089544296</v>
      </c>
      <c r="Z520" s="22">
        <v>329728.10018990742</v>
      </c>
      <c r="AA520" s="23">
        <v>320628.82961047313</v>
      </c>
      <c r="AB520" s="97"/>
      <c r="AC520" s="16">
        <v>4</v>
      </c>
      <c r="AD520" s="16">
        <f t="shared" si="178"/>
        <v>27027942.09065808</v>
      </c>
    </row>
    <row r="521" spans="1:30" ht="13.5" thickBot="1" x14ac:dyDescent="0.35">
      <c r="A521" s="18">
        <v>2040</v>
      </c>
      <c r="B521" s="25" t="s">
        <v>38</v>
      </c>
      <c r="C521" s="26" t="s">
        <v>36</v>
      </c>
      <c r="D521" s="21">
        <v>321934.40414516075</v>
      </c>
      <c r="E521" s="22">
        <v>310091.06658358843</v>
      </c>
      <c r="F521" s="22">
        <v>298815.26527919597</v>
      </c>
      <c r="G521" s="22">
        <v>289208.28305684461</v>
      </c>
      <c r="H521" s="22">
        <v>280452.85221526527</v>
      </c>
      <c r="I521" s="22">
        <v>267579.25134062237</v>
      </c>
      <c r="J521" s="22">
        <v>255348.30473223544</v>
      </c>
      <c r="K521" s="22">
        <v>245058.90573519148</v>
      </c>
      <c r="L521" s="22">
        <v>242849.97457110128</v>
      </c>
      <c r="M521" s="22">
        <v>242991.33340514489</v>
      </c>
      <c r="N521" s="22">
        <v>246465.00449649585</v>
      </c>
      <c r="O521" s="22">
        <v>253725.9801237075</v>
      </c>
      <c r="P521" s="22">
        <v>257286.04245605232</v>
      </c>
      <c r="Q521" s="22">
        <v>264882.18502255826</v>
      </c>
      <c r="R521" s="22">
        <v>276974.93019124737</v>
      </c>
      <c r="S521" s="22">
        <v>281133.85788154078</v>
      </c>
      <c r="T521" s="22">
        <v>284293.06647564413</v>
      </c>
      <c r="U521" s="22">
        <v>274335.4214937549</v>
      </c>
      <c r="V521" s="22">
        <v>284197.30542448652</v>
      </c>
      <c r="W521" s="22">
        <v>295746.11482732167</v>
      </c>
      <c r="X521" s="22">
        <v>303402.70073237002</v>
      </c>
      <c r="Y521" s="22">
        <v>313329.43459901714</v>
      </c>
      <c r="Z521" s="22">
        <v>320015.71741907904</v>
      </c>
      <c r="AA521" s="23">
        <v>317944.5189157768</v>
      </c>
      <c r="AB521" s="97"/>
      <c r="AC521" s="16">
        <v>5</v>
      </c>
      <c r="AD521" s="16">
        <f t="shared" si="178"/>
        <v>33640309.605617009</v>
      </c>
    </row>
    <row r="522" spans="1:30" ht="13.5" thickBot="1" x14ac:dyDescent="0.35">
      <c r="A522" s="18">
        <v>2040</v>
      </c>
      <c r="B522" s="11" t="s">
        <v>39</v>
      </c>
      <c r="C522" s="12" t="s">
        <v>33</v>
      </c>
      <c r="D522" s="21">
        <v>330054.41349933954</v>
      </c>
      <c r="E522" s="22">
        <v>317628.8273249655</v>
      </c>
      <c r="F522" s="22">
        <v>306492.80266863207</v>
      </c>
      <c r="G522" s="22">
        <v>296811.64021787612</v>
      </c>
      <c r="H522" s="22">
        <v>287273.84308849985</v>
      </c>
      <c r="I522" s="22">
        <v>271633.48013246985</v>
      </c>
      <c r="J522" s="22">
        <v>256359.9916360573</v>
      </c>
      <c r="K522" s="22">
        <v>248815.44758106439</v>
      </c>
      <c r="L522" s="22">
        <v>247276.79515521129</v>
      </c>
      <c r="M522" s="22">
        <v>247605.226765873</v>
      </c>
      <c r="N522" s="22">
        <v>252577.59655911211</v>
      </c>
      <c r="O522" s="22">
        <v>261735.87058072514</v>
      </c>
      <c r="P522" s="22">
        <v>268071.06978502159</v>
      </c>
      <c r="Q522" s="22">
        <v>284905.39472906152</v>
      </c>
      <c r="R522" s="22">
        <v>296768.04621257645</v>
      </c>
      <c r="S522" s="22">
        <v>300249.61368142912</v>
      </c>
      <c r="T522" s="22">
        <v>301199.55273913202</v>
      </c>
      <c r="U522" s="22">
        <v>284384.79492065066</v>
      </c>
      <c r="V522" s="22">
        <v>292447.03048801521</v>
      </c>
      <c r="W522" s="22">
        <v>309837.59535754594</v>
      </c>
      <c r="X522" s="22">
        <v>324690.91412720847</v>
      </c>
      <c r="Y522" s="22">
        <v>337885.16071516613</v>
      </c>
      <c r="Z522" s="22">
        <v>341080.80286756874</v>
      </c>
      <c r="AA522" s="23">
        <v>331543.44449793652</v>
      </c>
      <c r="AB522" s="96">
        <f t="shared" ref="AB522" si="180">+SUM(D522:AA522)*AC522+SUM(D523:AA523)*AC523+SUM(D524:AA524)*AC524</f>
        <v>216480244.28472295</v>
      </c>
      <c r="AC522" s="16">
        <v>21</v>
      </c>
      <c r="AD522" s="16">
        <f t="shared" si="178"/>
        <v>146943916.46195388</v>
      </c>
    </row>
    <row r="523" spans="1:30" ht="13.5" thickBot="1" x14ac:dyDescent="0.35">
      <c r="A523" s="18">
        <v>2040</v>
      </c>
      <c r="B523" s="19" t="s">
        <v>39</v>
      </c>
      <c r="C523" s="20" t="s">
        <v>34</v>
      </c>
      <c r="D523" s="21">
        <v>329683.06729998562</v>
      </c>
      <c r="E523" s="22">
        <v>316839.82721994072</v>
      </c>
      <c r="F523" s="22">
        <v>305554.6139260662</v>
      </c>
      <c r="G523" s="22">
        <v>295720.62286055135</v>
      </c>
      <c r="H523" s="22">
        <v>286021.09825847053</v>
      </c>
      <c r="I523" s="22">
        <v>269676.00931802043</v>
      </c>
      <c r="J523" s="22">
        <v>253822.48681961297</v>
      </c>
      <c r="K523" s="22">
        <v>247723.425033949</v>
      </c>
      <c r="L523" s="22">
        <v>248144.9003989686</v>
      </c>
      <c r="M523" s="22">
        <v>249568.88087645534</v>
      </c>
      <c r="N523" s="22">
        <v>255303.89016678146</v>
      </c>
      <c r="O523" s="22">
        <v>264876.10535237275</v>
      </c>
      <c r="P523" s="22">
        <v>270837.43963333685</v>
      </c>
      <c r="Q523" s="22">
        <v>289334.50780395925</v>
      </c>
      <c r="R523" s="22">
        <v>302024.64690536994</v>
      </c>
      <c r="S523" s="22">
        <v>305068.95819063549</v>
      </c>
      <c r="T523" s="22">
        <v>305282.22648038797</v>
      </c>
      <c r="U523" s="22">
        <v>286687.68049299053</v>
      </c>
      <c r="V523" s="22">
        <v>293811.83239682281</v>
      </c>
      <c r="W523" s="22">
        <v>311103.36613915378</v>
      </c>
      <c r="X523" s="22">
        <v>326152.18306410441</v>
      </c>
      <c r="Y523" s="22">
        <v>339119.71958153113</v>
      </c>
      <c r="Z523" s="22">
        <v>342051.82683103171</v>
      </c>
      <c r="AA523" s="23">
        <v>332008.03713105549</v>
      </c>
      <c r="AB523" s="97"/>
      <c r="AC523" s="16">
        <v>4</v>
      </c>
      <c r="AD523" s="16">
        <f t="shared" si="178"/>
        <v>28105669.408726219</v>
      </c>
    </row>
    <row r="524" spans="1:30" ht="13.5" thickBot="1" x14ac:dyDescent="0.35">
      <c r="A524" s="18">
        <v>2040</v>
      </c>
      <c r="B524" s="25" t="s">
        <v>39</v>
      </c>
      <c r="C524" s="26" t="s">
        <v>36</v>
      </c>
      <c r="D524" s="21">
        <v>329455.85689350992</v>
      </c>
      <c r="E524" s="22">
        <v>317474.03085036628</v>
      </c>
      <c r="F524" s="22">
        <v>306162.70911317278</v>
      </c>
      <c r="G524" s="22">
        <v>296475.54433327244</v>
      </c>
      <c r="H524" s="22">
        <v>287423.80062155641</v>
      </c>
      <c r="I524" s="22">
        <v>273830.85391675547</v>
      </c>
      <c r="J524" s="22">
        <v>260732.72015495226</v>
      </c>
      <c r="K524" s="22">
        <v>250662.68753967356</v>
      </c>
      <c r="L524" s="22">
        <v>247816.97007400033</v>
      </c>
      <c r="M524" s="22">
        <v>247581.6820643307</v>
      </c>
      <c r="N524" s="22">
        <v>251271.17038080675</v>
      </c>
      <c r="O524" s="22">
        <v>259067.07571896305</v>
      </c>
      <c r="P524" s="22">
        <v>263782.50669133448</v>
      </c>
      <c r="Q524" s="22">
        <v>273602.03205096605</v>
      </c>
      <c r="R524" s="22">
        <v>285275.92469133186</v>
      </c>
      <c r="S524" s="22">
        <v>289370.66392193694</v>
      </c>
      <c r="T524" s="22">
        <v>292026.54906602378</v>
      </c>
      <c r="U524" s="22">
        <v>280576.23060537426</v>
      </c>
      <c r="V524" s="22">
        <v>290485.20577634173</v>
      </c>
      <c r="W524" s="22">
        <v>304173.36071237567</v>
      </c>
      <c r="X524" s="22">
        <v>314203.05977834458</v>
      </c>
      <c r="Y524" s="22">
        <v>325466.90266185463</v>
      </c>
      <c r="Z524" s="22">
        <v>331240.12605277007</v>
      </c>
      <c r="AA524" s="23">
        <v>326952.07200379862</v>
      </c>
      <c r="AB524" s="97"/>
      <c r="AC524" s="16">
        <v>6</v>
      </c>
      <c r="AD524" s="16">
        <f t="shared" si="178"/>
        <v>41430658.414042868</v>
      </c>
    </row>
    <row r="525" spans="1:30" ht="13.5" thickBot="1" x14ac:dyDescent="0.35">
      <c r="A525" s="18">
        <v>2040</v>
      </c>
      <c r="B525" s="11" t="s">
        <v>40</v>
      </c>
      <c r="C525" s="12" t="s">
        <v>33</v>
      </c>
      <c r="D525" s="21">
        <v>332770.02863045066</v>
      </c>
      <c r="E525" s="22">
        <v>320292.08759216417</v>
      </c>
      <c r="F525" s="22">
        <v>309083.80410437542</v>
      </c>
      <c r="G525" s="22">
        <v>299342.42643566715</v>
      </c>
      <c r="H525" s="22">
        <v>289746.56209749507</v>
      </c>
      <c r="I525" s="22">
        <v>274060.44731316977</v>
      </c>
      <c r="J525" s="22">
        <v>258730.10651385636</v>
      </c>
      <c r="K525" s="22">
        <v>250815.05331754949</v>
      </c>
      <c r="L525" s="22">
        <v>248960.15784161293</v>
      </c>
      <c r="M525" s="22">
        <v>249113.10026147775</v>
      </c>
      <c r="N525" s="22">
        <v>254009.10131059735</v>
      </c>
      <c r="O525" s="22">
        <v>263183.54634300439</v>
      </c>
      <c r="P525" s="22">
        <v>269614.24668549228</v>
      </c>
      <c r="Q525" s="22">
        <v>286411.76332030894</v>
      </c>
      <c r="R525" s="22">
        <v>298305.39397728647</v>
      </c>
      <c r="S525" s="22">
        <v>301915.34678078518</v>
      </c>
      <c r="T525" s="22">
        <v>303037.99191018858</v>
      </c>
      <c r="U525" s="22">
        <v>286537.75541502563</v>
      </c>
      <c r="V525" s="22">
        <v>294770.04367095267</v>
      </c>
      <c r="W525" s="22">
        <v>312310.81974123447</v>
      </c>
      <c r="X525" s="22">
        <v>327260.91081647773</v>
      </c>
      <c r="Y525" s="22">
        <v>340586.18279024982</v>
      </c>
      <c r="Z525" s="22">
        <v>343837.04030722188</v>
      </c>
      <c r="AA525" s="23">
        <v>334280.4150297367</v>
      </c>
      <c r="AB525" s="96">
        <f t="shared" ref="AB525" si="181">+SUM(D525:AA525)*AC525+SUM(D526:AA526)*AC526+SUM(D527:AA527)*AC527</f>
        <v>210937396.58550206</v>
      </c>
      <c r="AC525" s="16">
        <v>19</v>
      </c>
      <c r="AD525" s="16">
        <f t="shared" si="178"/>
        <v>133930512.31192121</v>
      </c>
    </row>
    <row r="526" spans="1:30" ht="13.5" thickBot="1" x14ac:dyDescent="0.35">
      <c r="A526" s="18">
        <v>2040</v>
      </c>
      <c r="B526" s="19" t="s">
        <v>40</v>
      </c>
      <c r="C526" s="20" t="s">
        <v>34</v>
      </c>
      <c r="D526" s="21">
        <v>331880.14355867368</v>
      </c>
      <c r="E526" s="22">
        <v>318952.41941620095</v>
      </c>
      <c r="F526" s="22">
        <v>307592.97090921126</v>
      </c>
      <c r="G526" s="22">
        <v>297694.29090929107</v>
      </c>
      <c r="H526" s="22">
        <v>287930.96190607024</v>
      </c>
      <c r="I526" s="22">
        <v>271478.35340623907</v>
      </c>
      <c r="J526" s="22">
        <v>255520.54491955222</v>
      </c>
      <c r="K526" s="22">
        <v>249221.32505435793</v>
      </c>
      <c r="L526" s="22">
        <v>249548.47719414913</v>
      </c>
      <c r="M526" s="22">
        <v>250917.95587568631</v>
      </c>
      <c r="N526" s="22">
        <v>256655.38892125967</v>
      </c>
      <c r="O526" s="22">
        <v>266278.36555555859</v>
      </c>
      <c r="P526" s="22">
        <v>272282.13286193431</v>
      </c>
      <c r="Q526" s="22">
        <v>290919.19239066669</v>
      </c>
      <c r="R526" s="22">
        <v>303726.89622766629</v>
      </c>
      <c r="S526" s="22">
        <v>306851.04784846655</v>
      </c>
      <c r="T526" s="22">
        <v>307161.50049463043</v>
      </c>
      <c r="U526" s="22">
        <v>288687.09744987765</v>
      </c>
      <c r="V526" s="22">
        <v>295858.11270676076</v>
      </c>
      <c r="W526" s="22">
        <v>313263.39181296033</v>
      </c>
      <c r="X526" s="22">
        <v>328411.20129591262</v>
      </c>
      <c r="Y526" s="22">
        <v>341464.03950962826</v>
      </c>
      <c r="Z526" s="22">
        <v>344415.43444123777</v>
      </c>
      <c r="AA526" s="23">
        <v>334305.57573135931</v>
      </c>
      <c r="AB526" s="97"/>
      <c r="AC526" s="16">
        <v>5</v>
      </c>
      <c r="AD526" s="16">
        <f t="shared" si="178"/>
        <v>35355084.101986751</v>
      </c>
    </row>
    <row r="527" spans="1:30" ht="13.5" thickBot="1" x14ac:dyDescent="0.35">
      <c r="A527" s="18">
        <v>2040</v>
      </c>
      <c r="B527" s="25" t="s">
        <v>40</v>
      </c>
      <c r="C527" s="26" t="s">
        <v>36</v>
      </c>
      <c r="D527" s="21">
        <v>332838.90871758532</v>
      </c>
      <c r="E527" s="22">
        <v>321115.25236686319</v>
      </c>
      <c r="F527" s="22">
        <v>309830.22253784473</v>
      </c>
      <c r="G527" s="22">
        <v>300188.17232464213</v>
      </c>
      <c r="H527" s="22">
        <v>291197.32303427259</v>
      </c>
      <c r="I527" s="22">
        <v>278106.41911802371</v>
      </c>
      <c r="J527" s="22">
        <v>265406.12977408426</v>
      </c>
      <c r="K527" s="22">
        <v>253828.60002078747</v>
      </c>
      <c r="L527" s="22">
        <v>249161.029928367</v>
      </c>
      <c r="M527" s="22">
        <v>247913.51922515384</v>
      </c>
      <c r="N527" s="22">
        <v>250936.59105865852</v>
      </c>
      <c r="O527" s="22">
        <v>258426.13703719433</v>
      </c>
      <c r="P527" s="22">
        <v>263507.79628385435</v>
      </c>
      <c r="Q527" s="22">
        <v>271942.78759355488</v>
      </c>
      <c r="R527" s="22">
        <v>283022.83466030582</v>
      </c>
      <c r="S527" s="22">
        <v>287585.38697777822</v>
      </c>
      <c r="T527" s="22">
        <v>290989.77108350437</v>
      </c>
      <c r="U527" s="22">
        <v>281271.76600518165</v>
      </c>
      <c r="V527" s="22">
        <v>292101.92531081027</v>
      </c>
      <c r="W527" s="22">
        <v>305986.17539527192</v>
      </c>
      <c r="X527" s="22">
        <v>315915.35800669581</v>
      </c>
      <c r="Y527" s="22">
        <v>327472.73897122504</v>
      </c>
      <c r="Z527" s="22">
        <v>333541.1712256514</v>
      </c>
      <c r="AA527" s="23">
        <v>329680.67860837566</v>
      </c>
      <c r="AB527" s="97"/>
      <c r="AC527" s="16">
        <v>6</v>
      </c>
      <c r="AD527" s="16">
        <f t="shared" si="178"/>
        <v>41651800.171594113</v>
      </c>
    </row>
    <row r="528" spans="1:30" ht="13.5" thickBot="1" x14ac:dyDescent="0.35">
      <c r="A528" s="18">
        <v>2040</v>
      </c>
      <c r="B528" s="11" t="s">
        <v>41</v>
      </c>
      <c r="C528" s="12" t="s">
        <v>33</v>
      </c>
      <c r="D528" s="21">
        <v>320425.83027321292</v>
      </c>
      <c r="E528" s="22">
        <v>308376.02582689642</v>
      </c>
      <c r="F528" s="22">
        <v>297567.40579439857</v>
      </c>
      <c r="G528" s="22">
        <v>288171.8378156742</v>
      </c>
      <c r="H528" s="22">
        <v>278915.87083728227</v>
      </c>
      <c r="I528" s="22">
        <v>263755.96969207248</v>
      </c>
      <c r="J528" s="22">
        <v>248947.16736896842</v>
      </c>
      <c r="K528" s="22">
        <v>241242.02056653649</v>
      </c>
      <c r="L528" s="22">
        <v>239339.75765341526</v>
      </c>
      <c r="M528" s="22">
        <v>239398.41744837505</v>
      </c>
      <c r="N528" s="22">
        <v>244076.9548355802</v>
      </c>
      <c r="O528" s="22">
        <v>252912.81629499438</v>
      </c>
      <c r="P528" s="22">
        <v>259091.68474994722</v>
      </c>
      <c r="Q528" s="22">
        <v>275432.76434848609</v>
      </c>
      <c r="R528" s="22">
        <v>287033.36799007183</v>
      </c>
      <c r="S528" s="22">
        <v>290633.76965881122</v>
      </c>
      <c r="T528" s="22">
        <v>291908.91837618762</v>
      </c>
      <c r="U528" s="22">
        <v>275588.60775194335</v>
      </c>
      <c r="V528" s="22">
        <v>283457.38493530557</v>
      </c>
      <c r="W528" s="22">
        <v>300350.48864945967</v>
      </c>
      <c r="X528" s="22">
        <v>314767.25792489864</v>
      </c>
      <c r="Y528" s="22">
        <v>327590.39392222604</v>
      </c>
      <c r="Z528" s="22">
        <v>330704.84358429187</v>
      </c>
      <c r="AA528" s="23">
        <v>321463.66145586182</v>
      </c>
      <c r="AB528" s="96">
        <f t="shared" ref="AB528" si="182">+SUM(D528:AA528)*AC528+SUM(D529:AA529)*AC529+SUM(D530:AA530)*AC530</f>
        <v>210242102.4844813</v>
      </c>
      <c r="AC528" s="16">
        <v>20</v>
      </c>
      <c r="AD528" s="16">
        <f t="shared" si="178"/>
        <v>135623064.35509795</v>
      </c>
    </row>
    <row r="529" spans="1:30" ht="13.5" thickBot="1" x14ac:dyDescent="0.35">
      <c r="A529" s="18">
        <v>2040</v>
      </c>
      <c r="B529" s="19" t="s">
        <v>41</v>
      </c>
      <c r="C529" s="20" t="s">
        <v>34</v>
      </c>
      <c r="D529" s="21">
        <v>323212.36088076141</v>
      </c>
      <c r="E529" s="22">
        <v>310617.93854789826</v>
      </c>
      <c r="F529" s="22">
        <v>299551.3586620072</v>
      </c>
      <c r="G529" s="22">
        <v>289907.88583702035</v>
      </c>
      <c r="H529" s="22">
        <v>280396.27439744241</v>
      </c>
      <c r="I529" s="22">
        <v>264367.84606461972</v>
      </c>
      <c r="J529" s="22">
        <v>248821.46084063564</v>
      </c>
      <c r="K529" s="22">
        <v>242606.34086191576</v>
      </c>
      <c r="L529" s="22">
        <v>242785.23961025832</v>
      </c>
      <c r="M529" s="22">
        <v>244027.43868637359</v>
      </c>
      <c r="N529" s="22">
        <v>249566.11481530202</v>
      </c>
      <c r="O529" s="22">
        <v>258923.41640792374</v>
      </c>
      <c r="P529" s="22">
        <v>264777.03004483454</v>
      </c>
      <c r="Q529" s="22">
        <v>282959.96505268628</v>
      </c>
      <c r="R529" s="22">
        <v>295486.54817222856</v>
      </c>
      <c r="S529" s="22">
        <v>298616.28664435609</v>
      </c>
      <c r="T529" s="22">
        <v>299056.66142748296</v>
      </c>
      <c r="U529" s="22">
        <v>280799.10922175029</v>
      </c>
      <c r="V529" s="22">
        <v>287785.24179274705</v>
      </c>
      <c r="W529" s="22">
        <v>304741.77903541946</v>
      </c>
      <c r="X529" s="22">
        <v>319499.04860147287</v>
      </c>
      <c r="Y529" s="22">
        <v>332215.35932208708</v>
      </c>
      <c r="Z529" s="22">
        <v>335090.66156632651</v>
      </c>
      <c r="AA529" s="23">
        <v>325241.45462823461</v>
      </c>
      <c r="AB529" s="97"/>
      <c r="AC529" s="16">
        <v>4</v>
      </c>
      <c r="AD529" s="16">
        <f t="shared" si="178"/>
        <v>27524211.284487136</v>
      </c>
    </row>
    <row r="530" spans="1:30" ht="13.5" thickBot="1" x14ac:dyDescent="0.35">
      <c r="A530" s="18">
        <v>2040</v>
      </c>
      <c r="B530" s="25" t="s">
        <v>41</v>
      </c>
      <c r="C530" s="26" t="s">
        <v>36</v>
      </c>
      <c r="D530" s="21">
        <v>321487.17806667084</v>
      </c>
      <c r="E530" s="22">
        <v>309772.27018422651</v>
      </c>
      <c r="F530" s="22">
        <v>298699.07000719861</v>
      </c>
      <c r="G530" s="22">
        <v>289223.07900904125</v>
      </c>
      <c r="H530" s="22">
        <v>280400.8825128501</v>
      </c>
      <c r="I530" s="22">
        <v>267192.58301185101</v>
      </c>
      <c r="J530" s="22">
        <v>254490.42559473409</v>
      </c>
      <c r="K530" s="22">
        <v>244373.14681514207</v>
      </c>
      <c r="L530" s="22">
        <v>241448.92008258664</v>
      </c>
      <c r="M530" s="22">
        <v>241122.13770436152</v>
      </c>
      <c r="N530" s="22">
        <v>244620.67705569786</v>
      </c>
      <c r="O530" s="22">
        <v>252149.27798448721</v>
      </c>
      <c r="P530" s="22">
        <v>256607.04128602234</v>
      </c>
      <c r="Q530" s="22">
        <v>265944.05554953922</v>
      </c>
      <c r="R530" s="22">
        <v>277519.17617206613</v>
      </c>
      <c r="S530" s="22">
        <v>281680.49788985506</v>
      </c>
      <c r="T530" s="22">
        <v>284581.6439811344</v>
      </c>
      <c r="U530" s="22">
        <v>273533.969881572</v>
      </c>
      <c r="V530" s="22">
        <v>283232.01991792332</v>
      </c>
      <c r="W530" s="22">
        <v>296326.87370859319</v>
      </c>
      <c r="X530" s="22">
        <v>305804.58888684202</v>
      </c>
      <c r="Y530" s="22">
        <v>316641.83059793018</v>
      </c>
      <c r="Z530" s="22">
        <v>322429.06087253866</v>
      </c>
      <c r="AA530" s="23">
        <v>318551.99964088231</v>
      </c>
      <c r="AB530" s="97"/>
      <c r="AC530" s="16">
        <v>7</v>
      </c>
      <c r="AD530" s="16">
        <f t="shared" si="178"/>
        <v>47094826.844896227</v>
      </c>
    </row>
    <row r="531" spans="1:30" ht="13.5" thickBot="1" x14ac:dyDescent="0.35">
      <c r="A531" s="18">
        <v>2040</v>
      </c>
      <c r="B531" s="11" t="s">
        <v>42</v>
      </c>
      <c r="C531" s="12" t="s">
        <v>33</v>
      </c>
      <c r="D531" s="21">
        <v>334451.72833061765</v>
      </c>
      <c r="E531" s="22">
        <v>321968.78986711567</v>
      </c>
      <c r="F531" s="22">
        <v>310726.02758934413</v>
      </c>
      <c r="G531" s="22">
        <v>300957.75804806844</v>
      </c>
      <c r="H531" s="22">
        <v>291336.88755120331</v>
      </c>
      <c r="I531" s="22">
        <v>275668.33843971207</v>
      </c>
      <c r="J531" s="22">
        <v>260340.73745281404</v>
      </c>
      <c r="K531" s="22">
        <v>252362.91669340697</v>
      </c>
      <c r="L531" s="22">
        <v>250377.7766692896</v>
      </c>
      <c r="M531" s="22">
        <v>250477.41643081335</v>
      </c>
      <c r="N531" s="22">
        <v>255346.40587871126</v>
      </c>
      <c r="O531" s="22">
        <v>264527.80129037483</v>
      </c>
      <c r="P531" s="22">
        <v>271034.65809764335</v>
      </c>
      <c r="Q531" s="22">
        <v>287666.64772638358</v>
      </c>
      <c r="R531" s="22">
        <v>299459.29663831263</v>
      </c>
      <c r="S531" s="22">
        <v>303059.20707716944</v>
      </c>
      <c r="T531" s="22">
        <v>304148.05667508912</v>
      </c>
      <c r="U531" s="22">
        <v>287703.34816972475</v>
      </c>
      <c r="V531" s="22">
        <v>296100.0030707813</v>
      </c>
      <c r="W531" s="22">
        <v>313738.86753280222</v>
      </c>
      <c r="X531" s="22">
        <v>328735.41189173562</v>
      </c>
      <c r="Y531" s="22">
        <v>342155.30290600797</v>
      </c>
      <c r="Z531" s="22">
        <v>345456.87907960458</v>
      </c>
      <c r="AA531" s="23">
        <v>335921.18581832701</v>
      </c>
      <c r="AB531" s="96">
        <f t="shared" ref="AB531" si="183">+SUM(D531:AA531)*AC531+SUM(D532:AA532)*AC532+SUM(D533:AA533)*AC533</f>
        <v>219524965.31014079</v>
      </c>
      <c r="AC531" s="16">
        <v>21</v>
      </c>
      <c r="AD531" s="16">
        <f t="shared" si="178"/>
        <v>148758150.4274261</v>
      </c>
    </row>
    <row r="532" spans="1:30" ht="13.5" thickBot="1" x14ac:dyDescent="0.35">
      <c r="A532" s="18">
        <v>2040</v>
      </c>
      <c r="B532" s="19" t="s">
        <v>42</v>
      </c>
      <c r="C532" s="20" t="s">
        <v>34</v>
      </c>
      <c r="D532" s="21">
        <v>335347.73082381039</v>
      </c>
      <c r="E532" s="22">
        <v>322286.6677233369</v>
      </c>
      <c r="F532" s="22">
        <v>310810.05574575556</v>
      </c>
      <c r="G532" s="22">
        <v>300809.27891407831</v>
      </c>
      <c r="H532" s="22">
        <v>290945.24911452562</v>
      </c>
      <c r="I532" s="22">
        <v>274322.9453419933</v>
      </c>
      <c r="J532" s="22">
        <v>258200.54504222784</v>
      </c>
      <c r="K532" s="22">
        <v>252053.35929651753</v>
      </c>
      <c r="L532" s="22">
        <v>252576.76605111815</v>
      </c>
      <c r="M532" s="22">
        <v>254087.245074854</v>
      </c>
      <c r="N532" s="22">
        <v>259953.98174007534</v>
      </c>
      <c r="O532" s="22">
        <v>269700.4577282606</v>
      </c>
      <c r="P532" s="22">
        <v>275759.75488024671</v>
      </c>
      <c r="Q532" s="22">
        <v>294552.65610282047</v>
      </c>
      <c r="R532" s="22">
        <v>307424.7457261206</v>
      </c>
      <c r="S532" s="22">
        <v>310462.29902001255</v>
      </c>
      <c r="T532" s="22">
        <v>310585.68422511482</v>
      </c>
      <c r="U532" s="22">
        <v>291842.72427438281</v>
      </c>
      <c r="V532" s="22">
        <v>299087.70272011682</v>
      </c>
      <c r="W532" s="22">
        <v>316672.50312133762</v>
      </c>
      <c r="X532" s="22">
        <v>331976.54993656796</v>
      </c>
      <c r="Y532" s="22">
        <v>345164.01755815075</v>
      </c>
      <c r="Z532" s="22">
        <v>348145.85372755979</v>
      </c>
      <c r="AA532" s="23">
        <v>337931.72004932235</v>
      </c>
      <c r="AB532" s="97"/>
      <c r="AC532" s="16">
        <v>4</v>
      </c>
      <c r="AD532" s="16">
        <f t="shared" si="178"/>
        <v>28602801.975753229</v>
      </c>
    </row>
    <row r="533" spans="1:30" ht="13.5" thickBot="1" x14ac:dyDescent="0.35">
      <c r="A533" s="18">
        <v>2040</v>
      </c>
      <c r="B533" s="25" t="s">
        <v>42</v>
      </c>
      <c r="C533" s="26" t="s">
        <v>36</v>
      </c>
      <c r="D533" s="21">
        <v>335116.66689932009</v>
      </c>
      <c r="E533" s="22">
        <v>322931.62752973381</v>
      </c>
      <c r="F533" s="22">
        <v>311428.46430624271</v>
      </c>
      <c r="G533" s="22">
        <v>301577.00395306054</v>
      </c>
      <c r="H533" s="22">
        <v>292371.74149193679</v>
      </c>
      <c r="I533" s="22">
        <v>278548.25664494524</v>
      </c>
      <c r="J533" s="22">
        <v>265227.97683275345</v>
      </c>
      <c r="K533" s="22">
        <v>255042.47207622579</v>
      </c>
      <c r="L533" s="22">
        <v>252243.27398523185</v>
      </c>
      <c r="M533" s="22">
        <v>252066.34311268685</v>
      </c>
      <c r="N533" s="22">
        <v>255852.86650257526</v>
      </c>
      <c r="O533" s="22">
        <v>263792.90619752411</v>
      </c>
      <c r="P533" s="22">
        <v>268585.16935892863</v>
      </c>
      <c r="Q533" s="22">
        <v>278553.35551699874</v>
      </c>
      <c r="R533" s="22">
        <v>290391.96300723776</v>
      </c>
      <c r="S533" s="22">
        <v>294497.75964089978</v>
      </c>
      <c r="T533" s="22">
        <v>297105.18879954575</v>
      </c>
      <c r="U533" s="22">
        <v>285627.62340263621</v>
      </c>
      <c r="V533" s="22">
        <v>295704.65607993689</v>
      </c>
      <c r="W533" s="22">
        <v>309624.96390213334</v>
      </c>
      <c r="X533" s="22">
        <v>319824.76796737994</v>
      </c>
      <c r="Y533" s="22">
        <v>331279.6470896604</v>
      </c>
      <c r="Z533" s="22">
        <v>337150.78509937768</v>
      </c>
      <c r="AA533" s="23">
        <v>332790.0050966058</v>
      </c>
      <c r="AB533" s="97"/>
      <c r="AC533" s="16">
        <v>6</v>
      </c>
      <c r="AD533" s="16">
        <f t="shared" si="178"/>
        <v>42164012.906961463</v>
      </c>
    </row>
    <row r="534" spans="1:30" ht="13.5" thickBot="1" x14ac:dyDescent="0.35">
      <c r="A534" s="18">
        <v>2040</v>
      </c>
      <c r="B534" s="11" t="s">
        <v>43</v>
      </c>
      <c r="C534" s="12" t="s">
        <v>33</v>
      </c>
      <c r="D534" s="21">
        <v>332625.47723361524</v>
      </c>
      <c r="E534" s="22">
        <v>320121.9302881094</v>
      </c>
      <c r="F534" s="22">
        <v>308906.86156383844</v>
      </c>
      <c r="G534" s="22">
        <v>299157.92437174584</v>
      </c>
      <c r="H534" s="22">
        <v>289553.81104133709</v>
      </c>
      <c r="I534" s="22">
        <v>273822.61251885991</v>
      </c>
      <c r="J534" s="22">
        <v>258456.011296621</v>
      </c>
      <c r="K534" s="22">
        <v>250546.38826430411</v>
      </c>
      <c r="L534" s="22">
        <v>248757.14585143738</v>
      </c>
      <c r="M534" s="22">
        <v>248938.88659186964</v>
      </c>
      <c r="N534" s="22">
        <v>253860.39593143939</v>
      </c>
      <c r="O534" s="22">
        <v>263051.82599410188</v>
      </c>
      <c r="P534" s="22">
        <v>269455.95684821706</v>
      </c>
      <c r="Q534" s="22">
        <v>286381.18555820663</v>
      </c>
      <c r="R534" s="22">
        <v>298356.59525534918</v>
      </c>
      <c r="S534" s="22">
        <v>301980.5129903534</v>
      </c>
      <c r="T534" s="22">
        <v>303124.53105587221</v>
      </c>
      <c r="U534" s="22">
        <v>286596.74611186073</v>
      </c>
      <c r="V534" s="22">
        <v>294758.83909861103</v>
      </c>
      <c r="W534" s="22">
        <v>312286.37349086179</v>
      </c>
      <c r="X534" s="22">
        <v>327245.26413243159</v>
      </c>
      <c r="Y534" s="22">
        <v>340549.60680716496</v>
      </c>
      <c r="Z534" s="22">
        <v>343780.41628995555</v>
      </c>
      <c r="AA534" s="23">
        <v>334190.79273572523</v>
      </c>
      <c r="AB534" s="96">
        <f t="shared" ref="AB534" si="184">+SUM(D534:AA534)*AC534+SUM(D535:AA535)*AC535+SUM(D536:AA536)*AC536</f>
        <v>211341369.19113654</v>
      </c>
      <c r="AC534" s="16">
        <v>20</v>
      </c>
      <c r="AD534" s="16">
        <f t="shared" si="178"/>
        <v>140930121.82643777</v>
      </c>
    </row>
    <row r="535" spans="1:30" ht="13.5" thickBot="1" x14ac:dyDescent="0.35">
      <c r="A535" s="18">
        <v>2040</v>
      </c>
      <c r="B535" s="19" t="s">
        <v>43</v>
      </c>
      <c r="C535" s="20" t="s">
        <v>34</v>
      </c>
      <c r="D535" s="21">
        <v>333222.09598324879</v>
      </c>
      <c r="E535" s="22">
        <v>320242.76981195936</v>
      </c>
      <c r="F535" s="22">
        <v>308837.979171835</v>
      </c>
      <c r="G535" s="22">
        <v>298899.78781129373</v>
      </c>
      <c r="H535" s="22">
        <v>289097.4877116126</v>
      </c>
      <c r="I535" s="22">
        <v>272579.20732951054</v>
      </c>
      <c r="J535" s="22">
        <v>256557.70199376476</v>
      </c>
      <c r="K535" s="22">
        <v>250171.63082612655</v>
      </c>
      <c r="L535" s="22">
        <v>250467.28254450002</v>
      </c>
      <c r="M535" s="22">
        <v>251820.64787543364</v>
      </c>
      <c r="N535" s="22">
        <v>257569.05476003498</v>
      </c>
      <c r="O535" s="22">
        <v>267226.31832340657</v>
      </c>
      <c r="P535" s="22">
        <v>273255.13769289787</v>
      </c>
      <c r="Q535" s="22">
        <v>291972.77699827927</v>
      </c>
      <c r="R535" s="22">
        <v>304843.12122361513</v>
      </c>
      <c r="S535" s="22">
        <v>307999.95302147185</v>
      </c>
      <c r="T535" s="22">
        <v>308344.00707791507</v>
      </c>
      <c r="U535" s="22">
        <v>289908.32153002539</v>
      </c>
      <c r="V535" s="22">
        <v>297107.96045893704</v>
      </c>
      <c r="W535" s="22">
        <v>314582.71410714433</v>
      </c>
      <c r="X535" s="22">
        <v>329790.98726435425</v>
      </c>
      <c r="Y535" s="22">
        <v>342895.92690955306</v>
      </c>
      <c r="Z535" s="22">
        <v>345859.1025664187</v>
      </c>
      <c r="AA535" s="23">
        <v>335708.8895594707</v>
      </c>
      <c r="AB535" s="97"/>
      <c r="AC535" s="16">
        <v>5</v>
      </c>
      <c r="AD535" s="16">
        <f t="shared" si="178"/>
        <v>35494804.312764049</v>
      </c>
    </row>
    <row r="536" spans="1:30" ht="13.5" thickBot="1" x14ac:dyDescent="0.35">
      <c r="A536" s="18">
        <v>2040</v>
      </c>
      <c r="B536" s="25" t="s">
        <v>43</v>
      </c>
      <c r="C536" s="26" t="s">
        <v>36</v>
      </c>
      <c r="D536" s="21">
        <v>333738.36682278791</v>
      </c>
      <c r="E536" s="22">
        <v>321466.52889716224</v>
      </c>
      <c r="F536" s="22">
        <v>309782.7610935627</v>
      </c>
      <c r="G536" s="22">
        <v>299828.19143157889</v>
      </c>
      <c r="H536" s="22">
        <v>290755.98288409068</v>
      </c>
      <c r="I536" s="22">
        <v>277416.60598704009</v>
      </c>
      <c r="J536" s="22">
        <v>264743.13504400849</v>
      </c>
      <c r="K536" s="22">
        <v>254244.30889560306</v>
      </c>
      <c r="L536" s="22">
        <v>252190.73023341238</v>
      </c>
      <c r="M536" s="22">
        <v>252491.96455574507</v>
      </c>
      <c r="N536" s="22">
        <v>256176.85524118348</v>
      </c>
      <c r="O536" s="22">
        <v>263730.11333501764</v>
      </c>
      <c r="P536" s="22">
        <v>267411.18176376086</v>
      </c>
      <c r="Q536" s="22">
        <v>275237.77686921268</v>
      </c>
      <c r="R536" s="22">
        <v>287685.44784390274</v>
      </c>
      <c r="S536" s="22">
        <v>291849.91149041028</v>
      </c>
      <c r="T536" s="22">
        <v>294891.33391786262</v>
      </c>
      <c r="U536" s="22">
        <v>284885.6610731585</v>
      </c>
      <c r="V536" s="22">
        <v>295104.3549683615</v>
      </c>
      <c r="W536" s="22">
        <v>307071.00849729445</v>
      </c>
      <c r="X536" s="22">
        <v>315004.61511805415</v>
      </c>
      <c r="Y536" s="22">
        <v>325290.50526591006</v>
      </c>
      <c r="Z536" s="22">
        <v>332218.70254696457</v>
      </c>
      <c r="AA536" s="23">
        <v>330072.56661085878</v>
      </c>
      <c r="AB536" s="97"/>
      <c r="AC536" s="16">
        <v>5</v>
      </c>
      <c r="AD536" s="16">
        <f t="shared" si="178"/>
        <v>34916443.051934712</v>
      </c>
    </row>
    <row r="537" spans="1:30" ht="13.5" thickBot="1" x14ac:dyDescent="0.35">
      <c r="A537" s="18">
        <v>2040</v>
      </c>
      <c r="B537" s="11" t="s">
        <v>44</v>
      </c>
      <c r="C537" s="12" t="s">
        <v>33</v>
      </c>
      <c r="D537" s="21">
        <v>319837.85527931334</v>
      </c>
      <c r="E537" s="22">
        <v>307968.72283127479</v>
      </c>
      <c r="F537" s="22">
        <v>297239.15534790989</v>
      </c>
      <c r="G537" s="22">
        <v>287920.82674667175</v>
      </c>
      <c r="H537" s="22">
        <v>278745.06418839662</v>
      </c>
      <c r="I537" s="22">
        <v>263878.4762994019</v>
      </c>
      <c r="J537" s="22">
        <v>249316.29181105338</v>
      </c>
      <c r="K537" s="22">
        <v>240981.48992783076</v>
      </c>
      <c r="L537" s="22">
        <v>238270.10821628338</v>
      </c>
      <c r="M537" s="22">
        <v>237864.9731265585</v>
      </c>
      <c r="N537" s="22">
        <v>242218.94583104207</v>
      </c>
      <c r="O537" s="22">
        <v>250871.15499946315</v>
      </c>
      <c r="P537" s="22">
        <v>257176.93038568937</v>
      </c>
      <c r="Q537" s="22">
        <v>272886.60318070179</v>
      </c>
      <c r="R537" s="22">
        <v>284188.8079349497</v>
      </c>
      <c r="S537" s="22">
        <v>287998.62729052524</v>
      </c>
      <c r="T537" s="22">
        <v>289632.57397235226</v>
      </c>
      <c r="U537" s="22">
        <v>274087.14080215583</v>
      </c>
      <c r="V537" s="22">
        <v>282283.76244884823</v>
      </c>
      <c r="W537" s="22">
        <v>299175.63038143649</v>
      </c>
      <c r="X537" s="22">
        <v>313488.2437469358</v>
      </c>
      <c r="Y537" s="22">
        <v>326366.23835862003</v>
      </c>
      <c r="Z537" s="22">
        <v>329570.77189990057</v>
      </c>
      <c r="AA537" s="23">
        <v>320536.68200942676</v>
      </c>
      <c r="AB537" s="96">
        <f t="shared" ref="AB537" si="185">+SUM(D537:AA537)*AC537+SUM(D538:AA538)*AC538+SUM(D539:AA539)*AC539</f>
        <v>209265383.99039227</v>
      </c>
      <c r="AC537" s="16">
        <v>22</v>
      </c>
      <c r="AD537" s="16">
        <f t="shared" si="178"/>
        <v>148555111.69436827</v>
      </c>
    </row>
    <row r="538" spans="1:30" ht="13.5" thickBot="1" x14ac:dyDescent="0.35">
      <c r="A538" s="18">
        <v>2040</v>
      </c>
      <c r="B538" s="19" t="s">
        <v>44</v>
      </c>
      <c r="C538" s="20" t="s">
        <v>34</v>
      </c>
      <c r="D538" s="21">
        <v>321399.00161738176</v>
      </c>
      <c r="E538" s="22">
        <v>308874.3082967028</v>
      </c>
      <c r="F538" s="22">
        <v>297868.99852414482</v>
      </c>
      <c r="G538" s="22">
        <v>288278.91678104631</v>
      </c>
      <c r="H538" s="22">
        <v>278819.96637287026</v>
      </c>
      <c r="I538" s="22">
        <v>262880.27942452487</v>
      </c>
      <c r="J538" s="22">
        <v>247419.96675361635</v>
      </c>
      <c r="K538" s="22">
        <v>241095.1898060168</v>
      </c>
      <c r="L538" s="22">
        <v>241149.22026206469</v>
      </c>
      <c r="M538" s="22">
        <v>242303.05596166258</v>
      </c>
      <c r="N538" s="22">
        <v>247766.02820174419</v>
      </c>
      <c r="O538" s="22">
        <v>257055.9509358521</v>
      </c>
      <c r="P538" s="22">
        <v>262881.26268891752</v>
      </c>
      <c r="Q538" s="22">
        <v>280986.89586079528</v>
      </c>
      <c r="R538" s="22">
        <v>293487.61584094766</v>
      </c>
      <c r="S538" s="22">
        <v>296676.3398406058</v>
      </c>
      <c r="T538" s="22">
        <v>297236.47751677822</v>
      </c>
      <c r="U538" s="22">
        <v>279148.88827662275</v>
      </c>
      <c r="V538" s="22">
        <v>286096.3421285575</v>
      </c>
      <c r="W538" s="22">
        <v>302958.99951229367</v>
      </c>
      <c r="X538" s="22">
        <v>317634.56546366925</v>
      </c>
      <c r="Y538" s="22">
        <v>330280.47233710886</v>
      </c>
      <c r="Z538" s="22">
        <v>333139.85547208536</v>
      </c>
      <c r="AA538" s="23">
        <v>323345.17866268347</v>
      </c>
      <c r="AB538" s="97"/>
      <c r="AC538" s="16">
        <v>4</v>
      </c>
      <c r="AD538" s="16">
        <f t="shared" si="178"/>
        <v>27355135.10615477</v>
      </c>
    </row>
    <row r="539" spans="1:30" ht="13.5" thickBot="1" x14ac:dyDescent="0.35">
      <c r="A539" s="18">
        <v>2040</v>
      </c>
      <c r="B539" s="25" t="s">
        <v>44</v>
      </c>
      <c r="C539" s="26" t="s">
        <v>36</v>
      </c>
      <c r="D539" s="21">
        <v>319954.92115606787</v>
      </c>
      <c r="E539" s="22">
        <v>308481.05619221932</v>
      </c>
      <c r="F539" s="22">
        <v>297485.91377294494</v>
      </c>
      <c r="G539" s="22">
        <v>288102.34734134591</v>
      </c>
      <c r="H539" s="22">
        <v>279433.07253492018</v>
      </c>
      <c r="I539" s="22">
        <v>266760.53423289844</v>
      </c>
      <c r="J539" s="22">
        <v>254568.84855937338</v>
      </c>
      <c r="K539" s="22">
        <v>243601.74934839207</v>
      </c>
      <c r="L539" s="22">
        <v>239804.8995684227</v>
      </c>
      <c r="M539" s="22">
        <v>238993.15707133879</v>
      </c>
      <c r="N539" s="22">
        <v>242036.94555374794</v>
      </c>
      <c r="O539" s="22">
        <v>249217.48497698727</v>
      </c>
      <c r="P539" s="22">
        <v>253573.11415454483</v>
      </c>
      <c r="Q539" s="22">
        <v>261503.22610913744</v>
      </c>
      <c r="R539" s="22">
        <v>272783.47838615609</v>
      </c>
      <c r="S539" s="22">
        <v>277208.28231540718</v>
      </c>
      <c r="T539" s="22">
        <v>280650.43924995477</v>
      </c>
      <c r="U539" s="22">
        <v>270943.99234981643</v>
      </c>
      <c r="V539" s="22">
        <v>281114.73450955917</v>
      </c>
      <c r="W539" s="22">
        <v>293718.87913165701</v>
      </c>
      <c r="X539" s="22">
        <v>302493.23842913751</v>
      </c>
      <c r="Y539" s="22">
        <v>313109.57182786416</v>
      </c>
      <c r="Z539" s="22">
        <v>319269.58734294662</v>
      </c>
      <c r="AA539" s="23">
        <v>316217.963859007</v>
      </c>
      <c r="AB539" s="97"/>
      <c r="AC539" s="16">
        <v>5</v>
      </c>
      <c r="AD539" s="16">
        <f t="shared" si="178"/>
        <v>33355137.18986924</v>
      </c>
    </row>
    <row r="540" spans="1:30" ht="13.5" thickBot="1" x14ac:dyDescent="0.35">
      <c r="A540" s="18">
        <v>2040</v>
      </c>
      <c r="B540" s="11" t="s">
        <v>45</v>
      </c>
      <c r="C540" s="12" t="s">
        <v>33</v>
      </c>
      <c r="D540" s="21">
        <v>320307.99086378439</v>
      </c>
      <c r="E540" s="22">
        <v>308154.40649167227</v>
      </c>
      <c r="F540" s="22">
        <v>297309.21132640884</v>
      </c>
      <c r="G540" s="22">
        <v>287876.04804507672</v>
      </c>
      <c r="H540" s="22">
        <v>278580.24434186163</v>
      </c>
      <c r="I540" s="22">
        <v>263244.83652288641</v>
      </c>
      <c r="J540" s="22">
        <v>248291.75879268241</v>
      </c>
      <c r="K540" s="22">
        <v>240630.65229214155</v>
      </c>
      <c r="L540" s="22">
        <v>238984.45701185157</v>
      </c>
      <c r="M540" s="22">
        <v>239162.87197605148</v>
      </c>
      <c r="N540" s="22">
        <v>243946.63021745085</v>
      </c>
      <c r="O540" s="22">
        <v>252855.9889051776</v>
      </c>
      <c r="P540" s="22">
        <v>258948.47048619195</v>
      </c>
      <c r="Q540" s="22">
        <v>275749.53821296152</v>
      </c>
      <c r="R540" s="22">
        <v>287639.35286085546</v>
      </c>
      <c r="S540" s="22">
        <v>291274.91132560512</v>
      </c>
      <c r="T540" s="22">
        <v>292597.5517942424</v>
      </c>
      <c r="U540" s="22">
        <v>276143.58032493759</v>
      </c>
      <c r="V540" s="22">
        <v>283776.59719253296</v>
      </c>
      <c r="W540" s="22">
        <v>300643.58811456565</v>
      </c>
      <c r="X540" s="22">
        <v>315108.26649240142</v>
      </c>
      <c r="Y540" s="22">
        <v>327873.59308117919</v>
      </c>
      <c r="Z540" s="22">
        <v>330921.74194631248</v>
      </c>
      <c r="AA540" s="23">
        <v>321554.31094275537</v>
      </c>
      <c r="AB540" s="96">
        <f t="shared" ref="AB540" si="186">+SUM(D540:AA540)*AC540+SUM(D541:AA541)*AC541+SUM(D542:AA542)*AC542</f>
        <v>202761220.76626059</v>
      </c>
      <c r="AC540" s="16">
        <v>20</v>
      </c>
      <c r="AD540" s="16">
        <f t="shared" si="178"/>
        <v>135631531.99123171</v>
      </c>
    </row>
    <row r="541" spans="1:30" ht="13.5" thickBot="1" x14ac:dyDescent="0.35">
      <c r="A541" s="18">
        <v>2040</v>
      </c>
      <c r="B541" s="19" t="s">
        <v>45</v>
      </c>
      <c r="C541" s="20" t="s">
        <v>34</v>
      </c>
      <c r="D541" s="21">
        <v>320626.73319649231</v>
      </c>
      <c r="E541" s="22">
        <v>308131.73587440379</v>
      </c>
      <c r="F541" s="22">
        <v>297152.51964802115</v>
      </c>
      <c r="G541" s="22">
        <v>287585.1759510077</v>
      </c>
      <c r="H541" s="22">
        <v>278148.65267703752</v>
      </c>
      <c r="I541" s="22">
        <v>262246.75866373919</v>
      </c>
      <c r="J541" s="22">
        <v>246823.10233335182</v>
      </c>
      <c r="K541" s="22">
        <v>240268.48236053059</v>
      </c>
      <c r="L541" s="22">
        <v>240134.25954503659</v>
      </c>
      <c r="M541" s="22">
        <v>241161.6121188082</v>
      </c>
      <c r="N541" s="22">
        <v>246543.23386362902</v>
      </c>
      <c r="O541" s="22">
        <v>255787.48179834872</v>
      </c>
      <c r="P541" s="22">
        <v>261605.21825376019</v>
      </c>
      <c r="Q541" s="22">
        <v>279703.41045799275</v>
      </c>
      <c r="R541" s="22">
        <v>292240.53713375714</v>
      </c>
      <c r="S541" s="22">
        <v>295537.59274783672</v>
      </c>
      <c r="T541" s="22">
        <v>296281.98107114265</v>
      </c>
      <c r="U541" s="22">
        <v>278446.0967508899</v>
      </c>
      <c r="V541" s="22">
        <v>285377.07821707329</v>
      </c>
      <c r="W541" s="22">
        <v>302199.75430649106</v>
      </c>
      <c r="X541" s="22">
        <v>316840.52454873035</v>
      </c>
      <c r="Y541" s="22">
        <v>329456.44802672259</v>
      </c>
      <c r="Z541" s="22">
        <v>332309.05157553492</v>
      </c>
      <c r="AA541" s="23">
        <v>322537.59790631541</v>
      </c>
      <c r="AB541" s="97"/>
      <c r="AC541" s="16">
        <v>4</v>
      </c>
      <c r="AD541" s="16">
        <f t="shared" si="178"/>
        <v>27268580.156106617</v>
      </c>
    </row>
    <row r="542" spans="1:30" ht="13.5" thickBot="1" x14ac:dyDescent="0.35">
      <c r="A542" s="18">
        <v>2040</v>
      </c>
      <c r="B542" s="25" t="s">
        <v>45</v>
      </c>
      <c r="C542" s="26" t="s">
        <v>36</v>
      </c>
      <c r="D542" s="21">
        <v>319313.13286115299</v>
      </c>
      <c r="E542" s="22">
        <v>308059.79936887015</v>
      </c>
      <c r="F542" s="22">
        <v>297227.495833422</v>
      </c>
      <c r="G542" s="22">
        <v>287972.2598087134</v>
      </c>
      <c r="H542" s="22">
        <v>279342.10020520794</v>
      </c>
      <c r="I542" s="22">
        <v>266776.36959370744</v>
      </c>
      <c r="J542" s="22">
        <v>254585.5831052385</v>
      </c>
      <c r="K542" s="22">
        <v>242946.02373017496</v>
      </c>
      <c r="L542" s="22">
        <v>237949.70241408152</v>
      </c>
      <c r="M542" s="22">
        <v>236412.81613996843</v>
      </c>
      <c r="N542" s="22">
        <v>239127.00410935222</v>
      </c>
      <c r="O542" s="22">
        <v>246251.22434867671</v>
      </c>
      <c r="P542" s="22">
        <v>251146.12639706396</v>
      </c>
      <c r="Q542" s="22">
        <v>259340.06483500867</v>
      </c>
      <c r="R542" s="22">
        <v>270156.76390634401</v>
      </c>
      <c r="S542" s="22">
        <v>274854.15478666866</v>
      </c>
      <c r="T542" s="22">
        <v>278630.98135275295</v>
      </c>
      <c r="U542" s="22">
        <v>269295.31931782869</v>
      </c>
      <c r="V542" s="22">
        <v>279691.00056221132</v>
      </c>
      <c r="W542" s="22">
        <v>293018.25033963082</v>
      </c>
      <c r="X542" s="22">
        <v>302549.09975123493</v>
      </c>
      <c r="Y542" s="22">
        <v>313642.82839700836</v>
      </c>
      <c r="Z542" s="22">
        <v>319467.81079937815</v>
      </c>
      <c r="AA542" s="23">
        <v>315762.19119001238</v>
      </c>
      <c r="AB542" s="97"/>
      <c r="AC542" s="16">
        <v>6</v>
      </c>
      <c r="AD542" s="16">
        <f t="shared" si="178"/>
        <v>39861108.618922263</v>
      </c>
    </row>
    <row r="543" spans="1:30" ht="13.5" thickBot="1" x14ac:dyDescent="0.35">
      <c r="A543" s="18">
        <v>2040</v>
      </c>
      <c r="B543" s="11" t="s">
        <v>46</v>
      </c>
      <c r="C543" s="12" t="s">
        <v>33</v>
      </c>
      <c r="D543" s="21">
        <v>316021.0431715895</v>
      </c>
      <c r="E543" s="22">
        <v>305346.76027967827</v>
      </c>
      <c r="F543" s="22">
        <v>295555.58733274287</v>
      </c>
      <c r="G543" s="22">
        <v>286807.50413024379</v>
      </c>
      <c r="H543" s="22">
        <v>278103.45646488783</v>
      </c>
      <c r="I543" s="22">
        <v>264195.68480685551</v>
      </c>
      <c r="J543" s="22">
        <v>250140.96545151077</v>
      </c>
      <c r="K543" s="22">
        <v>240469.08758262947</v>
      </c>
      <c r="L543" s="22">
        <v>236984.6135560601</v>
      </c>
      <c r="M543" s="22">
        <v>235899.62651076022</v>
      </c>
      <c r="N543" s="22">
        <v>239525.99038930205</v>
      </c>
      <c r="O543" s="22">
        <v>247311.97118093167</v>
      </c>
      <c r="P543" s="22">
        <v>253396.3036942918</v>
      </c>
      <c r="Q543" s="22">
        <v>267694.07784789958</v>
      </c>
      <c r="R543" s="22">
        <v>278072.08785756509</v>
      </c>
      <c r="S543" s="22">
        <v>281789.03099404217</v>
      </c>
      <c r="T543" s="22">
        <v>283766.56041518418</v>
      </c>
      <c r="U543" s="22">
        <v>270034.00464921858</v>
      </c>
      <c r="V543" s="22">
        <v>278561.6252980688</v>
      </c>
      <c r="W543" s="22">
        <v>294477.10589381476</v>
      </c>
      <c r="X543" s="22">
        <v>308283.6322145884</v>
      </c>
      <c r="Y543" s="22">
        <v>320828.32529464224</v>
      </c>
      <c r="Z543" s="22">
        <v>324250.28888939129</v>
      </c>
      <c r="AA543" s="23">
        <v>316305.25781248102</v>
      </c>
      <c r="AB543" s="96">
        <f t="shared" ref="AB543" si="187">+SUM(D543:AA543)*AC543+SUM(D544:AA544)*AC544+SUM(D545:AA545)*AC545</f>
        <v>207579521.56061566</v>
      </c>
      <c r="AC543" s="16">
        <v>20</v>
      </c>
      <c r="AD543" s="16">
        <f t="shared" si="178"/>
        <v>133476411.83436759</v>
      </c>
    </row>
    <row r="544" spans="1:30" ht="13.5" thickBot="1" x14ac:dyDescent="0.35">
      <c r="A544" s="18">
        <v>2040</v>
      </c>
      <c r="B544" s="19" t="s">
        <v>46</v>
      </c>
      <c r="C544" s="20" t="s">
        <v>34</v>
      </c>
      <c r="D544" s="21">
        <v>315297.96638484753</v>
      </c>
      <c r="E544" s="22">
        <v>303810.03176214197</v>
      </c>
      <c r="F544" s="22">
        <v>293582.05958820245</v>
      </c>
      <c r="G544" s="22">
        <v>284143.78107806272</v>
      </c>
      <c r="H544" s="22">
        <v>275093.04345421429</v>
      </c>
      <c r="I544" s="22">
        <v>261411.04234666075</v>
      </c>
      <c r="J544" s="22">
        <v>247840.78706830731</v>
      </c>
      <c r="K544" s="22">
        <v>240788.94529600081</v>
      </c>
      <c r="L544" s="22">
        <v>240875.9120960712</v>
      </c>
      <c r="M544" s="22">
        <v>241124.98421162454</v>
      </c>
      <c r="N544" s="22">
        <v>246083.43181676211</v>
      </c>
      <c r="O544" s="22">
        <v>253589.58445519913</v>
      </c>
      <c r="P544" s="22">
        <v>258251.62682990433</v>
      </c>
      <c r="Q544" s="22">
        <v>273855.17433043034</v>
      </c>
      <c r="R544" s="22">
        <v>285872.95746928814</v>
      </c>
      <c r="S544" s="22">
        <v>289388.01615412615</v>
      </c>
      <c r="T544" s="22">
        <v>290257.99209130538</v>
      </c>
      <c r="U544" s="22">
        <v>273278.78968155303</v>
      </c>
      <c r="V544" s="22">
        <v>282455.45706403936</v>
      </c>
      <c r="W544" s="22">
        <v>297350.16995500977</v>
      </c>
      <c r="X544" s="22">
        <v>310697.89041614858</v>
      </c>
      <c r="Y544" s="22">
        <v>323646.55464990268</v>
      </c>
      <c r="Z544" s="22">
        <v>327818.84628986247</v>
      </c>
      <c r="AA544" s="23">
        <v>319556.72853477881</v>
      </c>
      <c r="AB544" s="97"/>
      <c r="AC544" s="16">
        <v>4</v>
      </c>
      <c r="AD544" s="16">
        <f t="shared" si="178"/>
        <v>26944287.092097778</v>
      </c>
    </row>
    <row r="545" spans="1:30" ht="13.5" thickBot="1" x14ac:dyDescent="0.35">
      <c r="A545" s="28">
        <v>2040</v>
      </c>
      <c r="B545" s="25" t="s">
        <v>46</v>
      </c>
      <c r="C545" s="26" t="s">
        <v>36</v>
      </c>
      <c r="D545" s="21">
        <v>320415.72663109208</v>
      </c>
      <c r="E545" s="22">
        <v>308408.26086781936</v>
      </c>
      <c r="F545" s="22">
        <v>297140.5949629292</v>
      </c>
      <c r="G545" s="22">
        <v>287723.16250741523</v>
      </c>
      <c r="H545" s="22">
        <v>278874.59372911922</v>
      </c>
      <c r="I545" s="22">
        <v>265898.16082014993</v>
      </c>
      <c r="J545" s="22">
        <v>253102.80466230091</v>
      </c>
      <c r="K545" s="22">
        <v>243627.65833225919</v>
      </c>
      <c r="L545" s="22">
        <v>241778.79680684625</v>
      </c>
      <c r="M545" s="22">
        <v>241301.13575456152</v>
      </c>
      <c r="N545" s="22">
        <v>245129.56813187964</v>
      </c>
      <c r="O545" s="22">
        <v>252839.14460467588</v>
      </c>
      <c r="P545" s="22">
        <v>257661.99755680838</v>
      </c>
      <c r="Q545" s="22">
        <v>268718.87265137455</v>
      </c>
      <c r="R545" s="22">
        <v>281137.81525726587</v>
      </c>
      <c r="S545" s="22">
        <v>285197.95995211956</v>
      </c>
      <c r="T545" s="22">
        <v>286789.96399083827</v>
      </c>
      <c r="U545" s="22">
        <v>274194.17778870108</v>
      </c>
      <c r="V545" s="22">
        <v>284045.56004843005</v>
      </c>
      <c r="W545" s="22">
        <v>296433.76913647976</v>
      </c>
      <c r="X545" s="22">
        <v>306889.14226222719</v>
      </c>
      <c r="Y545" s="22">
        <v>317621.0706049609</v>
      </c>
      <c r="Z545" s="22">
        <v>323029.0178787128</v>
      </c>
      <c r="AA545" s="23">
        <v>319015.70708250423</v>
      </c>
      <c r="AB545" s="98"/>
      <c r="AC545" s="42">
        <v>7</v>
      </c>
      <c r="AD545" s="42">
        <f t="shared" si="178"/>
        <v>47158822.634150296</v>
      </c>
    </row>
    <row r="546" spans="1:30" ht="15" thickBot="1" x14ac:dyDescent="0.4">
      <c r="B546" s="33"/>
      <c r="AD546" s="34">
        <f>SUM(AD6:AD545)</f>
        <v>32452326980.911739</v>
      </c>
    </row>
    <row r="547" spans="1:30" ht="14.5" x14ac:dyDescent="0.35">
      <c r="B547" s="33"/>
      <c r="AD547" s="43"/>
    </row>
    <row r="548" spans="1:30" ht="14.5" x14ac:dyDescent="0.35">
      <c r="B548" s="33"/>
      <c r="AD548" s="35"/>
    </row>
    <row r="549" spans="1:30" ht="14.5" x14ac:dyDescent="0.35">
      <c r="B549" s="33"/>
    </row>
    <row r="550" spans="1:30" ht="14.5" x14ac:dyDescent="0.35">
      <c r="B550" s="33"/>
    </row>
    <row r="551" spans="1:30" ht="14.5" x14ac:dyDescent="0.35">
      <c r="B551" s="33"/>
    </row>
    <row r="552" spans="1:30" ht="14.5" x14ac:dyDescent="0.35">
      <c r="B552" s="33"/>
    </row>
    <row r="553" spans="1:30" ht="14.5" x14ac:dyDescent="0.35">
      <c r="B553" s="33"/>
    </row>
    <row r="554" spans="1:30" ht="14.5" x14ac:dyDescent="0.35">
      <c r="B554" s="33"/>
    </row>
    <row r="555" spans="1:30" ht="14.5" x14ac:dyDescent="0.35">
      <c r="B555" s="33"/>
    </row>
    <row r="556" spans="1:30" ht="14.5" x14ac:dyDescent="0.35">
      <c r="B556" s="33"/>
    </row>
    <row r="557" spans="1:30" ht="14.5" x14ac:dyDescent="0.35">
      <c r="B557" s="33"/>
    </row>
    <row r="558" spans="1:30" ht="14.5" x14ac:dyDescent="0.35">
      <c r="B558" s="33"/>
    </row>
    <row r="559" spans="1:30" ht="14.5" x14ac:dyDescent="0.35">
      <c r="B559" s="33"/>
    </row>
    <row r="560" spans="1:30" ht="14.5" x14ac:dyDescent="0.35">
      <c r="B560" s="33"/>
    </row>
    <row r="561" spans="2:2" ht="14.5" x14ac:dyDescent="0.35">
      <c r="B561" s="33"/>
    </row>
    <row r="562" spans="2:2" ht="14.5" x14ac:dyDescent="0.35">
      <c r="B562" s="33"/>
    </row>
    <row r="563" spans="2:2" ht="14.5" x14ac:dyDescent="0.35">
      <c r="B563" s="33"/>
    </row>
    <row r="564" spans="2:2" ht="14.5" x14ac:dyDescent="0.35">
      <c r="B564" s="33"/>
    </row>
    <row r="565" spans="2:2" ht="14.5" x14ac:dyDescent="0.35">
      <c r="B565" s="33"/>
    </row>
    <row r="566" spans="2:2" ht="14.5" x14ac:dyDescent="0.35">
      <c r="B566" s="33"/>
    </row>
    <row r="567" spans="2:2" ht="14.5" x14ac:dyDescent="0.35">
      <c r="B567" s="33"/>
    </row>
    <row r="568" spans="2:2" ht="14.5" x14ac:dyDescent="0.35">
      <c r="B568" s="33"/>
    </row>
    <row r="569" spans="2:2" ht="14.5" x14ac:dyDescent="0.35">
      <c r="B569" s="33"/>
    </row>
    <row r="570" spans="2:2" ht="14.5" x14ac:dyDescent="0.35">
      <c r="B570" s="33"/>
    </row>
    <row r="571" spans="2:2" ht="14.5" x14ac:dyDescent="0.35">
      <c r="B571" s="33"/>
    </row>
    <row r="572" spans="2:2" ht="14.5" x14ac:dyDescent="0.35">
      <c r="B572" s="33"/>
    </row>
    <row r="573" spans="2:2" ht="14.5" x14ac:dyDescent="0.35">
      <c r="B573" s="33"/>
    </row>
    <row r="574" spans="2:2" ht="14.5" x14ac:dyDescent="0.35">
      <c r="B574" s="33"/>
    </row>
    <row r="575" spans="2:2" ht="14.5" x14ac:dyDescent="0.35">
      <c r="B575" s="33"/>
    </row>
    <row r="576" spans="2:2" ht="14.5" x14ac:dyDescent="0.35">
      <c r="B576" s="33"/>
    </row>
    <row r="577" spans="2:2" ht="14.5" x14ac:dyDescent="0.35">
      <c r="B577" s="33"/>
    </row>
    <row r="578" spans="2:2" ht="14.5" x14ac:dyDescent="0.35">
      <c r="B578" s="33"/>
    </row>
    <row r="579" spans="2:2" ht="14.5" x14ac:dyDescent="0.35">
      <c r="B579" s="33"/>
    </row>
    <row r="580" spans="2:2" ht="14.5" x14ac:dyDescent="0.35">
      <c r="B580" s="33"/>
    </row>
    <row r="581" spans="2:2" ht="14.5" x14ac:dyDescent="0.35">
      <c r="B581" s="33"/>
    </row>
  </sheetData>
  <mergeCells count="183">
    <mergeCell ref="A1:AD1"/>
    <mergeCell ref="A2:AD2"/>
    <mergeCell ref="A3:AD3"/>
    <mergeCell ref="AB6:AB8"/>
    <mergeCell ref="AB9:AB11"/>
    <mergeCell ref="AB12:AB14"/>
    <mergeCell ref="AB33:AB35"/>
    <mergeCell ref="AB36:AB38"/>
    <mergeCell ref="AB39:AB41"/>
    <mergeCell ref="AB42:AB44"/>
    <mergeCell ref="AB45:AB47"/>
    <mergeCell ref="AB48:AB50"/>
    <mergeCell ref="AB15:AB17"/>
    <mergeCell ref="AB18:AB20"/>
    <mergeCell ref="AB21:AB23"/>
    <mergeCell ref="AB24:AB26"/>
    <mergeCell ref="AB27:AB29"/>
    <mergeCell ref="AB30:AB32"/>
    <mergeCell ref="AB69:AB71"/>
    <mergeCell ref="AB72:AB74"/>
    <mergeCell ref="AB75:AB77"/>
    <mergeCell ref="AB78:AB80"/>
    <mergeCell ref="AB81:AB83"/>
    <mergeCell ref="AB84:AB86"/>
    <mergeCell ref="AB51:AB53"/>
    <mergeCell ref="AB54:AB56"/>
    <mergeCell ref="AB57:AB59"/>
    <mergeCell ref="AB60:AB62"/>
    <mergeCell ref="AB63:AB65"/>
    <mergeCell ref="AB66:AB68"/>
    <mergeCell ref="AB105:AB107"/>
    <mergeCell ref="AB108:AB110"/>
    <mergeCell ref="AB111:AB113"/>
    <mergeCell ref="AB114:AB116"/>
    <mergeCell ref="AB117:AB119"/>
    <mergeCell ref="AB120:AB122"/>
    <mergeCell ref="AB87:AB89"/>
    <mergeCell ref="AB90:AB92"/>
    <mergeCell ref="AB93:AB95"/>
    <mergeCell ref="AB96:AB98"/>
    <mergeCell ref="AB99:AB101"/>
    <mergeCell ref="AB102:AB104"/>
    <mergeCell ref="AB141:AB143"/>
    <mergeCell ref="AB144:AB146"/>
    <mergeCell ref="AB147:AB149"/>
    <mergeCell ref="AB150:AB152"/>
    <mergeCell ref="AB153:AB155"/>
    <mergeCell ref="AB156:AB158"/>
    <mergeCell ref="AB123:AB125"/>
    <mergeCell ref="AB126:AB128"/>
    <mergeCell ref="AB129:AB131"/>
    <mergeCell ref="AB132:AB134"/>
    <mergeCell ref="AB135:AB137"/>
    <mergeCell ref="AB138:AB140"/>
    <mergeCell ref="AB177:AB179"/>
    <mergeCell ref="AB180:AB182"/>
    <mergeCell ref="AB183:AB185"/>
    <mergeCell ref="AB186:AB188"/>
    <mergeCell ref="AB189:AB191"/>
    <mergeCell ref="AB192:AB194"/>
    <mergeCell ref="AB159:AB161"/>
    <mergeCell ref="AB162:AB164"/>
    <mergeCell ref="AB165:AB167"/>
    <mergeCell ref="AB168:AB170"/>
    <mergeCell ref="AB171:AB173"/>
    <mergeCell ref="AB174:AB176"/>
    <mergeCell ref="AB213:AB215"/>
    <mergeCell ref="AB216:AB218"/>
    <mergeCell ref="AB219:AB221"/>
    <mergeCell ref="AB222:AB224"/>
    <mergeCell ref="AB225:AB227"/>
    <mergeCell ref="AB228:AB230"/>
    <mergeCell ref="AB195:AB197"/>
    <mergeCell ref="AB198:AB200"/>
    <mergeCell ref="AB201:AB203"/>
    <mergeCell ref="AB204:AB206"/>
    <mergeCell ref="AB207:AB209"/>
    <mergeCell ref="AB210:AB212"/>
    <mergeCell ref="AB249:AB251"/>
    <mergeCell ref="AB252:AB254"/>
    <mergeCell ref="AB255:AB257"/>
    <mergeCell ref="AB258:AB260"/>
    <mergeCell ref="AB261:AB263"/>
    <mergeCell ref="AB264:AB266"/>
    <mergeCell ref="AB231:AB233"/>
    <mergeCell ref="AB234:AB236"/>
    <mergeCell ref="AB237:AB239"/>
    <mergeCell ref="AB240:AB242"/>
    <mergeCell ref="AB243:AB245"/>
    <mergeCell ref="AB246:AB248"/>
    <mergeCell ref="AB285:AB287"/>
    <mergeCell ref="AB288:AB290"/>
    <mergeCell ref="AB291:AB293"/>
    <mergeCell ref="AB294:AB296"/>
    <mergeCell ref="AB297:AB299"/>
    <mergeCell ref="AB300:AB302"/>
    <mergeCell ref="AB267:AB269"/>
    <mergeCell ref="AB270:AB272"/>
    <mergeCell ref="AB273:AB275"/>
    <mergeCell ref="AB276:AB278"/>
    <mergeCell ref="AB279:AB281"/>
    <mergeCell ref="AB282:AB284"/>
    <mergeCell ref="AB321:AB323"/>
    <mergeCell ref="AB324:AB326"/>
    <mergeCell ref="AB327:AB329"/>
    <mergeCell ref="AB330:AB332"/>
    <mergeCell ref="AB333:AB335"/>
    <mergeCell ref="AB336:AB338"/>
    <mergeCell ref="AB303:AB305"/>
    <mergeCell ref="AB306:AB308"/>
    <mergeCell ref="AB309:AB311"/>
    <mergeCell ref="AB312:AB314"/>
    <mergeCell ref="AB315:AB317"/>
    <mergeCell ref="AB318:AB320"/>
    <mergeCell ref="AB357:AB359"/>
    <mergeCell ref="AB360:AB362"/>
    <mergeCell ref="AB363:AB365"/>
    <mergeCell ref="AB366:AB368"/>
    <mergeCell ref="AB369:AB371"/>
    <mergeCell ref="AB372:AB374"/>
    <mergeCell ref="AB339:AB341"/>
    <mergeCell ref="AB342:AB344"/>
    <mergeCell ref="AB345:AB347"/>
    <mergeCell ref="AB348:AB350"/>
    <mergeCell ref="AB351:AB353"/>
    <mergeCell ref="AB354:AB356"/>
    <mergeCell ref="AB393:AB395"/>
    <mergeCell ref="AB396:AB398"/>
    <mergeCell ref="AB399:AB401"/>
    <mergeCell ref="AB402:AB404"/>
    <mergeCell ref="AB405:AB407"/>
    <mergeCell ref="AB408:AB410"/>
    <mergeCell ref="AB375:AB377"/>
    <mergeCell ref="AB378:AB380"/>
    <mergeCell ref="AB381:AB383"/>
    <mergeCell ref="AB384:AB386"/>
    <mergeCell ref="AB387:AB389"/>
    <mergeCell ref="AB390:AB392"/>
    <mergeCell ref="AB429:AB431"/>
    <mergeCell ref="AB432:AB434"/>
    <mergeCell ref="AB435:AB437"/>
    <mergeCell ref="AB438:AB440"/>
    <mergeCell ref="AB441:AB443"/>
    <mergeCell ref="AB444:AB446"/>
    <mergeCell ref="AB411:AB413"/>
    <mergeCell ref="AB414:AB416"/>
    <mergeCell ref="AB417:AB419"/>
    <mergeCell ref="AB420:AB422"/>
    <mergeCell ref="AB423:AB425"/>
    <mergeCell ref="AB426:AB428"/>
    <mergeCell ref="AB465:AB467"/>
    <mergeCell ref="AB468:AB470"/>
    <mergeCell ref="AB471:AB473"/>
    <mergeCell ref="AB474:AB476"/>
    <mergeCell ref="AB477:AB479"/>
    <mergeCell ref="AB480:AB482"/>
    <mergeCell ref="AB447:AB449"/>
    <mergeCell ref="AB450:AB452"/>
    <mergeCell ref="AB453:AB455"/>
    <mergeCell ref="AB456:AB458"/>
    <mergeCell ref="AB459:AB461"/>
    <mergeCell ref="AB462:AB464"/>
    <mergeCell ref="AB501:AB503"/>
    <mergeCell ref="AB504:AB506"/>
    <mergeCell ref="AB507:AB509"/>
    <mergeCell ref="AB510:AB512"/>
    <mergeCell ref="AB513:AB515"/>
    <mergeCell ref="AB516:AB518"/>
    <mergeCell ref="AB483:AB485"/>
    <mergeCell ref="AB486:AB488"/>
    <mergeCell ref="AB489:AB491"/>
    <mergeCell ref="AB492:AB494"/>
    <mergeCell ref="AB495:AB497"/>
    <mergeCell ref="AB498:AB500"/>
    <mergeCell ref="AB537:AB539"/>
    <mergeCell ref="AB540:AB542"/>
    <mergeCell ref="AB543:AB545"/>
    <mergeCell ref="AB519:AB521"/>
    <mergeCell ref="AB522:AB524"/>
    <mergeCell ref="AB525:AB527"/>
    <mergeCell ref="AB528:AB530"/>
    <mergeCell ref="AB531:AB533"/>
    <mergeCell ref="AB534:AB5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EE163-685C-457E-8408-18299C936907}">
  <dimension ref="A1:AD548"/>
  <sheetViews>
    <sheetView topLeftCell="N524" zoomScale="90" zoomScaleNormal="90" workbookViewId="0">
      <selection activeCell="AD546" sqref="AD546"/>
    </sheetView>
  </sheetViews>
  <sheetFormatPr baseColWidth="10" defaultColWidth="12.59765625" defaultRowHeight="13" x14ac:dyDescent="0.3"/>
  <cols>
    <col min="1" max="1" width="11.296875" style="1" bestFit="1" customWidth="1"/>
    <col min="2" max="2" width="11.59765625" style="1" bestFit="1" customWidth="1"/>
    <col min="3" max="3" width="14.296875" style="1" bestFit="1" customWidth="1"/>
    <col min="4" max="12" width="11.59765625" style="1" bestFit="1" customWidth="1"/>
    <col min="13" max="27" width="11.296875" style="1" bestFit="1" customWidth="1"/>
    <col min="28" max="28" width="13.19921875" style="1" customWidth="1"/>
    <col min="29" max="29" width="13.69921875" style="1" bestFit="1" customWidth="1"/>
    <col min="30" max="30" width="14.09765625" style="1" bestFit="1" customWidth="1"/>
    <col min="31" max="16384" width="12.59765625" style="1"/>
  </cols>
  <sheetData>
    <row r="1" spans="1:30" ht="15.5" x14ac:dyDescent="0.35">
      <c r="A1" s="99" t="s">
        <v>49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</row>
    <row r="2" spans="1:30" ht="15.5" x14ac:dyDescent="0.35">
      <c r="A2" s="99" t="s">
        <v>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</row>
    <row r="3" spans="1:30" ht="15.5" x14ac:dyDescent="0.35">
      <c r="A3" s="99" t="s">
        <v>48</v>
      </c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</row>
    <row r="5" spans="1:30" ht="13.5" thickBot="1" x14ac:dyDescent="0.35">
      <c r="A5" s="36" t="s">
        <v>3</v>
      </c>
      <c r="B5" s="36" t="s">
        <v>4</v>
      </c>
      <c r="C5" s="37" t="s">
        <v>5</v>
      </c>
      <c r="D5" s="38" t="s">
        <v>6</v>
      </c>
      <c r="E5" s="38" t="s">
        <v>7</v>
      </c>
      <c r="F5" s="38" t="s">
        <v>8</v>
      </c>
      <c r="G5" s="38" t="s">
        <v>9</v>
      </c>
      <c r="H5" s="38" t="s">
        <v>10</v>
      </c>
      <c r="I5" s="38" t="s">
        <v>11</v>
      </c>
      <c r="J5" s="38" t="s">
        <v>12</v>
      </c>
      <c r="K5" s="38" t="s">
        <v>13</v>
      </c>
      <c r="L5" s="38" t="s">
        <v>14</v>
      </c>
      <c r="M5" s="38" t="s">
        <v>15</v>
      </c>
      <c r="N5" s="38" t="s">
        <v>16</v>
      </c>
      <c r="O5" s="39" t="s">
        <v>17</v>
      </c>
      <c r="P5" s="40" t="s">
        <v>18</v>
      </c>
      <c r="Q5" s="38" t="s">
        <v>19</v>
      </c>
      <c r="R5" s="38" t="s">
        <v>20</v>
      </c>
      <c r="S5" s="38" t="s">
        <v>21</v>
      </c>
      <c r="T5" s="38" t="s">
        <v>22</v>
      </c>
      <c r="U5" s="38" t="s">
        <v>23</v>
      </c>
      <c r="V5" s="38" t="s">
        <v>24</v>
      </c>
      <c r="W5" s="38" t="s">
        <v>25</v>
      </c>
      <c r="X5" s="38" t="s">
        <v>26</v>
      </c>
      <c r="Y5" s="38" t="s">
        <v>27</v>
      </c>
      <c r="Z5" s="38" t="s">
        <v>28</v>
      </c>
      <c r="AA5" s="41" t="s">
        <v>29</v>
      </c>
      <c r="AB5" s="9" t="s">
        <v>30</v>
      </c>
      <c r="AC5" s="9" t="s">
        <v>31</v>
      </c>
      <c r="AD5" s="9" t="s">
        <v>30</v>
      </c>
    </row>
    <row r="6" spans="1:30" ht="13.5" thickBot="1" x14ac:dyDescent="0.35">
      <c r="A6" s="10">
        <v>2026</v>
      </c>
      <c r="B6" s="11" t="s">
        <v>32</v>
      </c>
      <c r="C6" s="12" t="s">
        <v>33</v>
      </c>
      <c r="D6" s="13">
        <v>20232.39371626783</v>
      </c>
      <c r="E6" s="14">
        <v>20232.39371626783</v>
      </c>
      <c r="F6" s="14">
        <v>20232.39371626783</v>
      </c>
      <c r="G6" s="14">
        <v>20232.39371626783</v>
      </c>
      <c r="H6" s="14">
        <v>20232.39371626783</v>
      </c>
      <c r="I6" s="14">
        <v>20232.39371626783</v>
      </c>
      <c r="J6" s="14">
        <v>20232.39371626783</v>
      </c>
      <c r="K6" s="14">
        <v>35655.288402240367</v>
      </c>
      <c r="L6" s="14">
        <v>61952.431758960258</v>
      </c>
      <c r="M6" s="14">
        <v>79250.504232184467</v>
      </c>
      <c r="N6" s="14">
        <v>88811.516435849495</v>
      </c>
      <c r="O6" s="14">
        <v>92117.220535934262</v>
      </c>
      <c r="P6" s="14">
        <v>91245.450054549408</v>
      </c>
      <c r="Q6" s="14">
        <v>86284.828760619333</v>
      </c>
      <c r="R6" s="14">
        <v>77052.585574165714</v>
      </c>
      <c r="S6" s="14">
        <v>60852.571730564792</v>
      </c>
      <c r="T6" s="14">
        <v>34911.382584305909</v>
      </c>
      <c r="U6" s="14">
        <v>80929.574865071321</v>
      </c>
      <c r="V6" s="14">
        <v>80929.574865071321</v>
      </c>
      <c r="W6" s="14">
        <v>80929.574865071321</v>
      </c>
      <c r="X6" s="14">
        <v>80929.574865071321</v>
      </c>
      <c r="Y6" s="14">
        <v>80929.574865071321</v>
      </c>
      <c r="Z6" s="14">
        <v>80929.574865071321</v>
      </c>
      <c r="AA6" s="15">
        <v>80929.574865071321</v>
      </c>
      <c r="AB6" s="96">
        <f t="shared" ref="AB6" si="0">+SUM(D6:AA6)*AC6+SUM(D7:AA7)*AC7+SUM(D8:AA8)*AC8</f>
        <v>43904294.364301197</v>
      </c>
      <c r="AC6" s="16">
        <v>20</v>
      </c>
      <c r="AD6" s="16">
        <f t="shared" ref="AD6:AD69" si="1">+SUM(D6:AA6)*AC6</f>
        <v>28325351.202774964</v>
      </c>
    </row>
    <row r="7" spans="1:30" ht="13.5" thickBot="1" x14ac:dyDescent="0.35">
      <c r="A7" s="18">
        <v>2026</v>
      </c>
      <c r="B7" s="19" t="s">
        <v>32</v>
      </c>
      <c r="C7" s="20" t="s">
        <v>50</v>
      </c>
      <c r="D7" s="21">
        <v>20232.39371626783</v>
      </c>
      <c r="E7" s="22">
        <v>20232.39371626783</v>
      </c>
      <c r="F7" s="22">
        <v>20232.39371626783</v>
      </c>
      <c r="G7" s="22">
        <v>20232.39371626783</v>
      </c>
      <c r="H7" s="22">
        <v>20232.39371626783</v>
      </c>
      <c r="I7" s="22">
        <v>20232.39371626783</v>
      </c>
      <c r="J7" s="22">
        <v>20232.39371626783</v>
      </c>
      <c r="K7" s="22">
        <v>35655.28840224036</v>
      </c>
      <c r="L7" s="22">
        <v>61952.431758960258</v>
      </c>
      <c r="M7" s="22">
        <v>79250.504232184452</v>
      </c>
      <c r="N7" s="22">
        <v>88811.516435849509</v>
      </c>
      <c r="O7" s="22">
        <v>92117.220535934306</v>
      </c>
      <c r="P7" s="22">
        <v>91245.450054549437</v>
      </c>
      <c r="Q7" s="22">
        <v>86284.828760619348</v>
      </c>
      <c r="R7" s="22">
        <v>77052.585574165743</v>
      </c>
      <c r="S7" s="22">
        <v>60852.57173056477</v>
      </c>
      <c r="T7" s="22">
        <v>34911.382584305909</v>
      </c>
      <c r="U7" s="22">
        <v>80929.574865071321</v>
      </c>
      <c r="V7" s="22">
        <v>80929.574865071321</v>
      </c>
      <c r="W7" s="22">
        <v>80929.574865071321</v>
      </c>
      <c r="X7" s="22">
        <v>80929.574865071321</v>
      </c>
      <c r="Y7" s="22">
        <v>80929.574865071321</v>
      </c>
      <c r="Z7" s="22">
        <v>80929.574865071321</v>
      </c>
      <c r="AA7" s="23">
        <v>80929.574865071321</v>
      </c>
      <c r="AB7" s="97"/>
      <c r="AC7" s="24">
        <v>5</v>
      </c>
      <c r="AD7" s="16">
        <f t="shared" si="1"/>
        <v>7081337.8006937429</v>
      </c>
    </row>
    <row r="8" spans="1:30" ht="13.5" thickBot="1" x14ac:dyDescent="0.35">
      <c r="A8" s="18">
        <v>2026</v>
      </c>
      <c r="B8" s="25" t="s">
        <v>32</v>
      </c>
      <c r="C8" s="26" t="s">
        <v>36</v>
      </c>
      <c r="D8" s="21">
        <v>20232.39371626783</v>
      </c>
      <c r="E8" s="22">
        <v>20232.39371626783</v>
      </c>
      <c r="F8" s="22">
        <v>20232.39371626783</v>
      </c>
      <c r="G8" s="22">
        <v>20232.39371626783</v>
      </c>
      <c r="H8" s="22">
        <v>20232.39371626783</v>
      </c>
      <c r="I8" s="22">
        <v>20232.39371626783</v>
      </c>
      <c r="J8" s="22">
        <v>20232.39371626783</v>
      </c>
      <c r="K8" s="22">
        <v>35655.288402240367</v>
      </c>
      <c r="L8" s="22">
        <v>61952.431758960251</v>
      </c>
      <c r="M8" s="22">
        <v>79250.504232184452</v>
      </c>
      <c r="N8" s="22">
        <v>88811.516435849495</v>
      </c>
      <c r="O8" s="22">
        <v>92117.220535934306</v>
      </c>
      <c r="P8" s="22">
        <v>91245.450054549437</v>
      </c>
      <c r="Q8" s="22">
        <v>86284.828760619348</v>
      </c>
      <c r="R8" s="22">
        <v>77052.585574165743</v>
      </c>
      <c r="S8" s="22">
        <v>60852.571730564763</v>
      </c>
      <c r="T8" s="22">
        <v>34911.382584305909</v>
      </c>
      <c r="U8" s="22">
        <v>80929.574865071321</v>
      </c>
      <c r="V8" s="22">
        <v>80929.574865071321</v>
      </c>
      <c r="W8" s="22">
        <v>80929.574865071321</v>
      </c>
      <c r="X8" s="22">
        <v>80929.574865071321</v>
      </c>
      <c r="Y8" s="22">
        <v>80929.574865071321</v>
      </c>
      <c r="Z8" s="22">
        <v>80929.574865071321</v>
      </c>
      <c r="AA8" s="23">
        <v>80929.574865071321</v>
      </c>
      <c r="AB8" s="97"/>
      <c r="AC8" s="27">
        <v>6</v>
      </c>
      <c r="AD8" s="16">
        <f t="shared" si="1"/>
        <v>8497605.36083249</v>
      </c>
    </row>
    <row r="9" spans="1:30" ht="13.5" thickBot="1" x14ac:dyDescent="0.35">
      <c r="A9" s="18">
        <v>2026</v>
      </c>
      <c r="B9" s="11" t="s">
        <v>35</v>
      </c>
      <c r="C9" s="12" t="s">
        <v>33</v>
      </c>
      <c r="D9" s="21">
        <v>20232.39371626783</v>
      </c>
      <c r="E9" s="22">
        <v>20232.39371626783</v>
      </c>
      <c r="F9" s="22">
        <v>20232.39371626783</v>
      </c>
      <c r="G9" s="22">
        <v>20232.39371626783</v>
      </c>
      <c r="H9" s="22">
        <v>20232.39371626783</v>
      </c>
      <c r="I9" s="22">
        <v>20232.39371626783</v>
      </c>
      <c r="J9" s="22">
        <v>20232.39371626783</v>
      </c>
      <c r="K9" s="22">
        <v>35655.288402240367</v>
      </c>
      <c r="L9" s="22">
        <v>61952.431758960258</v>
      </c>
      <c r="M9" s="22">
        <v>79250.504232184467</v>
      </c>
      <c r="N9" s="22">
        <v>88811.516435849495</v>
      </c>
      <c r="O9" s="22">
        <v>92117.220535934262</v>
      </c>
      <c r="P9" s="22">
        <v>91245.450054549408</v>
      </c>
      <c r="Q9" s="22">
        <v>86284.828760619333</v>
      </c>
      <c r="R9" s="22">
        <v>77052.585574165714</v>
      </c>
      <c r="S9" s="22">
        <v>60852.571730564792</v>
      </c>
      <c r="T9" s="22">
        <v>34911.382584305909</v>
      </c>
      <c r="U9" s="22">
        <v>80929.574865071321</v>
      </c>
      <c r="V9" s="22">
        <v>80929.574865071321</v>
      </c>
      <c r="W9" s="22">
        <v>80929.574865071321</v>
      </c>
      <c r="X9" s="22">
        <v>80929.574865071321</v>
      </c>
      <c r="Y9" s="22">
        <v>80929.574865071321</v>
      </c>
      <c r="Z9" s="22">
        <v>80929.574865071321</v>
      </c>
      <c r="AA9" s="23">
        <v>80929.574865071321</v>
      </c>
      <c r="AB9" s="96">
        <f t="shared" ref="AB9" si="2">+SUM(D9:AA9)*AC9+SUM(D10:AA10)*AC10+SUM(D11:AA11)*AC11</f>
        <v>39655491.683884956</v>
      </c>
      <c r="AC9" s="16">
        <v>20</v>
      </c>
      <c r="AD9" s="16">
        <f t="shared" si="1"/>
        <v>28325351.202774964</v>
      </c>
    </row>
    <row r="10" spans="1:30" ht="13.5" thickBot="1" x14ac:dyDescent="0.35">
      <c r="A10" s="18">
        <v>2026</v>
      </c>
      <c r="B10" s="19" t="s">
        <v>35</v>
      </c>
      <c r="C10" s="20" t="s">
        <v>50</v>
      </c>
      <c r="D10" s="21">
        <v>20232.39371626783</v>
      </c>
      <c r="E10" s="22">
        <v>20232.39371626783</v>
      </c>
      <c r="F10" s="22">
        <v>20232.39371626783</v>
      </c>
      <c r="G10" s="22">
        <v>20232.39371626783</v>
      </c>
      <c r="H10" s="22">
        <v>20232.39371626783</v>
      </c>
      <c r="I10" s="22">
        <v>20232.39371626783</v>
      </c>
      <c r="J10" s="22">
        <v>20232.39371626783</v>
      </c>
      <c r="K10" s="22">
        <v>35655.28840224036</v>
      </c>
      <c r="L10" s="22">
        <v>61952.431758960258</v>
      </c>
      <c r="M10" s="22">
        <v>79250.504232184452</v>
      </c>
      <c r="N10" s="22">
        <v>88811.516435849509</v>
      </c>
      <c r="O10" s="22">
        <v>92117.220535934306</v>
      </c>
      <c r="P10" s="22">
        <v>91245.450054549437</v>
      </c>
      <c r="Q10" s="22">
        <v>86284.828760619348</v>
      </c>
      <c r="R10" s="22">
        <v>77052.585574165743</v>
      </c>
      <c r="S10" s="22">
        <v>60852.57173056477</v>
      </c>
      <c r="T10" s="22">
        <v>34911.382584305909</v>
      </c>
      <c r="U10" s="22">
        <v>80929.574865071321</v>
      </c>
      <c r="V10" s="22">
        <v>80929.574865071321</v>
      </c>
      <c r="W10" s="22">
        <v>80929.574865071321</v>
      </c>
      <c r="X10" s="22">
        <v>80929.574865071321</v>
      </c>
      <c r="Y10" s="22">
        <v>80929.574865071321</v>
      </c>
      <c r="Z10" s="22">
        <v>80929.574865071321</v>
      </c>
      <c r="AA10" s="23">
        <v>80929.574865071321</v>
      </c>
      <c r="AB10" s="97"/>
      <c r="AC10" s="24">
        <v>4</v>
      </c>
      <c r="AD10" s="16">
        <f t="shared" si="1"/>
        <v>5665070.240554994</v>
      </c>
    </row>
    <row r="11" spans="1:30" ht="13.5" thickBot="1" x14ac:dyDescent="0.35">
      <c r="A11" s="18">
        <v>2026</v>
      </c>
      <c r="B11" s="25" t="s">
        <v>35</v>
      </c>
      <c r="C11" s="26" t="s">
        <v>36</v>
      </c>
      <c r="D11" s="21">
        <v>20232.39371626783</v>
      </c>
      <c r="E11" s="22">
        <v>20232.39371626783</v>
      </c>
      <c r="F11" s="22">
        <v>20232.39371626783</v>
      </c>
      <c r="G11" s="22">
        <v>20232.39371626783</v>
      </c>
      <c r="H11" s="22">
        <v>20232.39371626783</v>
      </c>
      <c r="I11" s="22">
        <v>20232.39371626783</v>
      </c>
      <c r="J11" s="22">
        <v>20232.39371626783</v>
      </c>
      <c r="K11" s="22">
        <v>35655.28840224036</v>
      </c>
      <c r="L11" s="22">
        <v>61952.431758960258</v>
      </c>
      <c r="M11" s="22">
        <v>79250.504232184452</v>
      </c>
      <c r="N11" s="22">
        <v>88811.516435849509</v>
      </c>
      <c r="O11" s="22">
        <v>92117.220535934306</v>
      </c>
      <c r="P11" s="22">
        <v>91245.450054549437</v>
      </c>
      <c r="Q11" s="22">
        <v>86284.828760619348</v>
      </c>
      <c r="R11" s="22">
        <v>77052.585574165743</v>
      </c>
      <c r="S11" s="22">
        <v>60852.57173056477</v>
      </c>
      <c r="T11" s="22">
        <v>34911.382584305909</v>
      </c>
      <c r="U11" s="22">
        <v>80929.574865071321</v>
      </c>
      <c r="V11" s="22">
        <v>80929.574865071321</v>
      </c>
      <c r="W11" s="22">
        <v>80929.574865071321</v>
      </c>
      <c r="X11" s="22">
        <v>80929.574865071321</v>
      </c>
      <c r="Y11" s="22">
        <v>80929.574865071321</v>
      </c>
      <c r="Z11" s="22">
        <v>80929.574865071321</v>
      </c>
      <c r="AA11" s="23">
        <v>80929.574865071321</v>
      </c>
      <c r="AB11" s="97"/>
      <c r="AC11" s="27">
        <v>4</v>
      </c>
      <c r="AD11" s="16">
        <f t="shared" si="1"/>
        <v>5665070.240554994</v>
      </c>
    </row>
    <row r="12" spans="1:30" ht="13.5" thickBot="1" x14ac:dyDescent="0.35">
      <c r="A12" s="18">
        <v>2026</v>
      </c>
      <c r="B12" s="11" t="s">
        <v>37</v>
      </c>
      <c r="C12" s="12" t="s">
        <v>33</v>
      </c>
      <c r="D12" s="21">
        <v>20232.39371626783</v>
      </c>
      <c r="E12" s="22">
        <v>20232.39371626783</v>
      </c>
      <c r="F12" s="22">
        <v>20232.39371626783</v>
      </c>
      <c r="G12" s="22">
        <v>20232.39371626783</v>
      </c>
      <c r="H12" s="22">
        <v>20232.39371626783</v>
      </c>
      <c r="I12" s="22">
        <v>20232.39371626783</v>
      </c>
      <c r="J12" s="22">
        <v>20232.39371626783</v>
      </c>
      <c r="K12" s="22">
        <v>35655.288402240367</v>
      </c>
      <c r="L12" s="22">
        <v>61952.431758960258</v>
      </c>
      <c r="M12" s="22">
        <v>79250.504232184467</v>
      </c>
      <c r="N12" s="22">
        <v>88811.516435849495</v>
      </c>
      <c r="O12" s="22">
        <v>92117.220535934262</v>
      </c>
      <c r="P12" s="22">
        <v>91245.450054549408</v>
      </c>
      <c r="Q12" s="22">
        <v>86284.828760619333</v>
      </c>
      <c r="R12" s="22">
        <v>77052.585574165714</v>
      </c>
      <c r="S12" s="22">
        <v>60852.571730564792</v>
      </c>
      <c r="T12" s="22">
        <v>34911.382584305909</v>
      </c>
      <c r="U12" s="22">
        <v>80929.574865071321</v>
      </c>
      <c r="V12" s="22">
        <v>80929.574865071321</v>
      </c>
      <c r="W12" s="22">
        <v>80929.574865071321</v>
      </c>
      <c r="X12" s="22">
        <v>80929.574865071321</v>
      </c>
      <c r="Y12" s="22">
        <v>80929.574865071321</v>
      </c>
      <c r="Z12" s="22">
        <v>80929.574865071321</v>
      </c>
      <c r="AA12" s="23">
        <v>80929.574865071321</v>
      </c>
      <c r="AB12" s="96">
        <f t="shared" ref="AB12" si="3">+SUM(D12:AA12)*AC12+SUM(D13:AA13)*AC13+SUM(D14:AA14)*AC14</f>
        <v>43904294.364301197</v>
      </c>
      <c r="AC12" s="16">
        <v>21</v>
      </c>
      <c r="AD12" s="16">
        <f t="shared" si="1"/>
        <v>29741618.762913715</v>
      </c>
    </row>
    <row r="13" spans="1:30" ht="13.5" thickBot="1" x14ac:dyDescent="0.35">
      <c r="A13" s="18">
        <v>2026</v>
      </c>
      <c r="B13" s="19" t="s">
        <v>37</v>
      </c>
      <c r="C13" s="20" t="s">
        <v>50</v>
      </c>
      <c r="D13" s="21">
        <v>20232.39371626783</v>
      </c>
      <c r="E13" s="22">
        <v>20232.39371626783</v>
      </c>
      <c r="F13" s="22">
        <v>20232.39371626783</v>
      </c>
      <c r="G13" s="22">
        <v>20232.39371626783</v>
      </c>
      <c r="H13" s="22">
        <v>20232.39371626783</v>
      </c>
      <c r="I13" s="22">
        <v>20232.39371626783</v>
      </c>
      <c r="J13" s="22">
        <v>20232.39371626783</v>
      </c>
      <c r="K13" s="22">
        <v>35655.28840224036</v>
      </c>
      <c r="L13" s="22">
        <v>61952.431758960258</v>
      </c>
      <c r="M13" s="22">
        <v>79250.504232184452</v>
      </c>
      <c r="N13" s="22">
        <v>88811.516435849509</v>
      </c>
      <c r="O13" s="22">
        <v>92117.220535934306</v>
      </c>
      <c r="P13" s="22">
        <v>91245.450054549437</v>
      </c>
      <c r="Q13" s="22">
        <v>86284.828760619348</v>
      </c>
      <c r="R13" s="22">
        <v>77052.585574165743</v>
      </c>
      <c r="S13" s="22">
        <v>60852.57173056477</v>
      </c>
      <c r="T13" s="22">
        <v>34911.382584305909</v>
      </c>
      <c r="U13" s="22">
        <v>80929.574865071321</v>
      </c>
      <c r="V13" s="22">
        <v>80929.574865071321</v>
      </c>
      <c r="W13" s="22">
        <v>80929.574865071321</v>
      </c>
      <c r="X13" s="22">
        <v>80929.574865071321</v>
      </c>
      <c r="Y13" s="22">
        <v>80929.574865071321</v>
      </c>
      <c r="Z13" s="22">
        <v>80929.574865071321</v>
      </c>
      <c r="AA13" s="23">
        <v>80929.574865071321</v>
      </c>
      <c r="AB13" s="97"/>
      <c r="AC13" s="24">
        <v>4</v>
      </c>
      <c r="AD13" s="16">
        <f t="shared" si="1"/>
        <v>5665070.240554994</v>
      </c>
    </row>
    <row r="14" spans="1:30" ht="13.5" thickBot="1" x14ac:dyDescent="0.35">
      <c r="A14" s="18">
        <v>2026</v>
      </c>
      <c r="B14" s="25" t="s">
        <v>37</v>
      </c>
      <c r="C14" s="26" t="s">
        <v>36</v>
      </c>
      <c r="D14" s="21">
        <v>20232.39371626783</v>
      </c>
      <c r="E14" s="22">
        <v>20232.39371626783</v>
      </c>
      <c r="F14" s="22">
        <v>20232.39371626783</v>
      </c>
      <c r="G14" s="22">
        <v>20232.39371626783</v>
      </c>
      <c r="H14" s="22">
        <v>20232.39371626783</v>
      </c>
      <c r="I14" s="22">
        <v>20232.39371626783</v>
      </c>
      <c r="J14" s="22">
        <v>20232.39371626783</v>
      </c>
      <c r="K14" s="22">
        <v>35655.288402240367</v>
      </c>
      <c r="L14" s="22">
        <v>61952.431758960251</v>
      </c>
      <c r="M14" s="22">
        <v>79250.504232184452</v>
      </c>
      <c r="N14" s="22">
        <v>88811.516435849495</v>
      </c>
      <c r="O14" s="22">
        <v>92117.220535934306</v>
      </c>
      <c r="P14" s="22">
        <v>91245.450054549437</v>
      </c>
      <c r="Q14" s="22">
        <v>86284.828760619348</v>
      </c>
      <c r="R14" s="22">
        <v>77052.585574165743</v>
      </c>
      <c r="S14" s="22">
        <v>60852.571730564763</v>
      </c>
      <c r="T14" s="22">
        <v>34911.382584305909</v>
      </c>
      <c r="U14" s="22">
        <v>80929.574865071321</v>
      </c>
      <c r="V14" s="22">
        <v>80929.574865071321</v>
      </c>
      <c r="W14" s="22">
        <v>80929.574865071321</v>
      </c>
      <c r="X14" s="22">
        <v>80929.574865071321</v>
      </c>
      <c r="Y14" s="22">
        <v>80929.574865071321</v>
      </c>
      <c r="Z14" s="22">
        <v>80929.574865071321</v>
      </c>
      <c r="AA14" s="23">
        <v>80929.574865071321</v>
      </c>
      <c r="AB14" s="97"/>
      <c r="AC14" s="27">
        <v>6</v>
      </c>
      <c r="AD14" s="16">
        <f t="shared" si="1"/>
        <v>8497605.36083249</v>
      </c>
    </row>
    <row r="15" spans="1:30" ht="13.5" thickBot="1" x14ac:dyDescent="0.35">
      <c r="A15" s="18">
        <v>2026</v>
      </c>
      <c r="B15" s="11" t="s">
        <v>38</v>
      </c>
      <c r="C15" s="12" t="s">
        <v>33</v>
      </c>
      <c r="D15" s="21">
        <v>20232.39371626783</v>
      </c>
      <c r="E15" s="22">
        <v>20232.39371626783</v>
      </c>
      <c r="F15" s="22">
        <v>20232.39371626783</v>
      </c>
      <c r="G15" s="22">
        <v>20232.39371626783</v>
      </c>
      <c r="H15" s="22">
        <v>20232.39371626783</v>
      </c>
      <c r="I15" s="22">
        <v>20232.39371626783</v>
      </c>
      <c r="J15" s="22">
        <v>20232.39371626783</v>
      </c>
      <c r="K15" s="22">
        <v>35655.288402240367</v>
      </c>
      <c r="L15" s="22">
        <v>61952.431758960258</v>
      </c>
      <c r="M15" s="22">
        <v>79250.504232184467</v>
      </c>
      <c r="N15" s="22">
        <v>88811.516435849495</v>
      </c>
      <c r="O15" s="22">
        <v>92117.220535934262</v>
      </c>
      <c r="P15" s="22">
        <v>91245.450054549408</v>
      </c>
      <c r="Q15" s="22">
        <v>86284.828760619333</v>
      </c>
      <c r="R15" s="22">
        <v>77052.585574165714</v>
      </c>
      <c r="S15" s="22">
        <v>60852.571730564792</v>
      </c>
      <c r="T15" s="22">
        <v>34911.382584305909</v>
      </c>
      <c r="U15" s="22">
        <v>80929.574865071321</v>
      </c>
      <c r="V15" s="22">
        <v>80929.574865071321</v>
      </c>
      <c r="W15" s="22">
        <v>80929.574865071321</v>
      </c>
      <c r="X15" s="22">
        <v>80929.574865071321</v>
      </c>
      <c r="Y15" s="22">
        <v>80929.574865071321</v>
      </c>
      <c r="Z15" s="22">
        <v>80929.574865071321</v>
      </c>
      <c r="AA15" s="23">
        <v>80929.574865071321</v>
      </c>
      <c r="AB15" s="96">
        <f t="shared" ref="AB15" si="4">+SUM(D15:AA15)*AC15+SUM(D16:AA16)*AC16+SUM(D17:AA17)*AC17</f>
        <v>42488026.80416245</v>
      </c>
      <c r="AC15" s="16">
        <v>20</v>
      </c>
      <c r="AD15" s="16">
        <f t="shared" si="1"/>
        <v>28325351.202774964</v>
      </c>
    </row>
    <row r="16" spans="1:30" ht="13.5" thickBot="1" x14ac:dyDescent="0.35">
      <c r="A16" s="18">
        <v>2026</v>
      </c>
      <c r="B16" s="19" t="s">
        <v>38</v>
      </c>
      <c r="C16" s="20" t="s">
        <v>50</v>
      </c>
      <c r="D16" s="21">
        <v>20232.39371626783</v>
      </c>
      <c r="E16" s="22">
        <v>20232.39371626783</v>
      </c>
      <c r="F16" s="22">
        <v>20232.39371626783</v>
      </c>
      <c r="G16" s="22">
        <v>20232.39371626783</v>
      </c>
      <c r="H16" s="22">
        <v>20232.39371626783</v>
      </c>
      <c r="I16" s="22">
        <v>20232.39371626783</v>
      </c>
      <c r="J16" s="22">
        <v>20232.39371626783</v>
      </c>
      <c r="K16" s="22">
        <v>35655.28840224036</v>
      </c>
      <c r="L16" s="22">
        <v>61952.431758960258</v>
      </c>
      <c r="M16" s="22">
        <v>79250.504232184452</v>
      </c>
      <c r="N16" s="22">
        <v>88811.516435849509</v>
      </c>
      <c r="O16" s="22">
        <v>92117.220535934306</v>
      </c>
      <c r="P16" s="22">
        <v>91245.450054549437</v>
      </c>
      <c r="Q16" s="22">
        <v>86284.828760619348</v>
      </c>
      <c r="R16" s="22">
        <v>77052.585574165743</v>
      </c>
      <c r="S16" s="22">
        <v>60852.57173056477</v>
      </c>
      <c r="T16" s="22">
        <v>34911.382584305909</v>
      </c>
      <c r="U16" s="22">
        <v>80929.574865071321</v>
      </c>
      <c r="V16" s="22">
        <v>80929.574865071321</v>
      </c>
      <c r="W16" s="22">
        <v>80929.574865071321</v>
      </c>
      <c r="X16" s="22">
        <v>80929.574865071321</v>
      </c>
      <c r="Y16" s="22">
        <v>80929.574865071321</v>
      </c>
      <c r="Z16" s="22">
        <v>80929.574865071321</v>
      </c>
      <c r="AA16" s="23">
        <v>80929.574865071321</v>
      </c>
      <c r="AB16" s="97"/>
      <c r="AC16" s="24">
        <v>4</v>
      </c>
      <c r="AD16" s="16">
        <f t="shared" si="1"/>
        <v>5665070.240554994</v>
      </c>
    </row>
    <row r="17" spans="1:30" ht="13.5" thickBot="1" x14ac:dyDescent="0.35">
      <c r="A17" s="18">
        <v>2026</v>
      </c>
      <c r="B17" s="25" t="s">
        <v>38</v>
      </c>
      <c r="C17" s="26" t="s">
        <v>36</v>
      </c>
      <c r="D17" s="21">
        <v>20232.39371626783</v>
      </c>
      <c r="E17" s="22">
        <v>20232.39371626783</v>
      </c>
      <c r="F17" s="22">
        <v>20232.39371626783</v>
      </c>
      <c r="G17" s="22">
        <v>20232.39371626783</v>
      </c>
      <c r="H17" s="22">
        <v>20232.39371626783</v>
      </c>
      <c r="I17" s="22">
        <v>20232.39371626783</v>
      </c>
      <c r="J17" s="22">
        <v>20232.39371626783</v>
      </c>
      <c r="K17" s="22">
        <v>35655.288402240367</v>
      </c>
      <c r="L17" s="22">
        <v>61952.431758960251</v>
      </c>
      <c r="M17" s="22">
        <v>79250.504232184452</v>
      </c>
      <c r="N17" s="22">
        <v>88811.516435849495</v>
      </c>
      <c r="O17" s="22">
        <v>92117.220535934306</v>
      </c>
      <c r="P17" s="22">
        <v>91245.450054549437</v>
      </c>
      <c r="Q17" s="22">
        <v>86284.828760619348</v>
      </c>
      <c r="R17" s="22">
        <v>77052.585574165743</v>
      </c>
      <c r="S17" s="22">
        <v>60852.571730564763</v>
      </c>
      <c r="T17" s="22">
        <v>34911.382584305909</v>
      </c>
      <c r="U17" s="22">
        <v>80929.574865071321</v>
      </c>
      <c r="V17" s="22">
        <v>80929.574865071321</v>
      </c>
      <c r="W17" s="22">
        <v>80929.574865071321</v>
      </c>
      <c r="X17" s="22">
        <v>80929.574865071321</v>
      </c>
      <c r="Y17" s="22">
        <v>80929.574865071321</v>
      </c>
      <c r="Z17" s="22">
        <v>80929.574865071321</v>
      </c>
      <c r="AA17" s="23">
        <v>80929.574865071321</v>
      </c>
      <c r="AB17" s="97"/>
      <c r="AC17" s="27">
        <v>6</v>
      </c>
      <c r="AD17" s="16">
        <f t="shared" si="1"/>
        <v>8497605.36083249</v>
      </c>
    </row>
    <row r="18" spans="1:30" ht="13.5" thickBot="1" x14ac:dyDescent="0.35">
      <c r="A18" s="18">
        <v>2026</v>
      </c>
      <c r="B18" s="11" t="s">
        <v>39</v>
      </c>
      <c r="C18" s="12" t="s">
        <v>33</v>
      </c>
      <c r="D18" s="21">
        <v>20232.39371626783</v>
      </c>
      <c r="E18" s="22">
        <v>20232.39371626783</v>
      </c>
      <c r="F18" s="22">
        <v>20232.39371626783</v>
      </c>
      <c r="G18" s="22">
        <v>20232.39371626783</v>
      </c>
      <c r="H18" s="22">
        <v>20232.39371626783</v>
      </c>
      <c r="I18" s="22">
        <v>20232.39371626783</v>
      </c>
      <c r="J18" s="22">
        <v>20232.39371626783</v>
      </c>
      <c r="K18" s="22">
        <v>35655.288402240367</v>
      </c>
      <c r="L18" s="22">
        <v>61952.431758960258</v>
      </c>
      <c r="M18" s="22">
        <v>79250.504232184467</v>
      </c>
      <c r="N18" s="22">
        <v>88811.516435849495</v>
      </c>
      <c r="O18" s="22">
        <v>92117.220535934262</v>
      </c>
      <c r="P18" s="22">
        <v>91245.450054549408</v>
      </c>
      <c r="Q18" s="22">
        <v>86284.828760619333</v>
      </c>
      <c r="R18" s="22">
        <v>77052.585574165714</v>
      </c>
      <c r="S18" s="22">
        <v>60852.571730564792</v>
      </c>
      <c r="T18" s="22">
        <v>34911.382584305909</v>
      </c>
      <c r="U18" s="22">
        <v>80929.574865071321</v>
      </c>
      <c r="V18" s="22">
        <v>80929.574865071321</v>
      </c>
      <c r="W18" s="22">
        <v>80929.574865071321</v>
      </c>
      <c r="X18" s="22">
        <v>80929.574865071321</v>
      </c>
      <c r="Y18" s="22">
        <v>80929.574865071321</v>
      </c>
      <c r="Z18" s="22">
        <v>80929.574865071321</v>
      </c>
      <c r="AA18" s="23">
        <v>80929.574865071321</v>
      </c>
      <c r="AB18" s="96">
        <f t="shared" ref="AB18" si="5">+SUM(D18:AA18)*AC18+SUM(D19:AA19)*AC19+SUM(D20:AA20)*AC20</f>
        <v>43904294.364301197</v>
      </c>
      <c r="AC18" s="16">
        <v>19</v>
      </c>
      <c r="AD18" s="16">
        <f t="shared" si="1"/>
        <v>26909083.642636217</v>
      </c>
    </row>
    <row r="19" spans="1:30" ht="13.5" thickBot="1" x14ac:dyDescent="0.35">
      <c r="A19" s="18">
        <v>2026</v>
      </c>
      <c r="B19" s="19" t="s">
        <v>39</v>
      </c>
      <c r="C19" s="20" t="s">
        <v>50</v>
      </c>
      <c r="D19" s="21">
        <v>20232.39371626783</v>
      </c>
      <c r="E19" s="22">
        <v>20232.39371626783</v>
      </c>
      <c r="F19" s="22">
        <v>20232.39371626783</v>
      </c>
      <c r="G19" s="22">
        <v>20232.39371626783</v>
      </c>
      <c r="H19" s="22">
        <v>20232.39371626783</v>
      </c>
      <c r="I19" s="22">
        <v>20232.39371626783</v>
      </c>
      <c r="J19" s="22">
        <v>20232.39371626783</v>
      </c>
      <c r="K19" s="22">
        <v>35655.28840224036</v>
      </c>
      <c r="L19" s="22">
        <v>61952.431758960258</v>
      </c>
      <c r="M19" s="22">
        <v>79250.504232184452</v>
      </c>
      <c r="N19" s="22">
        <v>88811.516435849509</v>
      </c>
      <c r="O19" s="22">
        <v>92117.220535934306</v>
      </c>
      <c r="P19" s="22">
        <v>91245.450054549437</v>
      </c>
      <c r="Q19" s="22">
        <v>86284.828760619348</v>
      </c>
      <c r="R19" s="22">
        <v>77052.585574165743</v>
      </c>
      <c r="S19" s="22">
        <v>60852.57173056477</v>
      </c>
      <c r="T19" s="22">
        <v>34911.382584305909</v>
      </c>
      <c r="U19" s="22">
        <v>80929.574865071321</v>
      </c>
      <c r="V19" s="22">
        <v>80929.574865071321</v>
      </c>
      <c r="W19" s="22">
        <v>80929.574865071321</v>
      </c>
      <c r="X19" s="22">
        <v>80929.574865071321</v>
      </c>
      <c r="Y19" s="22">
        <v>80929.574865071321</v>
      </c>
      <c r="Z19" s="22">
        <v>80929.574865071321</v>
      </c>
      <c r="AA19" s="23">
        <v>80929.574865071321</v>
      </c>
      <c r="AB19" s="97"/>
      <c r="AC19" s="24">
        <v>5</v>
      </c>
      <c r="AD19" s="16">
        <f t="shared" si="1"/>
        <v>7081337.8006937429</v>
      </c>
    </row>
    <row r="20" spans="1:30" ht="13.5" thickBot="1" x14ac:dyDescent="0.35">
      <c r="A20" s="18">
        <v>2026</v>
      </c>
      <c r="B20" s="25" t="s">
        <v>39</v>
      </c>
      <c r="C20" s="26" t="s">
        <v>36</v>
      </c>
      <c r="D20" s="21">
        <v>20232.39371626783</v>
      </c>
      <c r="E20" s="22">
        <v>20232.39371626783</v>
      </c>
      <c r="F20" s="22">
        <v>20232.39371626783</v>
      </c>
      <c r="G20" s="22">
        <v>20232.39371626783</v>
      </c>
      <c r="H20" s="22">
        <v>20232.39371626783</v>
      </c>
      <c r="I20" s="22">
        <v>20232.39371626783</v>
      </c>
      <c r="J20" s="22">
        <v>20232.39371626783</v>
      </c>
      <c r="K20" s="22">
        <v>35655.288402240367</v>
      </c>
      <c r="L20" s="22">
        <v>61952.431758960251</v>
      </c>
      <c r="M20" s="22">
        <v>79250.504232184452</v>
      </c>
      <c r="N20" s="22">
        <v>88811.516435849495</v>
      </c>
      <c r="O20" s="22">
        <v>92117.220535934306</v>
      </c>
      <c r="P20" s="22">
        <v>91245.450054549452</v>
      </c>
      <c r="Q20" s="22">
        <v>86284.828760619348</v>
      </c>
      <c r="R20" s="22">
        <v>77052.585574165758</v>
      </c>
      <c r="S20" s="22">
        <v>60852.571730564763</v>
      </c>
      <c r="T20" s="22">
        <v>34911.382584305909</v>
      </c>
      <c r="U20" s="22">
        <v>80929.574865071321</v>
      </c>
      <c r="V20" s="22">
        <v>80929.574865071321</v>
      </c>
      <c r="W20" s="22">
        <v>80929.574865071321</v>
      </c>
      <c r="X20" s="22">
        <v>80929.574865071321</v>
      </c>
      <c r="Y20" s="22">
        <v>80929.574865071321</v>
      </c>
      <c r="Z20" s="22">
        <v>80929.574865071321</v>
      </c>
      <c r="AA20" s="23">
        <v>80929.574865071321</v>
      </c>
      <c r="AB20" s="97"/>
      <c r="AC20" s="27">
        <v>7</v>
      </c>
      <c r="AD20" s="16">
        <f t="shared" si="1"/>
        <v>9913872.920971239</v>
      </c>
    </row>
    <row r="21" spans="1:30" ht="13.5" thickBot="1" x14ac:dyDescent="0.35">
      <c r="A21" s="18">
        <v>2026</v>
      </c>
      <c r="B21" s="11" t="s">
        <v>40</v>
      </c>
      <c r="C21" s="12" t="s">
        <v>33</v>
      </c>
      <c r="D21" s="21">
        <v>20232.39371626783</v>
      </c>
      <c r="E21" s="22">
        <v>20232.39371626783</v>
      </c>
      <c r="F21" s="22">
        <v>20232.39371626783</v>
      </c>
      <c r="G21" s="22">
        <v>20232.39371626783</v>
      </c>
      <c r="H21" s="22">
        <v>20232.39371626783</v>
      </c>
      <c r="I21" s="22">
        <v>20232.39371626783</v>
      </c>
      <c r="J21" s="22">
        <v>20232.39371626783</v>
      </c>
      <c r="K21" s="22">
        <v>35655.288402240367</v>
      </c>
      <c r="L21" s="22">
        <v>61952.431758960258</v>
      </c>
      <c r="M21" s="22">
        <v>79250.504232184467</v>
      </c>
      <c r="N21" s="22">
        <v>88811.516435849495</v>
      </c>
      <c r="O21" s="22">
        <v>92117.220535934262</v>
      </c>
      <c r="P21" s="22">
        <v>91245.450054549408</v>
      </c>
      <c r="Q21" s="22">
        <v>86284.828760619333</v>
      </c>
      <c r="R21" s="22">
        <v>77052.585574165714</v>
      </c>
      <c r="S21" s="22">
        <v>60852.571730564792</v>
      </c>
      <c r="T21" s="22">
        <v>34911.382584305909</v>
      </c>
      <c r="U21" s="22">
        <v>80929.574865071321</v>
      </c>
      <c r="V21" s="22">
        <v>80929.574865071321</v>
      </c>
      <c r="W21" s="22">
        <v>80929.574865071321</v>
      </c>
      <c r="X21" s="22">
        <v>80929.574865071321</v>
      </c>
      <c r="Y21" s="22">
        <v>80929.574865071321</v>
      </c>
      <c r="Z21" s="22">
        <v>80929.574865071321</v>
      </c>
      <c r="AA21" s="23">
        <v>80929.574865071321</v>
      </c>
      <c r="AB21" s="96">
        <f t="shared" ref="AB21" si="6">+SUM(D21:AA21)*AC21+SUM(D22:AA22)*AC22+SUM(D23:AA23)*AC23</f>
        <v>42488026.80416245</v>
      </c>
      <c r="AC21" s="16">
        <v>19</v>
      </c>
      <c r="AD21" s="16">
        <f t="shared" si="1"/>
        <v>26909083.642636217</v>
      </c>
    </row>
    <row r="22" spans="1:30" ht="13.5" thickBot="1" x14ac:dyDescent="0.35">
      <c r="A22" s="18">
        <v>2026</v>
      </c>
      <c r="B22" s="19" t="s">
        <v>40</v>
      </c>
      <c r="C22" s="20" t="s">
        <v>50</v>
      </c>
      <c r="D22" s="21">
        <v>20232.39371626783</v>
      </c>
      <c r="E22" s="22">
        <v>20232.39371626783</v>
      </c>
      <c r="F22" s="22">
        <v>20232.39371626783</v>
      </c>
      <c r="G22" s="22">
        <v>20232.39371626783</v>
      </c>
      <c r="H22" s="22">
        <v>20232.39371626783</v>
      </c>
      <c r="I22" s="22">
        <v>20232.39371626783</v>
      </c>
      <c r="J22" s="22">
        <v>20232.39371626783</v>
      </c>
      <c r="K22" s="22">
        <v>35655.28840224036</v>
      </c>
      <c r="L22" s="22">
        <v>61952.431758960258</v>
      </c>
      <c r="M22" s="22">
        <v>79250.504232184452</v>
      </c>
      <c r="N22" s="22">
        <v>88811.516435849509</v>
      </c>
      <c r="O22" s="22">
        <v>92117.220535934306</v>
      </c>
      <c r="P22" s="22">
        <v>91245.450054549437</v>
      </c>
      <c r="Q22" s="22">
        <v>86284.828760619348</v>
      </c>
      <c r="R22" s="22">
        <v>77052.585574165743</v>
      </c>
      <c r="S22" s="22">
        <v>60852.57173056477</v>
      </c>
      <c r="T22" s="22">
        <v>34911.382584305909</v>
      </c>
      <c r="U22" s="22">
        <v>80929.574865071321</v>
      </c>
      <c r="V22" s="22">
        <v>80929.574865071321</v>
      </c>
      <c r="W22" s="22">
        <v>80929.574865071321</v>
      </c>
      <c r="X22" s="22">
        <v>80929.574865071321</v>
      </c>
      <c r="Y22" s="22">
        <v>80929.574865071321</v>
      </c>
      <c r="Z22" s="22">
        <v>80929.574865071321</v>
      </c>
      <c r="AA22" s="23">
        <v>80929.574865071321</v>
      </c>
      <c r="AB22" s="97"/>
      <c r="AC22" s="24">
        <v>4</v>
      </c>
      <c r="AD22" s="16">
        <f t="shared" si="1"/>
        <v>5665070.240554994</v>
      </c>
    </row>
    <row r="23" spans="1:30" ht="13.5" thickBot="1" x14ac:dyDescent="0.35">
      <c r="A23" s="18">
        <v>2026</v>
      </c>
      <c r="B23" s="25" t="s">
        <v>40</v>
      </c>
      <c r="C23" s="26" t="s">
        <v>36</v>
      </c>
      <c r="D23" s="21">
        <v>20232.39371626783</v>
      </c>
      <c r="E23" s="22">
        <v>20232.39371626783</v>
      </c>
      <c r="F23" s="22">
        <v>20232.39371626783</v>
      </c>
      <c r="G23" s="22">
        <v>20232.39371626783</v>
      </c>
      <c r="H23" s="22">
        <v>20232.39371626783</v>
      </c>
      <c r="I23" s="22">
        <v>20232.39371626783</v>
      </c>
      <c r="J23" s="22">
        <v>20232.39371626783</v>
      </c>
      <c r="K23" s="22">
        <v>35655.288402240367</v>
      </c>
      <c r="L23" s="22">
        <v>61952.431758960251</v>
      </c>
      <c r="M23" s="22">
        <v>79250.504232184452</v>
      </c>
      <c r="N23" s="22">
        <v>88811.516435849495</v>
      </c>
      <c r="O23" s="22">
        <v>92117.220535934306</v>
      </c>
      <c r="P23" s="22">
        <v>91245.450054549452</v>
      </c>
      <c r="Q23" s="22">
        <v>86284.828760619348</v>
      </c>
      <c r="R23" s="22">
        <v>77052.585574165758</v>
      </c>
      <c r="S23" s="22">
        <v>60852.571730564763</v>
      </c>
      <c r="T23" s="22">
        <v>34911.382584305909</v>
      </c>
      <c r="U23" s="22">
        <v>80929.574865071321</v>
      </c>
      <c r="V23" s="22">
        <v>80929.574865071321</v>
      </c>
      <c r="W23" s="22">
        <v>80929.574865071321</v>
      </c>
      <c r="X23" s="22">
        <v>80929.574865071321</v>
      </c>
      <c r="Y23" s="22">
        <v>80929.574865071321</v>
      </c>
      <c r="Z23" s="22">
        <v>80929.574865071321</v>
      </c>
      <c r="AA23" s="23">
        <v>80929.574865071321</v>
      </c>
      <c r="AB23" s="97"/>
      <c r="AC23" s="27">
        <v>7</v>
      </c>
      <c r="AD23" s="16">
        <f t="shared" si="1"/>
        <v>9913872.920971239</v>
      </c>
    </row>
    <row r="24" spans="1:30" ht="13.5" thickBot="1" x14ac:dyDescent="0.35">
      <c r="A24" s="18">
        <v>2026</v>
      </c>
      <c r="B24" s="11" t="s">
        <v>41</v>
      </c>
      <c r="C24" s="12" t="s">
        <v>33</v>
      </c>
      <c r="D24" s="21">
        <v>20232.39371626783</v>
      </c>
      <c r="E24" s="22">
        <v>20232.39371626783</v>
      </c>
      <c r="F24" s="22">
        <v>20232.39371626783</v>
      </c>
      <c r="G24" s="22">
        <v>20232.39371626783</v>
      </c>
      <c r="H24" s="22">
        <v>20232.39371626783</v>
      </c>
      <c r="I24" s="22">
        <v>20232.39371626783</v>
      </c>
      <c r="J24" s="22">
        <v>20232.39371626783</v>
      </c>
      <c r="K24" s="22">
        <v>35655.288402240367</v>
      </c>
      <c r="L24" s="22">
        <v>61952.431758960251</v>
      </c>
      <c r="M24" s="22">
        <v>79250.504232184481</v>
      </c>
      <c r="N24" s="22">
        <v>88811.516435849495</v>
      </c>
      <c r="O24" s="22">
        <v>92117.220535934262</v>
      </c>
      <c r="P24" s="22">
        <v>91245.450054549394</v>
      </c>
      <c r="Q24" s="22">
        <v>86284.828760619333</v>
      </c>
      <c r="R24" s="22">
        <v>77052.5855741657</v>
      </c>
      <c r="S24" s="22">
        <v>60852.571730564792</v>
      </c>
      <c r="T24" s="22">
        <v>34911.382584305917</v>
      </c>
      <c r="U24" s="22">
        <v>80929.574865071321</v>
      </c>
      <c r="V24" s="22">
        <v>80929.574865071321</v>
      </c>
      <c r="W24" s="22">
        <v>80929.574865071321</v>
      </c>
      <c r="X24" s="22">
        <v>80929.574865071321</v>
      </c>
      <c r="Y24" s="22">
        <v>80929.574865071321</v>
      </c>
      <c r="Z24" s="22">
        <v>80929.574865071321</v>
      </c>
      <c r="AA24" s="23">
        <v>80929.574865071321</v>
      </c>
      <c r="AB24" s="96">
        <f t="shared" ref="AB24" si="7">+SUM(D24:AA24)*AC24+SUM(D25:AA25)*AC25+SUM(D26:AA26)*AC26</f>
        <v>43904294.364301197</v>
      </c>
      <c r="AC24" s="16">
        <v>22</v>
      </c>
      <c r="AD24" s="16">
        <f t="shared" si="1"/>
        <v>31157886.323052462</v>
      </c>
    </row>
    <row r="25" spans="1:30" ht="13.5" thickBot="1" x14ac:dyDescent="0.35">
      <c r="A25" s="18">
        <v>2026</v>
      </c>
      <c r="B25" s="19" t="s">
        <v>41</v>
      </c>
      <c r="C25" s="20" t="s">
        <v>50</v>
      </c>
      <c r="D25" s="21">
        <v>20232.39371626783</v>
      </c>
      <c r="E25" s="22">
        <v>20232.39371626783</v>
      </c>
      <c r="F25" s="22">
        <v>20232.39371626783</v>
      </c>
      <c r="G25" s="22">
        <v>20232.39371626783</v>
      </c>
      <c r="H25" s="22">
        <v>20232.39371626783</v>
      </c>
      <c r="I25" s="22">
        <v>20232.39371626783</v>
      </c>
      <c r="J25" s="22">
        <v>20232.39371626783</v>
      </c>
      <c r="K25" s="22">
        <v>35655.28840224036</v>
      </c>
      <c r="L25" s="22">
        <v>61952.431758960258</v>
      </c>
      <c r="M25" s="22">
        <v>79250.504232184452</v>
      </c>
      <c r="N25" s="22">
        <v>88811.516435849509</v>
      </c>
      <c r="O25" s="22">
        <v>92117.220535934306</v>
      </c>
      <c r="P25" s="22">
        <v>91245.450054549437</v>
      </c>
      <c r="Q25" s="22">
        <v>86284.828760619348</v>
      </c>
      <c r="R25" s="22">
        <v>77052.585574165743</v>
      </c>
      <c r="S25" s="22">
        <v>60852.57173056477</v>
      </c>
      <c r="T25" s="22">
        <v>34911.382584305909</v>
      </c>
      <c r="U25" s="22">
        <v>80929.574865071321</v>
      </c>
      <c r="V25" s="22">
        <v>80929.574865071321</v>
      </c>
      <c r="W25" s="22">
        <v>80929.574865071321</v>
      </c>
      <c r="X25" s="22">
        <v>80929.574865071321</v>
      </c>
      <c r="Y25" s="22">
        <v>80929.574865071321</v>
      </c>
      <c r="Z25" s="22">
        <v>80929.574865071321</v>
      </c>
      <c r="AA25" s="23">
        <v>80929.574865071321</v>
      </c>
      <c r="AB25" s="97"/>
      <c r="AC25" s="24">
        <v>4</v>
      </c>
      <c r="AD25" s="16">
        <f t="shared" si="1"/>
        <v>5665070.240554994</v>
      </c>
    </row>
    <row r="26" spans="1:30" ht="13.5" thickBot="1" x14ac:dyDescent="0.35">
      <c r="A26" s="18">
        <v>2026</v>
      </c>
      <c r="B26" s="25" t="s">
        <v>41</v>
      </c>
      <c r="C26" s="26" t="s">
        <v>36</v>
      </c>
      <c r="D26" s="21">
        <v>20232.39371626783</v>
      </c>
      <c r="E26" s="22">
        <v>20232.39371626783</v>
      </c>
      <c r="F26" s="22">
        <v>20232.39371626783</v>
      </c>
      <c r="G26" s="22">
        <v>20232.39371626783</v>
      </c>
      <c r="H26" s="22">
        <v>20232.39371626783</v>
      </c>
      <c r="I26" s="22">
        <v>20232.39371626783</v>
      </c>
      <c r="J26" s="22">
        <v>20232.39371626783</v>
      </c>
      <c r="K26" s="22">
        <v>35655.28840224036</v>
      </c>
      <c r="L26" s="22">
        <v>61952.431758960258</v>
      </c>
      <c r="M26" s="22">
        <v>79250.504232184452</v>
      </c>
      <c r="N26" s="22">
        <v>88811.516435849509</v>
      </c>
      <c r="O26" s="22">
        <v>92117.220535934306</v>
      </c>
      <c r="P26" s="22">
        <v>91245.450054549437</v>
      </c>
      <c r="Q26" s="22">
        <v>86284.828760619348</v>
      </c>
      <c r="R26" s="22">
        <v>77052.585574165743</v>
      </c>
      <c r="S26" s="22">
        <v>60852.57173056477</v>
      </c>
      <c r="T26" s="22">
        <v>34911.382584305909</v>
      </c>
      <c r="U26" s="22">
        <v>80929.574865071321</v>
      </c>
      <c r="V26" s="22">
        <v>80929.574865071321</v>
      </c>
      <c r="W26" s="22">
        <v>80929.574865071321</v>
      </c>
      <c r="X26" s="22">
        <v>80929.574865071321</v>
      </c>
      <c r="Y26" s="22">
        <v>80929.574865071321</v>
      </c>
      <c r="Z26" s="22">
        <v>80929.574865071321</v>
      </c>
      <c r="AA26" s="23">
        <v>80929.574865071321</v>
      </c>
      <c r="AB26" s="97"/>
      <c r="AC26" s="27">
        <v>5</v>
      </c>
      <c r="AD26" s="16">
        <f t="shared" si="1"/>
        <v>7081337.8006937429</v>
      </c>
    </row>
    <row r="27" spans="1:30" ht="13.5" thickBot="1" x14ac:dyDescent="0.35">
      <c r="A27" s="18">
        <v>2026</v>
      </c>
      <c r="B27" s="11" t="s">
        <v>42</v>
      </c>
      <c r="C27" s="12" t="s">
        <v>33</v>
      </c>
      <c r="D27" s="21">
        <v>20232.39371626783</v>
      </c>
      <c r="E27" s="22">
        <v>20232.39371626783</v>
      </c>
      <c r="F27" s="22">
        <v>20232.39371626783</v>
      </c>
      <c r="G27" s="22">
        <v>20232.39371626783</v>
      </c>
      <c r="H27" s="22">
        <v>20232.39371626783</v>
      </c>
      <c r="I27" s="22">
        <v>20232.39371626783</v>
      </c>
      <c r="J27" s="22">
        <v>20232.39371626783</v>
      </c>
      <c r="K27" s="22">
        <v>35655.288402240367</v>
      </c>
      <c r="L27" s="22">
        <v>61952.431758960258</v>
      </c>
      <c r="M27" s="22">
        <v>79250.504232184467</v>
      </c>
      <c r="N27" s="22">
        <v>88811.516435849495</v>
      </c>
      <c r="O27" s="22">
        <v>92117.220535934262</v>
      </c>
      <c r="P27" s="22">
        <v>91245.450054549408</v>
      </c>
      <c r="Q27" s="22">
        <v>86284.828760619333</v>
      </c>
      <c r="R27" s="22">
        <v>77052.585574165714</v>
      </c>
      <c r="S27" s="22">
        <v>60852.571730564792</v>
      </c>
      <c r="T27" s="22">
        <v>34911.382584305909</v>
      </c>
      <c r="U27" s="22">
        <v>80929.574865071321</v>
      </c>
      <c r="V27" s="22">
        <v>80929.574865071321</v>
      </c>
      <c r="W27" s="22">
        <v>80929.574865071321</v>
      </c>
      <c r="X27" s="22">
        <v>80929.574865071321</v>
      </c>
      <c r="Y27" s="22">
        <v>80929.574865071321</v>
      </c>
      <c r="Z27" s="22">
        <v>80929.574865071321</v>
      </c>
      <c r="AA27" s="23">
        <v>80929.574865071321</v>
      </c>
      <c r="AB27" s="96">
        <f t="shared" ref="AB27" si="8">+SUM(D27:AA27)*AC27+SUM(D28:AA28)*AC28+SUM(D29:AA29)*AC29</f>
        <v>43904294.364301197</v>
      </c>
      <c r="AC27" s="16">
        <v>19</v>
      </c>
      <c r="AD27" s="16">
        <f t="shared" si="1"/>
        <v>26909083.642636217</v>
      </c>
    </row>
    <row r="28" spans="1:30" ht="13.5" thickBot="1" x14ac:dyDescent="0.35">
      <c r="A28" s="18">
        <v>2026</v>
      </c>
      <c r="B28" s="19" t="s">
        <v>42</v>
      </c>
      <c r="C28" s="20" t="s">
        <v>50</v>
      </c>
      <c r="D28" s="21">
        <v>20232.39371626783</v>
      </c>
      <c r="E28" s="22">
        <v>20232.39371626783</v>
      </c>
      <c r="F28" s="22">
        <v>20232.39371626783</v>
      </c>
      <c r="G28" s="22">
        <v>20232.39371626783</v>
      </c>
      <c r="H28" s="22">
        <v>20232.39371626783</v>
      </c>
      <c r="I28" s="22">
        <v>20232.39371626783</v>
      </c>
      <c r="J28" s="22">
        <v>20232.39371626783</v>
      </c>
      <c r="K28" s="22">
        <v>35655.28840224036</v>
      </c>
      <c r="L28" s="22">
        <v>61952.431758960258</v>
      </c>
      <c r="M28" s="22">
        <v>79250.504232184452</v>
      </c>
      <c r="N28" s="22">
        <v>88811.516435849509</v>
      </c>
      <c r="O28" s="22">
        <v>92117.220535934306</v>
      </c>
      <c r="P28" s="22">
        <v>91245.450054549437</v>
      </c>
      <c r="Q28" s="22">
        <v>86284.828760619348</v>
      </c>
      <c r="R28" s="22">
        <v>77052.585574165743</v>
      </c>
      <c r="S28" s="22">
        <v>60852.57173056477</v>
      </c>
      <c r="T28" s="22">
        <v>34911.382584305909</v>
      </c>
      <c r="U28" s="22">
        <v>80929.574865071321</v>
      </c>
      <c r="V28" s="22">
        <v>80929.574865071321</v>
      </c>
      <c r="W28" s="22">
        <v>80929.574865071321</v>
      </c>
      <c r="X28" s="22">
        <v>80929.574865071321</v>
      </c>
      <c r="Y28" s="22">
        <v>80929.574865071321</v>
      </c>
      <c r="Z28" s="22">
        <v>80929.574865071321</v>
      </c>
      <c r="AA28" s="23">
        <v>80929.574865071321</v>
      </c>
      <c r="AB28" s="97"/>
      <c r="AC28" s="24">
        <v>5</v>
      </c>
      <c r="AD28" s="16">
        <f t="shared" si="1"/>
        <v>7081337.8006937429</v>
      </c>
    </row>
    <row r="29" spans="1:30" ht="13.5" thickBot="1" x14ac:dyDescent="0.35">
      <c r="A29" s="18">
        <v>2026</v>
      </c>
      <c r="B29" s="25" t="s">
        <v>42</v>
      </c>
      <c r="C29" s="26" t="s">
        <v>36</v>
      </c>
      <c r="D29" s="21">
        <v>20232.39371626783</v>
      </c>
      <c r="E29" s="22">
        <v>20232.39371626783</v>
      </c>
      <c r="F29" s="22">
        <v>20232.39371626783</v>
      </c>
      <c r="G29" s="22">
        <v>20232.39371626783</v>
      </c>
      <c r="H29" s="22">
        <v>20232.39371626783</v>
      </c>
      <c r="I29" s="22">
        <v>20232.39371626783</v>
      </c>
      <c r="J29" s="22">
        <v>20232.39371626783</v>
      </c>
      <c r="K29" s="22">
        <v>35655.288402240367</v>
      </c>
      <c r="L29" s="22">
        <v>61952.431758960251</v>
      </c>
      <c r="M29" s="22">
        <v>79250.504232184452</v>
      </c>
      <c r="N29" s="22">
        <v>88811.516435849495</v>
      </c>
      <c r="O29" s="22">
        <v>92117.220535934306</v>
      </c>
      <c r="P29" s="22">
        <v>91245.450054549452</v>
      </c>
      <c r="Q29" s="22">
        <v>86284.828760619348</v>
      </c>
      <c r="R29" s="22">
        <v>77052.585574165758</v>
      </c>
      <c r="S29" s="22">
        <v>60852.571730564763</v>
      </c>
      <c r="T29" s="22">
        <v>34911.382584305909</v>
      </c>
      <c r="U29" s="22">
        <v>80929.574865071321</v>
      </c>
      <c r="V29" s="22">
        <v>80929.574865071321</v>
      </c>
      <c r="W29" s="22">
        <v>80929.574865071321</v>
      </c>
      <c r="X29" s="22">
        <v>80929.574865071321</v>
      </c>
      <c r="Y29" s="22">
        <v>80929.574865071321</v>
      </c>
      <c r="Z29" s="22">
        <v>80929.574865071321</v>
      </c>
      <c r="AA29" s="23">
        <v>80929.574865071321</v>
      </c>
      <c r="AB29" s="97"/>
      <c r="AC29" s="27">
        <v>7</v>
      </c>
      <c r="AD29" s="16">
        <f t="shared" si="1"/>
        <v>9913872.920971239</v>
      </c>
    </row>
    <row r="30" spans="1:30" ht="13.5" thickBot="1" x14ac:dyDescent="0.35">
      <c r="A30" s="18">
        <v>2026</v>
      </c>
      <c r="B30" s="11" t="s">
        <v>43</v>
      </c>
      <c r="C30" s="12" t="s">
        <v>33</v>
      </c>
      <c r="D30" s="21">
        <v>20232.39371626783</v>
      </c>
      <c r="E30" s="22">
        <v>20232.39371626783</v>
      </c>
      <c r="F30" s="22">
        <v>20232.39371626783</v>
      </c>
      <c r="G30" s="22">
        <v>20232.39371626783</v>
      </c>
      <c r="H30" s="22">
        <v>20232.39371626783</v>
      </c>
      <c r="I30" s="22">
        <v>20232.39371626783</v>
      </c>
      <c r="J30" s="22">
        <v>20232.39371626783</v>
      </c>
      <c r="K30" s="22">
        <v>35655.288402240367</v>
      </c>
      <c r="L30" s="22">
        <v>61952.431758960251</v>
      </c>
      <c r="M30" s="22">
        <v>79250.504232184481</v>
      </c>
      <c r="N30" s="22">
        <v>88811.516435849495</v>
      </c>
      <c r="O30" s="22">
        <v>92117.220535934262</v>
      </c>
      <c r="P30" s="22">
        <v>91245.450054549394</v>
      </c>
      <c r="Q30" s="22">
        <v>86284.828760619333</v>
      </c>
      <c r="R30" s="22">
        <v>77052.5855741657</v>
      </c>
      <c r="S30" s="22">
        <v>60852.571730564792</v>
      </c>
      <c r="T30" s="22">
        <v>34911.382584305917</v>
      </c>
      <c r="U30" s="22">
        <v>80929.574865071321</v>
      </c>
      <c r="V30" s="22">
        <v>80929.574865071321</v>
      </c>
      <c r="W30" s="22">
        <v>80929.574865071321</v>
      </c>
      <c r="X30" s="22">
        <v>80929.574865071321</v>
      </c>
      <c r="Y30" s="22">
        <v>80929.574865071321</v>
      </c>
      <c r="Z30" s="22">
        <v>80929.574865071321</v>
      </c>
      <c r="AA30" s="23">
        <v>80929.574865071321</v>
      </c>
      <c r="AB30" s="96">
        <f t="shared" ref="AB30" si="9">+SUM(D30:AA30)*AC30+SUM(D31:AA31)*AC31+SUM(D32:AA32)*AC32</f>
        <v>42488026.80416245</v>
      </c>
      <c r="AC30" s="16">
        <v>22</v>
      </c>
      <c r="AD30" s="16">
        <f t="shared" si="1"/>
        <v>31157886.323052462</v>
      </c>
    </row>
    <row r="31" spans="1:30" ht="13.5" thickBot="1" x14ac:dyDescent="0.35">
      <c r="A31" s="18">
        <v>2026</v>
      </c>
      <c r="B31" s="19" t="s">
        <v>43</v>
      </c>
      <c r="C31" s="20" t="s">
        <v>50</v>
      </c>
      <c r="D31" s="21">
        <v>20232.39371626783</v>
      </c>
      <c r="E31" s="22">
        <v>20232.39371626783</v>
      </c>
      <c r="F31" s="22">
        <v>20232.39371626783</v>
      </c>
      <c r="G31" s="22">
        <v>20232.39371626783</v>
      </c>
      <c r="H31" s="22">
        <v>20232.39371626783</v>
      </c>
      <c r="I31" s="22">
        <v>20232.39371626783</v>
      </c>
      <c r="J31" s="22">
        <v>20232.39371626783</v>
      </c>
      <c r="K31" s="22">
        <v>35655.28840224036</v>
      </c>
      <c r="L31" s="22">
        <v>61952.431758960258</v>
      </c>
      <c r="M31" s="22">
        <v>79250.504232184452</v>
      </c>
      <c r="N31" s="22">
        <v>88811.516435849509</v>
      </c>
      <c r="O31" s="22">
        <v>92117.220535934306</v>
      </c>
      <c r="P31" s="22">
        <v>91245.450054549437</v>
      </c>
      <c r="Q31" s="22">
        <v>86284.828760619348</v>
      </c>
      <c r="R31" s="22">
        <v>77052.585574165743</v>
      </c>
      <c r="S31" s="22">
        <v>60852.57173056477</v>
      </c>
      <c r="T31" s="22">
        <v>34911.382584305909</v>
      </c>
      <c r="U31" s="22">
        <v>80929.574865071321</v>
      </c>
      <c r="V31" s="22">
        <v>80929.574865071321</v>
      </c>
      <c r="W31" s="22">
        <v>80929.574865071321</v>
      </c>
      <c r="X31" s="22">
        <v>80929.574865071321</v>
      </c>
      <c r="Y31" s="22">
        <v>80929.574865071321</v>
      </c>
      <c r="Z31" s="22">
        <v>80929.574865071321</v>
      </c>
      <c r="AA31" s="23">
        <v>80929.574865071321</v>
      </c>
      <c r="AB31" s="97"/>
      <c r="AC31" s="24">
        <v>4</v>
      </c>
      <c r="AD31" s="16">
        <f t="shared" si="1"/>
        <v>5665070.240554994</v>
      </c>
    </row>
    <row r="32" spans="1:30" ht="13.5" thickBot="1" x14ac:dyDescent="0.35">
      <c r="A32" s="18">
        <v>2026</v>
      </c>
      <c r="B32" s="25" t="s">
        <v>43</v>
      </c>
      <c r="C32" s="26" t="s">
        <v>36</v>
      </c>
      <c r="D32" s="21">
        <v>20232.39371626783</v>
      </c>
      <c r="E32" s="22">
        <v>20232.39371626783</v>
      </c>
      <c r="F32" s="22">
        <v>20232.39371626783</v>
      </c>
      <c r="G32" s="22">
        <v>20232.39371626783</v>
      </c>
      <c r="H32" s="22">
        <v>20232.39371626783</v>
      </c>
      <c r="I32" s="22">
        <v>20232.39371626783</v>
      </c>
      <c r="J32" s="22">
        <v>20232.39371626783</v>
      </c>
      <c r="K32" s="22">
        <v>35655.28840224036</v>
      </c>
      <c r="L32" s="22">
        <v>61952.431758960258</v>
      </c>
      <c r="M32" s="22">
        <v>79250.504232184452</v>
      </c>
      <c r="N32" s="22">
        <v>88811.516435849509</v>
      </c>
      <c r="O32" s="22">
        <v>92117.220535934306</v>
      </c>
      <c r="P32" s="22">
        <v>91245.450054549437</v>
      </c>
      <c r="Q32" s="22">
        <v>86284.828760619348</v>
      </c>
      <c r="R32" s="22">
        <v>77052.585574165743</v>
      </c>
      <c r="S32" s="22">
        <v>60852.57173056477</v>
      </c>
      <c r="T32" s="22">
        <v>34911.382584305909</v>
      </c>
      <c r="U32" s="22">
        <v>80929.574865071321</v>
      </c>
      <c r="V32" s="22">
        <v>80929.574865071321</v>
      </c>
      <c r="W32" s="22">
        <v>80929.574865071321</v>
      </c>
      <c r="X32" s="22">
        <v>80929.574865071321</v>
      </c>
      <c r="Y32" s="22">
        <v>80929.574865071321</v>
      </c>
      <c r="Z32" s="22">
        <v>80929.574865071321</v>
      </c>
      <c r="AA32" s="23">
        <v>80929.574865071321</v>
      </c>
      <c r="AB32" s="97"/>
      <c r="AC32" s="27">
        <v>4</v>
      </c>
      <c r="AD32" s="16">
        <f t="shared" si="1"/>
        <v>5665070.240554994</v>
      </c>
    </row>
    <row r="33" spans="1:30" ht="13.5" thickBot="1" x14ac:dyDescent="0.35">
      <c r="A33" s="18">
        <v>2026</v>
      </c>
      <c r="B33" s="11" t="s">
        <v>44</v>
      </c>
      <c r="C33" s="12" t="s">
        <v>33</v>
      </c>
      <c r="D33" s="21">
        <v>20232.39371626783</v>
      </c>
      <c r="E33" s="22">
        <v>20232.39371626783</v>
      </c>
      <c r="F33" s="22">
        <v>20232.39371626783</v>
      </c>
      <c r="G33" s="22">
        <v>20232.39371626783</v>
      </c>
      <c r="H33" s="22">
        <v>20232.39371626783</v>
      </c>
      <c r="I33" s="22">
        <v>20232.39371626783</v>
      </c>
      <c r="J33" s="22">
        <v>20232.39371626783</v>
      </c>
      <c r="K33" s="22">
        <v>35655.288402240367</v>
      </c>
      <c r="L33" s="22">
        <v>61952.431758960258</v>
      </c>
      <c r="M33" s="22">
        <v>79250.504232184467</v>
      </c>
      <c r="N33" s="22">
        <v>88811.516435849495</v>
      </c>
      <c r="O33" s="22">
        <v>92117.220535934262</v>
      </c>
      <c r="P33" s="22">
        <v>91245.450054549408</v>
      </c>
      <c r="Q33" s="22">
        <v>86284.828760619333</v>
      </c>
      <c r="R33" s="22">
        <v>77052.585574165714</v>
      </c>
      <c r="S33" s="22">
        <v>60852.571730564792</v>
      </c>
      <c r="T33" s="22">
        <v>34911.382584305909</v>
      </c>
      <c r="U33" s="22">
        <v>80929.574865071321</v>
      </c>
      <c r="V33" s="22">
        <v>80929.574865071321</v>
      </c>
      <c r="W33" s="22">
        <v>80929.574865071321</v>
      </c>
      <c r="X33" s="22">
        <v>80929.574865071321</v>
      </c>
      <c r="Y33" s="22">
        <v>80929.574865071321</v>
      </c>
      <c r="Z33" s="22">
        <v>80929.574865071321</v>
      </c>
      <c r="AA33" s="23">
        <v>80929.574865071321</v>
      </c>
      <c r="AB33" s="96">
        <f t="shared" ref="AB33" si="10">+SUM(D33:AA33)*AC33+SUM(D34:AA34)*AC34+SUM(D35:AA35)*AC35</f>
        <v>43904294.364301197</v>
      </c>
      <c r="AC33" s="16">
        <v>21</v>
      </c>
      <c r="AD33" s="16">
        <f t="shared" si="1"/>
        <v>29741618.762913715</v>
      </c>
    </row>
    <row r="34" spans="1:30" ht="13.5" thickBot="1" x14ac:dyDescent="0.35">
      <c r="A34" s="18">
        <v>2026</v>
      </c>
      <c r="B34" s="19" t="s">
        <v>44</v>
      </c>
      <c r="C34" s="20" t="s">
        <v>50</v>
      </c>
      <c r="D34" s="21">
        <v>20232.39371626783</v>
      </c>
      <c r="E34" s="22">
        <v>20232.39371626783</v>
      </c>
      <c r="F34" s="22">
        <v>20232.39371626783</v>
      </c>
      <c r="G34" s="22">
        <v>20232.39371626783</v>
      </c>
      <c r="H34" s="22">
        <v>20232.39371626783</v>
      </c>
      <c r="I34" s="22">
        <v>20232.39371626783</v>
      </c>
      <c r="J34" s="22">
        <v>20232.39371626783</v>
      </c>
      <c r="K34" s="22">
        <v>35655.28840224036</v>
      </c>
      <c r="L34" s="22">
        <v>61952.431758960258</v>
      </c>
      <c r="M34" s="22">
        <v>79250.504232184452</v>
      </c>
      <c r="N34" s="22">
        <v>88811.516435849509</v>
      </c>
      <c r="O34" s="22">
        <v>92117.220535934306</v>
      </c>
      <c r="P34" s="22">
        <v>91245.450054549437</v>
      </c>
      <c r="Q34" s="22">
        <v>86284.828760619348</v>
      </c>
      <c r="R34" s="22">
        <v>77052.585574165743</v>
      </c>
      <c r="S34" s="22">
        <v>60852.57173056477</v>
      </c>
      <c r="T34" s="22">
        <v>34911.382584305909</v>
      </c>
      <c r="U34" s="22">
        <v>80929.574865071321</v>
      </c>
      <c r="V34" s="22">
        <v>80929.574865071321</v>
      </c>
      <c r="W34" s="22">
        <v>80929.574865071321</v>
      </c>
      <c r="X34" s="22">
        <v>80929.574865071321</v>
      </c>
      <c r="Y34" s="22">
        <v>80929.574865071321</v>
      </c>
      <c r="Z34" s="22">
        <v>80929.574865071321</v>
      </c>
      <c r="AA34" s="23">
        <v>80929.574865071321</v>
      </c>
      <c r="AB34" s="97"/>
      <c r="AC34" s="24">
        <v>5</v>
      </c>
      <c r="AD34" s="16">
        <f t="shared" si="1"/>
        <v>7081337.8006937429</v>
      </c>
    </row>
    <row r="35" spans="1:30" ht="13.5" thickBot="1" x14ac:dyDescent="0.35">
      <c r="A35" s="18">
        <v>2026</v>
      </c>
      <c r="B35" s="25" t="s">
        <v>44</v>
      </c>
      <c r="C35" s="26" t="s">
        <v>36</v>
      </c>
      <c r="D35" s="21">
        <v>20232.39371626783</v>
      </c>
      <c r="E35" s="22">
        <v>20232.39371626783</v>
      </c>
      <c r="F35" s="22">
        <v>20232.39371626783</v>
      </c>
      <c r="G35" s="22">
        <v>20232.39371626783</v>
      </c>
      <c r="H35" s="22">
        <v>20232.39371626783</v>
      </c>
      <c r="I35" s="22">
        <v>20232.39371626783</v>
      </c>
      <c r="J35" s="22">
        <v>20232.39371626783</v>
      </c>
      <c r="K35" s="22">
        <v>35655.28840224036</v>
      </c>
      <c r="L35" s="22">
        <v>61952.431758960258</v>
      </c>
      <c r="M35" s="22">
        <v>79250.504232184452</v>
      </c>
      <c r="N35" s="22">
        <v>88811.516435849509</v>
      </c>
      <c r="O35" s="22">
        <v>92117.220535934306</v>
      </c>
      <c r="P35" s="22">
        <v>91245.450054549437</v>
      </c>
      <c r="Q35" s="22">
        <v>86284.828760619348</v>
      </c>
      <c r="R35" s="22">
        <v>77052.585574165743</v>
      </c>
      <c r="S35" s="22">
        <v>60852.57173056477</v>
      </c>
      <c r="T35" s="22">
        <v>34911.382584305909</v>
      </c>
      <c r="U35" s="22">
        <v>80929.574865071321</v>
      </c>
      <c r="V35" s="22">
        <v>80929.574865071321</v>
      </c>
      <c r="W35" s="22">
        <v>80929.574865071321</v>
      </c>
      <c r="X35" s="22">
        <v>80929.574865071321</v>
      </c>
      <c r="Y35" s="22">
        <v>80929.574865071321</v>
      </c>
      <c r="Z35" s="22">
        <v>80929.574865071321</v>
      </c>
      <c r="AA35" s="23">
        <v>80929.574865071321</v>
      </c>
      <c r="AB35" s="97"/>
      <c r="AC35" s="27">
        <v>5</v>
      </c>
      <c r="AD35" s="16">
        <f t="shared" si="1"/>
        <v>7081337.8006937429</v>
      </c>
    </row>
    <row r="36" spans="1:30" ht="13.5" thickBot="1" x14ac:dyDescent="0.35">
      <c r="A36" s="18">
        <v>2026</v>
      </c>
      <c r="B36" s="11" t="s">
        <v>45</v>
      </c>
      <c r="C36" s="12" t="s">
        <v>33</v>
      </c>
      <c r="D36" s="21">
        <v>20232.39371626783</v>
      </c>
      <c r="E36" s="22">
        <v>20232.39371626783</v>
      </c>
      <c r="F36" s="22">
        <v>20232.39371626783</v>
      </c>
      <c r="G36" s="22">
        <v>20232.39371626783</v>
      </c>
      <c r="H36" s="22">
        <v>20232.39371626783</v>
      </c>
      <c r="I36" s="22">
        <v>20232.39371626783</v>
      </c>
      <c r="J36" s="22">
        <v>20232.39371626783</v>
      </c>
      <c r="K36" s="22">
        <v>35655.288402240367</v>
      </c>
      <c r="L36" s="22">
        <v>61952.431758960258</v>
      </c>
      <c r="M36" s="22">
        <v>79250.504232184467</v>
      </c>
      <c r="N36" s="22">
        <v>88811.516435849495</v>
      </c>
      <c r="O36" s="22">
        <v>92117.220535934262</v>
      </c>
      <c r="P36" s="22">
        <v>91245.450054549408</v>
      </c>
      <c r="Q36" s="22">
        <v>86284.828760619333</v>
      </c>
      <c r="R36" s="22">
        <v>77052.585574165714</v>
      </c>
      <c r="S36" s="22">
        <v>60852.571730564792</v>
      </c>
      <c r="T36" s="22">
        <v>34911.382584305909</v>
      </c>
      <c r="U36" s="22">
        <v>80929.574865071321</v>
      </c>
      <c r="V36" s="22">
        <v>80929.574865071321</v>
      </c>
      <c r="W36" s="22">
        <v>80929.574865071321</v>
      </c>
      <c r="X36" s="22">
        <v>80929.574865071321</v>
      </c>
      <c r="Y36" s="22">
        <v>80929.574865071321</v>
      </c>
      <c r="Z36" s="22">
        <v>80929.574865071321</v>
      </c>
      <c r="AA36" s="23">
        <v>80929.574865071321</v>
      </c>
      <c r="AB36" s="96">
        <f t="shared" ref="AB36" si="11">+SUM(D36:AA36)*AC36+SUM(D37:AA37)*AC37+SUM(D38:AA38)*AC38</f>
        <v>42488026.80416245</v>
      </c>
      <c r="AC36" s="16">
        <v>19</v>
      </c>
      <c r="AD36" s="16">
        <f t="shared" si="1"/>
        <v>26909083.642636217</v>
      </c>
    </row>
    <row r="37" spans="1:30" ht="13.5" thickBot="1" x14ac:dyDescent="0.35">
      <c r="A37" s="18">
        <v>2026</v>
      </c>
      <c r="B37" s="19" t="s">
        <v>45</v>
      </c>
      <c r="C37" s="20" t="s">
        <v>50</v>
      </c>
      <c r="D37" s="21">
        <v>20232.39371626783</v>
      </c>
      <c r="E37" s="22">
        <v>20232.39371626783</v>
      </c>
      <c r="F37" s="22">
        <v>20232.39371626783</v>
      </c>
      <c r="G37" s="22">
        <v>20232.39371626783</v>
      </c>
      <c r="H37" s="22">
        <v>20232.39371626783</v>
      </c>
      <c r="I37" s="22">
        <v>20232.39371626783</v>
      </c>
      <c r="J37" s="22">
        <v>20232.39371626783</v>
      </c>
      <c r="K37" s="22">
        <v>35655.28840224036</v>
      </c>
      <c r="L37" s="22">
        <v>61952.431758960258</v>
      </c>
      <c r="M37" s="22">
        <v>79250.504232184452</v>
      </c>
      <c r="N37" s="22">
        <v>88811.516435849509</v>
      </c>
      <c r="O37" s="22">
        <v>92117.220535934306</v>
      </c>
      <c r="P37" s="22">
        <v>91245.450054549437</v>
      </c>
      <c r="Q37" s="22">
        <v>86284.828760619348</v>
      </c>
      <c r="R37" s="22">
        <v>77052.585574165743</v>
      </c>
      <c r="S37" s="22">
        <v>60852.57173056477</v>
      </c>
      <c r="T37" s="22">
        <v>34911.382584305909</v>
      </c>
      <c r="U37" s="22">
        <v>80929.574865071321</v>
      </c>
      <c r="V37" s="22">
        <v>80929.574865071321</v>
      </c>
      <c r="W37" s="22">
        <v>80929.574865071321</v>
      </c>
      <c r="X37" s="22">
        <v>80929.574865071321</v>
      </c>
      <c r="Y37" s="22">
        <v>80929.574865071321</v>
      </c>
      <c r="Z37" s="22">
        <v>80929.574865071321</v>
      </c>
      <c r="AA37" s="23">
        <v>80929.574865071321</v>
      </c>
      <c r="AB37" s="97"/>
      <c r="AC37" s="24">
        <v>4</v>
      </c>
      <c r="AD37" s="16">
        <f t="shared" si="1"/>
        <v>5665070.240554994</v>
      </c>
    </row>
    <row r="38" spans="1:30" ht="13.5" thickBot="1" x14ac:dyDescent="0.35">
      <c r="A38" s="18">
        <v>2026</v>
      </c>
      <c r="B38" s="25" t="s">
        <v>45</v>
      </c>
      <c r="C38" s="26" t="s">
        <v>36</v>
      </c>
      <c r="D38" s="21">
        <v>20232.39371626783</v>
      </c>
      <c r="E38" s="22">
        <v>20232.39371626783</v>
      </c>
      <c r="F38" s="22">
        <v>20232.39371626783</v>
      </c>
      <c r="G38" s="22">
        <v>20232.39371626783</v>
      </c>
      <c r="H38" s="22">
        <v>20232.39371626783</v>
      </c>
      <c r="I38" s="22">
        <v>20232.39371626783</v>
      </c>
      <c r="J38" s="22">
        <v>20232.39371626783</v>
      </c>
      <c r="K38" s="22">
        <v>35655.288402240367</v>
      </c>
      <c r="L38" s="22">
        <v>61952.431758960251</v>
      </c>
      <c r="M38" s="22">
        <v>79250.504232184452</v>
      </c>
      <c r="N38" s="22">
        <v>88811.516435849495</v>
      </c>
      <c r="O38" s="22">
        <v>92117.220535934306</v>
      </c>
      <c r="P38" s="22">
        <v>91245.450054549452</v>
      </c>
      <c r="Q38" s="22">
        <v>86284.828760619348</v>
      </c>
      <c r="R38" s="22">
        <v>77052.585574165758</v>
      </c>
      <c r="S38" s="22">
        <v>60852.571730564763</v>
      </c>
      <c r="T38" s="22">
        <v>34911.382584305909</v>
      </c>
      <c r="U38" s="22">
        <v>80929.574865071321</v>
      </c>
      <c r="V38" s="22">
        <v>80929.574865071321</v>
      </c>
      <c r="W38" s="22">
        <v>80929.574865071321</v>
      </c>
      <c r="X38" s="22">
        <v>80929.574865071321</v>
      </c>
      <c r="Y38" s="22">
        <v>80929.574865071321</v>
      </c>
      <c r="Z38" s="22">
        <v>80929.574865071321</v>
      </c>
      <c r="AA38" s="23">
        <v>80929.574865071321</v>
      </c>
      <c r="AB38" s="97"/>
      <c r="AC38" s="27">
        <v>7</v>
      </c>
      <c r="AD38" s="16">
        <f t="shared" si="1"/>
        <v>9913872.920971239</v>
      </c>
    </row>
    <row r="39" spans="1:30" ht="13.5" thickBot="1" x14ac:dyDescent="0.35">
      <c r="A39" s="18">
        <v>2026</v>
      </c>
      <c r="B39" s="11" t="s">
        <v>46</v>
      </c>
      <c r="C39" s="12" t="s">
        <v>33</v>
      </c>
      <c r="D39" s="21">
        <v>20232.39371626783</v>
      </c>
      <c r="E39" s="22">
        <v>20232.39371626783</v>
      </c>
      <c r="F39" s="22">
        <v>20232.39371626783</v>
      </c>
      <c r="G39" s="22">
        <v>20232.39371626783</v>
      </c>
      <c r="H39" s="22">
        <v>20232.39371626783</v>
      </c>
      <c r="I39" s="22">
        <v>20232.39371626783</v>
      </c>
      <c r="J39" s="22">
        <v>20232.39371626783</v>
      </c>
      <c r="K39" s="22">
        <v>35655.288402240367</v>
      </c>
      <c r="L39" s="22">
        <v>61952.431758960258</v>
      </c>
      <c r="M39" s="22">
        <v>79250.504232184467</v>
      </c>
      <c r="N39" s="22">
        <v>88811.516435849495</v>
      </c>
      <c r="O39" s="22">
        <v>92117.220535934262</v>
      </c>
      <c r="P39" s="22">
        <v>91245.450054549408</v>
      </c>
      <c r="Q39" s="22">
        <v>86284.828760619333</v>
      </c>
      <c r="R39" s="22">
        <v>77052.585574165714</v>
      </c>
      <c r="S39" s="22">
        <v>60852.571730564792</v>
      </c>
      <c r="T39" s="22">
        <v>34911.382584305909</v>
      </c>
      <c r="U39" s="22">
        <v>80929.574865071321</v>
      </c>
      <c r="V39" s="22">
        <v>80929.574865071321</v>
      </c>
      <c r="W39" s="22">
        <v>80929.574865071321</v>
      </c>
      <c r="X39" s="22">
        <v>80929.574865071321</v>
      </c>
      <c r="Y39" s="22">
        <v>80929.574865071321</v>
      </c>
      <c r="Z39" s="22">
        <v>80929.574865071321</v>
      </c>
      <c r="AA39" s="23">
        <v>80929.574865071321</v>
      </c>
      <c r="AB39" s="96">
        <f t="shared" ref="AB39" si="12">+SUM(D39:AA39)*AC39+SUM(D40:AA40)*AC40+SUM(D41:AA41)*AC41</f>
        <v>43904294.364301197</v>
      </c>
      <c r="AC39" s="16">
        <v>21</v>
      </c>
      <c r="AD39" s="16">
        <f t="shared" si="1"/>
        <v>29741618.762913715</v>
      </c>
    </row>
    <row r="40" spans="1:30" ht="13.5" thickBot="1" x14ac:dyDescent="0.35">
      <c r="A40" s="18">
        <v>2026</v>
      </c>
      <c r="B40" s="19" t="s">
        <v>46</v>
      </c>
      <c r="C40" s="20" t="s">
        <v>50</v>
      </c>
      <c r="D40" s="21">
        <v>20232.39371626783</v>
      </c>
      <c r="E40" s="22">
        <v>20232.39371626783</v>
      </c>
      <c r="F40" s="22">
        <v>20232.39371626783</v>
      </c>
      <c r="G40" s="22">
        <v>20232.39371626783</v>
      </c>
      <c r="H40" s="22">
        <v>20232.39371626783</v>
      </c>
      <c r="I40" s="22">
        <v>20232.39371626783</v>
      </c>
      <c r="J40" s="22">
        <v>20232.39371626783</v>
      </c>
      <c r="K40" s="22">
        <v>35655.28840224036</v>
      </c>
      <c r="L40" s="22">
        <v>61952.431758960258</v>
      </c>
      <c r="M40" s="22">
        <v>79250.504232184452</v>
      </c>
      <c r="N40" s="22">
        <v>88811.516435849509</v>
      </c>
      <c r="O40" s="22">
        <v>92117.220535934306</v>
      </c>
      <c r="P40" s="22">
        <v>91245.450054549437</v>
      </c>
      <c r="Q40" s="22">
        <v>86284.828760619348</v>
      </c>
      <c r="R40" s="22">
        <v>77052.585574165743</v>
      </c>
      <c r="S40" s="22">
        <v>60852.57173056477</v>
      </c>
      <c r="T40" s="22">
        <v>34911.382584305909</v>
      </c>
      <c r="U40" s="22">
        <v>80929.574865071321</v>
      </c>
      <c r="V40" s="22">
        <v>80929.574865071321</v>
      </c>
      <c r="W40" s="22">
        <v>80929.574865071321</v>
      </c>
      <c r="X40" s="22">
        <v>80929.574865071321</v>
      </c>
      <c r="Y40" s="22">
        <v>80929.574865071321</v>
      </c>
      <c r="Z40" s="22">
        <v>80929.574865071321</v>
      </c>
      <c r="AA40" s="23">
        <v>80929.574865071321</v>
      </c>
      <c r="AB40" s="97"/>
      <c r="AC40" s="24">
        <v>4</v>
      </c>
      <c r="AD40" s="16">
        <f t="shared" si="1"/>
        <v>5665070.240554994</v>
      </c>
    </row>
    <row r="41" spans="1:30" ht="13.5" thickBot="1" x14ac:dyDescent="0.35">
      <c r="A41" s="28">
        <v>2026</v>
      </c>
      <c r="B41" s="25" t="s">
        <v>46</v>
      </c>
      <c r="C41" s="26" t="s">
        <v>36</v>
      </c>
      <c r="D41" s="29">
        <v>20232.39371626783</v>
      </c>
      <c r="E41" s="30">
        <v>20232.39371626783</v>
      </c>
      <c r="F41" s="30">
        <v>20232.39371626783</v>
      </c>
      <c r="G41" s="30">
        <v>20232.39371626783</v>
      </c>
      <c r="H41" s="30">
        <v>20232.39371626783</v>
      </c>
      <c r="I41" s="30">
        <v>20232.39371626783</v>
      </c>
      <c r="J41" s="30">
        <v>20232.39371626783</v>
      </c>
      <c r="K41" s="30">
        <v>35655.288402240367</v>
      </c>
      <c r="L41" s="30">
        <v>61952.431758960251</v>
      </c>
      <c r="M41" s="30">
        <v>79250.504232184452</v>
      </c>
      <c r="N41" s="30">
        <v>88811.516435849495</v>
      </c>
      <c r="O41" s="30">
        <v>92117.220535934306</v>
      </c>
      <c r="P41" s="30">
        <v>91245.450054549437</v>
      </c>
      <c r="Q41" s="30">
        <v>86284.828760619348</v>
      </c>
      <c r="R41" s="30">
        <v>77052.585574165743</v>
      </c>
      <c r="S41" s="30">
        <v>60852.571730564763</v>
      </c>
      <c r="T41" s="30">
        <v>34911.382584305909</v>
      </c>
      <c r="U41" s="30">
        <v>80929.574865071321</v>
      </c>
      <c r="V41" s="30">
        <v>80929.574865071321</v>
      </c>
      <c r="W41" s="30">
        <v>80929.574865071321</v>
      </c>
      <c r="X41" s="30">
        <v>80929.574865071321</v>
      </c>
      <c r="Y41" s="30">
        <v>80929.574865071321</v>
      </c>
      <c r="Z41" s="30">
        <v>80929.574865071321</v>
      </c>
      <c r="AA41" s="31">
        <v>80929.574865071321</v>
      </c>
      <c r="AB41" s="97"/>
      <c r="AC41" s="27">
        <v>6</v>
      </c>
      <c r="AD41" s="42">
        <f t="shared" si="1"/>
        <v>8497605.36083249</v>
      </c>
    </row>
    <row r="42" spans="1:30" ht="13.5" thickBot="1" x14ac:dyDescent="0.35">
      <c r="A42" s="10">
        <v>2027</v>
      </c>
      <c r="B42" s="11" t="s">
        <v>32</v>
      </c>
      <c r="C42" s="12" t="s">
        <v>33</v>
      </c>
      <c r="D42" s="13">
        <v>21300.821085243879</v>
      </c>
      <c r="E42" s="14">
        <v>21300.821085243879</v>
      </c>
      <c r="F42" s="14">
        <v>21300.821085243879</v>
      </c>
      <c r="G42" s="14">
        <v>21300.821085243879</v>
      </c>
      <c r="H42" s="14">
        <v>21300.821085243879</v>
      </c>
      <c r="I42" s="14">
        <v>21300.821085243879</v>
      </c>
      <c r="J42" s="14">
        <v>21300.821085243879</v>
      </c>
      <c r="K42" s="14">
        <v>37538.164275057003</v>
      </c>
      <c r="L42" s="14">
        <v>65224.000837446169</v>
      </c>
      <c r="M42" s="14">
        <v>83435.545750961159</v>
      </c>
      <c r="N42" s="14">
        <v>93501.453581745984</v>
      </c>
      <c r="O42" s="14">
        <v>96981.72450688362</v>
      </c>
      <c r="P42" s="14">
        <v>96063.917780117205</v>
      </c>
      <c r="Q42" s="14">
        <v>90841.337192991967</v>
      </c>
      <c r="R42" s="14">
        <v>81121.5599344074</v>
      </c>
      <c r="S42" s="14">
        <v>64066.059665867113</v>
      </c>
      <c r="T42" s="14">
        <v>36754.974458058088</v>
      </c>
      <c r="U42" s="14">
        <v>85203.284340975515</v>
      </c>
      <c r="V42" s="14">
        <v>85203.284340975515</v>
      </c>
      <c r="W42" s="14">
        <v>85203.284340975515</v>
      </c>
      <c r="X42" s="14">
        <v>85203.284340975515</v>
      </c>
      <c r="Y42" s="14">
        <v>85203.284340975515</v>
      </c>
      <c r="Z42" s="14">
        <v>85203.284340975515</v>
      </c>
      <c r="AA42" s="15">
        <v>85203.284340975515</v>
      </c>
      <c r="AB42" s="96">
        <f t="shared" ref="AB42" si="13">+SUM(D42:AA42)*AC42+SUM(D43:AA43)*AC43+SUM(D44:AA44)*AC44</f>
        <v>46222781.75497923</v>
      </c>
      <c r="AC42" s="16">
        <v>19</v>
      </c>
      <c r="AD42" s="16">
        <f t="shared" si="1"/>
        <v>28330092.043374367</v>
      </c>
    </row>
    <row r="43" spans="1:30" ht="13.5" thickBot="1" x14ac:dyDescent="0.35">
      <c r="A43" s="18">
        <v>2027</v>
      </c>
      <c r="B43" s="19" t="s">
        <v>32</v>
      </c>
      <c r="C43" s="20" t="s">
        <v>50</v>
      </c>
      <c r="D43" s="21">
        <v>21300.821085243875</v>
      </c>
      <c r="E43" s="22">
        <v>21300.821085243875</v>
      </c>
      <c r="F43" s="22">
        <v>21300.821085243875</v>
      </c>
      <c r="G43" s="22">
        <v>21300.821085243875</v>
      </c>
      <c r="H43" s="22">
        <v>21300.821085243875</v>
      </c>
      <c r="I43" s="22">
        <v>21300.821085243875</v>
      </c>
      <c r="J43" s="22">
        <v>21300.821085243875</v>
      </c>
      <c r="K43" s="22">
        <v>37538.164275056995</v>
      </c>
      <c r="L43" s="22">
        <v>65224.000837446132</v>
      </c>
      <c r="M43" s="22">
        <v>83435.545750961159</v>
      </c>
      <c r="N43" s="22">
        <v>93501.453581745998</v>
      </c>
      <c r="O43" s="22">
        <v>96981.724506883591</v>
      </c>
      <c r="P43" s="22">
        <v>96063.917780117248</v>
      </c>
      <c r="Q43" s="22">
        <v>90841.337192991952</v>
      </c>
      <c r="R43" s="22">
        <v>81121.559934407356</v>
      </c>
      <c r="S43" s="22">
        <v>64066.059665867106</v>
      </c>
      <c r="T43" s="22">
        <v>36754.974458058081</v>
      </c>
      <c r="U43" s="22">
        <v>85203.284340975501</v>
      </c>
      <c r="V43" s="22">
        <v>85203.284340975501</v>
      </c>
      <c r="W43" s="22">
        <v>85203.284340975501</v>
      </c>
      <c r="X43" s="22">
        <v>85203.284340975501</v>
      </c>
      <c r="Y43" s="22">
        <v>85203.284340975501</v>
      </c>
      <c r="Z43" s="22">
        <v>85203.284340975501</v>
      </c>
      <c r="AA43" s="23">
        <v>85203.284340975501</v>
      </c>
      <c r="AB43" s="97"/>
      <c r="AC43" s="24">
        <v>5</v>
      </c>
      <c r="AD43" s="16">
        <f t="shared" si="1"/>
        <v>7455287.3798353588</v>
      </c>
    </row>
    <row r="44" spans="1:30" ht="13.5" thickBot="1" x14ac:dyDescent="0.35">
      <c r="A44" s="18">
        <v>2027</v>
      </c>
      <c r="B44" s="25" t="s">
        <v>32</v>
      </c>
      <c r="C44" s="26" t="s">
        <v>36</v>
      </c>
      <c r="D44" s="21">
        <v>21300.821085243875</v>
      </c>
      <c r="E44" s="22">
        <v>21300.821085243875</v>
      </c>
      <c r="F44" s="22">
        <v>21300.821085243875</v>
      </c>
      <c r="G44" s="22">
        <v>21300.821085243875</v>
      </c>
      <c r="H44" s="22">
        <v>21300.821085243875</v>
      </c>
      <c r="I44" s="22">
        <v>21300.821085243875</v>
      </c>
      <c r="J44" s="22">
        <v>21300.821085243875</v>
      </c>
      <c r="K44" s="22">
        <v>37538.164275056995</v>
      </c>
      <c r="L44" s="22">
        <v>65224.000837446132</v>
      </c>
      <c r="M44" s="22">
        <v>83435.545750961159</v>
      </c>
      <c r="N44" s="22">
        <v>93501.453581745984</v>
      </c>
      <c r="O44" s="22">
        <v>96981.724506883576</v>
      </c>
      <c r="P44" s="22">
        <v>96063.917780117248</v>
      </c>
      <c r="Q44" s="22">
        <v>90841.337192991967</v>
      </c>
      <c r="R44" s="22">
        <v>81121.559934407356</v>
      </c>
      <c r="S44" s="22">
        <v>64066.059665867113</v>
      </c>
      <c r="T44" s="22">
        <v>36754.974458058081</v>
      </c>
      <c r="U44" s="22">
        <v>85203.284340975501</v>
      </c>
      <c r="V44" s="22">
        <v>85203.284340975501</v>
      </c>
      <c r="W44" s="22">
        <v>85203.284340975501</v>
      </c>
      <c r="X44" s="22">
        <v>85203.284340975501</v>
      </c>
      <c r="Y44" s="22">
        <v>85203.284340975501</v>
      </c>
      <c r="Z44" s="22">
        <v>85203.284340975501</v>
      </c>
      <c r="AA44" s="23">
        <v>85203.284340975501</v>
      </c>
      <c r="AB44" s="97"/>
      <c r="AC44" s="27">
        <v>7</v>
      </c>
      <c r="AD44" s="16">
        <f t="shared" si="1"/>
        <v>10437402.331769502</v>
      </c>
    </row>
    <row r="45" spans="1:30" ht="13.5" thickBot="1" x14ac:dyDescent="0.35">
      <c r="A45" s="18">
        <v>2027</v>
      </c>
      <c r="B45" s="11" t="s">
        <v>35</v>
      </c>
      <c r="C45" s="12" t="s">
        <v>33</v>
      </c>
      <c r="D45" s="21">
        <v>21300.821085243879</v>
      </c>
      <c r="E45" s="22">
        <v>21300.821085243879</v>
      </c>
      <c r="F45" s="22">
        <v>21300.821085243879</v>
      </c>
      <c r="G45" s="22">
        <v>21300.821085243879</v>
      </c>
      <c r="H45" s="22">
        <v>21300.821085243879</v>
      </c>
      <c r="I45" s="22">
        <v>21300.821085243879</v>
      </c>
      <c r="J45" s="22">
        <v>21300.821085243879</v>
      </c>
      <c r="K45" s="22">
        <v>37538.164275057003</v>
      </c>
      <c r="L45" s="22">
        <v>65224.000837446169</v>
      </c>
      <c r="M45" s="22">
        <v>83435.545750961159</v>
      </c>
      <c r="N45" s="22">
        <v>93501.453581745984</v>
      </c>
      <c r="O45" s="22">
        <v>96981.72450688362</v>
      </c>
      <c r="P45" s="22">
        <v>96063.917780117205</v>
      </c>
      <c r="Q45" s="22">
        <v>90841.337192991967</v>
      </c>
      <c r="R45" s="22">
        <v>81121.5599344074</v>
      </c>
      <c r="S45" s="22">
        <v>64066.059665867113</v>
      </c>
      <c r="T45" s="22">
        <v>36754.974458058088</v>
      </c>
      <c r="U45" s="22">
        <v>85203.284340975515</v>
      </c>
      <c r="V45" s="22">
        <v>85203.284340975515</v>
      </c>
      <c r="W45" s="22">
        <v>85203.284340975515</v>
      </c>
      <c r="X45" s="22">
        <v>85203.284340975515</v>
      </c>
      <c r="Y45" s="22">
        <v>85203.284340975515</v>
      </c>
      <c r="Z45" s="22">
        <v>85203.284340975515</v>
      </c>
      <c r="AA45" s="23">
        <v>85203.284340975515</v>
      </c>
      <c r="AB45" s="96">
        <f t="shared" ref="AB45" si="14">+SUM(D45:AA45)*AC45+SUM(D46:AA46)*AC46+SUM(D47:AA47)*AC47</f>
        <v>41749609.327078015</v>
      </c>
      <c r="AC45" s="16">
        <v>20</v>
      </c>
      <c r="AD45" s="16">
        <f t="shared" si="1"/>
        <v>29821149.519341439</v>
      </c>
    </row>
    <row r="46" spans="1:30" ht="13.5" thickBot="1" x14ac:dyDescent="0.35">
      <c r="A46" s="18">
        <v>2027</v>
      </c>
      <c r="B46" s="19" t="s">
        <v>35</v>
      </c>
      <c r="C46" s="20" t="s">
        <v>50</v>
      </c>
      <c r="D46" s="21">
        <v>21300.821085243875</v>
      </c>
      <c r="E46" s="22">
        <v>21300.821085243875</v>
      </c>
      <c r="F46" s="22">
        <v>21300.821085243875</v>
      </c>
      <c r="G46" s="22">
        <v>21300.821085243875</v>
      </c>
      <c r="H46" s="22">
        <v>21300.821085243875</v>
      </c>
      <c r="I46" s="22">
        <v>21300.821085243875</v>
      </c>
      <c r="J46" s="22">
        <v>21300.821085243875</v>
      </c>
      <c r="K46" s="22">
        <v>37538.164275056995</v>
      </c>
      <c r="L46" s="22">
        <v>65224.000837446132</v>
      </c>
      <c r="M46" s="22">
        <v>83435.545750961159</v>
      </c>
      <c r="N46" s="22">
        <v>93501.453581745998</v>
      </c>
      <c r="O46" s="22">
        <v>96981.724506883591</v>
      </c>
      <c r="P46" s="22">
        <v>96063.917780117248</v>
      </c>
      <c r="Q46" s="22">
        <v>90841.337192991952</v>
      </c>
      <c r="R46" s="22">
        <v>81121.559934407356</v>
      </c>
      <c r="S46" s="22">
        <v>64066.059665867098</v>
      </c>
      <c r="T46" s="22">
        <v>36754.974458058081</v>
      </c>
      <c r="U46" s="22">
        <v>85203.284340975501</v>
      </c>
      <c r="V46" s="22">
        <v>85203.284340975501</v>
      </c>
      <c r="W46" s="22">
        <v>85203.284340975501</v>
      </c>
      <c r="X46" s="22">
        <v>85203.284340975501</v>
      </c>
      <c r="Y46" s="22">
        <v>85203.284340975501</v>
      </c>
      <c r="Z46" s="22">
        <v>85203.284340975501</v>
      </c>
      <c r="AA46" s="23">
        <v>85203.284340975501</v>
      </c>
      <c r="AB46" s="97"/>
      <c r="AC46" s="24">
        <v>4</v>
      </c>
      <c r="AD46" s="16">
        <f t="shared" si="1"/>
        <v>5964229.9038682869</v>
      </c>
    </row>
    <row r="47" spans="1:30" ht="13.5" thickBot="1" x14ac:dyDescent="0.35">
      <c r="A47" s="18">
        <v>2027</v>
      </c>
      <c r="B47" s="25" t="s">
        <v>35</v>
      </c>
      <c r="C47" s="26" t="s">
        <v>36</v>
      </c>
      <c r="D47" s="21">
        <v>21300.821085243875</v>
      </c>
      <c r="E47" s="22">
        <v>21300.821085243875</v>
      </c>
      <c r="F47" s="22">
        <v>21300.821085243875</v>
      </c>
      <c r="G47" s="22">
        <v>21300.821085243875</v>
      </c>
      <c r="H47" s="22">
        <v>21300.821085243875</v>
      </c>
      <c r="I47" s="22">
        <v>21300.821085243875</v>
      </c>
      <c r="J47" s="22">
        <v>21300.821085243875</v>
      </c>
      <c r="K47" s="22">
        <v>37538.164275056995</v>
      </c>
      <c r="L47" s="22">
        <v>65224.000837446132</v>
      </c>
      <c r="M47" s="22">
        <v>83435.545750961159</v>
      </c>
      <c r="N47" s="22">
        <v>93501.453581745998</v>
      </c>
      <c r="O47" s="22">
        <v>96981.724506883591</v>
      </c>
      <c r="P47" s="22">
        <v>96063.917780117248</v>
      </c>
      <c r="Q47" s="22">
        <v>90841.337192991952</v>
      </c>
      <c r="R47" s="22">
        <v>81121.559934407356</v>
      </c>
      <c r="S47" s="22">
        <v>64066.059665867098</v>
      </c>
      <c r="T47" s="22">
        <v>36754.974458058081</v>
      </c>
      <c r="U47" s="22">
        <v>85203.284340975501</v>
      </c>
      <c r="V47" s="22">
        <v>85203.284340975501</v>
      </c>
      <c r="W47" s="22">
        <v>85203.284340975501</v>
      </c>
      <c r="X47" s="22">
        <v>85203.284340975501</v>
      </c>
      <c r="Y47" s="22">
        <v>85203.284340975501</v>
      </c>
      <c r="Z47" s="22">
        <v>85203.284340975501</v>
      </c>
      <c r="AA47" s="23">
        <v>85203.284340975501</v>
      </c>
      <c r="AB47" s="97"/>
      <c r="AC47" s="27">
        <v>4</v>
      </c>
      <c r="AD47" s="16">
        <f t="shared" si="1"/>
        <v>5964229.9038682869</v>
      </c>
    </row>
    <row r="48" spans="1:30" ht="13.5" thickBot="1" x14ac:dyDescent="0.35">
      <c r="A48" s="18">
        <v>2027</v>
      </c>
      <c r="B48" s="11" t="s">
        <v>37</v>
      </c>
      <c r="C48" s="12" t="s">
        <v>33</v>
      </c>
      <c r="D48" s="21">
        <v>21300.821085243879</v>
      </c>
      <c r="E48" s="22">
        <v>21300.821085243879</v>
      </c>
      <c r="F48" s="22">
        <v>21300.821085243879</v>
      </c>
      <c r="G48" s="22">
        <v>21300.821085243879</v>
      </c>
      <c r="H48" s="22">
        <v>21300.821085243879</v>
      </c>
      <c r="I48" s="22">
        <v>21300.821085243879</v>
      </c>
      <c r="J48" s="22">
        <v>21300.821085243879</v>
      </c>
      <c r="K48" s="22">
        <v>37538.164275057003</v>
      </c>
      <c r="L48" s="22">
        <v>65224.000837446169</v>
      </c>
      <c r="M48" s="22">
        <v>83435.545750961159</v>
      </c>
      <c r="N48" s="22">
        <v>93501.453581745984</v>
      </c>
      <c r="O48" s="22">
        <v>96981.72450688362</v>
      </c>
      <c r="P48" s="22">
        <v>96063.917780117205</v>
      </c>
      <c r="Q48" s="22">
        <v>90841.337192991967</v>
      </c>
      <c r="R48" s="22">
        <v>81121.5599344074</v>
      </c>
      <c r="S48" s="22">
        <v>64066.059665867113</v>
      </c>
      <c r="T48" s="22">
        <v>36754.974458058088</v>
      </c>
      <c r="U48" s="22">
        <v>85203.284340975515</v>
      </c>
      <c r="V48" s="22">
        <v>85203.284340975515</v>
      </c>
      <c r="W48" s="22">
        <v>85203.284340975515</v>
      </c>
      <c r="X48" s="22">
        <v>85203.284340975515</v>
      </c>
      <c r="Y48" s="22">
        <v>85203.284340975515</v>
      </c>
      <c r="Z48" s="22">
        <v>85203.284340975515</v>
      </c>
      <c r="AA48" s="23">
        <v>85203.284340975515</v>
      </c>
      <c r="AB48" s="96">
        <f t="shared" ref="AB48" si="15">+SUM(D48:AA48)*AC48+SUM(D49:AA49)*AC49+SUM(D50:AA50)*AC50</f>
        <v>46222781.75497923</v>
      </c>
      <c r="AC48" s="16">
        <v>20</v>
      </c>
      <c r="AD48" s="16">
        <f t="shared" si="1"/>
        <v>29821149.519341439</v>
      </c>
    </row>
    <row r="49" spans="1:30" ht="13.5" thickBot="1" x14ac:dyDescent="0.35">
      <c r="A49" s="18">
        <v>2027</v>
      </c>
      <c r="B49" s="19" t="s">
        <v>37</v>
      </c>
      <c r="C49" s="20" t="s">
        <v>50</v>
      </c>
      <c r="D49" s="21">
        <v>21300.821085243875</v>
      </c>
      <c r="E49" s="22">
        <v>21300.821085243875</v>
      </c>
      <c r="F49" s="22">
        <v>21300.821085243875</v>
      </c>
      <c r="G49" s="22">
        <v>21300.821085243875</v>
      </c>
      <c r="H49" s="22">
        <v>21300.821085243875</v>
      </c>
      <c r="I49" s="22">
        <v>21300.821085243875</v>
      </c>
      <c r="J49" s="22">
        <v>21300.821085243875</v>
      </c>
      <c r="K49" s="22">
        <v>37538.164275056995</v>
      </c>
      <c r="L49" s="22">
        <v>65224.000837446132</v>
      </c>
      <c r="M49" s="22">
        <v>83435.545750961159</v>
      </c>
      <c r="N49" s="22">
        <v>93501.453581745998</v>
      </c>
      <c r="O49" s="22">
        <v>96981.724506883591</v>
      </c>
      <c r="P49" s="22">
        <v>96063.917780117248</v>
      </c>
      <c r="Q49" s="22">
        <v>90841.337192991952</v>
      </c>
      <c r="R49" s="22">
        <v>81121.559934407356</v>
      </c>
      <c r="S49" s="22">
        <v>64066.059665867098</v>
      </c>
      <c r="T49" s="22">
        <v>36754.974458058081</v>
      </c>
      <c r="U49" s="22">
        <v>85203.284340975501</v>
      </c>
      <c r="V49" s="22">
        <v>85203.284340975501</v>
      </c>
      <c r="W49" s="22">
        <v>85203.284340975501</v>
      </c>
      <c r="X49" s="22">
        <v>85203.284340975501</v>
      </c>
      <c r="Y49" s="22">
        <v>85203.284340975501</v>
      </c>
      <c r="Z49" s="22">
        <v>85203.284340975501</v>
      </c>
      <c r="AA49" s="23">
        <v>85203.284340975501</v>
      </c>
      <c r="AB49" s="97"/>
      <c r="AC49" s="24">
        <v>4</v>
      </c>
      <c r="AD49" s="16">
        <f t="shared" si="1"/>
        <v>5964229.9038682869</v>
      </c>
    </row>
    <row r="50" spans="1:30" ht="13.5" thickBot="1" x14ac:dyDescent="0.35">
      <c r="A50" s="18">
        <v>2027</v>
      </c>
      <c r="B50" s="25" t="s">
        <v>37</v>
      </c>
      <c r="C50" s="26" t="s">
        <v>36</v>
      </c>
      <c r="D50" s="21">
        <v>21300.821085243875</v>
      </c>
      <c r="E50" s="22">
        <v>21300.821085243875</v>
      </c>
      <c r="F50" s="22">
        <v>21300.821085243875</v>
      </c>
      <c r="G50" s="22">
        <v>21300.821085243875</v>
      </c>
      <c r="H50" s="22">
        <v>21300.821085243875</v>
      </c>
      <c r="I50" s="22">
        <v>21300.821085243875</v>
      </c>
      <c r="J50" s="22">
        <v>21300.821085243875</v>
      </c>
      <c r="K50" s="22">
        <v>37538.164275056995</v>
      </c>
      <c r="L50" s="22">
        <v>65224.000837446132</v>
      </c>
      <c r="M50" s="22">
        <v>83435.545750961159</v>
      </c>
      <c r="N50" s="22">
        <v>93501.453581745984</v>
      </c>
      <c r="O50" s="22">
        <v>96981.724506883576</v>
      </c>
      <c r="P50" s="22">
        <v>96063.917780117248</v>
      </c>
      <c r="Q50" s="22">
        <v>90841.337192991967</v>
      </c>
      <c r="R50" s="22">
        <v>81121.559934407356</v>
      </c>
      <c r="S50" s="22">
        <v>64066.059665867113</v>
      </c>
      <c r="T50" s="22">
        <v>36754.974458058081</v>
      </c>
      <c r="U50" s="22">
        <v>85203.284340975501</v>
      </c>
      <c r="V50" s="22">
        <v>85203.284340975501</v>
      </c>
      <c r="W50" s="22">
        <v>85203.284340975501</v>
      </c>
      <c r="X50" s="22">
        <v>85203.284340975501</v>
      </c>
      <c r="Y50" s="22">
        <v>85203.284340975501</v>
      </c>
      <c r="Z50" s="22">
        <v>85203.284340975501</v>
      </c>
      <c r="AA50" s="23">
        <v>85203.284340975501</v>
      </c>
      <c r="AB50" s="97"/>
      <c r="AC50" s="27">
        <v>7</v>
      </c>
      <c r="AD50" s="16">
        <f t="shared" si="1"/>
        <v>10437402.331769502</v>
      </c>
    </row>
    <row r="51" spans="1:30" ht="13.5" thickBot="1" x14ac:dyDescent="0.35">
      <c r="A51" s="18">
        <v>2027</v>
      </c>
      <c r="B51" s="11" t="s">
        <v>38</v>
      </c>
      <c r="C51" s="12" t="s">
        <v>33</v>
      </c>
      <c r="D51" s="21">
        <v>21300.821085243879</v>
      </c>
      <c r="E51" s="22">
        <v>21300.821085243879</v>
      </c>
      <c r="F51" s="22">
        <v>21300.821085243879</v>
      </c>
      <c r="G51" s="22">
        <v>21300.821085243879</v>
      </c>
      <c r="H51" s="22">
        <v>21300.821085243879</v>
      </c>
      <c r="I51" s="22">
        <v>21300.821085243879</v>
      </c>
      <c r="J51" s="22">
        <v>21300.821085243879</v>
      </c>
      <c r="K51" s="22">
        <v>37538.164275057003</v>
      </c>
      <c r="L51" s="22">
        <v>65224.000837446169</v>
      </c>
      <c r="M51" s="22">
        <v>83435.545750961159</v>
      </c>
      <c r="N51" s="22">
        <v>93501.453581745984</v>
      </c>
      <c r="O51" s="22">
        <v>96981.724506883635</v>
      </c>
      <c r="P51" s="22">
        <v>96063.91778011719</v>
      </c>
      <c r="Q51" s="22">
        <v>90841.337192991967</v>
      </c>
      <c r="R51" s="22">
        <v>81121.559934407414</v>
      </c>
      <c r="S51" s="22">
        <v>64066.05966586712</v>
      </c>
      <c r="T51" s="22">
        <v>36754.974458058095</v>
      </c>
      <c r="U51" s="22">
        <v>85203.284340975515</v>
      </c>
      <c r="V51" s="22">
        <v>85203.284340975515</v>
      </c>
      <c r="W51" s="22">
        <v>85203.284340975515</v>
      </c>
      <c r="X51" s="22">
        <v>85203.284340975515</v>
      </c>
      <c r="Y51" s="22">
        <v>85203.284340975515</v>
      </c>
      <c r="Z51" s="22">
        <v>85203.284340975515</v>
      </c>
      <c r="AA51" s="23">
        <v>85203.284340975515</v>
      </c>
      <c r="AB51" s="96">
        <f t="shared" ref="AB51" si="16">+SUM(D51:AA51)*AC51+SUM(D52:AA52)*AC52+SUM(D53:AA53)*AC53</f>
        <v>44731724.279012159</v>
      </c>
      <c r="AC51" s="16">
        <v>22</v>
      </c>
      <c r="AD51" s="16">
        <f t="shared" si="1"/>
        <v>32803264.471275583</v>
      </c>
    </row>
    <row r="52" spans="1:30" ht="13.5" thickBot="1" x14ac:dyDescent="0.35">
      <c r="A52" s="18">
        <v>2027</v>
      </c>
      <c r="B52" s="19" t="s">
        <v>38</v>
      </c>
      <c r="C52" s="20" t="s">
        <v>50</v>
      </c>
      <c r="D52" s="21">
        <v>21300.821085243875</v>
      </c>
      <c r="E52" s="22">
        <v>21300.821085243875</v>
      </c>
      <c r="F52" s="22">
        <v>21300.821085243875</v>
      </c>
      <c r="G52" s="22">
        <v>21300.821085243875</v>
      </c>
      <c r="H52" s="22">
        <v>21300.821085243875</v>
      </c>
      <c r="I52" s="22">
        <v>21300.821085243875</v>
      </c>
      <c r="J52" s="22">
        <v>21300.821085243875</v>
      </c>
      <c r="K52" s="22">
        <v>37538.164275056995</v>
      </c>
      <c r="L52" s="22">
        <v>65224.000837446132</v>
      </c>
      <c r="M52" s="22">
        <v>83435.545750961159</v>
      </c>
      <c r="N52" s="22">
        <v>93501.453581745998</v>
      </c>
      <c r="O52" s="22">
        <v>96981.724506883591</v>
      </c>
      <c r="P52" s="22">
        <v>96063.917780117248</v>
      </c>
      <c r="Q52" s="22">
        <v>90841.337192991952</v>
      </c>
      <c r="R52" s="22">
        <v>81121.559934407356</v>
      </c>
      <c r="S52" s="22">
        <v>64066.059665867098</v>
      </c>
      <c r="T52" s="22">
        <v>36754.974458058081</v>
      </c>
      <c r="U52" s="22">
        <v>85203.284340975501</v>
      </c>
      <c r="V52" s="22">
        <v>85203.284340975501</v>
      </c>
      <c r="W52" s="22">
        <v>85203.284340975501</v>
      </c>
      <c r="X52" s="22">
        <v>85203.284340975501</v>
      </c>
      <c r="Y52" s="22">
        <v>85203.284340975501</v>
      </c>
      <c r="Z52" s="22">
        <v>85203.284340975501</v>
      </c>
      <c r="AA52" s="23">
        <v>85203.284340975501</v>
      </c>
      <c r="AB52" s="97"/>
      <c r="AC52" s="24">
        <v>4</v>
      </c>
      <c r="AD52" s="16">
        <f t="shared" si="1"/>
        <v>5964229.9038682869</v>
      </c>
    </row>
    <row r="53" spans="1:30" ht="13.5" thickBot="1" x14ac:dyDescent="0.35">
      <c r="A53" s="18">
        <v>2027</v>
      </c>
      <c r="B53" s="25" t="s">
        <v>38</v>
      </c>
      <c r="C53" s="26" t="s">
        <v>36</v>
      </c>
      <c r="D53" s="21">
        <v>21300.821085243875</v>
      </c>
      <c r="E53" s="22">
        <v>21300.821085243875</v>
      </c>
      <c r="F53" s="22">
        <v>21300.821085243875</v>
      </c>
      <c r="G53" s="22">
        <v>21300.821085243875</v>
      </c>
      <c r="H53" s="22">
        <v>21300.821085243875</v>
      </c>
      <c r="I53" s="22">
        <v>21300.821085243875</v>
      </c>
      <c r="J53" s="22">
        <v>21300.821085243875</v>
      </c>
      <c r="K53" s="22">
        <v>37538.164275056995</v>
      </c>
      <c r="L53" s="22">
        <v>65224.000837446132</v>
      </c>
      <c r="M53" s="22">
        <v>83435.545750961159</v>
      </c>
      <c r="N53" s="22">
        <v>93501.453581745998</v>
      </c>
      <c r="O53" s="22">
        <v>96981.724506883591</v>
      </c>
      <c r="P53" s="22">
        <v>96063.917780117248</v>
      </c>
      <c r="Q53" s="22">
        <v>90841.337192991952</v>
      </c>
      <c r="R53" s="22">
        <v>81121.559934407356</v>
      </c>
      <c r="S53" s="22">
        <v>64066.059665867098</v>
      </c>
      <c r="T53" s="22">
        <v>36754.974458058081</v>
      </c>
      <c r="U53" s="22">
        <v>85203.284340975501</v>
      </c>
      <c r="V53" s="22">
        <v>85203.284340975501</v>
      </c>
      <c r="W53" s="22">
        <v>85203.284340975501</v>
      </c>
      <c r="X53" s="22">
        <v>85203.284340975501</v>
      </c>
      <c r="Y53" s="22">
        <v>85203.284340975501</v>
      </c>
      <c r="Z53" s="22">
        <v>85203.284340975501</v>
      </c>
      <c r="AA53" s="23">
        <v>85203.284340975501</v>
      </c>
      <c r="AB53" s="97"/>
      <c r="AC53" s="27">
        <v>4</v>
      </c>
      <c r="AD53" s="16">
        <f t="shared" si="1"/>
        <v>5964229.9038682869</v>
      </c>
    </row>
    <row r="54" spans="1:30" ht="13.5" thickBot="1" x14ac:dyDescent="0.35">
      <c r="A54" s="18">
        <v>2027</v>
      </c>
      <c r="B54" s="11" t="s">
        <v>39</v>
      </c>
      <c r="C54" s="12" t="s">
        <v>33</v>
      </c>
      <c r="D54" s="21">
        <v>21300.821085243879</v>
      </c>
      <c r="E54" s="22">
        <v>21300.821085243879</v>
      </c>
      <c r="F54" s="22">
        <v>21300.821085243879</v>
      </c>
      <c r="G54" s="22">
        <v>21300.821085243879</v>
      </c>
      <c r="H54" s="22">
        <v>21300.821085243879</v>
      </c>
      <c r="I54" s="22">
        <v>21300.821085243879</v>
      </c>
      <c r="J54" s="22">
        <v>21300.821085243879</v>
      </c>
      <c r="K54" s="22">
        <v>37538.164275057003</v>
      </c>
      <c r="L54" s="22">
        <v>65224.000837446169</v>
      </c>
      <c r="M54" s="22">
        <v>83435.545750961159</v>
      </c>
      <c r="N54" s="22">
        <v>93501.453581745984</v>
      </c>
      <c r="O54" s="22">
        <v>96981.72450688362</v>
      </c>
      <c r="P54" s="22">
        <v>96063.917780117205</v>
      </c>
      <c r="Q54" s="22">
        <v>90841.337192991967</v>
      </c>
      <c r="R54" s="22">
        <v>81121.5599344074</v>
      </c>
      <c r="S54" s="22">
        <v>64066.059665867113</v>
      </c>
      <c r="T54" s="22">
        <v>36754.974458058088</v>
      </c>
      <c r="U54" s="22">
        <v>85203.284340975515</v>
      </c>
      <c r="V54" s="22">
        <v>85203.284340975515</v>
      </c>
      <c r="W54" s="22">
        <v>85203.284340975515</v>
      </c>
      <c r="X54" s="22">
        <v>85203.284340975515</v>
      </c>
      <c r="Y54" s="22">
        <v>85203.284340975515</v>
      </c>
      <c r="Z54" s="22">
        <v>85203.284340975515</v>
      </c>
      <c r="AA54" s="23">
        <v>85203.284340975515</v>
      </c>
      <c r="AB54" s="96">
        <f t="shared" ref="AB54" si="17">+SUM(D54:AA54)*AC54+SUM(D55:AA55)*AC55+SUM(D56:AA56)*AC56</f>
        <v>46222781.75497923</v>
      </c>
      <c r="AC54" s="16">
        <v>19</v>
      </c>
      <c r="AD54" s="16">
        <f t="shared" si="1"/>
        <v>28330092.043374367</v>
      </c>
    </row>
    <row r="55" spans="1:30" ht="13.5" thickBot="1" x14ac:dyDescent="0.35">
      <c r="A55" s="18">
        <v>2027</v>
      </c>
      <c r="B55" s="19" t="s">
        <v>39</v>
      </c>
      <c r="C55" s="20" t="s">
        <v>50</v>
      </c>
      <c r="D55" s="21">
        <v>21300.821085243875</v>
      </c>
      <c r="E55" s="22">
        <v>21300.821085243875</v>
      </c>
      <c r="F55" s="22">
        <v>21300.821085243875</v>
      </c>
      <c r="G55" s="22">
        <v>21300.821085243875</v>
      </c>
      <c r="H55" s="22">
        <v>21300.821085243875</v>
      </c>
      <c r="I55" s="22">
        <v>21300.821085243875</v>
      </c>
      <c r="J55" s="22">
        <v>21300.821085243875</v>
      </c>
      <c r="K55" s="22">
        <v>37538.164275056995</v>
      </c>
      <c r="L55" s="22">
        <v>65224.000837446132</v>
      </c>
      <c r="M55" s="22">
        <v>83435.545750961159</v>
      </c>
      <c r="N55" s="22">
        <v>93501.453581745998</v>
      </c>
      <c r="O55" s="22">
        <v>96981.724506883591</v>
      </c>
      <c r="P55" s="22">
        <v>96063.917780117248</v>
      </c>
      <c r="Q55" s="22">
        <v>90841.337192991952</v>
      </c>
      <c r="R55" s="22">
        <v>81121.559934407356</v>
      </c>
      <c r="S55" s="22">
        <v>64066.059665867098</v>
      </c>
      <c r="T55" s="22">
        <v>36754.974458058081</v>
      </c>
      <c r="U55" s="22">
        <v>85203.284340975501</v>
      </c>
      <c r="V55" s="22">
        <v>85203.284340975501</v>
      </c>
      <c r="W55" s="22">
        <v>85203.284340975501</v>
      </c>
      <c r="X55" s="22">
        <v>85203.284340975501</v>
      </c>
      <c r="Y55" s="22">
        <v>85203.284340975501</v>
      </c>
      <c r="Z55" s="22">
        <v>85203.284340975501</v>
      </c>
      <c r="AA55" s="23">
        <v>85203.284340975501</v>
      </c>
      <c r="AB55" s="97"/>
      <c r="AC55" s="24">
        <v>4</v>
      </c>
      <c r="AD55" s="16">
        <f t="shared" si="1"/>
        <v>5964229.9038682869</v>
      </c>
    </row>
    <row r="56" spans="1:30" ht="13.5" thickBot="1" x14ac:dyDescent="0.35">
      <c r="A56" s="18">
        <v>2027</v>
      </c>
      <c r="B56" s="25" t="s">
        <v>39</v>
      </c>
      <c r="C56" s="26" t="s">
        <v>36</v>
      </c>
      <c r="D56" s="21">
        <v>21300.821085243875</v>
      </c>
      <c r="E56" s="22">
        <v>21300.821085243875</v>
      </c>
      <c r="F56" s="22">
        <v>21300.821085243875</v>
      </c>
      <c r="G56" s="22">
        <v>21300.821085243875</v>
      </c>
      <c r="H56" s="22">
        <v>21300.821085243875</v>
      </c>
      <c r="I56" s="22">
        <v>21300.821085243875</v>
      </c>
      <c r="J56" s="22">
        <v>21300.821085243875</v>
      </c>
      <c r="K56" s="22">
        <v>37538.164275056995</v>
      </c>
      <c r="L56" s="22">
        <v>65224.000837446132</v>
      </c>
      <c r="M56" s="22">
        <v>83435.545750961159</v>
      </c>
      <c r="N56" s="22">
        <v>93501.453581745984</v>
      </c>
      <c r="O56" s="22">
        <v>96981.724506883591</v>
      </c>
      <c r="P56" s="22">
        <v>96063.917780117248</v>
      </c>
      <c r="Q56" s="22">
        <v>90841.337192991967</v>
      </c>
      <c r="R56" s="22">
        <v>81121.559934407356</v>
      </c>
      <c r="S56" s="22">
        <v>64066.059665867113</v>
      </c>
      <c r="T56" s="22">
        <v>36754.974458058081</v>
      </c>
      <c r="U56" s="22">
        <v>85203.284340975501</v>
      </c>
      <c r="V56" s="22">
        <v>85203.284340975501</v>
      </c>
      <c r="W56" s="22">
        <v>85203.284340975501</v>
      </c>
      <c r="X56" s="22">
        <v>85203.284340975501</v>
      </c>
      <c r="Y56" s="22">
        <v>85203.284340975501</v>
      </c>
      <c r="Z56" s="22">
        <v>85203.284340975501</v>
      </c>
      <c r="AA56" s="23">
        <v>85203.284340975501</v>
      </c>
      <c r="AB56" s="97"/>
      <c r="AC56" s="27">
        <v>8</v>
      </c>
      <c r="AD56" s="16">
        <f t="shared" si="1"/>
        <v>11928459.807736574</v>
      </c>
    </row>
    <row r="57" spans="1:30" ht="13.5" thickBot="1" x14ac:dyDescent="0.35">
      <c r="A57" s="18">
        <v>2027</v>
      </c>
      <c r="B57" s="11" t="s">
        <v>40</v>
      </c>
      <c r="C57" s="12" t="s">
        <v>33</v>
      </c>
      <c r="D57" s="21">
        <v>21300.821085243879</v>
      </c>
      <c r="E57" s="22">
        <v>21300.821085243879</v>
      </c>
      <c r="F57" s="22">
        <v>21300.821085243879</v>
      </c>
      <c r="G57" s="22">
        <v>21300.821085243879</v>
      </c>
      <c r="H57" s="22">
        <v>21300.821085243879</v>
      </c>
      <c r="I57" s="22">
        <v>21300.821085243879</v>
      </c>
      <c r="J57" s="22">
        <v>21300.821085243879</v>
      </c>
      <c r="K57" s="22">
        <v>37538.164275057003</v>
      </c>
      <c r="L57" s="22">
        <v>65224.000837446169</v>
      </c>
      <c r="M57" s="22">
        <v>83435.545750961159</v>
      </c>
      <c r="N57" s="22">
        <v>93501.453581745984</v>
      </c>
      <c r="O57" s="22">
        <v>96981.72450688362</v>
      </c>
      <c r="P57" s="22">
        <v>96063.917780117205</v>
      </c>
      <c r="Q57" s="22">
        <v>90841.337192991967</v>
      </c>
      <c r="R57" s="22">
        <v>81121.5599344074</v>
      </c>
      <c r="S57" s="22">
        <v>64066.059665867113</v>
      </c>
      <c r="T57" s="22">
        <v>36754.974458058095</v>
      </c>
      <c r="U57" s="22">
        <v>85203.284340975515</v>
      </c>
      <c r="V57" s="22">
        <v>85203.284340975515</v>
      </c>
      <c r="W57" s="22">
        <v>85203.284340975515</v>
      </c>
      <c r="X57" s="22">
        <v>85203.284340975515</v>
      </c>
      <c r="Y57" s="22">
        <v>85203.284340975515</v>
      </c>
      <c r="Z57" s="22">
        <v>85203.284340975515</v>
      </c>
      <c r="AA57" s="23">
        <v>85203.284340975515</v>
      </c>
      <c r="AB57" s="96">
        <f t="shared" ref="AB57" si="18">+SUM(D57:AA57)*AC57+SUM(D58:AA58)*AC58+SUM(D59:AA59)*AC59</f>
        <v>44731724.279012159</v>
      </c>
      <c r="AC57" s="16">
        <v>21</v>
      </c>
      <c r="AD57" s="16">
        <f t="shared" si="1"/>
        <v>31312206.995308511</v>
      </c>
    </row>
    <row r="58" spans="1:30" ht="13.5" thickBot="1" x14ac:dyDescent="0.35">
      <c r="A58" s="18">
        <v>2027</v>
      </c>
      <c r="B58" s="19" t="s">
        <v>40</v>
      </c>
      <c r="C58" s="20" t="s">
        <v>50</v>
      </c>
      <c r="D58" s="21">
        <v>21300.821085243875</v>
      </c>
      <c r="E58" s="22">
        <v>21300.821085243875</v>
      </c>
      <c r="F58" s="22">
        <v>21300.821085243875</v>
      </c>
      <c r="G58" s="22">
        <v>21300.821085243875</v>
      </c>
      <c r="H58" s="22">
        <v>21300.821085243875</v>
      </c>
      <c r="I58" s="22">
        <v>21300.821085243875</v>
      </c>
      <c r="J58" s="22">
        <v>21300.821085243875</v>
      </c>
      <c r="K58" s="22">
        <v>37538.164275056995</v>
      </c>
      <c r="L58" s="22">
        <v>65224.000837446132</v>
      </c>
      <c r="M58" s="22">
        <v>83435.545750961159</v>
      </c>
      <c r="N58" s="22">
        <v>93501.453581745998</v>
      </c>
      <c r="O58" s="22">
        <v>96981.724506883591</v>
      </c>
      <c r="P58" s="22">
        <v>96063.917780117248</v>
      </c>
      <c r="Q58" s="22">
        <v>90841.337192991952</v>
      </c>
      <c r="R58" s="22">
        <v>81121.559934407356</v>
      </c>
      <c r="S58" s="22">
        <v>64066.059665867098</v>
      </c>
      <c r="T58" s="22">
        <v>36754.974458058081</v>
      </c>
      <c r="U58" s="22">
        <v>85203.284340975501</v>
      </c>
      <c r="V58" s="22">
        <v>85203.284340975501</v>
      </c>
      <c r="W58" s="22">
        <v>85203.284340975501</v>
      </c>
      <c r="X58" s="22">
        <v>85203.284340975501</v>
      </c>
      <c r="Y58" s="22">
        <v>85203.284340975501</v>
      </c>
      <c r="Z58" s="22">
        <v>85203.284340975501</v>
      </c>
      <c r="AA58" s="23">
        <v>85203.284340975501</v>
      </c>
      <c r="AB58" s="97"/>
      <c r="AC58" s="24">
        <v>4</v>
      </c>
      <c r="AD58" s="16">
        <f t="shared" si="1"/>
        <v>5964229.9038682869</v>
      </c>
    </row>
    <row r="59" spans="1:30" ht="13.5" thickBot="1" x14ac:dyDescent="0.35">
      <c r="A59" s="18">
        <v>2027</v>
      </c>
      <c r="B59" s="25" t="s">
        <v>40</v>
      </c>
      <c r="C59" s="26" t="s">
        <v>36</v>
      </c>
      <c r="D59" s="21">
        <v>21300.821085243875</v>
      </c>
      <c r="E59" s="22">
        <v>21300.821085243875</v>
      </c>
      <c r="F59" s="22">
        <v>21300.821085243875</v>
      </c>
      <c r="G59" s="22">
        <v>21300.821085243875</v>
      </c>
      <c r="H59" s="22">
        <v>21300.821085243875</v>
      </c>
      <c r="I59" s="22">
        <v>21300.821085243875</v>
      </c>
      <c r="J59" s="22">
        <v>21300.821085243875</v>
      </c>
      <c r="K59" s="22">
        <v>37538.164275056995</v>
      </c>
      <c r="L59" s="22">
        <v>65224.000837446132</v>
      </c>
      <c r="M59" s="22">
        <v>83435.545750961159</v>
      </c>
      <c r="N59" s="22">
        <v>93501.453581745998</v>
      </c>
      <c r="O59" s="22">
        <v>96981.724506883591</v>
      </c>
      <c r="P59" s="22">
        <v>96063.917780117248</v>
      </c>
      <c r="Q59" s="22">
        <v>90841.337192991952</v>
      </c>
      <c r="R59" s="22">
        <v>81121.559934407356</v>
      </c>
      <c r="S59" s="22">
        <v>64066.059665867106</v>
      </c>
      <c r="T59" s="22">
        <v>36754.974458058081</v>
      </c>
      <c r="U59" s="22">
        <v>85203.284340975501</v>
      </c>
      <c r="V59" s="22">
        <v>85203.284340975501</v>
      </c>
      <c r="W59" s="22">
        <v>85203.284340975501</v>
      </c>
      <c r="X59" s="22">
        <v>85203.284340975501</v>
      </c>
      <c r="Y59" s="22">
        <v>85203.284340975501</v>
      </c>
      <c r="Z59" s="22">
        <v>85203.284340975501</v>
      </c>
      <c r="AA59" s="23">
        <v>85203.284340975501</v>
      </c>
      <c r="AB59" s="97"/>
      <c r="AC59" s="27">
        <v>5</v>
      </c>
      <c r="AD59" s="16">
        <f t="shared" si="1"/>
        <v>7455287.3798353588</v>
      </c>
    </row>
    <row r="60" spans="1:30" ht="13.5" thickBot="1" x14ac:dyDescent="0.35">
      <c r="A60" s="18">
        <v>2027</v>
      </c>
      <c r="B60" s="11" t="s">
        <v>41</v>
      </c>
      <c r="C60" s="12" t="s">
        <v>33</v>
      </c>
      <c r="D60" s="21">
        <v>21300.821085243879</v>
      </c>
      <c r="E60" s="22">
        <v>21300.821085243879</v>
      </c>
      <c r="F60" s="22">
        <v>21300.821085243879</v>
      </c>
      <c r="G60" s="22">
        <v>21300.821085243879</v>
      </c>
      <c r="H60" s="22">
        <v>21300.821085243879</v>
      </c>
      <c r="I60" s="22">
        <v>21300.821085243879</v>
      </c>
      <c r="J60" s="22">
        <v>21300.821085243879</v>
      </c>
      <c r="K60" s="22">
        <v>37538.164275057003</v>
      </c>
      <c r="L60" s="22">
        <v>65224.000837446169</v>
      </c>
      <c r="M60" s="22">
        <v>83435.545750961159</v>
      </c>
      <c r="N60" s="22">
        <v>93501.453581745984</v>
      </c>
      <c r="O60" s="22">
        <v>96981.72450688362</v>
      </c>
      <c r="P60" s="22">
        <v>96063.917780117205</v>
      </c>
      <c r="Q60" s="22">
        <v>90841.337192991967</v>
      </c>
      <c r="R60" s="22">
        <v>81121.5599344074</v>
      </c>
      <c r="S60" s="22">
        <v>64066.059665867113</v>
      </c>
      <c r="T60" s="22">
        <v>36754.974458058088</v>
      </c>
      <c r="U60" s="22">
        <v>85203.284340975515</v>
      </c>
      <c r="V60" s="22">
        <v>85203.284340975515</v>
      </c>
      <c r="W60" s="22">
        <v>85203.284340975515</v>
      </c>
      <c r="X60" s="22">
        <v>85203.284340975515</v>
      </c>
      <c r="Y60" s="22">
        <v>85203.284340975515</v>
      </c>
      <c r="Z60" s="22">
        <v>85203.284340975515</v>
      </c>
      <c r="AA60" s="23">
        <v>85203.284340975515</v>
      </c>
      <c r="AB60" s="96">
        <f t="shared" ref="AB60" si="19">+SUM(D60:AA60)*AC60+SUM(D61:AA61)*AC61+SUM(D62:AA62)*AC62</f>
        <v>46222781.75497923</v>
      </c>
      <c r="AC60" s="16">
        <v>20</v>
      </c>
      <c r="AD60" s="16">
        <f t="shared" si="1"/>
        <v>29821149.519341439</v>
      </c>
    </row>
    <row r="61" spans="1:30" ht="13.5" thickBot="1" x14ac:dyDescent="0.35">
      <c r="A61" s="18">
        <v>2027</v>
      </c>
      <c r="B61" s="19" t="s">
        <v>41</v>
      </c>
      <c r="C61" s="20" t="s">
        <v>50</v>
      </c>
      <c r="D61" s="21">
        <v>21300.821085243875</v>
      </c>
      <c r="E61" s="22">
        <v>21300.821085243875</v>
      </c>
      <c r="F61" s="22">
        <v>21300.821085243875</v>
      </c>
      <c r="G61" s="22">
        <v>21300.821085243875</v>
      </c>
      <c r="H61" s="22">
        <v>21300.821085243875</v>
      </c>
      <c r="I61" s="22">
        <v>21300.821085243875</v>
      </c>
      <c r="J61" s="22">
        <v>21300.821085243875</v>
      </c>
      <c r="K61" s="22">
        <v>37538.164275056995</v>
      </c>
      <c r="L61" s="22">
        <v>65224.000837446132</v>
      </c>
      <c r="M61" s="22">
        <v>83435.545750961159</v>
      </c>
      <c r="N61" s="22">
        <v>93501.453581745998</v>
      </c>
      <c r="O61" s="22">
        <v>96981.724506883591</v>
      </c>
      <c r="P61" s="22">
        <v>96063.917780117248</v>
      </c>
      <c r="Q61" s="22">
        <v>90841.337192991952</v>
      </c>
      <c r="R61" s="22">
        <v>81121.559934407356</v>
      </c>
      <c r="S61" s="22">
        <v>64066.059665867106</v>
      </c>
      <c r="T61" s="22">
        <v>36754.974458058081</v>
      </c>
      <c r="U61" s="22">
        <v>85203.284340975501</v>
      </c>
      <c r="V61" s="22">
        <v>85203.284340975501</v>
      </c>
      <c r="W61" s="22">
        <v>85203.284340975501</v>
      </c>
      <c r="X61" s="22">
        <v>85203.284340975501</v>
      </c>
      <c r="Y61" s="22">
        <v>85203.284340975501</v>
      </c>
      <c r="Z61" s="22">
        <v>85203.284340975501</v>
      </c>
      <c r="AA61" s="23">
        <v>85203.284340975501</v>
      </c>
      <c r="AB61" s="97"/>
      <c r="AC61" s="24">
        <v>5</v>
      </c>
      <c r="AD61" s="16">
        <f t="shared" si="1"/>
        <v>7455287.3798353588</v>
      </c>
    </row>
    <row r="62" spans="1:30" ht="13.5" thickBot="1" x14ac:dyDescent="0.35">
      <c r="A62" s="18">
        <v>2027</v>
      </c>
      <c r="B62" s="25" t="s">
        <v>41</v>
      </c>
      <c r="C62" s="26" t="s">
        <v>36</v>
      </c>
      <c r="D62" s="21">
        <v>21300.821085243875</v>
      </c>
      <c r="E62" s="22">
        <v>21300.821085243875</v>
      </c>
      <c r="F62" s="22">
        <v>21300.821085243875</v>
      </c>
      <c r="G62" s="22">
        <v>21300.821085243875</v>
      </c>
      <c r="H62" s="22">
        <v>21300.821085243875</v>
      </c>
      <c r="I62" s="22">
        <v>21300.821085243875</v>
      </c>
      <c r="J62" s="22">
        <v>21300.821085243875</v>
      </c>
      <c r="K62" s="22">
        <v>37538.164275056995</v>
      </c>
      <c r="L62" s="22">
        <v>65224.000837446132</v>
      </c>
      <c r="M62" s="22">
        <v>83435.545750961159</v>
      </c>
      <c r="N62" s="22">
        <v>93501.453581745984</v>
      </c>
      <c r="O62" s="22">
        <v>96981.724506883591</v>
      </c>
      <c r="P62" s="22">
        <v>96063.917780117248</v>
      </c>
      <c r="Q62" s="22">
        <v>90841.337192991967</v>
      </c>
      <c r="R62" s="22">
        <v>81121.559934407356</v>
      </c>
      <c r="S62" s="22">
        <v>64066.059665867106</v>
      </c>
      <c r="T62" s="22">
        <v>36754.974458058081</v>
      </c>
      <c r="U62" s="22">
        <v>85203.284340975501</v>
      </c>
      <c r="V62" s="22">
        <v>85203.284340975501</v>
      </c>
      <c r="W62" s="22">
        <v>85203.284340975501</v>
      </c>
      <c r="X62" s="22">
        <v>85203.284340975501</v>
      </c>
      <c r="Y62" s="22">
        <v>85203.284340975501</v>
      </c>
      <c r="Z62" s="22">
        <v>85203.284340975501</v>
      </c>
      <c r="AA62" s="23">
        <v>85203.284340975501</v>
      </c>
      <c r="AB62" s="97"/>
      <c r="AC62" s="27">
        <v>6</v>
      </c>
      <c r="AD62" s="16">
        <f t="shared" si="1"/>
        <v>8946344.8558024298</v>
      </c>
    </row>
    <row r="63" spans="1:30" ht="13.5" thickBot="1" x14ac:dyDescent="0.35">
      <c r="A63" s="18">
        <v>2027</v>
      </c>
      <c r="B63" s="11" t="s">
        <v>42</v>
      </c>
      <c r="C63" s="12" t="s">
        <v>33</v>
      </c>
      <c r="D63" s="21">
        <v>21300.821085243879</v>
      </c>
      <c r="E63" s="22">
        <v>21300.821085243879</v>
      </c>
      <c r="F63" s="22">
        <v>21300.821085243879</v>
      </c>
      <c r="G63" s="22">
        <v>21300.821085243879</v>
      </c>
      <c r="H63" s="22">
        <v>21300.821085243879</v>
      </c>
      <c r="I63" s="22">
        <v>21300.821085243879</v>
      </c>
      <c r="J63" s="22">
        <v>21300.821085243879</v>
      </c>
      <c r="K63" s="22">
        <v>37538.164275057003</v>
      </c>
      <c r="L63" s="22">
        <v>65224.000837446169</v>
      </c>
      <c r="M63" s="22">
        <v>83435.545750961159</v>
      </c>
      <c r="N63" s="22">
        <v>93501.453581745984</v>
      </c>
      <c r="O63" s="22">
        <v>96981.72450688362</v>
      </c>
      <c r="P63" s="22">
        <v>96063.917780117205</v>
      </c>
      <c r="Q63" s="22">
        <v>90841.337192991967</v>
      </c>
      <c r="R63" s="22">
        <v>81121.5599344074</v>
      </c>
      <c r="S63" s="22">
        <v>64066.059665867113</v>
      </c>
      <c r="T63" s="22">
        <v>36754.974458058095</v>
      </c>
      <c r="U63" s="22">
        <v>85203.284340975515</v>
      </c>
      <c r="V63" s="22">
        <v>85203.284340975515</v>
      </c>
      <c r="W63" s="22">
        <v>85203.284340975515</v>
      </c>
      <c r="X63" s="22">
        <v>85203.284340975515</v>
      </c>
      <c r="Y63" s="22">
        <v>85203.284340975515</v>
      </c>
      <c r="Z63" s="22">
        <v>85203.284340975515</v>
      </c>
      <c r="AA63" s="23">
        <v>85203.284340975515</v>
      </c>
      <c r="AB63" s="96">
        <f t="shared" ref="AB63" si="20">+SUM(D63:AA63)*AC63+SUM(D64:AA64)*AC64+SUM(D65:AA65)*AC65</f>
        <v>46222781.75497923</v>
      </c>
      <c r="AC63" s="16">
        <v>21</v>
      </c>
      <c r="AD63" s="16">
        <f t="shared" si="1"/>
        <v>31312206.995308511</v>
      </c>
    </row>
    <row r="64" spans="1:30" ht="13.5" thickBot="1" x14ac:dyDescent="0.35">
      <c r="A64" s="18">
        <v>2027</v>
      </c>
      <c r="B64" s="19" t="s">
        <v>42</v>
      </c>
      <c r="C64" s="20" t="s">
        <v>50</v>
      </c>
      <c r="D64" s="21">
        <v>21300.821085243875</v>
      </c>
      <c r="E64" s="22">
        <v>21300.821085243875</v>
      </c>
      <c r="F64" s="22">
        <v>21300.821085243875</v>
      </c>
      <c r="G64" s="22">
        <v>21300.821085243875</v>
      </c>
      <c r="H64" s="22">
        <v>21300.821085243875</v>
      </c>
      <c r="I64" s="22">
        <v>21300.821085243875</v>
      </c>
      <c r="J64" s="22">
        <v>21300.821085243875</v>
      </c>
      <c r="K64" s="22">
        <v>37538.164275056995</v>
      </c>
      <c r="L64" s="22">
        <v>65224.000837446132</v>
      </c>
      <c r="M64" s="22">
        <v>83435.545750961159</v>
      </c>
      <c r="N64" s="22">
        <v>93501.453581746013</v>
      </c>
      <c r="O64" s="22">
        <v>96981.724506883591</v>
      </c>
      <c r="P64" s="22">
        <v>96063.917780117248</v>
      </c>
      <c r="Q64" s="22">
        <v>90841.337192991938</v>
      </c>
      <c r="R64" s="22">
        <v>81121.559934407356</v>
      </c>
      <c r="S64" s="22">
        <v>64066.059665867098</v>
      </c>
      <c r="T64" s="22">
        <v>36754.974458058081</v>
      </c>
      <c r="U64" s="22">
        <v>85203.284340975501</v>
      </c>
      <c r="V64" s="22">
        <v>85203.284340975501</v>
      </c>
      <c r="W64" s="22">
        <v>85203.284340975501</v>
      </c>
      <c r="X64" s="22">
        <v>85203.284340975501</v>
      </c>
      <c r="Y64" s="22">
        <v>85203.284340975501</v>
      </c>
      <c r="Z64" s="22">
        <v>85203.284340975501</v>
      </c>
      <c r="AA64" s="23">
        <v>85203.284340975501</v>
      </c>
      <c r="AB64" s="97"/>
      <c r="AC64" s="24">
        <v>3</v>
      </c>
      <c r="AD64" s="16">
        <f t="shared" si="1"/>
        <v>4473172.4279012149</v>
      </c>
    </row>
    <row r="65" spans="1:30" ht="13.5" thickBot="1" x14ac:dyDescent="0.35">
      <c r="A65" s="18">
        <v>2027</v>
      </c>
      <c r="B65" s="25" t="s">
        <v>42</v>
      </c>
      <c r="C65" s="26" t="s">
        <v>36</v>
      </c>
      <c r="D65" s="21">
        <v>21300.821085243875</v>
      </c>
      <c r="E65" s="22">
        <v>21300.821085243875</v>
      </c>
      <c r="F65" s="22">
        <v>21300.821085243875</v>
      </c>
      <c r="G65" s="22">
        <v>21300.821085243875</v>
      </c>
      <c r="H65" s="22">
        <v>21300.821085243875</v>
      </c>
      <c r="I65" s="22">
        <v>21300.821085243875</v>
      </c>
      <c r="J65" s="22">
        <v>21300.821085243875</v>
      </c>
      <c r="K65" s="22">
        <v>37538.164275056995</v>
      </c>
      <c r="L65" s="22">
        <v>65224.000837446132</v>
      </c>
      <c r="M65" s="22">
        <v>83435.545750961159</v>
      </c>
      <c r="N65" s="22">
        <v>93501.453581745984</v>
      </c>
      <c r="O65" s="22">
        <v>96981.724506883576</v>
      </c>
      <c r="P65" s="22">
        <v>96063.917780117248</v>
      </c>
      <c r="Q65" s="22">
        <v>90841.337192991967</v>
      </c>
      <c r="R65" s="22">
        <v>81121.559934407356</v>
      </c>
      <c r="S65" s="22">
        <v>64066.059665867113</v>
      </c>
      <c r="T65" s="22">
        <v>36754.974458058081</v>
      </c>
      <c r="U65" s="22">
        <v>85203.284340975501</v>
      </c>
      <c r="V65" s="22">
        <v>85203.284340975501</v>
      </c>
      <c r="W65" s="22">
        <v>85203.284340975501</v>
      </c>
      <c r="X65" s="22">
        <v>85203.284340975501</v>
      </c>
      <c r="Y65" s="22">
        <v>85203.284340975501</v>
      </c>
      <c r="Z65" s="22">
        <v>85203.284340975501</v>
      </c>
      <c r="AA65" s="23">
        <v>85203.284340975501</v>
      </c>
      <c r="AB65" s="97"/>
      <c r="AC65" s="27">
        <v>7</v>
      </c>
      <c r="AD65" s="16">
        <f t="shared" si="1"/>
        <v>10437402.331769502</v>
      </c>
    </row>
    <row r="66" spans="1:30" ht="13.5" thickBot="1" x14ac:dyDescent="0.35">
      <c r="A66" s="18">
        <v>2027</v>
      </c>
      <c r="B66" s="11" t="s">
        <v>43</v>
      </c>
      <c r="C66" s="12" t="s">
        <v>33</v>
      </c>
      <c r="D66" s="21">
        <v>21300.821085243879</v>
      </c>
      <c r="E66" s="22">
        <v>21300.821085243879</v>
      </c>
      <c r="F66" s="22">
        <v>21300.821085243879</v>
      </c>
      <c r="G66" s="22">
        <v>21300.821085243879</v>
      </c>
      <c r="H66" s="22">
        <v>21300.821085243879</v>
      </c>
      <c r="I66" s="22">
        <v>21300.821085243879</v>
      </c>
      <c r="J66" s="22">
        <v>21300.821085243879</v>
      </c>
      <c r="K66" s="22">
        <v>37538.164275057003</v>
      </c>
      <c r="L66" s="22">
        <v>65224.000837446169</v>
      </c>
      <c r="M66" s="22">
        <v>83435.545750961159</v>
      </c>
      <c r="N66" s="22">
        <v>93501.453581745984</v>
      </c>
      <c r="O66" s="22">
        <v>96981.724506883635</v>
      </c>
      <c r="P66" s="22">
        <v>96063.91778011719</v>
      </c>
      <c r="Q66" s="22">
        <v>90841.337192991967</v>
      </c>
      <c r="R66" s="22">
        <v>81121.559934407414</v>
      </c>
      <c r="S66" s="22">
        <v>64066.05966586712</v>
      </c>
      <c r="T66" s="22">
        <v>36754.974458058095</v>
      </c>
      <c r="U66" s="22">
        <v>85203.284340975515</v>
      </c>
      <c r="V66" s="22">
        <v>85203.284340975515</v>
      </c>
      <c r="W66" s="22">
        <v>85203.284340975515</v>
      </c>
      <c r="X66" s="22">
        <v>85203.284340975515</v>
      </c>
      <c r="Y66" s="22">
        <v>85203.284340975515</v>
      </c>
      <c r="Z66" s="22">
        <v>85203.284340975515</v>
      </c>
      <c r="AA66" s="23">
        <v>85203.284340975515</v>
      </c>
      <c r="AB66" s="96">
        <f t="shared" ref="AB66" si="21">+SUM(D66:AA66)*AC66+SUM(D67:AA67)*AC67+SUM(D68:AA68)*AC68</f>
        <v>44731724.279012159</v>
      </c>
      <c r="AC66" s="16">
        <v>22</v>
      </c>
      <c r="AD66" s="16">
        <f t="shared" si="1"/>
        <v>32803264.471275583</v>
      </c>
    </row>
    <row r="67" spans="1:30" ht="13.5" thickBot="1" x14ac:dyDescent="0.35">
      <c r="A67" s="18">
        <v>2027</v>
      </c>
      <c r="B67" s="19" t="s">
        <v>43</v>
      </c>
      <c r="C67" s="20" t="s">
        <v>50</v>
      </c>
      <c r="D67" s="21">
        <v>21300.821085243875</v>
      </c>
      <c r="E67" s="22">
        <v>21300.821085243875</v>
      </c>
      <c r="F67" s="22">
        <v>21300.821085243875</v>
      </c>
      <c r="G67" s="22">
        <v>21300.821085243875</v>
      </c>
      <c r="H67" s="22">
        <v>21300.821085243875</v>
      </c>
      <c r="I67" s="22">
        <v>21300.821085243875</v>
      </c>
      <c r="J67" s="22">
        <v>21300.821085243875</v>
      </c>
      <c r="K67" s="22">
        <v>37538.164275056995</v>
      </c>
      <c r="L67" s="22">
        <v>65224.000837446132</v>
      </c>
      <c r="M67" s="22">
        <v>83435.545750961159</v>
      </c>
      <c r="N67" s="22">
        <v>93501.453581745998</v>
      </c>
      <c r="O67" s="22">
        <v>96981.724506883591</v>
      </c>
      <c r="P67" s="22">
        <v>96063.917780117248</v>
      </c>
      <c r="Q67" s="22">
        <v>90841.337192991952</v>
      </c>
      <c r="R67" s="22">
        <v>81121.559934407356</v>
      </c>
      <c r="S67" s="22">
        <v>64066.059665867098</v>
      </c>
      <c r="T67" s="22">
        <v>36754.974458058081</v>
      </c>
      <c r="U67" s="22">
        <v>85203.284340975501</v>
      </c>
      <c r="V67" s="22">
        <v>85203.284340975501</v>
      </c>
      <c r="W67" s="22">
        <v>85203.284340975501</v>
      </c>
      <c r="X67" s="22">
        <v>85203.284340975501</v>
      </c>
      <c r="Y67" s="22">
        <v>85203.284340975501</v>
      </c>
      <c r="Z67" s="22">
        <v>85203.284340975501</v>
      </c>
      <c r="AA67" s="23">
        <v>85203.284340975501</v>
      </c>
      <c r="AB67" s="97"/>
      <c r="AC67" s="24">
        <v>4</v>
      </c>
      <c r="AD67" s="16">
        <f t="shared" si="1"/>
        <v>5964229.9038682869</v>
      </c>
    </row>
    <row r="68" spans="1:30" ht="13.5" thickBot="1" x14ac:dyDescent="0.35">
      <c r="A68" s="18">
        <v>2027</v>
      </c>
      <c r="B68" s="25" t="s">
        <v>43</v>
      </c>
      <c r="C68" s="26" t="s">
        <v>36</v>
      </c>
      <c r="D68" s="21">
        <v>21300.821085243875</v>
      </c>
      <c r="E68" s="22">
        <v>21300.821085243875</v>
      </c>
      <c r="F68" s="22">
        <v>21300.821085243875</v>
      </c>
      <c r="G68" s="22">
        <v>21300.821085243875</v>
      </c>
      <c r="H68" s="22">
        <v>21300.821085243875</v>
      </c>
      <c r="I68" s="22">
        <v>21300.821085243875</v>
      </c>
      <c r="J68" s="22">
        <v>21300.821085243875</v>
      </c>
      <c r="K68" s="22">
        <v>37538.164275056995</v>
      </c>
      <c r="L68" s="22">
        <v>65224.000837446132</v>
      </c>
      <c r="M68" s="22">
        <v>83435.545750961159</v>
      </c>
      <c r="N68" s="22">
        <v>93501.453581745998</v>
      </c>
      <c r="O68" s="22">
        <v>96981.724506883591</v>
      </c>
      <c r="P68" s="22">
        <v>96063.917780117248</v>
      </c>
      <c r="Q68" s="22">
        <v>90841.337192991952</v>
      </c>
      <c r="R68" s="22">
        <v>81121.559934407356</v>
      </c>
      <c r="S68" s="22">
        <v>64066.059665867098</v>
      </c>
      <c r="T68" s="22">
        <v>36754.974458058081</v>
      </c>
      <c r="U68" s="22">
        <v>85203.284340975501</v>
      </c>
      <c r="V68" s="22">
        <v>85203.284340975501</v>
      </c>
      <c r="W68" s="22">
        <v>85203.284340975501</v>
      </c>
      <c r="X68" s="22">
        <v>85203.284340975501</v>
      </c>
      <c r="Y68" s="22">
        <v>85203.284340975501</v>
      </c>
      <c r="Z68" s="22">
        <v>85203.284340975501</v>
      </c>
      <c r="AA68" s="23">
        <v>85203.284340975501</v>
      </c>
      <c r="AB68" s="97"/>
      <c r="AC68" s="27">
        <v>4</v>
      </c>
      <c r="AD68" s="16">
        <f t="shared" si="1"/>
        <v>5964229.9038682869</v>
      </c>
    </row>
    <row r="69" spans="1:30" ht="13.5" thickBot="1" x14ac:dyDescent="0.35">
      <c r="A69" s="18">
        <v>2027</v>
      </c>
      <c r="B69" s="11" t="s">
        <v>44</v>
      </c>
      <c r="C69" s="12" t="s">
        <v>33</v>
      </c>
      <c r="D69" s="21">
        <v>21300.821085243879</v>
      </c>
      <c r="E69" s="22">
        <v>21300.821085243879</v>
      </c>
      <c r="F69" s="22">
        <v>21300.821085243879</v>
      </c>
      <c r="G69" s="22">
        <v>21300.821085243879</v>
      </c>
      <c r="H69" s="22">
        <v>21300.821085243879</v>
      </c>
      <c r="I69" s="22">
        <v>21300.821085243879</v>
      </c>
      <c r="J69" s="22">
        <v>21300.821085243879</v>
      </c>
      <c r="K69" s="22">
        <v>37538.164275057003</v>
      </c>
      <c r="L69" s="22">
        <v>65224.000837446169</v>
      </c>
      <c r="M69" s="22">
        <v>83435.545750961159</v>
      </c>
      <c r="N69" s="22">
        <v>93501.453581745984</v>
      </c>
      <c r="O69" s="22">
        <v>96981.72450688362</v>
      </c>
      <c r="P69" s="22">
        <v>96063.917780117205</v>
      </c>
      <c r="Q69" s="22">
        <v>90841.337192991967</v>
      </c>
      <c r="R69" s="22">
        <v>81121.5599344074</v>
      </c>
      <c r="S69" s="22">
        <v>64066.059665867113</v>
      </c>
      <c r="T69" s="22">
        <v>36754.974458058088</v>
      </c>
      <c r="U69" s="22">
        <v>85203.284340975515</v>
      </c>
      <c r="V69" s="22">
        <v>85203.284340975515</v>
      </c>
      <c r="W69" s="22">
        <v>85203.284340975515</v>
      </c>
      <c r="X69" s="22">
        <v>85203.284340975515</v>
      </c>
      <c r="Y69" s="22">
        <v>85203.284340975515</v>
      </c>
      <c r="Z69" s="22">
        <v>85203.284340975515</v>
      </c>
      <c r="AA69" s="23">
        <v>85203.284340975515</v>
      </c>
      <c r="AB69" s="96">
        <f t="shared" ref="AB69" si="22">+SUM(D69:AA69)*AC69+SUM(D70:AA70)*AC70+SUM(D71:AA71)*AC71</f>
        <v>46222781.75497923</v>
      </c>
      <c r="AC69" s="16">
        <v>20</v>
      </c>
      <c r="AD69" s="16">
        <f t="shared" si="1"/>
        <v>29821149.519341439</v>
      </c>
    </row>
    <row r="70" spans="1:30" ht="13.5" thickBot="1" x14ac:dyDescent="0.35">
      <c r="A70" s="18">
        <v>2027</v>
      </c>
      <c r="B70" s="19" t="s">
        <v>44</v>
      </c>
      <c r="C70" s="20" t="s">
        <v>50</v>
      </c>
      <c r="D70" s="21">
        <v>21300.821085243875</v>
      </c>
      <c r="E70" s="22">
        <v>21300.821085243875</v>
      </c>
      <c r="F70" s="22">
        <v>21300.821085243875</v>
      </c>
      <c r="G70" s="22">
        <v>21300.821085243875</v>
      </c>
      <c r="H70" s="22">
        <v>21300.821085243875</v>
      </c>
      <c r="I70" s="22">
        <v>21300.821085243875</v>
      </c>
      <c r="J70" s="22">
        <v>21300.821085243875</v>
      </c>
      <c r="K70" s="22">
        <v>37538.164275056995</v>
      </c>
      <c r="L70" s="22">
        <v>65224.000837446132</v>
      </c>
      <c r="M70" s="22">
        <v>83435.545750961159</v>
      </c>
      <c r="N70" s="22">
        <v>93501.453581745998</v>
      </c>
      <c r="O70" s="22">
        <v>96981.724506883591</v>
      </c>
      <c r="P70" s="22">
        <v>96063.917780117248</v>
      </c>
      <c r="Q70" s="22">
        <v>90841.337192991952</v>
      </c>
      <c r="R70" s="22">
        <v>81121.559934407356</v>
      </c>
      <c r="S70" s="22">
        <v>64066.059665867106</v>
      </c>
      <c r="T70" s="22">
        <v>36754.974458058081</v>
      </c>
      <c r="U70" s="22">
        <v>85203.284340975501</v>
      </c>
      <c r="V70" s="22">
        <v>85203.284340975501</v>
      </c>
      <c r="W70" s="22">
        <v>85203.284340975501</v>
      </c>
      <c r="X70" s="22">
        <v>85203.284340975501</v>
      </c>
      <c r="Y70" s="22">
        <v>85203.284340975501</v>
      </c>
      <c r="Z70" s="22">
        <v>85203.284340975501</v>
      </c>
      <c r="AA70" s="23">
        <v>85203.284340975501</v>
      </c>
      <c r="AB70" s="97"/>
      <c r="AC70" s="24">
        <v>5</v>
      </c>
      <c r="AD70" s="16">
        <f t="shared" ref="AD70:AD133" si="23">+SUM(D70:AA70)*AC70</f>
        <v>7455287.3798353588</v>
      </c>
    </row>
    <row r="71" spans="1:30" ht="13.5" thickBot="1" x14ac:dyDescent="0.35">
      <c r="A71" s="18">
        <v>2027</v>
      </c>
      <c r="B71" s="25" t="s">
        <v>44</v>
      </c>
      <c r="C71" s="26" t="s">
        <v>36</v>
      </c>
      <c r="D71" s="21">
        <v>21300.821085243875</v>
      </c>
      <c r="E71" s="22">
        <v>21300.821085243875</v>
      </c>
      <c r="F71" s="22">
        <v>21300.821085243875</v>
      </c>
      <c r="G71" s="22">
        <v>21300.821085243875</v>
      </c>
      <c r="H71" s="22">
        <v>21300.821085243875</v>
      </c>
      <c r="I71" s="22">
        <v>21300.821085243875</v>
      </c>
      <c r="J71" s="22">
        <v>21300.821085243875</v>
      </c>
      <c r="K71" s="22">
        <v>37538.164275056995</v>
      </c>
      <c r="L71" s="22">
        <v>65224.000837446132</v>
      </c>
      <c r="M71" s="22">
        <v>83435.545750961159</v>
      </c>
      <c r="N71" s="22">
        <v>93501.453581745984</v>
      </c>
      <c r="O71" s="22">
        <v>96981.724506883591</v>
      </c>
      <c r="P71" s="22">
        <v>96063.917780117248</v>
      </c>
      <c r="Q71" s="22">
        <v>90841.337192991967</v>
      </c>
      <c r="R71" s="22">
        <v>81121.559934407356</v>
      </c>
      <c r="S71" s="22">
        <v>64066.059665867106</v>
      </c>
      <c r="T71" s="22">
        <v>36754.974458058081</v>
      </c>
      <c r="U71" s="22">
        <v>85203.284340975501</v>
      </c>
      <c r="V71" s="22">
        <v>85203.284340975501</v>
      </c>
      <c r="W71" s="22">
        <v>85203.284340975501</v>
      </c>
      <c r="X71" s="22">
        <v>85203.284340975501</v>
      </c>
      <c r="Y71" s="22">
        <v>85203.284340975501</v>
      </c>
      <c r="Z71" s="22">
        <v>85203.284340975501</v>
      </c>
      <c r="AA71" s="23">
        <v>85203.284340975501</v>
      </c>
      <c r="AB71" s="97"/>
      <c r="AC71" s="27">
        <v>6</v>
      </c>
      <c r="AD71" s="16">
        <f t="shared" si="23"/>
        <v>8946344.8558024298</v>
      </c>
    </row>
    <row r="72" spans="1:30" ht="13.5" thickBot="1" x14ac:dyDescent="0.35">
      <c r="A72" s="18">
        <v>2027</v>
      </c>
      <c r="B72" s="11" t="s">
        <v>45</v>
      </c>
      <c r="C72" s="12" t="s">
        <v>33</v>
      </c>
      <c r="D72" s="21">
        <v>21300.821085243879</v>
      </c>
      <c r="E72" s="22">
        <v>21300.821085243879</v>
      </c>
      <c r="F72" s="22">
        <v>21300.821085243879</v>
      </c>
      <c r="G72" s="22">
        <v>21300.821085243879</v>
      </c>
      <c r="H72" s="22">
        <v>21300.821085243879</v>
      </c>
      <c r="I72" s="22">
        <v>21300.821085243879</v>
      </c>
      <c r="J72" s="22">
        <v>21300.821085243879</v>
      </c>
      <c r="K72" s="22">
        <v>37538.164275057003</v>
      </c>
      <c r="L72" s="22">
        <v>65224.000837446169</v>
      </c>
      <c r="M72" s="22">
        <v>83435.545750961159</v>
      </c>
      <c r="N72" s="22">
        <v>93501.453581745984</v>
      </c>
      <c r="O72" s="22">
        <v>96981.72450688362</v>
      </c>
      <c r="P72" s="22">
        <v>96063.917780117205</v>
      </c>
      <c r="Q72" s="22">
        <v>90841.337192991967</v>
      </c>
      <c r="R72" s="22">
        <v>81121.5599344074</v>
      </c>
      <c r="S72" s="22">
        <v>64066.059665867113</v>
      </c>
      <c r="T72" s="22">
        <v>36754.974458058088</v>
      </c>
      <c r="U72" s="22">
        <v>85203.284340975515</v>
      </c>
      <c r="V72" s="22">
        <v>85203.284340975515</v>
      </c>
      <c r="W72" s="22">
        <v>85203.284340975515</v>
      </c>
      <c r="X72" s="22">
        <v>85203.284340975515</v>
      </c>
      <c r="Y72" s="22">
        <v>85203.284340975515</v>
      </c>
      <c r="Z72" s="22">
        <v>85203.284340975515</v>
      </c>
      <c r="AA72" s="23">
        <v>85203.284340975515</v>
      </c>
      <c r="AB72" s="96">
        <f t="shared" ref="AB72" si="24">+SUM(D72:AA72)*AC72+SUM(D73:AA73)*AC73+SUM(D74:AA74)*AC74</f>
        <v>44731724.279012159</v>
      </c>
      <c r="AC72" s="16">
        <v>20</v>
      </c>
      <c r="AD72" s="16">
        <f t="shared" si="23"/>
        <v>29821149.519341439</v>
      </c>
    </row>
    <row r="73" spans="1:30" ht="13.5" thickBot="1" x14ac:dyDescent="0.35">
      <c r="A73" s="18">
        <v>2027</v>
      </c>
      <c r="B73" s="19" t="s">
        <v>45</v>
      </c>
      <c r="C73" s="20" t="s">
        <v>50</v>
      </c>
      <c r="D73" s="21">
        <v>21300.821085243875</v>
      </c>
      <c r="E73" s="22">
        <v>21300.821085243875</v>
      </c>
      <c r="F73" s="22">
        <v>21300.821085243875</v>
      </c>
      <c r="G73" s="22">
        <v>21300.821085243875</v>
      </c>
      <c r="H73" s="22">
        <v>21300.821085243875</v>
      </c>
      <c r="I73" s="22">
        <v>21300.821085243875</v>
      </c>
      <c r="J73" s="22">
        <v>21300.821085243875</v>
      </c>
      <c r="K73" s="22">
        <v>37538.164275056995</v>
      </c>
      <c r="L73" s="22">
        <v>65224.000837446132</v>
      </c>
      <c r="M73" s="22">
        <v>83435.545750961159</v>
      </c>
      <c r="N73" s="22">
        <v>93501.453581745998</v>
      </c>
      <c r="O73" s="22">
        <v>96981.724506883591</v>
      </c>
      <c r="P73" s="22">
        <v>96063.917780117248</v>
      </c>
      <c r="Q73" s="22">
        <v>90841.337192991952</v>
      </c>
      <c r="R73" s="22">
        <v>81121.559934407356</v>
      </c>
      <c r="S73" s="22">
        <v>64066.059665867098</v>
      </c>
      <c r="T73" s="22">
        <v>36754.974458058081</v>
      </c>
      <c r="U73" s="22">
        <v>85203.284340975501</v>
      </c>
      <c r="V73" s="22">
        <v>85203.284340975501</v>
      </c>
      <c r="W73" s="22">
        <v>85203.284340975501</v>
      </c>
      <c r="X73" s="22">
        <v>85203.284340975501</v>
      </c>
      <c r="Y73" s="22">
        <v>85203.284340975501</v>
      </c>
      <c r="Z73" s="22">
        <v>85203.284340975501</v>
      </c>
      <c r="AA73" s="23">
        <v>85203.284340975501</v>
      </c>
      <c r="AB73" s="97"/>
      <c r="AC73" s="24">
        <v>4</v>
      </c>
      <c r="AD73" s="16">
        <f t="shared" si="23"/>
        <v>5964229.9038682869</v>
      </c>
    </row>
    <row r="74" spans="1:30" ht="13.5" thickBot="1" x14ac:dyDescent="0.35">
      <c r="A74" s="18">
        <v>2027</v>
      </c>
      <c r="B74" s="25" t="s">
        <v>45</v>
      </c>
      <c r="C74" s="26" t="s">
        <v>36</v>
      </c>
      <c r="D74" s="21">
        <v>21300.821085243875</v>
      </c>
      <c r="E74" s="22">
        <v>21300.821085243875</v>
      </c>
      <c r="F74" s="22">
        <v>21300.821085243875</v>
      </c>
      <c r="G74" s="22">
        <v>21300.821085243875</v>
      </c>
      <c r="H74" s="22">
        <v>21300.821085243875</v>
      </c>
      <c r="I74" s="22">
        <v>21300.821085243875</v>
      </c>
      <c r="J74" s="22">
        <v>21300.821085243875</v>
      </c>
      <c r="K74" s="22">
        <v>37538.164275056995</v>
      </c>
      <c r="L74" s="22">
        <v>65224.000837446132</v>
      </c>
      <c r="M74" s="22">
        <v>83435.545750961159</v>
      </c>
      <c r="N74" s="22">
        <v>93501.453581745984</v>
      </c>
      <c r="O74" s="22">
        <v>96981.724506883591</v>
      </c>
      <c r="P74" s="22">
        <v>96063.917780117248</v>
      </c>
      <c r="Q74" s="22">
        <v>90841.337192991967</v>
      </c>
      <c r="R74" s="22">
        <v>81121.559934407356</v>
      </c>
      <c r="S74" s="22">
        <v>64066.059665867106</v>
      </c>
      <c r="T74" s="22">
        <v>36754.974458058081</v>
      </c>
      <c r="U74" s="22">
        <v>85203.284340975501</v>
      </c>
      <c r="V74" s="22">
        <v>85203.284340975501</v>
      </c>
      <c r="W74" s="22">
        <v>85203.284340975501</v>
      </c>
      <c r="X74" s="22">
        <v>85203.284340975501</v>
      </c>
      <c r="Y74" s="22">
        <v>85203.284340975501</v>
      </c>
      <c r="Z74" s="22">
        <v>85203.284340975501</v>
      </c>
      <c r="AA74" s="23">
        <v>85203.284340975501</v>
      </c>
      <c r="AB74" s="97"/>
      <c r="AC74" s="27">
        <v>6</v>
      </c>
      <c r="AD74" s="16">
        <f t="shared" si="23"/>
        <v>8946344.8558024298</v>
      </c>
    </row>
    <row r="75" spans="1:30" ht="13.5" thickBot="1" x14ac:dyDescent="0.35">
      <c r="A75" s="18">
        <v>2027</v>
      </c>
      <c r="B75" s="11" t="s">
        <v>46</v>
      </c>
      <c r="C75" s="12" t="s">
        <v>33</v>
      </c>
      <c r="D75" s="21">
        <v>21300.821085243879</v>
      </c>
      <c r="E75" s="22">
        <v>21300.821085243879</v>
      </c>
      <c r="F75" s="22">
        <v>21300.821085243879</v>
      </c>
      <c r="G75" s="22">
        <v>21300.821085243879</v>
      </c>
      <c r="H75" s="22">
        <v>21300.821085243879</v>
      </c>
      <c r="I75" s="22">
        <v>21300.821085243879</v>
      </c>
      <c r="J75" s="22">
        <v>21300.821085243879</v>
      </c>
      <c r="K75" s="22">
        <v>37538.164275057003</v>
      </c>
      <c r="L75" s="22">
        <v>65224.000837446169</v>
      </c>
      <c r="M75" s="22">
        <v>83435.545750961159</v>
      </c>
      <c r="N75" s="22">
        <v>93501.453581745984</v>
      </c>
      <c r="O75" s="22">
        <v>96981.724506883635</v>
      </c>
      <c r="P75" s="22">
        <v>96063.91778011719</v>
      </c>
      <c r="Q75" s="22">
        <v>90841.337192991967</v>
      </c>
      <c r="R75" s="22">
        <v>81121.559934407414</v>
      </c>
      <c r="S75" s="22">
        <v>64066.05966586712</v>
      </c>
      <c r="T75" s="22">
        <v>36754.974458058095</v>
      </c>
      <c r="U75" s="22">
        <v>85203.284340975515</v>
      </c>
      <c r="V75" s="22">
        <v>85203.284340975515</v>
      </c>
      <c r="W75" s="22">
        <v>85203.284340975515</v>
      </c>
      <c r="X75" s="22">
        <v>85203.284340975515</v>
      </c>
      <c r="Y75" s="22">
        <v>85203.284340975515</v>
      </c>
      <c r="Z75" s="22">
        <v>85203.284340975515</v>
      </c>
      <c r="AA75" s="23">
        <v>85203.284340975515</v>
      </c>
      <c r="AB75" s="96">
        <f t="shared" ref="AB75" si="25">+SUM(D75:AA75)*AC75+SUM(D76:AA76)*AC76+SUM(D77:AA77)*AC77</f>
        <v>46222781.75497923</v>
      </c>
      <c r="AC75" s="16">
        <v>22</v>
      </c>
      <c r="AD75" s="16">
        <f t="shared" si="23"/>
        <v>32803264.471275583</v>
      </c>
    </row>
    <row r="76" spans="1:30" ht="13.5" thickBot="1" x14ac:dyDescent="0.35">
      <c r="A76" s="18">
        <v>2027</v>
      </c>
      <c r="B76" s="19" t="s">
        <v>46</v>
      </c>
      <c r="C76" s="20" t="s">
        <v>50</v>
      </c>
      <c r="D76" s="21">
        <v>21300.821085243875</v>
      </c>
      <c r="E76" s="22">
        <v>21300.821085243875</v>
      </c>
      <c r="F76" s="22">
        <v>21300.821085243875</v>
      </c>
      <c r="G76" s="22">
        <v>21300.821085243875</v>
      </c>
      <c r="H76" s="22">
        <v>21300.821085243875</v>
      </c>
      <c r="I76" s="22">
        <v>21300.821085243875</v>
      </c>
      <c r="J76" s="22">
        <v>21300.821085243875</v>
      </c>
      <c r="K76" s="22">
        <v>37538.164275056995</v>
      </c>
      <c r="L76" s="22">
        <v>65224.000837446132</v>
      </c>
      <c r="M76" s="22">
        <v>83435.545750961159</v>
      </c>
      <c r="N76" s="22">
        <v>93501.453581746013</v>
      </c>
      <c r="O76" s="22">
        <v>96981.724506883591</v>
      </c>
      <c r="P76" s="22">
        <v>96063.917780117248</v>
      </c>
      <c r="Q76" s="22">
        <v>90841.337192991938</v>
      </c>
      <c r="R76" s="22">
        <v>81121.559934407356</v>
      </c>
      <c r="S76" s="22">
        <v>64066.059665867098</v>
      </c>
      <c r="T76" s="22">
        <v>36754.974458058081</v>
      </c>
      <c r="U76" s="22">
        <v>85203.284340975501</v>
      </c>
      <c r="V76" s="22">
        <v>85203.284340975501</v>
      </c>
      <c r="W76" s="22">
        <v>85203.284340975501</v>
      </c>
      <c r="X76" s="22">
        <v>85203.284340975501</v>
      </c>
      <c r="Y76" s="22">
        <v>85203.284340975501</v>
      </c>
      <c r="Z76" s="22">
        <v>85203.284340975501</v>
      </c>
      <c r="AA76" s="23">
        <v>85203.284340975501</v>
      </c>
      <c r="AB76" s="97"/>
      <c r="AC76" s="24">
        <v>3</v>
      </c>
      <c r="AD76" s="16">
        <f t="shared" si="23"/>
        <v>4473172.4279012149</v>
      </c>
    </row>
    <row r="77" spans="1:30" ht="13.5" thickBot="1" x14ac:dyDescent="0.35">
      <c r="A77" s="28">
        <v>2027</v>
      </c>
      <c r="B77" s="25" t="s">
        <v>46</v>
      </c>
      <c r="C77" s="26" t="s">
        <v>36</v>
      </c>
      <c r="D77" s="29">
        <v>21300.821085243875</v>
      </c>
      <c r="E77" s="30">
        <v>21300.821085243875</v>
      </c>
      <c r="F77" s="30">
        <v>21300.821085243875</v>
      </c>
      <c r="G77" s="30">
        <v>21300.821085243875</v>
      </c>
      <c r="H77" s="30">
        <v>21300.821085243875</v>
      </c>
      <c r="I77" s="30">
        <v>21300.821085243875</v>
      </c>
      <c r="J77" s="30">
        <v>21300.821085243875</v>
      </c>
      <c r="K77" s="30">
        <v>37538.164275056995</v>
      </c>
      <c r="L77" s="30">
        <v>65224.000837446132</v>
      </c>
      <c r="M77" s="30">
        <v>83435.545750961159</v>
      </c>
      <c r="N77" s="30">
        <v>93501.453581745984</v>
      </c>
      <c r="O77" s="30">
        <v>96981.724506883591</v>
      </c>
      <c r="P77" s="30">
        <v>96063.917780117248</v>
      </c>
      <c r="Q77" s="30">
        <v>90841.337192991967</v>
      </c>
      <c r="R77" s="30">
        <v>81121.559934407356</v>
      </c>
      <c r="S77" s="30">
        <v>64066.059665867106</v>
      </c>
      <c r="T77" s="30">
        <v>36754.974458058081</v>
      </c>
      <c r="U77" s="30">
        <v>85203.284340975501</v>
      </c>
      <c r="V77" s="30">
        <v>85203.284340975501</v>
      </c>
      <c r="W77" s="30">
        <v>85203.284340975501</v>
      </c>
      <c r="X77" s="30">
        <v>85203.284340975501</v>
      </c>
      <c r="Y77" s="30">
        <v>85203.284340975501</v>
      </c>
      <c r="Z77" s="30">
        <v>85203.284340975501</v>
      </c>
      <c r="AA77" s="31">
        <v>85203.284340975501</v>
      </c>
      <c r="AB77" s="97"/>
      <c r="AC77" s="27">
        <v>6</v>
      </c>
      <c r="AD77" s="42">
        <f t="shared" si="23"/>
        <v>8946344.8558024298</v>
      </c>
    </row>
    <row r="78" spans="1:30" ht="13.5" thickBot="1" x14ac:dyDescent="0.35">
      <c r="A78" s="10">
        <v>2028</v>
      </c>
      <c r="B78" s="11" t="s">
        <v>32</v>
      </c>
      <c r="C78" s="12" t="s">
        <v>33</v>
      </c>
      <c r="D78" s="13">
        <v>22368.826267824203</v>
      </c>
      <c r="E78" s="14">
        <v>22368.826267824203</v>
      </c>
      <c r="F78" s="14">
        <v>22368.826267824203</v>
      </c>
      <c r="G78" s="14">
        <v>22368.826267824203</v>
      </c>
      <c r="H78" s="14">
        <v>22368.826267824203</v>
      </c>
      <c r="I78" s="14">
        <v>22368.826267824203</v>
      </c>
      <c r="J78" s="14">
        <v>22368.826267824203</v>
      </c>
      <c r="K78" s="14">
        <v>39420.296134193886</v>
      </c>
      <c r="L78" s="14">
        <v>68494.277163614257</v>
      </c>
      <c r="M78" s="14">
        <v>87618.933561075915</v>
      </c>
      <c r="N78" s="14">
        <v>98189.537510739567</v>
      </c>
      <c r="O78" s="14">
        <v>101844.30628128673</v>
      </c>
      <c r="P78" s="14">
        <v>100880.48150024582</v>
      </c>
      <c r="Q78" s="14">
        <v>95396.045132483137</v>
      </c>
      <c r="R78" s="14">
        <v>85188.926449633655</v>
      </c>
      <c r="S78" s="14">
        <v>67278.277799469739</v>
      </c>
      <c r="T78" s="14">
        <v>38597.837841104243</v>
      </c>
      <c r="U78" s="14">
        <v>89475.305071296811</v>
      </c>
      <c r="V78" s="14">
        <v>89475.305071296811</v>
      </c>
      <c r="W78" s="14">
        <v>89475.305071296811</v>
      </c>
      <c r="X78" s="14">
        <v>89475.305071296811</v>
      </c>
      <c r="Y78" s="14">
        <v>89475.305071296811</v>
      </c>
      <c r="Z78" s="14">
        <v>89475.305071296811</v>
      </c>
      <c r="AA78" s="15">
        <v>89475.305071296811</v>
      </c>
      <c r="AB78" s="96">
        <f t="shared" ref="AB78" si="26">+SUM(D78:AA78)*AC78+SUM(D79:AA79)*AC79+SUM(D80:AA80)*AC80</f>
        <v>48540353.001178518</v>
      </c>
      <c r="AC78" s="16">
        <v>20</v>
      </c>
      <c r="AD78" s="16">
        <f t="shared" si="23"/>
        <v>31316356.774953887</v>
      </c>
    </row>
    <row r="79" spans="1:30" ht="13.5" thickBot="1" x14ac:dyDescent="0.35">
      <c r="A79" s="18">
        <v>2028</v>
      </c>
      <c r="B79" s="19" t="s">
        <v>32</v>
      </c>
      <c r="C79" s="20" t="s">
        <v>50</v>
      </c>
      <c r="D79" s="21">
        <v>22368.826267824192</v>
      </c>
      <c r="E79" s="22">
        <v>22368.826267824192</v>
      </c>
      <c r="F79" s="22">
        <v>22368.826267824192</v>
      </c>
      <c r="G79" s="22">
        <v>22368.826267824192</v>
      </c>
      <c r="H79" s="22">
        <v>22368.826267824192</v>
      </c>
      <c r="I79" s="22">
        <v>22368.826267824192</v>
      </c>
      <c r="J79" s="22">
        <v>22368.826267824192</v>
      </c>
      <c r="K79" s="22">
        <v>39420.296134193886</v>
      </c>
      <c r="L79" s="22">
        <v>68494.277163614242</v>
      </c>
      <c r="M79" s="22">
        <v>87618.933561075886</v>
      </c>
      <c r="N79" s="22">
        <v>98189.537510739523</v>
      </c>
      <c r="O79" s="22">
        <v>101844.3062812867</v>
      </c>
      <c r="P79" s="22">
        <v>100880.48150024579</v>
      </c>
      <c r="Q79" s="22">
        <v>95396.045132483152</v>
      </c>
      <c r="R79" s="22">
        <v>85188.92644963364</v>
      </c>
      <c r="S79" s="22">
        <v>67278.277799469739</v>
      </c>
      <c r="T79" s="22">
        <v>38597.837841104236</v>
      </c>
      <c r="U79" s="22">
        <v>89475.305071296767</v>
      </c>
      <c r="V79" s="22">
        <v>89475.305071296767</v>
      </c>
      <c r="W79" s="22">
        <v>89475.305071296767</v>
      </c>
      <c r="X79" s="22">
        <v>89475.305071296767</v>
      </c>
      <c r="Y79" s="22">
        <v>89475.305071296767</v>
      </c>
      <c r="Z79" s="22">
        <v>89475.305071296767</v>
      </c>
      <c r="AA79" s="23">
        <v>89475.305071296767</v>
      </c>
      <c r="AB79" s="97"/>
      <c r="AC79" s="24">
        <v>4</v>
      </c>
      <c r="AD79" s="16">
        <f t="shared" si="23"/>
        <v>6263271.3549907757</v>
      </c>
    </row>
    <row r="80" spans="1:30" ht="13.5" thickBot="1" x14ac:dyDescent="0.35">
      <c r="A80" s="18">
        <v>2028</v>
      </c>
      <c r="B80" s="25" t="s">
        <v>32</v>
      </c>
      <c r="C80" s="26" t="s">
        <v>36</v>
      </c>
      <c r="D80" s="21">
        <v>22368.826267824192</v>
      </c>
      <c r="E80" s="22">
        <v>22368.826267824192</v>
      </c>
      <c r="F80" s="22">
        <v>22368.826267824192</v>
      </c>
      <c r="G80" s="22">
        <v>22368.826267824192</v>
      </c>
      <c r="H80" s="22">
        <v>22368.826267824192</v>
      </c>
      <c r="I80" s="22">
        <v>22368.826267824192</v>
      </c>
      <c r="J80" s="22">
        <v>22368.826267824192</v>
      </c>
      <c r="K80" s="22">
        <v>39420.296134193886</v>
      </c>
      <c r="L80" s="22">
        <v>68494.277163614242</v>
      </c>
      <c r="M80" s="22">
        <v>87618.933561075872</v>
      </c>
      <c r="N80" s="22">
        <v>98189.537510739523</v>
      </c>
      <c r="O80" s="22">
        <v>101844.30628128668</v>
      </c>
      <c r="P80" s="22">
        <v>100880.48150024578</v>
      </c>
      <c r="Q80" s="22">
        <v>95396.045132483137</v>
      </c>
      <c r="R80" s="22">
        <v>85188.926449633655</v>
      </c>
      <c r="S80" s="22">
        <v>67278.277799469754</v>
      </c>
      <c r="T80" s="22">
        <v>38597.837841104243</v>
      </c>
      <c r="U80" s="22">
        <v>89475.305071296767</v>
      </c>
      <c r="V80" s="22">
        <v>89475.305071296767</v>
      </c>
      <c r="W80" s="22">
        <v>89475.305071296767</v>
      </c>
      <c r="X80" s="22">
        <v>89475.305071296767</v>
      </c>
      <c r="Y80" s="22">
        <v>89475.305071296767</v>
      </c>
      <c r="Z80" s="22">
        <v>89475.305071296767</v>
      </c>
      <c r="AA80" s="23">
        <v>89475.305071296767</v>
      </c>
      <c r="AB80" s="97"/>
      <c r="AC80" s="27">
        <v>7</v>
      </c>
      <c r="AD80" s="16">
        <f t="shared" si="23"/>
        <v>10960724.871233858</v>
      </c>
    </row>
    <row r="81" spans="1:30" ht="13.5" thickBot="1" x14ac:dyDescent="0.35">
      <c r="A81" s="18">
        <v>2028</v>
      </c>
      <c r="B81" s="11" t="s">
        <v>35</v>
      </c>
      <c r="C81" s="12" t="s">
        <v>33</v>
      </c>
      <c r="D81" s="21">
        <v>22368.826267824203</v>
      </c>
      <c r="E81" s="22">
        <v>22368.826267824203</v>
      </c>
      <c r="F81" s="22">
        <v>22368.826267824203</v>
      </c>
      <c r="G81" s="22">
        <v>22368.826267824203</v>
      </c>
      <c r="H81" s="22">
        <v>22368.826267824203</v>
      </c>
      <c r="I81" s="22">
        <v>22368.826267824203</v>
      </c>
      <c r="J81" s="22">
        <v>22368.826267824203</v>
      </c>
      <c r="K81" s="22">
        <v>39420.296134193886</v>
      </c>
      <c r="L81" s="22">
        <v>68494.277163614257</v>
      </c>
      <c r="M81" s="22">
        <v>87618.933561075915</v>
      </c>
      <c r="N81" s="22">
        <v>98189.537510739567</v>
      </c>
      <c r="O81" s="22">
        <v>101844.30628128673</v>
      </c>
      <c r="P81" s="22">
        <v>100880.48150024581</v>
      </c>
      <c r="Q81" s="22">
        <v>95396.045132483137</v>
      </c>
      <c r="R81" s="22">
        <v>85188.926449633655</v>
      </c>
      <c r="S81" s="22">
        <v>67278.277799469724</v>
      </c>
      <c r="T81" s="22">
        <v>38597.837841104243</v>
      </c>
      <c r="U81" s="22">
        <v>89475.305071296811</v>
      </c>
      <c r="V81" s="22">
        <v>89475.305071296811</v>
      </c>
      <c r="W81" s="22">
        <v>89475.305071296811</v>
      </c>
      <c r="X81" s="22">
        <v>89475.305071296811</v>
      </c>
      <c r="Y81" s="22">
        <v>89475.305071296811</v>
      </c>
      <c r="Z81" s="22">
        <v>89475.305071296811</v>
      </c>
      <c r="AA81" s="23">
        <v>89475.305071296811</v>
      </c>
      <c r="AB81" s="96">
        <f t="shared" ref="AB81" si="27">+SUM(D81:AA81)*AC81+SUM(D82:AA82)*AC82+SUM(D83:AA83)*AC83</f>
        <v>45408717.323683128</v>
      </c>
      <c r="AC81" s="16">
        <v>21</v>
      </c>
      <c r="AD81" s="16">
        <f t="shared" si="23"/>
        <v>32882174.613701582</v>
      </c>
    </row>
    <row r="82" spans="1:30" ht="13.5" thickBot="1" x14ac:dyDescent="0.35">
      <c r="A82" s="18">
        <v>2028</v>
      </c>
      <c r="B82" s="19" t="s">
        <v>35</v>
      </c>
      <c r="C82" s="20" t="s">
        <v>50</v>
      </c>
      <c r="D82" s="21">
        <v>22368.826267824192</v>
      </c>
      <c r="E82" s="22">
        <v>22368.826267824192</v>
      </c>
      <c r="F82" s="22">
        <v>22368.826267824192</v>
      </c>
      <c r="G82" s="22">
        <v>22368.826267824192</v>
      </c>
      <c r="H82" s="22">
        <v>22368.826267824192</v>
      </c>
      <c r="I82" s="22">
        <v>22368.826267824192</v>
      </c>
      <c r="J82" s="22">
        <v>22368.826267824192</v>
      </c>
      <c r="K82" s="22">
        <v>39420.296134193886</v>
      </c>
      <c r="L82" s="22">
        <v>68494.277163614242</v>
      </c>
      <c r="M82" s="22">
        <v>87618.933561075886</v>
      </c>
      <c r="N82" s="22">
        <v>98189.537510739523</v>
      </c>
      <c r="O82" s="22">
        <v>101844.3062812867</v>
      </c>
      <c r="P82" s="22">
        <v>100880.48150024579</v>
      </c>
      <c r="Q82" s="22">
        <v>95396.045132483152</v>
      </c>
      <c r="R82" s="22">
        <v>85188.92644963364</v>
      </c>
      <c r="S82" s="22">
        <v>67278.277799469739</v>
      </c>
      <c r="T82" s="22">
        <v>38597.837841104236</v>
      </c>
      <c r="U82" s="22">
        <v>89475.305071296767</v>
      </c>
      <c r="V82" s="22">
        <v>89475.305071296767</v>
      </c>
      <c r="W82" s="22">
        <v>89475.305071296767</v>
      </c>
      <c r="X82" s="22">
        <v>89475.305071296767</v>
      </c>
      <c r="Y82" s="22">
        <v>89475.305071296767</v>
      </c>
      <c r="Z82" s="22">
        <v>89475.305071296767</v>
      </c>
      <c r="AA82" s="23">
        <v>89475.305071296767</v>
      </c>
      <c r="AB82" s="97"/>
      <c r="AC82" s="24">
        <v>4</v>
      </c>
      <c r="AD82" s="16">
        <f t="shared" si="23"/>
        <v>6263271.3549907757</v>
      </c>
    </row>
    <row r="83" spans="1:30" ht="13.5" thickBot="1" x14ac:dyDescent="0.35">
      <c r="A83" s="18">
        <v>2028</v>
      </c>
      <c r="B83" s="25" t="s">
        <v>35</v>
      </c>
      <c r="C83" s="26" t="s">
        <v>36</v>
      </c>
      <c r="D83" s="21">
        <v>22368.826267824192</v>
      </c>
      <c r="E83" s="22">
        <v>22368.826267824192</v>
      </c>
      <c r="F83" s="22">
        <v>22368.826267824192</v>
      </c>
      <c r="G83" s="22">
        <v>22368.826267824192</v>
      </c>
      <c r="H83" s="22">
        <v>22368.826267824192</v>
      </c>
      <c r="I83" s="22">
        <v>22368.826267824192</v>
      </c>
      <c r="J83" s="22">
        <v>22368.826267824192</v>
      </c>
      <c r="K83" s="22">
        <v>39420.296134193886</v>
      </c>
      <c r="L83" s="22">
        <v>68494.277163614242</v>
      </c>
      <c r="M83" s="22">
        <v>87618.933561075886</v>
      </c>
      <c r="N83" s="22">
        <v>98189.537510739523</v>
      </c>
      <c r="O83" s="22">
        <v>101844.3062812867</v>
      </c>
      <c r="P83" s="22">
        <v>100880.48150024579</v>
      </c>
      <c r="Q83" s="22">
        <v>95396.045132483152</v>
      </c>
      <c r="R83" s="22">
        <v>85188.92644963364</v>
      </c>
      <c r="S83" s="22">
        <v>67278.277799469739</v>
      </c>
      <c r="T83" s="22">
        <v>38597.837841104236</v>
      </c>
      <c r="U83" s="22">
        <v>89475.305071296767</v>
      </c>
      <c r="V83" s="22">
        <v>89475.305071296767</v>
      </c>
      <c r="W83" s="22">
        <v>89475.305071296767</v>
      </c>
      <c r="X83" s="22">
        <v>89475.305071296767</v>
      </c>
      <c r="Y83" s="22">
        <v>89475.305071296767</v>
      </c>
      <c r="Z83" s="22">
        <v>89475.305071296767</v>
      </c>
      <c r="AA83" s="23">
        <v>89475.305071296767</v>
      </c>
      <c r="AB83" s="97"/>
      <c r="AC83" s="27">
        <v>4</v>
      </c>
      <c r="AD83" s="16">
        <f t="shared" si="23"/>
        <v>6263271.3549907757</v>
      </c>
    </row>
    <row r="84" spans="1:30" ht="13.5" thickBot="1" x14ac:dyDescent="0.35">
      <c r="A84" s="18">
        <v>2028</v>
      </c>
      <c r="B84" s="11" t="s">
        <v>37</v>
      </c>
      <c r="C84" s="12" t="s">
        <v>33</v>
      </c>
      <c r="D84" s="21">
        <v>22368.826267824203</v>
      </c>
      <c r="E84" s="22">
        <v>22368.826267824203</v>
      </c>
      <c r="F84" s="22">
        <v>22368.826267824203</v>
      </c>
      <c r="G84" s="22">
        <v>22368.826267824203</v>
      </c>
      <c r="H84" s="22">
        <v>22368.826267824203</v>
      </c>
      <c r="I84" s="22">
        <v>22368.826267824203</v>
      </c>
      <c r="J84" s="22">
        <v>22368.826267824203</v>
      </c>
      <c r="K84" s="22">
        <v>39420.296134193886</v>
      </c>
      <c r="L84" s="22">
        <v>68494.277163614272</v>
      </c>
      <c r="M84" s="22">
        <v>87618.93356107593</v>
      </c>
      <c r="N84" s="22">
        <v>98189.537510739581</v>
      </c>
      <c r="O84" s="22">
        <v>101844.30628128674</v>
      </c>
      <c r="P84" s="22">
        <v>100880.48150024581</v>
      </c>
      <c r="Q84" s="22">
        <v>95396.045132483137</v>
      </c>
      <c r="R84" s="22">
        <v>85188.926449633655</v>
      </c>
      <c r="S84" s="22">
        <v>67278.277799469724</v>
      </c>
      <c r="T84" s="22">
        <v>38597.837841104243</v>
      </c>
      <c r="U84" s="22">
        <v>89475.305071296811</v>
      </c>
      <c r="V84" s="22">
        <v>89475.305071296811</v>
      </c>
      <c r="W84" s="22">
        <v>89475.305071296811</v>
      </c>
      <c r="X84" s="22">
        <v>89475.305071296811</v>
      </c>
      <c r="Y84" s="22">
        <v>89475.305071296811</v>
      </c>
      <c r="Z84" s="22">
        <v>89475.305071296811</v>
      </c>
      <c r="AA84" s="23">
        <v>89475.305071296811</v>
      </c>
      <c r="AB84" s="96">
        <f t="shared" ref="AB84" si="28">+SUM(D84:AA84)*AC84+SUM(D85:AA85)*AC85+SUM(D86:AA86)*AC86</f>
        <v>48540353.001178518</v>
      </c>
      <c r="AC84" s="16">
        <v>22</v>
      </c>
      <c r="AD84" s="16">
        <f t="shared" si="23"/>
        <v>34447992.452449277</v>
      </c>
    </row>
    <row r="85" spans="1:30" ht="13.5" thickBot="1" x14ac:dyDescent="0.35">
      <c r="A85" s="18">
        <v>2028</v>
      </c>
      <c r="B85" s="19" t="s">
        <v>37</v>
      </c>
      <c r="C85" s="20" t="s">
        <v>50</v>
      </c>
      <c r="D85" s="21">
        <v>22368.826267824192</v>
      </c>
      <c r="E85" s="22">
        <v>22368.826267824192</v>
      </c>
      <c r="F85" s="22">
        <v>22368.826267824192</v>
      </c>
      <c r="G85" s="22">
        <v>22368.826267824192</v>
      </c>
      <c r="H85" s="22">
        <v>22368.826267824192</v>
      </c>
      <c r="I85" s="22">
        <v>22368.826267824192</v>
      </c>
      <c r="J85" s="22">
        <v>22368.826267824192</v>
      </c>
      <c r="K85" s="22">
        <v>39420.296134193886</v>
      </c>
      <c r="L85" s="22">
        <v>68494.277163614242</v>
      </c>
      <c r="M85" s="22">
        <v>87618.933561075886</v>
      </c>
      <c r="N85" s="22">
        <v>98189.537510739523</v>
      </c>
      <c r="O85" s="22">
        <v>101844.3062812867</v>
      </c>
      <c r="P85" s="22">
        <v>100880.48150024579</v>
      </c>
      <c r="Q85" s="22">
        <v>95396.045132483152</v>
      </c>
      <c r="R85" s="22">
        <v>85188.92644963364</v>
      </c>
      <c r="S85" s="22">
        <v>67278.277799469739</v>
      </c>
      <c r="T85" s="22">
        <v>38597.837841104236</v>
      </c>
      <c r="U85" s="22">
        <v>89475.305071296767</v>
      </c>
      <c r="V85" s="22">
        <v>89475.305071296767</v>
      </c>
      <c r="W85" s="22">
        <v>89475.305071296767</v>
      </c>
      <c r="X85" s="22">
        <v>89475.305071296767</v>
      </c>
      <c r="Y85" s="22">
        <v>89475.305071296767</v>
      </c>
      <c r="Z85" s="22">
        <v>89475.305071296767</v>
      </c>
      <c r="AA85" s="23">
        <v>89475.305071296767</v>
      </c>
      <c r="AB85" s="97"/>
      <c r="AC85" s="24">
        <v>4</v>
      </c>
      <c r="AD85" s="16">
        <f t="shared" si="23"/>
        <v>6263271.3549907757</v>
      </c>
    </row>
    <row r="86" spans="1:30" ht="13.5" thickBot="1" x14ac:dyDescent="0.35">
      <c r="A86" s="18">
        <v>2028</v>
      </c>
      <c r="B86" s="25" t="s">
        <v>37</v>
      </c>
      <c r="C86" s="26" t="s">
        <v>36</v>
      </c>
      <c r="D86" s="21">
        <v>22368.826267824192</v>
      </c>
      <c r="E86" s="22">
        <v>22368.826267824192</v>
      </c>
      <c r="F86" s="22">
        <v>22368.826267824192</v>
      </c>
      <c r="G86" s="22">
        <v>22368.826267824192</v>
      </c>
      <c r="H86" s="22">
        <v>22368.826267824192</v>
      </c>
      <c r="I86" s="22">
        <v>22368.826267824192</v>
      </c>
      <c r="J86" s="22">
        <v>22368.826267824192</v>
      </c>
      <c r="K86" s="22">
        <v>39420.296134193886</v>
      </c>
      <c r="L86" s="22">
        <v>68494.277163614242</v>
      </c>
      <c r="M86" s="22">
        <v>87618.933561075886</v>
      </c>
      <c r="N86" s="22">
        <v>98189.537510739523</v>
      </c>
      <c r="O86" s="22">
        <v>101844.3062812867</v>
      </c>
      <c r="P86" s="22">
        <v>100880.48150024579</v>
      </c>
      <c r="Q86" s="22">
        <v>95396.045132483152</v>
      </c>
      <c r="R86" s="22">
        <v>85188.92644963364</v>
      </c>
      <c r="S86" s="22">
        <v>67278.277799469739</v>
      </c>
      <c r="T86" s="22">
        <v>38597.837841104236</v>
      </c>
      <c r="U86" s="22">
        <v>89475.305071296767</v>
      </c>
      <c r="V86" s="22">
        <v>89475.305071296767</v>
      </c>
      <c r="W86" s="22">
        <v>89475.305071296767</v>
      </c>
      <c r="X86" s="22">
        <v>89475.305071296767</v>
      </c>
      <c r="Y86" s="22">
        <v>89475.305071296767</v>
      </c>
      <c r="Z86" s="22">
        <v>89475.305071296767</v>
      </c>
      <c r="AA86" s="23">
        <v>89475.305071296767</v>
      </c>
      <c r="AB86" s="97"/>
      <c r="AC86" s="27">
        <v>5</v>
      </c>
      <c r="AD86" s="16">
        <f t="shared" si="23"/>
        <v>7829089.1937384699</v>
      </c>
    </row>
    <row r="87" spans="1:30" ht="13.5" thickBot="1" x14ac:dyDescent="0.35">
      <c r="A87" s="18">
        <v>2028</v>
      </c>
      <c r="B87" s="11" t="s">
        <v>38</v>
      </c>
      <c r="C87" s="12" t="s">
        <v>33</v>
      </c>
      <c r="D87" s="21">
        <v>22368.826267824203</v>
      </c>
      <c r="E87" s="22">
        <v>22368.826267824203</v>
      </c>
      <c r="F87" s="22">
        <v>22368.826267824203</v>
      </c>
      <c r="G87" s="22">
        <v>22368.826267824203</v>
      </c>
      <c r="H87" s="22">
        <v>22368.826267824203</v>
      </c>
      <c r="I87" s="22">
        <v>22368.826267824203</v>
      </c>
      <c r="J87" s="22">
        <v>22368.826267824203</v>
      </c>
      <c r="K87" s="22">
        <v>39420.296134193886</v>
      </c>
      <c r="L87" s="22">
        <v>68494.277163614257</v>
      </c>
      <c r="M87" s="22">
        <v>87618.933561075915</v>
      </c>
      <c r="N87" s="22">
        <v>98189.537510739567</v>
      </c>
      <c r="O87" s="22">
        <v>101844.30628128673</v>
      </c>
      <c r="P87" s="22">
        <v>100880.48150024581</v>
      </c>
      <c r="Q87" s="22">
        <v>95396.045132483137</v>
      </c>
      <c r="R87" s="22">
        <v>85188.926449633655</v>
      </c>
      <c r="S87" s="22">
        <v>67278.277799469739</v>
      </c>
      <c r="T87" s="22">
        <v>38597.837841104243</v>
      </c>
      <c r="U87" s="22">
        <v>89475.305071296811</v>
      </c>
      <c r="V87" s="22">
        <v>89475.305071296811</v>
      </c>
      <c r="W87" s="22">
        <v>89475.305071296811</v>
      </c>
      <c r="X87" s="22">
        <v>89475.305071296811</v>
      </c>
      <c r="Y87" s="22">
        <v>89475.305071296811</v>
      </c>
      <c r="Z87" s="22">
        <v>89475.305071296811</v>
      </c>
      <c r="AA87" s="23">
        <v>89475.305071296811</v>
      </c>
      <c r="AB87" s="96">
        <f t="shared" ref="AB87" si="29">+SUM(D87:AA87)*AC87+SUM(D88:AA88)*AC88+SUM(D89:AA89)*AC89</f>
        <v>46974535.16243083</v>
      </c>
      <c r="AC87" s="16">
        <v>18</v>
      </c>
      <c r="AD87" s="16">
        <f t="shared" si="23"/>
        <v>28184721.0974585</v>
      </c>
    </row>
    <row r="88" spans="1:30" ht="13.5" thickBot="1" x14ac:dyDescent="0.35">
      <c r="A88" s="18">
        <v>2028</v>
      </c>
      <c r="B88" s="19" t="s">
        <v>38</v>
      </c>
      <c r="C88" s="20" t="s">
        <v>50</v>
      </c>
      <c r="D88" s="21">
        <v>22368.826267824192</v>
      </c>
      <c r="E88" s="22">
        <v>22368.826267824192</v>
      </c>
      <c r="F88" s="22">
        <v>22368.826267824192</v>
      </c>
      <c r="G88" s="22">
        <v>22368.826267824192</v>
      </c>
      <c r="H88" s="22">
        <v>22368.826267824192</v>
      </c>
      <c r="I88" s="22">
        <v>22368.826267824192</v>
      </c>
      <c r="J88" s="22">
        <v>22368.826267824192</v>
      </c>
      <c r="K88" s="22">
        <v>39420.296134193886</v>
      </c>
      <c r="L88" s="22">
        <v>68494.277163614242</v>
      </c>
      <c r="M88" s="22">
        <v>87618.933561075886</v>
      </c>
      <c r="N88" s="22">
        <v>98189.537510739523</v>
      </c>
      <c r="O88" s="22">
        <v>101844.3062812867</v>
      </c>
      <c r="P88" s="22">
        <v>100880.48150024579</v>
      </c>
      <c r="Q88" s="22">
        <v>95396.045132483152</v>
      </c>
      <c r="R88" s="22">
        <v>85188.92644963364</v>
      </c>
      <c r="S88" s="22">
        <v>67278.277799469739</v>
      </c>
      <c r="T88" s="22">
        <v>38597.837841104236</v>
      </c>
      <c r="U88" s="22">
        <v>89475.305071296767</v>
      </c>
      <c r="V88" s="22">
        <v>89475.305071296767</v>
      </c>
      <c r="W88" s="22">
        <v>89475.305071296767</v>
      </c>
      <c r="X88" s="22">
        <v>89475.305071296767</v>
      </c>
      <c r="Y88" s="22">
        <v>89475.305071296767</v>
      </c>
      <c r="Z88" s="22">
        <v>89475.305071296767</v>
      </c>
      <c r="AA88" s="23">
        <v>89475.305071296767</v>
      </c>
      <c r="AB88" s="97"/>
      <c r="AC88" s="24">
        <v>5</v>
      </c>
      <c r="AD88" s="16">
        <f t="shared" si="23"/>
        <v>7829089.1937384699</v>
      </c>
    </row>
    <row r="89" spans="1:30" ht="13.5" thickBot="1" x14ac:dyDescent="0.35">
      <c r="A89" s="18">
        <v>2028</v>
      </c>
      <c r="B89" s="25" t="s">
        <v>38</v>
      </c>
      <c r="C89" s="26" t="s">
        <v>36</v>
      </c>
      <c r="D89" s="21">
        <v>22368.826267824192</v>
      </c>
      <c r="E89" s="22">
        <v>22368.826267824192</v>
      </c>
      <c r="F89" s="22">
        <v>22368.826267824192</v>
      </c>
      <c r="G89" s="22">
        <v>22368.826267824192</v>
      </c>
      <c r="H89" s="22">
        <v>22368.826267824192</v>
      </c>
      <c r="I89" s="22">
        <v>22368.826267824192</v>
      </c>
      <c r="J89" s="22">
        <v>22368.826267824192</v>
      </c>
      <c r="K89" s="22">
        <v>39420.296134193886</v>
      </c>
      <c r="L89" s="22">
        <v>68494.277163614242</v>
      </c>
      <c r="M89" s="22">
        <v>87618.933561075872</v>
      </c>
      <c r="N89" s="22">
        <v>98189.537510739523</v>
      </c>
      <c r="O89" s="22">
        <v>101844.30628128668</v>
      </c>
      <c r="P89" s="22">
        <v>100880.48150024578</v>
      </c>
      <c r="Q89" s="22">
        <v>95396.045132483137</v>
      </c>
      <c r="R89" s="22">
        <v>85188.926449633655</v>
      </c>
      <c r="S89" s="22">
        <v>67278.277799469754</v>
      </c>
      <c r="T89" s="22">
        <v>38597.837841104243</v>
      </c>
      <c r="U89" s="22">
        <v>89475.305071296767</v>
      </c>
      <c r="V89" s="22">
        <v>89475.305071296767</v>
      </c>
      <c r="W89" s="22">
        <v>89475.305071296767</v>
      </c>
      <c r="X89" s="22">
        <v>89475.305071296767</v>
      </c>
      <c r="Y89" s="22">
        <v>89475.305071296767</v>
      </c>
      <c r="Z89" s="22">
        <v>89475.305071296767</v>
      </c>
      <c r="AA89" s="23">
        <v>89475.305071296767</v>
      </c>
      <c r="AB89" s="97"/>
      <c r="AC89" s="27">
        <v>7</v>
      </c>
      <c r="AD89" s="16">
        <f t="shared" si="23"/>
        <v>10960724.871233858</v>
      </c>
    </row>
    <row r="90" spans="1:30" ht="13.5" thickBot="1" x14ac:dyDescent="0.35">
      <c r="A90" s="18">
        <v>2028</v>
      </c>
      <c r="B90" s="11" t="s">
        <v>39</v>
      </c>
      <c r="C90" s="12" t="s">
        <v>33</v>
      </c>
      <c r="D90" s="21">
        <v>22368.826267824203</v>
      </c>
      <c r="E90" s="22">
        <v>22368.826267824203</v>
      </c>
      <c r="F90" s="22">
        <v>22368.826267824203</v>
      </c>
      <c r="G90" s="22">
        <v>22368.826267824203</v>
      </c>
      <c r="H90" s="22">
        <v>22368.826267824203</v>
      </c>
      <c r="I90" s="22">
        <v>22368.826267824203</v>
      </c>
      <c r="J90" s="22">
        <v>22368.826267824203</v>
      </c>
      <c r="K90" s="22">
        <v>39420.296134193886</v>
      </c>
      <c r="L90" s="22">
        <v>68494.277163614257</v>
      </c>
      <c r="M90" s="22">
        <v>87618.933561075915</v>
      </c>
      <c r="N90" s="22">
        <v>98189.537510739567</v>
      </c>
      <c r="O90" s="22">
        <v>101844.30628128673</v>
      </c>
      <c r="P90" s="22">
        <v>100880.48150024581</v>
      </c>
      <c r="Q90" s="22">
        <v>95396.045132483137</v>
      </c>
      <c r="R90" s="22">
        <v>85188.926449633655</v>
      </c>
      <c r="S90" s="22">
        <v>67278.277799469724</v>
      </c>
      <c r="T90" s="22">
        <v>38597.837841104243</v>
      </c>
      <c r="U90" s="22">
        <v>89475.305071296811</v>
      </c>
      <c r="V90" s="22">
        <v>89475.305071296811</v>
      </c>
      <c r="W90" s="22">
        <v>89475.305071296811</v>
      </c>
      <c r="X90" s="22">
        <v>89475.305071296811</v>
      </c>
      <c r="Y90" s="22">
        <v>89475.305071296811</v>
      </c>
      <c r="Z90" s="22">
        <v>89475.305071296811</v>
      </c>
      <c r="AA90" s="23">
        <v>89475.305071296811</v>
      </c>
      <c r="AB90" s="96">
        <f t="shared" ref="AB90" si="30">+SUM(D90:AA90)*AC90+SUM(D91:AA91)*AC91+SUM(D92:AA92)*AC92</f>
        <v>48540353.001178518</v>
      </c>
      <c r="AC90" s="16">
        <v>21</v>
      </c>
      <c r="AD90" s="16">
        <f t="shared" si="23"/>
        <v>32882174.613701582</v>
      </c>
    </row>
    <row r="91" spans="1:30" ht="13.5" thickBot="1" x14ac:dyDescent="0.35">
      <c r="A91" s="18">
        <v>2028</v>
      </c>
      <c r="B91" s="19" t="s">
        <v>39</v>
      </c>
      <c r="C91" s="20" t="s">
        <v>50</v>
      </c>
      <c r="D91" s="21">
        <v>22368.826267824192</v>
      </c>
      <c r="E91" s="22">
        <v>22368.826267824192</v>
      </c>
      <c r="F91" s="22">
        <v>22368.826267824192</v>
      </c>
      <c r="G91" s="22">
        <v>22368.826267824192</v>
      </c>
      <c r="H91" s="22">
        <v>22368.826267824192</v>
      </c>
      <c r="I91" s="22">
        <v>22368.826267824192</v>
      </c>
      <c r="J91" s="22">
        <v>22368.826267824192</v>
      </c>
      <c r="K91" s="22">
        <v>39420.296134193886</v>
      </c>
      <c r="L91" s="22">
        <v>68494.277163614242</v>
      </c>
      <c r="M91" s="22">
        <v>87618.933561075886</v>
      </c>
      <c r="N91" s="22">
        <v>98189.537510739523</v>
      </c>
      <c r="O91" s="22">
        <v>101844.3062812867</v>
      </c>
      <c r="P91" s="22">
        <v>100880.48150024579</v>
      </c>
      <c r="Q91" s="22">
        <v>95396.045132483152</v>
      </c>
      <c r="R91" s="22">
        <v>85188.92644963364</v>
      </c>
      <c r="S91" s="22">
        <v>67278.277799469739</v>
      </c>
      <c r="T91" s="22">
        <v>38597.837841104236</v>
      </c>
      <c r="U91" s="22">
        <v>89475.305071296767</v>
      </c>
      <c r="V91" s="22">
        <v>89475.305071296767</v>
      </c>
      <c r="W91" s="22">
        <v>89475.305071296767</v>
      </c>
      <c r="X91" s="22">
        <v>89475.305071296767</v>
      </c>
      <c r="Y91" s="22">
        <v>89475.305071296767</v>
      </c>
      <c r="Z91" s="22">
        <v>89475.305071296767</v>
      </c>
      <c r="AA91" s="23">
        <v>89475.305071296767</v>
      </c>
      <c r="AB91" s="97"/>
      <c r="AC91" s="24">
        <v>4</v>
      </c>
      <c r="AD91" s="16">
        <f t="shared" si="23"/>
        <v>6263271.3549907757</v>
      </c>
    </row>
    <row r="92" spans="1:30" ht="13.5" thickBot="1" x14ac:dyDescent="0.35">
      <c r="A92" s="18">
        <v>2028</v>
      </c>
      <c r="B92" s="25" t="s">
        <v>39</v>
      </c>
      <c r="C92" s="26" t="s">
        <v>36</v>
      </c>
      <c r="D92" s="21">
        <v>22368.826267824192</v>
      </c>
      <c r="E92" s="22">
        <v>22368.826267824192</v>
      </c>
      <c r="F92" s="22">
        <v>22368.826267824192</v>
      </c>
      <c r="G92" s="22">
        <v>22368.826267824192</v>
      </c>
      <c r="H92" s="22">
        <v>22368.826267824192</v>
      </c>
      <c r="I92" s="22">
        <v>22368.826267824192</v>
      </c>
      <c r="J92" s="22">
        <v>22368.826267824192</v>
      </c>
      <c r="K92" s="22">
        <v>39420.296134193886</v>
      </c>
      <c r="L92" s="22">
        <v>68494.277163614242</v>
      </c>
      <c r="M92" s="22">
        <v>87618.933561075886</v>
      </c>
      <c r="N92" s="22">
        <v>98189.537510739523</v>
      </c>
      <c r="O92" s="22">
        <v>101844.3062812867</v>
      </c>
      <c r="P92" s="22">
        <v>100880.48150024579</v>
      </c>
      <c r="Q92" s="22">
        <v>95396.045132483137</v>
      </c>
      <c r="R92" s="22">
        <v>85188.926449633655</v>
      </c>
      <c r="S92" s="22">
        <v>67278.277799469754</v>
      </c>
      <c r="T92" s="22">
        <v>38597.837841104243</v>
      </c>
      <c r="U92" s="22">
        <v>89475.305071296767</v>
      </c>
      <c r="V92" s="22">
        <v>89475.305071296767</v>
      </c>
      <c r="W92" s="22">
        <v>89475.305071296767</v>
      </c>
      <c r="X92" s="22">
        <v>89475.305071296767</v>
      </c>
      <c r="Y92" s="22">
        <v>89475.305071296767</v>
      </c>
      <c r="Z92" s="22">
        <v>89475.305071296767</v>
      </c>
      <c r="AA92" s="23">
        <v>89475.305071296767</v>
      </c>
      <c r="AB92" s="97"/>
      <c r="AC92" s="27">
        <v>6</v>
      </c>
      <c r="AD92" s="16">
        <f t="shared" si="23"/>
        <v>9394907.0324861631</v>
      </c>
    </row>
    <row r="93" spans="1:30" ht="13.5" thickBot="1" x14ac:dyDescent="0.35">
      <c r="A93" s="18">
        <v>2028</v>
      </c>
      <c r="B93" s="11" t="s">
        <v>40</v>
      </c>
      <c r="C93" s="12" t="s">
        <v>33</v>
      </c>
      <c r="D93" s="21">
        <v>22368.826267824203</v>
      </c>
      <c r="E93" s="22">
        <v>22368.826267824203</v>
      </c>
      <c r="F93" s="22">
        <v>22368.826267824203</v>
      </c>
      <c r="G93" s="22">
        <v>22368.826267824203</v>
      </c>
      <c r="H93" s="22">
        <v>22368.826267824203</v>
      </c>
      <c r="I93" s="22">
        <v>22368.826267824203</v>
      </c>
      <c r="J93" s="22">
        <v>22368.826267824203</v>
      </c>
      <c r="K93" s="22">
        <v>39420.296134193886</v>
      </c>
      <c r="L93" s="22">
        <v>68494.277163614257</v>
      </c>
      <c r="M93" s="22">
        <v>87618.933561075915</v>
      </c>
      <c r="N93" s="22">
        <v>98189.537510739567</v>
      </c>
      <c r="O93" s="22">
        <v>101844.30628128673</v>
      </c>
      <c r="P93" s="22">
        <v>100880.48150024582</v>
      </c>
      <c r="Q93" s="22">
        <v>95396.045132483137</v>
      </c>
      <c r="R93" s="22">
        <v>85188.926449633655</v>
      </c>
      <c r="S93" s="22">
        <v>67278.277799469739</v>
      </c>
      <c r="T93" s="22">
        <v>38597.837841104243</v>
      </c>
      <c r="U93" s="22">
        <v>89475.305071296811</v>
      </c>
      <c r="V93" s="22">
        <v>89475.305071296811</v>
      </c>
      <c r="W93" s="22">
        <v>89475.305071296811</v>
      </c>
      <c r="X93" s="22">
        <v>89475.305071296811</v>
      </c>
      <c r="Y93" s="22">
        <v>89475.305071296811</v>
      </c>
      <c r="Z93" s="22">
        <v>89475.305071296811</v>
      </c>
      <c r="AA93" s="23">
        <v>89475.305071296811</v>
      </c>
      <c r="AB93" s="96">
        <f t="shared" ref="AB93" si="31">+SUM(D93:AA93)*AC93+SUM(D94:AA94)*AC94+SUM(D95:AA95)*AC95</f>
        <v>46974535.162430823</v>
      </c>
      <c r="AC93" s="16">
        <v>20</v>
      </c>
      <c r="AD93" s="16">
        <f t="shared" si="23"/>
        <v>31316356.774953887</v>
      </c>
    </row>
    <row r="94" spans="1:30" ht="13.5" thickBot="1" x14ac:dyDescent="0.35">
      <c r="A94" s="18">
        <v>2028</v>
      </c>
      <c r="B94" s="19" t="s">
        <v>40</v>
      </c>
      <c r="C94" s="20" t="s">
        <v>50</v>
      </c>
      <c r="D94" s="21">
        <v>22368.826267824192</v>
      </c>
      <c r="E94" s="22">
        <v>22368.826267824192</v>
      </c>
      <c r="F94" s="22">
        <v>22368.826267824192</v>
      </c>
      <c r="G94" s="22">
        <v>22368.826267824192</v>
      </c>
      <c r="H94" s="22">
        <v>22368.826267824192</v>
      </c>
      <c r="I94" s="22">
        <v>22368.826267824192</v>
      </c>
      <c r="J94" s="22">
        <v>22368.826267824192</v>
      </c>
      <c r="K94" s="22">
        <v>39420.296134193886</v>
      </c>
      <c r="L94" s="22">
        <v>68494.277163614242</v>
      </c>
      <c r="M94" s="22">
        <v>87618.933561075886</v>
      </c>
      <c r="N94" s="22">
        <v>98189.537510739523</v>
      </c>
      <c r="O94" s="22">
        <v>101844.3062812867</v>
      </c>
      <c r="P94" s="22">
        <v>100880.48150024579</v>
      </c>
      <c r="Q94" s="22">
        <v>95396.045132483152</v>
      </c>
      <c r="R94" s="22">
        <v>85188.92644963364</v>
      </c>
      <c r="S94" s="22">
        <v>67278.277799469739</v>
      </c>
      <c r="T94" s="22">
        <v>38597.837841104236</v>
      </c>
      <c r="U94" s="22">
        <v>89475.305071296767</v>
      </c>
      <c r="V94" s="22">
        <v>89475.305071296767</v>
      </c>
      <c r="W94" s="22">
        <v>89475.305071296767</v>
      </c>
      <c r="X94" s="22">
        <v>89475.305071296767</v>
      </c>
      <c r="Y94" s="22">
        <v>89475.305071296767</v>
      </c>
      <c r="Z94" s="22">
        <v>89475.305071296767</v>
      </c>
      <c r="AA94" s="23">
        <v>89475.305071296767</v>
      </c>
      <c r="AB94" s="97"/>
      <c r="AC94" s="24">
        <v>4</v>
      </c>
      <c r="AD94" s="16">
        <f t="shared" si="23"/>
        <v>6263271.3549907757</v>
      </c>
    </row>
    <row r="95" spans="1:30" ht="13.5" thickBot="1" x14ac:dyDescent="0.35">
      <c r="A95" s="18">
        <v>2028</v>
      </c>
      <c r="B95" s="25" t="s">
        <v>40</v>
      </c>
      <c r="C95" s="26" t="s">
        <v>36</v>
      </c>
      <c r="D95" s="21">
        <v>22368.826267824192</v>
      </c>
      <c r="E95" s="22">
        <v>22368.826267824192</v>
      </c>
      <c r="F95" s="22">
        <v>22368.826267824192</v>
      </c>
      <c r="G95" s="22">
        <v>22368.826267824192</v>
      </c>
      <c r="H95" s="22">
        <v>22368.826267824192</v>
      </c>
      <c r="I95" s="22">
        <v>22368.826267824192</v>
      </c>
      <c r="J95" s="22">
        <v>22368.826267824192</v>
      </c>
      <c r="K95" s="22">
        <v>39420.296134193886</v>
      </c>
      <c r="L95" s="22">
        <v>68494.277163614242</v>
      </c>
      <c r="M95" s="22">
        <v>87618.933561075886</v>
      </c>
      <c r="N95" s="22">
        <v>98189.537510739523</v>
      </c>
      <c r="O95" s="22">
        <v>101844.3062812867</v>
      </c>
      <c r="P95" s="22">
        <v>100880.48150024579</v>
      </c>
      <c r="Q95" s="22">
        <v>95396.045132483137</v>
      </c>
      <c r="R95" s="22">
        <v>85188.926449633655</v>
      </c>
      <c r="S95" s="22">
        <v>67278.277799469754</v>
      </c>
      <c r="T95" s="22">
        <v>38597.837841104243</v>
      </c>
      <c r="U95" s="22">
        <v>89475.305071296767</v>
      </c>
      <c r="V95" s="22">
        <v>89475.305071296767</v>
      </c>
      <c r="W95" s="22">
        <v>89475.305071296767</v>
      </c>
      <c r="X95" s="22">
        <v>89475.305071296767</v>
      </c>
      <c r="Y95" s="22">
        <v>89475.305071296767</v>
      </c>
      <c r="Z95" s="22">
        <v>89475.305071296767</v>
      </c>
      <c r="AA95" s="23">
        <v>89475.305071296767</v>
      </c>
      <c r="AB95" s="97"/>
      <c r="AC95" s="27">
        <v>6</v>
      </c>
      <c r="AD95" s="16">
        <f t="shared" si="23"/>
        <v>9394907.0324861631</v>
      </c>
    </row>
    <row r="96" spans="1:30" ht="13.5" thickBot="1" x14ac:dyDescent="0.35">
      <c r="A96" s="18">
        <v>2028</v>
      </c>
      <c r="B96" s="11" t="s">
        <v>41</v>
      </c>
      <c r="C96" s="12" t="s">
        <v>33</v>
      </c>
      <c r="D96" s="21">
        <v>22368.826267824203</v>
      </c>
      <c r="E96" s="22">
        <v>22368.826267824203</v>
      </c>
      <c r="F96" s="22">
        <v>22368.826267824203</v>
      </c>
      <c r="G96" s="22">
        <v>22368.826267824203</v>
      </c>
      <c r="H96" s="22">
        <v>22368.826267824203</v>
      </c>
      <c r="I96" s="22">
        <v>22368.826267824203</v>
      </c>
      <c r="J96" s="22">
        <v>22368.826267824203</v>
      </c>
      <c r="K96" s="22">
        <v>39420.296134193886</v>
      </c>
      <c r="L96" s="22">
        <v>68494.277163614257</v>
      </c>
      <c r="M96" s="22">
        <v>87618.933561075915</v>
      </c>
      <c r="N96" s="22">
        <v>98189.537510739567</v>
      </c>
      <c r="O96" s="22">
        <v>101844.30628128673</v>
      </c>
      <c r="P96" s="22">
        <v>100880.48150024582</v>
      </c>
      <c r="Q96" s="22">
        <v>95396.045132483137</v>
      </c>
      <c r="R96" s="22">
        <v>85188.926449633655</v>
      </c>
      <c r="S96" s="22">
        <v>67278.277799469739</v>
      </c>
      <c r="T96" s="22">
        <v>38597.837841104243</v>
      </c>
      <c r="U96" s="22">
        <v>89475.305071296811</v>
      </c>
      <c r="V96" s="22">
        <v>89475.305071296811</v>
      </c>
      <c r="W96" s="22">
        <v>89475.305071296811</v>
      </c>
      <c r="X96" s="22">
        <v>89475.305071296811</v>
      </c>
      <c r="Y96" s="22">
        <v>89475.305071296811</v>
      </c>
      <c r="Z96" s="22">
        <v>89475.305071296811</v>
      </c>
      <c r="AA96" s="23">
        <v>89475.305071296811</v>
      </c>
      <c r="AB96" s="96">
        <f t="shared" ref="AB96" si="32">+SUM(D96:AA96)*AC96+SUM(D97:AA97)*AC97+SUM(D98:AA98)*AC98</f>
        <v>48540353.001178518</v>
      </c>
      <c r="AC96" s="16">
        <v>19</v>
      </c>
      <c r="AD96" s="16">
        <f t="shared" si="23"/>
        <v>29750538.936206192</v>
      </c>
    </row>
    <row r="97" spans="1:30" ht="13.5" thickBot="1" x14ac:dyDescent="0.35">
      <c r="A97" s="18">
        <v>2028</v>
      </c>
      <c r="B97" s="19" t="s">
        <v>41</v>
      </c>
      <c r="C97" s="20" t="s">
        <v>50</v>
      </c>
      <c r="D97" s="21">
        <v>22368.826267824192</v>
      </c>
      <c r="E97" s="22">
        <v>22368.826267824192</v>
      </c>
      <c r="F97" s="22">
        <v>22368.826267824192</v>
      </c>
      <c r="G97" s="22">
        <v>22368.826267824192</v>
      </c>
      <c r="H97" s="22">
        <v>22368.826267824192</v>
      </c>
      <c r="I97" s="22">
        <v>22368.826267824192</v>
      </c>
      <c r="J97" s="22">
        <v>22368.826267824192</v>
      </c>
      <c r="K97" s="22">
        <v>39420.296134193886</v>
      </c>
      <c r="L97" s="22">
        <v>68494.277163614242</v>
      </c>
      <c r="M97" s="22">
        <v>87618.933561075886</v>
      </c>
      <c r="N97" s="22">
        <v>98189.537510739523</v>
      </c>
      <c r="O97" s="22">
        <v>101844.3062812867</v>
      </c>
      <c r="P97" s="22">
        <v>100880.48150024579</v>
      </c>
      <c r="Q97" s="22">
        <v>95396.045132483152</v>
      </c>
      <c r="R97" s="22">
        <v>85188.92644963364</v>
      </c>
      <c r="S97" s="22">
        <v>67278.277799469739</v>
      </c>
      <c r="T97" s="22">
        <v>38597.837841104236</v>
      </c>
      <c r="U97" s="22">
        <v>89475.305071296767</v>
      </c>
      <c r="V97" s="22">
        <v>89475.305071296767</v>
      </c>
      <c r="W97" s="22">
        <v>89475.305071296767</v>
      </c>
      <c r="X97" s="22">
        <v>89475.305071296767</v>
      </c>
      <c r="Y97" s="22">
        <v>89475.305071296767</v>
      </c>
      <c r="Z97" s="22">
        <v>89475.305071296767</v>
      </c>
      <c r="AA97" s="23">
        <v>89475.305071296767</v>
      </c>
      <c r="AB97" s="97"/>
      <c r="AC97" s="24">
        <v>5</v>
      </c>
      <c r="AD97" s="16">
        <f t="shared" si="23"/>
        <v>7829089.1937384699</v>
      </c>
    </row>
    <row r="98" spans="1:30" ht="13.5" thickBot="1" x14ac:dyDescent="0.35">
      <c r="A98" s="18">
        <v>2028</v>
      </c>
      <c r="B98" s="25" t="s">
        <v>41</v>
      </c>
      <c r="C98" s="26" t="s">
        <v>36</v>
      </c>
      <c r="D98" s="21">
        <v>22368.826267824192</v>
      </c>
      <c r="E98" s="22">
        <v>22368.826267824192</v>
      </c>
      <c r="F98" s="22">
        <v>22368.826267824192</v>
      </c>
      <c r="G98" s="22">
        <v>22368.826267824192</v>
      </c>
      <c r="H98" s="22">
        <v>22368.826267824192</v>
      </c>
      <c r="I98" s="22">
        <v>22368.826267824192</v>
      </c>
      <c r="J98" s="22">
        <v>22368.826267824192</v>
      </c>
      <c r="K98" s="22">
        <v>39420.296134193886</v>
      </c>
      <c r="L98" s="22">
        <v>68494.277163614242</v>
      </c>
      <c r="M98" s="22">
        <v>87618.933561075872</v>
      </c>
      <c r="N98" s="22">
        <v>98189.537510739523</v>
      </c>
      <c r="O98" s="22">
        <v>101844.30628128668</v>
      </c>
      <c r="P98" s="22">
        <v>100880.48150024578</v>
      </c>
      <c r="Q98" s="22">
        <v>95396.045132483137</v>
      </c>
      <c r="R98" s="22">
        <v>85188.926449633655</v>
      </c>
      <c r="S98" s="22">
        <v>67278.277799469754</v>
      </c>
      <c r="T98" s="22">
        <v>38597.837841104243</v>
      </c>
      <c r="U98" s="22">
        <v>89475.305071296767</v>
      </c>
      <c r="V98" s="22">
        <v>89475.305071296767</v>
      </c>
      <c r="W98" s="22">
        <v>89475.305071296767</v>
      </c>
      <c r="X98" s="22">
        <v>89475.305071296767</v>
      </c>
      <c r="Y98" s="22">
        <v>89475.305071296767</v>
      </c>
      <c r="Z98" s="22">
        <v>89475.305071296767</v>
      </c>
      <c r="AA98" s="23">
        <v>89475.305071296767</v>
      </c>
      <c r="AB98" s="97"/>
      <c r="AC98" s="27">
        <v>7</v>
      </c>
      <c r="AD98" s="16">
        <f t="shared" si="23"/>
        <v>10960724.871233858</v>
      </c>
    </row>
    <row r="99" spans="1:30" ht="13.5" thickBot="1" x14ac:dyDescent="0.35">
      <c r="A99" s="18">
        <v>2028</v>
      </c>
      <c r="B99" s="11" t="s">
        <v>42</v>
      </c>
      <c r="C99" s="12" t="s">
        <v>33</v>
      </c>
      <c r="D99" s="21">
        <v>22368.826267824203</v>
      </c>
      <c r="E99" s="22">
        <v>22368.826267824203</v>
      </c>
      <c r="F99" s="22">
        <v>22368.826267824203</v>
      </c>
      <c r="G99" s="22">
        <v>22368.826267824203</v>
      </c>
      <c r="H99" s="22">
        <v>22368.826267824203</v>
      </c>
      <c r="I99" s="22">
        <v>22368.826267824203</v>
      </c>
      <c r="J99" s="22">
        <v>22368.826267824203</v>
      </c>
      <c r="K99" s="22">
        <v>39420.296134193886</v>
      </c>
      <c r="L99" s="22">
        <v>68494.277163614257</v>
      </c>
      <c r="M99" s="22">
        <v>87618.933561075915</v>
      </c>
      <c r="N99" s="22">
        <v>98189.537510739567</v>
      </c>
      <c r="O99" s="22">
        <v>101844.30628128673</v>
      </c>
      <c r="P99" s="22">
        <v>100880.48150024581</v>
      </c>
      <c r="Q99" s="22">
        <v>95396.045132483137</v>
      </c>
      <c r="R99" s="22">
        <v>85188.926449633655</v>
      </c>
      <c r="S99" s="22">
        <v>67278.277799469724</v>
      </c>
      <c r="T99" s="22">
        <v>38597.837841104243</v>
      </c>
      <c r="U99" s="22">
        <v>89475.305071296811</v>
      </c>
      <c r="V99" s="22">
        <v>89475.305071296811</v>
      </c>
      <c r="W99" s="22">
        <v>89475.305071296811</v>
      </c>
      <c r="X99" s="22">
        <v>89475.305071296811</v>
      </c>
      <c r="Y99" s="22">
        <v>89475.305071296811</v>
      </c>
      <c r="Z99" s="22">
        <v>89475.305071296811</v>
      </c>
      <c r="AA99" s="23">
        <v>89475.305071296811</v>
      </c>
      <c r="AB99" s="96">
        <f t="shared" ref="AB99" si="33">+SUM(D99:AA99)*AC99+SUM(D100:AA100)*AC100+SUM(D101:AA101)*AC101</f>
        <v>48540353.001178518</v>
      </c>
      <c r="AC99" s="16">
        <v>21</v>
      </c>
      <c r="AD99" s="16">
        <f t="shared" si="23"/>
        <v>32882174.613701582</v>
      </c>
    </row>
    <row r="100" spans="1:30" ht="13.5" thickBot="1" x14ac:dyDescent="0.35">
      <c r="A100" s="18">
        <v>2028</v>
      </c>
      <c r="B100" s="19" t="s">
        <v>42</v>
      </c>
      <c r="C100" s="20" t="s">
        <v>50</v>
      </c>
      <c r="D100" s="21">
        <v>22368.826267824192</v>
      </c>
      <c r="E100" s="22">
        <v>22368.826267824192</v>
      </c>
      <c r="F100" s="22">
        <v>22368.826267824192</v>
      </c>
      <c r="G100" s="22">
        <v>22368.826267824192</v>
      </c>
      <c r="H100" s="22">
        <v>22368.826267824192</v>
      </c>
      <c r="I100" s="22">
        <v>22368.826267824192</v>
      </c>
      <c r="J100" s="22">
        <v>22368.826267824192</v>
      </c>
      <c r="K100" s="22">
        <v>39420.296134193886</v>
      </c>
      <c r="L100" s="22">
        <v>68494.277163614242</v>
      </c>
      <c r="M100" s="22">
        <v>87618.933561075886</v>
      </c>
      <c r="N100" s="22">
        <v>98189.537510739523</v>
      </c>
      <c r="O100" s="22">
        <v>101844.3062812867</v>
      </c>
      <c r="P100" s="22">
        <v>100880.48150024579</v>
      </c>
      <c r="Q100" s="22">
        <v>95396.045132483152</v>
      </c>
      <c r="R100" s="22">
        <v>85188.92644963364</v>
      </c>
      <c r="S100" s="22">
        <v>67278.277799469739</v>
      </c>
      <c r="T100" s="22">
        <v>38597.837841104236</v>
      </c>
      <c r="U100" s="22">
        <v>89475.305071296767</v>
      </c>
      <c r="V100" s="22">
        <v>89475.305071296767</v>
      </c>
      <c r="W100" s="22">
        <v>89475.305071296767</v>
      </c>
      <c r="X100" s="22">
        <v>89475.305071296767</v>
      </c>
      <c r="Y100" s="22">
        <v>89475.305071296767</v>
      </c>
      <c r="Z100" s="22">
        <v>89475.305071296767</v>
      </c>
      <c r="AA100" s="23">
        <v>89475.305071296767</v>
      </c>
      <c r="AB100" s="97"/>
      <c r="AC100" s="24">
        <v>4</v>
      </c>
      <c r="AD100" s="16">
        <f t="shared" si="23"/>
        <v>6263271.3549907757</v>
      </c>
    </row>
    <row r="101" spans="1:30" ht="13.5" thickBot="1" x14ac:dyDescent="0.35">
      <c r="A101" s="18">
        <v>2028</v>
      </c>
      <c r="B101" s="25" t="s">
        <v>42</v>
      </c>
      <c r="C101" s="26" t="s">
        <v>36</v>
      </c>
      <c r="D101" s="21">
        <v>22368.826267824192</v>
      </c>
      <c r="E101" s="22">
        <v>22368.826267824192</v>
      </c>
      <c r="F101" s="22">
        <v>22368.826267824192</v>
      </c>
      <c r="G101" s="22">
        <v>22368.826267824192</v>
      </c>
      <c r="H101" s="22">
        <v>22368.826267824192</v>
      </c>
      <c r="I101" s="22">
        <v>22368.826267824192</v>
      </c>
      <c r="J101" s="22">
        <v>22368.826267824192</v>
      </c>
      <c r="K101" s="22">
        <v>39420.296134193886</v>
      </c>
      <c r="L101" s="22">
        <v>68494.277163614242</v>
      </c>
      <c r="M101" s="22">
        <v>87618.933561075886</v>
      </c>
      <c r="N101" s="22">
        <v>98189.537510739523</v>
      </c>
      <c r="O101" s="22">
        <v>101844.3062812867</v>
      </c>
      <c r="P101" s="22">
        <v>100880.48150024579</v>
      </c>
      <c r="Q101" s="22">
        <v>95396.045132483137</v>
      </c>
      <c r="R101" s="22">
        <v>85188.926449633655</v>
      </c>
      <c r="S101" s="22">
        <v>67278.277799469754</v>
      </c>
      <c r="T101" s="22">
        <v>38597.837841104243</v>
      </c>
      <c r="U101" s="22">
        <v>89475.305071296767</v>
      </c>
      <c r="V101" s="22">
        <v>89475.305071296767</v>
      </c>
      <c r="W101" s="22">
        <v>89475.305071296767</v>
      </c>
      <c r="X101" s="22">
        <v>89475.305071296767</v>
      </c>
      <c r="Y101" s="22">
        <v>89475.305071296767</v>
      </c>
      <c r="Z101" s="22">
        <v>89475.305071296767</v>
      </c>
      <c r="AA101" s="23">
        <v>89475.305071296767</v>
      </c>
      <c r="AB101" s="97"/>
      <c r="AC101" s="27">
        <v>6</v>
      </c>
      <c r="AD101" s="16">
        <f t="shared" si="23"/>
        <v>9394907.0324861631</v>
      </c>
    </row>
    <row r="102" spans="1:30" ht="13.5" thickBot="1" x14ac:dyDescent="0.35">
      <c r="A102" s="18">
        <v>2028</v>
      </c>
      <c r="B102" s="11" t="s">
        <v>43</v>
      </c>
      <c r="C102" s="12" t="s">
        <v>33</v>
      </c>
      <c r="D102" s="21">
        <v>22368.826267824203</v>
      </c>
      <c r="E102" s="22">
        <v>22368.826267824203</v>
      </c>
      <c r="F102" s="22">
        <v>22368.826267824203</v>
      </c>
      <c r="G102" s="22">
        <v>22368.826267824203</v>
      </c>
      <c r="H102" s="22">
        <v>22368.826267824203</v>
      </c>
      <c r="I102" s="22">
        <v>22368.826267824203</v>
      </c>
      <c r="J102" s="22">
        <v>22368.826267824203</v>
      </c>
      <c r="K102" s="22">
        <v>39420.296134193886</v>
      </c>
      <c r="L102" s="22">
        <v>68494.277163614257</v>
      </c>
      <c r="M102" s="22">
        <v>87618.933561075915</v>
      </c>
      <c r="N102" s="22">
        <v>98189.537510739567</v>
      </c>
      <c r="O102" s="22">
        <v>101844.30628128673</v>
      </c>
      <c r="P102" s="22">
        <v>100880.48150024581</v>
      </c>
      <c r="Q102" s="22">
        <v>95396.045132483137</v>
      </c>
      <c r="R102" s="22">
        <v>85188.926449633655</v>
      </c>
      <c r="S102" s="22">
        <v>67278.277799469724</v>
      </c>
      <c r="T102" s="22">
        <v>38597.837841104243</v>
      </c>
      <c r="U102" s="22">
        <v>89475.305071296811</v>
      </c>
      <c r="V102" s="22">
        <v>89475.305071296811</v>
      </c>
      <c r="W102" s="22">
        <v>89475.305071296811</v>
      </c>
      <c r="X102" s="22">
        <v>89475.305071296811</v>
      </c>
      <c r="Y102" s="22">
        <v>89475.305071296811</v>
      </c>
      <c r="Z102" s="22">
        <v>89475.305071296811</v>
      </c>
      <c r="AA102" s="23">
        <v>89475.305071296811</v>
      </c>
      <c r="AB102" s="96">
        <f t="shared" ref="AB102" si="34">+SUM(D102:AA102)*AC102+SUM(D103:AA103)*AC103+SUM(D104:AA104)*AC104</f>
        <v>46974535.162430823</v>
      </c>
      <c r="AC102" s="16">
        <v>21</v>
      </c>
      <c r="AD102" s="16">
        <f t="shared" si="23"/>
        <v>32882174.613701582</v>
      </c>
    </row>
    <row r="103" spans="1:30" ht="13.5" thickBot="1" x14ac:dyDescent="0.35">
      <c r="A103" s="18">
        <v>2028</v>
      </c>
      <c r="B103" s="19" t="s">
        <v>43</v>
      </c>
      <c r="C103" s="20" t="s">
        <v>50</v>
      </c>
      <c r="D103" s="21">
        <v>22368.826267824192</v>
      </c>
      <c r="E103" s="22">
        <v>22368.826267824192</v>
      </c>
      <c r="F103" s="22">
        <v>22368.826267824192</v>
      </c>
      <c r="G103" s="22">
        <v>22368.826267824192</v>
      </c>
      <c r="H103" s="22">
        <v>22368.826267824192</v>
      </c>
      <c r="I103" s="22">
        <v>22368.826267824192</v>
      </c>
      <c r="J103" s="22">
        <v>22368.826267824192</v>
      </c>
      <c r="K103" s="22">
        <v>39420.296134193886</v>
      </c>
      <c r="L103" s="22">
        <v>68494.277163614242</v>
      </c>
      <c r="M103" s="22">
        <v>87618.933561075886</v>
      </c>
      <c r="N103" s="22">
        <v>98189.537510739523</v>
      </c>
      <c r="O103" s="22">
        <v>101844.3062812867</v>
      </c>
      <c r="P103" s="22">
        <v>100880.48150024579</v>
      </c>
      <c r="Q103" s="22">
        <v>95396.045132483152</v>
      </c>
      <c r="R103" s="22">
        <v>85188.92644963364</v>
      </c>
      <c r="S103" s="22">
        <v>67278.277799469739</v>
      </c>
      <c r="T103" s="22">
        <v>38597.837841104236</v>
      </c>
      <c r="U103" s="22">
        <v>89475.305071296767</v>
      </c>
      <c r="V103" s="22">
        <v>89475.305071296767</v>
      </c>
      <c r="W103" s="22">
        <v>89475.305071296767</v>
      </c>
      <c r="X103" s="22">
        <v>89475.305071296767</v>
      </c>
      <c r="Y103" s="22">
        <v>89475.305071296767</v>
      </c>
      <c r="Z103" s="22">
        <v>89475.305071296767</v>
      </c>
      <c r="AA103" s="23">
        <v>89475.305071296767</v>
      </c>
      <c r="AB103" s="97"/>
      <c r="AC103" s="24">
        <v>5</v>
      </c>
      <c r="AD103" s="16">
        <f t="shared" si="23"/>
        <v>7829089.1937384699</v>
      </c>
    </row>
    <row r="104" spans="1:30" ht="13.5" thickBot="1" x14ac:dyDescent="0.35">
      <c r="A104" s="18">
        <v>2028</v>
      </c>
      <c r="B104" s="25" t="s">
        <v>43</v>
      </c>
      <c r="C104" s="26" t="s">
        <v>36</v>
      </c>
      <c r="D104" s="21">
        <v>22368.826267824192</v>
      </c>
      <c r="E104" s="22">
        <v>22368.826267824192</v>
      </c>
      <c r="F104" s="22">
        <v>22368.826267824192</v>
      </c>
      <c r="G104" s="22">
        <v>22368.826267824192</v>
      </c>
      <c r="H104" s="22">
        <v>22368.826267824192</v>
      </c>
      <c r="I104" s="22">
        <v>22368.826267824192</v>
      </c>
      <c r="J104" s="22">
        <v>22368.826267824192</v>
      </c>
      <c r="K104" s="22">
        <v>39420.296134193886</v>
      </c>
      <c r="L104" s="22">
        <v>68494.277163614242</v>
      </c>
      <c r="M104" s="22">
        <v>87618.933561075886</v>
      </c>
      <c r="N104" s="22">
        <v>98189.537510739523</v>
      </c>
      <c r="O104" s="22">
        <v>101844.3062812867</v>
      </c>
      <c r="P104" s="22">
        <v>100880.48150024579</v>
      </c>
      <c r="Q104" s="22">
        <v>95396.045132483152</v>
      </c>
      <c r="R104" s="22">
        <v>85188.92644963364</v>
      </c>
      <c r="S104" s="22">
        <v>67278.277799469739</v>
      </c>
      <c r="T104" s="22">
        <v>38597.837841104236</v>
      </c>
      <c r="U104" s="22">
        <v>89475.305071296767</v>
      </c>
      <c r="V104" s="22">
        <v>89475.305071296767</v>
      </c>
      <c r="W104" s="22">
        <v>89475.305071296767</v>
      </c>
      <c r="X104" s="22">
        <v>89475.305071296767</v>
      </c>
      <c r="Y104" s="22">
        <v>89475.305071296767</v>
      </c>
      <c r="Z104" s="22">
        <v>89475.305071296767</v>
      </c>
      <c r="AA104" s="23">
        <v>89475.305071296767</v>
      </c>
      <c r="AB104" s="97"/>
      <c r="AC104" s="27">
        <v>4</v>
      </c>
      <c r="AD104" s="16">
        <f t="shared" si="23"/>
        <v>6263271.3549907757</v>
      </c>
    </row>
    <row r="105" spans="1:30" ht="13.5" thickBot="1" x14ac:dyDescent="0.35">
      <c r="A105" s="18">
        <v>2028</v>
      </c>
      <c r="B105" s="11" t="s">
        <v>44</v>
      </c>
      <c r="C105" s="12" t="s">
        <v>33</v>
      </c>
      <c r="D105" s="21">
        <v>22368.826267824203</v>
      </c>
      <c r="E105" s="22">
        <v>22368.826267824203</v>
      </c>
      <c r="F105" s="22">
        <v>22368.826267824203</v>
      </c>
      <c r="G105" s="22">
        <v>22368.826267824203</v>
      </c>
      <c r="H105" s="22">
        <v>22368.826267824203</v>
      </c>
      <c r="I105" s="22">
        <v>22368.826267824203</v>
      </c>
      <c r="J105" s="22">
        <v>22368.826267824203</v>
      </c>
      <c r="K105" s="22">
        <v>39420.296134193886</v>
      </c>
      <c r="L105" s="22">
        <v>68494.277163614257</v>
      </c>
      <c r="M105" s="22">
        <v>87618.933561075915</v>
      </c>
      <c r="N105" s="22">
        <v>98189.537510739567</v>
      </c>
      <c r="O105" s="22">
        <v>101844.30628128673</v>
      </c>
      <c r="P105" s="22">
        <v>100880.48150024581</v>
      </c>
      <c r="Q105" s="22">
        <v>95396.045132483137</v>
      </c>
      <c r="R105" s="22">
        <v>85188.926449633655</v>
      </c>
      <c r="S105" s="22">
        <v>67278.277799469724</v>
      </c>
      <c r="T105" s="22">
        <v>38597.837841104243</v>
      </c>
      <c r="U105" s="22">
        <v>89475.305071296811</v>
      </c>
      <c r="V105" s="22">
        <v>89475.305071296811</v>
      </c>
      <c r="W105" s="22">
        <v>89475.305071296811</v>
      </c>
      <c r="X105" s="22">
        <v>89475.305071296811</v>
      </c>
      <c r="Y105" s="22">
        <v>89475.305071296811</v>
      </c>
      <c r="Z105" s="22">
        <v>89475.305071296811</v>
      </c>
      <c r="AA105" s="23">
        <v>89475.305071296811</v>
      </c>
      <c r="AB105" s="96">
        <f t="shared" ref="AB105" si="35">+SUM(D105:AA105)*AC105+SUM(D106:AA106)*AC106+SUM(D107:AA107)*AC107</f>
        <v>48540353.001178518</v>
      </c>
      <c r="AC105" s="16">
        <v>21</v>
      </c>
      <c r="AD105" s="16">
        <f t="shared" si="23"/>
        <v>32882174.613701582</v>
      </c>
    </row>
    <row r="106" spans="1:30" ht="13.5" thickBot="1" x14ac:dyDescent="0.35">
      <c r="A106" s="18">
        <v>2028</v>
      </c>
      <c r="B106" s="19" t="s">
        <v>44</v>
      </c>
      <c r="C106" s="20" t="s">
        <v>50</v>
      </c>
      <c r="D106" s="21">
        <v>22368.826267824192</v>
      </c>
      <c r="E106" s="22">
        <v>22368.826267824192</v>
      </c>
      <c r="F106" s="22">
        <v>22368.826267824192</v>
      </c>
      <c r="G106" s="22">
        <v>22368.826267824192</v>
      </c>
      <c r="H106" s="22">
        <v>22368.826267824192</v>
      </c>
      <c r="I106" s="22">
        <v>22368.826267824192</v>
      </c>
      <c r="J106" s="22">
        <v>22368.826267824192</v>
      </c>
      <c r="K106" s="22">
        <v>39420.296134193886</v>
      </c>
      <c r="L106" s="22">
        <v>68494.277163614242</v>
      </c>
      <c r="M106" s="22">
        <v>87618.933561075886</v>
      </c>
      <c r="N106" s="22">
        <v>98189.537510739523</v>
      </c>
      <c r="O106" s="22">
        <v>101844.3062812867</v>
      </c>
      <c r="P106" s="22">
        <v>100880.48150024579</v>
      </c>
      <c r="Q106" s="22">
        <v>95396.045132483152</v>
      </c>
      <c r="R106" s="22">
        <v>85188.92644963364</v>
      </c>
      <c r="S106" s="22">
        <v>67278.277799469739</v>
      </c>
      <c r="T106" s="22">
        <v>38597.837841104236</v>
      </c>
      <c r="U106" s="22">
        <v>89475.305071296767</v>
      </c>
      <c r="V106" s="22">
        <v>89475.305071296767</v>
      </c>
      <c r="W106" s="22">
        <v>89475.305071296767</v>
      </c>
      <c r="X106" s="22">
        <v>89475.305071296767</v>
      </c>
      <c r="Y106" s="22">
        <v>89475.305071296767</v>
      </c>
      <c r="Z106" s="22">
        <v>89475.305071296767</v>
      </c>
      <c r="AA106" s="23">
        <v>89475.305071296767</v>
      </c>
      <c r="AB106" s="97"/>
      <c r="AC106" s="24">
        <v>4</v>
      </c>
      <c r="AD106" s="16">
        <f t="shared" si="23"/>
        <v>6263271.3549907757</v>
      </c>
    </row>
    <row r="107" spans="1:30" ht="13.5" thickBot="1" x14ac:dyDescent="0.35">
      <c r="A107" s="18">
        <v>2028</v>
      </c>
      <c r="B107" s="25" t="s">
        <v>44</v>
      </c>
      <c r="C107" s="26" t="s">
        <v>36</v>
      </c>
      <c r="D107" s="21">
        <v>22368.826267824192</v>
      </c>
      <c r="E107" s="22">
        <v>22368.826267824192</v>
      </c>
      <c r="F107" s="22">
        <v>22368.826267824192</v>
      </c>
      <c r="G107" s="22">
        <v>22368.826267824192</v>
      </c>
      <c r="H107" s="22">
        <v>22368.826267824192</v>
      </c>
      <c r="I107" s="22">
        <v>22368.826267824192</v>
      </c>
      <c r="J107" s="22">
        <v>22368.826267824192</v>
      </c>
      <c r="K107" s="22">
        <v>39420.296134193886</v>
      </c>
      <c r="L107" s="22">
        <v>68494.277163614242</v>
      </c>
      <c r="M107" s="22">
        <v>87618.933561075886</v>
      </c>
      <c r="N107" s="22">
        <v>98189.537510739523</v>
      </c>
      <c r="O107" s="22">
        <v>101844.3062812867</v>
      </c>
      <c r="P107" s="22">
        <v>100880.48150024579</v>
      </c>
      <c r="Q107" s="22">
        <v>95396.045132483137</v>
      </c>
      <c r="R107" s="22">
        <v>85188.926449633655</v>
      </c>
      <c r="S107" s="22">
        <v>67278.277799469754</v>
      </c>
      <c r="T107" s="22">
        <v>38597.837841104243</v>
      </c>
      <c r="U107" s="22">
        <v>89475.305071296767</v>
      </c>
      <c r="V107" s="22">
        <v>89475.305071296767</v>
      </c>
      <c r="W107" s="22">
        <v>89475.305071296767</v>
      </c>
      <c r="X107" s="22">
        <v>89475.305071296767</v>
      </c>
      <c r="Y107" s="22">
        <v>89475.305071296767</v>
      </c>
      <c r="Z107" s="22">
        <v>89475.305071296767</v>
      </c>
      <c r="AA107" s="23">
        <v>89475.305071296767</v>
      </c>
      <c r="AB107" s="97"/>
      <c r="AC107" s="27">
        <v>6</v>
      </c>
      <c r="AD107" s="16">
        <f t="shared" si="23"/>
        <v>9394907.0324861631</v>
      </c>
    </row>
    <row r="108" spans="1:30" ht="13.5" thickBot="1" x14ac:dyDescent="0.35">
      <c r="A108" s="18">
        <v>2028</v>
      </c>
      <c r="B108" s="11" t="s">
        <v>45</v>
      </c>
      <c r="C108" s="12" t="s">
        <v>33</v>
      </c>
      <c r="D108" s="21">
        <v>22368.826267824203</v>
      </c>
      <c r="E108" s="22">
        <v>22368.826267824203</v>
      </c>
      <c r="F108" s="22">
        <v>22368.826267824203</v>
      </c>
      <c r="G108" s="22">
        <v>22368.826267824203</v>
      </c>
      <c r="H108" s="22">
        <v>22368.826267824203</v>
      </c>
      <c r="I108" s="22">
        <v>22368.826267824203</v>
      </c>
      <c r="J108" s="22">
        <v>22368.826267824203</v>
      </c>
      <c r="K108" s="22">
        <v>39420.296134193886</v>
      </c>
      <c r="L108" s="22">
        <v>68494.277163614257</v>
      </c>
      <c r="M108" s="22">
        <v>87618.933561075915</v>
      </c>
      <c r="N108" s="22">
        <v>98189.537510739567</v>
      </c>
      <c r="O108" s="22">
        <v>101844.30628128673</v>
      </c>
      <c r="P108" s="22">
        <v>100880.48150024582</v>
      </c>
      <c r="Q108" s="22">
        <v>95396.045132483137</v>
      </c>
      <c r="R108" s="22">
        <v>85188.926449633655</v>
      </c>
      <c r="S108" s="22">
        <v>67278.277799469739</v>
      </c>
      <c r="T108" s="22">
        <v>38597.837841104243</v>
      </c>
      <c r="U108" s="22">
        <v>89475.305071296811</v>
      </c>
      <c r="V108" s="22">
        <v>89475.305071296811</v>
      </c>
      <c r="W108" s="22">
        <v>89475.305071296811</v>
      </c>
      <c r="X108" s="22">
        <v>89475.305071296811</v>
      </c>
      <c r="Y108" s="22">
        <v>89475.305071296811</v>
      </c>
      <c r="Z108" s="22">
        <v>89475.305071296811</v>
      </c>
      <c r="AA108" s="23">
        <v>89475.305071296811</v>
      </c>
      <c r="AB108" s="96">
        <f t="shared" ref="AB108" si="36">+SUM(D108:AA108)*AC108+SUM(D109:AA109)*AC109+SUM(D110:AA110)*AC110</f>
        <v>46974535.162430823</v>
      </c>
      <c r="AC108" s="16">
        <v>20</v>
      </c>
      <c r="AD108" s="16">
        <f t="shared" si="23"/>
        <v>31316356.774953887</v>
      </c>
    </row>
    <row r="109" spans="1:30" ht="13.5" thickBot="1" x14ac:dyDescent="0.35">
      <c r="A109" s="18">
        <v>2028</v>
      </c>
      <c r="B109" s="19" t="s">
        <v>45</v>
      </c>
      <c r="C109" s="20" t="s">
        <v>50</v>
      </c>
      <c r="D109" s="21">
        <v>22368.826267824192</v>
      </c>
      <c r="E109" s="22">
        <v>22368.826267824192</v>
      </c>
      <c r="F109" s="22">
        <v>22368.826267824192</v>
      </c>
      <c r="G109" s="22">
        <v>22368.826267824192</v>
      </c>
      <c r="H109" s="22">
        <v>22368.826267824192</v>
      </c>
      <c r="I109" s="22">
        <v>22368.826267824192</v>
      </c>
      <c r="J109" s="22">
        <v>22368.826267824192</v>
      </c>
      <c r="K109" s="22">
        <v>39420.296134193886</v>
      </c>
      <c r="L109" s="22">
        <v>68494.277163614242</v>
      </c>
      <c r="M109" s="22">
        <v>87618.933561075886</v>
      </c>
      <c r="N109" s="22">
        <v>98189.537510739523</v>
      </c>
      <c r="O109" s="22">
        <v>101844.3062812867</v>
      </c>
      <c r="P109" s="22">
        <v>100880.48150024579</v>
      </c>
      <c r="Q109" s="22">
        <v>95396.045132483152</v>
      </c>
      <c r="R109" s="22">
        <v>85188.92644963364</v>
      </c>
      <c r="S109" s="22">
        <v>67278.277799469739</v>
      </c>
      <c r="T109" s="22">
        <v>38597.837841104236</v>
      </c>
      <c r="U109" s="22">
        <v>89475.305071296767</v>
      </c>
      <c r="V109" s="22">
        <v>89475.305071296767</v>
      </c>
      <c r="W109" s="22">
        <v>89475.305071296767</v>
      </c>
      <c r="X109" s="22">
        <v>89475.305071296767</v>
      </c>
      <c r="Y109" s="22">
        <v>89475.305071296767</v>
      </c>
      <c r="Z109" s="22">
        <v>89475.305071296767</v>
      </c>
      <c r="AA109" s="23">
        <v>89475.305071296767</v>
      </c>
      <c r="AB109" s="97"/>
      <c r="AC109" s="24">
        <v>4</v>
      </c>
      <c r="AD109" s="16">
        <f t="shared" si="23"/>
        <v>6263271.3549907757</v>
      </c>
    </row>
    <row r="110" spans="1:30" ht="13.5" thickBot="1" x14ac:dyDescent="0.35">
      <c r="A110" s="18">
        <v>2028</v>
      </c>
      <c r="B110" s="25" t="s">
        <v>45</v>
      </c>
      <c r="C110" s="26" t="s">
        <v>36</v>
      </c>
      <c r="D110" s="21">
        <v>22368.826267824192</v>
      </c>
      <c r="E110" s="22">
        <v>22368.826267824192</v>
      </c>
      <c r="F110" s="22">
        <v>22368.826267824192</v>
      </c>
      <c r="G110" s="22">
        <v>22368.826267824192</v>
      </c>
      <c r="H110" s="22">
        <v>22368.826267824192</v>
      </c>
      <c r="I110" s="22">
        <v>22368.826267824192</v>
      </c>
      <c r="J110" s="22">
        <v>22368.826267824192</v>
      </c>
      <c r="K110" s="22">
        <v>39420.296134193886</v>
      </c>
      <c r="L110" s="22">
        <v>68494.277163614242</v>
      </c>
      <c r="M110" s="22">
        <v>87618.933561075886</v>
      </c>
      <c r="N110" s="22">
        <v>98189.537510739523</v>
      </c>
      <c r="O110" s="22">
        <v>101844.3062812867</v>
      </c>
      <c r="P110" s="22">
        <v>100880.48150024579</v>
      </c>
      <c r="Q110" s="22">
        <v>95396.045132483137</v>
      </c>
      <c r="R110" s="22">
        <v>85188.926449633655</v>
      </c>
      <c r="S110" s="22">
        <v>67278.277799469754</v>
      </c>
      <c r="T110" s="22">
        <v>38597.837841104243</v>
      </c>
      <c r="U110" s="22">
        <v>89475.305071296767</v>
      </c>
      <c r="V110" s="22">
        <v>89475.305071296767</v>
      </c>
      <c r="W110" s="22">
        <v>89475.305071296767</v>
      </c>
      <c r="X110" s="22">
        <v>89475.305071296767</v>
      </c>
      <c r="Y110" s="22">
        <v>89475.305071296767</v>
      </c>
      <c r="Z110" s="22">
        <v>89475.305071296767</v>
      </c>
      <c r="AA110" s="23">
        <v>89475.305071296767</v>
      </c>
      <c r="AB110" s="97"/>
      <c r="AC110" s="27">
        <v>6</v>
      </c>
      <c r="AD110" s="16">
        <f t="shared" si="23"/>
        <v>9394907.0324861631</v>
      </c>
    </row>
    <row r="111" spans="1:30" ht="13.5" thickBot="1" x14ac:dyDescent="0.35">
      <c r="A111" s="18">
        <v>2028</v>
      </c>
      <c r="B111" s="11" t="s">
        <v>46</v>
      </c>
      <c r="C111" s="12" t="s">
        <v>33</v>
      </c>
      <c r="D111" s="21">
        <v>22368.826267824203</v>
      </c>
      <c r="E111" s="22">
        <v>22368.826267824203</v>
      </c>
      <c r="F111" s="22">
        <v>22368.826267824203</v>
      </c>
      <c r="G111" s="22">
        <v>22368.826267824203</v>
      </c>
      <c r="H111" s="22">
        <v>22368.826267824203</v>
      </c>
      <c r="I111" s="22">
        <v>22368.826267824203</v>
      </c>
      <c r="J111" s="22">
        <v>22368.826267824203</v>
      </c>
      <c r="K111" s="22">
        <v>39420.296134193886</v>
      </c>
      <c r="L111" s="22">
        <v>68494.277163614257</v>
      </c>
      <c r="M111" s="22">
        <v>87618.933561075915</v>
      </c>
      <c r="N111" s="22">
        <v>98189.537510739567</v>
      </c>
      <c r="O111" s="22">
        <v>101844.30628128673</v>
      </c>
      <c r="P111" s="22">
        <v>100880.48150024582</v>
      </c>
      <c r="Q111" s="22">
        <v>95396.045132483137</v>
      </c>
      <c r="R111" s="22">
        <v>85188.926449633655</v>
      </c>
      <c r="S111" s="22">
        <v>67278.277799469739</v>
      </c>
      <c r="T111" s="22">
        <v>38597.837841104243</v>
      </c>
      <c r="U111" s="22">
        <v>89475.305071296811</v>
      </c>
      <c r="V111" s="22">
        <v>89475.305071296811</v>
      </c>
      <c r="W111" s="22">
        <v>89475.305071296811</v>
      </c>
      <c r="X111" s="22">
        <v>89475.305071296811</v>
      </c>
      <c r="Y111" s="22">
        <v>89475.305071296811</v>
      </c>
      <c r="Z111" s="22">
        <v>89475.305071296811</v>
      </c>
      <c r="AA111" s="23">
        <v>89475.305071296811</v>
      </c>
      <c r="AB111" s="96">
        <f t="shared" ref="AB111" si="37">+SUM(D111:AA111)*AC111+SUM(D112:AA112)*AC112+SUM(D113:AA113)*AC113</f>
        <v>48540353.001178518</v>
      </c>
      <c r="AC111" s="16">
        <v>19</v>
      </c>
      <c r="AD111" s="16">
        <f t="shared" si="23"/>
        <v>29750538.936206192</v>
      </c>
    </row>
    <row r="112" spans="1:30" ht="13.5" thickBot="1" x14ac:dyDescent="0.35">
      <c r="A112" s="18">
        <v>2028</v>
      </c>
      <c r="B112" s="19" t="s">
        <v>46</v>
      </c>
      <c r="C112" s="20" t="s">
        <v>50</v>
      </c>
      <c r="D112" s="21">
        <v>22368.826267824192</v>
      </c>
      <c r="E112" s="22">
        <v>22368.826267824192</v>
      </c>
      <c r="F112" s="22">
        <v>22368.826267824192</v>
      </c>
      <c r="G112" s="22">
        <v>22368.826267824192</v>
      </c>
      <c r="H112" s="22">
        <v>22368.826267824192</v>
      </c>
      <c r="I112" s="22">
        <v>22368.826267824192</v>
      </c>
      <c r="J112" s="22">
        <v>22368.826267824192</v>
      </c>
      <c r="K112" s="22">
        <v>39420.296134193886</v>
      </c>
      <c r="L112" s="22">
        <v>68494.277163614242</v>
      </c>
      <c r="M112" s="22">
        <v>87618.933561075886</v>
      </c>
      <c r="N112" s="22">
        <v>98189.537510739523</v>
      </c>
      <c r="O112" s="22">
        <v>101844.3062812867</v>
      </c>
      <c r="P112" s="22">
        <v>100880.48150024579</v>
      </c>
      <c r="Q112" s="22">
        <v>95396.045132483152</v>
      </c>
      <c r="R112" s="22">
        <v>85188.92644963364</v>
      </c>
      <c r="S112" s="22">
        <v>67278.277799469739</v>
      </c>
      <c r="T112" s="22">
        <v>38597.837841104236</v>
      </c>
      <c r="U112" s="22">
        <v>89475.305071296767</v>
      </c>
      <c r="V112" s="22">
        <v>89475.305071296767</v>
      </c>
      <c r="W112" s="22">
        <v>89475.305071296767</v>
      </c>
      <c r="X112" s="22">
        <v>89475.305071296767</v>
      </c>
      <c r="Y112" s="22">
        <v>89475.305071296767</v>
      </c>
      <c r="Z112" s="22">
        <v>89475.305071296767</v>
      </c>
      <c r="AA112" s="23">
        <v>89475.305071296767</v>
      </c>
      <c r="AB112" s="97"/>
      <c r="AC112" s="24">
        <v>5</v>
      </c>
      <c r="AD112" s="16">
        <f t="shared" si="23"/>
        <v>7829089.1937384699</v>
      </c>
    </row>
    <row r="113" spans="1:30" ht="13.5" thickBot="1" x14ac:dyDescent="0.35">
      <c r="A113" s="28">
        <v>2028</v>
      </c>
      <c r="B113" s="25" t="s">
        <v>46</v>
      </c>
      <c r="C113" s="26" t="s">
        <v>36</v>
      </c>
      <c r="D113" s="29">
        <v>22368.826267824192</v>
      </c>
      <c r="E113" s="30">
        <v>22368.826267824192</v>
      </c>
      <c r="F113" s="30">
        <v>22368.826267824192</v>
      </c>
      <c r="G113" s="30">
        <v>22368.826267824192</v>
      </c>
      <c r="H113" s="30">
        <v>22368.826267824192</v>
      </c>
      <c r="I113" s="30">
        <v>22368.826267824192</v>
      </c>
      <c r="J113" s="30">
        <v>22368.826267824192</v>
      </c>
      <c r="K113" s="30">
        <v>39420.296134193886</v>
      </c>
      <c r="L113" s="30">
        <v>68494.277163614242</v>
      </c>
      <c r="M113" s="30">
        <v>87618.933561075872</v>
      </c>
      <c r="N113" s="30">
        <v>98189.537510739523</v>
      </c>
      <c r="O113" s="30">
        <v>101844.30628128668</v>
      </c>
      <c r="P113" s="30">
        <v>100880.48150024578</v>
      </c>
      <c r="Q113" s="30">
        <v>95396.045132483137</v>
      </c>
      <c r="R113" s="30">
        <v>85188.926449633655</v>
      </c>
      <c r="S113" s="30">
        <v>67278.277799469754</v>
      </c>
      <c r="T113" s="30">
        <v>38597.837841104243</v>
      </c>
      <c r="U113" s="30">
        <v>89475.305071296767</v>
      </c>
      <c r="V113" s="30">
        <v>89475.305071296767</v>
      </c>
      <c r="W113" s="30">
        <v>89475.305071296767</v>
      </c>
      <c r="X113" s="30">
        <v>89475.305071296767</v>
      </c>
      <c r="Y113" s="30">
        <v>89475.305071296767</v>
      </c>
      <c r="Z113" s="30">
        <v>89475.305071296767</v>
      </c>
      <c r="AA113" s="31">
        <v>89475.305071296767</v>
      </c>
      <c r="AB113" s="97"/>
      <c r="AC113" s="27">
        <v>7</v>
      </c>
      <c r="AD113" s="42">
        <f t="shared" si="23"/>
        <v>10960724.871233858</v>
      </c>
    </row>
    <row r="114" spans="1:30" ht="13.5" thickBot="1" x14ac:dyDescent="0.35">
      <c r="A114" s="10">
        <v>2029</v>
      </c>
      <c r="B114" s="11" t="s">
        <v>32</v>
      </c>
      <c r="C114" s="12" t="s">
        <v>33</v>
      </c>
      <c r="D114" s="13">
        <v>23297.227426846566</v>
      </c>
      <c r="E114" s="14">
        <v>23297.227426846566</v>
      </c>
      <c r="F114" s="14">
        <v>23297.227426846566</v>
      </c>
      <c r="G114" s="14">
        <v>23297.227426846566</v>
      </c>
      <c r="H114" s="14">
        <v>23297.227426846566</v>
      </c>
      <c r="I114" s="14">
        <v>23297.227426846566</v>
      </c>
      <c r="J114" s="14">
        <v>23297.227426846566</v>
      </c>
      <c r="K114" s="14">
        <v>41056.40561002426</v>
      </c>
      <c r="L114" s="14">
        <v>71337.080158448545</v>
      </c>
      <c r="M114" s="14">
        <v>91255.490906394291</v>
      </c>
      <c r="N114" s="14">
        <v>102264.8197511835</v>
      </c>
      <c r="O114" s="14">
        <v>106071.27692602646</v>
      </c>
      <c r="P114" s="14">
        <v>105067.44932887444</v>
      </c>
      <c r="Q114" s="14">
        <v>99355.385591689235</v>
      </c>
      <c r="R114" s="14">
        <v>88724.628193872035</v>
      </c>
      <c r="S114" s="14">
        <v>70070.61166349116</v>
      </c>
      <c r="T114" s="14">
        <v>40199.811809625935</v>
      </c>
      <c r="U114" s="14">
        <v>93188.909707386265</v>
      </c>
      <c r="V114" s="14">
        <v>93188.909707386265</v>
      </c>
      <c r="W114" s="14">
        <v>93188.909707386265</v>
      </c>
      <c r="X114" s="14">
        <v>93188.909707386265</v>
      </c>
      <c r="Y114" s="14">
        <v>93188.909707386265</v>
      </c>
      <c r="Z114" s="14">
        <v>93188.909707386265</v>
      </c>
      <c r="AA114" s="15">
        <v>93188.909707386265</v>
      </c>
      <c r="AB114" s="96">
        <f t="shared" ref="AB114" si="38">+SUM(D114:AA114)*AC114+SUM(D115:AA115)*AC115+SUM(D116:AA116)*AC116</f>
        <v>50554983.516257048</v>
      </c>
      <c r="AC114" s="16">
        <v>21</v>
      </c>
      <c r="AD114" s="16">
        <f t="shared" si="23"/>
        <v>34246924.317464456</v>
      </c>
    </row>
    <row r="115" spans="1:30" ht="13.5" thickBot="1" x14ac:dyDescent="0.35">
      <c r="A115" s="18">
        <v>2029</v>
      </c>
      <c r="B115" s="19" t="s">
        <v>32</v>
      </c>
      <c r="C115" s="20" t="s">
        <v>50</v>
      </c>
      <c r="D115" s="21">
        <v>23297.227426846566</v>
      </c>
      <c r="E115" s="22">
        <v>23297.227426846566</v>
      </c>
      <c r="F115" s="22">
        <v>23297.227426846566</v>
      </c>
      <c r="G115" s="22">
        <v>23297.227426846566</v>
      </c>
      <c r="H115" s="22">
        <v>23297.227426846566</v>
      </c>
      <c r="I115" s="22">
        <v>23297.227426846566</v>
      </c>
      <c r="J115" s="22">
        <v>23297.227426846566</v>
      </c>
      <c r="K115" s="22">
        <v>41056.405610024267</v>
      </c>
      <c r="L115" s="22">
        <v>71337.080158448545</v>
      </c>
      <c r="M115" s="22">
        <v>91255.490906394261</v>
      </c>
      <c r="N115" s="22">
        <v>102264.8197511835</v>
      </c>
      <c r="O115" s="22">
        <v>106071.27692602645</v>
      </c>
      <c r="P115" s="22">
        <v>105067.44932887443</v>
      </c>
      <c r="Q115" s="22">
        <v>99355.385591689206</v>
      </c>
      <c r="R115" s="22">
        <v>88724.62819387202</v>
      </c>
      <c r="S115" s="22">
        <v>70070.61166349113</v>
      </c>
      <c r="T115" s="22">
        <v>40199.811809625928</v>
      </c>
      <c r="U115" s="22">
        <v>93188.909707386265</v>
      </c>
      <c r="V115" s="22">
        <v>93188.909707386265</v>
      </c>
      <c r="W115" s="22">
        <v>93188.909707386265</v>
      </c>
      <c r="X115" s="22">
        <v>93188.909707386265</v>
      </c>
      <c r="Y115" s="22">
        <v>93188.909707386265</v>
      </c>
      <c r="Z115" s="22">
        <v>93188.909707386265</v>
      </c>
      <c r="AA115" s="23">
        <v>93188.909707386265</v>
      </c>
      <c r="AB115" s="97"/>
      <c r="AC115" s="24">
        <v>4</v>
      </c>
      <c r="AD115" s="16">
        <f t="shared" si="23"/>
        <v>6523223.6795170382</v>
      </c>
    </row>
    <row r="116" spans="1:30" ht="13.5" thickBot="1" x14ac:dyDescent="0.35">
      <c r="A116" s="18">
        <v>2029</v>
      </c>
      <c r="B116" s="25" t="s">
        <v>32</v>
      </c>
      <c r="C116" s="26" t="s">
        <v>36</v>
      </c>
      <c r="D116" s="21">
        <v>23297.227426846566</v>
      </c>
      <c r="E116" s="22">
        <v>23297.227426846566</v>
      </c>
      <c r="F116" s="22">
        <v>23297.227426846566</v>
      </c>
      <c r="G116" s="22">
        <v>23297.227426846566</v>
      </c>
      <c r="H116" s="22">
        <v>23297.227426846566</v>
      </c>
      <c r="I116" s="22">
        <v>23297.227426846566</v>
      </c>
      <c r="J116" s="22">
        <v>23297.227426846566</v>
      </c>
      <c r="K116" s="22">
        <v>41056.405610024267</v>
      </c>
      <c r="L116" s="22">
        <v>71337.080158448545</v>
      </c>
      <c r="M116" s="22">
        <v>91255.490906394261</v>
      </c>
      <c r="N116" s="22">
        <v>102264.8197511835</v>
      </c>
      <c r="O116" s="22">
        <v>106071.27692602645</v>
      </c>
      <c r="P116" s="22">
        <v>105067.44932887443</v>
      </c>
      <c r="Q116" s="22">
        <v>99355.385591689206</v>
      </c>
      <c r="R116" s="22">
        <v>88724.628193872035</v>
      </c>
      <c r="S116" s="22">
        <v>70070.61166349113</v>
      </c>
      <c r="T116" s="22">
        <v>40199.811809625935</v>
      </c>
      <c r="U116" s="22">
        <v>93188.909707386265</v>
      </c>
      <c r="V116" s="22">
        <v>93188.909707386265</v>
      </c>
      <c r="W116" s="22">
        <v>93188.909707386265</v>
      </c>
      <c r="X116" s="22">
        <v>93188.909707386265</v>
      </c>
      <c r="Y116" s="22">
        <v>93188.909707386265</v>
      </c>
      <c r="Z116" s="22">
        <v>93188.909707386265</v>
      </c>
      <c r="AA116" s="23">
        <v>93188.909707386265</v>
      </c>
      <c r="AB116" s="97"/>
      <c r="AC116" s="27">
        <v>6</v>
      </c>
      <c r="AD116" s="16">
        <f t="shared" si="23"/>
        <v>9784835.5192755572</v>
      </c>
    </row>
    <row r="117" spans="1:30" ht="13.5" thickBot="1" x14ac:dyDescent="0.35">
      <c r="A117" s="18">
        <v>2029</v>
      </c>
      <c r="B117" s="11" t="s">
        <v>35</v>
      </c>
      <c r="C117" s="12" t="s">
        <v>33</v>
      </c>
      <c r="D117" s="21">
        <v>23297.227426846566</v>
      </c>
      <c r="E117" s="22">
        <v>23297.227426846566</v>
      </c>
      <c r="F117" s="22">
        <v>23297.227426846566</v>
      </c>
      <c r="G117" s="22">
        <v>23297.227426846566</v>
      </c>
      <c r="H117" s="22">
        <v>23297.227426846566</v>
      </c>
      <c r="I117" s="22">
        <v>23297.227426846566</v>
      </c>
      <c r="J117" s="22">
        <v>23297.227426846566</v>
      </c>
      <c r="K117" s="22">
        <v>41056.40561002426</v>
      </c>
      <c r="L117" s="22">
        <v>71337.080158448545</v>
      </c>
      <c r="M117" s="22">
        <v>91255.490906394291</v>
      </c>
      <c r="N117" s="22">
        <v>102264.8197511835</v>
      </c>
      <c r="O117" s="22">
        <v>106071.27692602645</v>
      </c>
      <c r="P117" s="22">
        <v>105067.44932887444</v>
      </c>
      <c r="Q117" s="22">
        <v>99355.385591689235</v>
      </c>
      <c r="R117" s="22">
        <v>88724.628193872035</v>
      </c>
      <c r="S117" s="22">
        <v>70070.611663491145</v>
      </c>
      <c r="T117" s="22">
        <v>40199.811809625935</v>
      </c>
      <c r="U117" s="22">
        <v>93188.909707386265</v>
      </c>
      <c r="V117" s="22">
        <v>93188.909707386265</v>
      </c>
      <c r="W117" s="22">
        <v>93188.909707386265</v>
      </c>
      <c r="X117" s="22">
        <v>93188.909707386265</v>
      </c>
      <c r="Y117" s="22">
        <v>93188.909707386265</v>
      </c>
      <c r="Z117" s="22">
        <v>93188.909707386265</v>
      </c>
      <c r="AA117" s="23">
        <v>93188.909707386265</v>
      </c>
      <c r="AB117" s="96">
        <f t="shared" ref="AB117" si="39">+SUM(D117:AA117)*AC117+SUM(D118:AA118)*AC118+SUM(D119:AA119)*AC119</f>
        <v>45662565.756619267</v>
      </c>
      <c r="AC117" s="16">
        <v>20</v>
      </c>
      <c r="AD117" s="16">
        <f t="shared" si="23"/>
        <v>32616118.397585195</v>
      </c>
    </row>
    <row r="118" spans="1:30" ht="13.5" thickBot="1" x14ac:dyDescent="0.35">
      <c r="A118" s="18">
        <v>2029</v>
      </c>
      <c r="B118" s="19" t="s">
        <v>35</v>
      </c>
      <c r="C118" s="20" t="s">
        <v>50</v>
      </c>
      <c r="D118" s="21">
        <v>23297.227426846566</v>
      </c>
      <c r="E118" s="22">
        <v>23297.227426846566</v>
      </c>
      <c r="F118" s="22">
        <v>23297.227426846566</v>
      </c>
      <c r="G118" s="22">
        <v>23297.227426846566</v>
      </c>
      <c r="H118" s="22">
        <v>23297.227426846566</v>
      </c>
      <c r="I118" s="22">
        <v>23297.227426846566</v>
      </c>
      <c r="J118" s="22">
        <v>23297.227426846566</v>
      </c>
      <c r="K118" s="22">
        <v>41056.405610024267</v>
      </c>
      <c r="L118" s="22">
        <v>71337.080158448545</v>
      </c>
      <c r="M118" s="22">
        <v>91255.490906394261</v>
      </c>
      <c r="N118" s="22">
        <v>102264.8197511835</v>
      </c>
      <c r="O118" s="22">
        <v>106071.27692602645</v>
      </c>
      <c r="P118" s="22">
        <v>105067.44932887443</v>
      </c>
      <c r="Q118" s="22">
        <v>99355.385591689206</v>
      </c>
      <c r="R118" s="22">
        <v>88724.62819387202</v>
      </c>
      <c r="S118" s="22">
        <v>70070.61166349113</v>
      </c>
      <c r="T118" s="22">
        <v>40199.811809625928</v>
      </c>
      <c r="U118" s="22">
        <v>93188.909707386265</v>
      </c>
      <c r="V118" s="22">
        <v>93188.909707386265</v>
      </c>
      <c r="W118" s="22">
        <v>93188.909707386265</v>
      </c>
      <c r="X118" s="22">
        <v>93188.909707386265</v>
      </c>
      <c r="Y118" s="22">
        <v>93188.909707386265</v>
      </c>
      <c r="Z118" s="22">
        <v>93188.909707386265</v>
      </c>
      <c r="AA118" s="23">
        <v>93188.909707386265</v>
      </c>
      <c r="AB118" s="97"/>
      <c r="AC118" s="24">
        <v>4</v>
      </c>
      <c r="AD118" s="16">
        <f t="shared" si="23"/>
        <v>6523223.6795170382</v>
      </c>
    </row>
    <row r="119" spans="1:30" ht="13.5" thickBot="1" x14ac:dyDescent="0.35">
      <c r="A119" s="18">
        <v>2029</v>
      </c>
      <c r="B119" s="25" t="s">
        <v>35</v>
      </c>
      <c r="C119" s="26" t="s">
        <v>36</v>
      </c>
      <c r="D119" s="21">
        <v>23297.227426846566</v>
      </c>
      <c r="E119" s="22">
        <v>23297.227426846566</v>
      </c>
      <c r="F119" s="22">
        <v>23297.227426846566</v>
      </c>
      <c r="G119" s="22">
        <v>23297.227426846566</v>
      </c>
      <c r="H119" s="22">
        <v>23297.227426846566</v>
      </c>
      <c r="I119" s="22">
        <v>23297.227426846566</v>
      </c>
      <c r="J119" s="22">
        <v>23297.227426846566</v>
      </c>
      <c r="K119" s="22">
        <v>41056.405610024267</v>
      </c>
      <c r="L119" s="22">
        <v>71337.080158448545</v>
      </c>
      <c r="M119" s="22">
        <v>91255.490906394261</v>
      </c>
      <c r="N119" s="22">
        <v>102264.8197511835</v>
      </c>
      <c r="O119" s="22">
        <v>106071.27692602645</v>
      </c>
      <c r="P119" s="22">
        <v>105067.44932887443</v>
      </c>
      <c r="Q119" s="22">
        <v>99355.385591689206</v>
      </c>
      <c r="R119" s="22">
        <v>88724.62819387202</v>
      </c>
      <c r="S119" s="22">
        <v>70070.61166349113</v>
      </c>
      <c r="T119" s="22">
        <v>40199.811809625928</v>
      </c>
      <c r="U119" s="22">
        <v>93188.909707386265</v>
      </c>
      <c r="V119" s="22">
        <v>93188.909707386265</v>
      </c>
      <c r="W119" s="22">
        <v>93188.909707386265</v>
      </c>
      <c r="X119" s="22">
        <v>93188.909707386265</v>
      </c>
      <c r="Y119" s="22">
        <v>93188.909707386265</v>
      </c>
      <c r="Z119" s="22">
        <v>93188.909707386265</v>
      </c>
      <c r="AA119" s="23">
        <v>93188.909707386265</v>
      </c>
      <c r="AB119" s="97"/>
      <c r="AC119" s="27">
        <v>4</v>
      </c>
      <c r="AD119" s="16">
        <f t="shared" si="23"/>
        <v>6523223.6795170382</v>
      </c>
    </row>
    <row r="120" spans="1:30" ht="13.5" thickBot="1" x14ac:dyDescent="0.35">
      <c r="A120" s="18">
        <v>2029</v>
      </c>
      <c r="B120" s="11" t="s">
        <v>37</v>
      </c>
      <c r="C120" s="12" t="s">
        <v>33</v>
      </c>
      <c r="D120" s="21">
        <v>23297.227426846566</v>
      </c>
      <c r="E120" s="22">
        <v>23297.227426846566</v>
      </c>
      <c r="F120" s="22">
        <v>23297.227426846566</v>
      </c>
      <c r="G120" s="22">
        <v>23297.227426846566</v>
      </c>
      <c r="H120" s="22">
        <v>23297.227426846566</v>
      </c>
      <c r="I120" s="22">
        <v>23297.227426846566</v>
      </c>
      <c r="J120" s="22">
        <v>23297.227426846566</v>
      </c>
      <c r="K120" s="22">
        <v>41056.40561002426</v>
      </c>
      <c r="L120" s="22">
        <v>71337.080158448545</v>
      </c>
      <c r="M120" s="22">
        <v>91255.490906394291</v>
      </c>
      <c r="N120" s="22">
        <v>102264.8197511835</v>
      </c>
      <c r="O120" s="22">
        <v>106071.27692602645</v>
      </c>
      <c r="P120" s="22">
        <v>105067.44932887446</v>
      </c>
      <c r="Q120" s="22">
        <v>99355.385591689235</v>
      </c>
      <c r="R120" s="22">
        <v>88724.628193872035</v>
      </c>
      <c r="S120" s="22">
        <v>70070.611663491145</v>
      </c>
      <c r="T120" s="22">
        <v>40199.811809625935</v>
      </c>
      <c r="U120" s="22">
        <v>93188.909707386265</v>
      </c>
      <c r="V120" s="22">
        <v>93188.909707386265</v>
      </c>
      <c r="W120" s="22">
        <v>93188.909707386265</v>
      </c>
      <c r="X120" s="22">
        <v>93188.909707386265</v>
      </c>
      <c r="Y120" s="22">
        <v>93188.909707386265</v>
      </c>
      <c r="Z120" s="22">
        <v>93188.909707386265</v>
      </c>
      <c r="AA120" s="23">
        <v>93188.909707386265</v>
      </c>
      <c r="AB120" s="96">
        <f t="shared" ref="AB120" si="40">+SUM(D120:AA120)*AC120+SUM(D121:AA121)*AC121+SUM(D122:AA122)*AC122</f>
        <v>50554983.516257055</v>
      </c>
      <c r="AC120" s="16">
        <v>19</v>
      </c>
      <c r="AD120" s="16">
        <f t="shared" si="23"/>
        <v>30985312.477705937</v>
      </c>
    </row>
    <row r="121" spans="1:30" ht="13.5" thickBot="1" x14ac:dyDescent="0.35">
      <c r="A121" s="18">
        <v>2029</v>
      </c>
      <c r="B121" s="19" t="s">
        <v>37</v>
      </c>
      <c r="C121" s="20" t="s">
        <v>50</v>
      </c>
      <c r="D121" s="21">
        <v>23297.227426846566</v>
      </c>
      <c r="E121" s="22">
        <v>23297.227426846566</v>
      </c>
      <c r="F121" s="22">
        <v>23297.227426846566</v>
      </c>
      <c r="G121" s="22">
        <v>23297.227426846566</v>
      </c>
      <c r="H121" s="22">
        <v>23297.227426846566</v>
      </c>
      <c r="I121" s="22">
        <v>23297.227426846566</v>
      </c>
      <c r="J121" s="22">
        <v>23297.227426846566</v>
      </c>
      <c r="K121" s="22">
        <v>41056.405610024267</v>
      </c>
      <c r="L121" s="22">
        <v>71337.080158448545</v>
      </c>
      <c r="M121" s="22">
        <v>91255.490906394261</v>
      </c>
      <c r="N121" s="22">
        <v>102264.8197511835</v>
      </c>
      <c r="O121" s="22">
        <v>106071.27692602645</v>
      </c>
      <c r="P121" s="22">
        <v>105067.44932887443</v>
      </c>
      <c r="Q121" s="22">
        <v>99355.385591689206</v>
      </c>
      <c r="R121" s="22">
        <v>88724.62819387202</v>
      </c>
      <c r="S121" s="22">
        <v>70070.61166349113</v>
      </c>
      <c r="T121" s="22">
        <v>40199.811809625928</v>
      </c>
      <c r="U121" s="22">
        <v>93188.909707386265</v>
      </c>
      <c r="V121" s="22">
        <v>93188.909707386265</v>
      </c>
      <c r="W121" s="22">
        <v>93188.909707386265</v>
      </c>
      <c r="X121" s="22">
        <v>93188.909707386265</v>
      </c>
      <c r="Y121" s="22">
        <v>93188.909707386265</v>
      </c>
      <c r="Z121" s="22">
        <v>93188.909707386265</v>
      </c>
      <c r="AA121" s="23">
        <v>93188.909707386265</v>
      </c>
      <c r="AB121" s="97"/>
      <c r="AC121" s="24">
        <v>5</v>
      </c>
      <c r="AD121" s="16">
        <f t="shared" si="23"/>
        <v>8154029.5993962977</v>
      </c>
    </row>
    <row r="122" spans="1:30" ht="13.5" thickBot="1" x14ac:dyDescent="0.35">
      <c r="A122" s="18">
        <v>2029</v>
      </c>
      <c r="B122" s="25" t="s">
        <v>37</v>
      </c>
      <c r="C122" s="26" t="s">
        <v>36</v>
      </c>
      <c r="D122" s="21">
        <v>23297.227426846566</v>
      </c>
      <c r="E122" s="22">
        <v>23297.227426846566</v>
      </c>
      <c r="F122" s="22">
        <v>23297.227426846566</v>
      </c>
      <c r="G122" s="22">
        <v>23297.227426846566</v>
      </c>
      <c r="H122" s="22">
        <v>23297.227426846566</v>
      </c>
      <c r="I122" s="22">
        <v>23297.227426846566</v>
      </c>
      <c r="J122" s="22">
        <v>23297.227426846566</v>
      </c>
      <c r="K122" s="22">
        <v>41056.405610024267</v>
      </c>
      <c r="L122" s="22">
        <v>71337.080158448545</v>
      </c>
      <c r="M122" s="22">
        <v>91255.490906394247</v>
      </c>
      <c r="N122" s="22">
        <v>102264.8197511835</v>
      </c>
      <c r="O122" s="22">
        <v>106071.27692602645</v>
      </c>
      <c r="P122" s="22">
        <v>105067.44932887444</v>
      </c>
      <c r="Q122" s="22">
        <v>99355.385591689192</v>
      </c>
      <c r="R122" s="22">
        <v>88724.628193872035</v>
      </c>
      <c r="S122" s="22">
        <v>70070.61166349113</v>
      </c>
      <c r="T122" s="22">
        <v>40199.811809625935</v>
      </c>
      <c r="U122" s="22">
        <v>93188.909707386265</v>
      </c>
      <c r="V122" s="22">
        <v>93188.909707386265</v>
      </c>
      <c r="W122" s="22">
        <v>93188.909707386265</v>
      </c>
      <c r="X122" s="22">
        <v>93188.909707386265</v>
      </c>
      <c r="Y122" s="22">
        <v>93188.909707386265</v>
      </c>
      <c r="Z122" s="22">
        <v>93188.909707386265</v>
      </c>
      <c r="AA122" s="23">
        <v>93188.909707386265</v>
      </c>
      <c r="AB122" s="97"/>
      <c r="AC122" s="27">
        <v>7</v>
      </c>
      <c r="AD122" s="16">
        <f t="shared" si="23"/>
        <v>11415641.439154817</v>
      </c>
    </row>
    <row r="123" spans="1:30" ht="13.5" thickBot="1" x14ac:dyDescent="0.35">
      <c r="A123" s="18">
        <v>2029</v>
      </c>
      <c r="B123" s="11" t="s">
        <v>38</v>
      </c>
      <c r="C123" s="12" t="s">
        <v>33</v>
      </c>
      <c r="D123" s="21">
        <v>23297.227426846566</v>
      </c>
      <c r="E123" s="22">
        <v>23297.227426846566</v>
      </c>
      <c r="F123" s="22">
        <v>23297.227426846566</v>
      </c>
      <c r="G123" s="22">
        <v>23297.227426846566</v>
      </c>
      <c r="H123" s="22">
        <v>23297.227426846566</v>
      </c>
      <c r="I123" s="22">
        <v>23297.227426846566</v>
      </c>
      <c r="J123" s="22">
        <v>23297.227426846566</v>
      </c>
      <c r="K123" s="22">
        <v>41056.40561002426</v>
      </c>
      <c r="L123" s="22">
        <v>71337.080158448545</v>
      </c>
      <c r="M123" s="22">
        <v>91255.490906394291</v>
      </c>
      <c r="N123" s="22">
        <v>102264.8197511835</v>
      </c>
      <c r="O123" s="22">
        <v>106071.27692602646</v>
      </c>
      <c r="P123" s="22">
        <v>105067.44932887444</v>
      </c>
      <c r="Q123" s="22">
        <v>99355.385591689235</v>
      </c>
      <c r="R123" s="22">
        <v>88724.628193872035</v>
      </c>
      <c r="S123" s="22">
        <v>70070.61166349116</v>
      </c>
      <c r="T123" s="22">
        <v>40199.811809625935</v>
      </c>
      <c r="U123" s="22">
        <v>93188.909707386265</v>
      </c>
      <c r="V123" s="22">
        <v>93188.909707386265</v>
      </c>
      <c r="W123" s="22">
        <v>93188.909707386265</v>
      </c>
      <c r="X123" s="22">
        <v>93188.909707386265</v>
      </c>
      <c r="Y123" s="22">
        <v>93188.909707386265</v>
      </c>
      <c r="Z123" s="22">
        <v>93188.909707386265</v>
      </c>
      <c r="AA123" s="23">
        <v>93188.909707386265</v>
      </c>
      <c r="AB123" s="96">
        <f t="shared" ref="AB123" si="41">+SUM(D123:AA123)*AC123+SUM(D124:AA124)*AC124+SUM(D125:AA125)*AC125</f>
        <v>48924177.59637779</v>
      </c>
      <c r="AC123" s="16">
        <v>21</v>
      </c>
      <c r="AD123" s="16">
        <f t="shared" si="23"/>
        <v>34246924.317464456</v>
      </c>
    </row>
    <row r="124" spans="1:30" ht="13.5" thickBot="1" x14ac:dyDescent="0.35">
      <c r="A124" s="18">
        <v>2029</v>
      </c>
      <c r="B124" s="19" t="s">
        <v>38</v>
      </c>
      <c r="C124" s="20" t="s">
        <v>50</v>
      </c>
      <c r="D124" s="21">
        <v>23297.227426846566</v>
      </c>
      <c r="E124" s="22">
        <v>23297.227426846566</v>
      </c>
      <c r="F124" s="22">
        <v>23297.227426846566</v>
      </c>
      <c r="G124" s="22">
        <v>23297.227426846566</v>
      </c>
      <c r="H124" s="22">
        <v>23297.227426846566</v>
      </c>
      <c r="I124" s="22">
        <v>23297.227426846566</v>
      </c>
      <c r="J124" s="22">
        <v>23297.227426846566</v>
      </c>
      <c r="K124" s="22">
        <v>41056.405610024267</v>
      </c>
      <c r="L124" s="22">
        <v>71337.080158448545</v>
      </c>
      <c r="M124" s="22">
        <v>91255.490906394261</v>
      </c>
      <c r="N124" s="22">
        <v>102264.8197511835</v>
      </c>
      <c r="O124" s="22">
        <v>106071.27692602645</v>
      </c>
      <c r="P124" s="22">
        <v>105067.44932887443</v>
      </c>
      <c r="Q124" s="22">
        <v>99355.385591689206</v>
      </c>
      <c r="R124" s="22">
        <v>88724.62819387202</v>
      </c>
      <c r="S124" s="22">
        <v>70070.61166349113</v>
      </c>
      <c r="T124" s="22">
        <v>40199.811809625928</v>
      </c>
      <c r="U124" s="22">
        <v>93188.909707386265</v>
      </c>
      <c r="V124" s="22">
        <v>93188.909707386265</v>
      </c>
      <c r="W124" s="22">
        <v>93188.909707386265</v>
      </c>
      <c r="X124" s="22">
        <v>93188.909707386265</v>
      </c>
      <c r="Y124" s="22">
        <v>93188.909707386265</v>
      </c>
      <c r="Z124" s="22">
        <v>93188.909707386265</v>
      </c>
      <c r="AA124" s="23">
        <v>93188.909707386265</v>
      </c>
      <c r="AB124" s="97"/>
      <c r="AC124" s="24">
        <v>4</v>
      </c>
      <c r="AD124" s="16">
        <f t="shared" si="23"/>
        <v>6523223.6795170382</v>
      </c>
    </row>
    <row r="125" spans="1:30" ht="13.5" thickBot="1" x14ac:dyDescent="0.35">
      <c r="A125" s="18">
        <v>2029</v>
      </c>
      <c r="B125" s="25" t="s">
        <v>38</v>
      </c>
      <c r="C125" s="26" t="s">
        <v>36</v>
      </c>
      <c r="D125" s="21">
        <v>23297.227426846566</v>
      </c>
      <c r="E125" s="22">
        <v>23297.227426846566</v>
      </c>
      <c r="F125" s="22">
        <v>23297.227426846566</v>
      </c>
      <c r="G125" s="22">
        <v>23297.227426846566</v>
      </c>
      <c r="H125" s="22">
        <v>23297.227426846566</v>
      </c>
      <c r="I125" s="22">
        <v>23297.227426846566</v>
      </c>
      <c r="J125" s="22">
        <v>23297.227426846566</v>
      </c>
      <c r="K125" s="22">
        <v>41056.405610024267</v>
      </c>
      <c r="L125" s="22">
        <v>71337.080158448545</v>
      </c>
      <c r="M125" s="22">
        <v>91255.490906394261</v>
      </c>
      <c r="N125" s="22">
        <v>102264.8197511835</v>
      </c>
      <c r="O125" s="22">
        <v>106071.27692602645</v>
      </c>
      <c r="P125" s="22">
        <v>105067.44932887443</v>
      </c>
      <c r="Q125" s="22">
        <v>99355.385591689206</v>
      </c>
      <c r="R125" s="22">
        <v>88724.62819387202</v>
      </c>
      <c r="S125" s="22">
        <v>70070.61166349113</v>
      </c>
      <c r="T125" s="22">
        <v>40199.811809625928</v>
      </c>
      <c r="U125" s="22">
        <v>93188.909707386265</v>
      </c>
      <c r="V125" s="22">
        <v>93188.909707386265</v>
      </c>
      <c r="W125" s="22">
        <v>93188.909707386265</v>
      </c>
      <c r="X125" s="22">
        <v>93188.909707386265</v>
      </c>
      <c r="Y125" s="22">
        <v>93188.909707386265</v>
      </c>
      <c r="Z125" s="22">
        <v>93188.909707386265</v>
      </c>
      <c r="AA125" s="23">
        <v>93188.909707386265</v>
      </c>
      <c r="AB125" s="97"/>
      <c r="AC125" s="27">
        <v>5</v>
      </c>
      <c r="AD125" s="16">
        <f t="shared" si="23"/>
        <v>8154029.5993962977</v>
      </c>
    </row>
    <row r="126" spans="1:30" ht="13.5" thickBot="1" x14ac:dyDescent="0.35">
      <c r="A126" s="18">
        <v>2029</v>
      </c>
      <c r="B126" s="11" t="s">
        <v>39</v>
      </c>
      <c r="C126" s="12" t="s">
        <v>33</v>
      </c>
      <c r="D126" s="21">
        <v>23297.227426846566</v>
      </c>
      <c r="E126" s="22">
        <v>23297.227426846566</v>
      </c>
      <c r="F126" s="22">
        <v>23297.227426846566</v>
      </c>
      <c r="G126" s="22">
        <v>23297.227426846566</v>
      </c>
      <c r="H126" s="22">
        <v>23297.227426846566</v>
      </c>
      <c r="I126" s="22">
        <v>23297.227426846566</v>
      </c>
      <c r="J126" s="22">
        <v>23297.227426846566</v>
      </c>
      <c r="K126" s="22">
        <v>41056.40561002426</v>
      </c>
      <c r="L126" s="22">
        <v>71337.080158448545</v>
      </c>
      <c r="M126" s="22">
        <v>91255.490906394291</v>
      </c>
      <c r="N126" s="22">
        <v>102264.8197511835</v>
      </c>
      <c r="O126" s="22">
        <v>106071.27692602646</v>
      </c>
      <c r="P126" s="22">
        <v>105067.44932887444</v>
      </c>
      <c r="Q126" s="22">
        <v>99355.385591689235</v>
      </c>
      <c r="R126" s="22">
        <v>88724.628193872035</v>
      </c>
      <c r="S126" s="22">
        <v>70070.61166349116</v>
      </c>
      <c r="T126" s="22">
        <v>40199.811809625935</v>
      </c>
      <c r="U126" s="22">
        <v>93188.909707386265</v>
      </c>
      <c r="V126" s="22">
        <v>93188.909707386265</v>
      </c>
      <c r="W126" s="22">
        <v>93188.909707386265</v>
      </c>
      <c r="X126" s="22">
        <v>93188.909707386265</v>
      </c>
      <c r="Y126" s="22">
        <v>93188.909707386265</v>
      </c>
      <c r="Z126" s="22">
        <v>93188.909707386265</v>
      </c>
      <c r="AA126" s="23">
        <v>93188.909707386265</v>
      </c>
      <c r="AB126" s="96">
        <f t="shared" ref="AB126" si="42">+SUM(D126:AA126)*AC126+SUM(D127:AA127)*AC127+SUM(D128:AA128)*AC128</f>
        <v>50554983.516257048</v>
      </c>
      <c r="AC126" s="16">
        <v>21</v>
      </c>
      <c r="AD126" s="16">
        <f t="shared" si="23"/>
        <v>34246924.317464456</v>
      </c>
    </row>
    <row r="127" spans="1:30" ht="13.5" thickBot="1" x14ac:dyDescent="0.35">
      <c r="A127" s="18">
        <v>2029</v>
      </c>
      <c r="B127" s="19" t="s">
        <v>39</v>
      </c>
      <c r="C127" s="20" t="s">
        <v>50</v>
      </c>
      <c r="D127" s="21">
        <v>23297.227426846566</v>
      </c>
      <c r="E127" s="22">
        <v>23297.227426846566</v>
      </c>
      <c r="F127" s="22">
        <v>23297.227426846566</v>
      </c>
      <c r="G127" s="22">
        <v>23297.227426846566</v>
      </c>
      <c r="H127" s="22">
        <v>23297.227426846566</v>
      </c>
      <c r="I127" s="22">
        <v>23297.227426846566</v>
      </c>
      <c r="J127" s="22">
        <v>23297.227426846566</v>
      </c>
      <c r="K127" s="22">
        <v>41056.405610024267</v>
      </c>
      <c r="L127" s="22">
        <v>71337.080158448545</v>
      </c>
      <c r="M127" s="22">
        <v>91255.490906394261</v>
      </c>
      <c r="N127" s="22">
        <v>102264.8197511835</v>
      </c>
      <c r="O127" s="22">
        <v>106071.27692602645</v>
      </c>
      <c r="P127" s="22">
        <v>105067.44932887443</v>
      </c>
      <c r="Q127" s="22">
        <v>99355.385591689206</v>
      </c>
      <c r="R127" s="22">
        <v>88724.62819387202</v>
      </c>
      <c r="S127" s="22">
        <v>70070.61166349113</v>
      </c>
      <c r="T127" s="22">
        <v>40199.811809625928</v>
      </c>
      <c r="U127" s="22">
        <v>93188.909707386265</v>
      </c>
      <c r="V127" s="22">
        <v>93188.909707386265</v>
      </c>
      <c r="W127" s="22">
        <v>93188.909707386265</v>
      </c>
      <c r="X127" s="22">
        <v>93188.909707386265</v>
      </c>
      <c r="Y127" s="22">
        <v>93188.909707386265</v>
      </c>
      <c r="Z127" s="22">
        <v>93188.909707386265</v>
      </c>
      <c r="AA127" s="23">
        <v>93188.909707386265</v>
      </c>
      <c r="AB127" s="97"/>
      <c r="AC127" s="24">
        <v>4</v>
      </c>
      <c r="AD127" s="16">
        <f t="shared" si="23"/>
        <v>6523223.6795170382</v>
      </c>
    </row>
    <row r="128" spans="1:30" ht="13.5" thickBot="1" x14ac:dyDescent="0.35">
      <c r="A128" s="18">
        <v>2029</v>
      </c>
      <c r="B128" s="25" t="s">
        <v>39</v>
      </c>
      <c r="C128" s="26" t="s">
        <v>36</v>
      </c>
      <c r="D128" s="21">
        <v>23297.227426846566</v>
      </c>
      <c r="E128" s="22">
        <v>23297.227426846566</v>
      </c>
      <c r="F128" s="22">
        <v>23297.227426846566</v>
      </c>
      <c r="G128" s="22">
        <v>23297.227426846566</v>
      </c>
      <c r="H128" s="22">
        <v>23297.227426846566</v>
      </c>
      <c r="I128" s="22">
        <v>23297.227426846566</v>
      </c>
      <c r="J128" s="22">
        <v>23297.227426846566</v>
      </c>
      <c r="K128" s="22">
        <v>41056.405610024267</v>
      </c>
      <c r="L128" s="22">
        <v>71337.080158448545</v>
      </c>
      <c r="M128" s="22">
        <v>91255.490906394261</v>
      </c>
      <c r="N128" s="22">
        <v>102264.8197511835</v>
      </c>
      <c r="O128" s="22">
        <v>106071.27692602645</v>
      </c>
      <c r="P128" s="22">
        <v>105067.44932887443</v>
      </c>
      <c r="Q128" s="22">
        <v>99355.385591689206</v>
      </c>
      <c r="R128" s="22">
        <v>88724.628193872035</v>
      </c>
      <c r="S128" s="22">
        <v>70070.61166349113</v>
      </c>
      <c r="T128" s="22">
        <v>40199.811809625935</v>
      </c>
      <c r="U128" s="22">
        <v>93188.909707386265</v>
      </c>
      <c r="V128" s="22">
        <v>93188.909707386265</v>
      </c>
      <c r="W128" s="22">
        <v>93188.909707386265</v>
      </c>
      <c r="X128" s="22">
        <v>93188.909707386265</v>
      </c>
      <c r="Y128" s="22">
        <v>93188.909707386265</v>
      </c>
      <c r="Z128" s="22">
        <v>93188.909707386265</v>
      </c>
      <c r="AA128" s="23">
        <v>93188.909707386265</v>
      </c>
      <c r="AB128" s="97"/>
      <c r="AC128" s="27">
        <v>6</v>
      </c>
      <c r="AD128" s="16">
        <f t="shared" si="23"/>
        <v>9784835.5192755572</v>
      </c>
    </row>
    <row r="129" spans="1:30" ht="13.5" thickBot="1" x14ac:dyDescent="0.35">
      <c r="A129" s="18">
        <v>2029</v>
      </c>
      <c r="B129" s="11" t="s">
        <v>40</v>
      </c>
      <c r="C129" s="12" t="s">
        <v>33</v>
      </c>
      <c r="D129" s="21">
        <v>23297.227426846566</v>
      </c>
      <c r="E129" s="22">
        <v>23297.227426846566</v>
      </c>
      <c r="F129" s="22">
        <v>23297.227426846566</v>
      </c>
      <c r="G129" s="22">
        <v>23297.227426846566</v>
      </c>
      <c r="H129" s="22">
        <v>23297.227426846566</v>
      </c>
      <c r="I129" s="22">
        <v>23297.227426846566</v>
      </c>
      <c r="J129" s="22">
        <v>23297.227426846566</v>
      </c>
      <c r="K129" s="22">
        <v>41056.40561002426</v>
      </c>
      <c r="L129" s="22">
        <v>71337.080158448545</v>
      </c>
      <c r="M129" s="22">
        <v>91255.490906394291</v>
      </c>
      <c r="N129" s="22">
        <v>102264.8197511835</v>
      </c>
      <c r="O129" s="22">
        <v>106071.27692602645</v>
      </c>
      <c r="P129" s="22">
        <v>105067.44932887446</v>
      </c>
      <c r="Q129" s="22">
        <v>99355.385591689235</v>
      </c>
      <c r="R129" s="22">
        <v>88724.628193872035</v>
      </c>
      <c r="S129" s="22">
        <v>70070.611663491145</v>
      </c>
      <c r="T129" s="22">
        <v>40199.811809625935</v>
      </c>
      <c r="U129" s="22">
        <v>93188.909707386265</v>
      </c>
      <c r="V129" s="22">
        <v>93188.909707386265</v>
      </c>
      <c r="W129" s="22">
        <v>93188.909707386265</v>
      </c>
      <c r="X129" s="22">
        <v>93188.909707386265</v>
      </c>
      <c r="Y129" s="22">
        <v>93188.909707386265</v>
      </c>
      <c r="Z129" s="22">
        <v>93188.909707386265</v>
      </c>
      <c r="AA129" s="23">
        <v>93188.909707386265</v>
      </c>
      <c r="AB129" s="96">
        <f t="shared" ref="AB129" si="43">+SUM(D129:AA129)*AC129+SUM(D130:AA130)*AC130+SUM(D131:AA131)*AC131</f>
        <v>48924177.59637779</v>
      </c>
      <c r="AC129" s="16">
        <v>19</v>
      </c>
      <c r="AD129" s="16">
        <f t="shared" si="23"/>
        <v>30985312.477705937</v>
      </c>
    </row>
    <row r="130" spans="1:30" ht="13.5" thickBot="1" x14ac:dyDescent="0.35">
      <c r="A130" s="18">
        <v>2029</v>
      </c>
      <c r="B130" s="19" t="s">
        <v>40</v>
      </c>
      <c r="C130" s="20" t="s">
        <v>50</v>
      </c>
      <c r="D130" s="21">
        <v>23297.227426846566</v>
      </c>
      <c r="E130" s="22">
        <v>23297.227426846566</v>
      </c>
      <c r="F130" s="22">
        <v>23297.227426846566</v>
      </c>
      <c r="G130" s="22">
        <v>23297.227426846566</v>
      </c>
      <c r="H130" s="22">
        <v>23297.227426846566</v>
      </c>
      <c r="I130" s="22">
        <v>23297.227426846566</v>
      </c>
      <c r="J130" s="22">
        <v>23297.227426846566</v>
      </c>
      <c r="K130" s="22">
        <v>41056.405610024267</v>
      </c>
      <c r="L130" s="22">
        <v>71337.080158448545</v>
      </c>
      <c r="M130" s="22">
        <v>91255.490906394261</v>
      </c>
      <c r="N130" s="22">
        <v>102264.8197511835</v>
      </c>
      <c r="O130" s="22">
        <v>106071.27692602645</v>
      </c>
      <c r="P130" s="22">
        <v>105067.44932887443</v>
      </c>
      <c r="Q130" s="22">
        <v>99355.385591689206</v>
      </c>
      <c r="R130" s="22">
        <v>88724.62819387202</v>
      </c>
      <c r="S130" s="22">
        <v>70070.61166349113</v>
      </c>
      <c r="T130" s="22">
        <v>40199.811809625928</v>
      </c>
      <c r="U130" s="22">
        <v>93188.909707386265</v>
      </c>
      <c r="V130" s="22">
        <v>93188.909707386265</v>
      </c>
      <c r="W130" s="22">
        <v>93188.909707386265</v>
      </c>
      <c r="X130" s="22">
        <v>93188.909707386265</v>
      </c>
      <c r="Y130" s="22">
        <v>93188.909707386265</v>
      </c>
      <c r="Z130" s="22">
        <v>93188.909707386265</v>
      </c>
      <c r="AA130" s="23">
        <v>93188.909707386265</v>
      </c>
      <c r="AB130" s="97"/>
      <c r="AC130" s="24">
        <v>5</v>
      </c>
      <c r="AD130" s="16">
        <f t="shared" si="23"/>
        <v>8154029.5993962977</v>
      </c>
    </row>
    <row r="131" spans="1:30" ht="13.5" thickBot="1" x14ac:dyDescent="0.35">
      <c r="A131" s="18">
        <v>2029</v>
      </c>
      <c r="B131" s="25" t="s">
        <v>40</v>
      </c>
      <c r="C131" s="26" t="s">
        <v>36</v>
      </c>
      <c r="D131" s="21">
        <v>23297.227426846566</v>
      </c>
      <c r="E131" s="22">
        <v>23297.227426846566</v>
      </c>
      <c r="F131" s="22">
        <v>23297.227426846566</v>
      </c>
      <c r="G131" s="22">
        <v>23297.227426846566</v>
      </c>
      <c r="H131" s="22">
        <v>23297.227426846566</v>
      </c>
      <c r="I131" s="22">
        <v>23297.227426846566</v>
      </c>
      <c r="J131" s="22">
        <v>23297.227426846566</v>
      </c>
      <c r="K131" s="22">
        <v>41056.405610024267</v>
      </c>
      <c r="L131" s="22">
        <v>71337.080158448545</v>
      </c>
      <c r="M131" s="22">
        <v>91255.490906394261</v>
      </c>
      <c r="N131" s="22">
        <v>102264.8197511835</v>
      </c>
      <c r="O131" s="22">
        <v>106071.27692602645</v>
      </c>
      <c r="P131" s="22">
        <v>105067.44932887443</v>
      </c>
      <c r="Q131" s="22">
        <v>99355.385591689206</v>
      </c>
      <c r="R131" s="22">
        <v>88724.628193872035</v>
      </c>
      <c r="S131" s="22">
        <v>70070.61166349113</v>
      </c>
      <c r="T131" s="22">
        <v>40199.811809625935</v>
      </c>
      <c r="U131" s="22">
        <v>93188.909707386265</v>
      </c>
      <c r="V131" s="22">
        <v>93188.909707386265</v>
      </c>
      <c r="W131" s="22">
        <v>93188.909707386265</v>
      </c>
      <c r="X131" s="22">
        <v>93188.909707386265</v>
      </c>
      <c r="Y131" s="22">
        <v>93188.909707386265</v>
      </c>
      <c r="Z131" s="22">
        <v>93188.909707386265</v>
      </c>
      <c r="AA131" s="23">
        <v>93188.909707386265</v>
      </c>
      <c r="AB131" s="97"/>
      <c r="AC131" s="27">
        <v>6</v>
      </c>
      <c r="AD131" s="16">
        <f t="shared" si="23"/>
        <v>9784835.5192755572</v>
      </c>
    </row>
    <row r="132" spans="1:30" ht="13.5" thickBot="1" x14ac:dyDescent="0.35">
      <c r="A132" s="18">
        <v>2029</v>
      </c>
      <c r="B132" s="11" t="s">
        <v>41</v>
      </c>
      <c r="C132" s="12" t="s">
        <v>33</v>
      </c>
      <c r="D132" s="21">
        <v>23297.227426846566</v>
      </c>
      <c r="E132" s="22">
        <v>23297.227426846566</v>
      </c>
      <c r="F132" s="22">
        <v>23297.227426846566</v>
      </c>
      <c r="G132" s="22">
        <v>23297.227426846566</v>
      </c>
      <c r="H132" s="22">
        <v>23297.227426846566</v>
      </c>
      <c r="I132" s="22">
        <v>23297.227426846566</v>
      </c>
      <c r="J132" s="22">
        <v>23297.227426846566</v>
      </c>
      <c r="K132" s="22">
        <v>41056.40561002426</v>
      </c>
      <c r="L132" s="22">
        <v>71337.080158448545</v>
      </c>
      <c r="M132" s="22">
        <v>91255.490906394291</v>
      </c>
      <c r="N132" s="22">
        <v>102264.8197511835</v>
      </c>
      <c r="O132" s="22">
        <v>106071.27692602645</v>
      </c>
      <c r="P132" s="22">
        <v>105067.44932887444</v>
      </c>
      <c r="Q132" s="22">
        <v>99355.385591689235</v>
      </c>
      <c r="R132" s="22">
        <v>88724.628193872035</v>
      </c>
      <c r="S132" s="22">
        <v>70070.611663491145</v>
      </c>
      <c r="T132" s="22">
        <v>40199.811809625935</v>
      </c>
      <c r="U132" s="22">
        <v>93188.909707386265</v>
      </c>
      <c r="V132" s="22">
        <v>93188.909707386265</v>
      </c>
      <c r="W132" s="22">
        <v>93188.909707386265</v>
      </c>
      <c r="X132" s="22">
        <v>93188.909707386265</v>
      </c>
      <c r="Y132" s="22">
        <v>93188.909707386265</v>
      </c>
      <c r="Z132" s="22">
        <v>93188.909707386265</v>
      </c>
      <c r="AA132" s="23">
        <v>93188.909707386265</v>
      </c>
      <c r="AB132" s="96">
        <f t="shared" ref="AB132" si="44">+SUM(D132:AA132)*AC132+SUM(D133:AA133)*AC133+SUM(D134:AA134)*AC134</f>
        <v>50554983.516257048</v>
      </c>
      <c r="AC132" s="16">
        <v>20</v>
      </c>
      <c r="AD132" s="16">
        <f t="shared" si="23"/>
        <v>32616118.397585195</v>
      </c>
    </row>
    <row r="133" spans="1:30" ht="13.5" thickBot="1" x14ac:dyDescent="0.35">
      <c r="A133" s="18">
        <v>2029</v>
      </c>
      <c r="B133" s="19" t="s">
        <v>41</v>
      </c>
      <c r="C133" s="20" t="s">
        <v>50</v>
      </c>
      <c r="D133" s="21">
        <v>23297.227426846566</v>
      </c>
      <c r="E133" s="22">
        <v>23297.227426846566</v>
      </c>
      <c r="F133" s="22">
        <v>23297.227426846566</v>
      </c>
      <c r="G133" s="22">
        <v>23297.227426846566</v>
      </c>
      <c r="H133" s="22">
        <v>23297.227426846566</v>
      </c>
      <c r="I133" s="22">
        <v>23297.227426846566</v>
      </c>
      <c r="J133" s="22">
        <v>23297.227426846566</v>
      </c>
      <c r="K133" s="22">
        <v>41056.405610024267</v>
      </c>
      <c r="L133" s="22">
        <v>71337.080158448545</v>
      </c>
      <c r="M133" s="22">
        <v>91255.490906394261</v>
      </c>
      <c r="N133" s="22">
        <v>102264.8197511835</v>
      </c>
      <c r="O133" s="22">
        <v>106071.27692602645</v>
      </c>
      <c r="P133" s="22">
        <v>105067.44932887443</v>
      </c>
      <c r="Q133" s="22">
        <v>99355.385591689206</v>
      </c>
      <c r="R133" s="22">
        <v>88724.62819387202</v>
      </c>
      <c r="S133" s="22">
        <v>70070.61166349113</v>
      </c>
      <c r="T133" s="22">
        <v>40199.811809625928</v>
      </c>
      <c r="U133" s="22">
        <v>93188.909707386265</v>
      </c>
      <c r="V133" s="22">
        <v>93188.909707386265</v>
      </c>
      <c r="W133" s="22">
        <v>93188.909707386265</v>
      </c>
      <c r="X133" s="22">
        <v>93188.909707386265</v>
      </c>
      <c r="Y133" s="22">
        <v>93188.909707386265</v>
      </c>
      <c r="Z133" s="22">
        <v>93188.909707386265</v>
      </c>
      <c r="AA133" s="23">
        <v>93188.909707386265</v>
      </c>
      <c r="AB133" s="97"/>
      <c r="AC133" s="24">
        <v>4</v>
      </c>
      <c r="AD133" s="16">
        <f t="shared" si="23"/>
        <v>6523223.6795170382</v>
      </c>
    </row>
    <row r="134" spans="1:30" ht="13.5" thickBot="1" x14ac:dyDescent="0.35">
      <c r="A134" s="18">
        <v>2029</v>
      </c>
      <c r="B134" s="25" t="s">
        <v>41</v>
      </c>
      <c r="C134" s="26" t="s">
        <v>36</v>
      </c>
      <c r="D134" s="21">
        <v>23297.227426846566</v>
      </c>
      <c r="E134" s="22">
        <v>23297.227426846566</v>
      </c>
      <c r="F134" s="22">
        <v>23297.227426846566</v>
      </c>
      <c r="G134" s="22">
        <v>23297.227426846566</v>
      </c>
      <c r="H134" s="22">
        <v>23297.227426846566</v>
      </c>
      <c r="I134" s="22">
        <v>23297.227426846566</v>
      </c>
      <c r="J134" s="22">
        <v>23297.227426846566</v>
      </c>
      <c r="K134" s="22">
        <v>41056.405610024267</v>
      </c>
      <c r="L134" s="22">
        <v>71337.080158448545</v>
      </c>
      <c r="M134" s="22">
        <v>91255.490906394247</v>
      </c>
      <c r="N134" s="22">
        <v>102264.8197511835</v>
      </c>
      <c r="O134" s="22">
        <v>106071.27692602645</v>
      </c>
      <c r="P134" s="22">
        <v>105067.44932887444</v>
      </c>
      <c r="Q134" s="22">
        <v>99355.385591689192</v>
      </c>
      <c r="R134" s="22">
        <v>88724.628193872035</v>
      </c>
      <c r="S134" s="22">
        <v>70070.61166349113</v>
      </c>
      <c r="T134" s="22">
        <v>40199.811809625935</v>
      </c>
      <c r="U134" s="22">
        <v>93188.909707386265</v>
      </c>
      <c r="V134" s="22">
        <v>93188.909707386265</v>
      </c>
      <c r="W134" s="22">
        <v>93188.909707386265</v>
      </c>
      <c r="X134" s="22">
        <v>93188.909707386265</v>
      </c>
      <c r="Y134" s="22">
        <v>93188.909707386265</v>
      </c>
      <c r="Z134" s="22">
        <v>93188.909707386265</v>
      </c>
      <c r="AA134" s="23">
        <v>93188.909707386265</v>
      </c>
      <c r="AB134" s="97"/>
      <c r="AC134" s="27">
        <v>7</v>
      </c>
      <c r="AD134" s="16">
        <f t="shared" ref="AD134:AD197" si="45">+SUM(D134:AA134)*AC134</f>
        <v>11415641.439154817</v>
      </c>
    </row>
    <row r="135" spans="1:30" ht="13.5" thickBot="1" x14ac:dyDescent="0.35">
      <c r="A135" s="18">
        <v>2029</v>
      </c>
      <c r="B135" s="11" t="s">
        <v>42</v>
      </c>
      <c r="C135" s="12" t="s">
        <v>33</v>
      </c>
      <c r="D135" s="21">
        <v>23297.227426846566</v>
      </c>
      <c r="E135" s="22">
        <v>23297.227426846566</v>
      </c>
      <c r="F135" s="22">
        <v>23297.227426846566</v>
      </c>
      <c r="G135" s="22">
        <v>23297.227426846566</v>
      </c>
      <c r="H135" s="22">
        <v>23297.227426846566</v>
      </c>
      <c r="I135" s="22">
        <v>23297.227426846566</v>
      </c>
      <c r="J135" s="22">
        <v>23297.227426846566</v>
      </c>
      <c r="K135" s="22">
        <v>41056.40561002426</v>
      </c>
      <c r="L135" s="22">
        <v>71337.080158448545</v>
      </c>
      <c r="M135" s="22">
        <v>91255.490906394291</v>
      </c>
      <c r="N135" s="22">
        <v>102264.8197511835</v>
      </c>
      <c r="O135" s="22">
        <v>106071.27692602646</v>
      </c>
      <c r="P135" s="22">
        <v>105067.44932887444</v>
      </c>
      <c r="Q135" s="22">
        <v>99355.385591689235</v>
      </c>
      <c r="R135" s="22">
        <v>88724.628193872035</v>
      </c>
      <c r="S135" s="22">
        <v>70070.61166349116</v>
      </c>
      <c r="T135" s="22">
        <v>40199.811809625935</v>
      </c>
      <c r="U135" s="22">
        <v>93188.909707386265</v>
      </c>
      <c r="V135" s="22">
        <v>93188.909707386265</v>
      </c>
      <c r="W135" s="22">
        <v>93188.909707386265</v>
      </c>
      <c r="X135" s="22">
        <v>93188.909707386265</v>
      </c>
      <c r="Y135" s="22">
        <v>93188.909707386265</v>
      </c>
      <c r="Z135" s="22">
        <v>93188.909707386265</v>
      </c>
      <c r="AA135" s="23">
        <v>93188.909707386265</v>
      </c>
      <c r="AB135" s="96">
        <f t="shared" ref="AB135" si="46">+SUM(D135:AA135)*AC135+SUM(D136:AA136)*AC136+SUM(D137:AA137)*AC137</f>
        <v>50554983.516257048</v>
      </c>
      <c r="AC135" s="16">
        <v>21</v>
      </c>
      <c r="AD135" s="16">
        <f t="shared" si="45"/>
        <v>34246924.317464456</v>
      </c>
    </row>
    <row r="136" spans="1:30" ht="13.5" thickBot="1" x14ac:dyDescent="0.35">
      <c r="A136" s="18">
        <v>2029</v>
      </c>
      <c r="B136" s="19" t="s">
        <v>42</v>
      </c>
      <c r="C136" s="20" t="s">
        <v>50</v>
      </c>
      <c r="D136" s="21">
        <v>23297.227426846566</v>
      </c>
      <c r="E136" s="22">
        <v>23297.227426846566</v>
      </c>
      <c r="F136" s="22">
        <v>23297.227426846566</v>
      </c>
      <c r="G136" s="22">
        <v>23297.227426846566</v>
      </c>
      <c r="H136" s="22">
        <v>23297.227426846566</v>
      </c>
      <c r="I136" s="22">
        <v>23297.227426846566</v>
      </c>
      <c r="J136" s="22">
        <v>23297.227426846566</v>
      </c>
      <c r="K136" s="22">
        <v>41056.405610024267</v>
      </c>
      <c r="L136" s="22">
        <v>71337.080158448545</v>
      </c>
      <c r="M136" s="22">
        <v>91255.490906394261</v>
      </c>
      <c r="N136" s="22">
        <v>102264.8197511835</v>
      </c>
      <c r="O136" s="22">
        <v>106071.27692602645</v>
      </c>
      <c r="P136" s="22">
        <v>105067.44932887443</v>
      </c>
      <c r="Q136" s="22">
        <v>99355.385591689206</v>
      </c>
      <c r="R136" s="22">
        <v>88724.62819387202</v>
      </c>
      <c r="S136" s="22">
        <v>70070.61166349113</v>
      </c>
      <c r="T136" s="22">
        <v>40199.811809625928</v>
      </c>
      <c r="U136" s="22">
        <v>93188.909707386265</v>
      </c>
      <c r="V136" s="22">
        <v>93188.909707386265</v>
      </c>
      <c r="W136" s="22">
        <v>93188.909707386265</v>
      </c>
      <c r="X136" s="22">
        <v>93188.909707386265</v>
      </c>
      <c r="Y136" s="22">
        <v>93188.909707386265</v>
      </c>
      <c r="Z136" s="22">
        <v>93188.909707386265</v>
      </c>
      <c r="AA136" s="23">
        <v>93188.909707386265</v>
      </c>
      <c r="AB136" s="97"/>
      <c r="AC136" s="24">
        <v>4</v>
      </c>
      <c r="AD136" s="16">
        <f t="shared" si="45"/>
        <v>6523223.6795170382</v>
      </c>
    </row>
    <row r="137" spans="1:30" ht="13.5" thickBot="1" x14ac:dyDescent="0.35">
      <c r="A137" s="18">
        <v>2029</v>
      </c>
      <c r="B137" s="25" t="s">
        <v>42</v>
      </c>
      <c r="C137" s="26" t="s">
        <v>36</v>
      </c>
      <c r="D137" s="21">
        <v>23297.227426846566</v>
      </c>
      <c r="E137" s="22">
        <v>23297.227426846566</v>
      </c>
      <c r="F137" s="22">
        <v>23297.227426846566</v>
      </c>
      <c r="G137" s="22">
        <v>23297.227426846566</v>
      </c>
      <c r="H137" s="22">
        <v>23297.227426846566</v>
      </c>
      <c r="I137" s="22">
        <v>23297.227426846566</v>
      </c>
      <c r="J137" s="22">
        <v>23297.227426846566</v>
      </c>
      <c r="K137" s="22">
        <v>41056.405610024267</v>
      </c>
      <c r="L137" s="22">
        <v>71337.080158448545</v>
      </c>
      <c r="M137" s="22">
        <v>91255.490906394261</v>
      </c>
      <c r="N137" s="22">
        <v>102264.8197511835</v>
      </c>
      <c r="O137" s="22">
        <v>106071.27692602645</v>
      </c>
      <c r="P137" s="22">
        <v>105067.44932887443</v>
      </c>
      <c r="Q137" s="22">
        <v>99355.385591689206</v>
      </c>
      <c r="R137" s="22">
        <v>88724.628193872035</v>
      </c>
      <c r="S137" s="22">
        <v>70070.61166349113</v>
      </c>
      <c r="T137" s="22">
        <v>40199.811809625935</v>
      </c>
      <c r="U137" s="22">
        <v>93188.909707386265</v>
      </c>
      <c r="V137" s="22">
        <v>93188.909707386265</v>
      </c>
      <c r="W137" s="22">
        <v>93188.909707386265</v>
      </c>
      <c r="X137" s="22">
        <v>93188.909707386265</v>
      </c>
      <c r="Y137" s="22">
        <v>93188.909707386265</v>
      </c>
      <c r="Z137" s="22">
        <v>93188.909707386265</v>
      </c>
      <c r="AA137" s="23">
        <v>93188.909707386265</v>
      </c>
      <c r="AB137" s="97"/>
      <c r="AC137" s="27">
        <v>6</v>
      </c>
      <c r="AD137" s="16">
        <f t="shared" si="45"/>
        <v>9784835.5192755572</v>
      </c>
    </row>
    <row r="138" spans="1:30" ht="13.5" thickBot="1" x14ac:dyDescent="0.35">
      <c r="A138" s="18">
        <v>2029</v>
      </c>
      <c r="B138" s="11" t="s">
        <v>43</v>
      </c>
      <c r="C138" s="12" t="s">
        <v>33</v>
      </c>
      <c r="D138" s="21">
        <v>23297.227426846566</v>
      </c>
      <c r="E138" s="22">
        <v>23297.227426846566</v>
      </c>
      <c r="F138" s="22">
        <v>23297.227426846566</v>
      </c>
      <c r="G138" s="22">
        <v>23297.227426846566</v>
      </c>
      <c r="H138" s="22">
        <v>23297.227426846566</v>
      </c>
      <c r="I138" s="22">
        <v>23297.227426846566</v>
      </c>
      <c r="J138" s="22">
        <v>23297.227426846566</v>
      </c>
      <c r="K138" s="22">
        <v>41056.40561002426</v>
      </c>
      <c r="L138" s="22">
        <v>71337.080158448545</v>
      </c>
      <c r="M138" s="22">
        <v>91255.490906394291</v>
      </c>
      <c r="N138" s="22">
        <v>102264.8197511835</v>
      </c>
      <c r="O138" s="22">
        <v>106071.27692602645</v>
      </c>
      <c r="P138" s="22">
        <v>105067.44932887444</v>
      </c>
      <c r="Q138" s="22">
        <v>99355.385591689235</v>
      </c>
      <c r="R138" s="22">
        <v>88724.628193872035</v>
      </c>
      <c r="S138" s="22">
        <v>70070.611663491145</v>
      </c>
      <c r="T138" s="22">
        <v>40199.811809625935</v>
      </c>
      <c r="U138" s="22">
        <v>93188.909707386265</v>
      </c>
      <c r="V138" s="22">
        <v>93188.909707386265</v>
      </c>
      <c r="W138" s="22">
        <v>93188.909707386265</v>
      </c>
      <c r="X138" s="22">
        <v>93188.909707386265</v>
      </c>
      <c r="Y138" s="22">
        <v>93188.909707386265</v>
      </c>
      <c r="Z138" s="22">
        <v>93188.909707386265</v>
      </c>
      <c r="AA138" s="23">
        <v>93188.909707386265</v>
      </c>
      <c r="AB138" s="96">
        <f t="shared" ref="AB138" si="47">+SUM(D138:AA138)*AC138+SUM(D139:AA139)*AC139+SUM(D140:AA140)*AC140</f>
        <v>48924177.59637779</v>
      </c>
      <c r="AC138" s="16">
        <v>20</v>
      </c>
      <c r="AD138" s="16">
        <f t="shared" si="45"/>
        <v>32616118.397585195</v>
      </c>
    </row>
    <row r="139" spans="1:30" ht="13.5" thickBot="1" x14ac:dyDescent="0.35">
      <c r="A139" s="18">
        <v>2029</v>
      </c>
      <c r="B139" s="19" t="s">
        <v>43</v>
      </c>
      <c r="C139" s="20" t="s">
        <v>50</v>
      </c>
      <c r="D139" s="21">
        <v>23297.227426846566</v>
      </c>
      <c r="E139" s="22">
        <v>23297.227426846566</v>
      </c>
      <c r="F139" s="22">
        <v>23297.227426846566</v>
      </c>
      <c r="G139" s="22">
        <v>23297.227426846566</v>
      </c>
      <c r="H139" s="22">
        <v>23297.227426846566</v>
      </c>
      <c r="I139" s="22">
        <v>23297.227426846566</v>
      </c>
      <c r="J139" s="22">
        <v>23297.227426846566</v>
      </c>
      <c r="K139" s="22">
        <v>41056.405610024267</v>
      </c>
      <c r="L139" s="22">
        <v>71337.080158448545</v>
      </c>
      <c r="M139" s="22">
        <v>91255.490906394261</v>
      </c>
      <c r="N139" s="22">
        <v>102264.8197511835</v>
      </c>
      <c r="O139" s="22">
        <v>106071.27692602645</v>
      </c>
      <c r="P139" s="22">
        <v>105067.44932887443</v>
      </c>
      <c r="Q139" s="22">
        <v>99355.385591689206</v>
      </c>
      <c r="R139" s="22">
        <v>88724.62819387202</v>
      </c>
      <c r="S139" s="22">
        <v>70070.61166349113</v>
      </c>
      <c r="T139" s="22">
        <v>40199.811809625928</v>
      </c>
      <c r="U139" s="22">
        <v>93188.909707386265</v>
      </c>
      <c r="V139" s="22">
        <v>93188.909707386265</v>
      </c>
      <c r="W139" s="22">
        <v>93188.909707386265</v>
      </c>
      <c r="X139" s="22">
        <v>93188.909707386265</v>
      </c>
      <c r="Y139" s="22">
        <v>93188.909707386265</v>
      </c>
      <c r="Z139" s="22">
        <v>93188.909707386265</v>
      </c>
      <c r="AA139" s="23">
        <v>93188.909707386265</v>
      </c>
      <c r="AB139" s="97"/>
      <c r="AC139" s="24">
        <v>5</v>
      </c>
      <c r="AD139" s="16">
        <f t="shared" si="45"/>
        <v>8154029.5993962977</v>
      </c>
    </row>
    <row r="140" spans="1:30" ht="13.5" thickBot="1" x14ac:dyDescent="0.35">
      <c r="A140" s="18">
        <v>2029</v>
      </c>
      <c r="B140" s="25" t="s">
        <v>43</v>
      </c>
      <c r="C140" s="26" t="s">
        <v>36</v>
      </c>
      <c r="D140" s="21">
        <v>23297.227426846566</v>
      </c>
      <c r="E140" s="22">
        <v>23297.227426846566</v>
      </c>
      <c r="F140" s="22">
        <v>23297.227426846566</v>
      </c>
      <c r="G140" s="22">
        <v>23297.227426846566</v>
      </c>
      <c r="H140" s="22">
        <v>23297.227426846566</v>
      </c>
      <c r="I140" s="22">
        <v>23297.227426846566</v>
      </c>
      <c r="J140" s="22">
        <v>23297.227426846566</v>
      </c>
      <c r="K140" s="22">
        <v>41056.405610024267</v>
      </c>
      <c r="L140" s="22">
        <v>71337.080158448545</v>
      </c>
      <c r="M140" s="22">
        <v>91255.490906394261</v>
      </c>
      <c r="N140" s="22">
        <v>102264.8197511835</v>
      </c>
      <c r="O140" s="22">
        <v>106071.27692602645</v>
      </c>
      <c r="P140" s="22">
        <v>105067.44932887443</v>
      </c>
      <c r="Q140" s="22">
        <v>99355.385591689206</v>
      </c>
      <c r="R140" s="22">
        <v>88724.62819387202</v>
      </c>
      <c r="S140" s="22">
        <v>70070.61166349113</v>
      </c>
      <c r="T140" s="22">
        <v>40199.811809625928</v>
      </c>
      <c r="U140" s="22">
        <v>93188.909707386265</v>
      </c>
      <c r="V140" s="22">
        <v>93188.909707386265</v>
      </c>
      <c r="W140" s="22">
        <v>93188.909707386265</v>
      </c>
      <c r="X140" s="22">
        <v>93188.909707386265</v>
      </c>
      <c r="Y140" s="22">
        <v>93188.909707386265</v>
      </c>
      <c r="Z140" s="22">
        <v>93188.909707386265</v>
      </c>
      <c r="AA140" s="23">
        <v>93188.909707386265</v>
      </c>
      <c r="AB140" s="97"/>
      <c r="AC140" s="27">
        <v>5</v>
      </c>
      <c r="AD140" s="16">
        <f t="shared" si="45"/>
        <v>8154029.5993962977</v>
      </c>
    </row>
    <row r="141" spans="1:30" ht="13.5" thickBot="1" x14ac:dyDescent="0.35">
      <c r="A141" s="18">
        <v>2029</v>
      </c>
      <c r="B141" s="11" t="s">
        <v>44</v>
      </c>
      <c r="C141" s="12" t="s">
        <v>33</v>
      </c>
      <c r="D141" s="21">
        <v>23297.227426846566</v>
      </c>
      <c r="E141" s="22">
        <v>23297.227426846566</v>
      </c>
      <c r="F141" s="22">
        <v>23297.227426846566</v>
      </c>
      <c r="G141" s="22">
        <v>23297.227426846566</v>
      </c>
      <c r="H141" s="22">
        <v>23297.227426846566</v>
      </c>
      <c r="I141" s="22">
        <v>23297.227426846566</v>
      </c>
      <c r="J141" s="22">
        <v>23297.227426846566</v>
      </c>
      <c r="K141" s="22">
        <v>41056.40561002426</v>
      </c>
      <c r="L141" s="22">
        <v>71337.080158448545</v>
      </c>
      <c r="M141" s="22">
        <v>91255.490906394305</v>
      </c>
      <c r="N141" s="22">
        <v>102264.8197511835</v>
      </c>
      <c r="O141" s="22">
        <v>106071.27692602646</v>
      </c>
      <c r="P141" s="22">
        <v>105067.44932887443</v>
      </c>
      <c r="Q141" s="22">
        <v>99355.38559168925</v>
      </c>
      <c r="R141" s="22">
        <v>88724.628193872035</v>
      </c>
      <c r="S141" s="22">
        <v>70070.61166349116</v>
      </c>
      <c r="T141" s="22">
        <v>40199.811809625935</v>
      </c>
      <c r="U141" s="22">
        <v>93188.909707386265</v>
      </c>
      <c r="V141" s="22">
        <v>93188.909707386265</v>
      </c>
      <c r="W141" s="22">
        <v>93188.909707386265</v>
      </c>
      <c r="X141" s="22">
        <v>93188.909707386265</v>
      </c>
      <c r="Y141" s="22">
        <v>93188.909707386265</v>
      </c>
      <c r="Z141" s="22">
        <v>93188.909707386265</v>
      </c>
      <c r="AA141" s="23">
        <v>93188.909707386265</v>
      </c>
      <c r="AB141" s="96">
        <f t="shared" ref="AB141" si="48">+SUM(D141:AA141)*AC141+SUM(D142:AA142)*AC142+SUM(D143:AA143)*AC143</f>
        <v>50554983.516257048</v>
      </c>
      <c r="AC141" s="16">
        <v>22</v>
      </c>
      <c r="AD141" s="16">
        <f t="shared" si="45"/>
        <v>35877730.237343714</v>
      </c>
    </row>
    <row r="142" spans="1:30" ht="13.5" thickBot="1" x14ac:dyDescent="0.35">
      <c r="A142" s="18">
        <v>2029</v>
      </c>
      <c r="B142" s="19" t="s">
        <v>44</v>
      </c>
      <c r="C142" s="20" t="s">
        <v>50</v>
      </c>
      <c r="D142" s="21">
        <v>23297.227426846566</v>
      </c>
      <c r="E142" s="22">
        <v>23297.227426846566</v>
      </c>
      <c r="F142" s="22">
        <v>23297.227426846566</v>
      </c>
      <c r="G142" s="22">
        <v>23297.227426846566</v>
      </c>
      <c r="H142" s="22">
        <v>23297.227426846566</v>
      </c>
      <c r="I142" s="22">
        <v>23297.227426846566</v>
      </c>
      <c r="J142" s="22">
        <v>23297.227426846566</v>
      </c>
      <c r="K142" s="22">
        <v>41056.405610024267</v>
      </c>
      <c r="L142" s="22">
        <v>71337.080158448545</v>
      </c>
      <c r="M142" s="22">
        <v>91255.490906394261</v>
      </c>
      <c r="N142" s="22">
        <v>102264.8197511835</v>
      </c>
      <c r="O142" s="22">
        <v>106071.27692602645</v>
      </c>
      <c r="P142" s="22">
        <v>105067.44932887443</v>
      </c>
      <c r="Q142" s="22">
        <v>99355.385591689206</v>
      </c>
      <c r="R142" s="22">
        <v>88724.62819387202</v>
      </c>
      <c r="S142" s="22">
        <v>70070.61166349113</v>
      </c>
      <c r="T142" s="22">
        <v>40199.811809625928</v>
      </c>
      <c r="U142" s="22">
        <v>93188.909707386265</v>
      </c>
      <c r="V142" s="22">
        <v>93188.909707386265</v>
      </c>
      <c r="W142" s="22">
        <v>93188.909707386265</v>
      </c>
      <c r="X142" s="22">
        <v>93188.909707386265</v>
      </c>
      <c r="Y142" s="22">
        <v>93188.909707386265</v>
      </c>
      <c r="Z142" s="22">
        <v>93188.909707386265</v>
      </c>
      <c r="AA142" s="23">
        <v>93188.909707386265</v>
      </c>
      <c r="AB142" s="97"/>
      <c r="AC142" s="24">
        <v>4</v>
      </c>
      <c r="AD142" s="16">
        <f t="shared" si="45"/>
        <v>6523223.6795170382</v>
      </c>
    </row>
    <row r="143" spans="1:30" ht="13.5" thickBot="1" x14ac:dyDescent="0.35">
      <c r="A143" s="18">
        <v>2029</v>
      </c>
      <c r="B143" s="25" t="s">
        <v>44</v>
      </c>
      <c r="C143" s="26" t="s">
        <v>36</v>
      </c>
      <c r="D143" s="21">
        <v>23297.227426846566</v>
      </c>
      <c r="E143" s="22">
        <v>23297.227426846566</v>
      </c>
      <c r="F143" s="22">
        <v>23297.227426846566</v>
      </c>
      <c r="G143" s="22">
        <v>23297.227426846566</v>
      </c>
      <c r="H143" s="22">
        <v>23297.227426846566</v>
      </c>
      <c r="I143" s="22">
        <v>23297.227426846566</v>
      </c>
      <c r="J143" s="22">
        <v>23297.227426846566</v>
      </c>
      <c r="K143" s="22">
        <v>41056.405610024267</v>
      </c>
      <c r="L143" s="22">
        <v>71337.080158448545</v>
      </c>
      <c r="M143" s="22">
        <v>91255.490906394261</v>
      </c>
      <c r="N143" s="22">
        <v>102264.8197511835</v>
      </c>
      <c r="O143" s="22">
        <v>106071.27692602645</v>
      </c>
      <c r="P143" s="22">
        <v>105067.44932887443</v>
      </c>
      <c r="Q143" s="22">
        <v>99355.385591689206</v>
      </c>
      <c r="R143" s="22">
        <v>88724.62819387202</v>
      </c>
      <c r="S143" s="22">
        <v>70070.61166349113</v>
      </c>
      <c r="T143" s="22">
        <v>40199.811809625928</v>
      </c>
      <c r="U143" s="22">
        <v>93188.909707386265</v>
      </c>
      <c r="V143" s="22">
        <v>93188.909707386265</v>
      </c>
      <c r="W143" s="22">
        <v>93188.909707386265</v>
      </c>
      <c r="X143" s="22">
        <v>93188.909707386265</v>
      </c>
      <c r="Y143" s="22">
        <v>93188.909707386265</v>
      </c>
      <c r="Z143" s="22">
        <v>93188.909707386265</v>
      </c>
      <c r="AA143" s="23">
        <v>93188.909707386265</v>
      </c>
      <c r="AB143" s="97"/>
      <c r="AC143" s="27">
        <v>5</v>
      </c>
      <c r="AD143" s="16">
        <f t="shared" si="45"/>
        <v>8154029.5993962977</v>
      </c>
    </row>
    <row r="144" spans="1:30" ht="13.5" thickBot="1" x14ac:dyDescent="0.35">
      <c r="A144" s="18">
        <v>2029</v>
      </c>
      <c r="B144" s="11" t="s">
        <v>45</v>
      </c>
      <c r="C144" s="12" t="s">
        <v>33</v>
      </c>
      <c r="D144" s="21">
        <v>23297.227426846566</v>
      </c>
      <c r="E144" s="22">
        <v>23297.227426846566</v>
      </c>
      <c r="F144" s="22">
        <v>23297.227426846566</v>
      </c>
      <c r="G144" s="22">
        <v>23297.227426846566</v>
      </c>
      <c r="H144" s="22">
        <v>23297.227426846566</v>
      </c>
      <c r="I144" s="22">
        <v>23297.227426846566</v>
      </c>
      <c r="J144" s="22">
        <v>23297.227426846566</v>
      </c>
      <c r="K144" s="22">
        <v>41056.40561002426</v>
      </c>
      <c r="L144" s="22">
        <v>71337.080158448545</v>
      </c>
      <c r="M144" s="22">
        <v>91255.490906394291</v>
      </c>
      <c r="N144" s="22">
        <v>102264.8197511835</v>
      </c>
      <c r="O144" s="22">
        <v>106071.27692602645</v>
      </c>
      <c r="P144" s="22">
        <v>105067.44932887444</v>
      </c>
      <c r="Q144" s="22">
        <v>99355.385591689235</v>
      </c>
      <c r="R144" s="22">
        <v>88724.628193872035</v>
      </c>
      <c r="S144" s="22">
        <v>70070.611663491145</v>
      </c>
      <c r="T144" s="22">
        <v>40199.811809625935</v>
      </c>
      <c r="U144" s="22">
        <v>93188.909707386265</v>
      </c>
      <c r="V144" s="22">
        <v>93188.909707386265</v>
      </c>
      <c r="W144" s="22">
        <v>93188.909707386265</v>
      </c>
      <c r="X144" s="22">
        <v>93188.909707386265</v>
      </c>
      <c r="Y144" s="22">
        <v>93188.909707386265</v>
      </c>
      <c r="Z144" s="22">
        <v>93188.909707386265</v>
      </c>
      <c r="AA144" s="23">
        <v>93188.909707386265</v>
      </c>
      <c r="AB144" s="96">
        <f t="shared" ref="AB144" si="49">+SUM(D144:AA144)*AC144+SUM(D145:AA145)*AC145+SUM(D146:AA146)*AC146</f>
        <v>48924177.59637779</v>
      </c>
      <c r="AC144" s="16">
        <v>20</v>
      </c>
      <c r="AD144" s="16">
        <f t="shared" si="45"/>
        <v>32616118.397585195</v>
      </c>
    </row>
    <row r="145" spans="1:30" ht="13.5" thickBot="1" x14ac:dyDescent="0.35">
      <c r="A145" s="18">
        <v>2029</v>
      </c>
      <c r="B145" s="19" t="s">
        <v>45</v>
      </c>
      <c r="C145" s="20" t="s">
        <v>50</v>
      </c>
      <c r="D145" s="21">
        <v>23297.227426846566</v>
      </c>
      <c r="E145" s="22">
        <v>23297.227426846566</v>
      </c>
      <c r="F145" s="22">
        <v>23297.227426846566</v>
      </c>
      <c r="G145" s="22">
        <v>23297.227426846566</v>
      </c>
      <c r="H145" s="22">
        <v>23297.227426846566</v>
      </c>
      <c r="I145" s="22">
        <v>23297.227426846566</v>
      </c>
      <c r="J145" s="22">
        <v>23297.227426846566</v>
      </c>
      <c r="K145" s="22">
        <v>41056.405610024267</v>
      </c>
      <c r="L145" s="22">
        <v>71337.080158448545</v>
      </c>
      <c r="M145" s="22">
        <v>91255.490906394261</v>
      </c>
      <c r="N145" s="22">
        <v>102264.8197511835</v>
      </c>
      <c r="O145" s="22">
        <v>106071.27692602645</v>
      </c>
      <c r="P145" s="22">
        <v>105067.44932887443</v>
      </c>
      <c r="Q145" s="22">
        <v>99355.385591689206</v>
      </c>
      <c r="R145" s="22">
        <v>88724.62819387202</v>
      </c>
      <c r="S145" s="22">
        <v>70070.61166349113</v>
      </c>
      <c r="T145" s="22">
        <v>40199.811809625928</v>
      </c>
      <c r="U145" s="22">
        <v>93188.909707386265</v>
      </c>
      <c r="V145" s="22">
        <v>93188.909707386265</v>
      </c>
      <c r="W145" s="22">
        <v>93188.909707386265</v>
      </c>
      <c r="X145" s="22">
        <v>93188.909707386265</v>
      </c>
      <c r="Y145" s="22">
        <v>93188.909707386265</v>
      </c>
      <c r="Z145" s="22">
        <v>93188.909707386265</v>
      </c>
      <c r="AA145" s="23">
        <v>93188.909707386265</v>
      </c>
      <c r="AB145" s="97"/>
      <c r="AC145" s="24">
        <v>4</v>
      </c>
      <c r="AD145" s="16">
        <f t="shared" si="45"/>
        <v>6523223.6795170382</v>
      </c>
    </row>
    <row r="146" spans="1:30" ht="13.5" thickBot="1" x14ac:dyDescent="0.35">
      <c r="A146" s="18">
        <v>2029</v>
      </c>
      <c r="B146" s="25" t="s">
        <v>45</v>
      </c>
      <c r="C146" s="26" t="s">
        <v>36</v>
      </c>
      <c r="D146" s="21">
        <v>23297.227426846566</v>
      </c>
      <c r="E146" s="22">
        <v>23297.227426846566</v>
      </c>
      <c r="F146" s="22">
        <v>23297.227426846566</v>
      </c>
      <c r="G146" s="22">
        <v>23297.227426846566</v>
      </c>
      <c r="H146" s="22">
        <v>23297.227426846566</v>
      </c>
      <c r="I146" s="22">
        <v>23297.227426846566</v>
      </c>
      <c r="J146" s="22">
        <v>23297.227426846566</v>
      </c>
      <c r="K146" s="22">
        <v>41056.405610024267</v>
      </c>
      <c r="L146" s="22">
        <v>71337.080158448545</v>
      </c>
      <c r="M146" s="22">
        <v>91255.490906394261</v>
      </c>
      <c r="N146" s="22">
        <v>102264.8197511835</v>
      </c>
      <c r="O146" s="22">
        <v>106071.27692602645</v>
      </c>
      <c r="P146" s="22">
        <v>105067.44932887443</v>
      </c>
      <c r="Q146" s="22">
        <v>99355.385591689206</v>
      </c>
      <c r="R146" s="22">
        <v>88724.628193872035</v>
      </c>
      <c r="S146" s="22">
        <v>70070.61166349113</v>
      </c>
      <c r="T146" s="22">
        <v>40199.811809625935</v>
      </c>
      <c r="U146" s="22">
        <v>93188.909707386265</v>
      </c>
      <c r="V146" s="22">
        <v>93188.909707386265</v>
      </c>
      <c r="W146" s="22">
        <v>93188.909707386265</v>
      </c>
      <c r="X146" s="22">
        <v>93188.909707386265</v>
      </c>
      <c r="Y146" s="22">
        <v>93188.909707386265</v>
      </c>
      <c r="Z146" s="22">
        <v>93188.909707386265</v>
      </c>
      <c r="AA146" s="23">
        <v>93188.909707386265</v>
      </c>
      <c r="AB146" s="97"/>
      <c r="AC146" s="27">
        <v>6</v>
      </c>
      <c r="AD146" s="16">
        <f t="shared" si="45"/>
        <v>9784835.5192755572</v>
      </c>
    </row>
    <row r="147" spans="1:30" ht="13.5" thickBot="1" x14ac:dyDescent="0.35">
      <c r="A147" s="18">
        <v>2029</v>
      </c>
      <c r="B147" s="11" t="s">
        <v>46</v>
      </c>
      <c r="C147" s="12" t="s">
        <v>33</v>
      </c>
      <c r="D147" s="21">
        <v>23297.227426846566</v>
      </c>
      <c r="E147" s="22">
        <v>23297.227426846566</v>
      </c>
      <c r="F147" s="22">
        <v>23297.227426846566</v>
      </c>
      <c r="G147" s="22">
        <v>23297.227426846566</v>
      </c>
      <c r="H147" s="22">
        <v>23297.227426846566</v>
      </c>
      <c r="I147" s="22">
        <v>23297.227426846566</v>
      </c>
      <c r="J147" s="22">
        <v>23297.227426846566</v>
      </c>
      <c r="K147" s="22">
        <v>41056.40561002426</v>
      </c>
      <c r="L147" s="22">
        <v>71337.080158448545</v>
      </c>
      <c r="M147" s="22">
        <v>91255.490906394291</v>
      </c>
      <c r="N147" s="22">
        <v>102264.8197511835</v>
      </c>
      <c r="O147" s="22">
        <v>106071.27692602645</v>
      </c>
      <c r="P147" s="22">
        <v>105067.44932887444</v>
      </c>
      <c r="Q147" s="22">
        <v>99355.385591689235</v>
      </c>
      <c r="R147" s="22">
        <v>88724.628193872035</v>
      </c>
      <c r="S147" s="22">
        <v>70070.611663491145</v>
      </c>
      <c r="T147" s="22">
        <v>40199.811809625935</v>
      </c>
      <c r="U147" s="22">
        <v>93188.909707386265</v>
      </c>
      <c r="V147" s="22">
        <v>93188.909707386265</v>
      </c>
      <c r="W147" s="22">
        <v>93188.909707386265</v>
      </c>
      <c r="X147" s="22">
        <v>93188.909707386265</v>
      </c>
      <c r="Y147" s="22">
        <v>93188.909707386265</v>
      </c>
      <c r="Z147" s="22">
        <v>93188.909707386265</v>
      </c>
      <c r="AA147" s="23">
        <v>93188.909707386265</v>
      </c>
      <c r="AB147" s="96">
        <f t="shared" ref="AB147" si="50">+SUM(D147:AA147)*AC147+SUM(D148:AA148)*AC148+SUM(D149:AA149)*AC149</f>
        <v>50554983.516257048</v>
      </c>
      <c r="AC147" s="16">
        <v>20</v>
      </c>
      <c r="AD147" s="16">
        <f t="shared" si="45"/>
        <v>32616118.397585195</v>
      </c>
    </row>
    <row r="148" spans="1:30" ht="13.5" thickBot="1" x14ac:dyDescent="0.35">
      <c r="A148" s="18">
        <v>2029</v>
      </c>
      <c r="B148" s="19" t="s">
        <v>46</v>
      </c>
      <c r="C148" s="20" t="s">
        <v>50</v>
      </c>
      <c r="D148" s="21">
        <v>23297.227426846566</v>
      </c>
      <c r="E148" s="22">
        <v>23297.227426846566</v>
      </c>
      <c r="F148" s="22">
        <v>23297.227426846566</v>
      </c>
      <c r="G148" s="22">
        <v>23297.227426846566</v>
      </c>
      <c r="H148" s="22">
        <v>23297.227426846566</v>
      </c>
      <c r="I148" s="22">
        <v>23297.227426846566</v>
      </c>
      <c r="J148" s="22">
        <v>23297.227426846566</v>
      </c>
      <c r="K148" s="22">
        <v>41056.405610024267</v>
      </c>
      <c r="L148" s="22">
        <v>71337.080158448545</v>
      </c>
      <c r="M148" s="22">
        <v>91255.490906394261</v>
      </c>
      <c r="N148" s="22">
        <v>102264.8197511835</v>
      </c>
      <c r="O148" s="22">
        <v>106071.27692602645</v>
      </c>
      <c r="P148" s="22">
        <v>105067.44932887443</v>
      </c>
      <c r="Q148" s="22">
        <v>99355.385591689206</v>
      </c>
      <c r="R148" s="22">
        <v>88724.62819387202</v>
      </c>
      <c r="S148" s="22">
        <v>70070.61166349113</v>
      </c>
      <c r="T148" s="22">
        <v>40199.811809625928</v>
      </c>
      <c r="U148" s="22">
        <v>93188.909707386265</v>
      </c>
      <c r="V148" s="22">
        <v>93188.909707386265</v>
      </c>
      <c r="W148" s="22">
        <v>93188.909707386265</v>
      </c>
      <c r="X148" s="22">
        <v>93188.909707386265</v>
      </c>
      <c r="Y148" s="22">
        <v>93188.909707386265</v>
      </c>
      <c r="Z148" s="22">
        <v>93188.909707386265</v>
      </c>
      <c r="AA148" s="23">
        <v>93188.909707386265</v>
      </c>
      <c r="AB148" s="97"/>
      <c r="AC148" s="24">
        <v>4</v>
      </c>
      <c r="AD148" s="16">
        <f t="shared" si="45"/>
        <v>6523223.6795170382</v>
      </c>
    </row>
    <row r="149" spans="1:30" ht="13.5" thickBot="1" x14ac:dyDescent="0.35">
      <c r="A149" s="28">
        <v>2029</v>
      </c>
      <c r="B149" s="25" t="s">
        <v>46</v>
      </c>
      <c r="C149" s="26" t="s">
        <v>36</v>
      </c>
      <c r="D149" s="29">
        <v>23297.227426846566</v>
      </c>
      <c r="E149" s="30">
        <v>23297.227426846566</v>
      </c>
      <c r="F149" s="30">
        <v>23297.227426846566</v>
      </c>
      <c r="G149" s="30">
        <v>23297.227426846566</v>
      </c>
      <c r="H149" s="30">
        <v>23297.227426846566</v>
      </c>
      <c r="I149" s="30">
        <v>23297.227426846566</v>
      </c>
      <c r="J149" s="30">
        <v>23297.227426846566</v>
      </c>
      <c r="K149" s="30">
        <v>41056.405610024267</v>
      </c>
      <c r="L149" s="30">
        <v>71337.080158448545</v>
      </c>
      <c r="M149" s="30">
        <v>91255.490906394247</v>
      </c>
      <c r="N149" s="30">
        <v>102264.8197511835</v>
      </c>
      <c r="O149" s="30">
        <v>106071.27692602645</v>
      </c>
      <c r="P149" s="30">
        <v>105067.44932887444</v>
      </c>
      <c r="Q149" s="30">
        <v>99355.385591689192</v>
      </c>
      <c r="R149" s="30">
        <v>88724.628193872035</v>
      </c>
      <c r="S149" s="30">
        <v>70070.61166349113</v>
      </c>
      <c r="T149" s="30">
        <v>40199.811809625935</v>
      </c>
      <c r="U149" s="30">
        <v>93188.909707386265</v>
      </c>
      <c r="V149" s="30">
        <v>93188.909707386265</v>
      </c>
      <c r="W149" s="30">
        <v>93188.909707386265</v>
      </c>
      <c r="X149" s="30">
        <v>93188.909707386265</v>
      </c>
      <c r="Y149" s="30">
        <v>93188.909707386265</v>
      </c>
      <c r="Z149" s="30">
        <v>93188.909707386265</v>
      </c>
      <c r="AA149" s="31">
        <v>93188.909707386265</v>
      </c>
      <c r="AB149" s="97"/>
      <c r="AC149" s="27">
        <v>7</v>
      </c>
      <c r="AD149" s="42">
        <f t="shared" si="45"/>
        <v>11415641.439154817</v>
      </c>
    </row>
    <row r="150" spans="1:30" ht="13.5" thickBot="1" x14ac:dyDescent="0.35">
      <c r="A150" s="10">
        <v>2030</v>
      </c>
      <c r="B150" s="11" t="s">
        <v>32</v>
      </c>
      <c r="C150" s="12" t="s">
        <v>33</v>
      </c>
      <c r="D150" s="13">
        <v>24294.473868907131</v>
      </c>
      <c r="E150" s="14">
        <v>24294.473868907131</v>
      </c>
      <c r="F150" s="14">
        <v>24294.473868907131</v>
      </c>
      <c r="G150" s="14">
        <v>24294.473868907131</v>
      </c>
      <c r="H150" s="14">
        <v>24294.473868907131</v>
      </c>
      <c r="I150" s="14">
        <v>24294.473868907131</v>
      </c>
      <c r="J150" s="14">
        <v>24294.473868907131</v>
      </c>
      <c r="K150" s="14">
        <v>42813.840246697422</v>
      </c>
      <c r="L150" s="14">
        <v>74390.690275720393</v>
      </c>
      <c r="M150" s="14">
        <v>95161.715967322452</v>
      </c>
      <c r="N150" s="14">
        <v>106642.30320774761</v>
      </c>
      <c r="O150" s="14">
        <v>110611.69719068872</v>
      </c>
      <c r="P150" s="14">
        <v>109564.9003817348</v>
      </c>
      <c r="Q150" s="14">
        <v>103608.32964230569</v>
      </c>
      <c r="R150" s="14">
        <v>92522.518739745501</v>
      </c>
      <c r="S150" s="14">
        <v>73070.010128129899</v>
      </c>
      <c r="T150" s="14">
        <v>41920.579631656845</v>
      </c>
      <c r="U150" s="14">
        <v>97177.895475628524</v>
      </c>
      <c r="V150" s="14">
        <v>97177.895475628524</v>
      </c>
      <c r="W150" s="14">
        <v>97177.895475628524</v>
      </c>
      <c r="X150" s="14">
        <v>97177.895475628524</v>
      </c>
      <c r="Y150" s="14">
        <v>97177.895475628524</v>
      </c>
      <c r="Z150" s="14">
        <v>97177.895475628524</v>
      </c>
      <c r="AA150" s="15">
        <v>97177.895475628524</v>
      </c>
      <c r="AB150" s="96">
        <f t="shared" ref="AB150" si="51">+SUM(D150:AA150)*AC150+SUM(D151:AA151)*AC151+SUM(D152:AA152)*AC152</f>
        <v>52719008.295528471</v>
      </c>
      <c r="AC150" s="16">
        <v>21</v>
      </c>
      <c r="AD150" s="16">
        <f t="shared" si="45"/>
        <v>35712876.587293483</v>
      </c>
    </row>
    <row r="151" spans="1:30" ht="13.5" thickBot="1" x14ac:dyDescent="0.35">
      <c r="A151" s="18">
        <v>2030</v>
      </c>
      <c r="B151" s="19" t="s">
        <v>32</v>
      </c>
      <c r="C151" s="20" t="s">
        <v>50</v>
      </c>
      <c r="D151" s="21">
        <v>24294.473868907124</v>
      </c>
      <c r="E151" s="22">
        <v>24294.473868907124</v>
      </c>
      <c r="F151" s="22">
        <v>24294.473868907124</v>
      </c>
      <c r="G151" s="22">
        <v>24294.473868907124</v>
      </c>
      <c r="H151" s="22">
        <v>24294.473868907124</v>
      </c>
      <c r="I151" s="22">
        <v>24294.473868907124</v>
      </c>
      <c r="J151" s="22">
        <v>24294.473868907124</v>
      </c>
      <c r="K151" s="22">
        <v>42813.840246697422</v>
      </c>
      <c r="L151" s="22">
        <v>74390.690275720393</v>
      </c>
      <c r="M151" s="22">
        <v>95161.715967322438</v>
      </c>
      <c r="N151" s="22">
        <v>106642.30320774761</v>
      </c>
      <c r="O151" s="22">
        <v>110611.69719068872</v>
      </c>
      <c r="P151" s="22">
        <v>109564.90038173477</v>
      </c>
      <c r="Q151" s="22">
        <v>103608.32964230573</v>
      </c>
      <c r="R151" s="22">
        <v>92522.518739745501</v>
      </c>
      <c r="S151" s="22">
        <v>73070.010128129899</v>
      </c>
      <c r="T151" s="22">
        <v>41920.579631656838</v>
      </c>
      <c r="U151" s="22">
        <v>97177.895475628495</v>
      </c>
      <c r="V151" s="22">
        <v>97177.895475628495</v>
      </c>
      <c r="W151" s="22">
        <v>97177.895475628495</v>
      </c>
      <c r="X151" s="22">
        <v>97177.895475628495</v>
      </c>
      <c r="Y151" s="22">
        <v>97177.895475628495</v>
      </c>
      <c r="Z151" s="22">
        <v>97177.895475628495</v>
      </c>
      <c r="AA151" s="23">
        <v>97177.895475628495</v>
      </c>
      <c r="AB151" s="97"/>
      <c r="AC151" s="24">
        <v>4</v>
      </c>
      <c r="AD151" s="16">
        <f t="shared" si="45"/>
        <v>6802452.6832939964</v>
      </c>
    </row>
    <row r="152" spans="1:30" ht="13.5" thickBot="1" x14ac:dyDescent="0.35">
      <c r="A152" s="18">
        <v>2030</v>
      </c>
      <c r="B152" s="25" t="s">
        <v>32</v>
      </c>
      <c r="C152" s="26" t="s">
        <v>36</v>
      </c>
      <c r="D152" s="21">
        <v>24294.473868907124</v>
      </c>
      <c r="E152" s="22">
        <v>24294.473868907124</v>
      </c>
      <c r="F152" s="22">
        <v>24294.473868907124</v>
      </c>
      <c r="G152" s="22">
        <v>24294.473868907124</v>
      </c>
      <c r="H152" s="22">
        <v>24294.473868907124</v>
      </c>
      <c r="I152" s="22">
        <v>24294.473868907124</v>
      </c>
      <c r="J152" s="22">
        <v>24294.473868907124</v>
      </c>
      <c r="K152" s="22">
        <v>42813.840246697422</v>
      </c>
      <c r="L152" s="22">
        <v>74390.690275720393</v>
      </c>
      <c r="M152" s="22">
        <v>95161.715967322452</v>
      </c>
      <c r="N152" s="22">
        <v>106642.30320774762</v>
      </c>
      <c r="O152" s="22">
        <v>110611.6971906887</v>
      </c>
      <c r="P152" s="22">
        <v>109564.90038173478</v>
      </c>
      <c r="Q152" s="22">
        <v>103608.32964230573</v>
      </c>
      <c r="R152" s="22">
        <v>92522.518739745501</v>
      </c>
      <c r="S152" s="22">
        <v>73070.010128129899</v>
      </c>
      <c r="T152" s="22">
        <v>41920.579631656838</v>
      </c>
      <c r="U152" s="22">
        <v>97177.895475628495</v>
      </c>
      <c r="V152" s="22">
        <v>97177.895475628495</v>
      </c>
      <c r="W152" s="22">
        <v>97177.895475628495</v>
      </c>
      <c r="X152" s="22">
        <v>97177.895475628495</v>
      </c>
      <c r="Y152" s="22">
        <v>97177.895475628495</v>
      </c>
      <c r="Z152" s="22">
        <v>97177.895475628495</v>
      </c>
      <c r="AA152" s="23">
        <v>97177.895475628495</v>
      </c>
      <c r="AB152" s="97"/>
      <c r="AC152" s="27">
        <v>6</v>
      </c>
      <c r="AD152" s="16">
        <f t="shared" si="45"/>
        <v>10203679.024940994</v>
      </c>
    </row>
    <row r="153" spans="1:30" ht="13.5" thickBot="1" x14ac:dyDescent="0.35">
      <c r="A153" s="18">
        <v>2030</v>
      </c>
      <c r="B153" s="11" t="s">
        <v>35</v>
      </c>
      <c r="C153" s="12" t="s">
        <v>33</v>
      </c>
      <c r="D153" s="21">
        <v>24294.473868907131</v>
      </c>
      <c r="E153" s="22">
        <v>24294.473868907131</v>
      </c>
      <c r="F153" s="22">
        <v>24294.473868907131</v>
      </c>
      <c r="G153" s="22">
        <v>24294.473868907131</v>
      </c>
      <c r="H153" s="22">
        <v>24294.473868907131</v>
      </c>
      <c r="I153" s="22">
        <v>24294.473868907131</v>
      </c>
      <c r="J153" s="22">
        <v>24294.473868907131</v>
      </c>
      <c r="K153" s="22">
        <v>42813.840246697422</v>
      </c>
      <c r="L153" s="22">
        <v>74390.690275720393</v>
      </c>
      <c r="M153" s="22">
        <v>95161.715967322452</v>
      </c>
      <c r="N153" s="22">
        <v>106642.30320774761</v>
      </c>
      <c r="O153" s="22">
        <v>110611.69719068872</v>
      </c>
      <c r="P153" s="22">
        <v>109564.9003817348</v>
      </c>
      <c r="Q153" s="22">
        <v>103608.32964230569</v>
      </c>
      <c r="R153" s="22">
        <v>92522.518739745501</v>
      </c>
      <c r="S153" s="22">
        <v>73070.010128129899</v>
      </c>
      <c r="T153" s="22">
        <v>41920.579631656845</v>
      </c>
      <c r="U153" s="22">
        <v>97177.895475628524</v>
      </c>
      <c r="V153" s="22">
        <v>97177.895475628524</v>
      </c>
      <c r="W153" s="22">
        <v>97177.895475628524</v>
      </c>
      <c r="X153" s="22">
        <v>97177.895475628524</v>
      </c>
      <c r="Y153" s="22">
        <v>97177.895475628524</v>
      </c>
      <c r="Z153" s="22">
        <v>97177.895475628524</v>
      </c>
      <c r="AA153" s="23">
        <v>97177.895475628524</v>
      </c>
      <c r="AB153" s="96">
        <f t="shared" ref="AB153" si="52">+SUM(D153:AA153)*AC153+SUM(D154:AA154)*AC154+SUM(D155:AA155)*AC155</f>
        <v>47617168.78305798</v>
      </c>
      <c r="AC153" s="16">
        <v>20</v>
      </c>
      <c r="AD153" s="16">
        <f t="shared" si="45"/>
        <v>34012263.416469984</v>
      </c>
    </row>
    <row r="154" spans="1:30" ht="13.5" thickBot="1" x14ac:dyDescent="0.35">
      <c r="A154" s="18">
        <v>2030</v>
      </c>
      <c r="B154" s="19" t="s">
        <v>35</v>
      </c>
      <c r="C154" s="20" t="s">
        <v>50</v>
      </c>
      <c r="D154" s="21">
        <v>24294.473868907124</v>
      </c>
      <c r="E154" s="22">
        <v>24294.473868907124</v>
      </c>
      <c r="F154" s="22">
        <v>24294.473868907124</v>
      </c>
      <c r="G154" s="22">
        <v>24294.473868907124</v>
      </c>
      <c r="H154" s="22">
        <v>24294.473868907124</v>
      </c>
      <c r="I154" s="22">
        <v>24294.473868907124</v>
      </c>
      <c r="J154" s="22">
        <v>24294.473868907124</v>
      </c>
      <c r="K154" s="22">
        <v>42813.840246697422</v>
      </c>
      <c r="L154" s="22">
        <v>74390.690275720393</v>
      </c>
      <c r="M154" s="22">
        <v>95161.715967322438</v>
      </c>
      <c r="N154" s="22">
        <v>106642.30320774761</v>
      </c>
      <c r="O154" s="22">
        <v>110611.69719068872</v>
      </c>
      <c r="P154" s="22">
        <v>109564.90038173477</v>
      </c>
      <c r="Q154" s="22">
        <v>103608.32964230573</v>
      </c>
      <c r="R154" s="22">
        <v>92522.518739745501</v>
      </c>
      <c r="S154" s="22">
        <v>73070.010128129899</v>
      </c>
      <c r="T154" s="22">
        <v>41920.579631656838</v>
      </c>
      <c r="U154" s="22">
        <v>97177.895475628495</v>
      </c>
      <c r="V154" s="22">
        <v>97177.895475628495</v>
      </c>
      <c r="W154" s="22">
        <v>97177.895475628495</v>
      </c>
      <c r="X154" s="22">
        <v>97177.895475628495</v>
      </c>
      <c r="Y154" s="22">
        <v>97177.895475628495</v>
      </c>
      <c r="Z154" s="22">
        <v>97177.895475628495</v>
      </c>
      <c r="AA154" s="23">
        <v>97177.895475628495</v>
      </c>
      <c r="AB154" s="97"/>
      <c r="AC154" s="24">
        <v>4</v>
      </c>
      <c r="AD154" s="16">
        <f t="shared" si="45"/>
        <v>6802452.6832939964</v>
      </c>
    </row>
    <row r="155" spans="1:30" ht="13.5" thickBot="1" x14ac:dyDescent="0.35">
      <c r="A155" s="18">
        <v>2030</v>
      </c>
      <c r="B155" s="25" t="s">
        <v>35</v>
      </c>
      <c r="C155" s="26" t="s">
        <v>36</v>
      </c>
      <c r="D155" s="21">
        <v>24294.473868907124</v>
      </c>
      <c r="E155" s="22">
        <v>24294.473868907124</v>
      </c>
      <c r="F155" s="22">
        <v>24294.473868907124</v>
      </c>
      <c r="G155" s="22">
        <v>24294.473868907124</v>
      </c>
      <c r="H155" s="22">
        <v>24294.473868907124</v>
      </c>
      <c r="I155" s="22">
        <v>24294.473868907124</v>
      </c>
      <c r="J155" s="22">
        <v>24294.473868907124</v>
      </c>
      <c r="K155" s="22">
        <v>42813.840246697422</v>
      </c>
      <c r="L155" s="22">
        <v>74390.690275720393</v>
      </c>
      <c r="M155" s="22">
        <v>95161.715967322438</v>
      </c>
      <c r="N155" s="22">
        <v>106642.30320774761</v>
      </c>
      <c r="O155" s="22">
        <v>110611.69719068872</v>
      </c>
      <c r="P155" s="22">
        <v>109564.90038173477</v>
      </c>
      <c r="Q155" s="22">
        <v>103608.32964230573</v>
      </c>
      <c r="R155" s="22">
        <v>92522.518739745501</v>
      </c>
      <c r="S155" s="22">
        <v>73070.010128129899</v>
      </c>
      <c r="T155" s="22">
        <v>41920.579631656838</v>
      </c>
      <c r="U155" s="22">
        <v>97177.895475628495</v>
      </c>
      <c r="V155" s="22">
        <v>97177.895475628495</v>
      </c>
      <c r="W155" s="22">
        <v>97177.895475628495</v>
      </c>
      <c r="X155" s="22">
        <v>97177.895475628495</v>
      </c>
      <c r="Y155" s="22">
        <v>97177.895475628495</v>
      </c>
      <c r="Z155" s="22">
        <v>97177.895475628495</v>
      </c>
      <c r="AA155" s="23">
        <v>97177.895475628495</v>
      </c>
      <c r="AB155" s="97"/>
      <c r="AC155" s="27">
        <v>4</v>
      </c>
      <c r="AD155" s="16">
        <f t="shared" si="45"/>
        <v>6802452.6832939964</v>
      </c>
    </row>
    <row r="156" spans="1:30" ht="13.5" thickBot="1" x14ac:dyDescent="0.35">
      <c r="A156" s="18">
        <v>2030</v>
      </c>
      <c r="B156" s="11" t="s">
        <v>37</v>
      </c>
      <c r="C156" s="12" t="s">
        <v>33</v>
      </c>
      <c r="D156" s="21">
        <v>24294.473868907131</v>
      </c>
      <c r="E156" s="22">
        <v>24294.473868907131</v>
      </c>
      <c r="F156" s="22">
        <v>24294.473868907131</v>
      </c>
      <c r="G156" s="22">
        <v>24294.473868907131</v>
      </c>
      <c r="H156" s="22">
        <v>24294.473868907131</v>
      </c>
      <c r="I156" s="22">
        <v>24294.473868907131</v>
      </c>
      <c r="J156" s="22">
        <v>24294.473868907131</v>
      </c>
      <c r="K156" s="22">
        <v>42813.840246697422</v>
      </c>
      <c r="L156" s="22">
        <v>74390.690275720393</v>
      </c>
      <c r="M156" s="22">
        <v>95161.715967322452</v>
      </c>
      <c r="N156" s="22">
        <v>106642.30320774761</v>
      </c>
      <c r="O156" s="22">
        <v>110611.69719068872</v>
      </c>
      <c r="P156" s="22">
        <v>109564.9003817348</v>
      </c>
      <c r="Q156" s="22">
        <v>103608.32964230569</v>
      </c>
      <c r="R156" s="22">
        <v>92522.518739745501</v>
      </c>
      <c r="S156" s="22">
        <v>73070.010128129899</v>
      </c>
      <c r="T156" s="22">
        <v>41920.579631656845</v>
      </c>
      <c r="U156" s="22">
        <v>97177.895475628524</v>
      </c>
      <c r="V156" s="22">
        <v>97177.895475628524</v>
      </c>
      <c r="W156" s="22">
        <v>97177.895475628524</v>
      </c>
      <c r="X156" s="22">
        <v>97177.895475628524</v>
      </c>
      <c r="Y156" s="22">
        <v>97177.895475628524</v>
      </c>
      <c r="Z156" s="22">
        <v>97177.895475628524</v>
      </c>
      <c r="AA156" s="23">
        <v>97177.895475628524</v>
      </c>
      <c r="AB156" s="96">
        <f t="shared" ref="AB156" si="53">+SUM(D156:AA156)*AC156+SUM(D157:AA157)*AC157+SUM(D158:AA158)*AC158</f>
        <v>52719008.295528471</v>
      </c>
      <c r="AC156" s="16">
        <v>20</v>
      </c>
      <c r="AD156" s="16">
        <f t="shared" si="45"/>
        <v>34012263.416469984</v>
      </c>
    </row>
    <row r="157" spans="1:30" ht="13.5" thickBot="1" x14ac:dyDescent="0.35">
      <c r="A157" s="18">
        <v>2030</v>
      </c>
      <c r="B157" s="19" t="s">
        <v>37</v>
      </c>
      <c r="C157" s="20" t="s">
        <v>50</v>
      </c>
      <c r="D157" s="21">
        <v>24294.473868907124</v>
      </c>
      <c r="E157" s="22">
        <v>24294.473868907124</v>
      </c>
      <c r="F157" s="22">
        <v>24294.473868907124</v>
      </c>
      <c r="G157" s="22">
        <v>24294.473868907124</v>
      </c>
      <c r="H157" s="22">
        <v>24294.473868907124</v>
      </c>
      <c r="I157" s="22">
        <v>24294.473868907124</v>
      </c>
      <c r="J157" s="22">
        <v>24294.473868907124</v>
      </c>
      <c r="K157" s="22">
        <v>42813.840246697422</v>
      </c>
      <c r="L157" s="22">
        <v>74390.690275720393</v>
      </c>
      <c r="M157" s="22">
        <v>95161.715967322438</v>
      </c>
      <c r="N157" s="22">
        <v>106642.30320774761</v>
      </c>
      <c r="O157" s="22">
        <v>110611.69719068872</v>
      </c>
      <c r="P157" s="22">
        <v>109564.90038173478</v>
      </c>
      <c r="Q157" s="22">
        <v>103608.32964230573</v>
      </c>
      <c r="R157" s="22">
        <v>92522.518739745501</v>
      </c>
      <c r="S157" s="22">
        <v>73070.010128129899</v>
      </c>
      <c r="T157" s="22">
        <v>41920.579631656838</v>
      </c>
      <c r="U157" s="22">
        <v>97177.895475628495</v>
      </c>
      <c r="V157" s="22">
        <v>97177.895475628495</v>
      </c>
      <c r="W157" s="22">
        <v>97177.895475628495</v>
      </c>
      <c r="X157" s="22">
        <v>97177.895475628495</v>
      </c>
      <c r="Y157" s="22">
        <v>97177.895475628495</v>
      </c>
      <c r="Z157" s="22">
        <v>97177.895475628495</v>
      </c>
      <c r="AA157" s="23">
        <v>97177.895475628495</v>
      </c>
      <c r="AB157" s="97"/>
      <c r="AC157" s="24">
        <v>5</v>
      </c>
      <c r="AD157" s="16">
        <f t="shared" si="45"/>
        <v>8503065.8541174959</v>
      </c>
    </row>
    <row r="158" spans="1:30" ht="13.5" thickBot="1" x14ac:dyDescent="0.35">
      <c r="A158" s="18">
        <v>2030</v>
      </c>
      <c r="B158" s="25" t="s">
        <v>37</v>
      </c>
      <c r="C158" s="26" t="s">
        <v>36</v>
      </c>
      <c r="D158" s="21">
        <v>24294.473868907124</v>
      </c>
      <c r="E158" s="22">
        <v>24294.473868907124</v>
      </c>
      <c r="F158" s="22">
        <v>24294.473868907124</v>
      </c>
      <c r="G158" s="22">
        <v>24294.473868907124</v>
      </c>
      <c r="H158" s="22">
        <v>24294.473868907124</v>
      </c>
      <c r="I158" s="22">
        <v>24294.473868907124</v>
      </c>
      <c r="J158" s="22">
        <v>24294.473868907124</v>
      </c>
      <c r="K158" s="22">
        <v>42813.840246697422</v>
      </c>
      <c r="L158" s="22">
        <v>74390.690275720393</v>
      </c>
      <c r="M158" s="22">
        <v>95161.715967322452</v>
      </c>
      <c r="N158" s="22">
        <v>106642.30320774762</v>
      </c>
      <c r="O158" s="22">
        <v>110611.6971906887</v>
      </c>
      <c r="P158" s="22">
        <v>109564.90038173478</v>
      </c>
      <c r="Q158" s="22">
        <v>103608.32964230573</v>
      </c>
      <c r="R158" s="22">
        <v>92522.518739745501</v>
      </c>
      <c r="S158" s="22">
        <v>73070.010128129899</v>
      </c>
      <c r="T158" s="22">
        <v>41920.579631656838</v>
      </c>
      <c r="U158" s="22">
        <v>97177.895475628495</v>
      </c>
      <c r="V158" s="22">
        <v>97177.895475628495</v>
      </c>
      <c r="W158" s="22">
        <v>97177.895475628495</v>
      </c>
      <c r="X158" s="22">
        <v>97177.895475628495</v>
      </c>
      <c r="Y158" s="22">
        <v>97177.895475628495</v>
      </c>
      <c r="Z158" s="22">
        <v>97177.895475628495</v>
      </c>
      <c r="AA158" s="23">
        <v>97177.895475628495</v>
      </c>
      <c r="AB158" s="97"/>
      <c r="AC158" s="27">
        <v>6</v>
      </c>
      <c r="AD158" s="16">
        <f t="shared" si="45"/>
        <v>10203679.024940994</v>
      </c>
    </row>
    <row r="159" spans="1:30" ht="13.5" thickBot="1" x14ac:dyDescent="0.35">
      <c r="A159" s="18">
        <v>2030</v>
      </c>
      <c r="B159" s="11" t="s">
        <v>38</v>
      </c>
      <c r="C159" s="12" t="s">
        <v>33</v>
      </c>
      <c r="D159" s="21">
        <v>24294.473868907131</v>
      </c>
      <c r="E159" s="22">
        <v>24294.473868907131</v>
      </c>
      <c r="F159" s="22">
        <v>24294.473868907131</v>
      </c>
      <c r="G159" s="22">
        <v>24294.473868907131</v>
      </c>
      <c r="H159" s="22">
        <v>24294.473868907131</v>
      </c>
      <c r="I159" s="22">
        <v>24294.473868907131</v>
      </c>
      <c r="J159" s="22">
        <v>24294.473868907131</v>
      </c>
      <c r="K159" s="22">
        <v>42813.840246697422</v>
      </c>
      <c r="L159" s="22">
        <v>74390.690275720393</v>
      </c>
      <c r="M159" s="22">
        <v>95161.715967322452</v>
      </c>
      <c r="N159" s="22">
        <v>106642.30320774761</v>
      </c>
      <c r="O159" s="22">
        <v>110611.69719068872</v>
      </c>
      <c r="P159" s="22">
        <v>109564.9003817348</v>
      </c>
      <c r="Q159" s="22">
        <v>103608.32964230569</v>
      </c>
      <c r="R159" s="22">
        <v>92522.518739745501</v>
      </c>
      <c r="S159" s="22">
        <v>73070.010128129899</v>
      </c>
      <c r="T159" s="22">
        <v>41920.579631656845</v>
      </c>
      <c r="U159" s="22">
        <v>97177.895475628524</v>
      </c>
      <c r="V159" s="22">
        <v>97177.895475628524</v>
      </c>
      <c r="W159" s="22">
        <v>97177.895475628524</v>
      </c>
      <c r="X159" s="22">
        <v>97177.895475628524</v>
      </c>
      <c r="Y159" s="22">
        <v>97177.895475628524</v>
      </c>
      <c r="Z159" s="22">
        <v>97177.895475628524</v>
      </c>
      <c r="AA159" s="23">
        <v>97177.895475628524</v>
      </c>
      <c r="AB159" s="96">
        <f t="shared" ref="AB159" si="54">+SUM(D159:AA159)*AC159+SUM(D160:AA160)*AC160+SUM(D161:AA161)*AC161</f>
        <v>51018395.124704972</v>
      </c>
      <c r="AC159" s="16">
        <v>20</v>
      </c>
      <c r="AD159" s="16">
        <f t="shared" si="45"/>
        <v>34012263.416469984</v>
      </c>
    </row>
    <row r="160" spans="1:30" ht="13.5" thickBot="1" x14ac:dyDescent="0.35">
      <c r="A160" s="18">
        <v>2030</v>
      </c>
      <c r="B160" s="19" t="s">
        <v>38</v>
      </c>
      <c r="C160" s="20" t="s">
        <v>50</v>
      </c>
      <c r="D160" s="21">
        <v>24294.473868907124</v>
      </c>
      <c r="E160" s="22">
        <v>24294.473868907124</v>
      </c>
      <c r="F160" s="22">
        <v>24294.473868907124</v>
      </c>
      <c r="G160" s="22">
        <v>24294.473868907124</v>
      </c>
      <c r="H160" s="22">
        <v>24294.473868907124</v>
      </c>
      <c r="I160" s="22">
        <v>24294.473868907124</v>
      </c>
      <c r="J160" s="22">
        <v>24294.473868907124</v>
      </c>
      <c r="K160" s="22">
        <v>42813.840246697422</v>
      </c>
      <c r="L160" s="22">
        <v>74390.690275720393</v>
      </c>
      <c r="M160" s="22">
        <v>95161.715967322438</v>
      </c>
      <c r="N160" s="22">
        <v>106642.30320774761</v>
      </c>
      <c r="O160" s="22">
        <v>110611.69719068872</v>
      </c>
      <c r="P160" s="22">
        <v>109564.90038173477</v>
      </c>
      <c r="Q160" s="22">
        <v>103608.32964230573</v>
      </c>
      <c r="R160" s="22">
        <v>92522.518739745501</v>
      </c>
      <c r="S160" s="22">
        <v>73070.010128129899</v>
      </c>
      <c r="T160" s="22">
        <v>41920.579631656838</v>
      </c>
      <c r="U160" s="22">
        <v>97177.895475628495</v>
      </c>
      <c r="V160" s="22">
        <v>97177.895475628495</v>
      </c>
      <c r="W160" s="22">
        <v>97177.895475628495</v>
      </c>
      <c r="X160" s="22">
        <v>97177.895475628495</v>
      </c>
      <c r="Y160" s="22">
        <v>97177.895475628495</v>
      </c>
      <c r="Z160" s="22">
        <v>97177.895475628495</v>
      </c>
      <c r="AA160" s="23">
        <v>97177.895475628495</v>
      </c>
      <c r="AB160" s="97"/>
      <c r="AC160" s="24">
        <v>4</v>
      </c>
      <c r="AD160" s="16">
        <f t="shared" si="45"/>
        <v>6802452.6832939964</v>
      </c>
    </row>
    <row r="161" spans="1:30" ht="13.5" thickBot="1" x14ac:dyDescent="0.35">
      <c r="A161" s="18">
        <v>2030</v>
      </c>
      <c r="B161" s="25" t="s">
        <v>38</v>
      </c>
      <c r="C161" s="26" t="s">
        <v>36</v>
      </c>
      <c r="D161" s="21">
        <v>24294.473868907124</v>
      </c>
      <c r="E161" s="22">
        <v>24294.473868907124</v>
      </c>
      <c r="F161" s="22">
        <v>24294.473868907124</v>
      </c>
      <c r="G161" s="22">
        <v>24294.473868907124</v>
      </c>
      <c r="H161" s="22">
        <v>24294.473868907124</v>
      </c>
      <c r="I161" s="22">
        <v>24294.473868907124</v>
      </c>
      <c r="J161" s="22">
        <v>24294.473868907124</v>
      </c>
      <c r="K161" s="22">
        <v>42813.840246697422</v>
      </c>
      <c r="L161" s="22">
        <v>74390.690275720393</v>
      </c>
      <c r="M161" s="22">
        <v>95161.715967322452</v>
      </c>
      <c r="N161" s="22">
        <v>106642.30320774762</v>
      </c>
      <c r="O161" s="22">
        <v>110611.6971906887</v>
      </c>
      <c r="P161" s="22">
        <v>109564.90038173478</v>
      </c>
      <c r="Q161" s="22">
        <v>103608.32964230573</v>
      </c>
      <c r="R161" s="22">
        <v>92522.518739745501</v>
      </c>
      <c r="S161" s="22">
        <v>73070.010128129899</v>
      </c>
      <c r="T161" s="22">
        <v>41920.579631656838</v>
      </c>
      <c r="U161" s="22">
        <v>97177.895475628495</v>
      </c>
      <c r="V161" s="22">
        <v>97177.895475628495</v>
      </c>
      <c r="W161" s="22">
        <v>97177.895475628495</v>
      </c>
      <c r="X161" s="22">
        <v>97177.895475628495</v>
      </c>
      <c r="Y161" s="22">
        <v>97177.895475628495</v>
      </c>
      <c r="Z161" s="22">
        <v>97177.895475628495</v>
      </c>
      <c r="AA161" s="23">
        <v>97177.895475628495</v>
      </c>
      <c r="AB161" s="97"/>
      <c r="AC161" s="27">
        <v>6</v>
      </c>
      <c r="AD161" s="16">
        <f t="shared" si="45"/>
        <v>10203679.024940994</v>
      </c>
    </row>
    <row r="162" spans="1:30" ht="13.5" thickBot="1" x14ac:dyDescent="0.35">
      <c r="A162" s="18">
        <v>2030</v>
      </c>
      <c r="B162" s="11" t="s">
        <v>39</v>
      </c>
      <c r="C162" s="12" t="s">
        <v>33</v>
      </c>
      <c r="D162" s="21">
        <v>24294.473868907135</v>
      </c>
      <c r="E162" s="22">
        <v>24294.473868907135</v>
      </c>
      <c r="F162" s="22">
        <v>24294.473868907135</v>
      </c>
      <c r="G162" s="22">
        <v>24294.473868907135</v>
      </c>
      <c r="H162" s="22">
        <v>24294.473868907135</v>
      </c>
      <c r="I162" s="22">
        <v>24294.473868907135</v>
      </c>
      <c r="J162" s="22">
        <v>24294.473868907135</v>
      </c>
      <c r="K162" s="22">
        <v>42813.840246697422</v>
      </c>
      <c r="L162" s="22">
        <v>74390.690275720379</v>
      </c>
      <c r="M162" s="22">
        <v>95161.715967322452</v>
      </c>
      <c r="N162" s="22">
        <v>106642.30320774762</v>
      </c>
      <c r="O162" s="22">
        <v>110611.69719068873</v>
      </c>
      <c r="P162" s="22">
        <v>109564.90038173478</v>
      </c>
      <c r="Q162" s="22">
        <v>103608.32964230567</v>
      </c>
      <c r="R162" s="22">
        <v>92522.518739745501</v>
      </c>
      <c r="S162" s="22">
        <v>73070.010128129914</v>
      </c>
      <c r="T162" s="22">
        <v>41920.579631656845</v>
      </c>
      <c r="U162" s="22">
        <v>97177.895475628538</v>
      </c>
      <c r="V162" s="22">
        <v>97177.895475628538</v>
      </c>
      <c r="W162" s="22">
        <v>97177.895475628538</v>
      </c>
      <c r="X162" s="22">
        <v>97177.895475628538</v>
      </c>
      <c r="Y162" s="22">
        <v>97177.895475628538</v>
      </c>
      <c r="Z162" s="22">
        <v>97177.895475628538</v>
      </c>
      <c r="AA162" s="23">
        <v>97177.895475628538</v>
      </c>
      <c r="AB162" s="96">
        <f t="shared" ref="AB162" si="55">+SUM(D162:AA162)*AC162+SUM(D163:AA163)*AC163+SUM(D164:AA164)*AC164</f>
        <v>52719008.295528479</v>
      </c>
      <c r="AC162" s="16">
        <v>22</v>
      </c>
      <c r="AD162" s="16">
        <f t="shared" si="45"/>
        <v>37413489.758116983</v>
      </c>
    </row>
    <row r="163" spans="1:30" ht="13.5" thickBot="1" x14ac:dyDescent="0.35">
      <c r="A163" s="18">
        <v>2030</v>
      </c>
      <c r="B163" s="19" t="s">
        <v>39</v>
      </c>
      <c r="C163" s="20" t="s">
        <v>50</v>
      </c>
      <c r="D163" s="21">
        <v>24294.473868907124</v>
      </c>
      <c r="E163" s="22">
        <v>24294.473868907124</v>
      </c>
      <c r="F163" s="22">
        <v>24294.473868907124</v>
      </c>
      <c r="G163" s="22">
        <v>24294.473868907124</v>
      </c>
      <c r="H163" s="22">
        <v>24294.473868907124</v>
      </c>
      <c r="I163" s="22">
        <v>24294.473868907124</v>
      </c>
      <c r="J163" s="22">
        <v>24294.473868907124</v>
      </c>
      <c r="K163" s="22">
        <v>42813.840246697422</v>
      </c>
      <c r="L163" s="22">
        <v>74390.690275720393</v>
      </c>
      <c r="M163" s="22">
        <v>95161.715967322438</v>
      </c>
      <c r="N163" s="22">
        <v>106642.30320774761</v>
      </c>
      <c r="O163" s="22">
        <v>110611.69719068872</v>
      </c>
      <c r="P163" s="22">
        <v>109564.90038173477</v>
      </c>
      <c r="Q163" s="22">
        <v>103608.32964230573</v>
      </c>
      <c r="R163" s="22">
        <v>92522.518739745501</v>
      </c>
      <c r="S163" s="22">
        <v>73070.010128129899</v>
      </c>
      <c r="T163" s="22">
        <v>41920.579631656838</v>
      </c>
      <c r="U163" s="22">
        <v>97177.895475628495</v>
      </c>
      <c r="V163" s="22">
        <v>97177.895475628495</v>
      </c>
      <c r="W163" s="22">
        <v>97177.895475628495</v>
      </c>
      <c r="X163" s="22">
        <v>97177.895475628495</v>
      </c>
      <c r="Y163" s="22">
        <v>97177.895475628495</v>
      </c>
      <c r="Z163" s="22">
        <v>97177.895475628495</v>
      </c>
      <c r="AA163" s="23">
        <v>97177.895475628495</v>
      </c>
      <c r="AB163" s="97"/>
      <c r="AC163" s="24">
        <v>4</v>
      </c>
      <c r="AD163" s="16">
        <f t="shared" si="45"/>
        <v>6802452.6832939964</v>
      </c>
    </row>
    <row r="164" spans="1:30" ht="13.5" thickBot="1" x14ac:dyDescent="0.35">
      <c r="A164" s="18">
        <v>2030</v>
      </c>
      <c r="B164" s="25" t="s">
        <v>39</v>
      </c>
      <c r="C164" s="26" t="s">
        <v>36</v>
      </c>
      <c r="D164" s="21">
        <v>24294.473868907124</v>
      </c>
      <c r="E164" s="22">
        <v>24294.473868907124</v>
      </c>
      <c r="F164" s="22">
        <v>24294.473868907124</v>
      </c>
      <c r="G164" s="22">
        <v>24294.473868907124</v>
      </c>
      <c r="H164" s="22">
        <v>24294.473868907124</v>
      </c>
      <c r="I164" s="22">
        <v>24294.473868907124</v>
      </c>
      <c r="J164" s="22">
        <v>24294.473868907124</v>
      </c>
      <c r="K164" s="22">
        <v>42813.840246697422</v>
      </c>
      <c r="L164" s="22">
        <v>74390.690275720393</v>
      </c>
      <c r="M164" s="22">
        <v>95161.715967322438</v>
      </c>
      <c r="N164" s="22">
        <v>106642.30320774761</v>
      </c>
      <c r="O164" s="22">
        <v>110611.69719068872</v>
      </c>
      <c r="P164" s="22">
        <v>109564.90038173478</v>
      </c>
      <c r="Q164" s="22">
        <v>103608.32964230573</v>
      </c>
      <c r="R164" s="22">
        <v>92522.518739745501</v>
      </c>
      <c r="S164" s="22">
        <v>73070.010128129899</v>
      </c>
      <c r="T164" s="22">
        <v>41920.579631656838</v>
      </c>
      <c r="U164" s="22">
        <v>97177.895475628495</v>
      </c>
      <c r="V164" s="22">
        <v>97177.895475628495</v>
      </c>
      <c r="W164" s="22">
        <v>97177.895475628495</v>
      </c>
      <c r="X164" s="22">
        <v>97177.895475628495</v>
      </c>
      <c r="Y164" s="22">
        <v>97177.895475628495</v>
      </c>
      <c r="Z164" s="22">
        <v>97177.895475628495</v>
      </c>
      <c r="AA164" s="23">
        <v>97177.895475628495</v>
      </c>
      <c r="AB164" s="97"/>
      <c r="AC164" s="27">
        <v>5</v>
      </c>
      <c r="AD164" s="16">
        <f t="shared" si="45"/>
        <v>8503065.8541174959</v>
      </c>
    </row>
    <row r="165" spans="1:30" ht="13.5" thickBot="1" x14ac:dyDescent="0.35">
      <c r="A165" s="18">
        <v>2030</v>
      </c>
      <c r="B165" s="11" t="s">
        <v>40</v>
      </c>
      <c r="C165" s="12" t="s">
        <v>33</v>
      </c>
      <c r="D165" s="21">
        <v>24294.473868907131</v>
      </c>
      <c r="E165" s="22">
        <v>24294.473868907131</v>
      </c>
      <c r="F165" s="22">
        <v>24294.473868907131</v>
      </c>
      <c r="G165" s="22">
        <v>24294.473868907131</v>
      </c>
      <c r="H165" s="22">
        <v>24294.473868907131</v>
      </c>
      <c r="I165" s="22">
        <v>24294.473868907131</v>
      </c>
      <c r="J165" s="22">
        <v>24294.473868907131</v>
      </c>
      <c r="K165" s="22">
        <v>42813.840246697422</v>
      </c>
      <c r="L165" s="22">
        <v>74390.690275720393</v>
      </c>
      <c r="M165" s="22">
        <v>95161.715967322452</v>
      </c>
      <c r="N165" s="22">
        <v>106642.30320774762</v>
      </c>
      <c r="O165" s="22">
        <v>110611.6971906887</v>
      </c>
      <c r="P165" s="22">
        <v>109564.90038173481</v>
      </c>
      <c r="Q165" s="22">
        <v>103608.32964230569</v>
      </c>
      <c r="R165" s="22">
        <v>92522.518739745501</v>
      </c>
      <c r="S165" s="22">
        <v>73070.010128129899</v>
      </c>
      <c r="T165" s="22">
        <v>41920.579631656845</v>
      </c>
      <c r="U165" s="22">
        <v>97177.895475628524</v>
      </c>
      <c r="V165" s="22">
        <v>97177.895475628524</v>
      </c>
      <c r="W165" s="22">
        <v>97177.895475628524</v>
      </c>
      <c r="X165" s="22">
        <v>97177.895475628524</v>
      </c>
      <c r="Y165" s="22">
        <v>97177.895475628524</v>
      </c>
      <c r="Z165" s="22">
        <v>97177.895475628524</v>
      </c>
      <c r="AA165" s="23">
        <v>97177.895475628524</v>
      </c>
      <c r="AB165" s="96">
        <f t="shared" ref="AB165" si="56">+SUM(D165:AA165)*AC165+SUM(D166:AA166)*AC166+SUM(D167:AA167)*AC167</f>
        <v>51018395.124704972</v>
      </c>
      <c r="AC165" s="16">
        <v>18</v>
      </c>
      <c r="AD165" s="16">
        <f t="shared" si="45"/>
        <v>30611037.074822985</v>
      </c>
    </row>
    <row r="166" spans="1:30" ht="13.5" thickBot="1" x14ac:dyDescent="0.35">
      <c r="A166" s="18">
        <v>2030</v>
      </c>
      <c r="B166" s="19" t="s">
        <v>40</v>
      </c>
      <c r="C166" s="20" t="s">
        <v>50</v>
      </c>
      <c r="D166" s="21">
        <v>24294.473868907124</v>
      </c>
      <c r="E166" s="22">
        <v>24294.473868907124</v>
      </c>
      <c r="F166" s="22">
        <v>24294.473868907124</v>
      </c>
      <c r="G166" s="22">
        <v>24294.473868907124</v>
      </c>
      <c r="H166" s="22">
        <v>24294.473868907124</v>
      </c>
      <c r="I166" s="22">
        <v>24294.473868907124</v>
      </c>
      <c r="J166" s="22">
        <v>24294.473868907124</v>
      </c>
      <c r="K166" s="22">
        <v>42813.840246697422</v>
      </c>
      <c r="L166" s="22">
        <v>74390.690275720393</v>
      </c>
      <c r="M166" s="22">
        <v>95161.715967322438</v>
      </c>
      <c r="N166" s="22">
        <v>106642.30320774761</v>
      </c>
      <c r="O166" s="22">
        <v>110611.69719068872</v>
      </c>
      <c r="P166" s="22">
        <v>109564.90038173478</v>
      </c>
      <c r="Q166" s="22">
        <v>103608.32964230573</v>
      </c>
      <c r="R166" s="22">
        <v>92522.518739745501</v>
      </c>
      <c r="S166" s="22">
        <v>73070.010128129899</v>
      </c>
      <c r="T166" s="22">
        <v>41920.579631656838</v>
      </c>
      <c r="U166" s="22">
        <v>97177.895475628495</v>
      </c>
      <c r="V166" s="22">
        <v>97177.895475628495</v>
      </c>
      <c r="W166" s="22">
        <v>97177.895475628495</v>
      </c>
      <c r="X166" s="22">
        <v>97177.895475628495</v>
      </c>
      <c r="Y166" s="22">
        <v>97177.895475628495</v>
      </c>
      <c r="Z166" s="22">
        <v>97177.895475628495</v>
      </c>
      <c r="AA166" s="23">
        <v>97177.895475628495</v>
      </c>
      <c r="AB166" s="97"/>
      <c r="AC166" s="24">
        <v>5</v>
      </c>
      <c r="AD166" s="16">
        <f t="shared" si="45"/>
        <v>8503065.8541174959</v>
      </c>
    </row>
    <row r="167" spans="1:30" ht="13.5" thickBot="1" x14ac:dyDescent="0.35">
      <c r="A167" s="18">
        <v>2030</v>
      </c>
      <c r="B167" s="25" t="s">
        <v>40</v>
      </c>
      <c r="C167" s="26" t="s">
        <v>36</v>
      </c>
      <c r="D167" s="21">
        <v>24294.47386890712</v>
      </c>
      <c r="E167" s="22">
        <v>24294.47386890712</v>
      </c>
      <c r="F167" s="22">
        <v>24294.47386890712</v>
      </c>
      <c r="G167" s="22">
        <v>24294.47386890712</v>
      </c>
      <c r="H167" s="22">
        <v>24294.47386890712</v>
      </c>
      <c r="I167" s="22">
        <v>24294.47386890712</v>
      </c>
      <c r="J167" s="22">
        <v>24294.47386890712</v>
      </c>
      <c r="K167" s="22">
        <v>42813.840246697422</v>
      </c>
      <c r="L167" s="22">
        <v>74390.690275720393</v>
      </c>
      <c r="M167" s="22">
        <v>95161.715967322452</v>
      </c>
      <c r="N167" s="22">
        <v>106642.30320774762</v>
      </c>
      <c r="O167" s="22">
        <v>110611.6971906887</v>
      </c>
      <c r="P167" s="22">
        <v>109564.9003817348</v>
      </c>
      <c r="Q167" s="22">
        <v>103608.32964230573</v>
      </c>
      <c r="R167" s="22">
        <v>92522.518739745501</v>
      </c>
      <c r="S167" s="22">
        <v>73070.010128129899</v>
      </c>
      <c r="T167" s="22">
        <v>41920.579631656838</v>
      </c>
      <c r="U167" s="22">
        <v>97177.89547562848</v>
      </c>
      <c r="V167" s="22">
        <v>97177.89547562848</v>
      </c>
      <c r="W167" s="22">
        <v>97177.89547562848</v>
      </c>
      <c r="X167" s="22">
        <v>97177.89547562848</v>
      </c>
      <c r="Y167" s="22">
        <v>97177.89547562848</v>
      </c>
      <c r="Z167" s="22">
        <v>97177.89547562848</v>
      </c>
      <c r="AA167" s="23">
        <v>97177.89547562848</v>
      </c>
      <c r="AB167" s="97"/>
      <c r="AC167" s="27">
        <v>7</v>
      </c>
      <c r="AD167" s="16">
        <f t="shared" si="45"/>
        <v>11904292.195764493</v>
      </c>
    </row>
    <row r="168" spans="1:30" ht="13.5" thickBot="1" x14ac:dyDescent="0.35">
      <c r="A168" s="18">
        <v>2030</v>
      </c>
      <c r="B168" s="11" t="s">
        <v>41</v>
      </c>
      <c r="C168" s="12" t="s">
        <v>33</v>
      </c>
      <c r="D168" s="21">
        <v>24294.473868907135</v>
      </c>
      <c r="E168" s="22">
        <v>24294.473868907135</v>
      </c>
      <c r="F168" s="22">
        <v>24294.473868907135</v>
      </c>
      <c r="G168" s="22">
        <v>24294.473868907135</v>
      </c>
      <c r="H168" s="22">
        <v>24294.473868907135</v>
      </c>
      <c r="I168" s="22">
        <v>24294.473868907135</v>
      </c>
      <c r="J168" s="22">
        <v>24294.473868907135</v>
      </c>
      <c r="K168" s="22">
        <v>42813.840246697422</v>
      </c>
      <c r="L168" s="22">
        <v>74390.690275720379</v>
      </c>
      <c r="M168" s="22">
        <v>95161.715967322452</v>
      </c>
      <c r="N168" s="22">
        <v>106642.30320774762</v>
      </c>
      <c r="O168" s="22">
        <v>110611.69719068873</v>
      </c>
      <c r="P168" s="22">
        <v>109564.90038173478</v>
      </c>
      <c r="Q168" s="22">
        <v>103608.32964230567</v>
      </c>
      <c r="R168" s="22">
        <v>92522.518739745501</v>
      </c>
      <c r="S168" s="22">
        <v>73070.010128129914</v>
      </c>
      <c r="T168" s="22">
        <v>41920.579631656845</v>
      </c>
      <c r="U168" s="22">
        <v>97177.895475628538</v>
      </c>
      <c r="V168" s="22">
        <v>97177.895475628538</v>
      </c>
      <c r="W168" s="22">
        <v>97177.895475628538</v>
      </c>
      <c r="X168" s="22">
        <v>97177.895475628538</v>
      </c>
      <c r="Y168" s="22">
        <v>97177.895475628538</v>
      </c>
      <c r="Z168" s="22">
        <v>97177.895475628538</v>
      </c>
      <c r="AA168" s="23">
        <v>97177.895475628538</v>
      </c>
      <c r="AB168" s="96">
        <f t="shared" ref="AB168" si="57">+SUM(D168:AA168)*AC168+SUM(D169:AA169)*AC169+SUM(D170:AA170)*AC170</f>
        <v>52719008.295528471</v>
      </c>
      <c r="AC168" s="16">
        <v>22</v>
      </c>
      <c r="AD168" s="16">
        <f t="shared" si="45"/>
        <v>37413489.758116983</v>
      </c>
    </row>
    <row r="169" spans="1:30" ht="13.5" thickBot="1" x14ac:dyDescent="0.35">
      <c r="A169" s="18">
        <v>2030</v>
      </c>
      <c r="B169" s="19" t="s">
        <v>41</v>
      </c>
      <c r="C169" s="20" t="s">
        <v>50</v>
      </c>
      <c r="D169" s="21">
        <v>24294.473868907124</v>
      </c>
      <c r="E169" s="22">
        <v>24294.473868907124</v>
      </c>
      <c r="F169" s="22">
        <v>24294.473868907124</v>
      </c>
      <c r="G169" s="22">
        <v>24294.473868907124</v>
      </c>
      <c r="H169" s="22">
        <v>24294.473868907124</v>
      </c>
      <c r="I169" s="22">
        <v>24294.473868907124</v>
      </c>
      <c r="J169" s="22">
        <v>24294.473868907124</v>
      </c>
      <c r="K169" s="22">
        <v>42813.840246697422</v>
      </c>
      <c r="L169" s="22">
        <v>74390.690275720393</v>
      </c>
      <c r="M169" s="22">
        <v>95161.715967322423</v>
      </c>
      <c r="N169" s="22">
        <v>106642.30320774759</v>
      </c>
      <c r="O169" s="22">
        <v>110611.69719068873</v>
      </c>
      <c r="P169" s="22">
        <v>109564.90038173477</v>
      </c>
      <c r="Q169" s="22">
        <v>103608.32964230573</v>
      </c>
      <c r="R169" s="22">
        <v>92522.518739745501</v>
      </c>
      <c r="S169" s="22">
        <v>73070.010128129899</v>
      </c>
      <c r="T169" s="22">
        <v>41920.579631656838</v>
      </c>
      <c r="U169" s="22">
        <v>97177.895475628495</v>
      </c>
      <c r="V169" s="22">
        <v>97177.895475628495</v>
      </c>
      <c r="W169" s="22">
        <v>97177.895475628495</v>
      </c>
      <c r="X169" s="22">
        <v>97177.895475628495</v>
      </c>
      <c r="Y169" s="22">
        <v>97177.895475628495</v>
      </c>
      <c r="Z169" s="22">
        <v>97177.895475628495</v>
      </c>
      <c r="AA169" s="23">
        <v>97177.895475628495</v>
      </c>
      <c r="AB169" s="97"/>
      <c r="AC169" s="24">
        <v>3</v>
      </c>
      <c r="AD169" s="16">
        <f t="shared" si="45"/>
        <v>5101839.5124704968</v>
      </c>
    </row>
    <row r="170" spans="1:30" ht="13.5" thickBot="1" x14ac:dyDescent="0.35">
      <c r="A170" s="18">
        <v>2030</v>
      </c>
      <c r="B170" s="25" t="s">
        <v>41</v>
      </c>
      <c r="C170" s="26" t="s">
        <v>36</v>
      </c>
      <c r="D170" s="21">
        <v>24294.473868907124</v>
      </c>
      <c r="E170" s="22">
        <v>24294.473868907124</v>
      </c>
      <c r="F170" s="22">
        <v>24294.473868907124</v>
      </c>
      <c r="G170" s="22">
        <v>24294.473868907124</v>
      </c>
      <c r="H170" s="22">
        <v>24294.473868907124</v>
      </c>
      <c r="I170" s="22">
        <v>24294.473868907124</v>
      </c>
      <c r="J170" s="22">
        <v>24294.473868907124</v>
      </c>
      <c r="K170" s="22">
        <v>42813.840246697422</v>
      </c>
      <c r="L170" s="22">
        <v>74390.690275720393</v>
      </c>
      <c r="M170" s="22">
        <v>95161.715967322452</v>
      </c>
      <c r="N170" s="22">
        <v>106642.30320774762</v>
      </c>
      <c r="O170" s="22">
        <v>110611.6971906887</v>
      </c>
      <c r="P170" s="22">
        <v>109564.90038173478</v>
      </c>
      <c r="Q170" s="22">
        <v>103608.32964230573</v>
      </c>
      <c r="R170" s="22">
        <v>92522.518739745501</v>
      </c>
      <c r="S170" s="22">
        <v>73070.010128129899</v>
      </c>
      <c r="T170" s="22">
        <v>41920.579631656838</v>
      </c>
      <c r="U170" s="22">
        <v>97177.895475628495</v>
      </c>
      <c r="V170" s="22">
        <v>97177.895475628495</v>
      </c>
      <c r="W170" s="22">
        <v>97177.895475628495</v>
      </c>
      <c r="X170" s="22">
        <v>97177.895475628495</v>
      </c>
      <c r="Y170" s="22">
        <v>97177.895475628495</v>
      </c>
      <c r="Z170" s="22">
        <v>97177.895475628495</v>
      </c>
      <c r="AA170" s="23">
        <v>97177.895475628495</v>
      </c>
      <c r="AB170" s="97"/>
      <c r="AC170" s="27">
        <v>6</v>
      </c>
      <c r="AD170" s="16">
        <f t="shared" si="45"/>
        <v>10203679.024940994</v>
      </c>
    </row>
    <row r="171" spans="1:30" ht="13.5" thickBot="1" x14ac:dyDescent="0.35">
      <c r="A171" s="18">
        <v>2030</v>
      </c>
      <c r="B171" s="11" t="s">
        <v>42</v>
      </c>
      <c r="C171" s="12" t="s">
        <v>33</v>
      </c>
      <c r="D171" s="21">
        <v>24294.473868907131</v>
      </c>
      <c r="E171" s="22">
        <v>24294.473868907131</v>
      </c>
      <c r="F171" s="22">
        <v>24294.473868907131</v>
      </c>
      <c r="G171" s="22">
        <v>24294.473868907131</v>
      </c>
      <c r="H171" s="22">
        <v>24294.473868907131</v>
      </c>
      <c r="I171" s="22">
        <v>24294.473868907131</v>
      </c>
      <c r="J171" s="22">
        <v>24294.473868907131</v>
      </c>
      <c r="K171" s="22">
        <v>42813.840246697422</v>
      </c>
      <c r="L171" s="22">
        <v>74390.690275720393</v>
      </c>
      <c r="M171" s="22">
        <v>95161.715967322452</v>
      </c>
      <c r="N171" s="22">
        <v>106642.30320774761</v>
      </c>
      <c r="O171" s="22">
        <v>110611.69719068872</v>
      </c>
      <c r="P171" s="22">
        <v>109564.9003817348</v>
      </c>
      <c r="Q171" s="22">
        <v>103608.32964230569</v>
      </c>
      <c r="R171" s="22">
        <v>92522.518739745501</v>
      </c>
      <c r="S171" s="22">
        <v>73070.010128129899</v>
      </c>
      <c r="T171" s="22">
        <v>41920.579631656845</v>
      </c>
      <c r="U171" s="22">
        <v>97177.895475628524</v>
      </c>
      <c r="V171" s="22">
        <v>97177.895475628524</v>
      </c>
      <c r="W171" s="22">
        <v>97177.895475628524</v>
      </c>
      <c r="X171" s="22">
        <v>97177.895475628524</v>
      </c>
      <c r="Y171" s="22">
        <v>97177.895475628524</v>
      </c>
      <c r="Z171" s="22">
        <v>97177.895475628524</v>
      </c>
      <c r="AA171" s="23">
        <v>97177.895475628524</v>
      </c>
      <c r="AB171" s="96">
        <f t="shared" ref="AB171" si="58">+SUM(D171:AA171)*AC171+SUM(D172:AA172)*AC172+SUM(D173:AA173)*AC173</f>
        <v>52719008.295528471</v>
      </c>
      <c r="AC171" s="16">
        <v>20</v>
      </c>
      <c r="AD171" s="16">
        <f t="shared" si="45"/>
        <v>34012263.416469984</v>
      </c>
    </row>
    <row r="172" spans="1:30" ht="13.5" thickBot="1" x14ac:dyDescent="0.35">
      <c r="A172" s="18">
        <v>2030</v>
      </c>
      <c r="B172" s="19" t="s">
        <v>42</v>
      </c>
      <c r="C172" s="20" t="s">
        <v>50</v>
      </c>
      <c r="D172" s="21">
        <v>24294.473868907124</v>
      </c>
      <c r="E172" s="22">
        <v>24294.473868907124</v>
      </c>
      <c r="F172" s="22">
        <v>24294.473868907124</v>
      </c>
      <c r="G172" s="22">
        <v>24294.473868907124</v>
      </c>
      <c r="H172" s="22">
        <v>24294.473868907124</v>
      </c>
      <c r="I172" s="22">
        <v>24294.473868907124</v>
      </c>
      <c r="J172" s="22">
        <v>24294.473868907124</v>
      </c>
      <c r="K172" s="22">
        <v>42813.840246697422</v>
      </c>
      <c r="L172" s="22">
        <v>74390.690275720393</v>
      </c>
      <c r="M172" s="22">
        <v>95161.715967322438</v>
      </c>
      <c r="N172" s="22">
        <v>106642.30320774761</v>
      </c>
      <c r="O172" s="22">
        <v>110611.69719068872</v>
      </c>
      <c r="P172" s="22">
        <v>109564.90038173478</v>
      </c>
      <c r="Q172" s="22">
        <v>103608.32964230573</v>
      </c>
      <c r="R172" s="22">
        <v>92522.518739745501</v>
      </c>
      <c r="S172" s="22">
        <v>73070.010128129899</v>
      </c>
      <c r="T172" s="22">
        <v>41920.579631656838</v>
      </c>
      <c r="U172" s="22">
        <v>97177.895475628495</v>
      </c>
      <c r="V172" s="22">
        <v>97177.895475628495</v>
      </c>
      <c r="W172" s="22">
        <v>97177.895475628495</v>
      </c>
      <c r="X172" s="22">
        <v>97177.895475628495</v>
      </c>
      <c r="Y172" s="22">
        <v>97177.895475628495</v>
      </c>
      <c r="Z172" s="22">
        <v>97177.895475628495</v>
      </c>
      <c r="AA172" s="23">
        <v>97177.895475628495</v>
      </c>
      <c r="AB172" s="97"/>
      <c r="AC172" s="24">
        <v>5</v>
      </c>
      <c r="AD172" s="16">
        <f t="shared" si="45"/>
        <v>8503065.8541174959</v>
      </c>
    </row>
    <row r="173" spans="1:30" ht="13.5" thickBot="1" x14ac:dyDescent="0.35">
      <c r="A173" s="18">
        <v>2030</v>
      </c>
      <c r="B173" s="25" t="s">
        <v>42</v>
      </c>
      <c r="C173" s="26" t="s">
        <v>36</v>
      </c>
      <c r="D173" s="21">
        <v>24294.473868907124</v>
      </c>
      <c r="E173" s="22">
        <v>24294.473868907124</v>
      </c>
      <c r="F173" s="22">
        <v>24294.473868907124</v>
      </c>
      <c r="G173" s="22">
        <v>24294.473868907124</v>
      </c>
      <c r="H173" s="22">
        <v>24294.473868907124</v>
      </c>
      <c r="I173" s="22">
        <v>24294.473868907124</v>
      </c>
      <c r="J173" s="22">
        <v>24294.473868907124</v>
      </c>
      <c r="K173" s="22">
        <v>42813.840246697422</v>
      </c>
      <c r="L173" s="22">
        <v>74390.690275720393</v>
      </c>
      <c r="M173" s="22">
        <v>95161.715967322452</v>
      </c>
      <c r="N173" s="22">
        <v>106642.30320774762</v>
      </c>
      <c r="O173" s="22">
        <v>110611.6971906887</v>
      </c>
      <c r="P173" s="22">
        <v>109564.90038173478</v>
      </c>
      <c r="Q173" s="22">
        <v>103608.32964230573</v>
      </c>
      <c r="R173" s="22">
        <v>92522.518739745501</v>
      </c>
      <c r="S173" s="22">
        <v>73070.010128129899</v>
      </c>
      <c r="T173" s="22">
        <v>41920.579631656838</v>
      </c>
      <c r="U173" s="22">
        <v>97177.895475628495</v>
      </c>
      <c r="V173" s="22">
        <v>97177.895475628495</v>
      </c>
      <c r="W173" s="22">
        <v>97177.895475628495</v>
      </c>
      <c r="X173" s="22">
        <v>97177.895475628495</v>
      </c>
      <c r="Y173" s="22">
        <v>97177.895475628495</v>
      </c>
      <c r="Z173" s="22">
        <v>97177.895475628495</v>
      </c>
      <c r="AA173" s="23">
        <v>97177.895475628495</v>
      </c>
      <c r="AB173" s="97"/>
      <c r="AC173" s="27">
        <v>6</v>
      </c>
      <c r="AD173" s="16">
        <f t="shared" si="45"/>
        <v>10203679.024940994</v>
      </c>
    </row>
    <row r="174" spans="1:30" ht="13.5" thickBot="1" x14ac:dyDescent="0.35">
      <c r="A174" s="18">
        <v>2030</v>
      </c>
      <c r="B174" s="11" t="s">
        <v>43</v>
      </c>
      <c r="C174" s="12" t="s">
        <v>33</v>
      </c>
      <c r="D174" s="21">
        <v>24294.473868907131</v>
      </c>
      <c r="E174" s="22">
        <v>24294.473868907131</v>
      </c>
      <c r="F174" s="22">
        <v>24294.473868907131</v>
      </c>
      <c r="G174" s="22">
        <v>24294.473868907131</v>
      </c>
      <c r="H174" s="22">
        <v>24294.473868907131</v>
      </c>
      <c r="I174" s="22">
        <v>24294.473868907131</v>
      </c>
      <c r="J174" s="22">
        <v>24294.473868907131</v>
      </c>
      <c r="K174" s="22">
        <v>42813.840246697422</v>
      </c>
      <c r="L174" s="22">
        <v>74390.690275720393</v>
      </c>
      <c r="M174" s="22">
        <v>95161.715967322452</v>
      </c>
      <c r="N174" s="22">
        <v>106642.30320774761</v>
      </c>
      <c r="O174" s="22">
        <v>110611.69719068872</v>
      </c>
      <c r="P174" s="22">
        <v>109564.9003817348</v>
      </c>
      <c r="Q174" s="22">
        <v>103608.32964230569</v>
      </c>
      <c r="R174" s="22">
        <v>92522.518739745501</v>
      </c>
      <c r="S174" s="22">
        <v>73070.010128129899</v>
      </c>
      <c r="T174" s="22">
        <v>41920.579631656845</v>
      </c>
      <c r="U174" s="22">
        <v>97177.895475628524</v>
      </c>
      <c r="V174" s="22">
        <v>97177.895475628524</v>
      </c>
      <c r="W174" s="22">
        <v>97177.895475628524</v>
      </c>
      <c r="X174" s="22">
        <v>97177.895475628524</v>
      </c>
      <c r="Y174" s="22">
        <v>97177.895475628524</v>
      </c>
      <c r="Z174" s="22">
        <v>97177.895475628524</v>
      </c>
      <c r="AA174" s="23">
        <v>97177.895475628524</v>
      </c>
      <c r="AB174" s="96">
        <f t="shared" ref="AB174" si="59">+SUM(D174:AA174)*AC174+SUM(D175:AA175)*AC175+SUM(D176:AA176)*AC176</f>
        <v>51018395.124704979</v>
      </c>
      <c r="AC174" s="16">
        <v>21</v>
      </c>
      <c r="AD174" s="16">
        <f t="shared" si="45"/>
        <v>35712876.587293483</v>
      </c>
    </row>
    <row r="175" spans="1:30" ht="13.5" thickBot="1" x14ac:dyDescent="0.35">
      <c r="A175" s="18">
        <v>2030</v>
      </c>
      <c r="B175" s="19" t="s">
        <v>43</v>
      </c>
      <c r="C175" s="20" t="s">
        <v>50</v>
      </c>
      <c r="D175" s="21">
        <v>24294.473868907124</v>
      </c>
      <c r="E175" s="22">
        <v>24294.473868907124</v>
      </c>
      <c r="F175" s="22">
        <v>24294.473868907124</v>
      </c>
      <c r="G175" s="22">
        <v>24294.473868907124</v>
      </c>
      <c r="H175" s="22">
        <v>24294.473868907124</v>
      </c>
      <c r="I175" s="22">
        <v>24294.473868907124</v>
      </c>
      <c r="J175" s="22">
        <v>24294.473868907124</v>
      </c>
      <c r="K175" s="22">
        <v>42813.840246697422</v>
      </c>
      <c r="L175" s="22">
        <v>74390.690275720393</v>
      </c>
      <c r="M175" s="22">
        <v>95161.715967322438</v>
      </c>
      <c r="N175" s="22">
        <v>106642.30320774761</v>
      </c>
      <c r="O175" s="22">
        <v>110611.69719068872</v>
      </c>
      <c r="P175" s="22">
        <v>109564.90038173477</v>
      </c>
      <c r="Q175" s="22">
        <v>103608.32964230573</v>
      </c>
      <c r="R175" s="22">
        <v>92522.518739745501</v>
      </c>
      <c r="S175" s="22">
        <v>73070.010128129899</v>
      </c>
      <c r="T175" s="22">
        <v>41920.579631656838</v>
      </c>
      <c r="U175" s="22">
        <v>97177.895475628495</v>
      </c>
      <c r="V175" s="22">
        <v>97177.895475628495</v>
      </c>
      <c r="W175" s="22">
        <v>97177.895475628495</v>
      </c>
      <c r="X175" s="22">
        <v>97177.895475628495</v>
      </c>
      <c r="Y175" s="22">
        <v>97177.895475628495</v>
      </c>
      <c r="Z175" s="22">
        <v>97177.895475628495</v>
      </c>
      <c r="AA175" s="23">
        <v>97177.895475628495</v>
      </c>
      <c r="AB175" s="97"/>
      <c r="AC175" s="24">
        <v>4</v>
      </c>
      <c r="AD175" s="16">
        <f t="shared" si="45"/>
        <v>6802452.6832939964</v>
      </c>
    </row>
    <row r="176" spans="1:30" ht="13.5" thickBot="1" x14ac:dyDescent="0.35">
      <c r="A176" s="18">
        <v>2030</v>
      </c>
      <c r="B176" s="25" t="s">
        <v>43</v>
      </c>
      <c r="C176" s="26" t="s">
        <v>36</v>
      </c>
      <c r="D176" s="21">
        <v>24294.473868907124</v>
      </c>
      <c r="E176" s="22">
        <v>24294.473868907124</v>
      </c>
      <c r="F176" s="22">
        <v>24294.473868907124</v>
      </c>
      <c r="G176" s="22">
        <v>24294.473868907124</v>
      </c>
      <c r="H176" s="22">
        <v>24294.473868907124</v>
      </c>
      <c r="I176" s="22">
        <v>24294.473868907124</v>
      </c>
      <c r="J176" s="22">
        <v>24294.473868907124</v>
      </c>
      <c r="K176" s="22">
        <v>42813.840246697422</v>
      </c>
      <c r="L176" s="22">
        <v>74390.690275720393</v>
      </c>
      <c r="M176" s="22">
        <v>95161.715967322438</v>
      </c>
      <c r="N176" s="22">
        <v>106642.30320774761</v>
      </c>
      <c r="O176" s="22">
        <v>110611.69719068872</v>
      </c>
      <c r="P176" s="22">
        <v>109564.90038173478</v>
      </c>
      <c r="Q176" s="22">
        <v>103608.32964230573</v>
      </c>
      <c r="R176" s="22">
        <v>92522.518739745501</v>
      </c>
      <c r="S176" s="22">
        <v>73070.010128129899</v>
      </c>
      <c r="T176" s="22">
        <v>41920.579631656838</v>
      </c>
      <c r="U176" s="22">
        <v>97177.895475628495</v>
      </c>
      <c r="V176" s="22">
        <v>97177.895475628495</v>
      </c>
      <c r="W176" s="22">
        <v>97177.895475628495</v>
      </c>
      <c r="X176" s="22">
        <v>97177.895475628495</v>
      </c>
      <c r="Y176" s="22">
        <v>97177.895475628495</v>
      </c>
      <c r="Z176" s="22">
        <v>97177.895475628495</v>
      </c>
      <c r="AA176" s="23">
        <v>97177.895475628495</v>
      </c>
      <c r="AB176" s="97"/>
      <c r="AC176" s="27">
        <v>5</v>
      </c>
      <c r="AD176" s="16">
        <f t="shared" si="45"/>
        <v>8503065.8541174959</v>
      </c>
    </row>
    <row r="177" spans="1:30" ht="13.5" thickBot="1" x14ac:dyDescent="0.35">
      <c r="A177" s="18">
        <v>2030</v>
      </c>
      <c r="B177" s="11" t="s">
        <v>44</v>
      </c>
      <c r="C177" s="12" t="s">
        <v>33</v>
      </c>
      <c r="D177" s="21">
        <v>24294.473868907135</v>
      </c>
      <c r="E177" s="22">
        <v>24294.473868907135</v>
      </c>
      <c r="F177" s="22">
        <v>24294.473868907135</v>
      </c>
      <c r="G177" s="22">
        <v>24294.473868907135</v>
      </c>
      <c r="H177" s="22">
        <v>24294.473868907135</v>
      </c>
      <c r="I177" s="22">
        <v>24294.473868907135</v>
      </c>
      <c r="J177" s="22">
        <v>24294.473868907135</v>
      </c>
      <c r="K177" s="22">
        <v>42813.840246697422</v>
      </c>
      <c r="L177" s="22">
        <v>74390.690275720379</v>
      </c>
      <c r="M177" s="22">
        <v>95161.715967322452</v>
      </c>
      <c r="N177" s="22">
        <v>106642.30320774762</v>
      </c>
      <c r="O177" s="22">
        <v>110611.69719068873</v>
      </c>
      <c r="P177" s="22">
        <v>109564.90038173478</v>
      </c>
      <c r="Q177" s="22">
        <v>103608.32964230567</v>
      </c>
      <c r="R177" s="22">
        <v>92522.518739745501</v>
      </c>
      <c r="S177" s="22">
        <v>73070.010128129914</v>
      </c>
      <c r="T177" s="22">
        <v>41920.579631656845</v>
      </c>
      <c r="U177" s="22">
        <v>97177.895475628538</v>
      </c>
      <c r="V177" s="22">
        <v>97177.895475628538</v>
      </c>
      <c r="W177" s="22">
        <v>97177.895475628538</v>
      </c>
      <c r="X177" s="22">
        <v>97177.895475628538</v>
      </c>
      <c r="Y177" s="22">
        <v>97177.895475628538</v>
      </c>
      <c r="Z177" s="22">
        <v>97177.895475628538</v>
      </c>
      <c r="AA177" s="23">
        <v>97177.895475628538</v>
      </c>
      <c r="AB177" s="96">
        <f t="shared" ref="AB177" si="60">+SUM(D177:AA177)*AC177+SUM(D178:AA178)*AC178+SUM(D179:AA179)*AC179</f>
        <v>52719008.295528479</v>
      </c>
      <c r="AC177" s="16">
        <v>22</v>
      </c>
      <c r="AD177" s="16">
        <f t="shared" si="45"/>
        <v>37413489.758116983</v>
      </c>
    </row>
    <row r="178" spans="1:30" ht="13.5" thickBot="1" x14ac:dyDescent="0.35">
      <c r="A178" s="18">
        <v>2030</v>
      </c>
      <c r="B178" s="19" t="s">
        <v>44</v>
      </c>
      <c r="C178" s="20" t="s">
        <v>50</v>
      </c>
      <c r="D178" s="21">
        <v>24294.473868907124</v>
      </c>
      <c r="E178" s="22">
        <v>24294.473868907124</v>
      </c>
      <c r="F178" s="22">
        <v>24294.473868907124</v>
      </c>
      <c r="G178" s="22">
        <v>24294.473868907124</v>
      </c>
      <c r="H178" s="22">
        <v>24294.473868907124</v>
      </c>
      <c r="I178" s="22">
        <v>24294.473868907124</v>
      </c>
      <c r="J178" s="22">
        <v>24294.473868907124</v>
      </c>
      <c r="K178" s="22">
        <v>42813.840246697422</v>
      </c>
      <c r="L178" s="22">
        <v>74390.690275720393</v>
      </c>
      <c r="M178" s="22">
        <v>95161.715967322438</v>
      </c>
      <c r="N178" s="22">
        <v>106642.30320774761</v>
      </c>
      <c r="O178" s="22">
        <v>110611.69719068872</v>
      </c>
      <c r="P178" s="22">
        <v>109564.90038173477</v>
      </c>
      <c r="Q178" s="22">
        <v>103608.32964230573</v>
      </c>
      <c r="R178" s="22">
        <v>92522.518739745501</v>
      </c>
      <c r="S178" s="22">
        <v>73070.010128129899</v>
      </c>
      <c r="T178" s="22">
        <v>41920.579631656838</v>
      </c>
      <c r="U178" s="22">
        <v>97177.895475628495</v>
      </c>
      <c r="V178" s="22">
        <v>97177.895475628495</v>
      </c>
      <c r="W178" s="22">
        <v>97177.895475628495</v>
      </c>
      <c r="X178" s="22">
        <v>97177.895475628495</v>
      </c>
      <c r="Y178" s="22">
        <v>97177.895475628495</v>
      </c>
      <c r="Z178" s="22">
        <v>97177.895475628495</v>
      </c>
      <c r="AA178" s="23">
        <v>97177.895475628495</v>
      </c>
      <c r="AB178" s="97"/>
      <c r="AC178" s="24">
        <v>4</v>
      </c>
      <c r="AD178" s="16">
        <f t="shared" si="45"/>
        <v>6802452.6832939964</v>
      </c>
    </row>
    <row r="179" spans="1:30" ht="13.5" thickBot="1" x14ac:dyDescent="0.35">
      <c r="A179" s="18">
        <v>2030</v>
      </c>
      <c r="B179" s="25" t="s">
        <v>44</v>
      </c>
      <c r="C179" s="26" t="s">
        <v>36</v>
      </c>
      <c r="D179" s="21">
        <v>24294.473868907124</v>
      </c>
      <c r="E179" s="22">
        <v>24294.473868907124</v>
      </c>
      <c r="F179" s="22">
        <v>24294.473868907124</v>
      </c>
      <c r="G179" s="22">
        <v>24294.473868907124</v>
      </c>
      <c r="H179" s="22">
        <v>24294.473868907124</v>
      </c>
      <c r="I179" s="22">
        <v>24294.473868907124</v>
      </c>
      <c r="J179" s="22">
        <v>24294.473868907124</v>
      </c>
      <c r="K179" s="22">
        <v>42813.840246697422</v>
      </c>
      <c r="L179" s="22">
        <v>74390.690275720393</v>
      </c>
      <c r="M179" s="22">
        <v>95161.715967322438</v>
      </c>
      <c r="N179" s="22">
        <v>106642.30320774761</v>
      </c>
      <c r="O179" s="22">
        <v>110611.69719068872</v>
      </c>
      <c r="P179" s="22">
        <v>109564.90038173478</v>
      </c>
      <c r="Q179" s="22">
        <v>103608.32964230573</v>
      </c>
      <c r="R179" s="22">
        <v>92522.518739745501</v>
      </c>
      <c r="S179" s="22">
        <v>73070.010128129899</v>
      </c>
      <c r="T179" s="22">
        <v>41920.579631656838</v>
      </c>
      <c r="U179" s="22">
        <v>97177.895475628495</v>
      </c>
      <c r="V179" s="22">
        <v>97177.895475628495</v>
      </c>
      <c r="W179" s="22">
        <v>97177.895475628495</v>
      </c>
      <c r="X179" s="22">
        <v>97177.895475628495</v>
      </c>
      <c r="Y179" s="22">
        <v>97177.895475628495</v>
      </c>
      <c r="Z179" s="22">
        <v>97177.895475628495</v>
      </c>
      <c r="AA179" s="23">
        <v>97177.895475628495</v>
      </c>
      <c r="AB179" s="97"/>
      <c r="AC179" s="27">
        <v>5</v>
      </c>
      <c r="AD179" s="16">
        <f t="shared" si="45"/>
        <v>8503065.8541174959</v>
      </c>
    </row>
    <row r="180" spans="1:30" ht="13.5" thickBot="1" x14ac:dyDescent="0.35">
      <c r="A180" s="18">
        <v>2030</v>
      </c>
      <c r="B180" s="11" t="s">
        <v>45</v>
      </c>
      <c r="C180" s="12" t="s">
        <v>33</v>
      </c>
      <c r="D180" s="21">
        <v>24294.473868907131</v>
      </c>
      <c r="E180" s="22">
        <v>24294.473868907131</v>
      </c>
      <c r="F180" s="22">
        <v>24294.473868907131</v>
      </c>
      <c r="G180" s="22">
        <v>24294.473868907131</v>
      </c>
      <c r="H180" s="22">
        <v>24294.473868907131</v>
      </c>
      <c r="I180" s="22">
        <v>24294.473868907131</v>
      </c>
      <c r="J180" s="22">
        <v>24294.473868907131</v>
      </c>
      <c r="K180" s="22">
        <v>42813.840246697422</v>
      </c>
      <c r="L180" s="22">
        <v>74390.690275720393</v>
      </c>
      <c r="M180" s="22">
        <v>95161.715967322452</v>
      </c>
      <c r="N180" s="22">
        <v>106642.30320774762</v>
      </c>
      <c r="O180" s="22">
        <v>110611.6971906887</v>
      </c>
      <c r="P180" s="22">
        <v>109564.90038173481</v>
      </c>
      <c r="Q180" s="22">
        <v>103608.32964230569</v>
      </c>
      <c r="R180" s="22">
        <v>92522.518739745501</v>
      </c>
      <c r="S180" s="22">
        <v>73070.010128129899</v>
      </c>
      <c r="T180" s="22">
        <v>41920.579631656845</v>
      </c>
      <c r="U180" s="22">
        <v>97177.895475628524</v>
      </c>
      <c r="V180" s="22">
        <v>97177.895475628524</v>
      </c>
      <c r="W180" s="22">
        <v>97177.895475628524</v>
      </c>
      <c r="X180" s="22">
        <v>97177.895475628524</v>
      </c>
      <c r="Y180" s="22">
        <v>97177.895475628524</v>
      </c>
      <c r="Z180" s="22">
        <v>97177.895475628524</v>
      </c>
      <c r="AA180" s="23">
        <v>97177.895475628524</v>
      </c>
      <c r="AB180" s="96">
        <f t="shared" ref="AB180" si="61">+SUM(D180:AA180)*AC180+SUM(D181:AA181)*AC181+SUM(D182:AA182)*AC182</f>
        <v>51018395.124704972</v>
      </c>
      <c r="AC180" s="16">
        <v>19</v>
      </c>
      <c r="AD180" s="16">
        <f t="shared" si="45"/>
        <v>32311650.245646484</v>
      </c>
    </row>
    <row r="181" spans="1:30" ht="13.5" thickBot="1" x14ac:dyDescent="0.35">
      <c r="A181" s="18">
        <v>2030</v>
      </c>
      <c r="B181" s="19" t="s">
        <v>45</v>
      </c>
      <c r="C181" s="20" t="s">
        <v>50</v>
      </c>
      <c r="D181" s="21">
        <v>24294.473868907124</v>
      </c>
      <c r="E181" s="22">
        <v>24294.473868907124</v>
      </c>
      <c r="F181" s="22">
        <v>24294.473868907124</v>
      </c>
      <c r="G181" s="22">
        <v>24294.473868907124</v>
      </c>
      <c r="H181" s="22">
        <v>24294.473868907124</v>
      </c>
      <c r="I181" s="22">
        <v>24294.473868907124</v>
      </c>
      <c r="J181" s="22">
        <v>24294.473868907124</v>
      </c>
      <c r="K181" s="22">
        <v>42813.840246697422</v>
      </c>
      <c r="L181" s="22">
        <v>74390.690275720393</v>
      </c>
      <c r="M181" s="22">
        <v>95161.715967322438</v>
      </c>
      <c r="N181" s="22">
        <v>106642.30320774761</v>
      </c>
      <c r="O181" s="22">
        <v>110611.69719068872</v>
      </c>
      <c r="P181" s="22">
        <v>109564.90038173478</v>
      </c>
      <c r="Q181" s="22">
        <v>103608.32964230573</v>
      </c>
      <c r="R181" s="22">
        <v>92522.518739745501</v>
      </c>
      <c r="S181" s="22">
        <v>73070.010128129899</v>
      </c>
      <c r="T181" s="22">
        <v>41920.579631656838</v>
      </c>
      <c r="U181" s="22">
        <v>97177.895475628495</v>
      </c>
      <c r="V181" s="22">
        <v>97177.895475628495</v>
      </c>
      <c r="W181" s="22">
        <v>97177.895475628495</v>
      </c>
      <c r="X181" s="22">
        <v>97177.895475628495</v>
      </c>
      <c r="Y181" s="22">
        <v>97177.895475628495</v>
      </c>
      <c r="Z181" s="22">
        <v>97177.895475628495</v>
      </c>
      <c r="AA181" s="23">
        <v>97177.895475628495</v>
      </c>
      <c r="AB181" s="97"/>
      <c r="AC181" s="24">
        <v>5</v>
      </c>
      <c r="AD181" s="16">
        <f t="shared" si="45"/>
        <v>8503065.8541174959</v>
      </c>
    </row>
    <row r="182" spans="1:30" ht="13.5" thickBot="1" x14ac:dyDescent="0.35">
      <c r="A182" s="18">
        <v>2030</v>
      </c>
      <c r="B182" s="25" t="s">
        <v>45</v>
      </c>
      <c r="C182" s="26" t="s">
        <v>36</v>
      </c>
      <c r="D182" s="21">
        <v>24294.473868907124</v>
      </c>
      <c r="E182" s="22">
        <v>24294.473868907124</v>
      </c>
      <c r="F182" s="22">
        <v>24294.473868907124</v>
      </c>
      <c r="G182" s="22">
        <v>24294.473868907124</v>
      </c>
      <c r="H182" s="22">
        <v>24294.473868907124</v>
      </c>
      <c r="I182" s="22">
        <v>24294.473868907124</v>
      </c>
      <c r="J182" s="22">
        <v>24294.473868907124</v>
      </c>
      <c r="K182" s="22">
        <v>42813.840246697422</v>
      </c>
      <c r="L182" s="22">
        <v>74390.690275720393</v>
      </c>
      <c r="M182" s="22">
        <v>95161.715967322452</v>
      </c>
      <c r="N182" s="22">
        <v>106642.30320774762</v>
      </c>
      <c r="O182" s="22">
        <v>110611.6971906887</v>
      </c>
      <c r="P182" s="22">
        <v>109564.90038173478</v>
      </c>
      <c r="Q182" s="22">
        <v>103608.32964230573</v>
      </c>
      <c r="R182" s="22">
        <v>92522.518739745501</v>
      </c>
      <c r="S182" s="22">
        <v>73070.010128129899</v>
      </c>
      <c r="T182" s="22">
        <v>41920.579631656838</v>
      </c>
      <c r="U182" s="22">
        <v>97177.895475628495</v>
      </c>
      <c r="V182" s="22">
        <v>97177.895475628495</v>
      </c>
      <c r="W182" s="22">
        <v>97177.895475628495</v>
      </c>
      <c r="X182" s="22">
        <v>97177.895475628495</v>
      </c>
      <c r="Y182" s="22">
        <v>97177.895475628495</v>
      </c>
      <c r="Z182" s="22">
        <v>97177.895475628495</v>
      </c>
      <c r="AA182" s="23">
        <v>97177.895475628495</v>
      </c>
      <c r="AB182" s="97"/>
      <c r="AC182" s="27">
        <v>6</v>
      </c>
      <c r="AD182" s="16">
        <f t="shared" si="45"/>
        <v>10203679.024940994</v>
      </c>
    </row>
    <row r="183" spans="1:30" ht="13.5" thickBot="1" x14ac:dyDescent="0.35">
      <c r="A183" s="18">
        <v>2030</v>
      </c>
      <c r="B183" s="11" t="s">
        <v>46</v>
      </c>
      <c r="C183" s="12" t="s">
        <v>33</v>
      </c>
      <c r="D183" s="21">
        <v>24294.473868907131</v>
      </c>
      <c r="E183" s="22">
        <v>24294.473868907131</v>
      </c>
      <c r="F183" s="22">
        <v>24294.473868907131</v>
      </c>
      <c r="G183" s="22">
        <v>24294.473868907131</v>
      </c>
      <c r="H183" s="22">
        <v>24294.473868907131</v>
      </c>
      <c r="I183" s="22">
        <v>24294.473868907131</v>
      </c>
      <c r="J183" s="22">
        <v>24294.473868907131</v>
      </c>
      <c r="K183" s="22">
        <v>42813.840246697422</v>
      </c>
      <c r="L183" s="22">
        <v>74390.690275720393</v>
      </c>
      <c r="M183" s="22">
        <v>95161.715967322452</v>
      </c>
      <c r="N183" s="22">
        <v>106642.30320774761</v>
      </c>
      <c r="O183" s="22">
        <v>110611.69719068872</v>
      </c>
      <c r="P183" s="22">
        <v>109564.9003817348</v>
      </c>
      <c r="Q183" s="22">
        <v>103608.32964230569</v>
      </c>
      <c r="R183" s="22">
        <v>92522.518739745501</v>
      </c>
      <c r="S183" s="22">
        <v>73070.010128129899</v>
      </c>
      <c r="T183" s="22">
        <v>41920.579631656845</v>
      </c>
      <c r="U183" s="22">
        <v>97177.895475628524</v>
      </c>
      <c r="V183" s="22">
        <v>97177.895475628524</v>
      </c>
      <c r="W183" s="22">
        <v>97177.895475628524</v>
      </c>
      <c r="X183" s="22">
        <v>97177.895475628524</v>
      </c>
      <c r="Y183" s="22">
        <v>97177.895475628524</v>
      </c>
      <c r="Z183" s="22">
        <v>97177.895475628524</v>
      </c>
      <c r="AA183" s="23">
        <v>97177.895475628524</v>
      </c>
      <c r="AB183" s="96">
        <f t="shared" ref="AB183" si="62">+SUM(D183:AA183)*AC183+SUM(D184:AA184)*AC184+SUM(D185:AA185)*AC185</f>
        <v>52719008.295528471</v>
      </c>
      <c r="AC183" s="16">
        <v>21</v>
      </c>
      <c r="AD183" s="16">
        <f t="shared" si="45"/>
        <v>35712876.587293483</v>
      </c>
    </row>
    <row r="184" spans="1:30" ht="13.5" thickBot="1" x14ac:dyDescent="0.35">
      <c r="A184" s="18">
        <v>2030</v>
      </c>
      <c r="B184" s="19" t="s">
        <v>46</v>
      </c>
      <c r="C184" s="20" t="s">
        <v>50</v>
      </c>
      <c r="D184" s="21">
        <v>24294.473868907124</v>
      </c>
      <c r="E184" s="22">
        <v>24294.473868907124</v>
      </c>
      <c r="F184" s="22">
        <v>24294.473868907124</v>
      </c>
      <c r="G184" s="22">
        <v>24294.473868907124</v>
      </c>
      <c r="H184" s="22">
        <v>24294.473868907124</v>
      </c>
      <c r="I184" s="22">
        <v>24294.473868907124</v>
      </c>
      <c r="J184" s="22">
        <v>24294.473868907124</v>
      </c>
      <c r="K184" s="22">
        <v>42813.840246697422</v>
      </c>
      <c r="L184" s="22">
        <v>74390.690275720393</v>
      </c>
      <c r="M184" s="22">
        <v>95161.715967322438</v>
      </c>
      <c r="N184" s="22">
        <v>106642.30320774761</v>
      </c>
      <c r="O184" s="22">
        <v>110611.69719068872</v>
      </c>
      <c r="P184" s="22">
        <v>109564.90038173477</v>
      </c>
      <c r="Q184" s="22">
        <v>103608.32964230573</v>
      </c>
      <c r="R184" s="22">
        <v>92522.518739745501</v>
      </c>
      <c r="S184" s="22">
        <v>73070.010128129899</v>
      </c>
      <c r="T184" s="22">
        <v>41920.579631656838</v>
      </c>
      <c r="U184" s="22">
        <v>97177.895475628495</v>
      </c>
      <c r="V184" s="22">
        <v>97177.895475628495</v>
      </c>
      <c r="W184" s="22">
        <v>97177.895475628495</v>
      </c>
      <c r="X184" s="22">
        <v>97177.895475628495</v>
      </c>
      <c r="Y184" s="22">
        <v>97177.895475628495</v>
      </c>
      <c r="Z184" s="22">
        <v>97177.895475628495</v>
      </c>
      <c r="AA184" s="23">
        <v>97177.895475628495</v>
      </c>
      <c r="AB184" s="97"/>
      <c r="AC184" s="24">
        <v>4</v>
      </c>
      <c r="AD184" s="16">
        <f t="shared" si="45"/>
        <v>6802452.6832939964</v>
      </c>
    </row>
    <row r="185" spans="1:30" ht="13.5" thickBot="1" x14ac:dyDescent="0.35">
      <c r="A185" s="28">
        <v>2030</v>
      </c>
      <c r="B185" s="25" t="s">
        <v>46</v>
      </c>
      <c r="C185" s="26" t="s">
        <v>36</v>
      </c>
      <c r="D185" s="29">
        <v>24294.473868907124</v>
      </c>
      <c r="E185" s="30">
        <v>24294.473868907124</v>
      </c>
      <c r="F185" s="30">
        <v>24294.473868907124</v>
      </c>
      <c r="G185" s="30">
        <v>24294.473868907124</v>
      </c>
      <c r="H185" s="30">
        <v>24294.473868907124</v>
      </c>
      <c r="I185" s="30">
        <v>24294.473868907124</v>
      </c>
      <c r="J185" s="30">
        <v>24294.473868907124</v>
      </c>
      <c r="K185" s="30">
        <v>42813.840246697422</v>
      </c>
      <c r="L185" s="30">
        <v>74390.690275720393</v>
      </c>
      <c r="M185" s="30">
        <v>95161.715967322452</v>
      </c>
      <c r="N185" s="30">
        <v>106642.30320774762</v>
      </c>
      <c r="O185" s="30">
        <v>110611.6971906887</v>
      </c>
      <c r="P185" s="30">
        <v>109564.90038173478</v>
      </c>
      <c r="Q185" s="30">
        <v>103608.32964230573</v>
      </c>
      <c r="R185" s="30">
        <v>92522.518739745501</v>
      </c>
      <c r="S185" s="30">
        <v>73070.010128129899</v>
      </c>
      <c r="T185" s="30">
        <v>41920.579631656838</v>
      </c>
      <c r="U185" s="30">
        <v>97177.895475628495</v>
      </c>
      <c r="V185" s="30">
        <v>97177.895475628495</v>
      </c>
      <c r="W185" s="30">
        <v>97177.895475628495</v>
      </c>
      <c r="X185" s="30">
        <v>97177.895475628495</v>
      </c>
      <c r="Y185" s="30">
        <v>97177.895475628495</v>
      </c>
      <c r="Z185" s="30">
        <v>97177.895475628495</v>
      </c>
      <c r="AA185" s="31">
        <v>97177.895475628495</v>
      </c>
      <c r="AB185" s="97"/>
      <c r="AC185" s="27">
        <v>6</v>
      </c>
      <c r="AD185" s="42">
        <f t="shared" si="45"/>
        <v>10203679.024940994</v>
      </c>
    </row>
    <row r="186" spans="1:30" ht="13.5" thickBot="1" x14ac:dyDescent="0.35">
      <c r="A186" s="10">
        <v>2031</v>
      </c>
      <c r="B186" s="11" t="s">
        <v>32</v>
      </c>
      <c r="C186" s="12" t="s">
        <v>33</v>
      </c>
      <c r="D186" s="13">
        <v>25396.33261460135</v>
      </c>
      <c r="E186" s="14">
        <v>25396.33261460135</v>
      </c>
      <c r="F186" s="14">
        <v>25396.33261460135</v>
      </c>
      <c r="G186" s="14">
        <v>25396.33261460135</v>
      </c>
      <c r="H186" s="14">
        <v>25396.33261460135</v>
      </c>
      <c r="I186" s="14">
        <v>25396.33261460135</v>
      </c>
      <c r="J186" s="14">
        <v>25396.33261460135</v>
      </c>
      <c r="K186" s="14">
        <v>44755.631806668367</v>
      </c>
      <c r="L186" s="14">
        <v>77764.627621341948</v>
      </c>
      <c r="M186" s="14">
        <v>99477.708548995914</v>
      </c>
      <c r="N186" s="14">
        <v>111478.98973508246</v>
      </c>
      <c r="O186" s="14">
        <v>115628.41278549009</v>
      </c>
      <c r="P186" s="14">
        <v>114534.13924478502</v>
      </c>
      <c r="Q186" s="14">
        <v>108307.4124361609</v>
      </c>
      <c r="R186" s="14">
        <v>96718.812390604115</v>
      </c>
      <c r="S186" s="14">
        <v>76384.048956140425</v>
      </c>
      <c r="T186" s="14">
        <v>43821.857985777882</v>
      </c>
      <c r="U186" s="14">
        <v>101585.3304584054</v>
      </c>
      <c r="V186" s="14">
        <v>101585.3304584054</v>
      </c>
      <c r="W186" s="14">
        <v>101585.3304584054</v>
      </c>
      <c r="X186" s="14">
        <v>101585.3304584054</v>
      </c>
      <c r="Y186" s="14">
        <v>101585.3304584054</v>
      </c>
      <c r="Z186" s="14">
        <v>101585.3304584054</v>
      </c>
      <c r="AA186" s="15">
        <v>101585.3304584054</v>
      </c>
      <c r="AB186" s="96">
        <f t="shared" ref="AB186" si="63">+SUM(D186:AA186)*AC186+SUM(D187:AA187)*AC187+SUM(D188:AA188)*AC188</f>
        <v>55110041.773684926</v>
      </c>
      <c r="AC186" s="16">
        <v>21</v>
      </c>
      <c r="AD186" s="16">
        <f t="shared" si="45"/>
        <v>37332608.943463981</v>
      </c>
    </row>
    <row r="187" spans="1:30" ht="13.5" thickBot="1" x14ac:dyDescent="0.35">
      <c r="A187" s="18">
        <v>2031</v>
      </c>
      <c r="B187" s="19" t="s">
        <v>32</v>
      </c>
      <c r="C187" s="20" t="s">
        <v>50</v>
      </c>
      <c r="D187" s="21">
        <v>25396.332614601346</v>
      </c>
      <c r="E187" s="22">
        <v>25396.332614601346</v>
      </c>
      <c r="F187" s="22">
        <v>25396.332614601346</v>
      </c>
      <c r="G187" s="22">
        <v>25396.332614601346</v>
      </c>
      <c r="H187" s="22">
        <v>25396.332614601346</v>
      </c>
      <c r="I187" s="22">
        <v>25396.332614601346</v>
      </c>
      <c r="J187" s="22">
        <v>25396.332614601346</v>
      </c>
      <c r="K187" s="22">
        <v>44755.631806668382</v>
      </c>
      <c r="L187" s="22">
        <v>77764.627621341948</v>
      </c>
      <c r="M187" s="22">
        <v>99477.708548995943</v>
      </c>
      <c r="N187" s="22">
        <v>111478.98973508245</v>
      </c>
      <c r="O187" s="22">
        <v>115628.41278549013</v>
      </c>
      <c r="P187" s="22">
        <v>114534.13924478496</v>
      </c>
      <c r="Q187" s="22">
        <v>108307.41243616087</v>
      </c>
      <c r="R187" s="22">
        <v>96718.812390604144</v>
      </c>
      <c r="S187" s="22">
        <v>76384.048956140425</v>
      </c>
      <c r="T187" s="22">
        <v>43821.857985777868</v>
      </c>
      <c r="U187" s="22">
        <v>101585.33045840538</v>
      </c>
      <c r="V187" s="22">
        <v>101585.33045840538</v>
      </c>
      <c r="W187" s="22">
        <v>101585.33045840538</v>
      </c>
      <c r="X187" s="22">
        <v>101585.33045840538</v>
      </c>
      <c r="Y187" s="22">
        <v>101585.33045840538</v>
      </c>
      <c r="Z187" s="22">
        <v>101585.33045840538</v>
      </c>
      <c r="AA187" s="23">
        <v>101585.33045840538</v>
      </c>
      <c r="AB187" s="97"/>
      <c r="AC187" s="24">
        <v>4</v>
      </c>
      <c r="AD187" s="16">
        <f t="shared" si="45"/>
        <v>7110973.1320883781</v>
      </c>
    </row>
    <row r="188" spans="1:30" ht="13.5" thickBot="1" x14ac:dyDescent="0.35">
      <c r="A188" s="18">
        <v>2031</v>
      </c>
      <c r="B188" s="25" t="s">
        <v>32</v>
      </c>
      <c r="C188" s="26" t="s">
        <v>36</v>
      </c>
      <c r="D188" s="21">
        <v>25396.332614601346</v>
      </c>
      <c r="E188" s="22">
        <v>25396.332614601346</v>
      </c>
      <c r="F188" s="22">
        <v>25396.332614601346</v>
      </c>
      <c r="G188" s="22">
        <v>25396.332614601346</v>
      </c>
      <c r="H188" s="22">
        <v>25396.332614601346</v>
      </c>
      <c r="I188" s="22">
        <v>25396.332614601346</v>
      </c>
      <c r="J188" s="22">
        <v>25396.332614601346</v>
      </c>
      <c r="K188" s="22">
        <v>44755.631806668382</v>
      </c>
      <c r="L188" s="22">
        <v>77764.627621341948</v>
      </c>
      <c r="M188" s="22">
        <v>99477.708548995943</v>
      </c>
      <c r="N188" s="22">
        <v>111478.98973508245</v>
      </c>
      <c r="O188" s="22">
        <v>115628.41278549015</v>
      </c>
      <c r="P188" s="22">
        <v>114534.13924478496</v>
      </c>
      <c r="Q188" s="22">
        <v>108307.41243616086</v>
      </c>
      <c r="R188" s="22">
        <v>96718.812390604158</v>
      </c>
      <c r="S188" s="22">
        <v>76384.048956140425</v>
      </c>
      <c r="T188" s="22">
        <v>43821.857985777868</v>
      </c>
      <c r="U188" s="22">
        <v>101585.33045840538</v>
      </c>
      <c r="V188" s="22">
        <v>101585.33045840538</v>
      </c>
      <c r="W188" s="22">
        <v>101585.33045840538</v>
      </c>
      <c r="X188" s="22">
        <v>101585.33045840538</v>
      </c>
      <c r="Y188" s="22">
        <v>101585.33045840538</v>
      </c>
      <c r="Z188" s="22">
        <v>101585.33045840538</v>
      </c>
      <c r="AA188" s="23">
        <v>101585.33045840538</v>
      </c>
      <c r="AB188" s="97"/>
      <c r="AC188" s="27">
        <v>6</v>
      </c>
      <c r="AD188" s="16">
        <f t="shared" si="45"/>
        <v>10666459.698132567</v>
      </c>
    </row>
    <row r="189" spans="1:30" ht="13.5" thickBot="1" x14ac:dyDescent="0.35">
      <c r="A189" s="18">
        <v>2031</v>
      </c>
      <c r="B189" s="11" t="s">
        <v>35</v>
      </c>
      <c r="C189" s="12" t="s">
        <v>33</v>
      </c>
      <c r="D189" s="21">
        <v>25396.332614601353</v>
      </c>
      <c r="E189" s="22">
        <v>25396.332614601353</v>
      </c>
      <c r="F189" s="22">
        <v>25396.332614601353</v>
      </c>
      <c r="G189" s="22">
        <v>25396.332614601353</v>
      </c>
      <c r="H189" s="22">
        <v>25396.332614601353</v>
      </c>
      <c r="I189" s="22">
        <v>25396.332614601353</v>
      </c>
      <c r="J189" s="22">
        <v>25396.332614601353</v>
      </c>
      <c r="K189" s="22">
        <v>44755.631806668367</v>
      </c>
      <c r="L189" s="22">
        <v>77764.627621341948</v>
      </c>
      <c r="M189" s="22">
        <v>99477.708548995914</v>
      </c>
      <c r="N189" s="22">
        <v>111478.98973508246</v>
      </c>
      <c r="O189" s="22">
        <v>115628.41278549009</v>
      </c>
      <c r="P189" s="22">
        <v>114534.13924478502</v>
      </c>
      <c r="Q189" s="22">
        <v>108307.41243616091</v>
      </c>
      <c r="R189" s="22">
        <v>96718.812390604115</v>
      </c>
      <c r="S189" s="22">
        <v>76384.048956140425</v>
      </c>
      <c r="T189" s="22">
        <v>43821.857985777882</v>
      </c>
      <c r="U189" s="22">
        <v>101585.33045840541</v>
      </c>
      <c r="V189" s="22">
        <v>101585.33045840541</v>
      </c>
      <c r="W189" s="22">
        <v>101585.33045840541</v>
      </c>
      <c r="X189" s="22">
        <v>101585.33045840541</v>
      </c>
      <c r="Y189" s="22">
        <v>101585.33045840541</v>
      </c>
      <c r="Z189" s="22">
        <v>101585.33045840541</v>
      </c>
      <c r="AA189" s="23">
        <v>101585.33045840541</v>
      </c>
      <c r="AB189" s="96">
        <f t="shared" ref="AB189" si="64">+SUM(D189:AA189)*AC189+SUM(D190:AA190)*AC190+SUM(D191:AA191)*AC191</f>
        <v>49776811.924618647</v>
      </c>
      <c r="AC189" s="16">
        <v>20</v>
      </c>
      <c r="AD189" s="16">
        <f t="shared" si="45"/>
        <v>35554865.66044189</v>
      </c>
    </row>
    <row r="190" spans="1:30" ht="13.5" thickBot="1" x14ac:dyDescent="0.35">
      <c r="A190" s="18">
        <v>2031</v>
      </c>
      <c r="B190" s="19" t="s">
        <v>35</v>
      </c>
      <c r="C190" s="20" t="s">
        <v>50</v>
      </c>
      <c r="D190" s="21">
        <v>25396.332614601346</v>
      </c>
      <c r="E190" s="22">
        <v>25396.332614601346</v>
      </c>
      <c r="F190" s="22">
        <v>25396.332614601346</v>
      </c>
      <c r="G190" s="22">
        <v>25396.332614601346</v>
      </c>
      <c r="H190" s="22">
        <v>25396.332614601346</v>
      </c>
      <c r="I190" s="22">
        <v>25396.332614601346</v>
      </c>
      <c r="J190" s="22">
        <v>25396.332614601346</v>
      </c>
      <c r="K190" s="22">
        <v>44755.631806668382</v>
      </c>
      <c r="L190" s="22">
        <v>77764.627621341948</v>
      </c>
      <c r="M190" s="22">
        <v>99477.708548995943</v>
      </c>
      <c r="N190" s="22">
        <v>111478.98973508245</v>
      </c>
      <c r="O190" s="22">
        <v>115628.41278549013</v>
      </c>
      <c r="P190" s="22">
        <v>114534.13924478496</v>
      </c>
      <c r="Q190" s="22">
        <v>108307.41243616087</v>
      </c>
      <c r="R190" s="22">
        <v>96718.812390604144</v>
      </c>
      <c r="S190" s="22">
        <v>76384.048956140425</v>
      </c>
      <c r="T190" s="22">
        <v>43821.857985777868</v>
      </c>
      <c r="U190" s="22">
        <v>101585.33045840538</v>
      </c>
      <c r="V190" s="22">
        <v>101585.33045840538</v>
      </c>
      <c r="W190" s="22">
        <v>101585.33045840538</v>
      </c>
      <c r="X190" s="22">
        <v>101585.33045840538</v>
      </c>
      <c r="Y190" s="22">
        <v>101585.33045840538</v>
      </c>
      <c r="Z190" s="22">
        <v>101585.33045840538</v>
      </c>
      <c r="AA190" s="23">
        <v>101585.33045840538</v>
      </c>
      <c r="AB190" s="97"/>
      <c r="AC190" s="24">
        <v>4</v>
      </c>
      <c r="AD190" s="16">
        <f t="shared" si="45"/>
        <v>7110973.1320883781</v>
      </c>
    </row>
    <row r="191" spans="1:30" ht="13.5" thickBot="1" x14ac:dyDescent="0.35">
      <c r="A191" s="18">
        <v>2031</v>
      </c>
      <c r="B191" s="25" t="s">
        <v>35</v>
      </c>
      <c r="C191" s="26" t="s">
        <v>36</v>
      </c>
      <c r="D191" s="21">
        <v>25396.332614601346</v>
      </c>
      <c r="E191" s="22">
        <v>25396.332614601346</v>
      </c>
      <c r="F191" s="22">
        <v>25396.332614601346</v>
      </c>
      <c r="G191" s="22">
        <v>25396.332614601346</v>
      </c>
      <c r="H191" s="22">
        <v>25396.332614601346</v>
      </c>
      <c r="I191" s="22">
        <v>25396.332614601346</v>
      </c>
      <c r="J191" s="22">
        <v>25396.332614601346</v>
      </c>
      <c r="K191" s="22">
        <v>44755.631806668382</v>
      </c>
      <c r="L191" s="22">
        <v>77764.627621341948</v>
      </c>
      <c r="M191" s="22">
        <v>99477.708548995943</v>
      </c>
      <c r="N191" s="22">
        <v>111478.98973508245</v>
      </c>
      <c r="O191" s="22">
        <v>115628.41278549013</v>
      </c>
      <c r="P191" s="22">
        <v>114534.13924478496</v>
      </c>
      <c r="Q191" s="22">
        <v>108307.41243616087</v>
      </c>
      <c r="R191" s="22">
        <v>96718.812390604144</v>
      </c>
      <c r="S191" s="22">
        <v>76384.048956140425</v>
      </c>
      <c r="T191" s="22">
        <v>43821.857985777868</v>
      </c>
      <c r="U191" s="22">
        <v>101585.33045840538</v>
      </c>
      <c r="V191" s="22">
        <v>101585.33045840538</v>
      </c>
      <c r="W191" s="22">
        <v>101585.33045840538</v>
      </c>
      <c r="X191" s="22">
        <v>101585.33045840538</v>
      </c>
      <c r="Y191" s="22">
        <v>101585.33045840538</v>
      </c>
      <c r="Z191" s="22">
        <v>101585.33045840538</v>
      </c>
      <c r="AA191" s="23">
        <v>101585.33045840538</v>
      </c>
      <c r="AB191" s="97"/>
      <c r="AC191" s="27">
        <v>4</v>
      </c>
      <c r="AD191" s="16">
        <f t="shared" si="45"/>
        <v>7110973.1320883781</v>
      </c>
    </row>
    <row r="192" spans="1:30" ht="13.5" thickBot="1" x14ac:dyDescent="0.35">
      <c r="A192" s="18">
        <v>2031</v>
      </c>
      <c r="B192" s="11" t="s">
        <v>37</v>
      </c>
      <c r="C192" s="12" t="s">
        <v>33</v>
      </c>
      <c r="D192" s="21">
        <v>25396.332614601353</v>
      </c>
      <c r="E192" s="22">
        <v>25396.332614601353</v>
      </c>
      <c r="F192" s="22">
        <v>25396.332614601353</v>
      </c>
      <c r="G192" s="22">
        <v>25396.332614601353</v>
      </c>
      <c r="H192" s="22">
        <v>25396.332614601353</v>
      </c>
      <c r="I192" s="22">
        <v>25396.332614601353</v>
      </c>
      <c r="J192" s="22">
        <v>25396.332614601353</v>
      </c>
      <c r="K192" s="22">
        <v>44755.631806668367</v>
      </c>
      <c r="L192" s="22">
        <v>77764.627621341948</v>
      </c>
      <c r="M192" s="22">
        <v>99477.708548995914</v>
      </c>
      <c r="N192" s="22">
        <v>111478.98973508246</v>
      </c>
      <c r="O192" s="22">
        <v>115628.41278549009</v>
      </c>
      <c r="P192" s="22">
        <v>114534.13924478502</v>
      </c>
      <c r="Q192" s="22">
        <v>108307.41243616091</v>
      </c>
      <c r="R192" s="22">
        <v>96718.812390604115</v>
      </c>
      <c r="S192" s="22">
        <v>76384.048956140425</v>
      </c>
      <c r="T192" s="22">
        <v>43821.857985777882</v>
      </c>
      <c r="U192" s="22">
        <v>101585.33045840541</v>
      </c>
      <c r="V192" s="22">
        <v>101585.33045840541</v>
      </c>
      <c r="W192" s="22">
        <v>101585.33045840541</v>
      </c>
      <c r="X192" s="22">
        <v>101585.33045840541</v>
      </c>
      <c r="Y192" s="22">
        <v>101585.33045840541</v>
      </c>
      <c r="Z192" s="22">
        <v>101585.33045840541</v>
      </c>
      <c r="AA192" s="23">
        <v>101585.33045840541</v>
      </c>
      <c r="AB192" s="96">
        <f t="shared" ref="AB192" si="65">+SUM(D192:AA192)*AC192+SUM(D193:AA193)*AC193+SUM(D194:AA194)*AC194</f>
        <v>55110041.773684926</v>
      </c>
      <c r="AC192" s="16">
        <v>20</v>
      </c>
      <c r="AD192" s="16">
        <f t="shared" si="45"/>
        <v>35554865.66044189</v>
      </c>
    </row>
    <row r="193" spans="1:30" ht="13.5" thickBot="1" x14ac:dyDescent="0.35">
      <c r="A193" s="18">
        <v>2031</v>
      </c>
      <c r="B193" s="19" t="s">
        <v>37</v>
      </c>
      <c r="C193" s="20" t="s">
        <v>50</v>
      </c>
      <c r="D193" s="21">
        <v>25396.332614601346</v>
      </c>
      <c r="E193" s="22">
        <v>25396.332614601346</v>
      </c>
      <c r="F193" s="22">
        <v>25396.332614601346</v>
      </c>
      <c r="G193" s="22">
        <v>25396.332614601346</v>
      </c>
      <c r="H193" s="22">
        <v>25396.332614601346</v>
      </c>
      <c r="I193" s="22">
        <v>25396.332614601346</v>
      </c>
      <c r="J193" s="22">
        <v>25396.332614601346</v>
      </c>
      <c r="K193" s="22">
        <v>44755.631806668382</v>
      </c>
      <c r="L193" s="22">
        <v>77764.627621341948</v>
      </c>
      <c r="M193" s="22">
        <v>99477.708548995943</v>
      </c>
      <c r="N193" s="22">
        <v>111478.98973508245</v>
      </c>
      <c r="O193" s="22">
        <v>115628.41278549013</v>
      </c>
      <c r="P193" s="22">
        <v>114534.13924478498</v>
      </c>
      <c r="Q193" s="22">
        <v>108307.41243616087</v>
      </c>
      <c r="R193" s="22">
        <v>96718.812390604144</v>
      </c>
      <c r="S193" s="22">
        <v>76384.048956140425</v>
      </c>
      <c r="T193" s="22">
        <v>43821.857985777868</v>
      </c>
      <c r="U193" s="22">
        <v>101585.33045840538</v>
      </c>
      <c r="V193" s="22">
        <v>101585.33045840538</v>
      </c>
      <c r="W193" s="22">
        <v>101585.33045840538</v>
      </c>
      <c r="X193" s="22">
        <v>101585.33045840538</v>
      </c>
      <c r="Y193" s="22">
        <v>101585.33045840538</v>
      </c>
      <c r="Z193" s="22">
        <v>101585.33045840538</v>
      </c>
      <c r="AA193" s="23">
        <v>101585.33045840538</v>
      </c>
      <c r="AB193" s="97"/>
      <c r="AC193" s="24">
        <v>5</v>
      </c>
      <c r="AD193" s="16">
        <f t="shared" si="45"/>
        <v>8888716.4151104726</v>
      </c>
    </row>
    <row r="194" spans="1:30" ht="13.5" thickBot="1" x14ac:dyDescent="0.35">
      <c r="A194" s="18">
        <v>2031</v>
      </c>
      <c r="B194" s="25" t="s">
        <v>37</v>
      </c>
      <c r="C194" s="26" t="s">
        <v>36</v>
      </c>
      <c r="D194" s="21">
        <v>25396.332614601346</v>
      </c>
      <c r="E194" s="22">
        <v>25396.332614601346</v>
      </c>
      <c r="F194" s="22">
        <v>25396.332614601346</v>
      </c>
      <c r="G194" s="22">
        <v>25396.332614601346</v>
      </c>
      <c r="H194" s="22">
        <v>25396.332614601346</v>
      </c>
      <c r="I194" s="22">
        <v>25396.332614601346</v>
      </c>
      <c r="J194" s="22">
        <v>25396.332614601346</v>
      </c>
      <c r="K194" s="22">
        <v>44755.631806668382</v>
      </c>
      <c r="L194" s="22">
        <v>77764.627621341948</v>
      </c>
      <c r="M194" s="22">
        <v>99477.708548995943</v>
      </c>
      <c r="N194" s="22">
        <v>111478.98973508245</v>
      </c>
      <c r="O194" s="22">
        <v>115628.41278549015</v>
      </c>
      <c r="P194" s="22">
        <v>114534.13924478496</v>
      </c>
      <c r="Q194" s="22">
        <v>108307.41243616086</v>
      </c>
      <c r="R194" s="22">
        <v>96718.812390604158</v>
      </c>
      <c r="S194" s="22">
        <v>76384.048956140425</v>
      </c>
      <c r="T194" s="22">
        <v>43821.857985777868</v>
      </c>
      <c r="U194" s="22">
        <v>101585.33045840538</v>
      </c>
      <c r="V194" s="22">
        <v>101585.33045840538</v>
      </c>
      <c r="W194" s="22">
        <v>101585.33045840538</v>
      </c>
      <c r="X194" s="22">
        <v>101585.33045840538</v>
      </c>
      <c r="Y194" s="22">
        <v>101585.33045840538</v>
      </c>
      <c r="Z194" s="22">
        <v>101585.33045840538</v>
      </c>
      <c r="AA194" s="23">
        <v>101585.33045840538</v>
      </c>
      <c r="AB194" s="97"/>
      <c r="AC194" s="27">
        <v>6</v>
      </c>
      <c r="AD194" s="16">
        <f t="shared" si="45"/>
        <v>10666459.698132567</v>
      </c>
    </row>
    <row r="195" spans="1:30" ht="13.5" thickBot="1" x14ac:dyDescent="0.35">
      <c r="A195" s="18">
        <v>2031</v>
      </c>
      <c r="B195" s="11" t="s">
        <v>38</v>
      </c>
      <c r="C195" s="12" t="s">
        <v>33</v>
      </c>
      <c r="D195" s="21">
        <v>25396.332614601353</v>
      </c>
      <c r="E195" s="22">
        <v>25396.332614601353</v>
      </c>
      <c r="F195" s="22">
        <v>25396.332614601353</v>
      </c>
      <c r="G195" s="22">
        <v>25396.332614601353</v>
      </c>
      <c r="H195" s="22">
        <v>25396.332614601353</v>
      </c>
      <c r="I195" s="22">
        <v>25396.332614601353</v>
      </c>
      <c r="J195" s="22">
        <v>25396.332614601353</v>
      </c>
      <c r="K195" s="22">
        <v>44755.631806668367</v>
      </c>
      <c r="L195" s="22">
        <v>77764.627621341948</v>
      </c>
      <c r="M195" s="22">
        <v>99477.708548995914</v>
      </c>
      <c r="N195" s="22">
        <v>111478.98973508246</v>
      </c>
      <c r="O195" s="22">
        <v>115628.41278549009</v>
      </c>
      <c r="P195" s="22">
        <v>114534.13924478502</v>
      </c>
      <c r="Q195" s="22">
        <v>108307.41243616091</v>
      </c>
      <c r="R195" s="22">
        <v>96718.812390604115</v>
      </c>
      <c r="S195" s="22">
        <v>76384.048956140425</v>
      </c>
      <c r="T195" s="22">
        <v>43821.857985777882</v>
      </c>
      <c r="U195" s="22">
        <v>101585.33045840541</v>
      </c>
      <c r="V195" s="22">
        <v>101585.33045840541</v>
      </c>
      <c r="W195" s="22">
        <v>101585.33045840541</v>
      </c>
      <c r="X195" s="22">
        <v>101585.33045840541</v>
      </c>
      <c r="Y195" s="22">
        <v>101585.33045840541</v>
      </c>
      <c r="Z195" s="22">
        <v>101585.33045840541</v>
      </c>
      <c r="AA195" s="23">
        <v>101585.33045840541</v>
      </c>
      <c r="AB195" s="96">
        <f t="shared" ref="AB195" si="66">+SUM(D195:AA195)*AC195+SUM(D196:AA196)*AC196+SUM(D197:AA197)*AC197</f>
        <v>53332298.490662836</v>
      </c>
      <c r="AC195" s="16">
        <v>20</v>
      </c>
      <c r="AD195" s="16">
        <f t="shared" si="45"/>
        <v>35554865.66044189</v>
      </c>
    </row>
    <row r="196" spans="1:30" ht="13.5" thickBot="1" x14ac:dyDescent="0.35">
      <c r="A196" s="18">
        <v>2031</v>
      </c>
      <c r="B196" s="19" t="s">
        <v>38</v>
      </c>
      <c r="C196" s="20" t="s">
        <v>50</v>
      </c>
      <c r="D196" s="21">
        <v>25396.332614601346</v>
      </c>
      <c r="E196" s="22">
        <v>25396.332614601346</v>
      </c>
      <c r="F196" s="22">
        <v>25396.332614601346</v>
      </c>
      <c r="G196" s="22">
        <v>25396.332614601346</v>
      </c>
      <c r="H196" s="22">
        <v>25396.332614601346</v>
      </c>
      <c r="I196" s="22">
        <v>25396.332614601346</v>
      </c>
      <c r="J196" s="22">
        <v>25396.332614601346</v>
      </c>
      <c r="K196" s="22">
        <v>44755.631806668382</v>
      </c>
      <c r="L196" s="22">
        <v>77764.627621341948</v>
      </c>
      <c r="M196" s="22">
        <v>99477.708548995943</v>
      </c>
      <c r="N196" s="22">
        <v>111478.98973508245</v>
      </c>
      <c r="O196" s="22">
        <v>115628.41278549013</v>
      </c>
      <c r="P196" s="22">
        <v>114534.13924478496</v>
      </c>
      <c r="Q196" s="22">
        <v>108307.41243616087</v>
      </c>
      <c r="R196" s="22">
        <v>96718.812390604144</v>
      </c>
      <c r="S196" s="22">
        <v>76384.048956140425</v>
      </c>
      <c r="T196" s="22">
        <v>43821.857985777868</v>
      </c>
      <c r="U196" s="22">
        <v>101585.33045840538</v>
      </c>
      <c r="V196" s="22">
        <v>101585.33045840538</v>
      </c>
      <c r="W196" s="22">
        <v>101585.33045840538</v>
      </c>
      <c r="X196" s="22">
        <v>101585.33045840538</v>
      </c>
      <c r="Y196" s="22">
        <v>101585.33045840538</v>
      </c>
      <c r="Z196" s="22">
        <v>101585.33045840538</v>
      </c>
      <c r="AA196" s="23">
        <v>101585.33045840538</v>
      </c>
      <c r="AB196" s="97"/>
      <c r="AC196" s="24">
        <v>4</v>
      </c>
      <c r="AD196" s="16">
        <f t="shared" si="45"/>
        <v>7110973.1320883781</v>
      </c>
    </row>
    <row r="197" spans="1:30" ht="13.5" thickBot="1" x14ac:dyDescent="0.35">
      <c r="A197" s="18">
        <v>2031</v>
      </c>
      <c r="B197" s="25" t="s">
        <v>38</v>
      </c>
      <c r="C197" s="26" t="s">
        <v>36</v>
      </c>
      <c r="D197" s="21">
        <v>25396.332614601346</v>
      </c>
      <c r="E197" s="22">
        <v>25396.332614601346</v>
      </c>
      <c r="F197" s="22">
        <v>25396.332614601346</v>
      </c>
      <c r="G197" s="22">
        <v>25396.332614601346</v>
      </c>
      <c r="H197" s="22">
        <v>25396.332614601346</v>
      </c>
      <c r="I197" s="22">
        <v>25396.332614601346</v>
      </c>
      <c r="J197" s="22">
        <v>25396.332614601346</v>
      </c>
      <c r="K197" s="22">
        <v>44755.631806668382</v>
      </c>
      <c r="L197" s="22">
        <v>77764.627621341948</v>
      </c>
      <c r="M197" s="22">
        <v>99477.708548995943</v>
      </c>
      <c r="N197" s="22">
        <v>111478.98973508245</v>
      </c>
      <c r="O197" s="22">
        <v>115628.41278549015</v>
      </c>
      <c r="P197" s="22">
        <v>114534.13924478496</v>
      </c>
      <c r="Q197" s="22">
        <v>108307.41243616086</v>
      </c>
      <c r="R197" s="22">
        <v>96718.812390604158</v>
      </c>
      <c r="S197" s="22">
        <v>76384.048956140425</v>
      </c>
      <c r="T197" s="22">
        <v>43821.857985777868</v>
      </c>
      <c r="U197" s="22">
        <v>101585.33045840538</v>
      </c>
      <c r="V197" s="22">
        <v>101585.33045840538</v>
      </c>
      <c r="W197" s="22">
        <v>101585.33045840538</v>
      </c>
      <c r="X197" s="22">
        <v>101585.33045840538</v>
      </c>
      <c r="Y197" s="22">
        <v>101585.33045840538</v>
      </c>
      <c r="Z197" s="22">
        <v>101585.33045840538</v>
      </c>
      <c r="AA197" s="23">
        <v>101585.33045840538</v>
      </c>
      <c r="AB197" s="97"/>
      <c r="AC197" s="27">
        <v>6</v>
      </c>
      <c r="AD197" s="16">
        <f t="shared" si="45"/>
        <v>10666459.698132567</v>
      </c>
    </row>
    <row r="198" spans="1:30" ht="13.5" thickBot="1" x14ac:dyDescent="0.35">
      <c r="A198" s="18">
        <v>2031</v>
      </c>
      <c r="B198" s="11" t="s">
        <v>39</v>
      </c>
      <c r="C198" s="12" t="s">
        <v>33</v>
      </c>
      <c r="D198" s="21">
        <v>25396.332614601353</v>
      </c>
      <c r="E198" s="22">
        <v>25396.332614601353</v>
      </c>
      <c r="F198" s="22">
        <v>25396.332614601353</v>
      </c>
      <c r="G198" s="22">
        <v>25396.332614601353</v>
      </c>
      <c r="H198" s="22">
        <v>25396.332614601353</v>
      </c>
      <c r="I198" s="22">
        <v>25396.332614601353</v>
      </c>
      <c r="J198" s="22">
        <v>25396.332614601353</v>
      </c>
      <c r="K198" s="22">
        <v>44755.631806668367</v>
      </c>
      <c r="L198" s="22">
        <v>77764.627621341948</v>
      </c>
      <c r="M198" s="22">
        <v>99477.708548995914</v>
      </c>
      <c r="N198" s="22">
        <v>111478.98973508246</v>
      </c>
      <c r="O198" s="22">
        <v>115628.41278549009</v>
      </c>
      <c r="P198" s="22">
        <v>114534.13924478502</v>
      </c>
      <c r="Q198" s="22">
        <v>108307.41243616091</v>
      </c>
      <c r="R198" s="22">
        <v>96718.812390604115</v>
      </c>
      <c r="S198" s="22">
        <v>76384.048956140425</v>
      </c>
      <c r="T198" s="22">
        <v>43821.857985777882</v>
      </c>
      <c r="U198" s="22">
        <v>101585.33045840541</v>
      </c>
      <c r="V198" s="22">
        <v>101585.33045840541</v>
      </c>
      <c r="W198" s="22">
        <v>101585.33045840541</v>
      </c>
      <c r="X198" s="22">
        <v>101585.33045840541</v>
      </c>
      <c r="Y198" s="22">
        <v>101585.33045840541</v>
      </c>
      <c r="Z198" s="22">
        <v>101585.33045840541</v>
      </c>
      <c r="AA198" s="23">
        <v>101585.33045840541</v>
      </c>
      <c r="AB198" s="96">
        <f t="shared" ref="AB198" si="67">+SUM(D198:AA198)*AC198+SUM(D199:AA199)*AC199+SUM(D200:AA200)*AC200</f>
        <v>55110041.773684926</v>
      </c>
      <c r="AC198" s="16">
        <v>20</v>
      </c>
      <c r="AD198" s="16">
        <f t="shared" ref="AD198:AD261" si="68">+SUM(D198:AA198)*AC198</f>
        <v>35554865.66044189</v>
      </c>
    </row>
    <row r="199" spans="1:30" ht="13.5" thickBot="1" x14ac:dyDescent="0.35">
      <c r="A199" s="18">
        <v>2031</v>
      </c>
      <c r="B199" s="19" t="s">
        <v>39</v>
      </c>
      <c r="C199" s="20" t="s">
        <v>50</v>
      </c>
      <c r="D199" s="21">
        <v>25396.332614601346</v>
      </c>
      <c r="E199" s="22">
        <v>25396.332614601346</v>
      </c>
      <c r="F199" s="22">
        <v>25396.332614601346</v>
      </c>
      <c r="G199" s="22">
        <v>25396.332614601346</v>
      </c>
      <c r="H199" s="22">
        <v>25396.332614601346</v>
      </c>
      <c r="I199" s="22">
        <v>25396.332614601346</v>
      </c>
      <c r="J199" s="22">
        <v>25396.332614601346</v>
      </c>
      <c r="K199" s="22">
        <v>44755.631806668382</v>
      </c>
      <c r="L199" s="22">
        <v>77764.627621341948</v>
      </c>
      <c r="M199" s="22">
        <v>99477.708548995943</v>
      </c>
      <c r="N199" s="22">
        <v>111478.98973508245</v>
      </c>
      <c r="O199" s="22">
        <v>115628.41278549013</v>
      </c>
      <c r="P199" s="22">
        <v>114534.13924478498</v>
      </c>
      <c r="Q199" s="22">
        <v>108307.41243616087</v>
      </c>
      <c r="R199" s="22">
        <v>96718.812390604144</v>
      </c>
      <c r="S199" s="22">
        <v>76384.048956140425</v>
      </c>
      <c r="T199" s="22">
        <v>43821.857985777868</v>
      </c>
      <c r="U199" s="22">
        <v>101585.33045840538</v>
      </c>
      <c r="V199" s="22">
        <v>101585.33045840538</v>
      </c>
      <c r="W199" s="22">
        <v>101585.33045840538</v>
      </c>
      <c r="X199" s="22">
        <v>101585.33045840538</v>
      </c>
      <c r="Y199" s="22">
        <v>101585.33045840538</v>
      </c>
      <c r="Z199" s="22">
        <v>101585.33045840538</v>
      </c>
      <c r="AA199" s="23">
        <v>101585.33045840538</v>
      </c>
      <c r="AB199" s="97"/>
      <c r="AC199" s="24">
        <v>5</v>
      </c>
      <c r="AD199" s="16">
        <f t="shared" si="68"/>
        <v>8888716.4151104726</v>
      </c>
    </row>
    <row r="200" spans="1:30" ht="13.5" thickBot="1" x14ac:dyDescent="0.35">
      <c r="A200" s="18">
        <v>2031</v>
      </c>
      <c r="B200" s="25" t="s">
        <v>39</v>
      </c>
      <c r="C200" s="26" t="s">
        <v>36</v>
      </c>
      <c r="D200" s="21">
        <v>25396.332614601346</v>
      </c>
      <c r="E200" s="22">
        <v>25396.332614601346</v>
      </c>
      <c r="F200" s="22">
        <v>25396.332614601346</v>
      </c>
      <c r="G200" s="22">
        <v>25396.332614601346</v>
      </c>
      <c r="H200" s="22">
        <v>25396.332614601346</v>
      </c>
      <c r="I200" s="22">
        <v>25396.332614601346</v>
      </c>
      <c r="J200" s="22">
        <v>25396.332614601346</v>
      </c>
      <c r="K200" s="22">
        <v>44755.631806668382</v>
      </c>
      <c r="L200" s="22">
        <v>77764.627621341948</v>
      </c>
      <c r="M200" s="22">
        <v>99477.708548995943</v>
      </c>
      <c r="N200" s="22">
        <v>111478.98973508245</v>
      </c>
      <c r="O200" s="22">
        <v>115628.41278549015</v>
      </c>
      <c r="P200" s="22">
        <v>114534.13924478496</v>
      </c>
      <c r="Q200" s="22">
        <v>108307.41243616086</v>
      </c>
      <c r="R200" s="22">
        <v>96718.812390604158</v>
      </c>
      <c r="S200" s="22">
        <v>76384.048956140425</v>
      </c>
      <c r="T200" s="22">
        <v>43821.857985777868</v>
      </c>
      <c r="U200" s="22">
        <v>101585.33045840538</v>
      </c>
      <c r="V200" s="22">
        <v>101585.33045840538</v>
      </c>
      <c r="W200" s="22">
        <v>101585.33045840538</v>
      </c>
      <c r="X200" s="22">
        <v>101585.33045840538</v>
      </c>
      <c r="Y200" s="22">
        <v>101585.33045840538</v>
      </c>
      <c r="Z200" s="22">
        <v>101585.33045840538</v>
      </c>
      <c r="AA200" s="23">
        <v>101585.33045840538</v>
      </c>
      <c r="AB200" s="97"/>
      <c r="AC200" s="27">
        <v>6</v>
      </c>
      <c r="AD200" s="16">
        <f t="shared" si="68"/>
        <v>10666459.698132567</v>
      </c>
    </row>
    <row r="201" spans="1:30" ht="13.5" thickBot="1" x14ac:dyDescent="0.35">
      <c r="A201" s="18">
        <v>2031</v>
      </c>
      <c r="B201" s="11" t="s">
        <v>40</v>
      </c>
      <c r="C201" s="12" t="s">
        <v>33</v>
      </c>
      <c r="D201" s="21">
        <v>25396.332614601353</v>
      </c>
      <c r="E201" s="22">
        <v>25396.332614601353</v>
      </c>
      <c r="F201" s="22">
        <v>25396.332614601353</v>
      </c>
      <c r="G201" s="22">
        <v>25396.332614601353</v>
      </c>
      <c r="H201" s="22">
        <v>25396.332614601353</v>
      </c>
      <c r="I201" s="22">
        <v>25396.332614601353</v>
      </c>
      <c r="J201" s="22">
        <v>25396.332614601353</v>
      </c>
      <c r="K201" s="22">
        <v>44755.631806668367</v>
      </c>
      <c r="L201" s="22">
        <v>77764.627621341948</v>
      </c>
      <c r="M201" s="22">
        <v>99477.708548995914</v>
      </c>
      <c r="N201" s="22">
        <v>111478.98973508248</v>
      </c>
      <c r="O201" s="22">
        <v>115628.4127854901</v>
      </c>
      <c r="P201" s="22">
        <v>114534.13924478501</v>
      </c>
      <c r="Q201" s="22">
        <v>108307.4124361609</v>
      </c>
      <c r="R201" s="22">
        <v>96718.812390604115</v>
      </c>
      <c r="S201" s="22">
        <v>76384.048956140425</v>
      </c>
      <c r="T201" s="22">
        <v>43821.857985777882</v>
      </c>
      <c r="U201" s="22">
        <v>101585.33045840541</v>
      </c>
      <c r="V201" s="22">
        <v>101585.33045840541</v>
      </c>
      <c r="W201" s="22">
        <v>101585.33045840541</v>
      </c>
      <c r="X201" s="22">
        <v>101585.33045840541</v>
      </c>
      <c r="Y201" s="22">
        <v>101585.33045840541</v>
      </c>
      <c r="Z201" s="22">
        <v>101585.33045840541</v>
      </c>
      <c r="AA201" s="23">
        <v>101585.33045840541</v>
      </c>
      <c r="AB201" s="96">
        <f t="shared" ref="AB201" si="69">+SUM(D201:AA201)*AC201+SUM(D202:AA202)*AC202+SUM(D203:AA203)*AC203</f>
        <v>53332298.490662836</v>
      </c>
      <c r="AC201" s="16">
        <v>18</v>
      </c>
      <c r="AD201" s="16">
        <f t="shared" si="68"/>
        <v>31999379.094397701</v>
      </c>
    </row>
    <row r="202" spans="1:30" ht="13.5" thickBot="1" x14ac:dyDescent="0.35">
      <c r="A202" s="18">
        <v>2031</v>
      </c>
      <c r="B202" s="19" t="s">
        <v>40</v>
      </c>
      <c r="C202" s="20" t="s">
        <v>50</v>
      </c>
      <c r="D202" s="21">
        <v>25396.332614601346</v>
      </c>
      <c r="E202" s="22">
        <v>25396.332614601346</v>
      </c>
      <c r="F202" s="22">
        <v>25396.332614601346</v>
      </c>
      <c r="G202" s="22">
        <v>25396.332614601346</v>
      </c>
      <c r="H202" s="22">
        <v>25396.332614601346</v>
      </c>
      <c r="I202" s="22">
        <v>25396.332614601346</v>
      </c>
      <c r="J202" s="22">
        <v>25396.332614601346</v>
      </c>
      <c r="K202" s="22">
        <v>44755.631806668382</v>
      </c>
      <c r="L202" s="22">
        <v>77764.627621341948</v>
      </c>
      <c r="M202" s="22">
        <v>99477.708548995943</v>
      </c>
      <c r="N202" s="22">
        <v>111478.98973508245</v>
      </c>
      <c r="O202" s="22">
        <v>115628.41278549013</v>
      </c>
      <c r="P202" s="22">
        <v>114534.13924478496</v>
      </c>
      <c r="Q202" s="22">
        <v>108307.41243616087</v>
      </c>
      <c r="R202" s="22">
        <v>96718.812390604144</v>
      </c>
      <c r="S202" s="22">
        <v>76384.048956140425</v>
      </c>
      <c r="T202" s="22">
        <v>43821.857985777868</v>
      </c>
      <c r="U202" s="22">
        <v>101585.33045840538</v>
      </c>
      <c r="V202" s="22">
        <v>101585.33045840538</v>
      </c>
      <c r="W202" s="22">
        <v>101585.33045840538</v>
      </c>
      <c r="X202" s="22">
        <v>101585.33045840538</v>
      </c>
      <c r="Y202" s="22">
        <v>101585.33045840538</v>
      </c>
      <c r="Z202" s="22">
        <v>101585.33045840538</v>
      </c>
      <c r="AA202" s="23">
        <v>101585.33045840538</v>
      </c>
      <c r="AB202" s="97"/>
      <c r="AC202" s="24">
        <v>4</v>
      </c>
      <c r="AD202" s="16">
        <f t="shared" si="68"/>
        <v>7110973.1320883781</v>
      </c>
    </row>
    <row r="203" spans="1:30" ht="13.5" thickBot="1" x14ac:dyDescent="0.35">
      <c r="A203" s="18">
        <v>2031</v>
      </c>
      <c r="B203" s="25" t="s">
        <v>40</v>
      </c>
      <c r="C203" s="26" t="s">
        <v>36</v>
      </c>
      <c r="D203" s="21">
        <v>25396.33261460135</v>
      </c>
      <c r="E203" s="22">
        <v>25396.33261460135</v>
      </c>
      <c r="F203" s="22">
        <v>25396.33261460135</v>
      </c>
      <c r="G203" s="22">
        <v>25396.33261460135</v>
      </c>
      <c r="H203" s="22">
        <v>25396.33261460135</v>
      </c>
      <c r="I203" s="22">
        <v>25396.33261460135</v>
      </c>
      <c r="J203" s="22">
        <v>25396.33261460135</v>
      </c>
      <c r="K203" s="22">
        <v>44755.631806668374</v>
      </c>
      <c r="L203" s="22">
        <v>77764.627621341948</v>
      </c>
      <c r="M203" s="22">
        <v>99477.708548995928</v>
      </c>
      <c r="N203" s="22">
        <v>111478.98973508246</v>
      </c>
      <c r="O203" s="22">
        <v>115628.41278549015</v>
      </c>
      <c r="P203" s="22">
        <v>114534.13924478496</v>
      </c>
      <c r="Q203" s="22">
        <v>108307.41243616086</v>
      </c>
      <c r="R203" s="22">
        <v>96718.812390604158</v>
      </c>
      <c r="S203" s="22">
        <v>76384.048956140425</v>
      </c>
      <c r="T203" s="22">
        <v>43821.857985777868</v>
      </c>
      <c r="U203" s="22">
        <v>101585.3304584054</v>
      </c>
      <c r="V203" s="22">
        <v>101585.3304584054</v>
      </c>
      <c r="W203" s="22">
        <v>101585.3304584054</v>
      </c>
      <c r="X203" s="22">
        <v>101585.3304584054</v>
      </c>
      <c r="Y203" s="22">
        <v>101585.3304584054</v>
      </c>
      <c r="Z203" s="22">
        <v>101585.3304584054</v>
      </c>
      <c r="AA203" s="23">
        <v>101585.3304584054</v>
      </c>
      <c r="AB203" s="97"/>
      <c r="AC203" s="27">
        <v>8</v>
      </c>
      <c r="AD203" s="16">
        <f t="shared" si="68"/>
        <v>14221946.264176756</v>
      </c>
    </row>
    <row r="204" spans="1:30" ht="13.5" thickBot="1" x14ac:dyDescent="0.35">
      <c r="A204" s="18">
        <v>2031</v>
      </c>
      <c r="B204" s="11" t="s">
        <v>41</v>
      </c>
      <c r="C204" s="12" t="s">
        <v>33</v>
      </c>
      <c r="D204" s="21">
        <v>25396.332614601353</v>
      </c>
      <c r="E204" s="22">
        <v>25396.332614601353</v>
      </c>
      <c r="F204" s="22">
        <v>25396.332614601353</v>
      </c>
      <c r="G204" s="22">
        <v>25396.332614601353</v>
      </c>
      <c r="H204" s="22">
        <v>25396.332614601353</v>
      </c>
      <c r="I204" s="22">
        <v>25396.332614601353</v>
      </c>
      <c r="J204" s="22">
        <v>25396.332614601353</v>
      </c>
      <c r="K204" s="22">
        <v>44755.631806668367</v>
      </c>
      <c r="L204" s="22">
        <v>77764.627621341948</v>
      </c>
      <c r="M204" s="22">
        <v>99477.708548995928</v>
      </c>
      <c r="N204" s="22">
        <v>111478.98973508245</v>
      </c>
      <c r="O204" s="22">
        <v>115628.41278549009</v>
      </c>
      <c r="P204" s="22">
        <v>114534.13924478502</v>
      </c>
      <c r="Q204" s="22">
        <v>108307.41243616088</v>
      </c>
      <c r="R204" s="22">
        <v>96718.812390604115</v>
      </c>
      <c r="S204" s="22">
        <v>76384.048956140425</v>
      </c>
      <c r="T204" s="22">
        <v>43821.85798577789</v>
      </c>
      <c r="U204" s="22">
        <v>101585.33045840541</v>
      </c>
      <c r="V204" s="22">
        <v>101585.33045840541</v>
      </c>
      <c r="W204" s="22">
        <v>101585.33045840541</v>
      </c>
      <c r="X204" s="22">
        <v>101585.33045840541</v>
      </c>
      <c r="Y204" s="22">
        <v>101585.33045840541</v>
      </c>
      <c r="Z204" s="22">
        <v>101585.33045840541</v>
      </c>
      <c r="AA204" s="23">
        <v>101585.33045840541</v>
      </c>
      <c r="AB204" s="96">
        <f t="shared" ref="AB204" si="70">+SUM(D204:AA204)*AC204+SUM(D205:AA205)*AC205+SUM(D206:AA206)*AC206</f>
        <v>55110041.773684934</v>
      </c>
      <c r="AC204" s="16">
        <v>23</v>
      </c>
      <c r="AD204" s="16">
        <f t="shared" si="68"/>
        <v>40888095.509508178</v>
      </c>
    </row>
    <row r="205" spans="1:30" ht="13.5" thickBot="1" x14ac:dyDescent="0.35">
      <c r="A205" s="18">
        <v>2031</v>
      </c>
      <c r="B205" s="19" t="s">
        <v>41</v>
      </c>
      <c r="C205" s="20" t="s">
        <v>50</v>
      </c>
      <c r="D205" s="21">
        <v>25396.332614601346</v>
      </c>
      <c r="E205" s="22">
        <v>25396.332614601346</v>
      </c>
      <c r="F205" s="22">
        <v>25396.332614601346</v>
      </c>
      <c r="G205" s="22">
        <v>25396.332614601346</v>
      </c>
      <c r="H205" s="22">
        <v>25396.332614601346</v>
      </c>
      <c r="I205" s="22">
        <v>25396.332614601346</v>
      </c>
      <c r="J205" s="22">
        <v>25396.332614601346</v>
      </c>
      <c r="K205" s="22">
        <v>44755.631806668382</v>
      </c>
      <c r="L205" s="22">
        <v>77764.627621341948</v>
      </c>
      <c r="M205" s="22">
        <v>99477.708548995943</v>
      </c>
      <c r="N205" s="22">
        <v>111478.98973508245</v>
      </c>
      <c r="O205" s="22">
        <v>115628.41278549013</v>
      </c>
      <c r="P205" s="22">
        <v>114534.13924478496</v>
      </c>
      <c r="Q205" s="22">
        <v>108307.41243616087</v>
      </c>
      <c r="R205" s="22">
        <v>96718.812390604144</v>
      </c>
      <c r="S205" s="22">
        <v>76384.048956140425</v>
      </c>
      <c r="T205" s="22">
        <v>43821.857985777868</v>
      </c>
      <c r="U205" s="22">
        <v>101585.33045840538</v>
      </c>
      <c r="V205" s="22">
        <v>101585.33045840538</v>
      </c>
      <c r="W205" s="22">
        <v>101585.33045840538</v>
      </c>
      <c r="X205" s="22">
        <v>101585.33045840538</v>
      </c>
      <c r="Y205" s="22">
        <v>101585.33045840538</v>
      </c>
      <c r="Z205" s="22">
        <v>101585.33045840538</v>
      </c>
      <c r="AA205" s="23">
        <v>101585.33045840538</v>
      </c>
      <c r="AB205" s="97"/>
      <c r="AC205" s="24">
        <v>4</v>
      </c>
      <c r="AD205" s="16">
        <f t="shared" si="68"/>
        <v>7110973.1320883781</v>
      </c>
    </row>
    <row r="206" spans="1:30" ht="13.5" thickBot="1" x14ac:dyDescent="0.35">
      <c r="A206" s="18">
        <v>2031</v>
      </c>
      <c r="B206" s="25" t="s">
        <v>41</v>
      </c>
      <c r="C206" s="26" t="s">
        <v>36</v>
      </c>
      <c r="D206" s="21">
        <v>25396.332614601346</v>
      </c>
      <c r="E206" s="22">
        <v>25396.332614601346</v>
      </c>
      <c r="F206" s="22">
        <v>25396.332614601346</v>
      </c>
      <c r="G206" s="22">
        <v>25396.332614601346</v>
      </c>
      <c r="H206" s="22">
        <v>25396.332614601346</v>
      </c>
      <c r="I206" s="22">
        <v>25396.332614601346</v>
      </c>
      <c r="J206" s="22">
        <v>25396.332614601346</v>
      </c>
      <c r="K206" s="22">
        <v>44755.631806668382</v>
      </c>
      <c r="L206" s="22">
        <v>77764.627621341948</v>
      </c>
      <c r="M206" s="22">
        <v>99477.708548995943</v>
      </c>
      <c r="N206" s="22">
        <v>111478.98973508245</v>
      </c>
      <c r="O206" s="22">
        <v>115628.41278549013</v>
      </c>
      <c r="P206" s="22">
        <v>114534.13924478496</v>
      </c>
      <c r="Q206" s="22">
        <v>108307.41243616087</v>
      </c>
      <c r="R206" s="22">
        <v>96718.812390604144</v>
      </c>
      <c r="S206" s="22">
        <v>76384.048956140425</v>
      </c>
      <c r="T206" s="22">
        <v>43821.857985777868</v>
      </c>
      <c r="U206" s="22">
        <v>101585.33045840538</v>
      </c>
      <c r="V206" s="22">
        <v>101585.33045840538</v>
      </c>
      <c r="W206" s="22">
        <v>101585.33045840538</v>
      </c>
      <c r="X206" s="22">
        <v>101585.33045840538</v>
      </c>
      <c r="Y206" s="22">
        <v>101585.33045840538</v>
      </c>
      <c r="Z206" s="22">
        <v>101585.33045840538</v>
      </c>
      <c r="AA206" s="23">
        <v>101585.33045840538</v>
      </c>
      <c r="AB206" s="97"/>
      <c r="AC206" s="27">
        <v>4</v>
      </c>
      <c r="AD206" s="16">
        <f t="shared" si="68"/>
        <v>7110973.1320883781</v>
      </c>
    </row>
    <row r="207" spans="1:30" ht="13.5" thickBot="1" x14ac:dyDescent="0.35">
      <c r="A207" s="18">
        <v>2031</v>
      </c>
      <c r="B207" s="11" t="s">
        <v>42</v>
      </c>
      <c r="C207" s="12" t="s">
        <v>33</v>
      </c>
      <c r="D207" s="21">
        <v>25396.332614601353</v>
      </c>
      <c r="E207" s="22">
        <v>25396.332614601353</v>
      </c>
      <c r="F207" s="22">
        <v>25396.332614601353</v>
      </c>
      <c r="G207" s="22">
        <v>25396.332614601353</v>
      </c>
      <c r="H207" s="22">
        <v>25396.332614601353</v>
      </c>
      <c r="I207" s="22">
        <v>25396.332614601353</v>
      </c>
      <c r="J207" s="22">
        <v>25396.332614601353</v>
      </c>
      <c r="K207" s="22">
        <v>44755.631806668367</v>
      </c>
      <c r="L207" s="22">
        <v>77764.627621341948</v>
      </c>
      <c r="M207" s="22">
        <v>99477.708548995914</v>
      </c>
      <c r="N207" s="22">
        <v>111478.98973508248</v>
      </c>
      <c r="O207" s="22">
        <v>115628.41278549009</v>
      </c>
      <c r="P207" s="22">
        <v>114534.13924478502</v>
      </c>
      <c r="Q207" s="22">
        <v>108307.41243616091</v>
      </c>
      <c r="R207" s="22">
        <v>96718.812390604115</v>
      </c>
      <c r="S207" s="22">
        <v>76384.048956140425</v>
      </c>
      <c r="T207" s="22">
        <v>43821.857985777882</v>
      </c>
      <c r="U207" s="22">
        <v>101585.33045840541</v>
      </c>
      <c r="V207" s="22">
        <v>101585.33045840541</v>
      </c>
      <c r="W207" s="22">
        <v>101585.33045840541</v>
      </c>
      <c r="X207" s="22">
        <v>101585.33045840541</v>
      </c>
      <c r="Y207" s="22">
        <v>101585.33045840541</v>
      </c>
      <c r="Z207" s="22">
        <v>101585.33045840541</v>
      </c>
      <c r="AA207" s="23">
        <v>101585.33045840541</v>
      </c>
      <c r="AB207" s="96">
        <f t="shared" ref="AB207" si="71">+SUM(D207:AA207)*AC207+SUM(D208:AA208)*AC208+SUM(D209:AA209)*AC209</f>
        <v>55110041.773684934</v>
      </c>
      <c r="AC207" s="16">
        <v>19</v>
      </c>
      <c r="AD207" s="16">
        <f t="shared" si="68"/>
        <v>33777122.3774198</v>
      </c>
    </row>
    <row r="208" spans="1:30" ht="13.5" thickBot="1" x14ac:dyDescent="0.35">
      <c r="A208" s="18">
        <v>2031</v>
      </c>
      <c r="B208" s="19" t="s">
        <v>42</v>
      </c>
      <c r="C208" s="20" t="s">
        <v>50</v>
      </c>
      <c r="D208" s="21">
        <v>25396.332614601346</v>
      </c>
      <c r="E208" s="22">
        <v>25396.332614601346</v>
      </c>
      <c r="F208" s="22">
        <v>25396.332614601346</v>
      </c>
      <c r="G208" s="22">
        <v>25396.332614601346</v>
      </c>
      <c r="H208" s="22">
        <v>25396.332614601346</v>
      </c>
      <c r="I208" s="22">
        <v>25396.332614601346</v>
      </c>
      <c r="J208" s="22">
        <v>25396.332614601346</v>
      </c>
      <c r="K208" s="22">
        <v>44755.631806668382</v>
      </c>
      <c r="L208" s="22">
        <v>77764.627621341948</v>
      </c>
      <c r="M208" s="22">
        <v>99477.708548995943</v>
      </c>
      <c r="N208" s="22">
        <v>111478.98973508245</v>
      </c>
      <c r="O208" s="22">
        <v>115628.41278549013</v>
      </c>
      <c r="P208" s="22">
        <v>114534.13924478498</v>
      </c>
      <c r="Q208" s="22">
        <v>108307.41243616087</v>
      </c>
      <c r="R208" s="22">
        <v>96718.812390604144</v>
      </c>
      <c r="S208" s="22">
        <v>76384.048956140425</v>
      </c>
      <c r="T208" s="22">
        <v>43821.857985777868</v>
      </c>
      <c r="U208" s="22">
        <v>101585.33045840538</v>
      </c>
      <c r="V208" s="22">
        <v>101585.33045840538</v>
      </c>
      <c r="W208" s="22">
        <v>101585.33045840538</v>
      </c>
      <c r="X208" s="22">
        <v>101585.33045840538</v>
      </c>
      <c r="Y208" s="22">
        <v>101585.33045840538</v>
      </c>
      <c r="Z208" s="22">
        <v>101585.33045840538</v>
      </c>
      <c r="AA208" s="23">
        <v>101585.33045840538</v>
      </c>
      <c r="AB208" s="97"/>
      <c r="AC208" s="24">
        <v>5</v>
      </c>
      <c r="AD208" s="16">
        <f t="shared" si="68"/>
        <v>8888716.4151104726</v>
      </c>
    </row>
    <row r="209" spans="1:30" ht="13.5" thickBot="1" x14ac:dyDescent="0.35">
      <c r="A209" s="18">
        <v>2031</v>
      </c>
      <c r="B209" s="25" t="s">
        <v>42</v>
      </c>
      <c r="C209" s="26" t="s">
        <v>36</v>
      </c>
      <c r="D209" s="21">
        <v>25396.33261460135</v>
      </c>
      <c r="E209" s="22">
        <v>25396.33261460135</v>
      </c>
      <c r="F209" s="22">
        <v>25396.33261460135</v>
      </c>
      <c r="G209" s="22">
        <v>25396.33261460135</v>
      </c>
      <c r="H209" s="22">
        <v>25396.33261460135</v>
      </c>
      <c r="I209" s="22">
        <v>25396.33261460135</v>
      </c>
      <c r="J209" s="22">
        <v>25396.33261460135</v>
      </c>
      <c r="K209" s="22">
        <v>44755.631806668374</v>
      </c>
      <c r="L209" s="22">
        <v>77764.627621341948</v>
      </c>
      <c r="M209" s="22">
        <v>99477.708548995928</v>
      </c>
      <c r="N209" s="22">
        <v>111478.98973508246</v>
      </c>
      <c r="O209" s="22">
        <v>115628.41278549015</v>
      </c>
      <c r="P209" s="22">
        <v>114534.13924478496</v>
      </c>
      <c r="Q209" s="22">
        <v>108307.41243616086</v>
      </c>
      <c r="R209" s="22">
        <v>96718.812390604158</v>
      </c>
      <c r="S209" s="22">
        <v>76384.048956140425</v>
      </c>
      <c r="T209" s="22">
        <v>43821.85798577786</v>
      </c>
      <c r="U209" s="22">
        <v>101585.3304584054</v>
      </c>
      <c r="V209" s="22">
        <v>101585.3304584054</v>
      </c>
      <c r="W209" s="22">
        <v>101585.3304584054</v>
      </c>
      <c r="X209" s="22">
        <v>101585.3304584054</v>
      </c>
      <c r="Y209" s="22">
        <v>101585.3304584054</v>
      </c>
      <c r="Z209" s="22">
        <v>101585.3304584054</v>
      </c>
      <c r="AA209" s="23">
        <v>101585.3304584054</v>
      </c>
      <c r="AB209" s="97"/>
      <c r="AC209" s="27">
        <v>7</v>
      </c>
      <c r="AD209" s="16">
        <f t="shared" si="68"/>
        <v>12444202.981154662</v>
      </c>
    </row>
    <row r="210" spans="1:30" ht="13.5" thickBot="1" x14ac:dyDescent="0.35">
      <c r="A210" s="18">
        <v>2031</v>
      </c>
      <c r="B210" s="11" t="s">
        <v>43</v>
      </c>
      <c r="C210" s="12" t="s">
        <v>33</v>
      </c>
      <c r="D210" s="21">
        <v>25396.332614601353</v>
      </c>
      <c r="E210" s="22">
        <v>25396.332614601353</v>
      </c>
      <c r="F210" s="22">
        <v>25396.332614601353</v>
      </c>
      <c r="G210" s="22">
        <v>25396.332614601353</v>
      </c>
      <c r="H210" s="22">
        <v>25396.332614601353</v>
      </c>
      <c r="I210" s="22">
        <v>25396.332614601353</v>
      </c>
      <c r="J210" s="22">
        <v>25396.332614601353</v>
      </c>
      <c r="K210" s="22">
        <v>44755.631806668367</v>
      </c>
      <c r="L210" s="22">
        <v>77764.627621341948</v>
      </c>
      <c r="M210" s="22">
        <v>99477.708548995914</v>
      </c>
      <c r="N210" s="22">
        <v>111478.98973508245</v>
      </c>
      <c r="O210" s="22">
        <v>115628.41278549009</v>
      </c>
      <c r="P210" s="22">
        <v>114534.13924478502</v>
      </c>
      <c r="Q210" s="22">
        <v>108307.4124361609</v>
      </c>
      <c r="R210" s="22">
        <v>96718.812390604115</v>
      </c>
      <c r="S210" s="22">
        <v>76384.048956140425</v>
      </c>
      <c r="T210" s="22">
        <v>43821.85798577789</v>
      </c>
      <c r="U210" s="22">
        <v>101585.33045840541</v>
      </c>
      <c r="V210" s="22">
        <v>101585.33045840541</v>
      </c>
      <c r="W210" s="22">
        <v>101585.33045840541</v>
      </c>
      <c r="X210" s="22">
        <v>101585.33045840541</v>
      </c>
      <c r="Y210" s="22">
        <v>101585.33045840541</v>
      </c>
      <c r="Z210" s="22">
        <v>101585.33045840541</v>
      </c>
      <c r="AA210" s="23">
        <v>101585.33045840541</v>
      </c>
      <c r="AB210" s="96">
        <f t="shared" ref="AB210" si="72">+SUM(D210:AA210)*AC210+SUM(D211:AA211)*AC211+SUM(D212:AA212)*AC212</f>
        <v>53332298.490662828</v>
      </c>
      <c r="AC210" s="16">
        <v>22</v>
      </c>
      <c r="AD210" s="16">
        <f t="shared" si="68"/>
        <v>39110352.226486072</v>
      </c>
    </row>
    <row r="211" spans="1:30" ht="13.5" thickBot="1" x14ac:dyDescent="0.35">
      <c r="A211" s="18">
        <v>2031</v>
      </c>
      <c r="B211" s="19" t="s">
        <v>43</v>
      </c>
      <c r="C211" s="20" t="s">
        <v>50</v>
      </c>
      <c r="D211" s="21">
        <v>25396.332614601346</v>
      </c>
      <c r="E211" s="22">
        <v>25396.332614601346</v>
      </c>
      <c r="F211" s="22">
        <v>25396.332614601346</v>
      </c>
      <c r="G211" s="22">
        <v>25396.332614601346</v>
      </c>
      <c r="H211" s="22">
        <v>25396.332614601346</v>
      </c>
      <c r="I211" s="22">
        <v>25396.332614601346</v>
      </c>
      <c r="J211" s="22">
        <v>25396.332614601346</v>
      </c>
      <c r="K211" s="22">
        <v>44755.631806668382</v>
      </c>
      <c r="L211" s="22">
        <v>77764.627621341948</v>
      </c>
      <c r="M211" s="22">
        <v>99477.708548995943</v>
      </c>
      <c r="N211" s="22">
        <v>111478.98973508245</v>
      </c>
      <c r="O211" s="22">
        <v>115628.41278549013</v>
      </c>
      <c r="P211" s="22">
        <v>114534.13924478496</v>
      </c>
      <c r="Q211" s="22">
        <v>108307.41243616087</v>
      </c>
      <c r="R211" s="22">
        <v>96718.812390604144</v>
      </c>
      <c r="S211" s="22">
        <v>76384.048956140425</v>
      </c>
      <c r="T211" s="22">
        <v>43821.857985777868</v>
      </c>
      <c r="U211" s="22">
        <v>101585.33045840538</v>
      </c>
      <c r="V211" s="22">
        <v>101585.33045840538</v>
      </c>
      <c r="W211" s="22">
        <v>101585.33045840538</v>
      </c>
      <c r="X211" s="22">
        <v>101585.33045840538</v>
      </c>
      <c r="Y211" s="22">
        <v>101585.33045840538</v>
      </c>
      <c r="Z211" s="22">
        <v>101585.33045840538</v>
      </c>
      <c r="AA211" s="23">
        <v>101585.33045840538</v>
      </c>
      <c r="AB211" s="97"/>
      <c r="AC211" s="24">
        <v>4</v>
      </c>
      <c r="AD211" s="16">
        <f t="shared" si="68"/>
        <v>7110973.1320883781</v>
      </c>
    </row>
    <row r="212" spans="1:30" ht="13.5" thickBot="1" x14ac:dyDescent="0.35">
      <c r="A212" s="18">
        <v>2031</v>
      </c>
      <c r="B212" s="25" t="s">
        <v>43</v>
      </c>
      <c r="C212" s="26" t="s">
        <v>36</v>
      </c>
      <c r="D212" s="21">
        <v>25396.332614601346</v>
      </c>
      <c r="E212" s="22">
        <v>25396.332614601346</v>
      </c>
      <c r="F212" s="22">
        <v>25396.332614601346</v>
      </c>
      <c r="G212" s="22">
        <v>25396.332614601346</v>
      </c>
      <c r="H212" s="22">
        <v>25396.332614601346</v>
      </c>
      <c r="I212" s="22">
        <v>25396.332614601346</v>
      </c>
      <c r="J212" s="22">
        <v>25396.332614601346</v>
      </c>
      <c r="K212" s="22">
        <v>44755.631806668382</v>
      </c>
      <c r="L212" s="22">
        <v>77764.627621341948</v>
      </c>
      <c r="M212" s="22">
        <v>99477.708548995943</v>
      </c>
      <c r="N212" s="22">
        <v>111478.98973508245</v>
      </c>
      <c r="O212" s="22">
        <v>115628.41278549013</v>
      </c>
      <c r="P212" s="22">
        <v>114534.13924478496</v>
      </c>
      <c r="Q212" s="22">
        <v>108307.41243616087</v>
      </c>
      <c r="R212" s="22">
        <v>96718.812390604144</v>
      </c>
      <c r="S212" s="22">
        <v>76384.048956140425</v>
      </c>
      <c r="T212" s="22">
        <v>43821.857985777868</v>
      </c>
      <c r="U212" s="22">
        <v>101585.33045840538</v>
      </c>
      <c r="V212" s="22">
        <v>101585.33045840538</v>
      </c>
      <c r="W212" s="22">
        <v>101585.33045840538</v>
      </c>
      <c r="X212" s="22">
        <v>101585.33045840538</v>
      </c>
      <c r="Y212" s="22">
        <v>101585.33045840538</v>
      </c>
      <c r="Z212" s="22">
        <v>101585.33045840538</v>
      </c>
      <c r="AA212" s="23">
        <v>101585.33045840538</v>
      </c>
      <c r="AB212" s="97"/>
      <c r="AC212" s="27">
        <v>4</v>
      </c>
      <c r="AD212" s="16">
        <f t="shared" si="68"/>
        <v>7110973.1320883781</v>
      </c>
    </row>
    <row r="213" spans="1:30" ht="13.5" thickBot="1" x14ac:dyDescent="0.35">
      <c r="A213" s="18">
        <v>2031</v>
      </c>
      <c r="B213" s="11" t="s">
        <v>44</v>
      </c>
      <c r="C213" s="12" t="s">
        <v>33</v>
      </c>
      <c r="D213" s="21">
        <v>25396.332614601353</v>
      </c>
      <c r="E213" s="22">
        <v>25396.332614601353</v>
      </c>
      <c r="F213" s="22">
        <v>25396.332614601353</v>
      </c>
      <c r="G213" s="22">
        <v>25396.332614601353</v>
      </c>
      <c r="H213" s="22">
        <v>25396.332614601353</v>
      </c>
      <c r="I213" s="22">
        <v>25396.332614601353</v>
      </c>
      <c r="J213" s="22">
        <v>25396.332614601353</v>
      </c>
      <c r="K213" s="22">
        <v>44755.631806668367</v>
      </c>
      <c r="L213" s="22">
        <v>77764.627621341948</v>
      </c>
      <c r="M213" s="22">
        <v>99477.708548995914</v>
      </c>
      <c r="N213" s="22">
        <v>111478.98973508245</v>
      </c>
      <c r="O213" s="22">
        <v>115628.41278549009</v>
      </c>
      <c r="P213" s="22">
        <v>114534.13924478502</v>
      </c>
      <c r="Q213" s="22">
        <v>108307.4124361609</v>
      </c>
      <c r="R213" s="22">
        <v>96718.812390604115</v>
      </c>
      <c r="S213" s="22">
        <v>76384.048956140425</v>
      </c>
      <c r="T213" s="22">
        <v>43821.85798577789</v>
      </c>
      <c r="U213" s="22">
        <v>101585.33045840541</v>
      </c>
      <c r="V213" s="22">
        <v>101585.33045840541</v>
      </c>
      <c r="W213" s="22">
        <v>101585.33045840541</v>
      </c>
      <c r="X213" s="22">
        <v>101585.33045840541</v>
      </c>
      <c r="Y213" s="22">
        <v>101585.33045840541</v>
      </c>
      <c r="Z213" s="22">
        <v>101585.33045840541</v>
      </c>
      <c r="AA213" s="23">
        <v>101585.33045840541</v>
      </c>
      <c r="AB213" s="96">
        <f t="shared" ref="AB213" si="73">+SUM(D213:AA213)*AC213+SUM(D214:AA214)*AC214+SUM(D215:AA215)*AC215</f>
        <v>55110041.773684919</v>
      </c>
      <c r="AC213" s="16">
        <v>22</v>
      </c>
      <c r="AD213" s="16">
        <f t="shared" si="68"/>
        <v>39110352.226486072</v>
      </c>
    </row>
    <row r="214" spans="1:30" ht="13.5" thickBot="1" x14ac:dyDescent="0.35">
      <c r="A214" s="18">
        <v>2031</v>
      </c>
      <c r="B214" s="19" t="s">
        <v>44</v>
      </c>
      <c r="C214" s="20" t="s">
        <v>50</v>
      </c>
      <c r="D214" s="21">
        <v>25396.332614601346</v>
      </c>
      <c r="E214" s="22">
        <v>25396.332614601346</v>
      </c>
      <c r="F214" s="22">
        <v>25396.332614601346</v>
      </c>
      <c r="G214" s="22">
        <v>25396.332614601346</v>
      </c>
      <c r="H214" s="22">
        <v>25396.332614601346</v>
      </c>
      <c r="I214" s="22">
        <v>25396.332614601346</v>
      </c>
      <c r="J214" s="22">
        <v>25396.332614601346</v>
      </c>
      <c r="K214" s="22">
        <v>44755.631806668382</v>
      </c>
      <c r="L214" s="22">
        <v>77764.627621341948</v>
      </c>
      <c r="M214" s="22">
        <v>99477.708548995943</v>
      </c>
      <c r="N214" s="22">
        <v>111478.98973508245</v>
      </c>
      <c r="O214" s="22">
        <v>115628.41278549013</v>
      </c>
      <c r="P214" s="22">
        <v>114534.13924478496</v>
      </c>
      <c r="Q214" s="22">
        <v>108307.41243616087</v>
      </c>
      <c r="R214" s="22">
        <v>96718.812390604144</v>
      </c>
      <c r="S214" s="22">
        <v>76384.048956140425</v>
      </c>
      <c r="T214" s="22">
        <v>43821.857985777868</v>
      </c>
      <c r="U214" s="22">
        <v>101585.33045840538</v>
      </c>
      <c r="V214" s="22">
        <v>101585.33045840538</v>
      </c>
      <c r="W214" s="22">
        <v>101585.33045840538</v>
      </c>
      <c r="X214" s="22">
        <v>101585.33045840538</v>
      </c>
      <c r="Y214" s="22">
        <v>101585.33045840538</v>
      </c>
      <c r="Z214" s="22">
        <v>101585.33045840538</v>
      </c>
      <c r="AA214" s="23">
        <v>101585.33045840538</v>
      </c>
      <c r="AB214" s="97"/>
      <c r="AC214" s="24">
        <v>4</v>
      </c>
      <c r="AD214" s="16">
        <f t="shared" si="68"/>
        <v>7110973.1320883781</v>
      </c>
    </row>
    <row r="215" spans="1:30" ht="13.5" thickBot="1" x14ac:dyDescent="0.35">
      <c r="A215" s="18">
        <v>2031</v>
      </c>
      <c r="B215" s="25" t="s">
        <v>44</v>
      </c>
      <c r="C215" s="26" t="s">
        <v>36</v>
      </c>
      <c r="D215" s="21">
        <v>25396.332614601346</v>
      </c>
      <c r="E215" s="22">
        <v>25396.332614601346</v>
      </c>
      <c r="F215" s="22">
        <v>25396.332614601346</v>
      </c>
      <c r="G215" s="22">
        <v>25396.332614601346</v>
      </c>
      <c r="H215" s="22">
        <v>25396.332614601346</v>
      </c>
      <c r="I215" s="22">
        <v>25396.332614601346</v>
      </c>
      <c r="J215" s="22">
        <v>25396.332614601346</v>
      </c>
      <c r="K215" s="22">
        <v>44755.631806668382</v>
      </c>
      <c r="L215" s="22">
        <v>77764.627621341948</v>
      </c>
      <c r="M215" s="22">
        <v>99477.708548995943</v>
      </c>
      <c r="N215" s="22">
        <v>111478.98973508245</v>
      </c>
      <c r="O215" s="22">
        <v>115628.41278549013</v>
      </c>
      <c r="P215" s="22">
        <v>114534.13924478498</v>
      </c>
      <c r="Q215" s="22">
        <v>108307.41243616087</v>
      </c>
      <c r="R215" s="22">
        <v>96718.812390604144</v>
      </c>
      <c r="S215" s="22">
        <v>76384.048956140425</v>
      </c>
      <c r="T215" s="22">
        <v>43821.857985777868</v>
      </c>
      <c r="U215" s="22">
        <v>101585.33045840538</v>
      </c>
      <c r="V215" s="22">
        <v>101585.33045840538</v>
      </c>
      <c r="W215" s="22">
        <v>101585.33045840538</v>
      </c>
      <c r="X215" s="22">
        <v>101585.33045840538</v>
      </c>
      <c r="Y215" s="22">
        <v>101585.33045840538</v>
      </c>
      <c r="Z215" s="22">
        <v>101585.33045840538</v>
      </c>
      <c r="AA215" s="23">
        <v>101585.33045840538</v>
      </c>
      <c r="AB215" s="97"/>
      <c r="AC215" s="27">
        <v>5</v>
      </c>
      <c r="AD215" s="16">
        <f t="shared" si="68"/>
        <v>8888716.4151104726</v>
      </c>
    </row>
    <row r="216" spans="1:30" ht="13.5" thickBot="1" x14ac:dyDescent="0.35">
      <c r="A216" s="18">
        <v>2031</v>
      </c>
      <c r="B216" s="11" t="s">
        <v>45</v>
      </c>
      <c r="C216" s="12" t="s">
        <v>33</v>
      </c>
      <c r="D216" s="21">
        <v>25396.332614601353</v>
      </c>
      <c r="E216" s="22">
        <v>25396.332614601353</v>
      </c>
      <c r="F216" s="22">
        <v>25396.332614601353</v>
      </c>
      <c r="G216" s="22">
        <v>25396.332614601353</v>
      </c>
      <c r="H216" s="22">
        <v>25396.332614601353</v>
      </c>
      <c r="I216" s="22">
        <v>25396.332614601353</v>
      </c>
      <c r="J216" s="22">
        <v>25396.332614601353</v>
      </c>
      <c r="K216" s="22">
        <v>44755.631806668367</v>
      </c>
      <c r="L216" s="22">
        <v>77764.627621341948</v>
      </c>
      <c r="M216" s="22">
        <v>99477.708548995914</v>
      </c>
      <c r="N216" s="22">
        <v>111478.98973508248</v>
      </c>
      <c r="O216" s="22">
        <v>115628.4127854901</v>
      </c>
      <c r="P216" s="22">
        <v>114534.13924478501</v>
      </c>
      <c r="Q216" s="22">
        <v>108307.4124361609</v>
      </c>
      <c r="R216" s="22">
        <v>96718.812390604115</v>
      </c>
      <c r="S216" s="22">
        <v>76384.048956140425</v>
      </c>
      <c r="T216" s="22">
        <v>43821.857985777882</v>
      </c>
      <c r="U216" s="22">
        <v>101585.33045840541</v>
      </c>
      <c r="V216" s="22">
        <v>101585.33045840541</v>
      </c>
      <c r="W216" s="22">
        <v>101585.33045840541</v>
      </c>
      <c r="X216" s="22">
        <v>101585.33045840541</v>
      </c>
      <c r="Y216" s="22">
        <v>101585.33045840541</v>
      </c>
      <c r="Z216" s="22">
        <v>101585.33045840541</v>
      </c>
      <c r="AA216" s="23">
        <v>101585.33045840541</v>
      </c>
      <c r="AB216" s="96">
        <f t="shared" ref="AB216" si="74">+SUM(D216:AA216)*AC216+SUM(D217:AA217)*AC217+SUM(D218:AA218)*AC218</f>
        <v>53332298.490662843</v>
      </c>
      <c r="AC216" s="16">
        <v>18</v>
      </c>
      <c r="AD216" s="16">
        <f t="shared" si="68"/>
        <v>31999379.094397701</v>
      </c>
    </row>
    <row r="217" spans="1:30" ht="13.5" thickBot="1" x14ac:dyDescent="0.35">
      <c r="A217" s="18">
        <v>2031</v>
      </c>
      <c r="B217" s="19" t="s">
        <v>45</v>
      </c>
      <c r="C217" s="20" t="s">
        <v>50</v>
      </c>
      <c r="D217" s="21">
        <v>25396.332614601346</v>
      </c>
      <c r="E217" s="22">
        <v>25396.332614601346</v>
      </c>
      <c r="F217" s="22">
        <v>25396.332614601346</v>
      </c>
      <c r="G217" s="22">
        <v>25396.332614601346</v>
      </c>
      <c r="H217" s="22">
        <v>25396.332614601346</v>
      </c>
      <c r="I217" s="22">
        <v>25396.332614601346</v>
      </c>
      <c r="J217" s="22">
        <v>25396.332614601346</v>
      </c>
      <c r="K217" s="22">
        <v>44755.631806668382</v>
      </c>
      <c r="L217" s="22">
        <v>77764.627621341948</v>
      </c>
      <c r="M217" s="22">
        <v>99477.708548995943</v>
      </c>
      <c r="N217" s="22">
        <v>111478.98973508245</v>
      </c>
      <c r="O217" s="22">
        <v>115628.41278549013</v>
      </c>
      <c r="P217" s="22">
        <v>114534.13924478498</v>
      </c>
      <c r="Q217" s="22">
        <v>108307.41243616087</v>
      </c>
      <c r="R217" s="22">
        <v>96718.812390604144</v>
      </c>
      <c r="S217" s="22">
        <v>76384.048956140425</v>
      </c>
      <c r="T217" s="22">
        <v>43821.857985777868</v>
      </c>
      <c r="U217" s="22">
        <v>101585.33045840538</v>
      </c>
      <c r="V217" s="22">
        <v>101585.33045840538</v>
      </c>
      <c r="W217" s="22">
        <v>101585.33045840538</v>
      </c>
      <c r="X217" s="22">
        <v>101585.33045840538</v>
      </c>
      <c r="Y217" s="22">
        <v>101585.33045840538</v>
      </c>
      <c r="Z217" s="22">
        <v>101585.33045840538</v>
      </c>
      <c r="AA217" s="23">
        <v>101585.33045840538</v>
      </c>
      <c r="AB217" s="97"/>
      <c r="AC217" s="24">
        <v>5</v>
      </c>
      <c r="AD217" s="16">
        <f t="shared" si="68"/>
        <v>8888716.4151104726</v>
      </c>
    </row>
    <row r="218" spans="1:30" ht="13.5" thickBot="1" x14ac:dyDescent="0.35">
      <c r="A218" s="18">
        <v>2031</v>
      </c>
      <c r="B218" s="25" t="s">
        <v>45</v>
      </c>
      <c r="C218" s="26" t="s">
        <v>36</v>
      </c>
      <c r="D218" s="21">
        <v>25396.33261460135</v>
      </c>
      <c r="E218" s="22">
        <v>25396.33261460135</v>
      </c>
      <c r="F218" s="22">
        <v>25396.33261460135</v>
      </c>
      <c r="G218" s="22">
        <v>25396.33261460135</v>
      </c>
      <c r="H218" s="22">
        <v>25396.33261460135</v>
      </c>
      <c r="I218" s="22">
        <v>25396.33261460135</v>
      </c>
      <c r="J218" s="22">
        <v>25396.33261460135</v>
      </c>
      <c r="K218" s="22">
        <v>44755.631806668374</v>
      </c>
      <c r="L218" s="22">
        <v>77764.627621341948</v>
      </c>
      <c r="M218" s="22">
        <v>99477.708548995928</v>
      </c>
      <c r="N218" s="22">
        <v>111478.98973508246</v>
      </c>
      <c r="O218" s="22">
        <v>115628.41278549015</v>
      </c>
      <c r="P218" s="22">
        <v>114534.13924478496</v>
      </c>
      <c r="Q218" s="22">
        <v>108307.41243616086</v>
      </c>
      <c r="R218" s="22">
        <v>96718.812390604158</v>
      </c>
      <c r="S218" s="22">
        <v>76384.048956140425</v>
      </c>
      <c r="T218" s="22">
        <v>43821.85798577786</v>
      </c>
      <c r="U218" s="22">
        <v>101585.3304584054</v>
      </c>
      <c r="V218" s="22">
        <v>101585.3304584054</v>
      </c>
      <c r="W218" s="22">
        <v>101585.3304584054</v>
      </c>
      <c r="X218" s="22">
        <v>101585.3304584054</v>
      </c>
      <c r="Y218" s="22">
        <v>101585.3304584054</v>
      </c>
      <c r="Z218" s="22">
        <v>101585.3304584054</v>
      </c>
      <c r="AA218" s="23">
        <v>101585.3304584054</v>
      </c>
      <c r="AB218" s="97"/>
      <c r="AC218" s="27">
        <v>7</v>
      </c>
      <c r="AD218" s="16">
        <f t="shared" si="68"/>
        <v>12444202.981154662</v>
      </c>
    </row>
    <row r="219" spans="1:30" ht="13.5" thickBot="1" x14ac:dyDescent="0.35">
      <c r="A219" s="18">
        <v>2031</v>
      </c>
      <c r="B219" s="11" t="s">
        <v>46</v>
      </c>
      <c r="C219" s="12" t="s">
        <v>33</v>
      </c>
      <c r="D219" s="21">
        <v>25396.33261460135</v>
      </c>
      <c r="E219" s="22">
        <v>25396.33261460135</v>
      </c>
      <c r="F219" s="22">
        <v>25396.33261460135</v>
      </c>
      <c r="G219" s="22">
        <v>25396.33261460135</v>
      </c>
      <c r="H219" s="22">
        <v>25396.33261460135</v>
      </c>
      <c r="I219" s="22">
        <v>25396.33261460135</v>
      </c>
      <c r="J219" s="22">
        <v>25396.33261460135</v>
      </c>
      <c r="K219" s="22">
        <v>44755.631806668367</v>
      </c>
      <c r="L219" s="22">
        <v>77764.627621341948</v>
      </c>
      <c r="M219" s="22">
        <v>99477.708548995914</v>
      </c>
      <c r="N219" s="22">
        <v>111478.98973508246</v>
      </c>
      <c r="O219" s="22">
        <v>115628.41278549009</v>
      </c>
      <c r="P219" s="22">
        <v>114534.13924478502</v>
      </c>
      <c r="Q219" s="22">
        <v>108307.4124361609</v>
      </c>
      <c r="R219" s="22">
        <v>96718.812390604115</v>
      </c>
      <c r="S219" s="22">
        <v>76384.048956140425</v>
      </c>
      <c r="T219" s="22">
        <v>43821.857985777882</v>
      </c>
      <c r="U219" s="22">
        <v>101585.3304584054</v>
      </c>
      <c r="V219" s="22">
        <v>101585.3304584054</v>
      </c>
      <c r="W219" s="22">
        <v>101585.3304584054</v>
      </c>
      <c r="X219" s="22">
        <v>101585.3304584054</v>
      </c>
      <c r="Y219" s="22">
        <v>101585.3304584054</v>
      </c>
      <c r="Z219" s="22">
        <v>101585.3304584054</v>
      </c>
      <c r="AA219" s="23">
        <v>101585.3304584054</v>
      </c>
      <c r="AB219" s="96">
        <f t="shared" ref="AB219" si="75">+SUM(D219:AA219)*AC219+SUM(D220:AA220)*AC220+SUM(D221:AA221)*AC221</f>
        <v>55110041.773684926</v>
      </c>
      <c r="AC219" s="16">
        <v>21</v>
      </c>
      <c r="AD219" s="16">
        <f t="shared" si="68"/>
        <v>37332608.943463981</v>
      </c>
    </row>
    <row r="220" spans="1:30" ht="13.5" thickBot="1" x14ac:dyDescent="0.35">
      <c r="A220" s="18">
        <v>2031</v>
      </c>
      <c r="B220" s="19" t="s">
        <v>46</v>
      </c>
      <c r="C220" s="20" t="s">
        <v>50</v>
      </c>
      <c r="D220" s="21">
        <v>25396.332614601346</v>
      </c>
      <c r="E220" s="22">
        <v>25396.332614601346</v>
      </c>
      <c r="F220" s="22">
        <v>25396.332614601346</v>
      </c>
      <c r="G220" s="22">
        <v>25396.332614601346</v>
      </c>
      <c r="H220" s="22">
        <v>25396.332614601346</v>
      </c>
      <c r="I220" s="22">
        <v>25396.332614601346</v>
      </c>
      <c r="J220" s="22">
        <v>25396.332614601346</v>
      </c>
      <c r="K220" s="22">
        <v>44755.631806668382</v>
      </c>
      <c r="L220" s="22">
        <v>77764.627621341948</v>
      </c>
      <c r="M220" s="22">
        <v>99477.708548995943</v>
      </c>
      <c r="N220" s="22">
        <v>111478.98973508245</v>
      </c>
      <c r="O220" s="22">
        <v>115628.41278549013</v>
      </c>
      <c r="P220" s="22">
        <v>114534.13924478496</v>
      </c>
      <c r="Q220" s="22">
        <v>108307.41243616087</v>
      </c>
      <c r="R220" s="22">
        <v>96718.812390604144</v>
      </c>
      <c r="S220" s="22">
        <v>76384.048956140425</v>
      </c>
      <c r="T220" s="22">
        <v>43821.857985777868</v>
      </c>
      <c r="U220" s="22">
        <v>101585.33045840538</v>
      </c>
      <c r="V220" s="22">
        <v>101585.33045840538</v>
      </c>
      <c r="W220" s="22">
        <v>101585.33045840538</v>
      </c>
      <c r="X220" s="22">
        <v>101585.33045840538</v>
      </c>
      <c r="Y220" s="22">
        <v>101585.33045840538</v>
      </c>
      <c r="Z220" s="22">
        <v>101585.33045840538</v>
      </c>
      <c r="AA220" s="23">
        <v>101585.33045840538</v>
      </c>
      <c r="AB220" s="97"/>
      <c r="AC220" s="24">
        <v>4</v>
      </c>
      <c r="AD220" s="16">
        <f t="shared" si="68"/>
        <v>7110973.1320883781</v>
      </c>
    </row>
    <row r="221" spans="1:30" ht="13.5" thickBot="1" x14ac:dyDescent="0.35">
      <c r="A221" s="28">
        <v>2031</v>
      </c>
      <c r="B221" s="25" t="s">
        <v>46</v>
      </c>
      <c r="C221" s="26" t="s">
        <v>36</v>
      </c>
      <c r="D221" s="29">
        <v>25396.332614601346</v>
      </c>
      <c r="E221" s="30">
        <v>25396.332614601346</v>
      </c>
      <c r="F221" s="30">
        <v>25396.332614601346</v>
      </c>
      <c r="G221" s="30">
        <v>25396.332614601346</v>
      </c>
      <c r="H221" s="30">
        <v>25396.332614601346</v>
      </c>
      <c r="I221" s="30">
        <v>25396.332614601346</v>
      </c>
      <c r="J221" s="30">
        <v>25396.332614601346</v>
      </c>
      <c r="K221" s="30">
        <v>44755.631806668382</v>
      </c>
      <c r="L221" s="30">
        <v>77764.627621341948</v>
      </c>
      <c r="M221" s="30">
        <v>99477.708548995943</v>
      </c>
      <c r="N221" s="30">
        <v>111478.98973508245</v>
      </c>
      <c r="O221" s="30">
        <v>115628.41278549015</v>
      </c>
      <c r="P221" s="30">
        <v>114534.13924478496</v>
      </c>
      <c r="Q221" s="30">
        <v>108307.41243616086</v>
      </c>
      <c r="R221" s="30">
        <v>96718.812390604158</v>
      </c>
      <c r="S221" s="30">
        <v>76384.048956140425</v>
      </c>
      <c r="T221" s="30">
        <v>43821.857985777868</v>
      </c>
      <c r="U221" s="30">
        <v>101585.33045840538</v>
      </c>
      <c r="V221" s="30">
        <v>101585.33045840538</v>
      </c>
      <c r="W221" s="30">
        <v>101585.33045840538</v>
      </c>
      <c r="X221" s="30">
        <v>101585.33045840538</v>
      </c>
      <c r="Y221" s="30">
        <v>101585.33045840538</v>
      </c>
      <c r="Z221" s="30">
        <v>101585.33045840538</v>
      </c>
      <c r="AA221" s="31">
        <v>101585.33045840538</v>
      </c>
      <c r="AB221" s="97"/>
      <c r="AC221" s="27">
        <v>6</v>
      </c>
      <c r="AD221" s="42">
        <f t="shared" si="68"/>
        <v>10666459.698132567</v>
      </c>
    </row>
    <row r="222" spans="1:30" ht="13.5" thickBot="1" x14ac:dyDescent="0.35">
      <c r="A222" s="10">
        <v>2032</v>
      </c>
      <c r="B222" s="11" t="s">
        <v>32</v>
      </c>
      <c r="C222" s="12" t="s">
        <v>33</v>
      </c>
      <c r="D222" s="13">
        <v>26503.142472522868</v>
      </c>
      <c r="E222" s="14">
        <v>26503.142472522868</v>
      </c>
      <c r="F222" s="14">
        <v>26503.142472522868</v>
      </c>
      <c r="G222" s="14">
        <v>26503.142472522868</v>
      </c>
      <c r="H222" s="14">
        <v>26503.142472522868</v>
      </c>
      <c r="I222" s="14">
        <v>26503.142472522868</v>
      </c>
      <c r="J222" s="14">
        <v>26503.142472522868</v>
      </c>
      <c r="K222" s="14">
        <v>46706.148648326322</v>
      </c>
      <c r="L222" s="14">
        <v>81153.725478700071</v>
      </c>
      <c r="M222" s="14">
        <v>103813.09469062227</v>
      </c>
      <c r="N222" s="14">
        <v>116337.40951806263</v>
      </c>
      <c r="O222" s="14">
        <v>120667.67058183908</v>
      </c>
      <c r="P222" s="14">
        <v>119525.70697656852</v>
      </c>
      <c r="Q222" s="14">
        <v>113027.61017453021</v>
      </c>
      <c r="R222" s="14">
        <v>100933.96174405208</v>
      </c>
      <c r="S222" s="14">
        <v>79712.979146793688</v>
      </c>
      <c r="T222" s="14">
        <v>45731.679578806266</v>
      </c>
      <c r="U222" s="14">
        <v>106012.56989009147</v>
      </c>
      <c r="V222" s="14">
        <v>106012.56989009147</v>
      </c>
      <c r="W222" s="14">
        <v>106012.56989009147</v>
      </c>
      <c r="X222" s="14">
        <v>106012.56989009147</v>
      </c>
      <c r="Y222" s="14">
        <v>106012.56989009147</v>
      </c>
      <c r="Z222" s="14">
        <v>106012.56989009147</v>
      </c>
      <c r="AA222" s="15">
        <v>106012.56989009147</v>
      </c>
      <c r="AB222" s="96">
        <f t="shared" ref="AB222" si="76">+SUM(D222:AA222)*AC222+SUM(D223:AA223)*AC223+SUM(D224:AA224)*AC224</f>
        <v>57511819.165374637</v>
      </c>
      <c r="AC222" s="16">
        <v>20</v>
      </c>
      <c r="AD222" s="16">
        <f t="shared" si="68"/>
        <v>37104399.461532027</v>
      </c>
    </row>
    <row r="223" spans="1:30" ht="13.5" thickBot="1" x14ac:dyDescent="0.35">
      <c r="A223" s="18">
        <v>2032</v>
      </c>
      <c r="B223" s="19" t="s">
        <v>32</v>
      </c>
      <c r="C223" s="20" t="s">
        <v>50</v>
      </c>
      <c r="D223" s="21">
        <v>26503.142472522879</v>
      </c>
      <c r="E223" s="22">
        <v>26503.142472522879</v>
      </c>
      <c r="F223" s="22">
        <v>26503.142472522879</v>
      </c>
      <c r="G223" s="22">
        <v>26503.142472522879</v>
      </c>
      <c r="H223" s="22">
        <v>26503.142472522879</v>
      </c>
      <c r="I223" s="22">
        <v>26503.142472522879</v>
      </c>
      <c r="J223" s="22">
        <v>26503.142472522879</v>
      </c>
      <c r="K223" s="22">
        <v>46706.148648326343</v>
      </c>
      <c r="L223" s="22">
        <v>81153.725478700057</v>
      </c>
      <c r="M223" s="22">
        <v>103813.09469062224</v>
      </c>
      <c r="N223" s="22">
        <v>116337.40951806263</v>
      </c>
      <c r="O223" s="22">
        <v>120667.67058183909</v>
      </c>
      <c r="P223" s="22">
        <v>119525.70697656853</v>
      </c>
      <c r="Q223" s="22">
        <v>113027.61017453021</v>
      </c>
      <c r="R223" s="22">
        <v>100933.96174405205</v>
      </c>
      <c r="S223" s="22">
        <v>79712.979146793659</v>
      </c>
      <c r="T223" s="22">
        <v>45731.679578806259</v>
      </c>
      <c r="U223" s="22">
        <v>106012.56989009152</v>
      </c>
      <c r="V223" s="22">
        <v>106012.56989009152</v>
      </c>
      <c r="W223" s="22">
        <v>106012.56989009152</v>
      </c>
      <c r="X223" s="22">
        <v>106012.56989009152</v>
      </c>
      <c r="Y223" s="22">
        <v>106012.56989009152</v>
      </c>
      <c r="Z223" s="22">
        <v>106012.56989009152</v>
      </c>
      <c r="AA223" s="23">
        <v>106012.56989009152</v>
      </c>
      <c r="AB223" s="97"/>
      <c r="AC223" s="24">
        <v>5</v>
      </c>
      <c r="AD223" s="16">
        <f t="shared" si="68"/>
        <v>9276099.8653830066</v>
      </c>
    </row>
    <row r="224" spans="1:30" ht="13.5" thickBot="1" x14ac:dyDescent="0.35">
      <c r="A224" s="18">
        <v>2032</v>
      </c>
      <c r="B224" s="25" t="s">
        <v>32</v>
      </c>
      <c r="C224" s="26" t="s">
        <v>36</v>
      </c>
      <c r="D224" s="21">
        <v>26503.142472522883</v>
      </c>
      <c r="E224" s="22">
        <v>26503.142472522883</v>
      </c>
      <c r="F224" s="22">
        <v>26503.142472522883</v>
      </c>
      <c r="G224" s="22">
        <v>26503.142472522883</v>
      </c>
      <c r="H224" s="22">
        <v>26503.142472522883</v>
      </c>
      <c r="I224" s="22">
        <v>26503.142472522883</v>
      </c>
      <c r="J224" s="22">
        <v>26503.142472522883</v>
      </c>
      <c r="K224" s="22">
        <v>46706.148648326343</v>
      </c>
      <c r="L224" s="22">
        <v>81153.725478700057</v>
      </c>
      <c r="M224" s="22">
        <v>103813.09469062224</v>
      </c>
      <c r="N224" s="22">
        <v>116337.40951806262</v>
      </c>
      <c r="O224" s="22">
        <v>120667.67058183909</v>
      </c>
      <c r="P224" s="22">
        <v>119525.70697656854</v>
      </c>
      <c r="Q224" s="22">
        <v>113027.6101745302</v>
      </c>
      <c r="R224" s="22">
        <v>100933.96174405205</v>
      </c>
      <c r="S224" s="22">
        <v>79712.979146793659</v>
      </c>
      <c r="T224" s="22">
        <v>45731.679578806266</v>
      </c>
      <c r="U224" s="22">
        <v>106012.56989009153</v>
      </c>
      <c r="V224" s="22">
        <v>106012.56989009153</v>
      </c>
      <c r="W224" s="22">
        <v>106012.56989009153</v>
      </c>
      <c r="X224" s="22">
        <v>106012.56989009153</v>
      </c>
      <c r="Y224" s="22">
        <v>106012.56989009153</v>
      </c>
      <c r="Z224" s="22">
        <v>106012.56989009153</v>
      </c>
      <c r="AA224" s="23">
        <v>106012.56989009153</v>
      </c>
      <c r="AB224" s="97"/>
      <c r="AC224" s="27">
        <v>6</v>
      </c>
      <c r="AD224" s="16">
        <f t="shared" si="68"/>
        <v>11131319.838459607</v>
      </c>
    </row>
    <row r="225" spans="1:30" ht="13.5" thickBot="1" x14ac:dyDescent="0.35">
      <c r="A225" s="18">
        <v>2032</v>
      </c>
      <c r="B225" s="11" t="s">
        <v>35</v>
      </c>
      <c r="C225" s="12" t="s">
        <v>33</v>
      </c>
      <c r="D225" s="21">
        <v>26503.142472522868</v>
      </c>
      <c r="E225" s="22">
        <v>26503.142472522868</v>
      </c>
      <c r="F225" s="22">
        <v>26503.142472522868</v>
      </c>
      <c r="G225" s="22">
        <v>26503.142472522868</v>
      </c>
      <c r="H225" s="22">
        <v>26503.142472522868</v>
      </c>
      <c r="I225" s="22">
        <v>26503.142472522868</v>
      </c>
      <c r="J225" s="22">
        <v>26503.142472522868</v>
      </c>
      <c r="K225" s="22">
        <v>46706.148648326322</v>
      </c>
      <c r="L225" s="22">
        <v>81153.725478700071</v>
      </c>
      <c r="M225" s="22">
        <v>103813.09469062227</v>
      </c>
      <c r="N225" s="22">
        <v>116337.40951806263</v>
      </c>
      <c r="O225" s="22">
        <v>120667.67058183908</v>
      </c>
      <c r="P225" s="22">
        <v>119525.70697656852</v>
      </c>
      <c r="Q225" s="22">
        <v>113027.61017453021</v>
      </c>
      <c r="R225" s="22">
        <v>100933.96174405208</v>
      </c>
      <c r="S225" s="22">
        <v>79712.979146793688</v>
      </c>
      <c r="T225" s="22">
        <v>45731.679578806266</v>
      </c>
      <c r="U225" s="22">
        <v>106012.56989009147</v>
      </c>
      <c r="V225" s="22">
        <v>106012.56989009147</v>
      </c>
      <c r="W225" s="22">
        <v>106012.56989009147</v>
      </c>
      <c r="X225" s="22">
        <v>106012.56989009147</v>
      </c>
      <c r="Y225" s="22">
        <v>106012.56989009147</v>
      </c>
      <c r="Z225" s="22">
        <v>106012.56989009147</v>
      </c>
      <c r="AA225" s="23">
        <v>106012.56989009147</v>
      </c>
      <c r="AB225" s="96">
        <f t="shared" ref="AB225" si="77">+SUM(D225:AA225)*AC225+SUM(D226:AA226)*AC226+SUM(D227:AA227)*AC227</f>
        <v>53801379.219221435</v>
      </c>
      <c r="AC225" s="16">
        <v>20</v>
      </c>
      <c r="AD225" s="16">
        <f t="shared" si="68"/>
        <v>37104399.461532027</v>
      </c>
    </row>
    <row r="226" spans="1:30" ht="13.5" thickBot="1" x14ac:dyDescent="0.35">
      <c r="A226" s="18">
        <v>2032</v>
      </c>
      <c r="B226" s="19" t="s">
        <v>35</v>
      </c>
      <c r="C226" s="20" t="s">
        <v>50</v>
      </c>
      <c r="D226" s="21">
        <v>26503.142472522883</v>
      </c>
      <c r="E226" s="22">
        <v>26503.142472522883</v>
      </c>
      <c r="F226" s="22">
        <v>26503.142472522883</v>
      </c>
      <c r="G226" s="22">
        <v>26503.142472522883</v>
      </c>
      <c r="H226" s="22">
        <v>26503.142472522883</v>
      </c>
      <c r="I226" s="22">
        <v>26503.142472522883</v>
      </c>
      <c r="J226" s="22">
        <v>26503.142472522883</v>
      </c>
      <c r="K226" s="22">
        <v>46706.148648326343</v>
      </c>
      <c r="L226" s="22">
        <v>81153.725478700057</v>
      </c>
      <c r="M226" s="22">
        <v>103813.09469062224</v>
      </c>
      <c r="N226" s="22">
        <v>116337.40951806263</v>
      </c>
      <c r="O226" s="22">
        <v>120667.67058183911</v>
      </c>
      <c r="P226" s="22">
        <v>119525.70697656853</v>
      </c>
      <c r="Q226" s="22">
        <v>113027.61017453021</v>
      </c>
      <c r="R226" s="22">
        <v>100933.96174405205</v>
      </c>
      <c r="S226" s="22">
        <v>79712.979146793659</v>
      </c>
      <c r="T226" s="22">
        <v>45731.679578806259</v>
      </c>
      <c r="U226" s="22">
        <v>106012.56989009153</v>
      </c>
      <c r="V226" s="22">
        <v>106012.56989009153</v>
      </c>
      <c r="W226" s="22">
        <v>106012.56989009153</v>
      </c>
      <c r="X226" s="22">
        <v>106012.56989009153</v>
      </c>
      <c r="Y226" s="22">
        <v>106012.56989009153</v>
      </c>
      <c r="Z226" s="22">
        <v>106012.56989009153</v>
      </c>
      <c r="AA226" s="23">
        <v>106012.56989009153</v>
      </c>
      <c r="AB226" s="97"/>
      <c r="AC226" s="24">
        <v>4</v>
      </c>
      <c r="AD226" s="16">
        <f t="shared" si="68"/>
        <v>7420879.8923064051</v>
      </c>
    </row>
    <row r="227" spans="1:30" ht="13.5" thickBot="1" x14ac:dyDescent="0.35">
      <c r="A227" s="18">
        <v>2032</v>
      </c>
      <c r="B227" s="25" t="s">
        <v>35</v>
      </c>
      <c r="C227" s="26" t="s">
        <v>36</v>
      </c>
      <c r="D227" s="21">
        <v>26503.142472522879</v>
      </c>
      <c r="E227" s="22">
        <v>26503.142472522879</v>
      </c>
      <c r="F227" s="22">
        <v>26503.142472522879</v>
      </c>
      <c r="G227" s="22">
        <v>26503.142472522879</v>
      </c>
      <c r="H227" s="22">
        <v>26503.142472522879</v>
      </c>
      <c r="I227" s="22">
        <v>26503.142472522879</v>
      </c>
      <c r="J227" s="22">
        <v>26503.142472522879</v>
      </c>
      <c r="K227" s="22">
        <v>46706.148648326343</v>
      </c>
      <c r="L227" s="22">
        <v>81153.725478700057</v>
      </c>
      <c r="M227" s="22">
        <v>103813.09469062224</v>
      </c>
      <c r="N227" s="22">
        <v>116337.40951806263</v>
      </c>
      <c r="O227" s="22">
        <v>120667.67058183909</v>
      </c>
      <c r="P227" s="22">
        <v>119525.70697656853</v>
      </c>
      <c r="Q227" s="22">
        <v>113027.61017453021</v>
      </c>
      <c r="R227" s="22">
        <v>100933.96174405205</v>
      </c>
      <c r="S227" s="22">
        <v>79712.979146793659</v>
      </c>
      <c r="T227" s="22">
        <v>45731.679578806259</v>
      </c>
      <c r="U227" s="22">
        <v>106012.56989009152</v>
      </c>
      <c r="V227" s="22">
        <v>106012.56989009152</v>
      </c>
      <c r="W227" s="22">
        <v>106012.56989009152</v>
      </c>
      <c r="X227" s="22">
        <v>106012.56989009152</v>
      </c>
      <c r="Y227" s="22">
        <v>106012.56989009152</v>
      </c>
      <c r="Z227" s="22">
        <v>106012.56989009152</v>
      </c>
      <c r="AA227" s="23">
        <v>106012.56989009152</v>
      </c>
      <c r="AB227" s="97"/>
      <c r="AC227" s="27">
        <v>5</v>
      </c>
      <c r="AD227" s="16">
        <f t="shared" si="68"/>
        <v>9276099.8653830066</v>
      </c>
    </row>
    <row r="228" spans="1:30" ht="13.5" thickBot="1" x14ac:dyDescent="0.35">
      <c r="A228" s="18">
        <v>2032</v>
      </c>
      <c r="B228" s="11" t="s">
        <v>37</v>
      </c>
      <c r="C228" s="12" t="s">
        <v>33</v>
      </c>
      <c r="D228" s="21">
        <v>26503.142472522868</v>
      </c>
      <c r="E228" s="22">
        <v>26503.142472522868</v>
      </c>
      <c r="F228" s="22">
        <v>26503.142472522868</v>
      </c>
      <c r="G228" s="22">
        <v>26503.142472522868</v>
      </c>
      <c r="H228" s="22">
        <v>26503.142472522868</v>
      </c>
      <c r="I228" s="22">
        <v>26503.142472522868</v>
      </c>
      <c r="J228" s="22">
        <v>26503.142472522868</v>
      </c>
      <c r="K228" s="22">
        <v>46706.148648326322</v>
      </c>
      <c r="L228" s="22">
        <v>81153.725478700071</v>
      </c>
      <c r="M228" s="22">
        <v>103813.09469062227</v>
      </c>
      <c r="N228" s="22">
        <v>116337.40951806263</v>
      </c>
      <c r="O228" s="22">
        <v>120667.67058183908</v>
      </c>
      <c r="P228" s="22">
        <v>119525.70697656852</v>
      </c>
      <c r="Q228" s="22">
        <v>113027.61017453021</v>
      </c>
      <c r="R228" s="22">
        <v>100933.96174405208</v>
      </c>
      <c r="S228" s="22">
        <v>79712.979146793688</v>
      </c>
      <c r="T228" s="22">
        <v>45731.679578806266</v>
      </c>
      <c r="U228" s="22">
        <v>106012.56989009147</v>
      </c>
      <c r="V228" s="22">
        <v>106012.56989009147</v>
      </c>
      <c r="W228" s="22">
        <v>106012.56989009147</v>
      </c>
      <c r="X228" s="22">
        <v>106012.56989009147</v>
      </c>
      <c r="Y228" s="22">
        <v>106012.56989009147</v>
      </c>
      <c r="Z228" s="22">
        <v>106012.56989009147</v>
      </c>
      <c r="AA228" s="23">
        <v>106012.56989009147</v>
      </c>
      <c r="AB228" s="96">
        <f t="shared" ref="AB228" si="78">+SUM(D228:AA228)*AC228+SUM(D229:AA229)*AC229+SUM(D230:AA230)*AC230</f>
        <v>57511819.165374637</v>
      </c>
      <c r="AC228" s="16">
        <v>20</v>
      </c>
      <c r="AD228" s="16">
        <f t="shared" si="68"/>
        <v>37104399.461532027</v>
      </c>
    </row>
    <row r="229" spans="1:30" ht="13.5" thickBot="1" x14ac:dyDescent="0.35">
      <c r="A229" s="18">
        <v>2032</v>
      </c>
      <c r="B229" s="19" t="s">
        <v>37</v>
      </c>
      <c r="C229" s="20" t="s">
        <v>50</v>
      </c>
      <c r="D229" s="21">
        <v>26503.142472522883</v>
      </c>
      <c r="E229" s="22">
        <v>26503.142472522883</v>
      </c>
      <c r="F229" s="22">
        <v>26503.142472522883</v>
      </c>
      <c r="G229" s="22">
        <v>26503.142472522883</v>
      </c>
      <c r="H229" s="22">
        <v>26503.142472522883</v>
      </c>
      <c r="I229" s="22">
        <v>26503.142472522883</v>
      </c>
      <c r="J229" s="22">
        <v>26503.142472522883</v>
      </c>
      <c r="K229" s="22">
        <v>46706.148648326343</v>
      </c>
      <c r="L229" s="22">
        <v>81153.725478700057</v>
      </c>
      <c r="M229" s="22">
        <v>103813.09469062224</v>
      </c>
      <c r="N229" s="22">
        <v>116337.40951806263</v>
      </c>
      <c r="O229" s="22">
        <v>120667.67058183911</v>
      </c>
      <c r="P229" s="22">
        <v>119525.70697656853</v>
      </c>
      <c r="Q229" s="22">
        <v>113027.61017453021</v>
      </c>
      <c r="R229" s="22">
        <v>100933.96174405205</v>
      </c>
      <c r="S229" s="22">
        <v>79712.979146793659</v>
      </c>
      <c r="T229" s="22">
        <v>45731.679578806259</v>
      </c>
      <c r="U229" s="22">
        <v>106012.56989009153</v>
      </c>
      <c r="V229" s="22">
        <v>106012.56989009153</v>
      </c>
      <c r="W229" s="22">
        <v>106012.56989009153</v>
      </c>
      <c r="X229" s="22">
        <v>106012.56989009153</v>
      </c>
      <c r="Y229" s="22">
        <v>106012.56989009153</v>
      </c>
      <c r="Z229" s="22">
        <v>106012.56989009153</v>
      </c>
      <c r="AA229" s="23">
        <v>106012.56989009153</v>
      </c>
      <c r="AB229" s="97"/>
      <c r="AC229" s="24">
        <v>4</v>
      </c>
      <c r="AD229" s="16">
        <f t="shared" si="68"/>
        <v>7420879.8923064051</v>
      </c>
    </row>
    <row r="230" spans="1:30" ht="13.5" thickBot="1" x14ac:dyDescent="0.35">
      <c r="A230" s="18">
        <v>2032</v>
      </c>
      <c r="B230" s="25" t="s">
        <v>37</v>
      </c>
      <c r="C230" s="26" t="s">
        <v>36</v>
      </c>
      <c r="D230" s="21">
        <v>26503.142472522883</v>
      </c>
      <c r="E230" s="22">
        <v>26503.142472522883</v>
      </c>
      <c r="F230" s="22">
        <v>26503.142472522883</v>
      </c>
      <c r="G230" s="22">
        <v>26503.142472522883</v>
      </c>
      <c r="H230" s="22">
        <v>26503.142472522883</v>
      </c>
      <c r="I230" s="22">
        <v>26503.142472522883</v>
      </c>
      <c r="J230" s="22">
        <v>26503.142472522883</v>
      </c>
      <c r="K230" s="22">
        <v>46706.148648326343</v>
      </c>
      <c r="L230" s="22">
        <v>81153.725478700057</v>
      </c>
      <c r="M230" s="22">
        <v>103813.09469062222</v>
      </c>
      <c r="N230" s="22">
        <v>116337.40951806262</v>
      </c>
      <c r="O230" s="22">
        <v>120667.67058183908</v>
      </c>
      <c r="P230" s="22">
        <v>119525.70697656854</v>
      </c>
      <c r="Q230" s="22">
        <v>113027.6101745302</v>
      </c>
      <c r="R230" s="22">
        <v>100933.96174405204</v>
      </c>
      <c r="S230" s="22">
        <v>79712.979146793645</v>
      </c>
      <c r="T230" s="22">
        <v>45731.679578806266</v>
      </c>
      <c r="U230" s="22">
        <v>106012.56989009153</v>
      </c>
      <c r="V230" s="22">
        <v>106012.56989009153</v>
      </c>
      <c r="W230" s="22">
        <v>106012.56989009153</v>
      </c>
      <c r="X230" s="22">
        <v>106012.56989009153</v>
      </c>
      <c r="Y230" s="22">
        <v>106012.56989009153</v>
      </c>
      <c r="Z230" s="22">
        <v>106012.56989009153</v>
      </c>
      <c r="AA230" s="23">
        <v>106012.56989009153</v>
      </c>
      <c r="AB230" s="97"/>
      <c r="AC230" s="27">
        <v>7</v>
      </c>
      <c r="AD230" s="16">
        <f t="shared" si="68"/>
        <v>12986539.81153621</v>
      </c>
    </row>
    <row r="231" spans="1:30" ht="13.5" thickBot="1" x14ac:dyDescent="0.35">
      <c r="A231" s="18">
        <v>2032</v>
      </c>
      <c r="B231" s="11" t="s">
        <v>38</v>
      </c>
      <c r="C231" s="12" t="s">
        <v>33</v>
      </c>
      <c r="D231" s="21">
        <v>26503.142472522872</v>
      </c>
      <c r="E231" s="22">
        <v>26503.142472522872</v>
      </c>
      <c r="F231" s="22">
        <v>26503.142472522872</v>
      </c>
      <c r="G231" s="22">
        <v>26503.142472522872</v>
      </c>
      <c r="H231" s="22">
        <v>26503.142472522872</v>
      </c>
      <c r="I231" s="22">
        <v>26503.142472522872</v>
      </c>
      <c r="J231" s="22">
        <v>26503.142472522872</v>
      </c>
      <c r="K231" s="22">
        <v>46706.148648326314</v>
      </c>
      <c r="L231" s="22">
        <v>81153.725478700071</v>
      </c>
      <c r="M231" s="22">
        <v>103813.09469062228</v>
      </c>
      <c r="N231" s="22">
        <v>116337.40951806262</v>
      </c>
      <c r="O231" s="22">
        <v>120667.67058183906</v>
      </c>
      <c r="P231" s="22">
        <v>119525.7069765685</v>
      </c>
      <c r="Q231" s="22">
        <v>113027.6101745302</v>
      </c>
      <c r="R231" s="22">
        <v>100933.96174405207</v>
      </c>
      <c r="S231" s="22">
        <v>79712.979146793703</v>
      </c>
      <c r="T231" s="22">
        <v>45731.679578806266</v>
      </c>
      <c r="U231" s="22">
        <v>106012.56989009149</v>
      </c>
      <c r="V231" s="22">
        <v>106012.56989009149</v>
      </c>
      <c r="W231" s="22">
        <v>106012.56989009149</v>
      </c>
      <c r="X231" s="22">
        <v>106012.56989009149</v>
      </c>
      <c r="Y231" s="22">
        <v>106012.56989009149</v>
      </c>
      <c r="Z231" s="22">
        <v>106012.56989009149</v>
      </c>
      <c r="AA231" s="23">
        <v>106012.56989009149</v>
      </c>
      <c r="AB231" s="96">
        <f t="shared" ref="AB231" si="79">+SUM(D231:AA231)*AC231+SUM(D232:AA232)*AC232+SUM(D233:AA233)*AC233</f>
        <v>55656599.192298032</v>
      </c>
      <c r="AC231" s="16">
        <v>22</v>
      </c>
      <c r="AD231" s="16">
        <f t="shared" si="68"/>
        <v>40814839.407685228</v>
      </c>
    </row>
    <row r="232" spans="1:30" ht="13.5" thickBot="1" x14ac:dyDescent="0.35">
      <c r="A232" s="18">
        <v>2032</v>
      </c>
      <c r="B232" s="19" t="s">
        <v>38</v>
      </c>
      <c r="C232" s="20" t="s">
        <v>50</v>
      </c>
      <c r="D232" s="21">
        <v>26503.142472522883</v>
      </c>
      <c r="E232" s="22">
        <v>26503.142472522883</v>
      </c>
      <c r="F232" s="22">
        <v>26503.142472522883</v>
      </c>
      <c r="G232" s="22">
        <v>26503.142472522883</v>
      </c>
      <c r="H232" s="22">
        <v>26503.142472522883</v>
      </c>
      <c r="I232" s="22">
        <v>26503.142472522883</v>
      </c>
      <c r="J232" s="22">
        <v>26503.142472522883</v>
      </c>
      <c r="K232" s="22">
        <v>46706.148648326343</v>
      </c>
      <c r="L232" s="22">
        <v>81153.725478700057</v>
      </c>
      <c r="M232" s="22">
        <v>103813.09469062224</v>
      </c>
      <c r="N232" s="22">
        <v>116337.40951806263</v>
      </c>
      <c r="O232" s="22">
        <v>120667.67058183911</v>
      </c>
      <c r="P232" s="22">
        <v>119525.70697656853</v>
      </c>
      <c r="Q232" s="22">
        <v>113027.61017453021</v>
      </c>
      <c r="R232" s="22">
        <v>100933.96174405205</v>
      </c>
      <c r="S232" s="22">
        <v>79712.979146793659</v>
      </c>
      <c r="T232" s="22">
        <v>45731.679578806259</v>
      </c>
      <c r="U232" s="22">
        <v>106012.56989009153</v>
      </c>
      <c r="V232" s="22">
        <v>106012.56989009153</v>
      </c>
      <c r="W232" s="22">
        <v>106012.56989009153</v>
      </c>
      <c r="X232" s="22">
        <v>106012.56989009153</v>
      </c>
      <c r="Y232" s="22">
        <v>106012.56989009153</v>
      </c>
      <c r="Z232" s="22">
        <v>106012.56989009153</v>
      </c>
      <c r="AA232" s="23">
        <v>106012.56989009153</v>
      </c>
      <c r="AB232" s="97"/>
      <c r="AC232" s="24">
        <v>4</v>
      </c>
      <c r="AD232" s="16">
        <f t="shared" si="68"/>
        <v>7420879.8923064051</v>
      </c>
    </row>
    <row r="233" spans="1:30" ht="13.5" thickBot="1" x14ac:dyDescent="0.35">
      <c r="A233" s="18">
        <v>2032</v>
      </c>
      <c r="B233" s="25" t="s">
        <v>38</v>
      </c>
      <c r="C233" s="26" t="s">
        <v>36</v>
      </c>
      <c r="D233" s="21">
        <v>26503.142472522883</v>
      </c>
      <c r="E233" s="22">
        <v>26503.142472522883</v>
      </c>
      <c r="F233" s="22">
        <v>26503.142472522883</v>
      </c>
      <c r="G233" s="22">
        <v>26503.142472522883</v>
      </c>
      <c r="H233" s="22">
        <v>26503.142472522883</v>
      </c>
      <c r="I233" s="22">
        <v>26503.142472522883</v>
      </c>
      <c r="J233" s="22">
        <v>26503.142472522883</v>
      </c>
      <c r="K233" s="22">
        <v>46706.148648326343</v>
      </c>
      <c r="L233" s="22">
        <v>81153.725478700057</v>
      </c>
      <c r="M233" s="22">
        <v>103813.09469062224</v>
      </c>
      <c r="N233" s="22">
        <v>116337.40951806263</v>
      </c>
      <c r="O233" s="22">
        <v>120667.67058183911</v>
      </c>
      <c r="P233" s="22">
        <v>119525.70697656853</v>
      </c>
      <c r="Q233" s="22">
        <v>113027.61017453021</v>
      </c>
      <c r="R233" s="22">
        <v>100933.96174405205</v>
      </c>
      <c r="S233" s="22">
        <v>79712.979146793659</v>
      </c>
      <c r="T233" s="22">
        <v>45731.679578806259</v>
      </c>
      <c r="U233" s="22">
        <v>106012.56989009153</v>
      </c>
      <c r="V233" s="22">
        <v>106012.56989009153</v>
      </c>
      <c r="W233" s="22">
        <v>106012.56989009153</v>
      </c>
      <c r="X233" s="22">
        <v>106012.56989009153</v>
      </c>
      <c r="Y233" s="22">
        <v>106012.56989009153</v>
      </c>
      <c r="Z233" s="22">
        <v>106012.56989009153</v>
      </c>
      <c r="AA233" s="23">
        <v>106012.56989009153</v>
      </c>
      <c r="AB233" s="97"/>
      <c r="AC233" s="27">
        <v>4</v>
      </c>
      <c r="AD233" s="16">
        <f t="shared" si="68"/>
        <v>7420879.8923064051</v>
      </c>
    </row>
    <row r="234" spans="1:30" ht="13.5" thickBot="1" x14ac:dyDescent="0.35">
      <c r="A234" s="18">
        <v>2032</v>
      </c>
      <c r="B234" s="11" t="s">
        <v>39</v>
      </c>
      <c r="C234" s="12" t="s">
        <v>33</v>
      </c>
      <c r="D234" s="21">
        <v>26503.142472522868</v>
      </c>
      <c r="E234" s="22">
        <v>26503.142472522868</v>
      </c>
      <c r="F234" s="22">
        <v>26503.142472522868</v>
      </c>
      <c r="G234" s="22">
        <v>26503.142472522868</v>
      </c>
      <c r="H234" s="22">
        <v>26503.142472522868</v>
      </c>
      <c r="I234" s="22">
        <v>26503.142472522868</v>
      </c>
      <c r="J234" s="22">
        <v>26503.142472522868</v>
      </c>
      <c r="K234" s="22">
        <v>46706.148648326322</v>
      </c>
      <c r="L234" s="22">
        <v>81153.725478700071</v>
      </c>
      <c r="M234" s="22">
        <v>103813.09469062227</v>
      </c>
      <c r="N234" s="22">
        <v>116337.40951806263</v>
      </c>
      <c r="O234" s="22">
        <v>120667.67058183908</v>
      </c>
      <c r="P234" s="22">
        <v>119525.70697656852</v>
      </c>
      <c r="Q234" s="22">
        <v>113027.61017453021</v>
      </c>
      <c r="R234" s="22">
        <v>100933.96174405208</v>
      </c>
      <c r="S234" s="22">
        <v>79712.979146793688</v>
      </c>
      <c r="T234" s="22">
        <v>45731.679578806266</v>
      </c>
      <c r="U234" s="22">
        <v>106012.56989009147</v>
      </c>
      <c r="V234" s="22">
        <v>106012.56989009147</v>
      </c>
      <c r="W234" s="22">
        <v>106012.56989009147</v>
      </c>
      <c r="X234" s="22">
        <v>106012.56989009147</v>
      </c>
      <c r="Y234" s="22">
        <v>106012.56989009147</v>
      </c>
      <c r="Z234" s="22">
        <v>106012.56989009147</v>
      </c>
      <c r="AA234" s="23">
        <v>106012.56989009147</v>
      </c>
      <c r="AB234" s="96">
        <f t="shared" ref="AB234" si="80">+SUM(D234:AA234)*AC234+SUM(D235:AA235)*AC235+SUM(D236:AA236)*AC236</f>
        <v>57511819.165374637</v>
      </c>
      <c r="AC234" s="16">
        <v>19</v>
      </c>
      <c r="AD234" s="16">
        <f t="shared" si="68"/>
        <v>35249179.488455422</v>
      </c>
    </row>
    <row r="235" spans="1:30" ht="13.5" thickBot="1" x14ac:dyDescent="0.35">
      <c r="A235" s="18">
        <v>2032</v>
      </c>
      <c r="B235" s="19" t="s">
        <v>39</v>
      </c>
      <c r="C235" s="20" t="s">
        <v>50</v>
      </c>
      <c r="D235" s="21">
        <v>26503.142472522883</v>
      </c>
      <c r="E235" s="22">
        <v>26503.142472522883</v>
      </c>
      <c r="F235" s="22">
        <v>26503.142472522883</v>
      </c>
      <c r="G235" s="22">
        <v>26503.142472522883</v>
      </c>
      <c r="H235" s="22">
        <v>26503.142472522883</v>
      </c>
      <c r="I235" s="22">
        <v>26503.142472522883</v>
      </c>
      <c r="J235" s="22">
        <v>26503.142472522883</v>
      </c>
      <c r="K235" s="22">
        <v>46706.148648326343</v>
      </c>
      <c r="L235" s="22">
        <v>81153.725478700057</v>
      </c>
      <c r="M235" s="22">
        <v>103813.09469062224</v>
      </c>
      <c r="N235" s="22">
        <v>116337.40951806263</v>
      </c>
      <c r="O235" s="22">
        <v>120667.67058183911</v>
      </c>
      <c r="P235" s="22">
        <v>119525.70697656853</v>
      </c>
      <c r="Q235" s="22">
        <v>113027.61017453021</v>
      </c>
      <c r="R235" s="22">
        <v>100933.96174405205</v>
      </c>
      <c r="S235" s="22">
        <v>79712.979146793659</v>
      </c>
      <c r="T235" s="22">
        <v>45731.679578806259</v>
      </c>
      <c r="U235" s="22">
        <v>106012.56989009153</v>
      </c>
      <c r="V235" s="22">
        <v>106012.56989009153</v>
      </c>
      <c r="W235" s="22">
        <v>106012.56989009153</v>
      </c>
      <c r="X235" s="22">
        <v>106012.56989009153</v>
      </c>
      <c r="Y235" s="22">
        <v>106012.56989009153</v>
      </c>
      <c r="Z235" s="22">
        <v>106012.56989009153</v>
      </c>
      <c r="AA235" s="23">
        <v>106012.56989009153</v>
      </c>
      <c r="AB235" s="97"/>
      <c r="AC235" s="24">
        <v>4</v>
      </c>
      <c r="AD235" s="16">
        <f t="shared" si="68"/>
        <v>7420879.8923064051</v>
      </c>
    </row>
    <row r="236" spans="1:30" ht="13.5" thickBot="1" x14ac:dyDescent="0.35">
      <c r="A236" s="18">
        <v>2032</v>
      </c>
      <c r="B236" s="25" t="s">
        <v>39</v>
      </c>
      <c r="C236" s="26" t="s">
        <v>36</v>
      </c>
      <c r="D236" s="21">
        <v>26503.142472522883</v>
      </c>
      <c r="E236" s="22">
        <v>26503.142472522883</v>
      </c>
      <c r="F236" s="22">
        <v>26503.142472522883</v>
      </c>
      <c r="G236" s="22">
        <v>26503.142472522883</v>
      </c>
      <c r="H236" s="22">
        <v>26503.142472522883</v>
      </c>
      <c r="I236" s="22">
        <v>26503.142472522883</v>
      </c>
      <c r="J236" s="22">
        <v>26503.142472522883</v>
      </c>
      <c r="K236" s="22">
        <v>46706.148648326343</v>
      </c>
      <c r="L236" s="22">
        <v>81153.725478700057</v>
      </c>
      <c r="M236" s="22">
        <v>103813.09469062224</v>
      </c>
      <c r="N236" s="22">
        <v>116337.40951806262</v>
      </c>
      <c r="O236" s="22">
        <v>120667.67058183908</v>
      </c>
      <c r="P236" s="22">
        <v>119525.70697656854</v>
      </c>
      <c r="Q236" s="22">
        <v>113027.6101745302</v>
      </c>
      <c r="R236" s="22">
        <v>100933.96174405204</v>
      </c>
      <c r="S236" s="22">
        <v>79712.979146793659</v>
      </c>
      <c r="T236" s="22">
        <v>45731.679578806266</v>
      </c>
      <c r="U236" s="22">
        <v>106012.56989009153</v>
      </c>
      <c r="V236" s="22">
        <v>106012.56989009153</v>
      </c>
      <c r="W236" s="22">
        <v>106012.56989009153</v>
      </c>
      <c r="X236" s="22">
        <v>106012.56989009153</v>
      </c>
      <c r="Y236" s="22">
        <v>106012.56989009153</v>
      </c>
      <c r="Z236" s="22">
        <v>106012.56989009153</v>
      </c>
      <c r="AA236" s="23">
        <v>106012.56989009153</v>
      </c>
      <c r="AB236" s="97"/>
      <c r="AC236" s="27">
        <v>8</v>
      </c>
      <c r="AD236" s="16">
        <f t="shared" si="68"/>
        <v>14841759.78461281</v>
      </c>
    </row>
    <row r="237" spans="1:30" ht="13.5" thickBot="1" x14ac:dyDescent="0.35">
      <c r="A237" s="18">
        <v>2032</v>
      </c>
      <c r="B237" s="11" t="s">
        <v>40</v>
      </c>
      <c r="C237" s="12" t="s">
        <v>33</v>
      </c>
      <c r="D237" s="21">
        <v>26503.142472522872</v>
      </c>
      <c r="E237" s="22">
        <v>26503.142472522872</v>
      </c>
      <c r="F237" s="22">
        <v>26503.142472522872</v>
      </c>
      <c r="G237" s="22">
        <v>26503.142472522872</v>
      </c>
      <c r="H237" s="22">
        <v>26503.142472522872</v>
      </c>
      <c r="I237" s="22">
        <v>26503.142472522872</v>
      </c>
      <c r="J237" s="22">
        <v>26503.142472522872</v>
      </c>
      <c r="K237" s="22">
        <v>46706.148648326322</v>
      </c>
      <c r="L237" s="22">
        <v>81153.725478700071</v>
      </c>
      <c r="M237" s="22">
        <v>103813.09469062227</v>
      </c>
      <c r="N237" s="22">
        <v>116337.40951806263</v>
      </c>
      <c r="O237" s="22">
        <v>120667.67058183908</v>
      </c>
      <c r="P237" s="22">
        <v>119525.7069765685</v>
      </c>
      <c r="Q237" s="22">
        <v>113027.61017453021</v>
      </c>
      <c r="R237" s="22">
        <v>100933.96174405207</v>
      </c>
      <c r="S237" s="22">
        <v>79712.979146793688</v>
      </c>
      <c r="T237" s="22">
        <v>45731.679578806266</v>
      </c>
      <c r="U237" s="22">
        <v>106012.56989009149</v>
      </c>
      <c r="V237" s="22">
        <v>106012.56989009149</v>
      </c>
      <c r="W237" s="22">
        <v>106012.56989009149</v>
      </c>
      <c r="X237" s="22">
        <v>106012.56989009149</v>
      </c>
      <c r="Y237" s="22">
        <v>106012.56989009149</v>
      </c>
      <c r="Z237" s="22">
        <v>106012.56989009149</v>
      </c>
      <c r="AA237" s="23">
        <v>106012.56989009149</v>
      </c>
      <c r="AB237" s="96">
        <f t="shared" ref="AB237" si="81">+SUM(D237:AA237)*AC237+SUM(D238:AA238)*AC238+SUM(D239:AA239)*AC239</f>
        <v>55656599.192298032</v>
      </c>
      <c r="AC237" s="16">
        <v>21</v>
      </c>
      <c r="AD237" s="16">
        <f t="shared" si="68"/>
        <v>38959619.434608623</v>
      </c>
    </row>
    <row r="238" spans="1:30" ht="13.5" thickBot="1" x14ac:dyDescent="0.35">
      <c r="A238" s="18">
        <v>2032</v>
      </c>
      <c r="B238" s="19" t="s">
        <v>40</v>
      </c>
      <c r="C238" s="20" t="s">
        <v>50</v>
      </c>
      <c r="D238" s="21">
        <v>26503.142472522883</v>
      </c>
      <c r="E238" s="22">
        <v>26503.142472522883</v>
      </c>
      <c r="F238" s="22">
        <v>26503.142472522883</v>
      </c>
      <c r="G238" s="22">
        <v>26503.142472522883</v>
      </c>
      <c r="H238" s="22">
        <v>26503.142472522883</v>
      </c>
      <c r="I238" s="22">
        <v>26503.142472522883</v>
      </c>
      <c r="J238" s="22">
        <v>26503.142472522883</v>
      </c>
      <c r="K238" s="22">
        <v>46706.148648326343</v>
      </c>
      <c r="L238" s="22">
        <v>81153.725478700057</v>
      </c>
      <c r="M238" s="22">
        <v>103813.09469062224</v>
      </c>
      <c r="N238" s="22">
        <v>116337.40951806263</v>
      </c>
      <c r="O238" s="22">
        <v>120667.67058183911</v>
      </c>
      <c r="P238" s="22">
        <v>119525.70697656853</v>
      </c>
      <c r="Q238" s="22">
        <v>113027.61017453021</v>
      </c>
      <c r="R238" s="22">
        <v>100933.96174405205</v>
      </c>
      <c r="S238" s="22">
        <v>79712.979146793659</v>
      </c>
      <c r="T238" s="22">
        <v>45731.679578806259</v>
      </c>
      <c r="U238" s="22">
        <v>106012.56989009153</v>
      </c>
      <c r="V238" s="22">
        <v>106012.56989009153</v>
      </c>
      <c r="W238" s="22">
        <v>106012.56989009153</v>
      </c>
      <c r="X238" s="22">
        <v>106012.56989009153</v>
      </c>
      <c r="Y238" s="22">
        <v>106012.56989009153</v>
      </c>
      <c r="Z238" s="22">
        <v>106012.56989009153</v>
      </c>
      <c r="AA238" s="23">
        <v>106012.56989009153</v>
      </c>
      <c r="AB238" s="97"/>
      <c r="AC238" s="24">
        <v>4</v>
      </c>
      <c r="AD238" s="16">
        <f t="shared" si="68"/>
        <v>7420879.8923064051</v>
      </c>
    </row>
    <row r="239" spans="1:30" ht="13.5" thickBot="1" x14ac:dyDescent="0.35">
      <c r="A239" s="18">
        <v>2032</v>
      </c>
      <c r="B239" s="25" t="s">
        <v>40</v>
      </c>
      <c r="C239" s="26" t="s">
        <v>36</v>
      </c>
      <c r="D239" s="21">
        <v>26503.142472522879</v>
      </c>
      <c r="E239" s="22">
        <v>26503.142472522879</v>
      </c>
      <c r="F239" s="22">
        <v>26503.142472522879</v>
      </c>
      <c r="G239" s="22">
        <v>26503.142472522879</v>
      </c>
      <c r="H239" s="22">
        <v>26503.142472522879</v>
      </c>
      <c r="I239" s="22">
        <v>26503.142472522879</v>
      </c>
      <c r="J239" s="22">
        <v>26503.142472522879</v>
      </c>
      <c r="K239" s="22">
        <v>46706.148648326343</v>
      </c>
      <c r="L239" s="22">
        <v>81153.725478700057</v>
      </c>
      <c r="M239" s="22">
        <v>103813.09469062224</v>
      </c>
      <c r="N239" s="22">
        <v>116337.40951806263</v>
      </c>
      <c r="O239" s="22">
        <v>120667.67058183909</v>
      </c>
      <c r="P239" s="22">
        <v>119525.70697656853</v>
      </c>
      <c r="Q239" s="22">
        <v>113027.61017453021</v>
      </c>
      <c r="R239" s="22">
        <v>100933.96174405205</v>
      </c>
      <c r="S239" s="22">
        <v>79712.979146793659</v>
      </c>
      <c r="T239" s="22">
        <v>45731.679578806259</v>
      </c>
      <c r="U239" s="22">
        <v>106012.56989009152</v>
      </c>
      <c r="V239" s="22">
        <v>106012.56989009152</v>
      </c>
      <c r="W239" s="22">
        <v>106012.56989009152</v>
      </c>
      <c r="X239" s="22">
        <v>106012.56989009152</v>
      </c>
      <c r="Y239" s="22">
        <v>106012.56989009152</v>
      </c>
      <c r="Z239" s="22">
        <v>106012.56989009152</v>
      </c>
      <c r="AA239" s="23">
        <v>106012.56989009152</v>
      </c>
      <c r="AB239" s="97"/>
      <c r="AC239" s="27">
        <v>5</v>
      </c>
      <c r="AD239" s="16">
        <f t="shared" si="68"/>
        <v>9276099.8653830066</v>
      </c>
    </row>
    <row r="240" spans="1:30" ht="13.5" thickBot="1" x14ac:dyDescent="0.35">
      <c r="A240" s="18">
        <v>2032</v>
      </c>
      <c r="B240" s="11" t="s">
        <v>41</v>
      </c>
      <c r="C240" s="12" t="s">
        <v>33</v>
      </c>
      <c r="D240" s="21">
        <v>26503.142472522868</v>
      </c>
      <c r="E240" s="22">
        <v>26503.142472522868</v>
      </c>
      <c r="F240" s="22">
        <v>26503.142472522868</v>
      </c>
      <c r="G240" s="22">
        <v>26503.142472522868</v>
      </c>
      <c r="H240" s="22">
        <v>26503.142472522868</v>
      </c>
      <c r="I240" s="22">
        <v>26503.142472522868</v>
      </c>
      <c r="J240" s="22">
        <v>26503.142472522868</v>
      </c>
      <c r="K240" s="22">
        <v>46706.148648326322</v>
      </c>
      <c r="L240" s="22">
        <v>81153.725478700071</v>
      </c>
      <c r="M240" s="22">
        <v>103813.09469062227</v>
      </c>
      <c r="N240" s="22">
        <v>116337.40951806263</v>
      </c>
      <c r="O240" s="22">
        <v>120667.67058183908</v>
      </c>
      <c r="P240" s="22">
        <v>119525.70697656852</v>
      </c>
      <c r="Q240" s="22">
        <v>113027.61017453021</v>
      </c>
      <c r="R240" s="22">
        <v>100933.96174405208</v>
      </c>
      <c r="S240" s="22">
        <v>79712.979146793688</v>
      </c>
      <c r="T240" s="22">
        <v>45731.679578806266</v>
      </c>
      <c r="U240" s="22">
        <v>106012.56989009147</v>
      </c>
      <c r="V240" s="22">
        <v>106012.56989009147</v>
      </c>
      <c r="W240" s="22">
        <v>106012.56989009147</v>
      </c>
      <c r="X240" s="22">
        <v>106012.56989009147</v>
      </c>
      <c r="Y240" s="22">
        <v>106012.56989009147</v>
      </c>
      <c r="Z240" s="22">
        <v>106012.56989009147</v>
      </c>
      <c r="AA240" s="23">
        <v>106012.56989009147</v>
      </c>
      <c r="AB240" s="96">
        <f t="shared" ref="AB240" si="82">+SUM(D240:AA240)*AC240+SUM(D241:AA241)*AC241+SUM(D242:AA242)*AC242</f>
        <v>57511819.165374637</v>
      </c>
      <c r="AC240" s="16">
        <v>20</v>
      </c>
      <c r="AD240" s="16">
        <f t="shared" si="68"/>
        <v>37104399.461532027</v>
      </c>
    </row>
    <row r="241" spans="1:30" ht="13.5" thickBot="1" x14ac:dyDescent="0.35">
      <c r="A241" s="18">
        <v>2032</v>
      </c>
      <c r="B241" s="19" t="s">
        <v>41</v>
      </c>
      <c r="C241" s="20" t="s">
        <v>50</v>
      </c>
      <c r="D241" s="21">
        <v>26503.142472522879</v>
      </c>
      <c r="E241" s="22">
        <v>26503.142472522879</v>
      </c>
      <c r="F241" s="22">
        <v>26503.142472522879</v>
      </c>
      <c r="G241" s="22">
        <v>26503.142472522879</v>
      </c>
      <c r="H241" s="22">
        <v>26503.142472522879</v>
      </c>
      <c r="I241" s="22">
        <v>26503.142472522879</v>
      </c>
      <c r="J241" s="22">
        <v>26503.142472522879</v>
      </c>
      <c r="K241" s="22">
        <v>46706.148648326343</v>
      </c>
      <c r="L241" s="22">
        <v>81153.725478700057</v>
      </c>
      <c r="M241" s="22">
        <v>103813.09469062224</v>
      </c>
      <c r="N241" s="22">
        <v>116337.40951806263</v>
      </c>
      <c r="O241" s="22">
        <v>120667.67058183909</v>
      </c>
      <c r="P241" s="22">
        <v>119525.70697656853</v>
      </c>
      <c r="Q241" s="22">
        <v>113027.61017453021</v>
      </c>
      <c r="R241" s="22">
        <v>100933.96174405205</v>
      </c>
      <c r="S241" s="22">
        <v>79712.979146793659</v>
      </c>
      <c r="T241" s="22">
        <v>45731.679578806259</v>
      </c>
      <c r="U241" s="22">
        <v>106012.56989009152</v>
      </c>
      <c r="V241" s="22">
        <v>106012.56989009152</v>
      </c>
      <c r="W241" s="22">
        <v>106012.56989009152</v>
      </c>
      <c r="X241" s="22">
        <v>106012.56989009152</v>
      </c>
      <c r="Y241" s="22">
        <v>106012.56989009152</v>
      </c>
      <c r="Z241" s="22">
        <v>106012.56989009152</v>
      </c>
      <c r="AA241" s="23">
        <v>106012.56989009152</v>
      </c>
      <c r="AB241" s="97"/>
      <c r="AC241" s="24">
        <v>5</v>
      </c>
      <c r="AD241" s="16">
        <f t="shared" si="68"/>
        <v>9276099.8653830066</v>
      </c>
    </row>
    <row r="242" spans="1:30" ht="13.5" thickBot="1" x14ac:dyDescent="0.35">
      <c r="A242" s="18">
        <v>2032</v>
      </c>
      <c r="B242" s="25" t="s">
        <v>41</v>
      </c>
      <c r="C242" s="26" t="s">
        <v>36</v>
      </c>
      <c r="D242" s="21">
        <v>26503.142472522883</v>
      </c>
      <c r="E242" s="22">
        <v>26503.142472522883</v>
      </c>
      <c r="F242" s="22">
        <v>26503.142472522883</v>
      </c>
      <c r="G242" s="22">
        <v>26503.142472522883</v>
      </c>
      <c r="H242" s="22">
        <v>26503.142472522883</v>
      </c>
      <c r="I242" s="22">
        <v>26503.142472522883</v>
      </c>
      <c r="J242" s="22">
        <v>26503.142472522883</v>
      </c>
      <c r="K242" s="22">
        <v>46706.148648326343</v>
      </c>
      <c r="L242" s="22">
        <v>81153.725478700057</v>
      </c>
      <c r="M242" s="22">
        <v>103813.09469062224</v>
      </c>
      <c r="N242" s="22">
        <v>116337.40951806262</v>
      </c>
      <c r="O242" s="22">
        <v>120667.67058183909</v>
      </c>
      <c r="P242" s="22">
        <v>119525.70697656854</v>
      </c>
      <c r="Q242" s="22">
        <v>113027.6101745302</v>
      </c>
      <c r="R242" s="22">
        <v>100933.96174405205</v>
      </c>
      <c r="S242" s="22">
        <v>79712.979146793659</v>
      </c>
      <c r="T242" s="22">
        <v>45731.679578806266</v>
      </c>
      <c r="U242" s="22">
        <v>106012.56989009153</v>
      </c>
      <c r="V242" s="22">
        <v>106012.56989009153</v>
      </c>
      <c r="W242" s="22">
        <v>106012.56989009153</v>
      </c>
      <c r="X242" s="22">
        <v>106012.56989009153</v>
      </c>
      <c r="Y242" s="22">
        <v>106012.56989009153</v>
      </c>
      <c r="Z242" s="22">
        <v>106012.56989009153</v>
      </c>
      <c r="AA242" s="23">
        <v>106012.56989009153</v>
      </c>
      <c r="AB242" s="97"/>
      <c r="AC242" s="27">
        <v>6</v>
      </c>
      <c r="AD242" s="16">
        <f t="shared" si="68"/>
        <v>11131319.838459607</v>
      </c>
    </row>
    <row r="243" spans="1:30" ht="13.5" thickBot="1" x14ac:dyDescent="0.35">
      <c r="A243" s="18">
        <v>2032</v>
      </c>
      <c r="B243" s="11" t="s">
        <v>42</v>
      </c>
      <c r="C243" s="12" t="s">
        <v>33</v>
      </c>
      <c r="D243" s="21">
        <v>26503.142472522872</v>
      </c>
      <c r="E243" s="22">
        <v>26503.142472522872</v>
      </c>
      <c r="F243" s="22">
        <v>26503.142472522872</v>
      </c>
      <c r="G243" s="22">
        <v>26503.142472522872</v>
      </c>
      <c r="H243" s="22">
        <v>26503.142472522872</v>
      </c>
      <c r="I243" s="22">
        <v>26503.142472522872</v>
      </c>
      <c r="J243" s="22">
        <v>26503.142472522872</v>
      </c>
      <c r="K243" s="22">
        <v>46706.148648326322</v>
      </c>
      <c r="L243" s="22">
        <v>81153.725478700071</v>
      </c>
      <c r="M243" s="22">
        <v>103813.09469062227</v>
      </c>
      <c r="N243" s="22">
        <v>116337.40951806263</v>
      </c>
      <c r="O243" s="22">
        <v>120667.67058183908</v>
      </c>
      <c r="P243" s="22">
        <v>119525.7069765685</v>
      </c>
      <c r="Q243" s="22">
        <v>113027.61017453021</v>
      </c>
      <c r="R243" s="22">
        <v>100933.96174405207</v>
      </c>
      <c r="S243" s="22">
        <v>79712.979146793688</v>
      </c>
      <c r="T243" s="22">
        <v>45731.679578806266</v>
      </c>
      <c r="U243" s="22">
        <v>106012.56989009149</v>
      </c>
      <c r="V243" s="22">
        <v>106012.56989009149</v>
      </c>
      <c r="W243" s="22">
        <v>106012.56989009149</v>
      </c>
      <c r="X243" s="22">
        <v>106012.56989009149</v>
      </c>
      <c r="Y243" s="22">
        <v>106012.56989009149</v>
      </c>
      <c r="Z243" s="22">
        <v>106012.56989009149</v>
      </c>
      <c r="AA243" s="23">
        <v>106012.56989009149</v>
      </c>
      <c r="AB243" s="96">
        <f t="shared" ref="AB243" si="83">+SUM(D243:AA243)*AC243+SUM(D244:AA244)*AC244+SUM(D245:AA245)*AC245</f>
        <v>57511819.165374637</v>
      </c>
      <c r="AC243" s="16">
        <v>21</v>
      </c>
      <c r="AD243" s="16">
        <f t="shared" si="68"/>
        <v>38959619.434608623</v>
      </c>
    </row>
    <row r="244" spans="1:30" ht="13.5" thickBot="1" x14ac:dyDescent="0.35">
      <c r="A244" s="18">
        <v>2032</v>
      </c>
      <c r="B244" s="19" t="s">
        <v>42</v>
      </c>
      <c r="C244" s="20" t="s">
        <v>50</v>
      </c>
      <c r="D244" s="21">
        <v>26503.142472522883</v>
      </c>
      <c r="E244" s="22">
        <v>26503.142472522883</v>
      </c>
      <c r="F244" s="22">
        <v>26503.142472522883</v>
      </c>
      <c r="G244" s="22">
        <v>26503.142472522883</v>
      </c>
      <c r="H244" s="22">
        <v>26503.142472522883</v>
      </c>
      <c r="I244" s="22">
        <v>26503.142472522883</v>
      </c>
      <c r="J244" s="22">
        <v>26503.142472522883</v>
      </c>
      <c r="K244" s="22">
        <v>46706.148648326343</v>
      </c>
      <c r="L244" s="22">
        <v>81153.725478700057</v>
      </c>
      <c r="M244" s="22">
        <v>103813.09469062224</v>
      </c>
      <c r="N244" s="22">
        <v>116337.40951806265</v>
      </c>
      <c r="O244" s="22">
        <v>120667.67058183911</v>
      </c>
      <c r="P244" s="22">
        <v>119525.70697656852</v>
      </c>
      <c r="Q244" s="22">
        <v>113027.61017453023</v>
      </c>
      <c r="R244" s="22">
        <v>100933.96174405205</v>
      </c>
      <c r="S244" s="22">
        <v>79712.979146793659</v>
      </c>
      <c r="T244" s="22">
        <v>45731.679578806252</v>
      </c>
      <c r="U244" s="22">
        <v>106012.56989009153</v>
      </c>
      <c r="V244" s="22">
        <v>106012.56989009153</v>
      </c>
      <c r="W244" s="22">
        <v>106012.56989009153</v>
      </c>
      <c r="X244" s="22">
        <v>106012.56989009153</v>
      </c>
      <c r="Y244" s="22">
        <v>106012.56989009153</v>
      </c>
      <c r="Z244" s="22">
        <v>106012.56989009153</v>
      </c>
      <c r="AA244" s="23">
        <v>106012.56989009153</v>
      </c>
      <c r="AB244" s="97"/>
      <c r="AC244" s="24">
        <v>3</v>
      </c>
      <c r="AD244" s="16">
        <f t="shared" si="68"/>
        <v>5565659.9192298036</v>
      </c>
    </row>
    <row r="245" spans="1:30" ht="13.5" thickBot="1" x14ac:dyDescent="0.35">
      <c r="A245" s="18">
        <v>2032</v>
      </c>
      <c r="B245" s="25" t="s">
        <v>42</v>
      </c>
      <c r="C245" s="26" t="s">
        <v>36</v>
      </c>
      <c r="D245" s="21">
        <v>26503.142472522883</v>
      </c>
      <c r="E245" s="22">
        <v>26503.142472522883</v>
      </c>
      <c r="F245" s="22">
        <v>26503.142472522883</v>
      </c>
      <c r="G245" s="22">
        <v>26503.142472522883</v>
      </c>
      <c r="H245" s="22">
        <v>26503.142472522883</v>
      </c>
      <c r="I245" s="22">
        <v>26503.142472522883</v>
      </c>
      <c r="J245" s="22">
        <v>26503.142472522883</v>
      </c>
      <c r="K245" s="22">
        <v>46706.148648326343</v>
      </c>
      <c r="L245" s="22">
        <v>81153.725478700057</v>
      </c>
      <c r="M245" s="22">
        <v>103813.09469062222</v>
      </c>
      <c r="N245" s="22">
        <v>116337.40951806262</v>
      </c>
      <c r="O245" s="22">
        <v>120667.67058183908</v>
      </c>
      <c r="P245" s="22">
        <v>119525.70697656854</v>
      </c>
      <c r="Q245" s="22">
        <v>113027.6101745302</v>
      </c>
      <c r="R245" s="22">
        <v>100933.96174405204</v>
      </c>
      <c r="S245" s="22">
        <v>79712.979146793645</v>
      </c>
      <c r="T245" s="22">
        <v>45731.679578806266</v>
      </c>
      <c r="U245" s="22">
        <v>106012.56989009153</v>
      </c>
      <c r="V245" s="22">
        <v>106012.56989009153</v>
      </c>
      <c r="W245" s="22">
        <v>106012.56989009153</v>
      </c>
      <c r="X245" s="22">
        <v>106012.56989009153</v>
      </c>
      <c r="Y245" s="22">
        <v>106012.56989009153</v>
      </c>
      <c r="Z245" s="22">
        <v>106012.56989009153</v>
      </c>
      <c r="AA245" s="23">
        <v>106012.56989009153</v>
      </c>
      <c r="AB245" s="97"/>
      <c r="AC245" s="27">
        <v>7</v>
      </c>
      <c r="AD245" s="16">
        <f t="shared" si="68"/>
        <v>12986539.81153621</v>
      </c>
    </row>
    <row r="246" spans="1:30" ht="13.5" thickBot="1" x14ac:dyDescent="0.35">
      <c r="A246" s="18">
        <v>2032</v>
      </c>
      <c r="B246" s="11" t="s">
        <v>43</v>
      </c>
      <c r="C246" s="12" t="s">
        <v>33</v>
      </c>
      <c r="D246" s="21">
        <v>26503.142472522872</v>
      </c>
      <c r="E246" s="22">
        <v>26503.142472522872</v>
      </c>
      <c r="F246" s="22">
        <v>26503.142472522872</v>
      </c>
      <c r="G246" s="22">
        <v>26503.142472522872</v>
      </c>
      <c r="H246" s="22">
        <v>26503.142472522872</v>
      </c>
      <c r="I246" s="22">
        <v>26503.142472522872</v>
      </c>
      <c r="J246" s="22">
        <v>26503.142472522872</v>
      </c>
      <c r="K246" s="22">
        <v>46706.148648326314</v>
      </c>
      <c r="L246" s="22">
        <v>81153.725478700071</v>
      </c>
      <c r="M246" s="22">
        <v>103813.09469062228</v>
      </c>
      <c r="N246" s="22">
        <v>116337.40951806262</v>
      </c>
      <c r="O246" s="22">
        <v>120667.67058183906</v>
      </c>
      <c r="P246" s="22">
        <v>119525.7069765685</v>
      </c>
      <c r="Q246" s="22">
        <v>113027.6101745302</v>
      </c>
      <c r="R246" s="22">
        <v>100933.96174405207</v>
      </c>
      <c r="S246" s="22">
        <v>79712.979146793703</v>
      </c>
      <c r="T246" s="22">
        <v>45731.679578806266</v>
      </c>
      <c r="U246" s="22">
        <v>106012.56989009149</v>
      </c>
      <c r="V246" s="22">
        <v>106012.56989009149</v>
      </c>
      <c r="W246" s="22">
        <v>106012.56989009149</v>
      </c>
      <c r="X246" s="22">
        <v>106012.56989009149</v>
      </c>
      <c r="Y246" s="22">
        <v>106012.56989009149</v>
      </c>
      <c r="Z246" s="22">
        <v>106012.56989009149</v>
      </c>
      <c r="AA246" s="23">
        <v>106012.56989009149</v>
      </c>
      <c r="AB246" s="96">
        <f t="shared" ref="AB246" si="84">+SUM(D246:AA246)*AC246+SUM(D247:AA247)*AC247+SUM(D248:AA248)*AC248</f>
        <v>55656599.192298032</v>
      </c>
      <c r="AC246" s="16">
        <v>22</v>
      </c>
      <c r="AD246" s="16">
        <f t="shared" si="68"/>
        <v>40814839.407685228</v>
      </c>
    </row>
    <row r="247" spans="1:30" ht="13.5" thickBot="1" x14ac:dyDescent="0.35">
      <c r="A247" s="18">
        <v>2032</v>
      </c>
      <c r="B247" s="19" t="s">
        <v>43</v>
      </c>
      <c r="C247" s="20" t="s">
        <v>50</v>
      </c>
      <c r="D247" s="21">
        <v>26503.142472522883</v>
      </c>
      <c r="E247" s="22">
        <v>26503.142472522883</v>
      </c>
      <c r="F247" s="22">
        <v>26503.142472522883</v>
      </c>
      <c r="G247" s="22">
        <v>26503.142472522883</v>
      </c>
      <c r="H247" s="22">
        <v>26503.142472522883</v>
      </c>
      <c r="I247" s="22">
        <v>26503.142472522883</v>
      </c>
      <c r="J247" s="22">
        <v>26503.142472522883</v>
      </c>
      <c r="K247" s="22">
        <v>46706.148648326343</v>
      </c>
      <c r="L247" s="22">
        <v>81153.725478700057</v>
      </c>
      <c r="M247" s="22">
        <v>103813.09469062224</v>
      </c>
      <c r="N247" s="22">
        <v>116337.40951806263</v>
      </c>
      <c r="O247" s="22">
        <v>120667.67058183911</v>
      </c>
      <c r="P247" s="22">
        <v>119525.70697656853</v>
      </c>
      <c r="Q247" s="22">
        <v>113027.61017453021</v>
      </c>
      <c r="R247" s="22">
        <v>100933.96174405205</v>
      </c>
      <c r="S247" s="22">
        <v>79712.979146793659</v>
      </c>
      <c r="T247" s="22">
        <v>45731.679578806259</v>
      </c>
      <c r="U247" s="22">
        <v>106012.56989009153</v>
      </c>
      <c r="V247" s="22">
        <v>106012.56989009153</v>
      </c>
      <c r="W247" s="22">
        <v>106012.56989009153</v>
      </c>
      <c r="X247" s="22">
        <v>106012.56989009153</v>
      </c>
      <c r="Y247" s="22">
        <v>106012.56989009153</v>
      </c>
      <c r="Z247" s="22">
        <v>106012.56989009153</v>
      </c>
      <c r="AA247" s="23">
        <v>106012.56989009153</v>
      </c>
      <c r="AB247" s="97"/>
      <c r="AC247" s="24">
        <v>4</v>
      </c>
      <c r="AD247" s="16">
        <f t="shared" si="68"/>
        <v>7420879.8923064051</v>
      </c>
    </row>
    <row r="248" spans="1:30" ht="13.5" thickBot="1" x14ac:dyDescent="0.35">
      <c r="A248" s="18">
        <v>2032</v>
      </c>
      <c r="B248" s="25" t="s">
        <v>43</v>
      </c>
      <c r="C248" s="26" t="s">
        <v>36</v>
      </c>
      <c r="D248" s="21">
        <v>26503.142472522883</v>
      </c>
      <c r="E248" s="22">
        <v>26503.142472522883</v>
      </c>
      <c r="F248" s="22">
        <v>26503.142472522883</v>
      </c>
      <c r="G248" s="22">
        <v>26503.142472522883</v>
      </c>
      <c r="H248" s="22">
        <v>26503.142472522883</v>
      </c>
      <c r="I248" s="22">
        <v>26503.142472522883</v>
      </c>
      <c r="J248" s="22">
        <v>26503.142472522883</v>
      </c>
      <c r="K248" s="22">
        <v>46706.148648326343</v>
      </c>
      <c r="L248" s="22">
        <v>81153.725478700057</v>
      </c>
      <c r="M248" s="22">
        <v>103813.09469062224</v>
      </c>
      <c r="N248" s="22">
        <v>116337.40951806263</v>
      </c>
      <c r="O248" s="22">
        <v>120667.67058183911</v>
      </c>
      <c r="P248" s="22">
        <v>119525.70697656853</v>
      </c>
      <c r="Q248" s="22">
        <v>113027.61017453021</v>
      </c>
      <c r="R248" s="22">
        <v>100933.96174405205</v>
      </c>
      <c r="S248" s="22">
        <v>79712.979146793659</v>
      </c>
      <c r="T248" s="22">
        <v>45731.679578806259</v>
      </c>
      <c r="U248" s="22">
        <v>106012.56989009153</v>
      </c>
      <c r="V248" s="22">
        <v>106012.56989009153</v>
      </c>
      <c r="W248" s="22">
        <v>106012.56989009153</v>
      </c>
      <c r="X248" s="22">
        <v>106012.56989009153</v>
      </c>
      <c r="Y248" s="22">
        <v>106012.56989009153</v>
      </c>
      <c r="Z248" s="22">
        <v>106012.56989009153</v>
      </c>
      <c r="AA248" s="23">
        <v>106012.56989009153</v>
      </c>
      <c r="AB248" s="97"/>
      <c r="AC248" s="27">
        <v>4</v>
      </c>
      <c r="AD248" s="16">
        <f t="shared" si="68"/>
        <v>7420879.8923064051</v>
      </c>
    </row>
    <row r="249" spans="1:30" ht="13.5" thickBot="1" x14ac:dyDescent="0.35">
      <c r="A249" s="18">
        <v>2032</v>
      </c>
      <c r="B249" s="11" t="s">
        <v>44</v>
      </c>
      <c r="C249" s="12" t="s">
        <v>33</v>
      </c>
      <c r="D249" s="21">
        <v>26503.142472522868</v>
      </c>
      <c r="E249" s="22">
        <v>26503.142472522868</v>
      </c>
      <c r="F249" s="22">
        <v>26503.142472522868</v>
      </c>
      <c r="G249" s="22">
        <v>26503.142472522868</v>
      </c>
      <c r="H249" s="22">
        <v>26503.142472522868</v>
      </c>
      <c r="I249" s="22">
        <v>26503.142472522868</v>
      </c>
      <c r="J249" s="22">
        <v>26503.142472522868</v>
      </c>
      <c r="K249" s="22">
        <v>46706.148648326322</v>
      </c>
      <c r="L249" s="22">
        <v>81153.725478700071</v>
      </c>
      <c r="M249" s="22">
        <v>103813.09469062227</v>
      </c>
      <c r="N249" s="22">
        <v>116337.40951806263</v>
      </c>
      <c r="O249" s="22">
        <v>120667.67058183908</v>
      </c>
      <c r="P249" s="22">
        <v>119525.70697656852</v>
      </c>
      <c r="Q249" s="22">
        <v>113027.61017453021</v>
      </c>
      <c r="R249" s="22">
        <v>100933.96174405208</v>
      </c>
      <c r="S249" s="22">
        <v>79712.979146793688</v>
      </c>
      <c r="T249" s="22">
        <v>45731.679578806266</v>
      </c>
      <c r="U249" s="22">
        <v>106012.56989009147</v>
      </c>
      <c r="V249" s="22">
        <v>106012.56989009147</v>
      </c>
      <c r="W249" s="22">
        <v>106012.56989009147</v>
      </c>
      <c r="X249" s="22">
        <v>106012.56989009147</v>
      </c>
      <c r="Y249" s="22">
        <v>106012.56989009147</v>
      </c>
      <c r="Z249" s="22">
        <v>106012.56989009147</v>
      </c>
      <c r="AA249" s="23">
        <v>106012.56989009147</v>
      </c>
      <c r="AB249" s="96">
        <f t="shared" ref="AB249" si="85">+SUM(D249:AA249)*AC249+SUM(D250:AA250)*AC250+SUM(D251:AA251)*AC251</f>
        <v>57511819.165374637</v>
      </c>
      <c r="AC249" s="16">
        <v>20</v>
      </c>
      <c r="AD249" s="16">
        <f t="shared" si="68"/>
        <v>37104399.461532027</v>
      </c>
    </row>
    <row r="250" spans="1:30" ht="13.5" thickBot="1" x14ac:dyDescent="0.35">
      <c r="A250" s="18">
        <v>2032</v>
      </c>
      <c r="B250" s="19" t="s">
        <v>44</v>
      </c>
      <c r="C250" s="20" t="s">
        <v>50</v>
      </c>
      <c r="D250" s="21">
        <v>26503.142472522879</v>
      </c>
      <c r="E250" s="22">
        <v>26503.142472522879</v>
      </c>
      <c r="F250" s="22">
        <v>26503.142472522879</v>
      </c>
      <c r="G250" s="22">
        <v>26503.142472522879</v>
      </c>
      <c r="H250" s="22">
        <v>26503.142472522879</v>
      </c>
      <c r="I250" s="22">
        <v>26503.142472522879</v>
      </c>
      <c r="J250" s="22">
        <v>26503.142472522879</v>
      </c>
      <c r="K250" s="22">
        <v>46706.148648326343</v>
      </c>
      <c r="L250" s="22">
        <v>81153.725478700057</v>
      </c>
      <c r="M250" s="22">
        <v>103813.09469062224</v>
      </c>
      <c r="N250" s="22">
        <v>116337.40951806263</v>
      </c>
      <c r="O250" s="22">
        <v>120667.67058183909</v>
      </c>
      <c r="P250" s="22">
        <v>119525.70697656853</v>
      </c>
      <c r="Q250" s="22">
        <v>113027.61017453021</v>
      </c>
      <c r="R250" s="22">
        <v>100933.96174405205</v>
      </c>
      <c r="S250" s="22">
        <v>79712.979146793659</v>
      </c>
      <c r="T250" s="22">
        <v>45731.679578806259</v>
      </c>
      <c r="U250" s="22">
        <v>106012.56989009152</v>
      </c>
      <c r="V250" s="22">
        <v>106012.56989009152</v>
      </c>
      <c r="W250" s="22">
        <v>106012.56989009152</v>
      </c>
      <c r="X250" s="22">
        <v>106012.56989009152</v>
      </c>
      <c r="Y250" s="22">
        <v>106012.56989009152</v>
      </c>
      <c r="Z250" s="22">
        <v>106012.56989009152</v>
      </c>
      <c r="AA250" s="23">
        <v>106012.56989009152</v>
      </c>
      <c r="AB250" s="97"/>
      <c r="AC250" s="24">
        <v>5</v>
      </c>
      <c r="AD250" s="16">
        <f t="shared" si="68"/>
        <v>9276099.8653830066</v>
      </c>
    </row>
    <row r="251" spans="1:30" ht="13.5" thickBot="1" x14ac:dyDescent="0.35">
      <c r="A251" s="18">
        <v>2032</v>
      </c>
      <c r="B251" s="25" t="s">
        <v>44</v>
      </c>
      <c r="C251" s="26" t="s">
        <v>36</v>
      </c>
      <c r="D251" s="21">
        <v>26503.142472522883</v>
      </c>
      <c r="E251" s="22">
        <v>26503.142472522883</v>
      </c>
      <c r="F251" s="22">
        <v>26503.142472522883</v>
      </c>
      <c r="G251" s="22">
        <v>26503.142472522883</v>
      </c>
      <c r="H251" s="22">
        <v>26503.142472522883</v>
      </c>
      <c r="I251" s="22">
        <v>26503.142472522883</v>
      </c>
      <c r="J251" s="22">
        <v>26503.142472522883</v>
      </c>
      <c r="K251" s="22">
        <v>46706.148648326343</v>
      </c>
      <c r="L251" s="22">
        <v>81153.725478700057</v>
      </c>
      <c r="M251" s="22">
        <v>103813.09469062224</v>
      </c>
      <c r="N251" s="22">
        <v>116337.40951806262</v>
      </c>
      <c r="O251" s="22">
        <v>120667.67058183909</v>
      </c>
      <c r="P251" s="22">
        <v>119525.70697656854</v>
      </c>
      <c r="Q251" s="22">
        <v>113027.6101745302</v>
      </c>
      <c r="R251" s="22">
        <v>100933.96174405205</v>
      </c>
      <c r="S251" s="22">
        <v>79712.979146793659</v>
      </c>
      <c r="T251" s="22">
        <v>45731.679578806266</v>
      </c>
      <c r="U251" s="22">
        <v>106012.56989009153</v>
      </c>
      <c r="V251" s="22">
        <v>106012.56989009153</v>
      </c>
      <c r="W251" s="22">
        <v>106012.56989009153</v>
      </c>
      <c r="X251" s="22">
        <v>106012.56989009153</v>
      </c>
      <c r="Y251" s="22">
        <v>106012.56989009153</v>
      </c>
      <c r="Z251" s="22">
        <v>106012.56989009153</v>
      </c>
      <c r="AA251" s="23">
        <v>106012.56989009153</v>
      </c>
      <c r="AB251" s="97"/>
      <c r="AC251" s="27">
        <v>6</v>
      </c>
      <c r="AD251" s="16">
        <f t="shared" si="68"/>
        <v>11131319.838459607</v>
      </c>
    </row>
    <row r="252" spans="1:30" ht="13.5" thickBot="1" x14ac:dyDescent="0.35">
      <c r="A252" s="18">
        <v>2032</v>
      </c>
      <c r="B252" s="11" t="s">
        <v>45</v>
      </c>
      <c r="C252" s="12" t="s">
        <v>33</v>
      </c>
      <c r="D252" s="21">
        <v>26503.142472522868</v>
      </c>
      <c r="E252" s="22">
        <v>26503.142472522868</v>
      </c>
      <c r="F252" s="22">
        <v>26503.142472522868</v>
      </c>
      <c r="G252" s="22">
        <v>26503.142472522868</v>
      </c>
      <c r="H252" s="22">
        <v>26503.142472522868</v>
      </c>
      <c r="I252" s="22">
        <v>26503.142472522868</v>
      </c>
      <c r="J252" s="22">
        <v>26503.142472522868</v>
      </c>
      <c r="K252" s="22">
        <v>46706.148648326322</v>
      </c>
      <c r="L252" s="22">
        <v>81153.725478700071</v>
      </c>
      <c r="M252" s="22">
        <v>103813.09469062227</v>
      </c>
      <c r="N252" s="22">
        <v>116337.40951806263</v>
      </c>
      <c r="O252" s="22">
        <v>120667.67058183908</v>
      </c>
      <c r="P252" s="22">
        <v>119525.70697656852</v>
      </c>
      <c r="Q252" s="22">
        <v>113027.61017453021</v>
      </c>
      <c r="R252" s="22">
        <v>100933.96174405208</v>
      </c>
      <c r="S252" s="22">
        <v>79712.979146793688</v>
      </c>
      <c r="T252" s="22">
        <v>45731.679578806266</v>
      </c>
      <c r="U252" s="22">
        <v>106012.56989009147</v>
      </c>
      <c r="V252" s="22">
        <v>106012.56989009147</v>
      </c>
      <c r="W252" s="22">
        <v>106012.56989009147</v>
      </c>
      <c r="X252" s="22">
        <v>106012.56989009147</v>
      </c>
      <c r="Y252" s="22">
        <v>106012.56989009147</v>
      </c>
      <c r="Z252" s="22">
        <v>106012.56989009147</v>
      </c>
      <c r="AA252" s="23">
        <v>106012.56989009147</v>
      </c>
      <c r="AB252" s="96">
        <f t="shared" ref="AB252" si="86">+SUM(D252:AA252)*AC252+SUM(D253:AA253)*AC253+SUM(D254:AA254)*AC254</f>
        <v>55656599.19229804</v>
      </c>
      <c r="AC252" s="16">
        <v>20</v>
      </c>
      <c r="AD252" s="16">
        <f t="shared" si="68"/>
        <v>37104399.461532027</v>
      </c>
    </row>
    <row r="253" spans="1:30" ht="13.5" thickBot="1" x14ac:dyDescent="0.35">
      <c r="A253" s="18">
        <v>2032</v>
      </c>
      <c r="B253" s="19" t="s">
        <v>45</v>
      </c>
      <c r="C253" s="20" t="s">
        <v>50</v>
      </c>
      <c r="D253" s="21">
        <v>26503.142472522883</v>
      </c>
      <c r="E253" s="22">
        <v>26503.142472522883</v>
      </c>
      <c r="F253" s="22">
        <v>26503.142472522883</v>
      </c>
      <c r="G253" s="22">
        <v>26503.142472522883</v>
      </c>
      <c r="H253" s="22">
        <v>26503.142472522883</v>
      </c>
      <c r="I253" s="22">
        <v>26503.142472522883</v>
      </c>
      <c r="J253" s="22">
        <v>26503.142472522883</v>
      </c>
      <c r="K253" s="22">
        <v>46706.148648326343</v>
      </c>
      <c r="L253" s="22">
        <v>81153.725478700057</v>
      </c>
      <c r="M253" s="22">
        <v>103813.09469062224</v>
      </c>
      <c r="N253" s="22">
        <v>116337.40951806263</v>
      </c>
      <c r="O253" s="22">
        <v>120667.67058183911</v>
      </c>
      <c r="P253" s="22">
        <v>119525.70697656853</v>
      </c>
      <c r="Q253" s="22">
        <v>113027.61017453021</v>
      </c>
      <c r="R253" s="22">
        <v>100933.96174405205</v>
      </c>
      <c r="S253" s="22">
        <v>79712.979146793659</v>
      </c>
      <c r="T253" s="22">
        <v>45731.679578806259</v>
      </c>
      <c r="U253" s="22">
        <v>106012.56989009153</v>
      </c>
      <c r="V253" s="22">
        <v>106012.56989009153</v>
      </c>
      <c r="W253" s="22">
        <v>106012.56989009153</v>
      </c>
      <c r="X253" s="22">
        <v>106012.56989009153</v>
      </c>
      <c r="Y253" s="22">
        <v>106012.56989009153</v>
      </c>
      <c r="Z253" s="22">
        <v>106012.56989009153</v>
      </c>
      <c r="AA253" s="23">
        <v>106012.56989009153</v>
      </c>
      <c r="AB253" s="97"/>
      <c r="AC253" s="24">
        <v>4</v>
      </c>
      <c r="AD253" s="16">
        <f t="shared" si="68"/>
        <v>7420879.8923064051</v>
      </c>
    </row>
    <row r="254" spans="1:30" ht="13.5" thickBot="1" x14ac:dyDescent="0.35">
      <c r="A254" s="18">
        <v>2032</v>
      </c>
      <c r="B254" s="25" t="s">
        <v>45</v>
      </c>
      <c r="C254" s="26" t="s">
        <v>36</v>
      </c>
      <c r="D254" s="21">
        <v>26503.142472522883</v>
      </c>
      <c r="E254" s="22">
        <v>26503.142472522883</v>
      </c>
      <c r="F254" s="22">
        <v>26503.142472522883</v>
      </c>
      <c r="G254" s="22">
        <v>26503.142472522883</v>
      </c>
      <c r="H254" s="22">
        <v>26503.142472522883</v>
      </c>
      <c r="I254" s="22">
        <v>26503.142472522883</v>
      </c>
      <c r="J254" s="22">
        <v>26503.142472522883</v>
      </c>
      <c r="K254" s="22">
        <v>46706.148648326343</v>
      </c>
      <c r="L254" s="22">
        <v>81153.725478700057</v>
      </c>
      <c r="M254" s="22">
        <v>103813.09469062224</v>
      </c>
      <c r="N254" s="22">
        <v>116337.40951806262</v>
      </c>
      <c r="O254" s="22">
        <v>120667.67058183909</v>
      </c>
      <c r="P254" s="22">
        <v>119525.70697656854</v>
      </c>
      <c r="Q254" s="22">
        <v>113027.6101745302</v>
      </c>
      <c r="R254" s="22">
        <v>100933.96174405205</v>
      </c>
      <c r="S254" s="22">
        <v>79712.979146793659</v>
      </c>
      <c r="T254" s="22">
        <v>45731.679578806266</v>
      </c>
      <c r="U254" s="22">
        <v>106012.56989009153</v>
      </c>
      <c r="V254" s="22">
        <v>106012.56989009153</v>
      </c>
      <c r="W254" s="22">
        <v>106012.56989009153</v>
      </c>
      <c r="X254" s="22">
        <v>106012.56989009153</v>
      </c>
      <c r="Y254" s="22">
        <v>106012.56989009153</v>
      </c>
      <c r="Z254" s="22">
        <v>106012.56989009153</v>
      </c>
      <c r="AA254" s="23">
        <v>106012.56989009153</v>
      </c>
      <c r="AB254" s="97"/>
      <c r="AC254" s="27">
        <v>6</v>
      </c>
      <c r="AD254" s="16">
        <f t="shared" si="68"/>
        <v>11131319.838459607</v>
      </c>
    </row>
    <row r="255" spans="1:30" ht="13.5" thickBot="1" x14ac:dyDescent="0.35">
      <c r="A255" s="18">
        <v>2032</v>
      </c>
      <c r="B255" s="11" t="s">
        <v>46</v>
      </c>
      <c r="C255" s="12" t="s">
        <v>33</v>
      </c>
      <c r="D255" s="21">
        <v>26503.142472522872</v>
      </c>
      <c r="E255" s="22">
        <v>26503.142472522872</v>
      </c>
      <c r="F255" s="22">
        <v>26503.142472522872</v>
      </c>
      <c r="G255" s="22">
        <v>26503.142472522872</v>
      </c>
      <c r="H255" s="22">
        <v>26503.142472522872</v>
      </c>
      <c r="I255" s="22">
        <v>26503.142472522872</v>
      </c>
      <c r="J255" s="22">
        <v>26503.142472522872</v>
      </c>
      <c r="K255" s="22">
        <v>46706.148648326314</v>
      </c>
      <c r="L255" s="22">
        <v>81153.725478700071</v>
      </c>
      <c r="M255" s="22">
        <v>103813.09469062228</v>
      </c>
      <c r="N255" s="22">
        <v>116337.40951806262</v>
      </c>
      <c r="O255" s="22">
        <v>120667.67058183906</v>
      </c>
      <c r="P255" s="22">
        <v>119525.7069765685</v>
      </c>
      <c r="Q255" s="22">
        <v>113027.6101745302</v>
      </c>
      <c r="R255" s="22">
        <v>100933.96174405207</v>
      </c>
      <c r="S255" s="22">
        <v>79712.979146793703</v>
      </c>
      <c r="T255" s="22">
        <v>45731.679578806266</v>
      </c>
      <c r="U255" s="22">
        <v>106012.56989009149</v>
      </c>
      <c r="V255" s="22">
        <v>106012.56989009149</v>
      </c>
      <c r="W255" s="22">
        <v>106012.56989009149</v>
      </c>
      <c r="X255" s="22">
        <v>106012.56989009149</v>
      </c>
      <c r="Y255" s="22">
        <v>106012.56989009149</v>
      </c>
      <c r="Z255" s="22">
        <v>106012.56989009149</v>
      </c>
      <c r="AA255" s="23">
        <v>106012.56989009149</v>
      </c>
      <c r="AB255" s="96">
        <f t="shared" ref="AB255" si="87">+SUM(D255:AA255)*AC255+SUM(D256:AA256)*AC256+SUM(D257:AA257)*AC257</f>
        <v>57511819.165374637</v>
      </c>
      <c r="AC255" s="16">
        <v>22</v>
      </c>
      <c r="AD255" s="16">
        <f t="shared" si="68"/>
        <v>40814839.407685228</v>
      </c>
    </row>
    <row r="256" spans="1:30" ht="13.5" thickBot="1" x14ac:dyDescent="0.35">
      <c r="A256" s="18">
        <v>2032</v>
      </c>
      <c r="B256" s="19" t="s">
        <v>46</v>
      </c>
      <c r="C256" s="20" t="s">
        <v>50</v>
      </c>
      <c r="D256" s="21">
        <v>26503.142472522883</v>
      </c>
      <c r="E256" s="22">
        <v>26503.142472522883</v>
      </c>
      <c r="F256" s="22">
        <v>26503.142472522883</v>
      </c>
      <c r="G256" s="22">
        <v>26503.142472522883</v>
      </c>
      <c r="H256" s="22">
        <v>26503.142472522883</v>
      </c>
      <c r="I256" s="22">
        <v>26503.142472522883</v>
      </c>
      <c r="J256" s="22">
        <v>26503.142472522883</v>
      </c>
      <c r="K256" s="22">
        <v>46706.148648326343</v>
      </c>
      <c r="L256" s="22">
        <v>81153.725478700057</v>
      </c>
      <c r="M256" s="22">
        <v>103813.09469062224</v>
      </c>
      <c r="N256" s="22">
        <v>116337.40951806265</v>
      </c>
      <c r="O256" s="22">
        <v>120667.67058183911</v>
      </c>
      <c r="P256" s="22">
        <v>119525.70697656852</v>
      </c>
      <c r="Q256" s="22">
        <v>113027.61017453023</v>
      </c>
      <c r="R256" s="22">
        <v>100933.96174405205</v>
      </c>
      <c r="S256" s="22">
        <v>79712.979146793659</v>
      </c>
      <c r="T256" s="22">
        <v>45731.679578806252</v>
      </c>
      <c r="U256" s="22">
        <v>106012.56989009153</v>
      </c>
      <c r="V256" s="22">
        <v>106012.56989009153</v>
      </c>
      <c r="W256" s="22">
        <v>106012.56989009153</v>
      </c>
      <c r="X256" s="22">
        <v>106012.56989009153</v>
      </c>
      <c r="Y256" s="22">
        <v>106012.56989009153</v>
      </c>
      <c r="Z256" s="22">
        <v>106012.56989009153</v>
      </c>
      <c r="AA256" s="23">
        <v>106012.56989009153</v>
      </c>
      <c r="AB256" s="97"/>
      <c r="AC256" s="24">
        <v>3</v>
      </c>
      <c r="AD256" s="16">
        <f t="shared" si="68"/>
        <v>5565659.9192298036</v>
      </c>
    </row>
    <row r="257" spans="1:30" ht="13.5" thickBot="1" x14ac:dyDescent="0.35">
      <c r="A257" s="28">
        <v>2032</v>
      </c>
      <c r="B257" s="25" t="s">
        <v>46</v>
      </c>
      <c r="C257" s="26" t="s">
        <v>36</v>
      </c>
      <c r="D257" s="29">
        <v>26503.142472522883</v>
      </c>
      <c r="E257" s="30">
        <v>26503.142472522883</v>
      </c>
      <c r="F257" s="30">
        <v>26503.142472522883</v>
      </c>
      <c r="G257" s="30">
        <v>26503.142472522883</v>
      </c>
      <c r="H257" s="30">
        <v>26503.142472522883</v>
      </c>
      <c r="I257" s="30">
        <v>26503.142472522883</v>
      </c>
      <c r="J257" s="30">
        <v>26503.142472522883</v>
      </c>
      <c r="K257" s="30">
        <v>46706.148648326343</v>
      </c>
      <c r="L257" s="30">
        <v>81153.725478700057</v>
      </c>
      <c r="M257" s="30">
        <v>103813.09469062224</v>
      </c>
      <c r="N257" s="30">
        <v>116337.40951806262</v>
      </c>
      <c r="O257" s="30">
        <v>120667.67058183909</v>
      </c>
      <c r="P257" s="30">
        <v>119525.70697656854</v>
      </c>
      <c r="Q257" s="30">
        <v>113027.6101745302</v>
      </c>
      <c r="R257" s="30">
        <v>100933.96174405205</v>
      </c>
      <c r="S257" s="30">
        <v>79712.979146793659</v>
      </c>
      <c r="T257" s="30">
        <v>45731.679578806266</v>
      </c>
      <c r="U257" s="30">
        <v>106012.56989009153</v>
      </c>
      <c r="V257" s="30">
        <v>106012.56989009153</v>
      </c>
      <c r="W257" s="30">
        <v>106012.56989009153</v>
      </c>
      <c r="X257" s="30">
        <v>106012.56989009153</v>
      </c>
      <c r="Y257" s="30">
        <v>106012.56989009153</v>
      </c>
      <c r="Z257" s="30">
        <v>106012.56989009153</v>
      </c>
      <c r="AA257" s="31">
        <v>106012.56989009153</v>
      </c>
      <c r="AB257" s="97"/>
      <c r="AC257" s="27">
        <v>6</v>
      </c>
      <c r="AD257" s="42">
        <f t="shared" si="68"/>
        <v>11131319.838459607</v>
      </c>
    </row>
    <row r="258" spans="1:30" ht="13.5" thickBot="1" x14ac:dyDescent="0.35">
      <c r="A258" s="10">
        <v>2033</v>
      </c>
      <c r="B258" s="11" t="s">
        <v>32</v>
      </c>
      <c r="C258" s="12" t="s">
        <v>33</v>
      </c>
      <c r="D258" s="13">
        <v>27496.542769667525</v>
      </c>
      <c r="E258" s="14">
        <v>27496.542769667525</v>
      </c>
      <c r="F258" s="14">
        <v>27496.542769667525</v>
      </c>
      <c r="G258" s="14">
        <v>27496.542769667525</v>
      </c>
      <c r="H258" s="14">
        <v>27496.542769667525</v>
      </c>
      <c r="I258" s="14">
        <v>27496.542769667525</v>
      </c>
      <c r="J258" s="14">
        <v>27496.542769667525</v>
      </c>
      <c r="K258" s="14">
        <v>48456.805273058002</v>
      </c>
      <c r="L258" s="14">
        <v>84195.558540138489</v>
      </c>
      <c r="M258" s="14">
        <v>107704.25436046463</v>
      </c>
      <c r="N258" s="14">
        <v>120698.01005077669</v>
      </c>
      <c r="O258" s="14">
        <v>125190.57951371484</v>
      </c>
      <c r="P258" s="14">
        <v>124005.8124187834</v>
      </c>
      <c r="Q258" s="14">
        <v>117264.15162048645</v>
      </c>
      <c r="R258" s="14">
        <v>104717.20471957767</v>
      </c>
      <c r="S258" s="14">
        <v>82700.809637189537</v>
      </c>
      <c r="T258" s="14">
        <v>47445.810804173569</v>
      </c>
      <c r="U258" s="14">
        <v>109986.1710786701</v>
      </c>
      <c r="V258" s="14">
        <v>109986.1710786701</v>
      </c>
      <c r="W258" s="14">
        <v>109986.1710786701</v>
      </c>
      <c r="X258" s="14">
        <v>109986.1710786701</v>
      </c>
      <c r="Y258" s="14">
        <v>109986.1710786701</v>
      </c>
      <c r="Z258" s="14">
        <v>109986.1710786701</v>
      </c>
      <c r="AA258" s="15">
        <v>109986.1710786701</v>
      </c>
      <c r="AB258" s="96">
        <f t="shared" ref="AB258" si="88">+SUM(D258:AA258)*AC258+SUM(D259:AA259)*AC259+SUM(D260:AA260)*AC260</f>
        <v>59667497.810178526</v>
      </c>
      <c r="AC258" s="16">
        <v>20</v>
      </c>
      <c r="AD258" s="16">
        <f t="shared" si="68"/>
        <v>38495159.877534531</v>
      </c>
    </row>
    <row r="259" spans="1:30" ht="13.5" thickBot="1" x14ac:dyDescent="0.35">
      <c r="A259" s="18">
        <v>2033</v>
      </c>
      <c r="B259" s="19" t="s">
        <v>32</v>
      </c>
      <c r="C259" s="20" t="s">
        <v>50</v>
      </c>
      <c r="D259" s="21">
        <v>27496.542769667525</v>
      </c>
      <c r="E259" s="22">
        <v>27496.542769667525</v>
      </c>
      <c r="F259" s="22">
        <v>27496.542769667525</v>
      </c>
      <c r="G259" s="22">
        <v>27496.542769667525</v>
      </c>
      <c r="H259" s="22">
        <v>27496.542769667525</v>
      </c>
      <c r="I259" s="22">
        <v>27496.542769667525</v>
      </c>
      <c r="J259" s="22">
        <v>27496.542769667525</v>
      </c>
      <c r="K259" s="22">
        <v>48456.805273057995</v>
      </c>
      <c r="L259" s="22">
        <v>84195.558540138532</v>
      </c>
      <c r="M259" s="22">
        <v>107704.25436046463</v>
      </c>
      <c r="N259" s="22">
        <v>120698.01005077671</v>
      </c>
      <c r="O259" s="22">
        <v>125190.57951371488</v>
      </c>
      <c r="P259" s="22">
        <v>124005.8124187834</v>
      </c>
      <c r="Q259" s="22">
        <v>117264.15162048645</v>
      </c>
      <c r="R259" s="22">
        <v>104717.20471957765</v>
      </c>
      <c r="S259" s="22">
        <v>82700.809637189508</v>
      </c>
      <c r="T259" s="22">
        <v>47445.810804173554</v>
      </c>
      <c r="U259" s="22">
        <v>109986.1710786701</v>
      </c>
      <c r="V259" s="22">
        <v>109986.1710786701</v>
      </c>
      <c r="W259" s="22">
        <v>109986.1710786701</v>
      </c>
      <c r="X259" s="22">
        <v>109986.1710786701</v>
      </c>
      <c r="Y259" s="22">
        <v>109986.1710786701</v>
      </c>
      <c r="Z259" s="22">
        <v>109986.1710786701</v>
      </c>
      <c r="AA259" s="23">
        <v>109986.1710786701</v>
      </c>
      <c r="AB259" s="97"/>
      <c r="AC259" s="24">
        <v>4</v>
      </c>
      <c r="AD259" s="16">
        <f t="shared" si="68"/>
        <v>7699031.9755069064</v>
      </c>
    </row>
    <row r="260" spans="1:30" ht="13.5" thickBot="1" x14ac:dyDescent="0.35">
      <c r="A260" s="18">
        <v>2033</v>
      </c>
      <c r="B260" s="25" t="s">
        <v>32</v>
      </c>
      <c r="C260" s="26" t="s">
        <v>36</v>
      </c>
      <c r="D260" s="21">
        <v>27496.542769667521</v>
      </c>
      <c r="E260" s="22">
        <v>27496.542769667521</v>
      </c>
      <c r="F260" s="22">
        <v>27496.542769667521</v>
      </c>
      <c r="G260" s="22">
        <v>27496.542769667521</v>
      </c>
      <c r="H260" s="22">
        <v>27496.542769667521</v>
      </c>
      <c r="I260" s="22">
        <v>27496.542769667521</v>
      </c>
      <c r="J260" s="22">
        <v>27496.542769667521</v>
      </c>
      <c r="K260" s="22">
        <v>48456.805273058002</v>
      </c>
      <c r="L260" s="22">
        <v>84195.558540138532</v>
      </c>
      <c r="M260" s="22">
        <v>107704.25436046463</v>
      </c>
      <c r="N260" s="22">
        <v>120698.01005077668</v>
      </c>
      <c r="O260" s="22">
        <v>125190.57951371488</v>
      </c>
      <c r="P260" s="22">
        <v>124005.81241878342</v>
      </c>
      <c r="Q260" s="22">
        <v>117264.15162048643</v>
      </c>
      <c r="R260" s="22">
        <v>104717.20471957767</v>
      </c>
      <c r="S260" s="22">
        <v>82700.809637189508</v>
      </c>
      <c r="T260" s="22">
        <v>47445.810804173547</v>
      </c>
      <c r="U260" s="22">
        <v>109986.17107867009</v>
      </c>
      <c r="V260" s="22">
        <v>109986.17107867009</v>
      </c>
      <c r="W260" s="22">
        <v>109986.17107867009</v>
      </c>
      <c r="X260" s="22">
        <v>109986.17107867009</v>
      </c>
      <c r="Y260" s="22">
        <v>109986.17107867009</v>
      </c>
      <c r="Z260" s="22">
        <v>109986.17107867009</v>
      </c>
      <c r="AA260" s="23">
        <v>109986.17107867009</v>
      </c>
      <c r="AB260" s="97"/>
      <c r="AC260" s="27">
        <v>7</v>
      </c>
      <c r="AD260" s="16">
        <f t="shared" si="68"/>
        <v>13473305.957137085</v>
      </c>
    </row>
    <row r="261" spans="1:30" ht="13.5" thickBot="1" x14ac:dyDescent="0.35">
      <c r="A261" s="18">
        <v>2033</v>
      </c>
      <c r="B261" s="11" t="s">
        <v>35</v>
      </c>
      <c r="C261" s="12" t="s">
        <v>33</v>
      </c>
      <c r="D261" s="21">
        <v>27496.542769667525</v>
      </c>
      <c r="E261" s="22">
        <v>27496.542769667525</v>
      </c>
      <c r="F261" s="22">
        <v>27496.542769667525</v>
      </c>
      <c r="G261" s="22">
        <v>27496.542769667525</v>
      </c>
      <c r="H261" s="22">
        <v>27496.542769667525</v>
      </c>
      <c r="I261" s="22">
        <v>27496.542769667525</v>
      </c>
      <c r="J261" s="22">
        <v>27496.542769667525</v>
      </c>
      <c r="K261" s="22">
        <v>48456.805273058002</v>
      </c>
      <c r="L261" s="22">
        <v>84195.558540138489</v>
      </c>
      <c r="M261" s="22">
        <v>107704.25436046463</v>
      </c>
      <c r="N261" s="22">
        <v>120698.01005077669</v>
      </c>
      <c r="O261" s="22">
        <v>125190.57951371484</v>
      </c>
      <c r="P261" s="22">
        <v>124005.8124187834</v>
      </c>
      <c r="Q261" s="22">
        <v>117264.15162048645</v>
      </c>
      <c r="R261" s="22">
        <v>104717.20471957767</v>
      </c>
      <c r="S261" s="22">
        <v>82700.809637189537</v>
      </c>
      <c r="T261" s="22">
        <v>47445.810804173569</v>
      </c>
      <c r="U261" s="22">
        <v>109986.1710786701</v>
      </c>
      <c r="V261" s="22">
        <v>109986.1710786701</v>
      </c>
      <c r="W261" s="22">
        <v>109986.1710786701</v>
      </c>
      <c r="X261" s="22">
        <v>109986.1710786701</v>
      </c>
      <c r="Y261" s="22">
        <v>109986.1710786701</v>
      </c>
      <c r="Z261" s="22">
        <v>109986.1710786701</v>
      </c>
      <c r="AA261" s="23">
        <v>109986.1710786701</v>
      </c>
      <c r="AB261" s="96">
        <f t="shared" ref="AB261" si="89">+SUM(D261:AA261)*AC261+SUM(D262:AA262)*AC262+SUM(D263:AA263)*AC263</f>
        <v>53893223.828548349</v>
      </c>
      <c r="AC261" s="16">
        <v>20</v>
      </c>
      <c r="AD261" s="16">
        <f t="shared" si="68"/>
        <v>38495159.877534531</v>
      </c>
    </row>
    <row r="262" spans="1:30" ht="13.5" thickBot="1" x14ac:dyDescent="0.35">
      <c r="A262" s="18">
        <v>2033</v>
      </c>
      <c r="B262" s="19" t="s">
        <v>35</v>
      </c>
      <c r="C262" s="20" t="s">
        <v>50</v>
      </c>
      <c r="D262" s="21">
        <v>27496.542769667525</v>
      </c>
      <c r="E262" s="22">
        <v>27496.542769667525</v>
      </c>
      <c r="F262" s="22">
        <v>27496.542769667525</v>
      </c>
      <c r="G262" s="22">
        <v>27496.542769667525</v>
      </c>
      <c r="H262" s="22">
        <v>27496.542769667525</v>
      </c>
      <c r="I262" s="22">
        <v>27496.542769667525</v>
      </c>
      <c r="J262" s="22">
        <v>27496.542769667525</v>
      </c>
      <c r="K262" s="22">
        <v>48456.805273057995</v>
      </c>
      <c r="L262" s="22">
        <v>84195.558540138532</v>
      </c>
      <c r="M262" s="22">
        <v>107704.25436046463</v>
      </c>
      <c r="N262" s="22">
        <v>120698.01005077671</v>
      </c>
      <c r="O262" s="22">
        <v>125190.57951371488</v>
      </c>
      <c r="P262" s="22">
        <v>124005.8124187834</v>
      </c>
      <c r="Q262" s="22">
        <v>117264.15162048645</v>
      </c>
      <c r="R262" s="22">
        <v>104717.20471957765</v>
      </c>
      <c r="S262" s="22">
        <v>82700.809637189508</v>
      </c>
      <c r="T262" s="22">
        <v>47445.810804173554</v>
      </c>
      <c r="U262" s="22">
        <v>109986.1710786701</v>
      </c>
      <c r="V262" s="22">
        <v>109986.1710786701</v>
      </c>
      <c r="W262" s="22">
        <v>109986.1710786701</v>
      </c>
      <c r="X262" s="22">
        <v>109986.1710786701</v>
      </c>
      <c r="Y262" s="22">
        <v>109986.1710786701</v>
      </c>
      <c r="Z262" s="22">
        <v>109986.1710786701</v>
      </c>
      <c r="AA262" s="23">
        <v>109986.1710786701</v>
      </c>
      <c r="AB262" s="97"/>
      <c r="AC262" s="24">
        <v>4</v>
      </c>
      <c r="AD262" s="16">
        <f t="shared" ref="AD262:AD325" si="90">+SUM(D262:AA262)*AC262</f>
        <v>7699031.9755069064</v>
      </c>
    </row>
    <row r="263" spans="1:30" ht="13.5" thickBot="1" x14ac:dyDescent="0.35">
      <c r="A263" s="18">
        <v>2033</v>
      </c>
      <c r="B263" s="25" t="s">
        <v>35</v>
      </c>
      <c r="C263" s="26" t="s">
        <v>36</v>
      </c>
      <c r="D263" s="21">
        <v>27496.542769667525</v>
      </c>
      <c r="E263" s="22">
        <v>27496.542769667525</v>
      </c>
      <c r="F263" s="22">
        <v>27496.542769667525</v>
      </c>
      <c r="G263" s="22">
        <v>27496.542769667525</v>
      </c>
      <c r="H263" s="22">
        <v>27496.542769667525</v>
      </c>
      <c r="I263" s="22">
        <v>27496.542769667525</v>
      </c>
      <c r="J263" s="22">
        <v>27496.542769667525</v>
      </c>
      <c r="K263" s="22">
        <v>48456.805273057995</v>
      </c>
      <c r="L263" s="22">
        <v>84195.558540138532</v>
      </c>
      <c r="M263" s="22">
        <v>107704.25436046463</v>
      </c>
      <c r="N263" s="22">
        <v>120698.01005077671</v>
      </c>
      <c r="O263" s="22">
        <v>125190.57951371488</v>
      </c>
      <c r="P263" s="22">
        <v>124005.8124187834</v>
      </c>
      <c r="Q263" s="22">
        <v>117264.15162048645</v>
      </c>
      <c r="R263" s="22">
        <v>104717.20471957765</v>
      </c>
      <c r="S263" s="22">
        <v>82700.809637189508</v>
      </c>
      <c r="T263" s="22">
        <v>47445.810804173554</v>
      </c>
      <c r="U263" s="22">
        <v>109986.1710786701</v>
      </c>
      <c r="V263" s="22">
        <v>109986.1710786701</v>
      </c>
      <c r="W263" s="22">
        <v>109986.1710786701</v>
      </c>
      <c r="X263" s="22">
        <v>109986.1710786701</v>
      </c>
      <c r="Y263" s="22">
        <v>109986.1710786701</v>
      </c>
      <c r="Z263" s="22">
        <v>109986.1710786701</v>
      </c>
      <c r="AA263" s="23">
        <v>109986.1710786701</v>
      </c>
      <c r="AB263" s="97"/>
      <c r="AC263" s="27">
        <v>4</v>
      </c>
      <c r="AD263" s="16">
        <f t="shared" si="90"/>
        <v>7699031.9755069064</v>
      </c>
    </row>
    <row r="264" spans="1:30" ht="13.5" thickBot="1" x14ac:dyDescent="0.35">
      <c r="A264" s="18">
        <v>2033</v>
      </c>
      <c r="B264" s="11" t="s">
        <v>37</v>
      </c>
      <c r="C264" s="12" t="s">
        <v>33</v>
      </c>
      <c r="D264" s="21">
        <v>27496.542769667529</v>
      </c>
      <c r="E264" s="22">
        <v>27496.542769667529</v>
      </c>
      <c r="F264" s="22">
        <v>27496.542769667529</v>
      </c>
      <c r="G264" s="22">
        <v>27496.542769667529</v>
      </c>
      <c r="H264" s="22">
        <v>27496.542769667529</v>
      </c>
      <c r="I264" s="22">
        <v>27496.542769667529</v>
      </c>
      <c r="J264" s="22">
        <v>27496.542769667529</v>
      </c>
      <c r="K264" s="22">
        <v>48456.805273058002</v>
      </c>
      <c r="L264" s="22">
        <v>84195.558540138474</v>
      </c>
      <c r="M264" s="22">
        <v>107704.25436046462</v>
      </c>
      <c r="N264" s="22">
        <v>120698.01005077671</v>
      </c>
      <c r="O264" s="22">
        <v>125190.57951371482</v>
      </c>
      <c r="P264" s="22">
        <v>124005.81241878342</v>
      </c>
      <c r="Q264" s="22">
        <v>117264.15162048643</v>
      </c>
      <c r="R264" s="22">
        <v>104717.20471957767</v>
      </c>
      <c r="S264" s="22">
        <v>82700.809637189552</v>
      </c>
      <c r="T264" s="22">
        <v>47445.810804173576</v>
      </c>
      <c r="U264" s="22">
        <v>109986.17107867012</v>
      </c>
      <c r="V264" s="22">
        <v>109986.17107867012</v>
      </c>
      <c r="W264" s="22">
        <v>109986.17107867012</v>
      </c>
      <c r="X264" s="22">
        <v>109986.17107867012</v>
      </c>
      <c r="Y264" s="22">
        <v>109986.17107867012</v>
      </c>
      <c r="Z264" s="22">
        <v>109986.17107867012</v>
      </c>
      <c r="AA264" s="23">
        <v>109986.17107867012</v>
      </c>
      <c r="AB264" s="96">
        <f t="shared" ref="AB264" si="91">+SUM(D264:AA264)*AC264+SUM(D265:AA265)*AC265+SUM(D266:AA266)*AC266</f>
        <v>59667497.810178526</v>
      </c>
      <c r="AC264" s="16">
        <v>22</v>
      </c>
      <c r="AD264" s="16">
        <f t="shared" si="90"/>
        <v>42344675.865287982</v>
      </c>
    </row>
    <row r="265" spans="1:30" ht="13.5" thickBot="1" x14ac:dyDescent="0.35">
      <c r="A265" s="18">
        <v>2033</v>
      </c>
      <c r="B265" s="19" t="s">
        <v>37</v>
      </c>
      <c r="C265" s="20" t="s">
        <v>50</v>
      </c>
      <c r="D265" s="21">
        <v>27496.542769667525</v>
      </c>
      <c r="E265" s="22">
        <v>27496.542769667525</v>
      </c>
      <c r="F265" s="22">
        <v>27496.542769667525</v>
      </c>
      <c r="G265" s="22">
        <v>27496.542769667525</v>
      </c>
      <c r="H265" s="22">
        <v>27496.542769667525</v>
      </c>
      <c r="I265" s="22">
        <v>27496.542769667525</v>
      </c>
      <c r="J265" s="22">
        <v>27496.542769667525</v>
      </c>
      <c r="K265" s="22">
        <v>48456.805273057995</v>
      </c>
      <c r="L265" s="22">
        <v>84195.558540138532</v>
      </c>
      <c r="M265" s="22">
        <v>107704.25436046463</v>
      </c>
      <c r="N265" s="22">
        <v>120698.01005077671</v>
      </c>
      <c r="O265" s="22">
        <v>125190.57951371488</v>
      </c>
      <c r="P265" s="22">
        <v>124005.8124187834</v>
      </c>
      <c r="Q265" s="22">
        <v>117264.15162048645</v>
      </c>
      <c r="R265" s="22">
        <v>104717.20471957765</v>
      </c>
      <c r="S265" s="22">
        <v>82700.809637189508</v>
      </c>
      <c r="T265" s="22">
        <v>47445.810804173554</v>
      </c>
      <c r="U265" s="22">
        <v>109986.1710786701</v>
      </c>
      <c r="V265" s="22">
        <v>109986.1710786701</v>
      </c>
      <c r="W265" s="22">
        <v>109986.1710786701</v>
      </c>
      <c r="X265" s="22">
        <v>109986.1710786701</v>
      </c>
      <c r="Y265" s="22">
        <v>109986.1710786701</v>
      </c>
      <c r="Z265" s="22">
        <v>109986.1710786701</v>
      </c>
      <c r="AA265" s="23">
        <v>109986.1710786701</v>
      </c>
      <c r="AB265" s="97"/>
      <c r="AC265" s="24">
        <v>4</v>
      </c>
      <c r="AD265" s="16">
        <f t="shared" si="90"/>
        <v>7699031.9755069064</v>
      </c>
    </row>
    <row r="266" spans="1:30" ht="13.5" thickBot="1" x14ac:dyDescent="0.35">
      <c r="A266" s="18">
        <v>2033</v>
      </c>
      <c r="B266" s="25" t="s">
        <v>37</v>
      </c>
      <c r="C266" s="26" t="s">
        <v>36</v>
      </c>
      <c r="D266" s="21">
        <v>27496.542769667525</v>
      </c>
      <c r="E266" s="22">
        <v>27496.542769667525</v>
      </c>
      <c r="F266" s="22">
        <v>27496.542769667525</v>
      </c>
      <c r="G266" s="22">
        <v>27496.542769667525</v>
      </c>
      <c r="H266" s="22">
        <v>27496.542769667525</v>
      </c>
      <c r="I266" s="22">
        <v>27496.542769667525</v>
      </c>
      <c r="J266" s="22">
        <v>27496.542769667525</v>
      </c>
      <c r="K266" s="22">
        <v>48456.805273057995</v>
      </c>
      <c r="L266" s="22">
        <v>84195.558540138532</v>
      </c>
      <c r="M266" s="22">
        <v>107704.25436046463</v>
      </c>
      <c r="N266" s="22">
        <v>120698.01005077669</v>
      </c>
      <c r="O266" s="22">
        <v>125190.57951371488</v>
      </c>
      <c r="P266" s="22">
        <v>124005.8124187834</v>
      </c>
      <c r="Q266" s="22">
        <v>117264.15162048645</v>
      </c>
      <c r="R266" s="22">
        <v>104717.20471957765</v>
      </c>
      <c r="S266" s="22">
        <v>82700.809637189508</v>
      </c>
      <c r="T266" s="22">
        <v>47445.810804173554</v>
      </c>
      <c r="U266" s="22">
        <v>109986.1710786701</v>
      </c>
      <c r="V266" s="22">
        <v>109986.1710786701</v>
      </c>
      <c r="W266" s="22">
        <v>109986.1710786701</v>
      </c>
      <c r="X266" s="22">
        <v>109986.1710786701</v>
      </c>
      <c r="Y266" s="22">
        <v>109986.1710786701</v>
      </c>
      <c r="Z266" s="22">
        <v>109986.1710786701</v>
      </c>
      <c r="AA266" s="23">
        <v>109986.1710786701</v>
      </c>
      <c r="AB266" s="97"/>
      <c r="AC266" s="27">
        <v>5</v>
      </c>
      <c r="AD266" s="16">
        <f t="shared" si="90"/>
        <v>9623789.9693836328</v>
      </c>
    </row>
    <row r="267" spans="1:30" ht="13.5" thickBot="1" x14ac:dyDescent="0.35">
      <c r="A267" s="18">
        <v>2033</v>
      </c>
      <c r="B267" s="11" t="s">
        <v>38</v>
      </c>
      <c r="C267" s="12" t="s">
        <v>33</v>
      </c>
      <c r="D267" s="21">
        <v>27496.542769667521</v>
      </c>
      <c r="E267" s="22">
        <v>27496.542769667521</v>
      </c>
      <c r="F267" s="22">
        <v>27496.542769667521</v>
      </c>
      <c r="G267" s="22">
        <v>27496.542769667521</v>
      </c>
      <c r="H267" s="22">
        <v>27496.542769667521</v>
      </c>
      <c r="I267" s="22">
        <v>27496.542769667521</v>
      </c>
      <c r="J267" s="22">
        <v>27496.542769667521</v>
      </c>
      <c r="K267" s="22">
        <v>48456.805273058002</v>
      </c>
      <c r="L267" s="22">
        <v>84195.558540138489</v>
      </c>
      <c r="M267" s="22">
        <v>107704.25436046463</v>
      </c>
      <c r="N267" s="22">
        <v>120698.01005077669</v>
      </c>
      <c r="O267" s="22">
        <v>125190.57951371484</v>
      </c>
      <c r="P267" s="22">
        <v>124005.8124187834</v>
      </c>
      <c r="Q267" s="22">
        <v>117264.15162048646</v>
      </c>
      <c r="R267" s="22">
        <v>104717.20471957767</v>
      </c>
      <c r="S267" s="22">
        <v>82700.809637189537</v>
      </c>
      <c r="T267" s="22">
        <v>47445.810804173569</v>
      </c>
      <c r="U267" s="22">
        <v>109986.17107867009</v>
      </c>
      <c r="V267" s="22">
        <v>109986.17107867009</v>
      </c>
      <c r="W267" s="22">
        <v>109986.17107867009</v>
      </c>
      <c r="X267" s="22">
        <v>109986.17107867009</v>
      </c>
      <c r="Y267" s="22">
        <v>109986.17107867009</v>
      </c>
      <c r="Z267" s="22">
        <v>109986.17107867009</v>
      </c>
      <c r="AA267" s="23">
        <v>109986.17107867009</v>
      </c>
      <c r="AB267" s="96">
        <f t="shared" ref="AB267" si="92">+SUM(D267:AA267)*AC267+SUM(D268:AA268)*AC268+SUM(D269:AA269)*AC269</f>
        <v>57742739.8163018</v>
      </c>
      <c r="AC267" s="16">
        <v>19</v>
      </c>
      <c r="AD267" s="16">
        <f t="shared" si="90"/>
        <v>36570401.883657806</v>
      </c>
    </row>
    <row r="268" spans="1:30" ht="13.5" thickBot="1" x14ac:dyDescent="0.35">
      <c r="A268" s="18">
        <v>2033</v>
      </c>
      <c r="B268" s="19" t="s">
        <v>38</v>
      </c>
      <c r="C268" s="20" t="s">
        <v>50</v>
      </c>
      <c r="D268" s="21">
        <v>27496.542769667525</v>
      </c>
      <c r="E268" s="22">
        <v>27496.542769667525</v>
      </c>
      <c r="F268" s="22">
        <v>27496.542769667525</v>
      </c>
      <c r="G268" s="22">
        <v>27496.542769667525</v>
      </c>
      <c r="H268" s="22">
        <v>27496.542769667525</v>
      </c>
      <c r="I268" s="22">
        <v>27496.542769667525</v>
      </c>
      <c r="J268" s="22">
        <v>27496.542769667525</v>
      </c>
      <c r="K268" s="22">
        <v>48456.805273057995</v>
      </c>
      <c r="L268" s="22">
        <v>84195.558540138532</v>
      </c>
      <c r="M268" s="22">
        <v>107704.25436046463</v>
      </c>
      <c r="N268" s="22">
        <v>120698.01005077669</v>
      </c>
      <c r="O268" s="22">
        <v>125190.57951371488</v>
      </c>
      <c r="P268" s="22">
        <v>124005.8124187834</v>
      </c>
      <c r="Q268" s="22">
        <v>117264.15162048645</v>
      </c>
      <c r="R268" s="22">
        <v>104717.20471957765</v>
      </c>
      <c r="S268" s="22">
        <v>82700.809637189508</v>
      </c>
      <c r="T268" s="22">
        <v>47445.810804173554</v>
      </c>
      <c r="U268" s="22">
        <v>109986.1710786701</v>
      </c>
      <c r="V268" s="22">
        <v>109986.1710786701</v>
      </c>
      <c r="W268" s="22">
        <v>109986.1710786701</v>
      </c>
      <c r="X268" s="22">
        <v>109986.1710786701</v>
      </c>
      <c r="Y268" s="22">
        <v>109986.1710786701</v>
      </c>
      <c r="Z268" s="22">
        <v>109986.1710786701</v>
      </c>
      <c r="AA268" s="23">
        <v>109986.1710786701</v>
      </c>
      <c r="AB268" s="97"/>
      <c r="AC268" s="24">
        <v>5</v>
      </c>
      <c r="AD268" s="16">
        <f t="shared" si="90"/>
        <v>9623789.9693836328</v>
      </c>
    </row>
    <row r="269" spans="1:30" ht="13.5" thickBot="1" x14ac:dyDescent="0.35">
      <c r="A269" s="18">
        <v>2033</v>
      </c>
      <c r="B269" s="25" t="s">
        <v>38</v>
      </c>
      <c r="C269" s="26" t="s">
        <v>36</v>
      </c>
      <c r="D269" s="21">
        <v>27496.542769667521</v>
      </c>
      <c r="E269" s="22">
        <v>27496.542769667521</v>
      </c>
      <c r="F269" s="22">
        <v>27496.542769667521</v>
      </c>
      <c r="G269" s="22">
        <v>27496.542769667521</v>
      </c>
      <c r="H269" s="22">
        <v>27496.542769667521</v>
      </c>
      <c r="I269" s="22">
        <v>27496.542769667521</v>
      </c>
      <c r="J269" s="22">
        <v>27496.542769667521</v>
      </c>
      <c r="K269" s="22">
        <v>48456.805273058002</v>
      </c>
      <c r="L269" s="22">
        <v>84195.558540138532</v>
      </c>
      <c r="M269" s="22">
        <v>107704.25436046463</v>
      </c>
      <c r="N269" s="22">
        <v>120698.01005077669</v>
      </c>
      <c r="O269" s="22">
        <v>125190.57951371488</v>
      </c>
      <c r="P269" s="22">
        <v>124005.81241878342</v>
      </c>
      <c r="Q269" s="22">
        <v>117264.15162048645</v>
      </c>
      <c r="R269" s="22">
        <v>104717.20471957767</v>
      </c>
      <c r="S269" s="22">
        <v>82700.809637189508</v>
      </c>
      <c r="T269" s="22">
        <v>47445.810804173554</v>
      </c>
      <c r="U269" s="22">
        <v>109986.17107867009</v>
      </c>
      <c r="V269" s="22">
        <v>109986.17107867009</v>
      </c>
      <c r="W269" s="22">
        <v>109986.17107867009</v>
      </c>
      <c r="X269" s="22">
        <v>109986.17107867009</v>
      </c>
      <c r="Y269" s="22">
        <v>109986.17107867009</v>
      </c>
      <c r="Z269" s="22">
        <v>109986.17107867009</v>
      </c>
      <c r="AA269" s="23">
        <v>109986.17107867009</v>
      </c>
      <c r="AB269" s="97"/>
      <c r="AC269" s="27">
        <v>6</v>
      </c>
      <c r="AD269" s="16">
        <f t="shared" si="90"/>
        <v>11548547.96326036</v>
      </c>
    </row>
    <row r="270" spans="1:30" ht="13.5" thickBot="1" x14ac:dyDescent="0.35">
      <c r="A270" s="18">
        <v>2033</v>
      </c>
      <c r="B270" s="11" t="s">
        <v>39</v>
      </c>
      <c r="C270" s="12" t="s">
        <v>33</v>
      </c>
      <c r="D270" s="21">
        <v>27496.542769667525</v>
      </c>
      <c r="E270" s="22">
        <v>27496.542769667525</v>
      </c>
      <c r="F270" s="22">
        <v>27496.542769667525</v>
      </c>
      <c r="G270" s="22">
        <v>27496.542769667525</v>
      </c>
      <c r="H270" s="22">
        <v>27496.542769667525</v>
      </c>
      <c r="I270" s="22">
        <v>27496.542769667525</v>
      </c>
      <c r="J270" s="22">
        <v>27496.542769667525</v>
      </c>
      <c r="K270" s="22">
        <v>48456.805273058002</v>
      </c>
      <c r="L270" s="22">
        <v>84195.558540138489</v>
      </c>
      <c r="M270" s="22">
        <v>107704.25436046462</v>
      </c>
      <c r="N270" s="22">
        <v>120698.01005077671</v>
      </c>
      <c r="O270" s="22">
        <v>125190.57951371482</v>
      </c>
      <c r="P270" s="22">
        <v>124005.81241878342</v>
      </c>
      <c r="Q270" s="22">
        <v>117264.15162048645</v>
      </c>
      <c r="R270" s="22">
        <v>104717.20471957767</v>
      </c>
      <c r="S270" s="22">
        <v>82700.809637189537</v>
      </c>
      <c r="T270" s="22">
        <v>47445.810804173569</v>
      </c>
      <c r="U270" s="22">
        <v>109986.1710786701</v>
      </c>
      <c r="V270" s="22">
        <v>109986.1710786701</v>
      </c>
      <c r="W270" s="22">
        <v>109986.1710786701</v>
      </c>
      <c r="X270" s="22">
        <v>109986.1710786701</v>
      </c>
      <c r="Y270" s="22">
        <v>109986.1710786701</v>
      </c>
      <c r="Z270" s="22">
        <v>109986.1710786701</v>
      </c>
      <c r="AA270" s="23">
        <v>109986.1710786701</v>
      </c>
      <c r="AB270" s="96">
        <f t="shared" ref="AB270" si="93">+SUM(D270:AA270)*AC270+SUM(D271:AA271)*AC271+SUM(D272:AA272)*AC272</f>
        <v>59667497.810178526</v>
      </c>
      <c r="AC270" s="16">
        <v>21</v>
      </c>
      <c r="AD270" s="16">
        <f t="shared" si="90"/>
        <v>40419917.871411256</v>
      </c>
    </row>
    <row r="271" spans="1:30" ht="13.5" thickBot="1" x14ac:dyDescent="0.35">
      <c r="A271" s="18">
        <v>2033</v>
      </c>
      <c r="B271" s="19" t="s">
        <v>39</v>
      </c>
      <c r="C271" s="20" t="s">
        <v>50</v>
      </c>
      <c r="D271" s="21">
        <v>27496.542769667525</v>
      </c>
      <c r="E271" s="22">
        <v>27496.542769667525</v>
      </c>
      <c r="F271" s="22">
        <v>27496.542769667525</v>
      </c>
      <c r="G271" s="22">
        <v>27496.542769667525</v>
      </c>
      <c r="H271" s="22">
        <v>27496.542769667525</v>
      </c>
      <c r="I271" s="22">
        <v>27496.542769667525</v>
      </c>
      <c r="J271" s="22">
        <v>27496.542769667525</v>
      </c>
      <c r="K271" s="22">
        <v>48456.805273057995</v>
      </c>
      <c r="L271" s="22">
        <v>84195.558540138532</v>
      </c>
      <c r="M271" s="22">
        <v>107704.25436046463</v>
      </c>
      <c r="N271" s="22">
        <v>120698.01005077671</v>
      </c>
      <c r="O271" s="22">
        <v>125190.57951371488</v>
      </c>
      <c r="P271" s="22">
        <v>124005.8124187834</v>
      </c>
      <c r="Q271" s="22">
        <v>117264.15162048645</v>
      </c>
      <c r="R271" s="22">
        <v>104717.20471957765</v>
      </c>
      <c r="S271" s="22">
        <v>82700.809637189508</v>
      </c>
      <c r="T271" s="22">
        <v>47445.810804173554</v>
      </c>
      <c r="U271" s="22">
        <v>109986.1710786701</v>
      </c>
      <c r="V271" s="22">
        <v>109986.1710786701</v>
      </c>
      <c r="W271" s="22">
        <v>109986.1710786701</v>
      </c>
      <c r="X271" s="22">
        <v>109986.1710786701</v>
      </c>
      <c r="Y271" s="22">
        <v>109986.1710786701</v>
      </c>
      <c r="Z271" s="22">
        <v>109986.1710786701</v>
      </c>
      <c r="AA271" s="23">
        <v>109986.1710786701</v>
      </c>
      <c r="AB271" s="97"/>
      <c r="AC271" s="24">
        <v>4</v>
      </c>
      <c r="AD271" s="16">
        <f t="shared" si="90"/>
        <v>7699031.9755069064</v>
      </c>
    </row>
    <row r="272" spans="1:30" ht="13.5" thickBot="1" x14ac:dyDescent="0.35">
      <c r="A272" s="18">
        <v>2033</v>
      </c>
      <c r="B272" s="25" t="s">
        <v>39</v>
      </c>
      <c r="C272" s="26" t="s">
        <v>36</v>
      </c>
      <c r="D272" s="21">
        <v>27496.542769667521</v>
      </c>
      <c r="E272" s="22">
        <v>27496.542769667521</v>
      </c>
      <c r="F272" s="22">
        <v>27496.542769667521</v>
      </c>
      <c r="G272" s="22">
        <v>27496.542769667521</v>
      </c>
      <c r="H272" s="22">
        <v>27496.542769667521</v>
      </c>
      <c r="I272" s="22">
        <v>27496.542769667521</v>
      </c>
      <c r="J272" s="22">
        <v>27496.542769667521</v>
      </c>
      <c r="K272" s="22">
        <v>48456.805273058002</v>
      </c>
      <c r="L272" s="22">
        <v>84195.558540138532</v>
      </c>
      <c r="M272" s="22">
        <v>107704.25436046463</v>
      </c>
      <c r="N272" s="22">
        <v>120698.01005077669</v>
      </c>
      <c r="O272" s="22">
        <v>125190.57951371488</v>
      </c>
      <c r="P272" s="22">
        <v>124005.81241878342</v>
      </c>
      <c r="Q272" s="22">
        <v>117264.15162048645</v>
      </c>
      <c r="R272" s="22">
        <v>104717.20471957767</v>
      </c>
      <c r="S272" s="22">
        <v>82700.809637189508</v>
      </c>
      <c r="T272" s="22">
        <v>47445.810804173554</v>
      </c>
      <c r="U272" s="22">
        <v>109986.17107867009</v>
      </c>
      <c r="V272" s="22">
        <v>109986.17107867009</v>
      </c>
      <c r="W272" s="22">
        <v>109986.17107867009</v>
      </c>
      <c r="X272" s="22">
        <v>109986.17107867009</v>
      </c>
      <c r="Y272" s="22">
        <v>109986.17107867009</v>
      </c>
      <c r="Z272" s="22">
        <v>109986.17107867009</v>
      </c>
      <c r="AA272" s="23">
        <v>109986.17107867009</v>
      </c>
      <c r="AB272" s="97"/>
      <c r="AC272" s="27">
        <v>6</v>
      </c>
      <c r="AD272" s="16">
        <f t="shared" si="90"/>
        <v>11548547.96326036</v>
      </c>
    </row>
    <row r="273" spans="1:30" ht="13.5" thickBot="1" x14ac:dyDescent="0.35">
      <c r="A273" s="18">
        <v>2033</v>
      </c>
      <c r="B273" s="11" t="s">
        <v>40</v>
      </c>
      <c r="C273" s="12" t="s">
        <v>33</v>
      </c>
      <c r="D273" s="21">
        <v>27496.542769667525</v>
      </c>
      <c r="E273" s="22">
        <v>27496.542769667525</v>
      </c>
      <c r="F273" s="22">
        <v>27496.542769667525</v>
      </c>
      <c r="G273" s="22">
        <v>27496.542769667525</v>
      </c>
      <c r="H273" s="22">
        <v>27496.542769667525</v>
      </c>
      <c r="I273" s="22">
        <v>27496.542769667525</v>
      </c>
      <c r="J273" s="22">
        <v>27496.542769667525</v>
      </c>
      <c r="K273" s="22">
        <v>48456.805273058002</v>
      </c>
      <c r="L273" s="22">
        <v>84195.558540138489</v>
      </c>
      <c r="M273" s="22">
        <v>107704.25436046463</v>
      </c>
      <c r="N273" s="22">
        <v>120698.01005077669</v>
      </c>
      <c r="O273" s="22">
        <v>125190.57951371484</v>
      </c>
      <c r="P273" s="22">
        <v>124005.8124187834</v>
      </c>
      <c r="Q273" s="22">
        <v>117264.15162048645</v>
      </c>
      <c r="R273" s="22">
        <v>104717.20471957767</v>
      </c>
      <c r="S273" s="22">
        <v>82700.809637189537</v>
      </c>
      <c r="T273" s="22">
        <v>47445.810804173569</v>
      </c>
      <c r="U273" s="22">
        <v>109986.1710786701</v>
      </c>
      <c r="V273" s="22">
        <v>109986.1710786701</v>
      </c>
      <c r="W273" s="22">
        <v>109986.1710786701</v>
      </c>
      <c r="X273" s="22">
        <v>109986.1710786701</v>
      </c>
      <c r="Y273" s="22">
        <v>109986.1710786701</v>
      </c>
      <c r="Z273" s="22">
        <v>109986.1710786701</v>
      </c>
      <c r="AA273" s="23">
        <v>109986.1710786701</v>
      </c>
      <c r="AB273" s="96">
        <f t="shared" ref="AB273" si="94">+SUM(D273:AA273)*AC273+SUM(D274:AA274)*AC274+SUM(D275:AA275)*AC275</f>
        <v>57742739.8163018</v>
      </c>
      <c r="AC273" s="16">
        <v>20</v>
      </c>
      <c r="AD273" s="16">
        <f t="shared" si="90"/>
        <v>38495159.877534531</v>
      </c>
    </row>
    <row r="274" spans="1:30" ht="13.5" thickBot="1" x14ac:dyDescent="0.35">
      <c r="A274" s="18">
        <v>2033</v>
      </c>
      <c r="B274" s="19" t="s">
        <v>40</v>
      </c>
      <c r="C274" s="20" t="s">
        <v>50</v>
      </c>
      <c r="D274" s="21">
        <v>27496.542769667525</v>
      </c>
      <c r="E274" s="22">
        <v>27496.542769667525</v>
      </c>
      <c r="F274" s="22">
        <v>27496.542769667525</v>
      </c>
      <c r="G274" s="22">
        <v>27496.542769667525</v>
      </c>
      <c r="H274" s="22">
        <v>27496.542769667525</v>
      </c>
      <c r="I274" s="22">
        <v>27496.542769667525</v>
      </c>
      <c r="J274" s="22">
        <v>27496.542769667525</v>
      </c>
      <c r="K274" s="22">
        <v>48456.805273057995</v>
      </c>
      <c r="L274" s="22">
        <v>84195.558540138532</v>
      </c>
      <c r="M274" s="22">
        <v>107704.25436046463</v>
      </c>
      <c r="N274" s="22">
        <v>120698.01005077671</v>
      </c>
      <c r="O274" s="22">
        <v>125190.57951371488</v>
      </c>
      <c r="P274" s="22">
        <v>124005.8124187834</v>
      </c>
      <c r="Q274" s="22">
        <v>117264.15162048645</v>
      </c>
      <c r="R274" s="22">
        <v>104717.20471957765</v>
      </c>
      <c r="S274" s="22">
        <v>82700.809637189508</v>
      </c>
      <c r="T274" s="22">
        <v>47445.810804173554</v>
      </c>
      <c r="U274" s="22">
        <v>109986.1710786701</v>
      </c>
      <c r="V274" s="22">
        <v>109986.1710786701</v>
      </c>
      <c r="W274" s="22">
        <v>109986.1710786701</v>
      </c>
      <c r="X274" s="22">
        <v>109986.1710786701</v>
      </c>
      <c r="Y274" s="22">
        <v>109986.1710786701</v>
      </c>
      <c r="Z274" s="22">
        <v>109986.1710786701</v>
      </c>
      <c r="AA274" s="23">
        <v>109986.1710786701</v>
      </c>
      <c r="AB274" s="97"/>
      <c r="AC274" s="24">
        <v>4</v>
      </c>
      <c r="AD274" s="16">
        <f t="shared" si="90"/>
        <v>7699031.9755069064</v>
      </c>
    </row>
    <row r="275" spans="1:30" ht="13.5" thickBot="1" x14ac:dyDescent="0.35">
      <c r="A275" s="18">
        <v>2033</v>
      </c>
      <c r="B275" s="25" t="s">
        <v>40</v>
      </c>
      <c r="C275" s="26" t="s">
        <v>36</v>
      </c>
      <c r="D275" s="21">
        <v>27496.542769667521</v>
      </c>
      <c r="E275" s="22">
        <v>27496.542769667521</v>
      </c>
      <c r="F275" s="22">
        <v>27496.542769667521</v>
      </c>
      <c r="G275" s="22">
        <v>27496.542769667521</v>
      </c>
      <c r="H275" s="22">
        <v>27496.542769667521</v>
      </c>
      <c r="I275" s="22">
        <v>27496.542769667521</v>
      </c>
      <c r="J275" s="22">
        <v>27496.542769667521</v>
      </c>
      <c r="K275" s="22">
        <v>48456.805273058002</v>
      </c>
      <c r="L275" s="22">
        <v>84195.558540138532</v>
      </c>
      <c r="M275" s="22">
        <v>107704.25436046463</v>
      </c>
      <c r="N275" s="22">
        <v>120698.01005077669</v>
      </c>
      <c r="O275" s="22">
        <v>125190.57951371488</v>
      </c>
      <c r="P275" s="22">
        <v>124005.81241878342</v>
      </c>
      <c r="Q275" s="22">
        <v>117264.15162048645</v>
      </c>
      <c r="R275" s="22">
        <v>104717.20471957767</v>
      </c>
      <c r="S275" s="22">
        <v>82700.809637189508</v>
      </c>
      <c r="T275" s="22">
        <v>47445.810804173554</v>
      </c>
      <c r="U275" s="22">
        <v>109986.17107867009</v>
      </c>
      <c r="V275" s="22">
        <v>109986.17107867009</v>
      </c>
      <c r="W275" s="22">
        <v>109986.17107867009</v>
      </c>
      <c r="X275" s="22">
        <v>109986.17107867009</v>
      </c>
      <c r="Y275" s="22">
        <v>109986.17107867009</v>
      </c>
      <c r="Z275" s="22">
        <v>109986.17107867009</v>
      </c>
      <c r="AA275" s="23">
        <v>109986.17107867009</v>
      </c>
      <c r="AB275" s="97"/>
      <c r="AC275" s="27">
        <v>6</v>
      </c>
      <c r="AD275" s="16">
        <f t="shared" si="90"/>
        <v>11548547.96326036</v>
      </c>
    </row>
    <row r="276" spans="1:30" ht="13.5" thickBot="1" x14ac:dyDescent="0.35">
      <c r="A276" s="18">
        <v>2033</v>
      </c>
      <c r="B276" s="11" t="s">
        <v>41</v>
      </c>
      <c r="C276" s="12" t="s">
        <v>33</v>
      </c>
      <c r="D276" s="21">
        <v>27496.542769667521</v>
      </c>
      <c r="E276" s="22">
        <v>27496.542769667521</v>
      </c>
      <c r="F276" s="22">
        <v>27496.542769667521</v>
      </c>
      <c r="G276" s="22">
        <v>27496.542769667521</v>
      </c>
      <c r="H276" s="22">
        <v>27496.542769667521</v>
      </c>
      <c r="I276" s="22">
        <v>27496.542769667521</v>
      </c>
      <c r="J276" s="22">
        <v>27496.542769667521</v>
      </c>
      <c r="K276" s="22">
        <v>48456.805273058002</v>
      </c>
      <c r="L276" s="22">
        <v>84195.558540138489</v>
      </c>
      <c r="M276" s="22">
        <v>107704.25436046463</v>
      </c>
      <c r="N276" s="22">
        <v>120698.01005077669</v>
      </c>
      <c r="O276" s="22">
        <v>125190.57951371484</v>
      </c>
      <c r="P276" s="22">
        <v>124005.8124187834</v>
      </c>
      <c r="Q276" s="22">
        <v>117264.15162048646</v>
      </c>
      <c r="R276" s="22">
        <v>104717.20471957767</v>
      </c>
      <c r="S276" s="22">
        <v>82700.809637189537</v>
      </c>
      <c r="T276" s="22">
        <v>47445.810804173569</v>
      </c>
      <c r="U276" s="22">
        <v>109986.17107867009</v>
      </c>
      <c r="V276" s="22">
        <v>109986.17107867009</v>
      </c>
      <c r="W276" s="22">
        <v>109986.17107867009</v>
      </c>
      <c r="X276" s="22">
        <v>109986.17107867009</v>
      </c>
      <c r="Y276" s="22">
        <v>109986.17107867009</v>
      </c>
      <c r="Z276" s="22">
        <v>109986.17107867009</v>
      </c>
      <c r="AA276" s="23">
        <v>109986.17107867009</v>
      </c>
      <c r="AB276" s="96">
        <f t="shared" ref="AB276" si="95">+SUM(D276:AA276)*AC276+SUM(D277:AA277)*AC277+SUM(D278:AA278)*AC278</f>
        <v>59667497.810178526</v>
      </c>
      <c r="AC276" s="16">
        <v>19</v>
      </c>
      <c r="AD276" s="16">
        <f t="shared" si="90"/>
        <v>36570401.883657806</v>
      </c>
    </row>
    <row r="277" spans="1:30" ht="13.5" thickBot="1" x14ac:dyDescent="0.35">
      <c r="A277" s="18">
        <v>2033</v>
      </c>
      <c r="B277" s="19" t="s">
        <v>41</v>
      </c>
      <c r="C277" s="20" t="s">
        <v>50</v>
      </c>
      <c r="D277" s="21">
        <v>27496.542769667525</v>
      </c>
      <c r="E277" s="22">
        <v>27496.542769667525</v>
      </c>
      <c r="F277" s="22">
        <v>27496.542769667525</v>
      </c>
      <c r="G277" s="22">
        <v>27496.542769667525</v>
      </c>
      <c r="H277" s="22">
        <v>27496.542769667525</v>
      </c>
      <c r="I277" s="22">
        <v>27496.542769667525</v>
      </c>
      <c r="J277" s="22">
        <v>27496.542769667525</v>
      </c>
      <c r="K277" s="22">
        <v>48456.805273057995</v>
      </c>
      <c r="L277" s="22">
        <v>84195.558540138532</v>
      </c>
      <c r="M277" s="22">
        <v>107704.25436046463</v>
      </c>
      <c r="N277" s="22">
        <v>120698.01005077669</v>
      </c>
      <c r="O277" s="22">
        <v>125190.57951371488</v>
      </c>
      <c r="P277" s="22">
        <v>124005.8124187834</v>
      </c>
      <c r="Q277" s="22">
        <v>117264.15162048645</v>
      </c>
      <c r="R277" s="22">
        <v>104717.20471957765</v>
      </c>
      <c r="S277" s="22">
        <v>82700.809637189508</v>
      </c>
      <c r="T277" s="22">
        <v>47445.810804173554</v>
      </c>
      <c r="U277" s="22">
        <v>109986.1710786701</v>
      </c>
      <c r="V277" s="22">
        <v>109986.1710786701</v>
      </c>
      <c r="W277" s="22">
        <v>109986.1710786701</v>
      </c>
      <c r="X277" s="22">
        <v>109986.1710786701</v>
      </c>
      <c r="Y277" s="22">
        <v>109986.1710786701</v>
      </c>
      <c r="Z277" s="22">
        <v>109986.1710786701</v>
      </c>
      <c r="AA277" s="23">
        <v>109986.1710786701</v>
      </c>
      <c r="AB277" s="97"/>
      <c r="AC277" s="24">
        <v>5</v>
      </c>
      <c r="AD277" s="16">
        <f t="shared" si="90"/>
        <v>9623789.9693836328</v>
      </c>
    </row>
    <row r="278" spans="1:30" ht="13.5" thickBot="1" x14ac:dyDescent="0.35">
      <c r="A278" s="18">
        <v>2033</v>
      </c>
      <c r="B278" s="25" t="s">
        <v>41</v>
      </c>
      <c r="C278" s="26" t="s">
        <v>36</v>
      </c>
      <c r="D278" s="21">
        <v>27496.542769667521</v>
      </c>
      <c r="E278" s="22">
        <v>27496.542769667521</v>
      </c>
      <c r="F278" s="22">
        <v>27496.542769667521</v>
      </c>
      <c r="G278" s="22">
        <v>27496.542769667521</v>
      </c>
      <c r="H278" s="22">
        <v>27496.542769667521</v>
      </c>
      <c r="I278" s="22">
        <v>27496.542769667521</v>
      </c>
      <c r="J278" s="22">
        <v>27496.542769667521</v>
      </c>
      <c r="K278" s="22">
        <v>48456.805273058002</v>
      </c>
      <c r="L278" s="22">
        <v>84195.558540138532</v>
      </c>
      <c r="M278" s="22">
        <v>107704.25436046463</v>
      </c>
      <c r="N278" s="22">
        <v>120698.01005077668</v>
      </c>
      <c r="O278" s="22">
        <v>125190.57951371488</v>
      </c>
      <c r="P278" s="22">
        <v>124005.81241878342</v>
      </c>
      <c r="Q278" s="22">
        <v>117264.15162048643</v>
      </c>
      <c r="R278" s="22">
        <v>104717.20471957767</v>
      </c>
      <c r="S278" s="22">
        <v>82700.809637189508</v>
      </c>
      <c r="T278" s="22">
        <v>47445.810804173547</v>
      </c>
      <c r="U278" s="22">
        <v>109986.17107867009</v>
      </c>
      <c r="V278" s="22">
        <v>109986.17107867009</v>
      </c>
      <c r="W278" s="22">
        <v>109986.17107867009</v>
      </c>
      <c r="X278" s="22">
        <v>109986.17107867009</v>
      </c>
      <c r="Y278" s="22">
        <v>109986.17107867009</v>
      </c>
      <c r="Z278" s="22">
        <v>109986.17107867009</v>
      </c>
      <c r="AA278" s="23">
        <v>109986.17107867009</v>
      </c>
      <c r="AB278" s="97"/>
      <c r="AC278" s="27">
        <v>7</v>
      </c>
      <c r="AD278" s="16">
        <f t="shared" si="90"/>
        <v>13473305.957137085</v>
      </c>
    </row>
    <row r="279" spans="1:30" ht="13.5" thickBot="1" x14ac:dyDescent="0.35">
      <c r="A279" s="18">
        <v>2033</v>
      </c>
      <c r="B279" s="11" t="s">
        <v>42</v>
      </c>
      <c r="C279" s="12" t="s">
        <v>33</v>
      </c>
      <c r="D279" s="21">
        <v>27496.542769667529</v>
      </c>
      <c r="E279" s="22">
        <v>27496.542769667529</v>
      </c>
      <c r="F279" s="22">
        <v>27496.542769667529</v>
      </c>
      <c r="G279" s="22">
        <v>27496.542769667529</v>
      </c>
      <c r="H279" s="22">
        <v>27496.542769667529</v>
      </c>
      <c r="I279" s="22">
        <v>27496.542769667529</v>
      </c>
      <c r="J279" s="22">
        <v>27496.542769667529</v>
      </c>
      <c r="K279" s="22">
        <v>48456.805273058002</v>
      </c>
      <c r="L279" s="22">
        <v>84195.558540138474</v>
      </c>
      <c r="M279" s="22">
        <v>107704.25436046462</v>
      </c>
      <c r="N279" s="22">
        <v>120698.01005077671</v>
      </c>
      <c r="O279" s="22">
        <v>125190.57951371482</v>
      </c>
      <c r="P279" s="22">
        <v>124005.81241878342</v>
      </c>
      <c r="Q279" s="22">
        <v>117264.15162048643</v>
      </c>
      <c r="R279" s="22">
        <v>104717.20471957767</v>
      </c>
      <c r="S279" s="22">
        <v>82700.809637189552</v>
      </c>
      <c r="T279" s="22">
        <v>47445.810804173576</v>
      </c>
      <c r="U279" s="22">
        <v>109986.17107867012</v>
      </c>
      <c r="V279" s="22">
        <v>109986.17107867012</v>
      </c>
      <c r="W279" s="22">
        <v>109986.17107867012</v>
      </c>
      <c r="X279" s="22">
        <v>109986.17107867012</v>
      </c>
      <c r="Y279" s="22">
        <v>109986.17107867012</v>
      </c>
      <c r="Z279" s="22">
        <v>109986.17107867012</v>
      </c>
      <c r="AA279" s="23">
        <v>109986.17107867012</v>
      </c>
      <c r="AB279" s="96">
        <f t="shared" ref="AB279" si="96">+SUM(D279:AA279)*AC279+SUM(D280:AA280)*AC280+SUM(D281:AA281)*AC281</f>
        <v>59667497.810178526</v>
      </c>
      <c r="AC279" s="16">
        <v>22</v>
      </c>
      <c r="AD279" s="16">
        <f t="shared" si="90"/>
        <v>42344675.865287982</v>
      </c>
    </row>
    <row r="280" spans="1:30" ht="13.5" thickBot="1" x14ac:dyDescent="0.35">
      <c r="A280" s="18">
        <v>2033</v>
      </c>
      <c r="B280" s="19" t="s">
        <v>42</v>
      </c>
      <c r="C280" s="20" t="s">
        <v>50</v>
      </c>
      <c r="D280" s="21">
        <v>27496.542769667525</v>
      </c>
      <c r="E280" s="22">
        <v>27496.542769667525</v>
      </c>
      <c r="F280" s="22">
        <v>27496.542769667525</v>
      </c>
      <c r="G280" s="22">
        <v>27496.542769667525</v>
      </c>
      <c r="H280" s="22">
        <v>27496.542769667525</v>
      </c>
      <c r="I280" s="22">
        <v>27496.542769667525</v>
      </c>
      <c r="J280" s="22">
        <v>27496.542769667525</v>
      </c>
      <c r="K280" s="22">
        <v>48456.805273057995</v>
      </c>
      <c r="L280" s="22">
        <v>84195.558540138532</v>
      </c>
      <c r="M280" s="22">
        <v>107704.25436046463</v>
      </c>
      <c r="N280" s="22">
        <v>120698.01005077671</v>
      </c>
      <c r="O280" s="22">
        <v>125190.57951371488</v>
      </c>
      <c r="P280" s="22">
        <v>124005.8124187834</v>
      </c>
      <c r="Q280" s="22">
        <v>117264.15162048645</v>
      </c>
      <c r="R280" s="22">
        <v>104717.20471957765</v>
      </c>
      <c r="S280" s="22">
        <v>82700.809637189508</v>
      </c>
      <c r="T280" s="22">
        <v>47445.810804173554</v>
      </c>
      <c r="U280" s="22">
        <v>109986.1710786701</v>
      </c>
      <c r="V280" s="22">
        <v>109986.1710786701</v>
      </c>
      <c r="W280" s="22">
        <v>109986.1710786701</v>
      </c>
      <c r="X280" s="22">
        <v>109986.1710786701</v>
      </c>
      <c r="Y280" s="22">
        <v>109986.1710786701</v>
      </c>
      <c r="Z280" s="22">
        <v>109986.1710786701</v>
      </c>
      <c r="AA280" s="23">
        <v>109986.1710786701</v>
      </c>
      <c r="AB280" s="97"/>
      <c r="AC280" s="24">
        <v>4</v>
      </c>
      <c r="AD280" s="16">
        <f t="shared" si="90"/>
        <v>7699031.9755069064</v>
      </c>
    </row>
    <row r="281" spans="1:30" ht="13.5" thickBot="1" x14ac:dyDescent="0.35">
      <c r="A281" s="18">
        <v>2033</v>
      </c>
      <c r="B281" s="25" t="s">
        <v>42</v>
      </c>
      <c r="C281" s="26" t="s">
        <v>36</v>
      </c>
      <c r="D281" s="21">
        <v>27496.542769667525</v>
      </c>
      <c r="E281" s="22">
        <v>27496.542769667525</v>
      </c>
      <c r="F281" s="22">
        <v>27496.542769667525</v>
      </c>
      <c r="G281" s="22">
        <v>27496.542769667525</v>
      </c>
      <c r="H281" s="22">
        <v>27496.542769667525</v>
      </c>
      <c r="I281" s="22">
        <v>27496.542769667525</v>
      </c>
      <c r="J281" s="22">
        <v>27496.542769667525</v>
      </c>
      <c r="K281" s="22">
        <v>48456.805273057995</v>
      </c>
      <c r="L281" s="22">
        <v>84195.558540138532</v>
      </c>
      <c r="M281" s="22">
        <v>107704.25436046463</v>
      </c>
      <c r="N281" s="22">
        <v>120698.01005077669</v>
      </c>
      <c r="O281" s="22">
        <v>125190.57951371488</v>
      </c>
      <c r="P281" s="22">
        <v>124005.8124187834</v>
      </c>
      <c r="Q281" s="22">
        <v>117264.15162048645</v>
      </c>
      <c r="R281" s="22">
        <v>104717.20471957765</v>
      </c>
      <c r="S281" s="22">
        <v>82700.809637189508</v>
      </c>
      <c r="T281" s="22">
        <v>47445.810804173554</v>
      </c>
      <c r="U281" s="22">
        <v>109986.1710786701</v>
      </c>
      <c r="V281" s="22">
        <v>109986.1710786701</v>
      </c>
      <c r="W281" s="22">
        <v>109986.1710786701</v>
      </c>
      <c r="X281" s="22">
        <v>109986.1710786701</v>
      </c>
      <c r="Y281" s="22">
        <v>109986.1710786701</v>
      </c>
      <c r="Z281" s="22">
        <v>109986.1710786701</v>
      </c>
      <c r="AA281" s="23">
        <v>109986.1710786701</v>
      </c>
      <c r="AB281" s="97"/>
      <c r="AC281" s="27">
        <v>5</v>
      </c>
      <c r="AD281" s="16">
        <f t="shared" si="90"/>
        <v>9623789.9693836328</v>
      </c>
    </row>
    <row r="282" spans="1:30" ht="13.5" thickBot="1" x14ac:dyDescent="0.35">
      <c r="A282" s="18">
        <v>2033</v>
      </c>
      <c r="B282" s="11" t="s">
        <v>43</v>
      </c>
      <c r="C282" s="12" t="s">
        <v>33</v>
      </c>
      <c r="D282" s="21">
        <v>27496.542769667529</v>
      </c>
      <c r="E282" s="22">
        <v>27496.542769667529</v>
      </c>
      <c r="F282" s="22">
        <v>27496.542769667529</v>
      </c>
      <c r="G282" s="22">
        <v>27496.542769667529</v>
      </c>
      <c r="H282" s="22">
        <v>27496.542769667529</v>
      </c>
      <c r="I282" s="22">
        <v>27496.542769667529</v>
      </c>
      <c r="J282" s="22">
        <v>27496.542769667529</v>
      </c>
      <c r="K282" s="22">
        <v>48456.805273058002</v>
      </c>
      <c r="L282" s="22">
        <v>84195.558540138474</v>
      </c>
      <c r="M282" s="22">
        <v>107704.25436046462</v>
      </c>
      <c r="N282" s="22">
        <v>120698.01005077671</v>
      </c>
      <c r="O282" s="22">
        <v>125190.57951371482</v>
      </c>
      <c r="P282" s="22">
        <v>124005.81241878342</v>
      </c>
      <c r="Q282" s="22">
        <v>117264.15162048643</v>
      </c>
      <c r="R282" s="22">
        <v>104717.20471957767</v>
      </c>
      <c r="S282" s="22">
        <v>82700.809637189552</v>
      </c>
      <c r="T282" s="22">
        <v>47445.810804173576</v>
      </c>
      <c r="U282" s="22">
        <v>109986.17107867012</v>
      </c>
      <c r="V282" s="22">
        <v>109986.17107867012</v>
      </c>
      <c r="W282" s="22">
        <v>109986.17107867012</v>
      </c>
      <c r="X282" s="22">
        <v>109986.17107867012</v>
      </c>
      <c r="Y282" s="22">
        <v>109986.17107867012</v>
      </c>
      <c r="Z282" s="22">
        <v>109986.17107867012</v>
      </c>
      <c r="AA282" s="23">
        <v>109986.17107867012</v>
      </c>
      <c r="AB282" s="96">
        <f t="shared" ref="AB282" si="97">+SUM(D282:AA282)*AC282+SUM(D283:AA283)*AC283+SUM(D284:AA284)*AC284</f>
        <v>57742739.8163018</v>
      </c>
      <c r="AC282" s="16">
        <v>22</v>
      </c>
      <c r="AD282" s="16">
        <f t="shared" si="90"/>
        <v>42344675.865287982</v>
      </c>
    </row>
    <row r="283" spans="1:30" ht="13.5" thickBot="1" x14ac:dyDescent="0.35">
      <c r="A283" s="18">
        <v>2033</v>
      </c>
      <c r="B283" s="19" t="s">
        <v>43</v>
      </c>
      <c r="C283" s="20" t="s">
        <v>50</v>
      </c>
      <c r="D283" s="21">
        <v>27496.542769667525</v>
      </c>
      <c r="E283" s="22">
        <v>27496.542769667525</v>
      </c>
      <c r="F283" s="22">
        <v>27496.542769667525</v>
      </c>
      <c r="G283" s="22">
        <v>27496.542769667525</v>
      </c>
      <c r="H283" s="22">
        <v>27496.542769667525</v>
      </c>
      <c r="I283" s="22">
        <v>27496.542769667525</v>
      </c>
      <c r="J283" s="22">
        <v>27496.542769667525</v>
      </c>
      <c r="K283" s="22">
        <v>48456.805273057995</v>
      </c>
      <c r="L283" s="22">
        <v>84195.558540138532</v>
      </c>
      <c r="M283" s="22">
        <v>107704.25436046463</v>
      </c>
      <c r="N283" s="22">
        <v>120698.01005077671</v>
      </c>
      <c r="O283" s="22">
        <v>125190.57951371488</v>
      </c>
      <c r="P283" s="22">
        <v>124005.8124187834</v>
      </c>
      <c r="Q283" s="22">
        <v>117264.15162048645</v>
      </c>
      <c r="R283" s="22">
        <v>104717.20471957765</v>
      </c>
      <c r="S283" s="22">
        <v>82700.809637189508</v>
      </c>
      <c r="T283" s="22">
        <v>47445.810804173554</v>
      </c>
      <c r="U283" s="22">
        <v>109986.1710786701</v>
      </c>
      <c r="V283" s="22">
        <v>109986.1710786701</v>
      </c>
      <c r="W283" s="22">
        <v>109986.1710786701</v>
      </c>
      <c r="X283" s="22">
        <v>109986.1710786701</v>
      </c>
      <c r="Y283" s="22">
        <v>109986.1710786701</v>
      </c>
      <c r="Z283" s="22">
        <v>109986.1710786701</v>
      </c>
      <c r="AA283" s="23">
        <v>109986.1710786701</v>
      </c>
      <c r="AB283" s="97"/>
      <c r="AC283" s="24">
        <v>4</v>
      </c>
      <c r="AD283" s="16">
        <f t="shared" si="90"/>
        <v>7699031.9755069064</v>
      </c>
    </row>
    <row r="284" spans="1:30" ht="13.5" thickBot="1" x14ac:dyDescent="0.35">
      <c r="A284" s="18">
        <v>2033</v>
      </c>
      <c r="B284" s="25" t="s">
        <v>43</v>
      </c>
      <c r="C284" s="26" t="s">
        <v>36</v>
      </c>
      <c r="D284" s="21">
        <v>27496.542769667525</v>
      </c>
      <c r="E284" s="22">
        <v>27496.542769667525</v>
      </c>
      <c r="F284" s="22">
        <v>27496.542769667525</v>
      </c>
      <c r="G284" s="22">
        <v>27496.542769667525</v>
      </c>
      <c r="H284" s="22">
        <v>27496.542769667525</v>
      </c>
      <c r="I284" s="22">
        <v>27496.542769667525</v>
      </c>
      <c r="J284" s="22">
        <v>27496.542769667525</v>
      </c>
      <c r="K284" s="22">
        <v>48456.805273057995</v>
      </c>
      <c r="L284" s="22">
        <v>84195.558540138532</v>
      </c>
      <c r="M284" s="22">
        <v>107704.25436046463</v>
      </c>
      <c r="N284" s="22">
        <v>120698.01005077671</v>
      </c>
      <c r="O284" s="22">
        <v>125190.57951371488</v>
      </c>
      <c r="P284" s="22">
        <v>124005.8124187834</v>
      </c>
      <c r="Q284" s="22">
        <v>117264.15162048645</v>
      </c>
      <c r="R284" s="22">
        <v>104717.20471957765</v>
      </c>
      <c r="S284" s="22">
        <v>82700.809637189508</v>
      </c>
      <c r="T284" s="22">
        <v>47445.810804173554</v>
      </c>
      <c r="U284" s="22">
        <v>109986.1710786701</v>
      </c>
      <c r="V284" s="22">
        <v>109986.1710786701</v>
      </c>
      <c r="W284" s="22">
        <v>109986.1710786701</v>
      </c>
      <c r="X284" s="22">
        <v>109986.1710786701</v>
      </c>
      <c r="Y284" s="22">
        <v>109986.1710786701</v>
      </c>
      <c r="Z284" s="22">
        <v>109986.1710786701</v>
      </c>
      <c r="AA284" s="23">
        <v>109986.1710786701</v>
      </c>
      <c r="AB284" s="97"/>
      <c r="AC284" s="27">
        <v>4</v>
      </c>
      <c r="AD284" s="16">
        <f t="shared" si="90"/>
        <v>7699031.9755069064</v>
      </c>
    </row>
    <row r="285" spans="1:30" ht="13.5" thickBot="1" x14ac:dyDescent="0.35">
      <c r="A285" s="18">
        <v>2033</v>
      </c>
      <c r="B285" s="11" t="s">
        <v>44</v>
      </c>
      <c r="C285" s="12" t="s">
        <v>33</v>
      </c>
      <c r="D285" s="21">
        <v>27496.542769667525</v>
      </c>
      <c r="E285" s="22">
        <v>27496.542769667525</v>
      </c>
      <c r="F285" s="22">
        <v>27496.542769667525</v>
      </c>
      <c r="G285" s="22">
        <v>27496.542769667525</v>
      </c>
      <c r="H285" s="22">
        <v>27496.542769667525</v>
      </c>
      <c r="I285" s="22">
        <v>27496.542769667525</v>
      </c>
      <c r="J285" s="22">
        <v>27496.542769667525</v>
      </c>
      <c r="K285" s="22">
        <v>48456.805273058002</v>
      </c>
      <c r="L285" s="22">
        <v>84195.558540138489</v>
      </c>
      <c r="M285" s="22">
        <v>107704.25436046463</v>
      </c>
      <c r="N285" s="22">
        <v>120698.01005077669</v>
      </c>
      <c r="O285" s="22">
        <v>125190.57951371484</v>
      </c>
      <c r="P285" s="22">
        <v>124005.8124187834</v>
      </c>
      <c r="Q285" s="22">
        <v>117264.15162048645</v>
      </c>
      <c r="R285" s="22">
        <v>104717.20471957767</v>
      </c>
      <c r="S285" s="22">
        <v>82700.809637189537</v>
      </c>
      <c r="T285" s="22">
        <v>47445.810804173569</v>
      </c>
      <c r="U285" s="22">
        <v>109986.1710786701</v>
      </c>
      <c r="V285" s="22">
        <v>109986.1710786701</v>
      </c>
      <c r="W285" s="22">
        <v>109986.1710786701</v>
      </c>
      <c r="X285" s="22">
        <v>109986.1710786701</v>
      </c>
      <c r="Y285" s="22">
        <v>109986.1710786701</v>
      </c>
      <c r="Z285" s="22">
        <v>109986.1710786701</v>
      </c>
      <c r="AA285" s="23">
        <v>109986.1710786701</v>
      </c>
      <c r="AB285" s="96">
        <f t="shared" ref="AB285" si="98">+SUM(D285:AA285)*AC285+SUM(D286:AA286)*AC286+SUM(D287:AA287)*AC287</f>
        <v>59667497.810178526</v>
      </c>
      <c r="AC285" s="16">
        <v>20</v>
      </c>
      <c r="AD285" s="16">
        <f t="shared" si="90"/>
        <v>38495159.877534531</v>
      </c>
    </row>
    <row r="286" spans="1:30" ht="13.5" thickBot="1" x14ac:dyDescent="0.35">
      <c r="A286" s="18">
        <v>2033</v>
      </c>
      <c r="B286" s="19" t="s">
        <v>44</v>
      </c>
      <c r="C286" s="20" t="s">
        <v>50</v>
      </c>
      <c r="D286" s="21">
        <v>27496.542769667525</v>
      </c>
      <c r="E286" s="22">
        <v>27496.542769667525</v>
      </c>
      <c r="F286" s="22">
        <v>27496.542769667525</v>
      </c>
      <c r="G286" s="22">
        <v>27496.542769667525</v>
      </c>
      <c r="H286" s="22">
        <v>27496.542769667525</v>
      </c>
      <c r="I286" s="22">
        <v>27496.542769667525</v>
      </c>
      <c r="J286" s="22">
        <v>27496.542769667525</v>
      </c>
      <c r="K286" s="22">
        <v>48456.805273057995</v>
      </c>
      <c r="L286" s="22">
        <v>84195.558540138532</v>
      </c>
      <c r="M286" s="22">
        <v>107704.25436046463</v>
      </c>
      <c r="N286" s="22">
        <v>120698.01005077669</v>
      </c>
      <c r="O286" s="22">
        <v>125190.57951371488</v>
      </c>
      <c r="P286" s="22">
        <v>124005.8124187834</v>
      </c>
      <c r="Q286" s="22">
        <v>117264.15162048645</v>
      </c>
      <c r="R286" s="22">
        <v>104717.20471957765</v>
      </c>
      <c r="S286" s="22">
        <v>82700.809637189508</v>
      </c>
      <c r="T286" s="22">
        <v>47445.810804173554</v>
      </c>
      <c r="U286" s="22">
        <v>109986.1710786701</v>
      </c>
      <c r="V286" s="22">
        <v>109986.1710786701</v>
      </c>
      <c r="W286" s="22">
        <v>109986.1710786701</v>
      </c>
      <c r="X286" s="22">
        <v>109986.1710786701</v>
      </c>
      <c r="Y286" s="22">
        <v>109986.1710786701</v>
      </c>
      <c r="Z286" s="22">
        <v>109986.1710786701</v>
      </c>
      <c r="AA286" s="23">
        <v>109986.1710786701</v>
      </c>
      <c r="AB286" s="97"/>
      <c r="AC286" s="24">
        <v>5</v>
      </c>
      <c r="AD286" s="16">
        <f t="shared" si="90"/>
        <v>9623789.9693836328</v>
      </c>
    </row>
    <row r="287" spans="1:30" ht="13.5" thickBot="1" x14ac:dyDescent="0.35">
      <c r="A287" s="18">
        <v>2033</v>
      </c>
      <c r="B287" s="25" t="s">
        <v>44</v>
      </c>
      <c r="C287" s="26" t="s">
        <v>36</v>
      </c>
      <c r="D287" s="21">
        <v>27496.542769667521</v>
      </c>
      <c r="E287" s="22">
        <v>27496.542769667521</v>
      </c>
      <c r="F287" s="22">
        <v>27496.542769667521</v>
      </c>
      <c r="G287" s="22">
        <v>27496.542769667521</v>
      </c>
      <c r="H287" s="22">
        <v>27496.542769667521</v>
      </c>
      <c r="I287" s="22">
        <v>27496.542769667521</v>
      </c>
      <c r="J287" s="22">
        <v>27496.542769667521</v>
      </c>
      <c r="K287" s="22">
        <v>48456.805273058002</v>
      </c>
      <c r="L287" s="22">
        <v>84195.558540138532</v>
      </c>
      <c r="M287" s="22">
        <v>107704.25436046463</v>
      </c>
      <c r="N287" s="22">
        <v>120698.01005077669</v>
      </c>
      <c r="O287" s="22">
        <v>125190.57951371488</v>
      </c>
      <c r="P287" s="22">
        <v>124005.81241878342</v>
      </c>
      <c r="Q287" s="22">
        <v>117264.15162048645</v>
      </c>
      <c r="R287" s="22">
        <v>104717.20471957767</v>
      </c>
      <c r="S287" s="22">
        <v>82700.809637189508</v>
      </c>
      <c r="T287" s="22">
        <v>47445.810804173554</v>
      </c>
      <c r="U287" s="22">
        <v>109986.17107867009</v>
      </c>
      <c r="V287" s="22">
        <v>109986.17107867009</v>
      </c>
      <c r="W287" s="22">
        <v>109986.17107867009</v>
      </c>
      <c r="X287" s="22">
        <v>109986.17107867009</v>
      </c>
      <c r="Y287" s="22">
        <v>109986.17107867009</v>
      </c>
      <c r="Z287" s="22">
        <v>109986.17107867009</v>
      </c>
      <c r="AA287" s="23">
        <v>109986.17107867009</v>
      </c>
      <c r="AB287" s="97"/>
      <c r="AC287" s="27">
        <v>6</v>
      </c>
      <c r="AD287" s="16">
        <f t="shared" si="90"/>
        <v>11548547.96326036</v>
      </c>
    </row>
    <row r="288" spans="1:30" ht="13.5" thickBot="1" x14ac:dyDescent="0.35">
      <c r="A288" s="18">
        <v>2033</v>
      </c>
      <c r="B288" s="11" t="s">
        <v>45</v>
      </c>
      <c r="C288" s="12" t="s">
        <v>33</v>
      </c>
      <c r="D288" s="21">
        <v>27496.542769667525</v>
      </c>
      <c r="E288" s="22">
        <v>27496.542769667525</v>
      </c>
      <c r="F288" s="22">
        <v>27496.542769667525</v>
      </c>
      <c r="G288" s="22">
        <v>27496.542769667525</v>
      </c>
      <c r="H288" s="22">
        <v>27496.542769667525</v>
      </c>
      <c r="I288" s="22">
        <v>27496.542769667525</v>
      </c>
      <c r="J288" s="22">
        <v>27496.542769667525</v>
      </c>
      <c r="K288" s="22">
        <v>48456.805273058002</v>
      </c>
      <c r="L288" s="22">
        <v>84195.558540138489</v>
      </c>
      <c r="M288" s="22">
        <v>107704.25436046463</v>
      </c>
      <c r="N288" s="22">
        <v>120698.01005077669</v>
      </c>
      <c r="O288" s="22">
        <v>125190.57951371484</v>
      </c>
      <c r="P288" s="22">
        <v>124005.8124187834</v>
      </c>
      <c r="Q288" s="22">
        <v>117264.15162048645</v>
      </c>
      <c r="R288" s="22">
        <v>104717.20471957767</v>
      </c>
      <c r="S288" s="22">
        <v>82700.809637189537</v>
      </c>
      <c r="T288" s="22">
        <v>47445.810804173569</v>
      </c>
      <c r="U288" s="22">
        <v>109986.1710786701</v>
      </c>
      <c r="V288" s="22">
        <v>109986.1710786701</v>
      </c>
      <c r="W288" s="22">
        <v>109986.1710786701</v>
      </c>
      <c r="X288" s="22">
        <v>109986.1710786701</v>
      </c>
      <c r="Y288" s="22">
        <v>109986.1710786701</v>
      </c>
      <c r="Z288" s="22">
        <v>109986.1710786701</v>
      </c>
      <c r="AA288" s="23">
        <v>109986.1710786701</v>
      </c>
      <c r="AB288" s="96">
        <f t="shared" ref="AB288" si="99">+SUM(D288:AA288)*AC288+SUM(D289:AA289)*AC289+SUM(D290:AA290)*AC290</f>
        <v>57742739.8163018</v>
      </c>
      <c r="AC288" s="16">
        <v>20</v>
      </c>
      <c r="AD288" s="16">
        <f t="shared" si="90"/>
        <v>38495159.877534531</v>
      </c>
    </row>
    <row r="289" spans="1:30" ht="13.5" thickBot="1" x14ac:dyDescent="0.35">
      <c r="A289" s="18">
        <v>2033</v>
      </c>
      <c r="B289" s="19" t="s">
        <v>45</v>
      </c>
      <c r="C289" s="20" t="s">
        <v>50</v>
      </c>
      <c r="D289" s="21">
        <v>27496.542769667525</v>
      </c>
      <c r="E289" s="22">
        <v>27496.542769667525</v>
      </c>
      <c r="F289" s="22">
        <v>27496.542769667525</v>
      </c>
      <c r="G289" s="22">
        <v>27496.542769667525</v>
      </c>
      <c r="H289" s="22">
        <v>27496.542769667525</v>
      </c>
      <c r="I289" s="22">
        <v>27496.542769667525</v>
      </c>
      <c r="J289" s="22">
        <v>27496.542769667525</v>
      </c>
      <c r="K289" s="22">
        <v>48456.805273057995</v>
      </c>
      <c r="L289" s="22">
        <v>84195.558540138532</v>
      </c>
      <c r="M289" s="22">
        <v>107704.25436046463</v>
      </c>
      <c r="N289" s="22">
        <v>120698.01005077671</v>
      </c>
      <c r="O289" s="22">
        <v>125190.57951371488</v>
      </c>
      <c r="P289" s="22">
        <v>124005.8124187834</v>
      </c>
      <c r="Q289" s="22">
        <v>117264.15162048645</v>
      </c>
      <c r="R289" s="22">
        <v>104717.20471957765</v>
      </c>
      <c r="S289" s="22">
        <v>82700.809637189508</v>
      </c>
      <c r="T289" s="22">
        <v>47445.810804173554</v>
      </c>
      <c r="U289" s="22">
        <v>109986.1710786701</v>
      </c>
      <c r="V289" s="22">
        <v>109986.1710786701</v>
      </c>
      <c r="W289" s="22">
        <v>109986.1710786701</v>
      </c>
      <c r="X289" s="22">
        <v>109986.1710786701</v>
      </c>
      <c r="Y289" s="22">
        <v>109986.1710786701</v>
      </c>
      <c r="Z289" s="22">
        <v>109986.1710786701</v>
      </c>
      <c r="AA289" s="23">
        <v>109986.1710786701</v>
      </c>
      <c r="AB289" s="97"/>
      <c r="AC289" s="24">
        <v>4</v>
      </c>
      <c r="AD289" s="16">
        <f t="shared" si="90"/>
        <v>7699031.9755069064</v>
      </c>
    </row>
    <row r="290" spans="1:30" ht="13.5" thickBot="1" x14ac:dyDescent="0.35">
      <c r="A290" s="18">
        <v>2033</v>
      </c>
      <c r="B290" s="25" t="s">
        <v>45</v>
      </c>
      <c r="C290" s="26" t="s">
        <v>36</v>
      </c>
      <c r="D290" s="21">
        <v>27496.542769667521</v>
      </c>
      <c r="E290" s="22">
        <v>27496.542769667521</v>
      </c>
      <c r="F290" s="22">
        <v>27496.542769667521</v>
      </c>
      <c r="G290" s="22">
        <v>27496.542769667521</v>
      </c>
      <c r="H290" s="22">
        <v>27496.542769667521</v>
      </c>
      <c r="I290" s="22">
        <v>27496.542769667521</v>
      </c>
      <c r="J290" s="22">
        <v>27496.542769667521</v>
      </c>
      <c r="K290" s="22">
        <v>48456.805273058002</v>
      </c>
      <c r="L290" s="22">
        <v>84195.558540138532</v>
      </c>
      <c r="M290" s="22">
        <v>107704.25436046463</v>
      </c>
      <c r="N290" s="22">
        <v>120698.01005077669</v>
      </c>
      <c r="O290" s="22">
        <v>125190.57951371488</v>
      </c>
      <c r="P290" s="22">
        <v>124005.81241878342</v>
      </c>
      <c r="Q290" s="22">
        <v>117264.15162048645</v>
      </c>
      <c r="R290" s="22">
        <v>104717.20471957767</v>
      </c>
      <c r="S290" s="22">
        <v>82700.809637189508</v>
      </c>
      <c r="T290" s="22">
        <v>47445.810804173554</v>
      </c>
      <c r="U290" s="22">
        <v>109986.17107867009</v>
      </c>
      <c r="V290" s="22">
        <v>109986.17107867009</v>
      </c>
      <c r="W290" s="22">
        <v>109986.17107867009</v>
      </c>
      <c r="X290" s="22">
        <v>109986.17107867009</v>
      </c>
      <c r="Y290" s="22">
        <v>109986.17107867009</v>
      </c>
      <c r="Z290" s="22">
        <v>109986.17107867009</v>
      </c>
      <c r="AA290" s="23">
        <v>109986.17107867009</v>
      </c>
      <c r="AB290" s="97"/>
      <c r="AC290" s="27">
        <v>6</v>
      </c>
      <c r="AD290" s="16">
        <f t="shared" si="90"/>
        <v>11548547.96326036</v>
      </c>
    </row>
    <row r="291" spans="1:30" ht="13.5" thickBot="1" x14ac:dyDescent="0.35">
      <c r="A291" s="18">
        <v>2033</v>
      </c>
      <c r="B291" s="11" t="s">
        <v>46</v>
      </c>
      <c r="C291" s="12" t="s">
        <v>33</v>
      </c>
      <c r="D291" s="21">
        <v>27496.542769667525</v>
      </c>
      <c r="E291" s="22">
        <v>27496.542769667525</v>
      </c>
      <c r="F291" s="22">
        <v>27496.542769667525</v>
      </c>
      <c r="G291" s="22">
        <v>27496.542769667525</v>
      </c>
      <c r="H291" s="22">
        <v>27496.542769667525</v>
      </c>
      <c r="I291" s="22">
        <v>27496.542769667525</v>
      </c>
      <c r="J291" s="22">
        <v>27496.542769667525</v>
      </c>
      <c r="K291" s="22">
        <v>48456.805273058002</v>
      </c>
      <c r="L291" s="22">
        <v>84195.558540138489</v>
      </c>
      <c r="M291" s="22">
        <v>107704.25436046462</v>
      </c>
      <c r="N291" s="22">
        <v>120698.01005077671</v>
      </c>
      <c r="O291" s="22">
        <v>125190.57951371482</v>
      </c>
      <c r="P291" s="22">
        <v>124005.81241878342</v>
      </c>
      <c r="Q291" s="22">
        <v>117264.15162048645</v>
      </c>
      <c r="R291" s="22">
        <v>104717.20471957767</v>
      </c>
      <c r="S291" s="22">
        <v>82700.809637189537</v>
      </c>
      <c r="T291" s="22">
        <v>47445.810804173569</v>
      </c>
      <c r="U291" s="22">
        <v>109986.1710786701</v>
      </c>
      <c r="V291" s="22">
        <v>109986.1710786701</v>
      </c>
      <c r="W291" s="22">
        <v>109986.1710786701</v>
      </c>
      <c r="X291" s="22">
        <v>109986.1710786701</v>
      </c>
      <c r="Y291" s="22">
        <v>109986.1710786701</v>
      </c>
      <c r="Z291" s="22">
        <v>109986.1710786701</v>
      </c>
      <c r="AA291" s="23">
        <v>109986.1710786701</v>
      </c>
      <c r="AB291" s="96">
        <f t="shared" ref="AB291" si="100">+SUM(D291:AA291)*AC291+SUM(D292:AA292)*AC292+SUM(D293:AA293)*AC293</f>
        <v>59667497.810178526</v>
      </c>
      <c r="AC291" s="16">
        <v>21</v>
      </c>
      <c r="AD291" s="16">
        <f t="shared" si="90"/>
        <v>40419917.871411256</v>
      </c>
    </row>
    <row r="292" spans="1:30" ht="13.5" thickBot="1" x14ac:dyDescent="0.35">
      <c r="A292" s="18">
        <v>2033</v>
      </c>
      <c r="B292" s="19" t="s">
        <v>46</v>
      </c>
      <c r="C292" s="20" t="s">
        <v>50</v>
      </c>
      <c r="D292" s="21">
        <v>27496.542769667525</v>
      </c>
      <c r="E292" s="22">
        <v>27496.542769667525</v>
      </c>
      <c r="F292" s="22">
        <v>27496.542769667525</v>
      </c>
      <c r="G292" s="22">
        <v>27496.542769667525</v>
      </c>
      <c r="H292" s="22">
        <v>27496.542769667525</v>
      </c>
      <c r="I292" s="22">
        <v>27496.542769667525</v>
      </c>
      <c r="J292" s="22">
        <v>27496.542769667525</v>
      </c>
      <c r="K292" s="22">
        <v>48456.805273057995</v>
      </c>
      <c r="L292" s="22">
        <v>84195.558540138532</v>
      </c>
      <c r="M292" s="22">
        <v>107704.25436046463</v>
      </c>
      <c r="N292" s="22">
        <v>120698.01005077669</v>
      </c>
      <c r="O292" s="22">
        <v>125190.57951371488</v>
      </c>
      <c r="P292" s="22">
        <v>124005.8124187834</v>
      </c>
      <c r="Q292" s="22">
        <v>117264.15162048645</v>
      </c>
      <c r="R292" s="22">
        <v>104717.20471957765</v>
      </c>
      <c r="S292" s="22">
        <v>82700.809637189508</v>
      </c>
      <c r="T292" s="22">
        <v>47445.810804173554</v>
      </c>
      <c r="U292" s="22">
        <v>109986.1710786701</v>
      </c>
      <c r="V292" s="22">
        <v>109986.1710786701</v>
      </c>
      <c r="W292" s="22">
        <v>109986.1710786701</v>
      </c>
      <c r="X292" s="22">
        <v>109986.1710786701</v>
      </c>
      <c r="Y292" s="22">
        <v>109986.1710786701</v>
      </c>
      <c r="Z292" s="22">
        <v>109986.1710786701</v>
      </c>
      <c r="AA292" s="23">
        <v>109986.1710786701</v>
      </c>
      <c r="AB292" s="97"/>
      <c r="AC292" s="24">
        <v>5</v>
      </c>
      <c r="AD292" s="16">
        <f t="shared" si="90"/>
        <v>9623789.9693836328</v>
      </c>
    </row>
    <row r="293" spans="1:30" ht="13.5" thickBot="1" x14ac:dyDescent="0.35">
      <c r="A293" s="28">
        <v>2033</v>
      </c>
      <c r="B293" s="25" t="s">
        <v>46</v>
      </c>
      <c r="C293" s="26" t="s">
        <v>36</v>
      </c>
      <c r="D293" s="29">
        <v>27496.542769667525</v>
      </c>
      <c r="E293" s="30">
        <v>27496.542769667525</v>
      </c>
      <c r="F293" s="30">
        <v>27496.542769667525</v>
      </c>
      <c r="G293" s="30">
        <v>27496.542769667525</v>
      </c>
      <c r="H293" s="30">
        <v>27496.542769667525</v>
      </c>
      <c r="I293" s="30">
        <v>27496.542769667525</v>
      </c>
      <c r="J293" s="30">
        <v>27496.542769667525</v>
      </c>
      <c r="K293" s="30">
        <v>48456.805273057995</v>
      </c>
      <c r="L293" s="30">
        <v>84195.558540138532</v>
      </c>
      <c r="M293" s="30">
        <v>107704.25436046463</v>
      </c>
      <c r="N293" s="30">
        <v>120698.01005077669</v>
      </c>
      <c r="O293" s="30">
        <v>125190.57951371488</v>
      </c>
      <c r="P293" s="30">
        <v>124005.8124187834</v>
      </c>
      <c r="Q293" s="30">
        <v>117264.15162048645</v>
      </c>
      <c r="R293" s="30">
        <v>104717.20471957765</v>
      </c>
      <c r="S293" s="30">
        <v>82700.809637189508</v>
      </c>
      <c r="T293" s="30">
        <v>47445.810804173554</v>
      </c>
      <c r="U293" s="30">
        <v>109986.1710786701</v>
      </c>
      <c r="V293" s="30">
        <v>109986.1710786701</v>
      </c>
      <c r="W293" s="30">
        <v>109986.1710786701</v>
      </c>
      <c r="X293" s="30">
        <v>109986.1710786701</v>
      </c>
      <c r="Y293" s="30">
        <v>109986.1710786701</v>
      </c>
      <c r="Z293" s="30">
        <v>109986.1710786701</v>
      </c>
      <c r="AA293" s="31">
        <v>109986.1710786701</v>
      </c>
      <c r="AB293" s="97"/>
      <c r="AC293" s="27">
        <v>5</v>
      </c>
      <c r="AD293" s="42">
        <f t="shared" si="90"/>
        <v>9623789.9693836328</v>
      </c>
    </row>
    <row r="294" spans="1:30" ht="13.5" thickBot="1" x14ac:dyDescent="0.35">
      <c r="A294" s="10">
        <v>2034</v>
      </c>
      <c r="B294" s="11" t="s">
        <v>32</v>
      </c>
      <c r="C294" s="12" t="s">
        <v>33</v>
      </c>
      <c r="D294" s="13">
        <v>27347.707599285452</v>
      </c>
      <c r="E294" s="14">
        <v>27347.707599285452</v>
      </c>
      <c r="F294" s="14">
        <v>27347.707599285452</v>
      </c>
      <c r="G294" s="14">
        <v>27347.707599285452</v>
      </c>
      <c r="H294" s="14">
        <v>27347.707599285452</v>
      </c>
      <c r="I294" s="14">
        <v>27347.707599285452</v>
      </c>
      <c r="J294" s="14">
        <v>27347.707599285452</v>
      </c>
      <c r="K294" s="14">
        <v>48194.514957893633</v>
      </c>
      <c r="L294" s="14">
        <v>83739.819052970735</v>
      </c>
      <c r="M294" s="14">
        <v>107121.26539407365</v>
      </c>
      <c r="N294" s="14">
        <v>120044.68759343489</v>
      </c>
      <c r="O294" s="14">
        <v>124512.93936861599</v>
      </c>
      <c r="P294" s="14">
        <v>123334.58526217967</v>
      </c>
      <c r="Q294" s="14">
        <v>116629.41618729598</v>
      </c>
      <c r="R294" s="14">
        <v>104150.38426011374</v>
      </c>
      <c r="S294" s="14">
        <v>82253.161029282885</v>
      </c>
      <c r="T294" s="14">
        <v>47188.992869129528</v>
      </c>
      <c r="U294" s="14">
        <v>109390.83039714181</v>
      </c>
      <c r="V294" s="14">
        <v>109390.83039714181</v>
      </c>
      <c r="W294" s="14">
        <v>109390.83039714181</v>
      </c>
      <c r="X294" s="14">
        <v>109390.83039714181</v>
      </c>
      <c r="Y294" s="14">
        <v>109390.83039714181</v>
      </c>
      <c r="Z294" s="14">
        <v>109390.83039714181</v>
      </c>
      <c r="AA294" s="15">
        <v>109390.83039714181</v>
      </c>
      <c r="AB294" s="96">
        <f t="shared" ref="AB294" si="101">+SUM(D294:AA294)*AC294+SUM(D295:AA295)*AC295+SUM(D296:AA296)*AC296</f>
        <v>59344525.490449443</v>
      </c>
      <c r="AC294" s="16">
        <v>21</v>
      </c>
      <c r="AD294" s="16">
        <f t="shared" si="90"/>
        <v>40201130.170949623</v>
      </c>
    </row>
    <row r="295" spans="1:30" ht="13.5" thickBot="1" x14ac:dyDescent="0.35">
      <c r="A295" s="18">
        <v>2034</v>
      </c>
      <c r="B295" s="19" t="s">
        <v>32</v>
      </c>
      <c r="C295" s="20" t="s">
        <v>50</v>
      </c>
      <c r="D295" s="21">
        <v>27347.707599285444</v>
      </c>
      <c r="E295" s="22">
        <v>27347.707599285444</v>
      </c>
      <c r="F295" s="22">
        <v>27347.707599285444</v>
      </c>
      <c r="G295" s="22">
        <v>27347.707599285444</v>
      </c>
      <c r="H295" s="22">
        <v>27347.707599285444</v>
      </c>
      <c r="I295" s="22">
        <v>27347.707599285444</v>
      </c>
      <c r="J295" s="22">
        <v>27347.707599285444</v>
      </c>
      <c r="K295" s="22">
        <v>48194.514957893618</v>
      </c>
      <c r="L295" s="22">
        <v>83739.819052970735</v>
      </c>
      <c r="M295" s="22">
        <v>107121.26539407363</v>
      </c>
      <c r="N295" s="22">
        <v>120044.68759343482</v>
      </c>
      <c r="O295" s="22">
        <v>124512.93936861599</v>
      </c>
      <c r="P295" s="22">
        <v>123334.58526217962</v>
      </c>
      <c r="Q295" s="22">
        <v>116629.41618729598</v>
      </c>
      <c r="R295" s="22">
        <v>104150.3842601137</v>
      </c>
      <c r="S295" s="22">
        <v>82253.161029282855</v>
      </c>
      <c r="T295" s="22">
        <v>47188.992869129543</v>
      </c>
      <c r="U295" s="22">
        <v>109390.83039714178</v>
      </c>
      <c r="V295" s="22">
        <v>109390.83039714178</v>
      </c>
      <c r="W295" s="22">
        <v>109390.83039714178</v>
      </c>
      <c r="X295" s="22">
        <v>109390.83039714178</v>
      </c>
      <c r="Y295" s="22">
        <v>109390.83039714178</v>
      </c>
      <c r="Z295" s="22">
        <v>109390.83039714178</v>
      </c>
      <c r="AA295" s="23">
        <v>109390.83039714178</v>
      </c>
      <c r="AB295" s="97"/>
      <c r="AC295" s="24">
        <v>4</v>
      </c>
      <c r="AD295" s="16">
        <f t="shared" si="90"/>
        <v>7657358.1277999273</v>
      </c>
    </row>
    <row r="296" spans="1:30" ht="13.5" thickBot="1" x14ac:dyDescent="0.35">
      <c r="A296" s="18">
        <v>2034</v>
      </c>
      <c r="B296" s="25" t="s">
        <v>32</v>
      </c>
      <c r="C296" s="26" t="s">
        <v>36</v>
      </c>
      <c r="D296" s="21">
        <v>27347.707599285441</v>
      </c>
      <c r="E296" s="22">
        <v>27347.707599285441</v>
      </c>
      <c r="F296" s="22">
        <v>27347.707599285441</v>
      </c>
      <c r="G296" s="22">
        <v>27347.707599285441</v>
      </c>
      <c r="H296" s="22">
        <v>27347.707599285441</v>
      </c>
      <c r="I296" s="22">
        <v>27347.707599285441</v>
      </c>
      <c r="J296" s="22">
        <v>27347.707599285441</v>
      </c>
      <c r="K296" s="22">
        <v>48194.514957893618</v>
      </c>
      <c r="L296" s="22">
        <v>83739.819052970735</v>
      </c>
      <c r="M296" s="22">
        <v>107121.26539407363</v>
      </c>
      <c r="N296" s="22">
        <v>120044.68759343482</v>
      </c>
      <c r="O296" s="22">
        <v>124512.93936861599</v>
      </c>
      <c r="P296" s="22">
        <v>123334.58526217962</v>
      </c>
      <c r="Q296" s="22">
        <v>116629.41618729597</v>
      </c>
      <c r="R296" s="22">
        <v>104150.3842601137</v>
      </c>
      <c r="S296" s="22">
        <v>82253.161029282855</v>
      </c>
      <c r="T296" s="22">
        <v>47188.992869129543</v>
      </c>
      <c r="U296" s="22">
        <v>109390.83039714176</v>
      </c>
      <c r="V296" s="22">
        <v>109390.83039714176</v>
      </c>
      <c r="W296" s="22">
        <v>109390.83039714176</v>
      </c>
      <c r="X296" s="22">
        <v>109390.83039714176</v>
      </c>
      <c r="Y296" s="22">
        <v>109390.83039714176</v>
      </c>
      <c r="Z296" s="22">
        <v>109390.83039714176</v>
      </c>
      <c r="AA296" s="23">
        <v>109390.83039714176</v>
      </c>
      <c r="AB296" s="97"/>
      <c r="AC296" s="27">
        <v>6</v>
      </c>
      <c r="AD296" s="16">
        <f t="shared" si="90"/>
        <v>11486037.19169989</v>
      </c>
    </row>
    <row r="297" spans="1:30" ht="13.5" thickBot="1" x14ac:dyDescent="0.35">
      <c r="A297" s="18">
        <v>2034</v>
      </c>
      <c r="B297" s="11" t="s">
        <v>35</v>
      </c>
      <c r="C297" s="12" t="s">
        <v>33</v>
      </c>
      <c r="D297" s="21">
        <v>27347.707599285455</v>
      </c>
      <c r="E297" s="22">
        <v>27347.707599285455</v>
      </c>
      <c r="F297" s="22">
        <v>27347.707599285455</v>
      </c>
      <c r="G297" s="22">
        <v>27347.707599285455</v>
      </c>
      <c r="H297" s="22">
        <v>27347.707599285455</v>
      </c>
      <c r="I297" s="22">
        <v>27347.707599285455</v>
      </c>
      <c r="J297" s="22">
        <v>27347.707599285455</v>
      </c>
      <c r="K297" s="22">
        <v>48194.514957893633</v>
      </c>
      <c r="L297" s="22">
        <v>83739.819052970735</v>
      </c>
      <c r="M297" s="22">
        <v>107121.26539407365</v>
      </c>
      <c r="N297" s="22">
        <v>120044.68759343489</v>
      </c>
      <c r="O297" s="22">
        <v>124512.939368616</v>
      </c>
      <c r="P297" s="22">
        <v>123334.58526217965</v>
      </c>
      <c r="Q297" s="22">
        <v>116629.41618729597</v>
      </c>
      <c r="R297" s="22">
        <v>104150.38426011374</v>
      </c>
      <c r="S297" s="22">
        <v>82253.161029282885</v>
      </c>
      <c r="T297" s="22">
        <v>47188.992869129528</v>
      </c>
      <c r="U297" s="22">
        <v>109390.83039714182</v>
      </c>
      <c r="V297" s="22">
        <v>109390.83039714182</v>
      </c>
      <c r="W297" s="22">
        <v>109390.83039714182</v>
      </c>
      <c r="X297" s="22">
        <v>109390.83039714182</v>
      </c>
      <c r="Y297" s="22">
        <v>109390.83039714182</v>
      </c>
      <c r="Z297" s="22">
        <v>109390.83039714182</v>
      </c>
      <c r="AA297" s="23">
        <v>109390.83039714182</v>
      </c>
      <c r="AB297" s="96">
        <f t="shared" ref="AB297" si="102">+SUM(D297:AA297)*AC297+SUM(D298:AA298)*AC298+SUM(D299:AA299)*AC299</f>
        <v>53601506.894599497</v>
      </c>
      <c r="AC297" s="16">
        <v>20</v>
      </c>
      <c r="AD297" s="16">
        <f t="shared" si="90"/>
        <v>38286790.638999641</v>
      </c>
    </row>
    <row r="298" spans="1:30" ht="13.5" thickBot="1" x14ac:dyDescent="0.35">
      <c r="A298" s="18">
        <v>2034</v>
      </c>
      <c r="B298" s="19" t="s">
        <v>35</v>
      </c>
      <c r="C298" s="20" t="s">
        <v>50</v>
      </c>
      <c r="D298" s="21">
        <v>27347.707599285444</v>
      </c>
      <c r="E298" s="22">
        <v>27347.707599285444</v>
      </c>
      <c r="F298" s="22">
        <v>27347.707599285444</v>
      </c>
      <c r="G298" s="22">
        <v>27347.707599285444</v>
      </c>
      <c r="H298" s="22">
        <v>27347.707599285444</v>
      </c>
      <c r="I298" s="22">
        <v>27347.707599285444</v>
      </c>
      <c r="J298" s="22">
        <v>27347.707599285444</v>
      </c>
      <c r="K298" s="22">
        <v>48194.514957893618</v>
      </c>
      <c r="L298" s="22">
        <v>83739.819052970735</v>
      </c>
      <c r="M298" s="22">
        <v>107121.26539407363</v>
      </c>
      <c r="N298" s="22">
        <v>120044.68759343482</v>
      </c>
      <c r="O298" s="22">
        <v>124512.93936861599</v>
      </c>
      <c r="P298" s="22">
        <v>123334.58526217962</v>
      </c>
      <c r="Q298" s="22">
        <v>116629.41618729598</v>
      </c>
      <c r="R298" s="22">
        <v>104150.3842601137</v>
      </c>
      <c r="S298" s="22">
        <v>82253.161029282855</v>
      </c>
      <c r="T298" s="22">
        <v>47188.992869129543</v>
      </c>
      <c r="U298" s="22">
        <v>109390.83039714178</v>
      </c>
      <c r="V298" s="22">
        <v>109390.83039714178</v>
      </c>
      <c r="W298" s="22">
        <v>109390.83039714178</v>
      </c>
      <c r="X298" s="22">
        <v>109390.83039714178</v>
      </c>
      <c r="Y298" s="22">
        <v>109390.83039714178</v>
      </c>
      <c r="Z298" s="22">
        <v>109390.83039714178</v>
      </c>
      <c r="AA298" s="23">
        <v>109390.83039714178</v>
      </c>
      <c r="AB298" s="97"/>
      <c r="AC298" s="24">
        <v>4</v>
      </c>
      <c r="AD298" s="16">
        <f t="shared" si="90"/>
        <v>7657358.1277999273</v>
      </c>
    </row>
    <row r="299" spans="1:30" ht="13.5" thickBot="1" x14ac:dyDescent="0.35">
      <c r="A299" s="18">
        <v>2034</v>
      </c>
      <c r="B299" s="25" t="s">
        <v>35</v>
      </c>
      <c r="C299" s="26" t="s">
        <v>36</v>
      </c>
      <c r="D299" s="21">
        <v>27347.707599285444</v>
      </c>
      <c r="E299" s="22">
        <v>27347.707599285444</v>
      </c>
      <c r="F299" s="22">
        <v>27347.707599285444</v>
      </c>
      <c r="G299" s="22">
        <v>27347.707599285444</v>
      </c>
      <c r="H299" s="22">
        <v>27347.707599285444</v>
      </c>
      <c r="I299" s="22">
        <v>27347.707599285444</v>
      </c>
      <c r="J299" s="22">
        <v>27347.707599285444</v>
      </c>
      <c r="K299" s="22">
        <v>48194.514957893618</v>
      </c>
      <c r="L299" s="22">
        <v>83739.819052970735</v>
      </c>
      <c r="M299" s="22">
        <v>107121.26539407363</v>
      </c>
      <c r="N299" s="22">
        <v>120044.68759343482</v>
      </c>
      <c r="O299" s="22">
        <v>124512.93936861599</v>
      </c>
      <c r="P299" s="22">
        <v>123334.58526217962</v>
      </c>
      <c r="Q299" s="22">
        <v>116629.41618729598</v>
      </c>
      <c r="R299" s="22">
        <v>104150.3842601137</v>
      </c>
      <c r="S299" s="22">
        <v>82253.161029282855</v>
      </c>
      <c r="T299" s="22">
        <v>47188.992869129543</v>
      </c>
      <c r="U299" s="22">
        <v>109390.83039714178</v>
      </c>
      <c r="V299" s="22">
        <v>109390.83039714178</v>
      </c>
      <c r="W299" s="22">
        <v>109390.83039714178</v>
      </c>
      <c r="X299" s="22">
        <v>109390.83039714178</v>
      </c>
      <c r="Y299" s="22">
        <v>109390.83039714178</v>
      </c>
      <c r="Z299" s="22">
        <v>109390.83039714178</v>
      </c>
      <c r="AA299" s="23">
        <v>109390.83039714178</v>
      </c>
      <c r="AB299" s="97"/>
      <c r="AC299" s="27">
        <v>4</v>
      </c>
      <c r="AD299" s="16">
        <f t="shared" si="90"/>
        <v>7657358.1277999273</v>
      </c>
    </row>
    <row r="300" spans="1:30" ht="13.5" thickBot="1" x14ac:dyDescent="0.35">
      <c r="A300" s="18">
        <v>2034</v>
      </c>
      <c r="B300" s="11" t="s">
        <v>37</v>
      </c>
      <c r="C300" s="12" t="s">
        <v>33</v>
      </c>
      <c r="D300" s="21">
        <v>27347.707599285452</v>
      </c>
      <c r="E300" s="22">
        <v>27347.707599285452</v>
      </c>
      <c r="F300" s="22">
        <v>27347.707599285452</v>
      </c>
      <c r="G300" s="22">
        <v>27347.707599285452</v>
      </c>
      <c r="H300" s="22">
        <v>27347.707599285452</v>
      </c>
      <c r="I300" s="22">
        <v>27347.707599285452</v>
      </c>
      <c r="J300" s="22">
        <v>27347.707599285452</v>
      </c>
      <c r="K300" s="22">
        <v>48194.514957893633</v>
      </c>
      <c r="L300" s="22">
        <v>83739.819052970735</v>
      </c>
      <c r="M300" s="22">
        <v>107121.26539407363</v>
      </c>
      <c r="N300" s="22">
        <v>120044.68759343489</v>
      </c>
      <c r="O300" s="22">
        <v>124512.93936861599</v>
      </c>
      <c r="P300" s="22">
        <v>123334.58526217967</v>
      </c>
      <c r="Q300" s="22">
        <v>116629.41618729598</v>
      </c>
      <c r="R300" s="22">
        <v>104150.38426011376</v>
      </c>
      <c r="S300" s="22">
        <v>82253.161029282899</v>
      </c>
      <c r="T300" s="22">
        <v>47188.992869129528</v>
      </c>
      <c r="U300" s="22">
        <v>109390.83039714181</v>
      </c>
      <c r="V300" s="22">
        <v>109390.83039714181</v>
      </c>
      <c r="W300" s="22">
        <v>109390.83039714181</v>
      </c>
      <c r="X300" s="22">
        <v>109390.83039714181</v>
      </c>
      <c r="Y300" s="22">
        <v>109390.83039714181</v>
      </c>
      <c r="Z300" s="22">
        <v>109390.83039714181</v>
      </c>
      <c r="AA300" s="23">
        <v>109390.83039714181</v>
      </c>
      <c r="AB300" s="96">
        <f t="shared" ref="AB300" si="103">+SUM(D300:AA300)*AC300+SUM(D301:AA301)*AC301+SUM(D302:AA302)*AC302</f>
        <v>59344525.490449443</v>
      </c>
      <c r="AC300" s="16">
        <v>22</v>
      </c>
      <c r="AD300" s="16">
        <f t="shared" si="90"/>
        <v>42115469.702899605</v>
      </c>
    </row>
    <row r="301" spans="1:30" ht="13.5" thickBot="1" x14ac:dyDescent="0.35">
      <c r="A301" s="18">
        <v>2034</v>
      </c>
      <c r="B301" s="19" t="s">
        <v>37</v>
      </c>
      <c r="C301" s="20" t="s">
        <v>50</v>
      </c>
      <c r="D301" s="21">
        <v>27347.707599285444</v>
      </c>
      <c r="E301" s="22">
        <v>27347.707599285444</v>
      </c>
      <c r="F301" s="22">
        <v>27347.707599285444</v>
      </c>
      <c r="G301" s="22">
        <v>27347.707599285444</v>
      </c>
      <c r="H301" s="22">
        <v>27347.707599285444</v>
      </c>
      <c r="I301" s="22">
        <v>27347.707599285444</v>
      </c>
      <c r="J301" s="22">
        <v>27347.707599285444</v>
      </c>
      <c r="K301" s="22">
        <v>48194.514957893618</v>
      </c>
      <c r="L301" s="22">
        <v>83739.819052970735</v>
      </c>
      <c r="M301" s="22">
        <v>107121.26539407363</v>
      </c>
      <c r="N301" s="22">
        <v>120044.68759343482</v>
      </c>
      <c r="O301" s="22">
        <v>124512.93936861599</v>
      </c>
      <c r="P301" s="22">
        <v>123334.58526217962</v>
      </c>
      <c r="Q301" s="22">
        <v>116629.41618729598</v>
      </c>
      <c r="R301" s="22">
        <v>104150.3842601137</v>
      </c>
      <c r="S301" s="22">
        <v>82253.161029282855</v>
      </c>
      <c r="T301" s="22">
        <v>47188.992869129543</v>
      </c>
      <c r="U301" s="22">
        <v>109390.83039714178</v>
      </c>
      <c r="V301" s="22">
        <v>109390.83039714178</v>
      </c>
      <c r="W301" s="22">
        <v>109390.83039714178</v>
      </c>
      <c r="X301" s="22">
        <v>109390.83039714178</v>
      </c>
      <c r="Y301" s="22">
        <v>109390.83039714178</v>
      </c>
      <c r="Z301" s="22">
        <v>109390.83039714178</v>
      </c>
      <c r="AA301" s="23">
        <v>109390.83039714178</v>
      </c>
      <c r="AB301" s="97"/>
      <c r="AC301" s="24">
        <v>4</v>
      </c>
      <c r="AD301" s="16">
        <f t="shared" si="90"/>
        <v>7657358.1277999273</v>
      </c>
    </row>
    <row r="302" spans="1:30" ht="13.5" thickBot="1" x14ac:dyDescent="0.35">
      <c r="A302" s="18">
        <v>2034</v>
      </c>
      <c r="B302" s="25" t="s">
        <v>37</v>
      </c>
      <c r="C302" s="26" t="s">
        <v>36</v>
      </c>
      <c r="D302" s="21">
        <v>27347.707599285444</v>
      </c>
      <c r="E302" s="22">
        <v>27347.707599285444</v>
      </c>
      <c r="F302" s="22">
        <v>27347.707599285444</v>
      </c>
      <c r="G302" s="22">
        <v>27347.707599285444</v>
      </c>
      <c r="H302" s="22">
        <v>27347.707599285444</v>
      </c>
      <c r="I302" s="22">
        <v>27347.707599285444</v>
      </c>
      <c r="J302" s="22">
        <v>27347.707599285444</v>
      </c>
      <c r="K302" s="22">
        <v>48194.514957893618</v>
      </c>
      <c r="L302" s="22">
        <v>83739.819052970735</v>
      </c>
      <c r="M302" s="22">
        <v>107121.26539407363</v>
      </c>
      <c r="N302" s="22">
        <v>120044.68759343482</v>
      </c>
      <c r="O302" s="22">
        <v>124512.939368616</v>
      </c>
      <c r="P302" s="22">
        <v>123334.58526217964</v>
      </c>
      <c r="Q302" s="22">
        <v>116629.41618729597</v>
      </c>
      <c r="R302" s="22">
        <v>104150.3842601137</v>
      </c>
      <c r="S302" s="22">
        <v>82253.161029282855</v>
      </c>
      <c r="T302" s="22">
        <v>47188.992869129543</v>
      </c>
      <c r="U302" s="22">
        <v>109390.83039714178</v>
      </c>
      <c r="V302" s="22">
        <v>109390.83039714178</v>
      </c>
      <c r="W302" s="22">
        <v>109390.83039714178</v>
      </c>
      <c r="X302" s="22">
        <v>109390.83039714178</v>
      </c>
      <c r="Y302" s="22">
        <v>109390.83039714178</v>
      </c>
      <c r="Z302" s="22">
        <v>109390.83039714178</v>
      </c>
      <c r="AA302" s="23">
        <v>109390.83039714178</v>
      </c>
      <c r="AB302" s="97"/>
      <c r="AC302" s="27">
        <v>5</v>
      </c>
      <c r="AD302" s="16">
        <f t="shared" si="90"/>
        <v>9571697.6597499084</v>
      </c>
    </row>
    <row r="303" spans="1:30" ht="13.5" thickBot="1" x14ac:dyDescent="0.35">
      <c r="A303" s="18">
        <v>2034</v>
      </c>
      <c r="B303" s="11" t="s">
        <v>38</v>
      </c>
      <c r="C303" s="12" t="s">
        <v>33</v>
      </c>
      <c r="D303" s="21">
        <v>27347.707599285452</v>
      </c>
      <c r="E303" s="22">
        <v>27347.707599285452</v>
      </c>
      <c r="F303" s="22">
        <v>27347.707599285452</v>
      </c>
      <c r="G303" s="22">
        <v>27347.707599285452</v>
      </c>
      <c r="H303" s="22">
        <v>27347.707599285452</v>
      </c>
      <c r="I303" s="22">
        <v>27347.707599285452</v>
      </c>
      <c r="J303" s="22">
        <v>27347.707599285452</v>
      </c>
      <c r="K303" s="22">
        <v>48194.514957893633</v>
      </c>
      <c r="L303" s="22">
        <v>83739.819052970735</v>
      </c>
      <c r="M303" s="22">
        <v>107121.26539407366</v>
      </c>
      <c r="N303" s="22">
        <v>120044.68759343488</v>
      </c>
      <c r="O303" s="22">
        <v>124512.93936861602</v>
      </c>
      <c r="P303" s="22">
        <v>123334.58526217964</v>
      </c>
      <c r="Q303" s="22">
        <v>116629.41618729595</v>
      </c>
      <c r="R303" s="22">
        <v>104150.38426011374</v>
      </c>
      <c r="S303" s="22">
        <v>82253.161029282885</v>
      </c>
      <c r="T303" s="22">
        <v>47188.992869129528</v>
      </c>
      <c r="U303" s="22">
        <v>109390.83039714181</v>
      </c>
      <c r="V303" s="22">
        <v>109390.83039714181</v>
      </c>
      <c r="W303" s="22">
        <v>109390.83039714181</v>
      </c>
      <c r="X303" s="22">
        <v>109390.83039714181</v>
      </c>
      <c r="Y303" s="22">
        <v>109390.83039714181</v>
      </c>
      <c r="Z303" s="22">
        <v>109390.83039714181</v>
      </c>
      <c r="AA303" s="23">
        <v>109390.83039714181</v>
      </c>
      <c r="AB303" s="96">
        <f t="shared" ref="AB303" si="104">+SUM(D303:AA303)*AC303+SUM(D304:AA304)*AC304+SUM(D305:AA305)*AC305</f>
        <v>57430185.958499461</v>
      </c>
      <c r="AC303" s="16">
        <v>18</v>
      </c>
      <c r="AD303" s="16">
        <f t="shared" si="90"/>
        <v>34458111.575099677</v>
      </c>
    </row>
    <row r="304" spans="1:30" ht="13.5" thickBot="1" x14ac:dyDescent="0.35">
      <c r="A304" s="18">
        <v>2034</v>
      </c>
      <c r="B304" s="19" t="s">
        <v>38</v>
      </c>
      <c r="C304" s="20" t="s">
        <v>50</v>
      </c>
      <c r="D304" s="21">
        <v>27347.707599285444</v>
      </c>
      <c r="E304" s="22">
        <v>27347.707599285444</v>
      </c>
      <c r="F304" s="22">
        <v>27347.707599285444</v>
      </c>
      <c r="G304" s="22">
        <v>27347.707599285444</v>
      </c>
      <c r="H304" s="22">
        <v>27347.707599285444</v>
      </c>
      <c r="I304" s="22">
        <v>27347.707599285444</v>
      </c>
      <c r="J304" s="22">
        <v>27347.707599285444</v>
      </c>
      <c r="K304" s="22">
        <v>48194.514957893618</v>
      </c>
      <c r="L304" s="22">
        <v>83739.819052970735</v>
      </c>
      <c r="M304" s="22">
        <v>107121.26539407363</v>
      </c>
      <c r="N304" s="22">
        <v>120044.68759343482</v>
      </c>
      <c r="O304" s="22">
        <v>124512.939368616</v>
      </c>
      <c r="P304" s="22">
        <v>123334.58526217964</v>
      </c>
      <c r="Q304" s="22">
        <v>116629.41618729597</v>
      </c>
      <c r="R304" s="22">
        <v>104150.3842601137</v>
      </c>
      <c r="S304" s="22">
        <v>82253.161029282855</v>
      </c>
      <c r="T304" s="22">
        <v>47188.992869129543</v>
      </c>
      <c r="U304" s="22">
        <v>109390.83039714178</v>
      </c>
      <c r="V304" s="22">
        <v>109390.83039714178</v>
      </c>
      <c r="W304" s="22">
        <v>109390.83039714178</v>
      </c>
      <c r="X304" s="22">
        <v>109390.83039714178</v>
      </c>
      <c r="Y304" s="22">
        <v>109390.83039714178</v>
      </c>
      <c r="Z304" s="22">
        <v>109390.83039714178</v>
      </c>
      <c r="AA304" s="23">
        <v>109390.83039714178</v>
      </c>
      <c r="AB304" s="97"/>
      <c r="AC304" s="24">
        <v>5</v>
      </c>
      <c r="AD304" s="16">
        <f t="shared" si="90"/>
        <v>9571697.6597499084</v>
      </c>
    </row>
    <row r="305" spans="1:30" ht="13.5" thickBot="1" x14ac:dyDescent="0.35">
      <c r="A305" s="18">
        <v>2034</v>
      </c>
      <c r="B305" s="25" t="s">
        <v>38</v>
      </c>
      <c r="C305" s="26" t="s">
        <v>36</v>
      </c>
      <c r="D305" s="21">
        <v>27347.707599285441</v>
      </c>
      <c r="E305" s="22">
        <v>27347.707599285441</v>
      </c>
      <c r="F305" s="22">
        <v>27347.707599285441</v>
      </c>
      <c r="G305" s="22">
        <v>27347.707599285441</v>
      </c>
      <c r="H305" s="22">
        <v>27347.707599285441</v>
      </c>
      <c r="I305" s="22">
        <v>27347.707599285441</v>
      </c>
      <c r="J305" s="22">
        <v>27347.707599285441</v>
      </c>
      <c r="K305" s="22">
        <v>48194.514957893625</v>
      </c>
      <c r="L305" s="22">
        <v>83739.819052970735</v>
      </c>
      <c r="M305" s="22">
        <v>107121.26539407365</v>
      </c>
      <c r="N305" s="22">
        <v>120044.68759343482</v>
      </c>
      <c r="O305" s="22">
        <v>124512.93936861599</v>
      </c>
      <c r="P305" s="22">
        <v>123334.58526217962</v>
      </c>
      <c r="Q305" s="22">
        <v>116629.41618729595</v>
      </c>
      <c r="R305" s="22">
        <v>104150.3842601137</v>
      </c>
      <c r="S305" s="22">
        <v>82253.161029282855</v>
      </c>
      <c r="T305" s="22">
        <v>47188.992869129535</v>
      </c>
      <c r="U305" s="22">
        <v>109390.83039714176</v>
      </c>
      <c r="V305" s="22">
        <v>109390.83039714176</v>
      </c>
      <c r="W305" s="22">
        <v>109390.83039714176</v>
      </c>
      <c r="X305" s="22">
        <v>109390.83039714176</v>
      </c>
      <c r="Y305" s="22">
        <v>109390.83039714176</v>
      </c>
      <c r="Z305" s="22">
        <v>109390.83039714176</v>
      </c>
      <c r="AA305" s="23">
        <v>109390.83039714176</v>
      </c>
      <c r="AB305" s="97"/>
      <c r="AC305" s="27">
        <v>7</v>
      </c>
      <c r="AD305" s="16">
        <f t="shared" si="90"/>
        <v>13400376.723649872</v>
      </c>
    </row>
    <row r="306" spans="1:30" ht="13.5" thickBot="1" x14ac:dyDescent="0.35">
      <c r="A306" s="18">
        <v>2034</v>
      </c>
      <c r="B306" s="11" t="s">
        <v>39</v>
      </c>
      <c r="C306" s="12" t="s">
        <v>33</v>
      </c>
      <c r="D306" s="21">
        <v>27347.707599285452</v>
      </c>
      <c r="E306" s="22">
        <v>27347.707599285452</v>
      </c>
      <c r="F306" s="22">
        <v>27347.707599285452</v>
      </c>
      <c r="G306" s="22">
        <v>27347.707599285452</v>
      </c>
      <c r="H306" s="22">
        <v>27347.707599285452</v>
      </c>
      <c r="I306" s="22">
        <v>27347.707599285452</v>
      </c>
      <c r="J306" s="22">
        <v>27347.707599285452</v>
      </c>
      <c r="K306" s="22">
        <v>48194.514957893633</v>
      </c>
      <c r="L306" s="22">
        <v>83739.819052970735</v>
      </c>
      <c r="M306" s="22">
        <v>107121.26539407365</v>
      </c>
      <c r="N306" s="22">
        <v>120044.68759343489</v>
      </c>
      <c r="O306" s="22">
        <v>124512.93936861599</v>
      </c>
      <c r="P306" s="22">
        <v>123334.58526217967</v>
      </c>
      <c r="Q306" s="22">
        <v>116629.41618729598</v>
      </c>
      <c r="R306" s="22">
        <v>104150.38426011374</v>
      </c>
      <c r="S306" s="22">
        <v>82253.161029282885</v>
      </c>
      <c r="T306" s="22">
        <v>47188.992869129528</v>
      </c>
      <c r="U306" s="22">
        <v>109390.83039714181</v>
      </c>
      <c r="V306" s="22">
        <v>109390.83039714181</v>
      </c>
      <c r="W306" s="22">
        <v>109390.83039714181</v>
      </c>
      <c r="X306" s="22">
        <v>109390.83039714181</v>
      </c>
      <c r="Y306" s="22">
        <v>109390.83039714181</v>
      </c>
      <c r="Z306" s="22">
        <v>109390.83039714181</v>
      </c>
      <c r="AA306" s="23">
        <v>109390.83039714181</v>
      </c>
      <c r="AB306" s="96">
        <f t="shared" ref="AB306" si="105">+SUM(D306:AA306)*AC306+SUM(D307:AA307)*AC307+SUM(D308:AA308)*AC308</f>
        <v>59344525.490449443</v>
      </c>
      <c r="AC306" s="16">
        <v>21</v>
      </c>
      <c r="AD306" s="16">
        <f t="shared" si="90"/>
        <v>40201130.170949623</v>
      </c>
    </row>
    <row r="307" spans="1:30" ht="13.5" thickBot="1" x14ac:dyDescent="0.35">
      <c r="A307" s="18">
        <v>2034</v>
      </c>
      <c r="B307" s="19" t="s">
        <v>39</v>
      </c>
      <c r="C307" s="20" t="s">
        <v>50</v>
      </c>
      <c r="D307" s="21">
        <v>27347.707599285444</v>
      </c>
      <c r="E307" s="22">
        <v>27347.707599285444</v>
      </c>
      <c r="F307" s="22">
        <v>27347.707599285444</v>
      </c>
      <c r="G307" s="22">
        <v>27347.707599285444</v>
      </c>
      <c r="H307" s="22">
        <v>27347.707599285444</v>
      </c>
      <c r="I307" s="22">
        <v>27347.707599285444</v>
      </c>
      <c r="J307" s="22">
        <v>27347.707599285444</v>
      </c>
      <c r="K307" s="22">
        <v>48194.514957893618</v>
      </c>
      <c r="L307" s="22">
        <v>83739.819052970735</v>
      </c>
      <c r="M307" s="22">
        <v>107121.26539407363</v>
      </c>
      <c r="N307" s="22">
        <v>120044.68759343482</v>
      </c>
      <c r="O307" s="22">
        <v>124512.93936861599</v>
      </c>
      <c r="P307" s="22">
        <v>123334.58526217962</v>
      </c>
      <c r="Q307" s="22">
        <v>116629.41618729598</v>
      </c>
      <c r="R307" s="22">
        <v>104150.3842601137</v>
      </c>
      <c r="S307" s="22">
        <v>82253.161029282855</v>
      </c>
      <c r="T307" s="22">
        <v>47188.992869129543</v>
      </c>
      <c r="U307" s="22">
        <v>109390.83039714178</v>
      </c>
      <c r="V307" s="22">
        <v>109390.83039714178</v>
      </c>
      <c r="W307" s="22">
        <v>109390.83039714178</v>
      </c>
      <c r="X307" s="22">
        <v>109390.83039714178</v>
      </c>
      <c r="Y307" s="22">
        <v>109390.83039714178</v>
      </c>
      <c r="Z307" s="22">
        <v>109390.83039714178</v>
      </c>
      <c r="AA307" s="23">
        <v>109390.83039714178</v>
      </c>
      <c r="AB307" s="97"/>
      <c r="AC307" s="24">
        <v>4</v>
      </c>
      <c r="AD307" s="16">
        <f t="shared" si="90"/>
        <v>7657358.1277999273</v>
      </c>
    </row>
    <row r="308" spans="1:30" ht="13.5" thickBot="1" x14ac:dyDescent="0.35">
      <c r="A308" s="18">
        <v>2034</v>
      </c>
      <c r="B308" s="25" t="s">
        <v>39</v>
      </c>
      <c r="C308" s="26" t="s">
        <v>36</v>
      </c>
      <c r="D308" s="21">
        <v>27347.707599285441</v>
      </c>
      <c r="E308" s="22">
        <v>27347.707599285441</v>
      </c>
      <c r="F308" s="22">
        <v>27347.707599285441</v>
      </c>
      <c r="G308" s="22">
        <v>27347.707599285441</v>
      </c>
      <c r="H308" s="22">
        <v>27347.707599285441</v>
      </c>
      <c r="I308" s="22">
        <v>27347.707599285441</v>
      </c>
      <c r="J308" s="22">
        <v>27347.707599285441</v>
      </c>
      <c r="K308" s="22">
        <v>48194.514957893618</v>
      </c>
      <c r="L308" s="22">
        <v>83739.819052970735</v>
      </c>
      <c r="M308" s="22">
        <v>107121.26539407363</v>
      </c>
      <c r="N308" s="22">
        <v>120044.68759343482</v>
      </c>
      <c r="O308" s="22">
        <v>124512.93936861599</v>
      </c>
      <c r="P308" s="22">
        <v>123334.58526217962</v>
      </c>
      <c r="Q308" s="22">
        <v>116629.41618729597</v>
      </c>
      <c r="R308" s="22">
        <v>104150.3842601137</v>
      </c>
      <c r="S308" s="22">
        <v>82253.161029282855</v>
      </c>
      <c r="T308" s="22">
        <v>47188.992869129543</v>
      </c>
      <c r="U308" s="22">
        <v>109390.83039714176</v>
      </c>
      <c r="V308" s="22">
        <v>109390.83039714176</v>
      </c>
      <c r="W308" s="22">
        <v>109390.83039714176</v>
      </c>
      <c r="X308" s="22">
        <v>109390.83039714176</v>
      </c>
      <c r="Y308" s="22">
        <v>109390.83039714176</v>
      </c>
      <c r="Z308" s="22">
        <v>109390.83039714176</v>
      </c>
      <c r="AA308" s="23">
        <v>109390.83039714176</v>
      </c>
      <c r="AB308" s="97"/>
      <c r="AC308" s="27">
        <v>6</v>
      </c>
      <c r="AD308" s="16">
        <f t="shared" si="90"/>
        <v>11486037.19169989</v>
      </c>
    </row>
    <row r="309" spans="1:30" ht="13.5" thickBot="1" x14ac:dyDescent="0.35">
      <c r="A309" s="18">
        <v>2034</v>
      </c>
      <c r="B309" s="11" t="s">
        <v>40</v>
      </c>
      <c r="C309" s="12" t="s">
        <v>33</v>
      </c>
      <c r="D309" s="21">
        <v>27347.707599285455</v>
      </c>
      <c r="E309" s="22">
        <v>27347.707599285455</v>
      </c>
      <c r="F309" s="22">
        <v>27347.707599285455</v>
      </c>
      <c r="G309" s="22">
        <v>27347.707599285455</v>
      </c>
      <c r="H309" s="22">
        <v>27347.707599285455</v>
      </c>
      <c r="I309" s="22">
        <v>27347.707599285455</v>
      </c>
      <c r="J309" s="22">
        <v>27347.707599285455</v>
      </c>
      <c r="K309" s="22">
        <v>48194.514957893633</v>
      </c>
      <c r="L309" s="22">
        <v>83739.819052970735</v>
      </c>
      <c r="M309" s="22">
        <v>107121.26539407365</v>
      </c>
      <c r="N309" s="22">
        <v>120044.68759343489</v>
      </c>
      <c r="O309" s="22">
        <v>124512.939368616</v>
      </c>
      <c r="P309" s="22">
        <v>123334.58526217965</v>
      </c>
      <c r="Q309" s="22">
        <v>116629.41618729597</v>
      </c>
      <c r="R309" s="22">
        <v>104150.38426011374</v>
      </c>
      <c r="S309" s="22">
        <v>82253.161029282885</v>
      </c>
      <c r="T309" s="22">
        <v>47188.992869129528</v>
      </c>
      <c r="U309" s="22">
        <v>109390.83039714182</v>
      </c>
      <c r="V309" s="22">
        <v>109390.83039714182</v>
      </c>
      <c r="W309" s="22">
        <v>109390.83039714182</v>
      </c>
      <c r="X309" s="22">
        <v>109390.83039714182</v>
      </c>
      <c r="Y309" s="22">
        <v>109390.83039714182</v>
      </c>
      <c r="Z309" s="22">
        <v>109390.83039714182</v>
      </c>
      <c r="AA309" s="23">
        <v>109390.83039714182</v>
      </c>
      <c r="AB309" s="96">
        <f t="shared" ref="AB309" si="106">+SUM(D309:AA309)*AC309+SUM(D310:AA310)*AC310+SUM(D311:AA311)*AC311</f>
        <v>57430185.958499461</v>
      </c>
      <c r="AC309" s="16">
        <v>20</v>
      </c>
      <c r="AD309" s="16">
        <f t="shared" si="90"/>
        <v>38286790.638999641</v>
      </c>
    </row>
    <row r="310" spans="1:30" ht="13.5" thickBot="1" x14ac:dyDescent="0.35">
      <c r="A310" s="18">
        <v>2034</v>
      </c>
      <c r="B310" s="19" t="s">
        <v>40</v>
      </c>
      <c r="C310" s="20" t="s">
        <v>50</v>
      </c>
      <c r="D310" s="21">
        <v>27347.707599285444</v>
      </c>
      <c r="E310" s="22">
        <v>27347.707599285444</v>
      </c>
      <c r="F310" s="22">
        <v>27347.707599285444</v>
      </c>
      <c r="G310" s="22">
        <v>27347.707599285444</v>
      </c>
      <c r="H310" s="22">
        <v>27347.707599285444</v>
      </c>
      <c r="I310" s="22">
        <v>27347.707599285444</v>
      </c>
      <c r="J310" s="22">
        <v>27347.707599285444</v>
      </c>
      <c r="K310" s="22">
        <v>48194.514957893618</v>
      </c>
      <c r="L310" s="22">
        <v>83739.819052970735</v>
      </c>
      <c r="M310" s="22">
        <v>107121.26539407363</v>
      </c>
      <c r="N310" s="22">
        <v>120044.68759343482</v>
      </c>
      <c r="O310" s="22">
        <v>124512.93936861599</v>
      </c>
      <c r="P310" s="22">
        <v>123334.58526217962</v>
      </c>
      <c r="Q310" s="22">
        <v>116629.41618729598</v>
      </c>
      <c r="R310" s="22">
        <v>104150.3842601137</v>
      </c>
      <c r="S310" s="22">
        <v>82253.161029282855</v>
      </c>
      <c r="T310" s="22">
        <v>47188.992869129543</v>
      </c>
      <c r="U310" s="22">
        <v>109390.83039714178</v>
      </c>
      <c r="V310" s="22">
        <v>109390.83039714178</v>
      </c>
      <c r="W310" s="22">
        <v>109390.83039714178</v>
      </c>
      <c r="X310" s="22">
        <v>109390.83039714178</v>
      </c>
      <c r="Y310" s="22">
        <v>109390.83039714178</v>
      </c>
      <c r="Z310" s="22">
        <v>109390.83039714178</v>
      </c>
      <c r="AA310" s="23">
        <v>109390.83039714178</v>
      </c>
      <c r="AB310" s="97"/>
      <c r="AC310" s="24">
        <v>4</v>
      </c>
      <c r="AD310" s="16">
        <f t="shared" si="90"/>
        <v>7657358.1277999273</v>
      </c>
    </row>
    <row r="311" spans="1:30" ht="13.5" thickBot="1" x14ac:dyDescent="0.35">
      <c r="A311" s="18">
        <v>2034</v>
      </c>
      <c r="B311" s="25" t="s">
        <v>40</v>
      </c>
      <c r="C311" s="26" t="s">
        <v>36</v>
      </c>
      <c r="D311" s="21">
        <v>27347.707599285441</v>
      </c>
      <c r="E311" s="22">
        <v>27347.707599285441</v>
      </c>
      <c r="F311" s="22">
        <v>27347.707599285441</v>
      </c>
      <c r="G311" s="22">
        <v>27347.707599285441</v>
      </c>
      <c r="H311" s="22">
        <v>27347.707599285441</v>
      </c>
      <c r="I311" s="22">
        <v>27347.707599285441</v>
      </c>
      <c r="J311" s="22">
        <v>27347.707599285441</v>
      </c>
      <c r="K311" s="22">
        <v>48194.514957893618</v>
      </c>
      <c r="L311" s="22">
        <v>83739.819052970735</v>
      </c>
      <c r="M311" s="22">
        <v>107121.26539407363</v>
      </c>
      <c r="N311" s="22">
        <v>120044.68759343482</v>
      </c>
      <c r="O311" s="22">
        <v>124512.93936861599</v>
      </c>
      <c r="P311" s="22">
        <v>123334.58526217962</v>
      </c>
      <c r="Q311" s="22">
        <v>116629.41618729597</v>
      </c>
      <c r="R311" s="22">
        <v>104150.3842601137</v>
      </c>
      <c r="S311" s="22">
        <v>82253.161029282855</v>
      </c>
      <c r="T311" s="22">
        <v>47188.992869129543</v>
      </c>
      <c r="U311" s="22">
        <v>109390.83039714176</v>
      </c>
      <c r="V311" s="22">
        <v>109390.83039714176</v>
      </c>
      <c r="W311" s="22">
        <v>109390.83039714176</v>
      </c>
      <c r="X311" s="22">
        <v>109390.83039714176</v>
      </c>
      <c r="Y311" s="22">
        <v>109390.83039714176</v>
      </c>
      <c r="Z311" s="22">
        <v>109390.83039714176</v>
      </c>
      <c r="AA311" s="23">
        <v>109390.83039714176</v>
      </c>
      <c r="AB311" s="97"/>
      <c r="AC311" s="27">
        <v>6</v>
      </c>
      <c r="AD311" s="16">
        <f t="shared" si="90"/>
        <v>11486037.19169989</v>
      </c>
    </row>
    <row r="312" spans="1:30" ht="13.5" thickBot="1" x14ac:dyDescent="0.35">
      <c r="A312" s="18">
        <v>2034</v>
      </c>
      <c r="B312" s="11" t="s">
        <v>41</v>
      </c>
      <c r="C312" s="12" t="s">
        <v>33</v>
      </c>
      <c r="D312" s="21">
        <v>27347.707599285455</v>
      </c>
      <c r="E312" s="22">
        <v>27347.707599285455</v>
      </c>
      <c r="F312" s="22">
        <v>27347.707599285455</v>
      </c>
      <c r="G312" s="22">
        <v>27347.707599285455</v>
      </c>
      <c r="H312" s="22">
        <v>27347.707599285455</v>
      </c>
      <c r="I312" s="22">
        <v>27347.707599285455</v>
      </c>
      <c r="J312" s="22">
        <v>27347.707599285455</v>
      </c>
      <c r="K312" s="22">
        <v>48194.514957893633</v>
      </c>
      <c r="L312" s="22">
        <v>83739.819052970735</v>
      </c>
      <c r="M312" s="22">
        <v>107121.26539407366</v>
      </c>
      <c r="N312" s="22">
        <v>120044.68759343489</v>
      </c>
      <c r="O312" s="22">
        <v>124512.939368616</v>
      </c>
      <c r="P312" s="22">
        <v>123334.58526217965</v>
      </c>
      <c r="Q312" s="22">
        <v>116629.41618729597</v>
      </c>
      <c r="R312" s="22">
        <v>104150.38426011374</v>
      </c>
      <c r="S312" s="22">
        <v>82253.161029282885</v>
      </c>
      <c r="T312" s="22">
        <v>47188.992869129528</v>
      </c>
      <c r="U312" s="22">
        <v>109390.83039714182</v>
      </c>
      <c r="V312" s="22">
        <v>109390.83039714182</v>
      </c>
      <c r="W312" s="22">
        <v>109390.83039714182</v>
      </c>
      <c r="X312" s="22">
        <v>109390.83039714182</v>
      </c>
      <c r="Y312" s="22">
        <v>109390.83039714182</v>
      </c>
      <c r="Z312" s="22">
        <v>109390.83039714182</v>
      </c>
      <c r="AA312" s="23">
        <v>109390.83039714182</v>
      </c>
      <c r="AB312" s="96">
        <f t="shared" ref="AB312" si="107">+SUM(D312:AA312)*AC312+SUM(D313:AA313)*AC313+SUM(D314:AA314)*AC314</f>
        <v>59344525.490449443</v>
      </c>
      <c r="AC312" s="16">
        <v>19</v>
      </c>
      <c r="AD312" s="16">
        <f t="shared" si="90"/>
        <v>36372451.107049659</v>
      </c>
    </row>
    <row r="313" spans="1:30" ht="13.5" thickBot="1" x14ac:dyDescent="0.35">
      <c r="A313" s="18">
        <v>2034</v>
      </c>
      <c r="B313" s="19" t="s">
        <v>41</v>
      </c>
      <c r="C313" s="20" t="s">
        <v>50</v>
      </c>
      <c r="D313" s="21">
        <v>27347.707599285444</v>
      </c>
      <c r="E313" s="22">
        <v>27347.707599285444</v>
      </c>
      <c r="F313" s="22">
        <v>27347.707599285444</v>
      </c>
      <c r="G313" s="22">
        <v>27347.707599285444</v>
      </c>
      <c r="H313" s="22">
        <v>27347.707599285444</v>
      </c>
      <c r="I313" s="22">
        <v>27347.707599285444</v>
      </c>
      <c r="J313" s="22">
        <v>27347.707599285444</v>
      </c>
      <c r="K313" s="22">
        <v>48194.514957893618</v>
      </c>
      <c r="L313" s="22">
        <v>83739.819052970735</v>
      </c>
      <c r="M313" s="22">
        <v>107121.26539407363</v>
      </c>
      <c r="N313" s="22">
        <v>120044.68759343482</v>
      </c>
      <c r="O313" s="22">
        <v>124512.939368616</v>
      </c>
      <c r="P313" s="22">
        <v>123334.58526217964</v>
      </c>
      <c r="Q313" s="22">
        <v>116629.41618729597</v>
      </c>
      <c r="R313" s="22">
        <v>104150.3842601137</v>
      </c>
      <c r="S313" s="22">
        <v>82253.161029282855</v>
      </c>
      <c r="T313" s="22">
        <v>47188.992869129543</v>
      </c>
      <c r="U313" s="22">
        <v>109390.83039714178</v>
      </c>
      <c r="V313" s="22">
        <v>109390.83039714178</v>
      </c>
      <c r="W313" s="22">
        <v>109390.83039714178</v>
      </c>
      <c r="X313" s="22">
        <v>109390.83039714178</v>
      </c>
      <c r="Y313" s="22">
        <v>109390.83039714178</v>
      </c>
      <c r="Z313" s="22">
        <v>109390.83039714178</v>
      </c>
      <c r="AA313" s="23">
        <v>109390.83039714178</v>
      </c>
      <c r="AB313" s="97"/>
      <c r="AC313" s="24">
        <v>5</v>
      </c>
      <c r="AD313" s="16">
        <f t="shared" si="90"/>
        <v>9571697.6597499084</v>
      </c>
    </row>
    <row r="314" spans="1:30" ht="13.5" thickBot="1" x14ac:dyDescent="0.35">
      <c r="A314" s="18">
        <v>2034</v>
      </c>
      <c r="B314" s="25" t="s">
        <v>41</v>
      </c>
      <c r="C314" s="26" t="s">
        <v>36</v>
      </c>
      <c r="D314" s="21">
        <v>27347.707599285441</v>
      </c>
      <c r="E314" s="22">
        <v>27347.707599285441</v>
      </c>
      <c r="F314" s="22">
        <v>27347.707599285441</v>
      </c>
      <c r="G314" s="22">
        <v>27347.707599285441</v>
      </c>
      <c r="H314" s="22">
        <v>27347.707599285441</v>
      </c>
      <c r="I314" s="22">
        <v>27347.707599285441</v>
      </c>
      <c r="J314" s="22">
        <v>27347.707599285441</v>
      </c>
      <c r="K314" s="22">
        <v>48194.514957893625</v>
      </c>
      <c r="L314" s="22">
        <v>83739.819052970735</v>
      </c>
      <c r="M314" s="22">
        <v>107121.26539407365</v>
      </c>
      <c r="N314" s="22">
        <v>120044.68759343482</v>
      </c>
      <c r="O314" s="22">
        <v>124512.93936861599</v>
      </c>
      <c r="P314" s="22">
        <v>123334.58526217962</v>
      </c>
      <c r="Q314" s="22">
        <v>116629.41618729595</v>
      </c>
      <c r="R314" s="22">
        <v>104150.3842601137</v>
      </c>
      <c r="S314" s="22">
        <v>82253.161029282855</v>
      </c>
      <c r="T314" s="22">
        <v>47188.992869129535</v>
      </c>
      <c r="U314" s="22">
        <v>109390.83039714176</v>
      </c>
      <c r="V314" s="22">
        <v>109390.83039714176</v>
      </c>
      <c r="W314" s="22">
        <v>109390.83039714176</v>
      </c>
      <c r="X314" s="22">
        <v>109390.83039714176</v>
      </c>
      <c r="Y314" s="22">
        <v>109390.83039714176</v>
      </c>
      <c r="Z314" s="22">
        <v>109390.83039714176</v>
      </c>
      <c r="AA314" s="23">
        <v>109390.83039714176</v>
      </c>
      <c r="AB314" s="97"/>
      <c r="AC314" s="27">
        <v>7</v>
      </c>
      <c r="AD314" s="16">
        <f t="shared" si="90"/>
        <v>13400376.723649872</v>
      </c>
    </row>
    <row r="315" spans="1:30" ht="13.5" thickBot="1" x14ac:dyDescent="0.35">
      <c r="A315" s="18">
        <v>2034</v>
      </c>
      <c r="B315" s="11" t="s">
        <v>42</v>
      </c>
      <c r="C315" s="12" t="s">
        <v>33</v>
      </c>
      <c r="D315" s="21">
        <v>27347.707599285452</v>
      </c>
      <c r="E315" s="22">
        <v>27347.707599285452</v>
      </c>
      <c r="F315" s="22">
        <v>27347.707599285452</v>
      </c>
      <c r="G315" s="22">
        <v>27347.707599285452</v>
      </c>
      <c r="H315" s="22">
        <v>27347.707599285452</v>
      </c>
      <c r="I315" s="22">
        <v>27347.707599285452</v>
      </c>
      <c r="J315" s="22">
        <v>27347.707599285452</v>
      </c>
      <c r="K315" s="22">
        <v>48194.514957893633</v>
      </c>
      <c r="L315" s="22">
        <v>83739.819052970735</v>
      </c>
      <c r="M315" s="22">
        <v>107121.26539407365</v>
      </c>
      <c r="N315" s="22">
        <v>120044.68759343489</v>
      </c>
      <c r="O315" s="22">
        <v>124512.93936861599</v>
      </c>
      <c r="P315" s="22">
        <v>123334.58526217967</v>
      </c>
      <c r="Q315" s="22">
        <v>116629.41618729598</v>
      </c>
      <c r="R315" s="22">
        <v>104150.38426011374</v>
      </c>
      <c r="S315" s="22">
        <v>82253.161029282885</v>
      </c>
      <c r="T315" s="22">
        <v>47188.992869129528</v>
      </c>
      <c r="U315" s="22">
        <v>109390.83039714181</v>
      </c>
      <c r="V315" s="22">
        <v>109390.83039714181</v>
      </c>
      <c r="W315" s="22">
        <v>109390.83039714181</v>
      </c>
      <c r="X315" s="22">
        <v>109390.83039714181</v>
      </c>
      <c r="Y315" s="22">
        <v>109390.83039714181</v>
      </c>
      <c r="Z315" s="22">
        <v>109390.83039714181</v>
      </c>
      <c r="AA315" s="23">
        <v>109390.83039714181</v>
      </c>
      <c r="AB315" s="96">
        <f t="shared" ref="AB315" si="108">+SUM(D315:AA315)*AC315+SUM(D316:AA316)*AC316+SUM(D317:AA317)*AC317</f>
        <v>59344525.490449443</v>
      </c>
      <c r="AC315" s="16">
        <v>21</v>
      </c>
      <c r="AD315" s="16">
        <f t="shared" si="90"/>
        <v>40201130.170949623</v>
      </c>
    </row>
    <row r="316" spans="1:30" ht="13.5" thickBot="1" x14ac:dyDescent="0.35">
      <c r="A316" s="18">
        <v>2034</v>
      </c>
      <c r="B316" s="19" t="s">
        <v>42</v>
      </c>
      <c r="C316" s="20" t="s">
        <v>50</v>
      </c>
      <c r="D316" s="21">
        <v>27347.707599285444</v>
      </c>
      <c r="E316" s="22">
        <v>27347.707599285444</v>
      </c>
      <c r="F316" s="22">
        <v>27347.707599285444</v>
      </c>
      <c r="G316" s="22">
        <v>27347.707599285444</v>
      </c>
      <c r="H316" s="22">
        <v>27347.707599285444</v>
      </c>
      <c r="I316" s="22">
        <v>27347.707599285444</v>
      </c>
      <c r="J316" s="22">
        <v>27347.707599285444</v>
      </c>
      <c r="K316" s="22">
        <v>48194.514957893618</v>
      </c>
      <c r="L316" s="22">
        <v>83739.819052970735</v>
      </c>
      <c r="M316" s="22">
        <v>107121.26539407363</v>
      </c>
      <c r="N316" s="22">
        <v>120044.68759343482</v>
      </c>
      <c r="O316" s="22">
        <v>124512.93936861599</v>
      </c>
      <c r="P316" s="22">
        <v>123334.58526217962</v>
      </c>
      <c r="Q316" s="22">
        <v>116629.41618729598</v>
      </c>
      <c r="R316" s="22">
        <v>104150.3842601137</v>
      </c>
      <c r="S316" s="22">
        <v>82253.161029282855</v>
      </c>
      <c r="T316" s="22">
        <v>47188.992869129543</v>
      </c>
      <c r="U316" s="22">
        <v>109390.83039714178</v>
      </c>
      <c r="V316" s="22">
        <v>109390.83039714178</v>
      </c>
      <c r="W316" s="22">
        <v>109390.83039714178</v>
      </c>
      <c r="X316" s="22">
        <v>109390.83039714178</v>
      </c>
      <c r="Y316" s="22">
        <v>109390.83039714178</v>
      </c>
      <c r="Z316" s="22">
        <v>109390.83039714178</v>
      </c>
      <c r="AA316" s="23">
        <v>109390.83039714178</v>
      </c>
      <c r="AB316" s="97"/>
      <c r="AC316" s="24">
        <v>4</v>
      </c>
      <c r="AD316" s="16">
        <f t="shared" si="90"/>
        <v>7657358.1277999273</v>
      </c>
    </row>
    <row r="317" spans="1:30" ht="13.5" thickBot="1" x14ac:dyDescent="0.35">
      <c r="A317" s="18">
        <v>2034</v>
      </c>
      <c r="B317" s="25" t="s">
        <v>42</v>
      </c>
      <c r="C317" s="26" t="s">
        <v>36</v>
      </c>
      <c r="D317" s="21">
        <v>27347.707599285441</v>
      </c>
      <c r="E317" s="22">
        <v>27347.707599285441</v>
      </c>
      <c r="F317" s="22">
        <v>27347.707599285441</v>
      </c>
      <c r="G317" s="22">
        <v>27347.707599285441</v>
      </c>
      <c r="H317" s="22">
        <v>27347.707599285441</v>
      </c>
      <c r="I317" s="22">
        <v>27347.707599285441</v>
      </c>
      <c r="J317" s="22">
        <v>27347.707599285441</v>
      </c>
      <c r="K317" s="22">
        <v>48194.514957893618</v>
      </c>
      <c r="L317" s="22">
        <v>83739.819052970735</v>
      </c>
      <c r="M317" s="22">
        <v>107121.26539407363</v>
      </c>
      <c r="N317" s="22">
        <v>120044.68759343482</v>
      </c>
      <c r="O317" s="22">
        <v>124512.93936861599</v>
      </c>
      <c r="P317" s="22">
        <v>123334.58526217962</v>
      </c>
      <c r="Q317" s="22">
        <v>116629.41618729597</v>
      </c>
      <c r="R317" s="22">
        <v>104150.3842601137</v>
      </c>
      <c r="S317" s="22">
        <v>82253.161029282855</v>
      </c>
      <c r="T317" s="22">
        <v>47188.992869129543</v>
      </c>
      <c r="U317" s="22">
        <v>109390.83039714176</v>
      </c>
      <c r="V317" s="22">
        <v>109390.83039714176</v>
      </c>
      <c r="W317" s="22">
        <v>109390.83039714176</v>
      </c>
      <c r="X317" s="22">
        <v>109390.83039714176</v>
      </c>
      <c r="Y317" s="22">
        <v>109390.83039714176</v>
      </c>
      <c r="Z317" s="22">
        <v>109390.83039714176</v>
      </c>
      <c r="AA317" s="23">
        <v>109390.83039714176</v>
      </c>
      <c r="AB317" s="97"/>
      <c r="AC317" s="27">
        <v>6</v>
      </c>
      <c r="AD317" s="16">
        <f t="shared" si="90"/>
        <v>11486037.19169989</v>
      </c>
    </row>
    <row r="318" spans="1:30" ht="13.5" thickBot="1" x14ac:dyDescent="0.35">
      <c r="A318" s="18">
        <v>2034</v>
      </c>
      <c r="B318" s="11" t="s">
        <v>43</v>
      </c>
      <c r="C318" s="12" t="s">
        <v>33</v>
      </c>
      <c r="D318" s="21">
        <v>27347.707599285452</v>
      </c>
      <c r="E318" s="22">
        <v>27347.707599285452</v>
      </c>
      <c r="F318" s="22">
        <v>27347.707599285452</v>
      </c>
      <c r="G318" s="22">
        <v>27347.707599285452</v>
      </c>
      <c r="H318" s="22">
        <v>27347.707599285452</v>
      </c>
      <c r="I318" s="22">
        <v>27347.707599285452</v>
      </c>
      <c r="J318" s="22">
        <v>27347.707599285452</v>
      </c>
      <c r="K318" s="22">
        <v>48194.514957893633</v>
      </c>
      <c r="L318" s="22">
        <v>83739.819052970735</v>
      </c>
      <c r="M318" s="22">
        <v>107121.26539407365</v>
      </c>
      <c r="N318" s="22">
        <v>120044.68759343489</v>
      </c>
      <c r="O318" s="22">
        <v>124512.93936861599</v>
      </c>
      <c r="P318" s="22">
        <v>123334.58526217967</v>
      </c>
      <c r="Q318" s="22">
        <v>116629.41618729598</v>
      </c>
      <c r="R318" s="22">
        <v>104150.38426011374</v>
      </c>
      <c r="S318" s="22">
        <v>82253.161029282885</v>
      </c>
      <c r="T318" s="22">
        <v>47188.992869129528</v>
      </c>
      <c r="U318" s="22">
        <v>109390.83039714181</v>
      </c>
      <c r="V318" s="22">
        <v>109390.83039714181</v>
      </c>
      <c r="W318" s="22">
        <v>109390.83039714181</v>
      </c>
      <c r="X318" s="22">
        <v>109390.83039714181</v>
      </c>
      <c r="Y318" s="22">
        <v>109390.83039714181</v>
      </c>
      <c r="Z318" s="22">
        <v>109390.83039714181</v>
      </c>
      <c r="AA318" s="23">
        <v>109390.83039714181</v>
      </c>
      <c r="AB318" s="96">
        <f t="shared" ref="AB318" si="109">+SUM(D318:AA318)*AC318+SUM(D319:AA319)*AC319+SUM(D320:AA320)*AC320</f>
        <v>57430185.958499461</v>
      </c>
      <c r="AC318" s="16">
        <v>21</v>
      </c>
      <c r="AD318" s="16">
        <f t="shared" si="90"/>
        <v>40201130.170949623</v>
      </c>
    </row>
    <row r="319" spans="1:30" ht="13.5" thickBot="1" x14ac:dyDescent="0.35">
      <c r="A319" s="18">
        <v>2034</v>
      </c>
      <c r="B319" s="19" t="s">
        <v>43</v>
      </c>
      <c r="C319" s="20" t="s">
        <v>50</v>
      </c>
      <c r="D319" s="21">
        <v>27347.707599285444</v>
      </c>
      <c r="E319" s="22">
        <v>27347.707599285444</v>
      </c>
      <c r="F319" s="22">
        <v>27347.707599285444</v>
      </c>
      <c r="G319" s="22">
        <v>27347.707599285444</v>
      </c>
      <c r="H319" s="22">
        <v>27347.707599285444</v>
      </c>
      <c r="I319" s="22">
        <v>27347.707599285444</v>
      </c>
      <c r="J319" s="22">
        <v>27347.707599285444</v>
      </c>
      <c r="K319" s="22">
        <v>48194.514957893618</v>
      </c>
      <c r="L319" s="22">
        <v>83739.819052970735</v>
      </c>
      <c r="M319" s="22">
        <v>107121.26539407363</v>
      </c>
      <c r="N319" s="22">
        <v>120044.68759343482</v>
      </c>
      <c r="O319" s="22">
        <v>124512.939368616</v>
      </c>
      <c r="P319" s="22">
        <v>123334.58526217964</v>
      </c>
      <c r="Q319" s="22">
        <v>116629.41618729597</v>
      </c>
      <c r="R319" s="22">
        <v>104150.3842601137</v>
      </c>
      <c r="S319" s="22">
        <v>82253.161029282855</v>
      </c>
      <c r="T319" s="22">
        <v>47188.992869129543</v>
      </c>
      <c r="U319" s="22">
        <v>109390.83039714178</v>
      </c>
      <c r="V319" s="22">
        <v>109390.83039714178</v>
      </c>
      <c r="W319" s="22">
        <v>109390.83039714178</v>
      </c>
      <c r="X319" s="22">
        <v>109390.83039714178</v>
      </c>
      <c r="Y319" s="22">
        <v>109390.83039714178</v>
      </c>
      <c r="Z319" s="22">
        <v>109390.83039714178</v>
      </c>
      <c r="AA319" s="23">
        <v>109390.83039714178</v>
      </c>
      <c r="AB319" s="97"/>
      <c r="AC319" s="24">
        <v>5</v>
      </c>
      <c r="AD319" s="16">
        <f t="shared" si="90"/>
        <v>9571697.6597499084</v>
      </c>
    </row>
    <row r="320" spans="1:30" ht="13.5" thickBot="1" x14ac:dyDescent="0.35">
      <c r="A320" s="18">
        <v>2034</v>
      </c>
      <c r="B320" s="25" t="s">
        <v>43</v>
      </c>
      <c r="C320" s="26" t="s">
        <v>36</v>
      </c>
      <c r="D320" s="21">
        <v>27347.707599285444</v>
      </c>
      <c r="E320" s="22">
        <v>27347.707599285444</v>
      </c>
      <c r="F320" s="22">
        <v>27347.707599285444</v>
      </c>
      <c r="G320" s="22">
        <v>27347.707599285444</v>
      </c>
      <c r="H320" s="22">
        <v>27347.707599285444</v>
      </c>
      <c r="I320" s="22">
        <v>27347.707599285444</v>
      </c>
      <c r="J320" s="22">
        <v>27347.707599285444</v>
      </c>
      <c r="K320" s="22">
        <v>48194.514957893618</v>
      </c>
      <c r="L320" s="22">
        <v>83739.819052970735</v>
      </c>
      <c r="M320" s="22">
        <v>107121.26539407363</v>
      </c>
      <c r="N320" s="22">
        <v>120044.68759343482</v>
      </c>
      <c r="O320" s="22">
        <v>124512.93936861599</v>
      </c>
      <c r="P320" s="22">
        <v>123334.58526217962</v>
      </c>
      <c r="Q320" s="22">
        <v>116629.41618729598</v>
      </c>
      <c r="R320" s="22">
        <v>104150.3842601137</v>
      </c>
      <c r="S320" s="22">
        <v>82253.161029282855</v>
      </c>
      <c r="T320" s="22">
        <v>47188.992869129543</v>
      </c>
      <c r="U320" s="22">
        <v>109390.83039714178</v>
      </c>
      <c r="V320" s="22">
        <v>109390.83039714178</v>
      </c>
      <c r="W320" s="22">
        <v>109390.83039714178</v>
      </c>
      <c r="X320" s="22">
        <v>109390.83039714178</v>
      </c>
      <c r="Y320" s="22">
        <v>109390.83039714178</v>
      </c>
      <c r="Z320" s="22">
        <v>109390.83039714178</v>
      </c>
      <c r="AA320" s="23">
        <v>109390.83039714178</v>
      </c>
      <c r="AB320" s="97"/>
      <c r="AC320" s="27">
        <v>4</v>
      </c>
      <c r="AD320" s="16">
        <f t="shared" si="90"/>
        <v>7657358.1277999273</v>
      </c>
    </row>
    <row r="321" spans="1:30" ht="13.5" thickBot="1" x14ac:dyDescent="0.35">
      <c r="A321" s="18">
        <v>2034</v>
      </c>
      <c r="B321" s="11" t="s">
        <v>44</v>
      </c>
      <c r="C321" s="12" t="s">
        <v>33</v>
      </c>
      <c r="D321" s="21">
        <v>27347.707599285452</v>
      </c>
      <c r="E321" s="22">
        <v>27347.707599285452</v>
      </c>
      <c r="F321" s="22">
        <v>27347.707599285452</v>
      </c>
      <c r="G321" s="22">
        <v>27347.707599285452</v>
      </c>
      <c r="H321" s="22">
        <v>27347.707599285452</v>
      </c>
      <c r="I321" s="22">
        <v>27347.707599285452</v>
      </c>
      <c r="J321" s="22">
        <v>27347.707599285452</v>
      </c>
      <c r="K321" s="22">
        <v>48194.514957893633</v>
      </c>
      <c r="L321" s="22">
        <v>83739.819052970735</v>
      </c>
      <c r="M321" s="22">
        <v>107121.26539407365</v>
      </c>
      <c r="N321" s="22">
        <v>120044.68759343489</v>
      </c>
      <c r="O321" s="22">
        <v>124512.93936861599</v>
      </c>
      <c r="P321" s="22">
        <v>123334.58526217967</v>
      </c>
      <c r="Q321" s="22">
        <v>116629.41618729598</v>
      </c>
      <c r="R321" s="22">
        <v>104150.38426011374</v>
      </c>
      <c r="S321" s="22">
        <v>82253.161029282885</v>
      </c>
      <c r="T321" s="22">
        <v>47188.992869129528</v>
      </c>
      <c r="U321" s="22">
        <v>109390.83039714181</v>
      </c>
      <c r="V321" s="22">
        <v>109390.83039714181</v>
      </c>
      <c r="W321" s="22">
        <v>109390.83039714181</v>
      </c>
      <c r="X321" s="22">
        <v>109390.83039714181</v>
      </c>
      <c r="Y321" s="22">
        <v>109390.83039714181</v>
      </c>
      <c r="Z321" s="22">
        <v>109390.83039714181</v>
      </c>
      <c r="AA321" s="23">
        <v>109390.83039714181</v>
      </c>
      <c r="AB321" s="96">
        <f t="shared" ref="AB321" si="110">+SUM(D321:AA321)*AC321+SUM(D322:AA322)*AC322+SUM(D323:AA323)*AC323</f>
        <v>59344525.490449443</v>
      </c>
      <c r="AC321" s="16">
        <v>21</v>
      </c>
      <c r="AD321" s="16">
        <f t="shared" si="90"/>
        <v>40201130.170949623</v>
      </c>
    </row>
    <row r="322" spans="1:30" ht="13.5" thickBot="1" x14ac:dyDescent="0.35">
      <c r="A322" s="18">
        <v>2034</v>
      </c>
      <c r="B322" s="19" t="s">
        <v>44</v>
      </c>
      <c r="C322" s="20" t="s">
        <v>50</v>
      </c>
      <c r="D322" s="21">
        <v>27347.707599285444</v>
      </c>
      <c r="E322" s="22">
        <v>27347.707599285444</v>
      </c>
      <c r="F322" s="22">
        <v>27347.707599285444</v>
      </c>
      <c r="G322" s="22">
        <v>27347.707599285444</v>
      </c>
      <c r="H322" s="22">
        <v>27347.707599285444</v>
      </c>
      <c r="I322" s="22">
        <v>27347.707599285444</v>
      </c>
      <c r="J322" s="22">
        <v>27347.707599285444</v>
      </c>
      <c r="K322" s="22">
        <v>48194.514957893618</v>
      </c>
      <c r="L322" s="22">
        <v>83739.819052970735</v>
      </c>
      <c r="M322" s="22">
        <v>107121.26539407363</v>
      </c>
      <c r="N322" s="22">
        <v>120044.68759343482</v>
      </c>
      <c r="O322" s="22">
        <v>124512.93936861599</v>
      </c>
      <c r="P322" s="22">
        <v>123334.58526217962</v>
      </c>
      <c r="Q322" s="22">
        <v>116629.41618729598</v>
      </c>
      <c r="R322" s="22">
        <v>104150.3842601137</v>
      </c>
      <c r="S322" s="22">
        <v>82253.161029282855</v>
      </c>
      <c r="T322" s="22">
        <v>47188.992869129543</v>
      </c>
      <c r="U322" s="22">
        <v>109390.83039714178</v>
      </c>
      <c r="V322" s="22">
        <v>109390.83039714178</v>
      </c>
      <c r="W322" s="22">
        <v>109390.83039714178</v>
      </c>
      <c r="X322" s="22">
        <v>109390.83039714178</v>
      </c>
      <c r="Y322" s="22">
        <v>109390.83039714178</v>
      </c>
      <c r="Z322" s="22">
        <v>109390.83039714178</v>
      </c>
      <c r="AA322" s="23">
        <v>109390.83039714178</v>
      </c>
      <c r="AB322" s="97"/>
      <c r="AC322" s="24">
        <v>4</v>
      </c>
      <c r="AD322" s="16">
        <f t="shared" si="90"/>
        <v>7657358.1277999273</v>
      </c>
    </row>
    <row r="323" spans="1:30" ht="13.5" thickBot="1" x14ac:dyDescent="0.35">
      <c r="A323" s="18">
        <v>2034</v>
      </c>
      <c r="B323" s="25" t="s">
        <v>44</v>
      </c>
      <c r="C323" s="26" t="s">
        <v>36</v>
      </c>
      <c r="D323" s="21">
        <v>27347.707599285441</v>
      </c>
      <c r="E323" s="22">
        <v>27347.707599285441</v>
      </c>
      <c r="F323" s="22">
        <v>27347.707599285441</v>
      </c>
      <c r="G323" s="22">
        <v>27347.707599285441</v>
      </c>
      <c r="H323" s="22">
        <v>27347.707599285441</v>
      </c>
      <c r="I323" s="22">
        <v>27347.707599285441</v>
      </c>
      <c r="J323" s="22">
        <v>27347.707599285441</v>
      </c>
      <c r="K323" s="22">
        <v>48194.514957893618</v>
      </c>
      <c r="L323" s="22">
        <v>83739.819052970735</v>
      </c>
      <c r="M323" s="22">
        <v>107121.26539407363</v>
      </c>
      <c r="N323" s="22">
        <v>120044.68759343482</v>
      </c>
      <c r="O323" s="22">
        <v>124512.93936861599</v>
      </c>
      <c r="P323" s="22">
        <v>123334.58526217962</v>
      </c>
      <c r="Q323" s="22">
        <v>116629.41618729597</v>
      </c>
      <c r="R323" s="22">
        <v>104150.3842601137</v>
      </c>
      <c r="S323" s="22">
        <v>82253.161029282855</v>
      </c>
      <c r="T323" s="22">
        <v>47188.992869129543</v>
      </c>
      <c r="U323" s="22">
        <v>109390.83039714176</v>
      </c>
      <c r="V323" s="22">
        <v>109390.83039714176</v>
      </c>
      <c r="W323" s="22">
        <v>109390.83039714176</v>
      </c>
      <c r="X323" s="22">
        <v>109390.83039714176</v>
      </c>
      <c r="Y323" s="22">
        <v>109390.83039714176</v>
      </c>
      <c r="Z323" s="22">
        <v>109390.83039714176</v>
      </c>
      <c r="AA323" s="23">
        <v>109390.83039714176</v>
      </c>
      <c r="AB323" s="97"/>
      <c r="AC323" s="27">
        <v>6</v>
      </c>
      <c r="AD323" s="16">
        <f t="shared" si="90"/>
        <v>11486037.19169989</v>
      </c>
    </row>
    <row r="324" spans="1:30" ht="13.5" thickBot="1" x14ac:dyDescent="0.35">
      <c r="A324" s="18">
        <v>2034</v>
      </c>
      <c r="B324" s="11" t="s">
        <v>45</v>
      </c>
      <c r="C324" s="12" t="s">
        <v>33</v>
      </c>
      <c r="D324" s="21">
        <v>27347.707599285455</v>
      </c>
      <c r="E324" s="22">
        <v>27347.707599285455</v>
      </c>
      <c r="F324" s="22">
        <v>27347.707599285455</v>
      </c>
      <c r="G324" s="22">
        <v>27347.707599285455</v>
      </c>
      <c r="H324" s="22">
        <v>27347.707599285455</v>
      </c>
      <c r="I324" s="22">
        <v>27347.707599285455</v>
      </c>
      <c r="J324" s="22">
        <v>27347.707599285455</v>
      </c>
      <c r="K324" s="22">
        <v>48194.514957893633</v>
      </c>
      <c r="L324" s="22">
        <v>83739.819052970735</v>
      </c>
      <c r="M324" s="22">
        <v>107121.26539407365</v>
      </c>
      <c r="N324" s="22">
        <v>120044.68759343489</v>
      </c>
      <c r="O324" s="22">
        <v>124512.939368616</v>
      </c>
      <c r="P324" s="22">
        <v>123334.58526217965</v>
      </c>
      <c r="Q324" s="22">
        <v>116629.41618729597</v>
      </c>
      <c r="R324" s="22">
        <v>104150.38426011374</v>
      </c>
      <c r="S324" s="22">
        <v>82253.161029282885</v>
      </c>
      <c r="T324" s="22">
        <v>47188.992869129528</v>
      </c>
      <c r="U324" s="22">
        <v>109390.83039714182</v>
      </c>
      <c r="V324" s="22">
        <v>109390.83039714182</v>
      </c>
      <c r="W324" s="22">
        <v>109390.83039714182</v>
      </c>
      <c r="X324" s="22">
        <v>109390.83039714182</v>
      </c>
      <c r="Y324" s="22">
        <v>109390.83039714182</v>
      </c>
      <c r="Z324" s="22">
        <v>109390.83039714182</v>
      </c>
      <c r="AA324" s="23">
        <v>109390.83039714182</v>
      </c>
      <c r="AB324" s="96">
        <f t="shared" ref="AB324" si="111">+SUM(D324:AA324)*AC324+SUM(D325:AA325)*AC325+SUM(D326:AA326)*AC326</f>
        <v>57430185.958499461</v>
      </c>
      <c r="AC324" s="16">
        <v>20</v>
      </c>
      <c r="AD324" s="16">
        <f t="shared" si="90"/>
        <v>38286790.638999641</v>
      </c>
    </row>
    <row r="325" spans="1:30" ht="13.5" thickBot="1" x14ac:dyDescent="0.35">
      <c r="A325" s="18">
        <v>2034</v>
      </c>
      <c r="B325" s="19" t="s">
        <v>45</v>
      </c>
      <c r="C325" s="20" t="s">
        <v>50</v>
      </c>
      <c r="D325" s="21">
        <v>27347.707599285444</v>
      </c>
      <c r="E325" s="22">
        <v>27347.707599285444</v>
      </c>
      <c r="F325" s="22">
        <v>27347.707599285444</v>
      </c>
      <c r="G325" s="22">
        <v>27347.707599285444</v>
      </c>
      <c r="H325" s="22">
        <v>27347.707599285444</v>
      </c>
      <c r="I325" s="22">
        <v>27347.707599285444</v>
      </c>
      <c r="J325" s="22">
        <v>27347.707599285444</v>
      </c>
      <c r="K325" s="22">
        <v>48194.514957893618</v>
      </c>
      <c r="L325" s="22">
        <v>83739.819052970735</v>
      </c>
      <c r="M325" s="22">
        <v>107121.26539407363</v>
      </c>
      <c r="N325" s="22">
        <v>120044.68759343482</v>
      </c>
      <c r="O325" s="22">
        <v>124512.93936861599</v>
      </c>
      <c r="P325" s="22">
        <v>123334.58526217962</v>
      </c>
      <c r="Q325" s="22">
        <v>116629.41618729598</v>
      </c>
      <c r="R325" s="22">
        <v>104150.3842601137</v>
      </c>
      <c r="S325" s="22">
        <v>82253.161029282855</v>
      </c>
      <c r="T325" s="22">
        <v>47188.992869129543</v>
      </c>
      <c r="U325" s="22">
        <v>109390.83039714178</v>
      </c>
      <c r="V325" s="22">
        <v>109390.83039714178</v>
      </c>
      <c r="W325" s="22">
        <v>109390.83039714178</v>
      </c>
      <c r="X325" s="22">
        <v>109390.83039714178</v>
      </c>
      <c r="Y325" s="22">
        <v>109390.83039714178</v>
      </c>
      <c r="Z325" s="22">
        <v>109390.83039714178</v>
      </c>
      <c r="AA325" s="23">
        <v>109390.83039714178</v>
      </c>
      <c r="AB325" s="97"/>
      <c r="AC325" s="24">
        <v>4</v>
      </c>
      <c r="AD325" s="16">
        <f t="shared" si="90"/>
        <v>7657358.1277999273</v>
      </c>
    </row>
    <row r="326" spans="1:30" ht="13.5" thickBot="1" x14ac:dyDescent="0.35">
      <c r="A326" s="18">
        <v>2034</v>
      </c>
      <c r="B326" s="25" t="s">
        <v>45</v>
      </c>
      <c r="C326" s="26" t="s">
        <v>36</v>
      </c>
      <c r="D326" s="21">
        <v>27347.707599285441</v>
      </c>
      <c r="E326" s="22">
        <v>27347.707599285441</v>
      </c>
      <c r="F326" s="22">
        <v>27347.707599285441</v>
      </c>
      <c r="G326" s="22">
        <v>27347.707599285441</v>
      </c>
      <c r="H326" s="22">
        <v>27347.707599285441</v>
      </c>
      <c r="I326" s="22">
        <v>27347.707599285441</v>
      </c>
      <c r="J326" s="22">
        <v>27347.707599285441</v>
      </c>
      <c r="K326" s="22">
        <v>48194.514957893618</v>
      </c>
      <c r="L326" s="22">
        <v>83739.819052970735</v>
      </c>
      <c r="M326" s="22">
        <v>107121.26539407363</v>
      </c>
      <c r="N326" s="22">
        <v>120044.68759343482</v>
      </c>
      <c r="O326" s="22">
        <v>124512.93936861599</v>
      </c>
      <c r="P326" s="22">
        <v>123334.58526217962</v>
      </c>
      <c r="Q326" s="22">
        <v>116629.41618729597</v>
      </c>
      <c r="R326" s="22">
        <v>104150.3842601137</v>
      </c>
      <c r="S326" s="22">
        <v>82253.161029282855</v>
      </c>
      <c r="T326" s="22">
        <v>47188.992869129543</v>
      </c>
      <c r="U326" s="22">
        <v>109390.83039714176</v>
      </c>
      <c r="V326" s="22">
        <v>109390.83039714176</v>
      </c>
      <c r="W326" s="22">
        <v>109390.83039714176</v>
      </c>
      <c r="X326" s="22">
        <v>109390.83039714176</v>
      </c>
      <c r="Y326" s="22">
        <v>109390.83039714176</v>
      </c>
      <c r="Z326" s="22">
        <v>109390.83039714176</v>
      </c>
      <c r="AA326" s="23">
        <v>109390.83039714176</v>
      </c>
      <c r="AB326" s="97"/>
      <c r="AC326" s="27">
        <v>6</v>
      </c>
      <c r="AD326" s="16">
        <f t="shared" ref="AD326:AD389" si="112">+SUM(D326:AA326)*AC326</f>
        <v>11486037.19169989</v>
      </c>
    </row>
    <row r="327" spans="1:30" ht="13.5" thickBot="1" x14ac:dyDescent="0.35">
      <c r="A327" s="18">
        <v>2034</v>
      </c>
      <c r="B327" s="11" t="s">
        <v>46</v>
      </c>
      <c r="C327" s="12" t="s">
        <v>33</v>
      </c>
      <c r="D327" s="21">
        <v>27347.707599285455</v>
      </c>
      <c r="E327" s="22">
        <v>27347.707599285455</v>
      </c>
      <c r="F327" s="22">
        <v>27347.707599285455</v>
      </c>
      <c r="G327" s="22">
        <v>27347.707599285455</v>
      </c>
      <c r="H327" s="22">
        <v>27347.707599285455</v>
      </c>
      <c r="I327" s="22">
        <v>27347.707599285455</v>
      </c>
      <c r="J327" s="22">
        <v>27347.707599285455</v>
      </c>
      <c r="K327" s="22">
        <v>48194.514957893633</v>
      </c>
      <c r="L327" s="22">
        <v>83739.819052970735</v>
      </c>
      <c r="M327" s="22">
        <v>107121.26539407366</v>
      </c>
      <c r="N327" s="22">
        <v>120044.68759343489</v>
      </c>
      <c r="O327" s="22">
        <v>124512.939368616</v>
      </c>
      <c r="P327" s="22">
        <v>123334.58526217965</v>
      </c>
      <c r="Q327" s="22">
        <v>116629.41618729597</v>
      </c>
      <c r="R327" s="22">
        <v>104150.38426011374</v>
      </c>
      <c r="S327" s="22">
        <v>82253.161029282885</v>
      </c>
      <c r="T327" s="22">
        <v>47188.992869129528</v>
      </c>
      <c r="U327" s="22">
        <v>109390.83039714182</v>
      </c>
      <c r="V327" s="22">
        <v>109390.83039714182</v>
      </c>
      <c r="W327" s="22">
        <v>109390.83039714182</v>
      </c>
      <c r="X327" s="22">
        <v>109390.83039714182</v>
      </c>
      <c r="Y327" s="22">
        <v>109390.83039714182</v>
      </c>
      <c r="Z327" s="22">
        <v>109390.83039714182</v>
      </c>
      <c r="AA327" s="23">
        <v>109390.83039714182</v>
      </c>
      <c r="AB327" s="96">
        <f t="shared" ref="AB327" si="113">+SUM(D327:AA327)*AC327+SUM(D328:AA328)*AC328+SUM(D329:AA329)*AC329</f>
        <v>59344525.490449443</v>
      </c>
      <c r="AC327" s="16">
        <v>19</v>
      </c>
      <c r="AD327" s="16">
        <f t="shared" si="112"/>
        <v>36372451.107049659</v>
      </c>
    </row>
    <row r="328" spans="1:30" ht="13.5" thickBot="1" x14ac:dyDescent="0.35">
      <c r="A328" s="18">
        <v>2034</v>
      </c>
      <c r="B328" s="19" t="s">
        <v>46</v>
      </c>
      <c r="C328" s="20" t="s">
        <v>50</v>
      </c>
      <c r="D328" s="21">
        <v>27347.707599285444</v>
      </c>
      <c r="E328" s="22">
        <v>27347.707599285444</v>
      </c>
      <c r="F328" s="22">
        <v>27347.707599285444</v>
      </c>
      <c r="G328" s="22">
        <v>27347.707599285444</v>
      </c>
      <c r="H328" s="22">
        <v>27347.707599285444</v>
      </c>
      <c r="I328" s="22">
        <v>27347.707599285444</v>
      </c>
      <c r="J328" s="22">
        <v>27347.707599285444</v>
      </c>
      <c r="K328" s="22">
        <v>48194.514957893618</v>
      </c>
      <c r="L328" s="22">
        <v>83739.819052970735</v>
      </c>
      <c r="M328" s="22">
        <v>107121.26539407363</v>
      </c>
      <c r="N328" s="22">
        <v>120044.68759343482</v>
      </c>
      <c r="O328" s="22">
        <v>124512.939368616</v>
      </c>
      <c r="P328" s="22">
        <v>123334.58526217964</v>
      </c>
      <c r="Q328" s="22">
        <v>116629.41618729597</v>
      </c>
      <c r="R328" s="22">
        <v>104150.3842601137</v>
      </c>
      <c r="S328" s="22">
        <v>82253.161029282855</v>
      </c>
      <c r="T328" s="22">
        <v>47188.992869129543</v>
      </c>
      <c r="U328" s="22">
        <v>109390.83039714178</v>
      </c>
      <c r="V328" s="22">
        <v>109390.83039714178</v>
      </c>
      <c r="W328" s="22">
        <v>109390.83039714178</v>
      </c>
      <c r="X328" s="22">
        <v>109390.83039714178</v>
      </c>
      <c r="Y328" s="22">
        <v>109390.83039714178</v>
      </c>
      <c r="Z328" s="22">
        <v>109390.83039714178</v>
      </c>
      <c r="AA328" s="23">
        <v>109390.83039714178</v>
      </c>
      <c r="AB328" s="97"/>
      <c r="AC328" s="24">
        <v>5</v>
      </c>
      <c r="AD328" s="16">
        <f t="shared" si="112"/>
        <v>9571697.6597499084</v>
      </c>
    </row>
    <row r="329" spans="1:30" ht="13.5" thickBot="1" x14ac:dyDescent="0.35">
      <c r="A329" s="28">
        <v>2034</v>
      </c>
      <c r="B329" s="25" t="s">
        <v>46</v>
      </c>
      <c r="C329" s="26" t="s">
        <v>36</v>
      </c>
      <c r="D329" s="29">
        <v>27347.707599285441</v>
      </c>
      <c r="E329" s="30">
        <v>27347.707599285441</v>
      </c>
      <c r="F329" s="30">
        <v>27347.707599285441</v>
      </c>
      <c r="G329" s="30">
        <v>27347.707599285441</v>
      </c>
      <c r="H329" s="30">
        <v>27347.707599285441</v>
      </c>
      <c r="I329" s="30">
        <v>27347.707599285441</v>
      </c>
      <c r="J329" s="30">
        <v>27347.707599285441</v>
      </c>
      <c r="K329" s="30">
        <v>48194.514957893625</v>
      </c>
      <c r="L329" s="30">
        <v>83739.819052970735</v>
      </c>
      <c r="M329" s="30">
        <v>107121.26539407365</v>
      </c>
      <c r="N329" s="30">
        <v>120044.68759343482</v>
      </c>
      <c r="O329" s="30">
        <v>124512.93936861599</v>
      </c>
      <c r="P329" s="30">
        <v>123334.58526217962</v>
      </c>
      <c r="Q329" s="30">
        <v>116629.41618729595</v>
      </c>
      <c r="R329" s="30">
        <v>104150.3842601137</v>
      </c>
      <c r="S329" s="30">
        <v>82253.161029282855</v>
      </c>
      <c r="T329" s="30">
        <v>47188.992869129535</v>
      </c>
      <c r="U329" s="30">
        <v>109390.83039714176</v>
      </c>
      <c r="V329" s="30">
        <v>109390.83039714176</v>
      </c>
      <c r="W329" s="30">
        <v>109390.83039714176</v>
      </c>
      <c r="X329" s="30">
        <v>109390.83039714176</v>
      </c>
      <c r="Y329" s="30">
        <v>109390.83039714176</v>
      </c>
      <c r="Z329" s="30">
        <v>109390.83039714176</v>
      </c>
      <c r="AA329" s="31">
        <v>109390.83039714176</v>
      </c>
      <c r="AB329" s="97"/>
      <c r="AC329" s="27">
        <v>7</v>
      </c>
      <c r="AD329" s="42">
        <f t="shared" si="112"/>
        <v>13400376.723649872</v>
      </c>
    </row>
    <row r="330" spans="1:30" ht="13.5" thickBot="1" x14ac:dyDescent="0.35">
      <c r="A330" s="10">
        <v>2035</v>
      </c>
      <c r="B330" s="11" t="s">
        <v>32</v>
      </c>
      <c r="C330" s="12" t="s">
        <v>33</v>
      </c>
      <c r="D330" s="13">
        <v>27287.466523480434</v>
      </c>
      <c r="E330" s="14">
        <v>27287.466523480434</v>
      </c>
      <c r="F330" s="14">
        <v>27287.466523480434</v>
      </c>
      <c r="G330" s="14">
        <v>27287.466523480434</v>
      </c>
      <c r="H330" s="14">
        <v>27287.466523480434</v>
      </c>
      <c r="I330" s="14">
        <v>27287.466523480434</v>
      </c>
      <c r="J330" s="14">
        <v>27287.466523480434</v>
      </c>
      <c r="K330" s="14">
        <v>48088.352881294573</v>
      </c>
      <c r="L330" s="14">
        <v>83555.358371242619</v>
      </c>
      <c r="M330" s="14">
        <v>106885.30045092429</v>
      </c>
      <c r="N330" s="14">
        <v>119780.25515064054</v>
      </c>
      <c r="O330" s="14">
        <v>124238.66433506974</v>
      </c>
      <c r="P330" s="14">
        <v>123062.90588747575</v>
      </c>
      <c r="Q330" s="14">
        <v>116372.50684759631</v>
      </c>
      <c r="R330" s="14">
        <v>103920.96352455278</v>
      </c>
      <c r="S330" s="14">
        <v>82071.975133142361</v>
      </c>
      <c r="T330" s="14">
        <v>47085.045739876768</v>
      </c>
      <c r="U330" s="14">
        <v>109149.86609392174</v>
      </c>
      <c r="V330" s="14">
        <v>109149.86609392174</v>
      </c>
      <c r="W330" s="14">
        <v>109149.86609392174</v>
      </c>
      <c r="X330" s="14">
        <v>109149.86609392174</v>
      </c>
      <c r="Y330" s="14">
        <v>109149.86609392174</v>
      </c>
      <c r="Z330" s="14">
        <v>109149.86609392174</v>
      </c>
      <c r="AA330" s="15">
        <v>109149.86609392174</v>
      </c>
      <c r="AB330" s="96">
        <f t="shared" ref="AB330" si="114">+SUM(D330:AA330)*AC330+SUM(D331:AA331)*AC331+SUM(D332:AA332)*AC332</f>
        <v>59213802.355952561</v>
      </c>
      <c r="AC330" s="16">
        <v>21</v>
      </c>
      <c r="AD330" s="16">
        <f t="shared" si="112"/>
        <v>40112575.789516248</v>
      </c>
    </row>
    <row r="331" spans="1:30" ht="13.5" thickBot="1" x14ac:dyDescent="0.35">
      <c r="A331" s="18">
        <v>2035</v>
      </c>
      <c r="B331" s="19" t="s">
        <v>32</v>
      </c>
      <c r="C331" s="20" t="s">
        <v>50</v>
      </c>
      <c r="D331" s="21">
        <v>27287.466523480442</v>
      </c>
      <c r="E331" s="22">
        <v>27287.466523480442</v>
      </c>
      <c r="F331" s="22">
        <v>27287.466523480442</v>
      </c>
      <c r="G331" s="22">
        <v>27287.466523480442</v>
      </c>
      <c r="H331" s="22">
        <v>27287.466523480442</v>
      </c>
      <c r="I331" s="22">
        <v>27287.466523480442</v>
      </c>
      <c r="J331" s="22">
        <v>27287.466523480442</v>
      </c>
      <c r="K331" s="22">
        <v>48088.352881294588</v>
      </c>
      <c r="L331" s="22">
        <v>83555.35837124259</v>
      </c>
      <c r="M331" s="22">
        <v>106885.30045092426</v>
      </c>
      <c r="N331" s="22">
        <v>119780.25515064053</v>
      </c>
      <c r="O331" s="22">
        <v>124238.66433506974</v>
      </c>
      <c r="P331" s="22">
        <v>123062.90588747582</v>
      </c>
      <c r="Q331" s="22">
        <v>116372.50684759635</v>
      </c>
      <c r="R331" s="22">
        <v>103920.96352455279</v>
      </c>
      <c r="S331" s="22">
        <v>82071.975133142347</v>
      </c>
      <c r="T331" s="22">
        <v>47085.045739876747</v>
      </c>
      <c r="U331" s="22">
        <v>109149.86609392177</v>
      </c>
      <c r="V331" s="22">
        <v>109149.86609392177</v>
      </c>
      <c r="W331" s="22">
        <v>109149.86609392177</v>
      </c>
      <c r="X331" s="22">
        <v>109149.86609392177</v>
      </c>
      <c r="Y331" s="22">
        <v>109149.86609392177</v>
      </c>
      <c r="Z331" s="22">
        <v>109149.86609392177</v>
      </c>
      <c r="AA331" s="23">
        <v>109149.86609392177</v>
      </c>
      <c r="AB331" s="97"/>
      <c r="AC331" s="24">
        <v>4</v>
      </c>
      <c r="AD331" s="16">
        <f t="shared" si="112"/>
        <v>7640490.6265745237</v>
      </c>
    </row>
    <row r="332" spans="1:30" ht="13.5" thickBot="1" x14ac:dyDescent="0.35">
      <c r="A332" s="18">
        <v>2035</v>
      </c>
      <c r="B332" s="25" t="s">
        <v>32</v>
      </c>
      <c r="C332" s="26" t="s">
        <v>36</v>
      </c>
      <c r="D332" s="21">
        <v>27287.466523480438</v>
      </c>
      <c r="E332" s="22">
        <v>27287.466523480438</v>
      </c>
      <c r="F332" s="22">
        <v>27287.466523480438</v>
      </c>
      <c r="G332" s="22">
        <v>27287.466523480438</v>
      </c>
      <c r="H332" s="22">
        <v>27287.466523480438</v>
      </c>
      <c r="I332" s="22">
        <v>27287.466523480438</v>
      </c>
      <c r="J332" s="22">
        <v>27287.466523480438</v>
      </c>
      <c r="K332" s="22">
        <v>48088.352881294588</v>
      </c>
      <c r="L332" s="22">
        <v>83555.35837124259</v>
      </c>
      <c r="M332" s="22">
        <v>106885.30045092427</v>
      </c>
      <c r="N332" s="22">
        <v>119780.25515064051</v>
      </c>
      <c r="O332" s="22">
        <v>124238.66433506973</v>
      </c>
      <c r="P332" s="22">
        <v>123062.90588747582</v>
      </c>
      <c r="Q332" s="22">
        <v>116372.50684759636</v>
      </c>
      <c r="R332" s="22">
        <v>103920.96352455278</v>
      </c>
      <c r="S332" s="22">
        <v>82071.975133142332</v>
      </c>
      <c r="T332" s="22">
        <v>47085.045739876747</v>
      </c>
      <c r="U332" s="22">
        <v>109149.86609392175</v>
      </c>
      <c r="V332" s="22">
        <v>109149.86609392175</v>
      </c>
      <c r="W332" s="22">
        <v>109149.86609392175</v>
      </c>
      <c r="X332" s="22">
        <v>109149.86609392175</v>
      </c>
      <c r="Y332" s="22">
        <v>109149.86609392175</v>
      </c>
      <c r="Z332" s="22">
        <v>109149.86609392175</v>
      </c>
      <c r="AA332" s="23">
        <v>109149.86609392175</v>
      </c>
      <c r="AB332" s="97"/>
      <c r="AC332" s="27">
        <v>6</v>
      </c>
      <c r="AD332" s="16">
        <f t="shared" si="112"/>
        <v>11460735.939861786</v>
      </c>
    </row>
    <row r="333" spans="1:30" ht="13.5" thickBot="1" x14ac:dyDescent="0.35">
      <c r="A333" s="18">
        <v>2035</v>
      </c>
      <c r="B333" s="11" t="s">
        <v>35</v>
      </c>
      <c r="C333" s="12" t="s">
        <v>33</v>
      </c>
      <c r="D333" s="21">
        <v>27287.466523480434</v>
      </c>
      <c r="E333" s="22">
        <v>27287.466523480434</v>
      </c>
      <c r="F333" s="22">
        <v>27287.466523480434</v>
      </c>
      <c r="G333" s="22">
        <v>27287.466523480434</v>
      </c>
      <c r="H333" s="22">
        <v>27287.466523480434</v>
      </c>
      <c r="I333" s="22">
        <v>27287.466523480434</v>
      </c>
      <c r="J333" s="22">
        <v>27287.466523480434</v>
      </c>
      <c r="K333" s="22">
        <v>48088.352881294573</v>
      </c>
      <c r="L333" s="22">
        <v>83555.358371242619</v>
      </c>
      <c r="M333" s="22">
        <v>106885.30045092429</v>
      </c>
      <c r="N333" s="22">
        <v>119780.25515064054</v>
      </c>
      <c r="O333" s="22">
        <v>124238.66433506974</v>
      </c>
      <c r="P333" s="22">
        <v>123062.90588747575</v>
      </c>
      <c r="Q333" s="22">
        <v>116372.50684759631</v>
      </c>
      <c r="R333" s="22">
        <v>103920.96352455278</v>
      </c>
      <c r="S333" s="22">
        <v>82071.975133142361</v>
      </c>
      <c r="T333" s="22">
        <v>47085.045739876768</v>
      </c>
      <c r="U333" s="22">
        <v>109149.86609392174</v>
      </c>
      <c r="V333" s="22">
        <v>109149.86609392174</v>
      </c>
      <c r="W333" s="22">
        <v>109149.86609392174</v>
      </c>
      <c r="X333" s="22">
        <v>109149.86609392174</v>
      </c>
      <c r="Y333" s="22">
        <v>109149.86609392174</v>
      </c>
      <c r="Z333" s="22">
        <v>109149.86609392174</v>
      </c>
      <c r="AA333" s="23">
        <v>109149.86609392174</v>
      </c>
      <c r="AB333" s="96">
        <f t="shared" ref="AB333" si="115">+SUM(D333:AA333)*AC333+SUM(D334:AA334)*AC334+SUM(D335:AA335)*AC335</f>
        <v>53483434.386021659</v>
      </c>
      <c r="AC333" s="16">
        <v>20</v>
      </c>
      <c r="AD333" s="16">
        <f t="shared" si="112"/>
        <v>38202453.132872611</v>
      </c>
    </row>
    <row r="334" spans="1:30" ht="13.5" thickBot="1" x14ac:dyDescent="0.35">
      <c r="A334" s="18">
        <v>2035</v>
      </c>
      <c r="B334" s="19" t="s">
        <v>35</v>
      </c>
      <c r="C334" s="20" t="s">
        <v>50</v>
      </c>
      <c r="D334" s="21">
        <v>27287.466523480442</v>
      </c>
      <c r="E334" s="22">
        <v>27287.466523480442</v>
      </c>
      <c r="F334" s="22">
        <v>27287.466523480442</v>
      </c>
      <c r="G334" s="22">
        <v>27287.466523480442</v>
      </c>
      <c r="H334" s="22">
        <v>27287.466523480442</v>
      </c>
      <c r="I334" s="22">
        <v>27287.466523480442</v>
      </c>
      <c r="J334" s="22">
        <v>27287.466523480442</v>
      </c>
      <c r="K334" s="22">
        <v>48088.352881294588</v>
      </c>
      <c r="L334" s="22">
        <v>83555.35837124259</v>
      </c>
      <c r="M334" s="22">
        <v>106885.30045092426</v>
      </c>
      <c r="N334" s="22">
        <v>119780.25515064053</v>
      </c>
      <c r="O334" s="22">
        <v>124238.66433506974</v>
      </c>
      <c r="P334" s="22">
        <v>123062.90588747582</v>
      </c>
      <c r="Q334" s="22">
        <v>116372.50684759635</v>
      </c>
      <c r="R334" s="22">
        <v>103920.96352455279</v>
      </c>
      <c r="S334" s="22">
        <v>82071.975133142347</v>
      </c>
      <c r="T334" s="22">
        <v>47085.045739876747</v>
      </c>
      <c r="U334" s="22">
        <v>109149.86609392177</v>
      </c>
      <c r="V334" s="22">
        <v>109149.86609392177</v>
      </c>
      <c r="W334" s="22">
        <v>109149.86609392177</v>
      </c>
      <c r="X334" s="22">
        <v>109149.86609392177</v>
      </c>
      <c r="Y334" s="22">
        <v>109149.86609392177</v>
      </c>
      <c r="Z334" s="22">
        <v>109149.86609392177</v>
      </c>
      <c r="AA334" s="23">
        <v>109149.86609392177</v>
      </c>
      <c r="AB334" s="97"/>
      <c r="AC334" s="24">
        <v>4</v>
      </c>
      <c r="AD334" s="16">
        <f t="shared" si="112"/>
        <v>7640490.6265745237</v>
      </c>
    </row>
    <row r="335" spans="1:30" ht="13.5" thickBot="1" x14ac:dyDescent="0.35">
      <c r="A335" s="18">
        <v>2035</v>
      </c>
      <c r="B335" s="25" t="s">
        <v>35</v>
      </c>
      <c r="C335" s="26" t="s">
        <v>36</v>
      </c>
      <c r="D335" s="21">
        <v>27287.466523480442</v>
      </c>
      <c r="E335" s="22">
        <v>27287.466523480442</v>
      </c>
      <c r="F335" s="22">
        <v>27287.466523480442</v>
      </c>
      <c r="G335" s="22">
        <v>27287.466523480442</v>
      </c>
      <c r="H335" s="22">
        <v>27287.466523480442</v>
      </c>
      <c r="I335" s="22">
        <v>27287.466523480442</v>
      </c>
      <c r="J335" s="22">
        <v>27287.466523480442</v>
      </c>
      <c r="K335" s="22">
        <v>48088.352881294588</v>
      </c>
      <c r="L335" s="22">
        <v>83555.35837124259</v>
      </c>
      <c r="M335" s="22">
        <v>106885.30045092426</v>
      </c>
      <c r="N335" s="22">
        <v>119780.25515064053</v>
      </c>
      <c r="O335" s="22">
        <v>124238.66433506974</v>
      </c>
      <c r="P335" s="22">
        <v>123062.90588747582</v>
      </c>
      <c r="Q335" s="22">
        <v>116372.50684759635</v>
      </c>
      <c r="R335" s="22">
        <v>103920.96352455279</v>
      </c>
      <c r="S335" s="22">
        <v>82071.975133142347</v>
      </c>
      <c r="T335" s="22">
        <v>47085.045739876747</v>
      </c>
      <c r="U335" s="22">
        <v>109149.86609392177</v>
      </c>
      <c r="V335" s="22">
        <v>109149.86609392177</v>
      </c>
      <c r="W335" s="22">
        <v>109149.86609392177</v>
      </c>
      <c r="X335" s="22">
        <v>109149.86609392177</v>
      </c>
      <c r="Y335" s="22">
        <v>109149.86609392177</v>
      </c>
      <c r="Z335" s="22">
        <v>109149.86609392177</v>
      </c>
      <c r="AA335" s="23">
        <v>109149.86609392177</v>
      </c>
      <c r="AB335" s="97"/>
      <c r="AC335" s="27">
        <v>4</v>
      </c>
      <c r="AD335" s="16">
        <f t="shared" si="112"/>
        <v>7640490.6265745237</v>
      </c>
    </row>
    <row r="336" spans="1:30" ht="13.5" thickBot="1" x14ac:dyDescent="0.35">
      <c r="A336" s="18">
        <v>2035</v>
      </c>
      <c r="B336" s="11" t="s">
        <v>37</v>
      </c>
      <c r="C336" s="12" t="s">
        <v>33</v>
      </c>
      <c r="D336" s="21">
        <v>27287.466523480431</v>
      </c>
      <c r="E336" s="22">
        <v>27287.466523480431</v>
      </c>
      <c r="F336" s="22">
        <v>27287.466523480431</v>
      </c>
      <c r="G336" s="22">
        <v>27287.466523480431</v>
      </c>
      <c r="H336" s="22">
        <v>27287.466523480431</v>
      </c>
      <c r="I336" s="22">
        <v>27287.466523480431</v>
      </c>
      <c r="J336" s="22">
        <v>27287.466523480431</v>
      </c>
      <c r="K336" s="22">
        <v>48088.352881294573</v>
      </c>
      <c r="L336" s="22">
        <v>83555.358371242619</v>
      </c>
      <c r="M336" s="22">
        <v>106885.3004509243</v>
      </c>
      <c r="N336" s="22">
        <v>119780.25515064056</v>
      </c>
      <c r="O336" s="22">
        <v>124238.66433506974</v>
      </c>
      <c r="P336" s="22">
        <v>123062.90588747575</v>
      </c>
      <c r="Q336" s="22">
        <v>116372.50684759631</v>
      </c>
      <c r="R336" s="22">
        <v>103920.96352455278</v>
      </c>
      <c r="S336" s="22">
        <v>82071.975133142361</v>
      </c>
      <c r="T336" s="22">
        <v>47085.045739876768</v>
      </c>
      <c r="U336" s="22">
        <v>109149.86609392172</v>
      </c>
      <c r="V336" s="22">
        <v>109149.86609392172</v>
      </c>
      <c r="W336" s="22">
        <v>109149.86609392172</v>
      </c>
      <c r="X336" s="22">
        <v>109149.86609392172</v>
      </c>
      <c r="Y336" s="22">
        <v>109149.86609392172</v>
      </c>
      <c r="Z336" s="22">
        <v>109149.86609392172</v>
      </c>
      <c r="AA336" s="23">
        <v>109149.86609392172</v>
      </c>
      <c r="AB336" s="96">
        <f t="shared" ref="AB336" si="116">+SUM(D336:AA336)*AC336+SUM(D337:AA337)*AC337+SUM(D338:AA338)*AC338</f>
        <v>59213802.355952546</v>
      </c>
      <c r="AC336" s="16">
        <v>19</v>
      </c>
      <c r="AD336" s="16">
        <f t="shared" si="112"/>
        <v>36292330.476228982</v>
      </c>
    </row>
    <row r="337" spans="1:30" ht="13.5" thickBot="1" x14ac:dyDescent="0.35">
      <c r="A337" s="18">
        <v>2035</v>
      </c>
      <c r="B337" s="19" t="s">
        <v>37</v>
      </c>
      <c r="C337" s="20" t="s">
        <v>50</v>
      </c>
      <c r="D337" s="21">
        <v>27287.466523480438</v>
      </c>
      <c r="E337" s="22">
        <v>27287.466523480438</v>
      </c>
      <c r="F337" s="22">
        <v>27287.466523480438</v>
      </c>
      <c r="G337" s="22">
        <v>27287.466523480438</v>
      </c>
      <c r="H337" s="22">
        <v>27287.466523480438</v>
      </c>
      <c r="I337" s="22">
        <v>27287.466523480438</v>
      </c>
      <c r="J337" s="22">
        <v>27287.466523480438</v>
      </c>
      <c r="K337" s="22">
        <v>48088.352881294588</v>
      </c>
      <c r="L337" s="22">
        <v>83555.35837124259</v>
      </c>
      <c r="M337" s="22">
        <v>106885.30045092427</v>
      </c>
      <c r="N337" s="22">
        <v>119780.25515064053</v>
      </c>
      <c r="O337" s="22">
        <v>124238.66433506974</v>
      </c>
      <c r="P337" s="22">
        <v>123062.90588747582</v>
      </c>
      <c r="Q337" s="22">
        <v>116372.50684759635</v>
      </c>
      <c r="R337" s="22">
        <v>103920.96352455279</v>
      </c>
      <c r="S337" s="22">
        <v>82071.975133142347</v>
      </c>
      <c r="T337" s="22">
        <v>47085.045739876747</v>
      </c>
      <c r="U337" s="22">
        <v>109149.86609392175</v>
      </c>
      <c r="V337" s="22">
        <v>109149.86609392175</v>
      </c>
      <c r="W337" s="22">
        <v>109149.86609392175</v>
      </c>
      <c r="X337" s="22">
        <v>109149.86609392175</v>
      </c>
      <c r="Y337" s="22">
        <v>109149.86609392175</v>
      </c>
      <c r="Z337" s="22">
        <v>109149.86609392175</v>
      </c>
      <c r="AA337" s="23">
        <v>109149.86609392175</v>
      </c>
      <c r="AB337" s="97"/>
      <c r="AC337" s="24">
        <v>5</v>
      </c>
      <c r="AD337" s="16">
        <f t="shared" si="112"/>
        <v>9550613.2832181547</v>
      </c>
    </row>
    <row r="338" spans="1:30" ht="13.5" thickBot="1" x14ac:dyDescent="0.35">
      <c r="A338" s="18">
        <v>2035</v>
      </c>
      <c r="B338" s="25" t="s">
        <v>37</v>
      </c>
      <c r="C338" s="26" t="s">
        <v>36</v>
      </c>
      <c r="D338" s="21">
        <v>27287.466523480434</v>
      </c>
      <c r="E338" s="22">
        <v>27287.466523480434</v>
      </c>
      <c r="F338" s="22">
        <v>27287.466523480434</v>
      </c>
      <c r="G338" s="22">
        <v>27287.466523480434</v>
      </c>
      <c r="H338" s="22">
        <v>27287.466523480434</v>
      </c>
      <c r="I338" s="22">
        <v>27287.466523480434</v>
      </c>
      <c r="J338" s="22">
        <v>27287.466523480434</v>
      </c>
      <c r="K338" s="22">
        <v>48088.352881294595</v>
      </c>
      <c r="L338" s="22">
        <v>83555.358371242575</v>
      </c>
      <c r="M338" s="22">
        <v>106885.30045092429</v>
      </c>
      <c r="N338" s="22">
        <v>119780.25515064051</v>
      </c>
      <c r="O338" s="22">
        <v>124238.66433506973</v>
      </c>
      <c r="P338" s="22">
        <v>123062.90588747582</v>
      </c>
      <c r="Q338" s="22">
        <v>116372.50684759636</v>
      </c>
      <c r="R338" s="22">
        <v>103920.96352455278</v>
      </c>
      <c r="S338" s="22">
        <v>82071.975133142332</v>
      </c>
      <c r="T338" s="22">
        <v>47085.045739876747</v>
      </c>
      <c r="U338" s="22">
        <v>109149.86609392174</v>
      </c>
      <c r="V338" s="22">
        <v>109149.86609392174</v>
      </c>
      <c r="W338" s="22">
        <v>109149.86609392174</v>
      </c>
      <c r="X338" s="22">
        <v>109149.86609392174</v>
      </c>
      <c r="Y338" s="22">
        <v>109149.86609392174</v>
      </c>
      <c r="Z338" s="22">
        <v>109149.86609392174</v>
      </c>
      <c r="AA338" s="23">
        <v>109149.86609392174</v>
      </c>
      <c r="AB338" s="97"/>
      <c r="AC338" s="27">
        <v>7</v>
      </c>
      <c r="AD338" s="16">
        <f t="shared" si="112"/>
        <v>13370858.596505415</v>
      </c>
    </row>
    <row r="339" spans="1:30" ht="13.5" thickBot="1" x14ac:dyDescent="0.35">
      <c r="A339" s="18">
        <v>2035</v>
      </c>
      <c r="B339" s="11" t="s">
        <v>38</v>
      </c>
      <c r="C339" s="12" t="s">
        <v>33</v>
      </c>
      <c r="D339" s="21">
        <v>27287.466523480434</v>
      </c>
      <c r="E339" s="22">
        <v>27287.466523480434</v>
      </c>
      <c r="F339" s="22">
        <v>27287.466523480434</v>
      </c>
      <c r="G339" s="22">
        <v>27287.466523480434</v>
      </c>
      <c r="H339" s="22">
        <v>27287.466523480434</v>
      </c>
      <c r="I339" s="22">
        <v>27287.466523480434</v>
      </c>
      <c r="J339" s="22">
        <v>27287.466523480434</v>
      </c>
      <c r="K339" s="22">
        <v>48088.352881294573</v>
      </c>
      <c r="L339" s="22">
        <v>83555.358371242619</v>
      </c>
      <c r="M339" s="22">
        <v>106885.30045092429</v>
      </c>
      <c r="N339" s="22">
        <v>119780.25515064054</v>
      </c>
      <c r="O339" s="22">
        <v>124238.66433506974</v>
      </c>
      <c r="P339" s="22">
        <v>123062.90588747575</v>
      </c>
      <c r="Q339" s="22">
        <v>116372.50684759631</v>
      </c>
      <c r="R339" s="22">
        <v>103920.96352455278</v>
      </c>
      <c r="S339" s="22">
        <v>82071.975133142361</v>
      </c>
      <c r="T339" s="22">
        <v>47085.045739876768</v>
      </c>
      <c r="U339" s="22">
        <v>109149.86609392174</v>
      </c>
      <c r="V339" s="22">
        <v>109149.86609392174</v>
      </c>
      <c r="W339" s="22">
        <v>109149.86609392174</v>
      </c>
      <c r="X339" s="22">
        <v>109149.86609392174</v>
      </c>
      <c r="Y339" s="22">
        <v>109149.86609392174</v>
      </c>
      <c r="Z339" s="22">
        <v>109149.86609392174</v>
      </c>
      <c r="AA339" s="23">
        <v>109149.86609392174</v>
      </c>
      <c r="AB339" s="96">
        <f t="shared" ref="AB339" si="117">+SUM(D339:AA339)*AC339+SUM(D340:AA340)*AC340+SUM(D341:AA341)*AC341</f>
        <v>57303679.699308924</v>
      </c>
      <c r="AC339" s="16">
        <v>21</v>
      </c>
      <c r="AD339" s="16">
        <f t="shared" si="112"/>
        <v>40112575.789516248</v>
      </c>
    </row>
    <row r="340" spans="1:30" ht="13.5" thickBot="1" x14ac:dyDescent="0.35">
      <c r="A340" s="18">
        <v>2035</v>
      </c>
      <c r="B340" s="19" t="s">
        <v>38</v>
      </c>
      <c r="C340" s="20" t="s">
        <v>50</v>
      </c>
      <c r="D340" s="21">
        <v>27287.466523480442</v>
      </c>
      <c r="E340" s="22">
        <v>27287.466523480442</v>
      </c>
      <c r="F340" s="22">
        <v>27287.466523480442</v>
      </c>
      <c r="G340" s="22">
        <v>27287.466523480442</v>
      </c>
      <c r="H340" s="22">
        <v>27287.466523480442</v>
      </c>
      <c r="I340" s="22">
        <v>27287.466523480442</v>
      </c>
      <c r="J340" s="22">
        <v>27287.466523480442</v>
      </c>
      <c r="K340" s="22">
        <v>48088.352881294588</v>
      </c>
      <c r="L340" s="22">
        <v>83555.35837124259</v>
      </c>
      <c r="M340" s="22">
        <v>106885.30045092426</v>
      </c>
      <c r="N340" s="22">
        <v>119780.25515064053</v>
      </c>
      <c r="O340" s="22">
        <v>124238.66433506974</v>
      </c>
      <c r="P340" s="22">
        <v>123062.90588747582</v>
      </c>
      <c r="Q340" s="22">
        <v>116372.50684759635</v>
      </c>
      <c r="R340" s="22">
        <v>103920.96352455279</v>
      </c>
      <c r="S340" s="22">
        <v>82071.975133142347</v>
      </c>
      <c r="T340" s="22">
        <v>47085.045739876747</v>
      </c>
      <c r="U340" s="22">
        <v>109149.86609392177</v>
      </c>
      <c r="V340" s="22">
        <v>109149.86609392177</v>
      </c>
      <c r="W340" s="22">
        <v>109149.86609392177</v>
      </c>
      <c r="X340" s="22">
        <v>109149.86609392177</v>
      </c>
      <c r="Y340" s="22">
        <v>109149.86609392177</v>
      </c>
      <c r="Z340" s="22">
        <v>109149.86609392177</v>
      </c>
      <c r="AA340" s="23">
        <v>109149.86609392177</v>
      </c>
      <c r="AB340" s="97"/>
      <c r="AC340" s="24">
        <v>4</v>
      </c>
      <c r="AD340" s="16">
        <f t="shared" si="112"/>
        <v>7640490.6265745237</v>
      </c>
    </row>
    <row r="341" spans="1:30" ht="13.5" thickBot="1" x14ac:dyDescent="0.35">
      <c r="A341" s="18">
        <v>2035</v>
      </c>
      <c r="B341" s="25" t="s">
        <v>38</v>
      </c>
      <c r="C341" s="26" t="s">
        <v>36</v>
      </c>
      <c r="D341" s="21">
        <v>27287.466523480438</v>
      </c>
      <c r="E341" s="22">
        <v>27287.466523480438</v>
      </c>
      <c r="F341" s="22">
        <v>27287.466523480438</v>
      </c>
      <c r="G341" s="22">
        <v>27287.466523480438</v>
      </c>
      <c r="H341" s="22">
        <v>27287.466523480438</v>
      </c>
      <c r="I341" s="22">
        <v>27287.466523480438</v>
      </c>
      <c r="J341" s="22">
        <v>27287.466523480438</v>
      </c>
      <c r="K341" s="22">
        <v>48088.352881294588</v>
      </c>
      <c r="L341" s="22">
        <v>83555.35837124259</v>
      </c>
      <c r="M341" s="22">
        <v>106885.30045092427</v>
      </c>
      <c r="N341" s="22">
        <v>119780.25515064053</v>
      </c>
      <c r="O341" s="22">
        <v>124238.66433506974</v>
      </c>
      <c r="P341" s="22">
        <v>123062.90588747582</v>
      </c>
      <c r="Q341" s="22">
        <v>116372.50684759635</v>
      </c>
      <c r="R341" s="22">
        <v>103920.96352455279</v>
      </c>
      <c r="S341" s="22">
        <v>82071.975133142347</v>
      </c>
      <c r="T341" s="22">
        <v>47085.045739876747</v>
      </c>
      <c r="U341" s="22">
        <v>109149.86609392175</v>
      </c>
      <c r="V341" s="22">
        <v>109149.86609392175</v>
      </c>
      <c r="W341" s="22">
        <v>109149.86609392175</v>
      </c>
      <c r="X341" s="22">
        <v>109149.86609392175</v>
      </c>
      <c r="Y341" s="22">
        <v>109149.86609392175</v>
      </c>
      <c r="Z341" s="22">
        <v>109149.86609392175</v>
      </c>
      <c r="AA341" s="23">
        <v>109149.86609392175</v>
      </c>
      <c r="AB341" s="97"/>
      <c r="AC341" s="27">
        <v>5</v>
      </c>
      <c r="AD341" s="16">
        <f t="shared" si="112"/>
        <v>9550613.2832181547</v>
      </c>
    </row>
    <row r="342" spans="1:30" ht="13.5" thickBot="1" x14ac:dyDescent="0.35">
      <c r="A342" s="18">
        <v>2035</v>
      </c>
      <c r="B342" s="11" t="s">
        <v>39</v>
      </c>
      <c r="C342" s="12" t="s">
        <v>33</v>
      </c>
      <c r="D342" s="21">
        <v>27287.466523480434</v>
      </c>
      <c r="E342" s="22">
        <v>27287.466523480434</v>
      </c>
      <c r="F342" s="22">
        <v>27287.466523480434</v>
      </c>
      <c r="G342" s="22">
        <v>27287.466523480434</v>
      </c>
      <c r="H342" s="22">
        <v>27287.466523480434</v>
      </c>
      <c r="I342" s="22">
        <v>27287.466523480434</v>
      </c>
      <c r="J342" s="22">
        <v>27287.466523480434</v>
      </c>
      <c r="K342" s="22">
        <v>48088.352881294573</v>
      </c>
      <c r="L342" s="22">
        <v>83555.358371242619</v>
      </c>
      <c r="M342" s="22">
        <v>106885.30045092429</v>
      </c>
      <c r="N342" s="22">
        <v>119780.25515064054</v>
      </c>
      <c r="O342" s="22">
        <v>124238.66433506974</v>
      </c>
      <c r="P342" s="22">
        <v>123062.90588747575</v>
      </c>
      <c r="Q342" s="22">
        <v>116372.50684759631</v>
      </c>
      <c r="R342" s="22">
        <v>103920.96352455278</v>
      </c>
      <c r="S342" s="22">
        <v>82071.975133142361</v>
      </c>
      <c r="T342" s="22">
        <v>47085.045739876768</v>
      </c>
      <c r="U342" s="22">
        <v>109149.86609392174</v>
      </c>
      <c r="V342" s="22">
        <v>109149.86609392174</v>
      </c>
      <c r="W342" s="22">
        <v>109149.86609392174</v>
      </c>
      <c r="X342" s="22">
        <v>109149.86609392174</v>
      </c>
      <c r="Y342" s="22">
        <v>109149.86609392174</v>
      </c>
      <c r="Z342" s="22">
        <v>109149.86609392174</v>
      </c>
      <c r="AA342" s="23">
        <v>109149.86609392174</v>
      </c>
      <c r="AB342" s="96">
        <f t="shared" ref="AB342" si="118">+SUM(D342:AA342)*AC342+SUM(D343:AA343)*AC343+SUM(D344:AA344)*AC344</f>
        <v>59213802.355952546</v>
      </c>
      <c r="AC342" s="16">
        <v>20</v>
      </c>
      <c r="AD342" s="16">
        <f t="shared" si="112"/>
        <v>38202453.132872611</v>
      </c>
    </row>
    <row r="343" spans="1:30" ht="13.5" thickBot="1" x14ac:dyDescent="0.35">
      <c r="A343" s="18">
        <v>2035</v>
      </c>
      <c r="B343" s="19" t="s">
        <v>39</v>
      </c>
      <c r="C343" s="20" t="s">
        <v>50</v>
      </c>
      <c r="D343" s="21">
        <v>27287.466523480442</v>
      </c>
      <c r="E343" s="22">
        <v>27287.466523480442</v>
      </c>
      <c r="F343" s="22">
        <v>27287.466523480442</v>
      </c>
      <c r="G343" s="22">
        <v>27287.466523480442</v>
      </c>
      <c r="H343" s="22">
        <v>27287.466523480442</v>
      </c>
      <c r="I343" s="22">
        <v>27287.466523480442</v>
      </c>
      <c r="J343" s="22">
        <v>27287.466523480442</v>
      </c>
      <c r="K343" s="22">
        <v>48088.352881294588</v>
      </c>
      <c r="L343" s="22">
        <v>83555.35837124259</v>
      </c>
      <c r="M343" s="22">
        <v>106885.30045092426</v>
      </c>
      <c r="N343" s="22">
        <v>119780.25515064053</v>
      </c>
      <c r="O343" s="22">
        <v>124238.66433506974</v>
      </c>
      <c r="P343" s="22">
        <v>123062.90588747582</v>
      </c>
      <c r="Q343" s="22">
        <v>116372.50684759635</v>
      </c>
      <c r="R343" s="22">
        <v>103920.96352455279</v>
      </c>
      <c r="S343" s="22">
        <v>82071.975133142347</v>
      </c>
      <c r="T343" s="22">
        <v>47085.045739876747</v>
      </c>
      <c r="U343" s="22">
        <v>109149.86609392177</v>
      </c>
      <c r="V343" s="22">
        <v>109149.86609392177</v>
      </c>
      <c r="W343" s="22">
        <v>109149.86609392177</v>
      </c>
      <c r="X343" s="22">
        <v>109149.86609392177</v>
      </c>
      <c r="Y343" s="22">
        <v>109149.86609392177</v>
      </c>
      <c r="Z343" s="22">
        <v>109149.86609392177</v>
      </c>
      <c r="AA343" s="23">
        <v>109149.86609392177</v>
      </c>
      <c r="AB343" s="97"/>
      <c r="AC343" s="24">
        <v>4</v>
      </c>
      <c r="AD343" s="16">
        <f t="shared" si="112"/>
        <v>7640490.6265745237</v>
      </c>
    </row>
    <row r="344" spans="1:30" ht="13.5" thickBot="1" x14ac:dyDescent="0.35">
      <c r="A344" s="18">
        <v>2035</v>
      </c>
      <c r="B344" s="25" t="s">
        <v>39</v>
      </c>
      <c r="C344" s="26" t="s">
        <v>36</v>
      </c>
      <c r="D344" s="21">
        <v>27287.466523480434</v>
      </c>
      <c r="E344" s="22">
        <v>27287.466523480434</v>
      </c>
      <c r="F344" s="22">
        <v>27287.466523480434</v>
      </c>
      <c r="G344" s="22">
        <v>27287.466523480434</v>
      </c>
      <c r="H344" s="22">
        <v>27287.466523480434</v>
      </c>
      <c r="I344" s="22">
        <v>27287.466523480434</v>
      </c>
      <c r="J344" s="22">
        <v>27287.466523480434</v>
      </c>
      <c r="K344" s="22">
        <v>48088.352881294595</v>
      </c>
      <c r="L344" s="22">
        <v>83555.358371242575</v>
      </c>
      <c r="M344" s="22">
        <v>106885.30045092429</v>
      </c>
      <c r="N344" s="22">
        <v>119780.25515064051</v>
      </c>
      <c r="O344" s="22">
        <v>124238.66433506973</v>
      </c>
      <c r="P344" s="22">
        <v>123062.90588747582</v>
      </c>
      <c r="Q344" s="22">
        <v>116372.50684759636</v>
      </c>
      <c r="R344" s="22">
        <v>103920.96352455278</v>
      </c>
      <c r="S344" s="22">
        <v>82071.975133142332</v>
      </c>
      <c r="T344" s="22">
        <v>47085.045739876747</v>
      </c>
      <c r="U344" s="22">
        <v>109149.86609392174</v>
      </c>
      <c r="V344" s="22">
        <v>109149.86609392174</v>
      </c>
      <c r="W344" s="22">
        <v>109149.86609392174</v>
      </c>
      <c r="X344" s="22">
        <v>109149.86609392174</v>
      </c>
      <c r="Y344" s="22">
        <v>109149.86609392174</v>
      </c>
      <c r="Z344" s="22">
        <v>109149.86609392174</v>
      </c>
      <c r="AA344" s="23">
        <v>109149.86609392174</v>
      </c>
      <c r="AB344" s="97"/>
      <c r="AC344" s="27">
        <v>7</v>
      </c>
      <c r="AD344" s="16">
        <f t="shared" si="112"/>
        <v>13370858.596505415</v>
      </c>
    </row>
    <row r="345" spans="1:30" ht="13.5" thickBot="1" x14ac:dyDescent="0.35">
      <c r="A345" s="18">
        <v>2035</v>
      </c>
      <c r="B345" s="11" t="s">
        <v>40</v>
      </c>
      <c r="C345" s="12" t="s">
        <v>33</v>
      </c>
      <c r="D345" s="21">
        <v>27287.466523480434</v>
      </c>
      <c r="E345" s="22">
        <v>27287.466523480434</v>
      </c>
      <c r="F345" s="22">
        <v>27287.466523480434</v>
      </c>
      <c r="G345" s="22">
        <v>27287.466523480434</v>
      </c>
      <c r="H345" s="22">
        <v>27287.466523480434</v>
      </c>
      <c r="I345" s="22">
        <v>27287.466523480434</v>
      </c>
      <c r="J345" s="22">
        <v>27287.466523480434</v>
      </c>
      <c r="K345" s="22">
        <v>48088.352881294573</v>
      </c>
      <c r="L345" s="22">
        <v>83555.358371242619</v>
      </c>
      <c r="M345" s="22">
        <v>106885.30045092429</v>
      </c>
      <c r="N345" s="22">
        <v>119780.25515064054</v>
      </c>
      <c r="O345" s="22">
        <v>124238.66433506974</v>
      </c>
      <c r="P345" s="22">
        <v>123062.90588747575</v>
      </c>
      <c r="Q345" s="22">
        <v>116372.50684759631</v>
      </c>
      <c r="R345" s="22">
        <v>103920.96352455278</v>
      </c>
      <c r="S345" s="22">
        <v>82071.975133142361</v>
      </c>
      <c r="T345" s="22">
        <v>47085.045739876768</v>
      </c>
      <c r="U345" s="22">
        <v>109149.86609392174</v>
      </c>
      <c r="V345" s="22">
        <v>109149.86609392174</v>
      </c>
      <c r="W345" s="22">
        <v>109149.86609392174</v>
      </c>
      <c r="X345" s="22">
        <v>109149.86609392174</v>
      </c>
      <c r="Y345" s="22">
        <v>109149.86609392174</v>
      </c>
      <c r="Z345" s="22">
        <v>109149.86609392174</v>
      </c>
      <c r="AA345" s="23">
        <v>109149.86609392174</v>
      </c>
      <c r="AB345" s="96">
        <f t="shared" ref="AB345" si="119">+SUM(D345:AA345)*AC345+SUM(D346:AA346)*AC346+SUM(D347:AA347)*AC347</f>
        <v>57303679.699308917</v>
      </c>
      <c r="AC345" s="16">
        <v>20</v>
      </c>
      <c r="AD345" s="16">
        <f t="shared" si="112"/>
        <v>38202453.132872611</v>
      </c>
    </row>
    <row r="346" spans="1:30" ht="13.5" thickBot="1" x14ac:dyDescent="0.35">
      <c r="A346" s="18">
        <v>2035</v>
      </c>
      <c r="B346" s="19" t="s">
        <v>40</v>
      </c>
      <c r="C346" s="20" t="s">
        <v>50</v>
      </c>
      <c r="D346" s="21">
        <v>27287.466523480438</v>
      </c>
      <c r="E346" s="22">
        <v>27287.466523480438</v>
      </c>
      <c r="F346" s="22">
        <v>27287.466523480438</v>
      </c>
      <c r="G346" s="22">
        <v>27287.466523480438</v>
      </c>
      <c r="H346" s="22">
        <v>27287.466523480438</v>
      </c>
      <c r="I346" s="22">
        <v>27287.466523480438</v>
      </c>
      <c r="J346" s="22">
        <v>27287.466523480438</v>
      </c>
      <c r="K346" s="22">
        <v>48088.352881294588</v>
      </c>
      <c r="L346" s="22">
        <v>83555.35837124259</v>
      </c>
      <c r="M346" s="22">
        <v>106885.30045092427</v>
      </c>
      <c r="N346" s="22">
        <v>119780.25515064053</v>
      </c>
      <c r="O346" s="22">
        <v>124238.66433506974</v>
      </c>
      <c r="P346" s="22">
        <v>123062.90588747582</v>
      </c>
      <c r="Q346" s="22">
        <v>116372.50684759635</v>
      </c>
      <c r="R346" s="22">
        <v>103920.96352455279</v>
      </c>
      <c r="S346" s="22">
        <v>82071.975133142347</v>
      </c>
      <c r="T346" s="22">
        <v>47085.045739876747</v>
      </c>
      <c r="U346" s="22">
        <v>109149.86609392175</v>
      </c>
      <c r="V346" s="22">
        <v>109149.86609392175</v>
      </c>
      <c r="W346" s="22">
        <v>109149.86609392175</v>
      </c>
      <c r="X346" s="22">
        <v>109149.86609392175</v>
      </c>
      <c r="Y346" s="22">
        <v>109149.86609392175</v>
      </c>
      <c r="Z346" s="22">
        <v>109149.86609392175</v>
      </c>
      <c r="AA346" s="23">
        <v>109149.86609392175</v>
      </c>
      <c r="AB346" s="97"/>
      <c r="AC346" s="24">
        <v>5</v>
      </c>
      <c r="AD346" s="16">
        <f t="shared" si="112"/>
        <v>9550613.2832181547</v>
      </c>
    </row>
    <row r="347" spans="1:30" ht="13.5" thickBot="1" x14ac:dyDescent="0.35">
      <c r="A347" s="18">
        <v>2035</v>
      </c>
      <c r="B347" s="25" t="s">
        <v>40</v>
      </c>
      <c r="C347" s="26" t="s">
        <v>36</v>
      </c>
      <c r="D347" s="21">
        <v>27287.466523480438</v>
      </c>
      <c r="E347" s="22">
        <v>27287.466523480438</v>
      </c>
      <c r="F347" s="22">
        <v>27287.466523480438</v>
      </c>
      <c r="G347" s="22">
        <v>27287.466523480438</v>
      </c>
      <c r="H347" s="22">
        <v>27287.466523480438</v>
      </c>
      <c r="I347" s="22">
        <v>27287.466523480438</v>
      </c>
      <c r="J347" s="22">
        <v>27287.466523480438</v>
      </c>
      <c r="K347" s="22">
        <v>48088.352881294588</v>
      </c>
      <c r="L347" s="22">
        <v>83555.35837124259</v>
      </c>
      <c r="M347" s="22">
        <v>106885.30045092427</v>
      </c>
      <c r="N347" s="22">
        <v>119780.25515064053</v>
      </c>
      <c r="O347" s="22">
        <v>124238.66433506974</v>
      </c>
      <c r="P347" s="22">
        <v>123062.90588747582</v>
      </c>
      <c r="Q347" s="22">
        <v>116372.50684759635</v>
      </c>
      <c r="R347" s="22">
        <v>103920.96352455279</v>
      </c>
      <c r="S347" s="22">
        <v>82071.975133142347</v>
      </c>
      <c r="T347" s="22">
        <v>47085.045739876747</v>
      </c>
      <c r="U347" s="22">
        <v>109149.86609392175</v>
      </c>
      <c r="V347" s="22">
        <v>109149.86609392175</v>
      </c>
      <c r="W347" s="22">
        <v>109149.86609392175</v>
      </c>
      <c r="X347" s="22">
        <v>109149.86609392175</v>
      </c>
      <c r="Y347" s="22">
        <v>109149.86609392175</v>
      </c>
      <c r="Z347" s="22">
        <v>109149.86609392175</v>
      </c>
      <c r="AA347" s="23">
        <v>109149.86609392175</v>
      </c>
      <c r="AB347" s="97"/>
      <c r="AC347" s="27">
        <v>5</v>
      </c>
      <c r="AD347" s="16">
        <f t="shared" si="112"/>
        <v>9550613.2832181547</v>
      </c>
    </row>
    <row r="348" spans="1:30" ht="13.5" thickBot="1" x14ac:dyDescent="0.35">
      <c r="A348" s="18">
        <v>2035</v>
      </c>
      <c r="B348" s="11" t="s">
        <v>41</v>
      </c>
      <c r="C348" s="12" t="s">
        <v>33</v>
      </c>
      <c r="D348" s="21">
        <v>27287.466523480434</v>
      </c>
      <c r="E348" s="22">
        <v>27287.466523480434</v>
      </c>
      <c r="F348" s="22">
        <v>27287.466523480434</v>
      </c>
      <c r="G348" s="22">
        <v>27287.466523480434</v>
      </c>
      <c r="H348" s="22">
        <v>27287.466523480434</v>
      </c>
      <c r="I348" s="22">
        <v>27287.466523480434</v>
      </c>
      <c r="J348" s="22">
        <v>27287.466523480434</v>
      </c>
      <c r="K348" s="22">
        <v>48088.352881294573</v>
      </c>
      <c r="L348" s="22">
        <v>83555.358371242619</v>
      </c>
      <c r="M348" s="22">
        <v>106885.30045092429</v>
      </c>
      <c r="N348" s="22">
        <v>119780.25515064054</v>
      </c>
      <c r="O348" s="22">
        <v>124238.66433506974</v>
      </c>
      <c r="P348" s="22">
        <v>123062.90588747575</v>
      </c>
      <c r="Q348" s="22">
        <v>116372.50684759631</v>
      </c>
      <c r="R348" s="22">
        <v>103920.96352455278</v>
      </c>
      <c r="S348" s="22">
        <v>82071.975133142361</v>
      </c>
      <c r="T348" s="22">
        <v>47085.045739876768</v>
      </c>
      <c r="U348" s="22">
        <v>109149.86609392174</v>
      </c>
      <c r="V348" s="22">
        <v>109149.86609392174</v>
      </c>
      <c r="W348" s="22">
        <v>109149.86609392174</v>
      </c>
      <c r="X348" s="22">
        <v>109149.86609392174</v>
      </c>
      <c r="Y348" s="22">
        <v>109149.86609392174</v>
      </c>
      <c r="Z348" s="22">
        <v>109149.86609392174</v>
      </c>
      <c r="AA348" s="23">
        <v>109149.86609392174</v>
      </c>
      <c r="AB348" s="96">
        <f t="shared" ref="AB348" si="120">+SUM(D348:AA348)*AC348+SUM(D349:AA349)*AC349+SUM(D350:AA350)*AC350</f>
        <v>59213802.355952546</v>
      </c>
      <c r="AC348" s="16">
        <v>20</v>
      </c>
      <c r="AD348" s="16">
        <f t="shared" si="112"/>
        <v>38202453.132872611</v>
      </c>
    </row>
    <row r="349" spans="1:30" ht="13.5" thickBot="1" x14ac:dyDescent="0.35">
      <c r="A349" s="18">
        <v>2035</v>
      </c>
      <c r="B349" s="19" t="s">
        <v>41</v>
      </c>
      <c r="C349" s="20" t="s">
        <v>50</v>
      </c>
      <c r="D349" s="21">
        <v>27287.466523480442</v>
      </c>
      <c r="E349" s="22">
        <v>27287.466523480442</v>
      </c>
      <c r="F349" s="22">
        <v>27287.466523480442</v>
      </c>
      <c r="G349" s="22">
        <v>27287.466523480442</v>
      </c>
      <c r="H349" s="22">
        <v>27287.466523480442</v>
      </c>
      <c r="I349" s="22">
        <v>27287.466523480442</v>
      </c>
      <c r="J349" s="22">
        <v>27287.466523480442</v>
      </c>
      <c r="K349" s="22">
        <v>48088.352881294588</v>
      </c>
      <c r="L349" s="22">
        <v>83555.35837124259</v>
      </c>
      <c r="M349" s="22">
        <v>106885.30045092426</v>
      </c>
      <c r="N349" s="22">
        <v>119780.25515064053</v>
      </c>
      <c r="O349" s="22">
        <v>124238.66433506974</v>
      </c>
      <c r="P349" s="22">
        <v>123062.90588747582</v>
      </c>
      <c r="Q349" s="22">
        <v>116372.50684759635</v>
      </c>
      <c r="R349" s="22">
        <v>103920.96352455279</v>
      </c>
      <c r="S349" s="22">
        <v>82071.975133142347</v>
      </c>
      <c r="T349" s="22">
        <v>47085.045739876747</v>
      </c>
      <c r="U349" s="22">
        <v>109149.86609392177</v>
      </c>
      <c r="V349" s="22">
        <v>109149.86609392177</v>
      </c>
      <c r="W349" s="22">
        <v>109149.86609392177</v>
      </c>
      <c r="X349" s="22">
        <v>109149.86609392177</v>
      </c>
      <c r="Y349" s="22">
        <v>109149.86609392177</v>
      </c>
      <c r="Z349" s="22">
        <v>109149.86609392177</v>
      </c>
      <c r="AA349" s="23">
        <v>109149.86609392177</v>
      </c>
      <c r="AB349" s="97"/>
      <c r="AC349" s="24">
        <v>4</v>
      </c>
      <c r="AD349" s="16">
        <f t="shared" si="112"/>
        <v>7640490.6265745237</v>
      </c>
    </row>
    <row r="350" spans="1:30" ht="13.5" thickBot="1" x14ac:dyDescent="0.35">
      <c r="A350" s="18">
        <v>2035</v>
      </c>
      <c r="B350" s="25" t="s">
        <v>41</v>
      </c>
      <c r="C350" s="26" t="s">
        <v>36</v>
      </c>
      <c r="D350" s="21">
        <v>27287.466523480434</v>
      </c>
      <c r="E350" s="22">
        <v>27287.466523480434</v>
      </c>
      <c r="F350" s="22">
        <v>27287.466523480434</v>
      </c>
      <c r="G350" s="22">
        <v>27287.466523480434</v>
      </c>
      <c r="H350" s="22">
        <v>27287.466523480434</v>
      </c>
      <c r="I350" s="22">
        <v>27287.466523480434</v>
      </c>
      <c r="J350" s="22">
        <v>27287.466523480434</v>
      </c>
      <c r="K350" s="22">
        <v>48088.352881294595</v>
      </c>
      <c r="L350" s="22">
        <v>83555.358371242575</v>
      </c>
      <c r="M350" s="22">
        <v>106885.30045092429</v>
      </c>
      <c r="N350" s="22">
        <v>119780.25515064051</v>
      </c>
      <c r="O350" s="22">
        <v>124238.66433506973</v>
      </c>
      <c r="P350" s="22">
        <v>123062.90588747582</v>
      </c>
      <c r="Q350" s="22">
        <v>116372.50684759636</v>
      </c>
      <c r="R350" s="22">
        <v>103920.96352455278</v>
      </c>
      <c r="S350" s="22">
        <v>82071.975133142332</v>
      </c>
      <c r="T350" s="22">
        <v>47085.045739876747</v>
      </c>
      <c r="U350" s="22">
        <v>109149.86609392174</v>
      </c>
      <c r="V350" s="22">
        <v>109149.86609392174</v>
      </c>
      <c r="W350" s="22">
        <v>109149.86609392174</v>
      </c>
      <c r="X350" s="22">
        <v>109149.86609392174</v>
      </c>
      <c r="Y350" s="22">
        <v>109149.86609392174</v>
      </c>
      <c r="Z350" s="22">
        <v>109149.86609392174</v>
      </c>
      <c r="AA350" s="23">
        <v>109149.86609392174</v>
      </c>
      <c r="AB350" s="97"/>
      <c r="AC350" s="27">
        <v>7</v>
      </c>
      <c r="AD350" s="16">
        <f t="shared" si="112"/>
        <v>13370858.596505415</v>
      </c>
    </row>
    <row r="351" spans="1:30" ht="13.5" thickBot="1" x14ac:dyDescent="0.35">
      <c r="A351" s="18">
        <v>2035</v>
      </c>
      <c r="B351" s="11" t="s">
        <v>42</v>
      </c>
      <c r="C351" s="12" t="s">
        <v>33</v>
      </c>
      <c r="D351" s="21">
        <v>27287.466523480434</v>
      </c>
      <c r="E351" s="22">
        <v>27287.466523480434</v>
      </c>
      <c r="F351" s="22">
        <v>27287.466523480434</v>
      </c>
      <c r="G351" s="22">
        <v>27287.466523480434</v>
      </c>
      <c r="H351" s="22">
        <v>27287.466523480434</v>
      </c>
      <c r="I351" s="22">
        <v>27287.466523480434</v>
      </c>
      <c r="J351" s="22">
        <v>27287.466523480434</v>
      </c>
      <c r="K351" s="22">
        <v>48088.352881294573</v>
      </c>
      <c r="L351" s="22">
        <v>83555.358371242619</v>
      </c>
      <c r="M351" s="22">
        <v>106885.30045092429</v>
      </c>
      <c r="N351" s="22">
        <v>119780.25515064054</v>
      </c>
      <c r="O351" s="22">
        <v>124238.66433506974</v>
      </c>
      <c r="P351" s="22">
        <v>123062.90588747575</v>
      </c>
      <c r="Q351" s="22">
        <v>116372.50684759631</v>
      </c>
      <c r="R351" s="22">
        <v>103920.96352455278</v>
      </c>
      <c r="S351" s="22">
        <v>82071.975133142361</v>
      </c>
      <c r="T351" s="22">
        <v>47085.045739876768</v>
      </c>
      <c r="U351" s="22">
        <v>109149.86609392174</v>
      </c>
      <c r="V351" s="22">
        <v>109149.86609392174</v>
      </c>
      <c r="W351" s="22">
        <v>109149.86609392174</v>
      </c>
      <c r="X351" s="22">
        <v>109149.86609392174</v>
      </c>
      <c r="Y351" s="22">
        <v>109149.86609392174</v>
      </c>
      <c r="Z351" s="22">
        <v>109149.86609392174</v>
      </c>
      <c r="AA351" s="23">
        <v>109149.86609392174</v>
      </c>
      <c r="AB351" s="96">
        <f t="shared" ref="AB351" si="121">+SUM(D351:AA351)*AC351+SUM(D352:AA352)*AC352+SUM(D353:AA353)*AC353</f>
        <v>59213802.355952561</v>
      </c>
      <c r="AC351" s="16">
        <v>21</v>
      </c>
      <c r="AD351" s="16">
        <f t="shared" si="112"/>
        <v>40112575.789516248</v>
      </c>
    </row>
    <row r="352" spans="1:30" ht="13.5" thickBot="1" x14ac:dyDescent="0.35">
      <c r="A352" s="18">
        <v>2035</v>
      </c>
      <c r="B352" s="19" t="s">
        <v>42</v>
      </c>
      <c r="C352" s="20" t="s">
        <v>50</v>
      </c>
      <c r="D352" s="21">
        <v>27287.466523480442</v>
      </c>
      <c r="E352" s="22">
        <v>27287.466523480442</v>
      </c>
      <c r="F352" s="22">
        <v>27287.466523480442</v>
      </c>
      <c r="G352" s="22">
        <v>27287.466523480442</v>
      </c>
      <c r="H352" s="22">
        <v>27287.466523480442</v>
      </c>
      <c r="I352" s="22">
        <v>27287.466523480442</v>
      </c>
      <c r="J352" s="22">
        <v>27287.466523480442</v>
      </c>
      <c r="K352" s="22">
        <v>48088.352881294588</v>
      </c>
      <c r="L352" s="22">
        <v>83555.35837124259</v>
      </c>
      <c r="M352" s="22">
        <v>106885.30045092426</v>
      </c>
      <c r="N352" s="22">
        <v>119780.25515064053</v>
      </c>
      <c r="O352" s="22">
        <v>124238.66433506974</v>
      </c>
      <c r="P352" s="22">
        <v>123062.90588747582</v>
      </c>
      <c r="Q352" s="22">
        <v>116372.50684759635</v>
      </c>
      <c r="R352" s="22">
        <v>103920.96352455279</v>
      </c>
      <c r="S352" s="22">
        <v>82071.975133142347</v>
      </c>
      <c r="T352" s="22">
        <v>47085.045739876747</v>
      </c>
      <c r="U352" s="22">
        <v>109149.86609392177</v>
      </c>
      <c r="V352" s="22">
        <v>109149.86609392177</v>
      </c>
      <c r="W352" s="22">
        <v>109149.86609392177</v>
      </c>
      <c r="X352" s="22">
        <v>109149.86609392177</v>
      </c>
      <c r="Y352" s="22">
        <v>109149.86609392177</v>
      </c>
      <c r="Z352" s="22">
        <v>109149.86609392177</v>
      </c>
      <c r="AA352" s="23">
        <v>109149.86609392177</v>
      </c>
      <c r="AB352" s="97"/>
      <c r="AC352" s="24">
        <v>4</v>
      </c>
      <c r="AD352" s="16">
        <f t="shared" si="112"/>
        <v>7640490.6265745237</v>
      </c>
    </row>
    <row r="353" spans="1:30" ht="13.5" thickBot="1" x14ac:dyDescent="0.35">
      <c r="A353" s="18">
        <v>2035</v>
      </c>
      <c r="B353" s="25" t="s">
        <v>42</v>
      </c>
      <c r="C353" s="26" t="s">
        <v>36</v>
      </c>
      <c r="D353" s="21">
        <v>27287.466523480438</v>
      </c>
      <c r="E353" s="22">
        <v>27287.466523480438</v>
      </c>
      <c r="F353" s="22">
        <v>27287.466523480438</v>
      </c>
      <c r="G353" s="22">
        <v>27287.466523480438</v>
      </c>
      <c r="H353" s="22">
        <v>27287.466523480438</v>
      </c>
      <c r="I353" s="22">
        <v>27287.466523480438</v>
      </c>
      <c r="J353" s="22">
        <v>27287.466523480438</v>
      </c>
      <c r="K353" s="22">
        <v>48088.352881294588</v>
      </c>
      <c r="L353" s="22">
        <v>83555.35837124259</v>
      </c>
      <c r="M353" s="22">
        <v>106885.30045092427</v>
      </c>
      <c r="N353" s="22">
        <v>119780.25515064051</v>
      </c>
      <c r="O353" s="22">
        <v>124238.66433506973</v>
      </c>
      <c r="P353" s="22">
        <v>123062.90588747582</v>
      </c>
      <c r="Q353" s="22">
        <v>116372.50684759636</v>
      </c>
      <c r="R353" s="22">
        <v>103920.96352455278</v>
      </c>
      <c r="S353" s="22">
        <v>82071.975133142332</v>
      </c>
      <c r="T353" s="22">
        <v>47085.045739876747</v>
      </c>
      <c r="U353" s="22">
        <v>109149.86609392175</v>
      </c>
      <c r="V353" s="22">
        <v>109149.86609392175</v>
      </c>
      <c r="W353" s="22">
        <v>109149.86609392175</v>
      </c>
      <c r="X353" s="22">
        <v>109149.86609392175</v>
      </c>
      <c r="Y353" s="22">
        <v>109149.86609392175</v>
      </c>
      <c r="Z353" s="22">
        <v>109149.86609392175</v>
      </c>
      <c r="AA353" s="23">
        <v>109149.86609392175</v>
      </c>
      <c r="AB353" s="97"/>
      <c r="AC353" s="27">
        <v>6</v>
      </c>
      <c r="AD353" s="16">
        <f t="shared" si="112"/>
        <v>11460735.939861786</v>
      </c>
    </row>
    <row r="354" spans="1:30" ht="13.5" thickBot="1" x14ac:dyDescent="0.35">
      <c r="A354" s="18">
        <v>2035</v>
      </c>
      <c r="B354" s="11" t="s">
        <v>43</v>
      </c>
      <c r="C354" s="12" t="s">
        <v>33</v>
      </c>
      <c r="D354" s="21">
        <v>27287.466523480434</v>
      </c>
      <c r="E354" s="22">
        <v>27287.466523480434</v>
      </c>
      <c r="F354" s="22">
        <v>27287.466523480434</v>
      </c>
      <c r="G354" s="22">
        <v>27287.466523480434</v>
      </c>
      <c r="H354" s="22">
        <v>27287.466523480434</v>
      </c>
      <c r="I354" s="22">
        <v>27287.466523480434</v>
      </c>
      <c r="J354" s="22">
        <v>27287.466523480434</v>
      </c>
      <c r="K354" s="22">
        <v>48088.352881294573</v>
      </c>
      <c r="L354" s="22">
        <v>83555.358371242619</v>
      </c>
      <c r="M354" s="22">
        <v>106885.30045092429</v>
      </c>
      <c r="N354" s="22">
        <v>119780.25515064054</v>
      </c>
      <c r="O354" s="22">
        <v>124238.66433506974</v>
      </c>
      <c r="P354" s="22">
        <v>123062.90588747575</v>
      </c>
      <c r="Q354" s="22">
        <v>116372.50684759631</v>
      </c>
      <c r="R354" s="22">
        <v>103920.96352455278</v>
      </c>
      <c r="S354" s="22">
        <v>82071.975133142361</v>
      </c>
      <c r="T354" s="22">
        <v>47085.045739876768</v>
      </c>
      <c r="U354" s="22">
        <v>109149.86609392174</v>
      </c>
      <c r="V354" s="22">
        <v>109149.86609392174</v>
      </c>
      <c r="W354" s="22">
        <v>109149.86609392174</v>
      </c>
      <c r="X354" s="22">
        <v>109149.86609392174</v>
      </c>
      <c r="Y354" s="22">
        <v>109149.86609392174</v>
      </c>
      <c r="Z354" s="22">
        <v>109149.86609392174</v>
      </c>
      <c r="AA354" s="23">
        <v>109149.86609392174</v>
      </c>
      <c r="AB354" s="96">
        <f t="shared" ref="AB354" si="122">+SUM(D354:AA354)*AC354+SUM(D355:AA355)*AC355+SUM(D356:AA356)*AC356</f>
        <v>57303679.699308917</v>
      </c>
      <c r="AC354" s="16">
        <v>20</v>
      </c>
      <c r="AD354" s="16">
        <f t="shared" si="112"/>
        <v>38202453.132872611</v>
      </c>
    </row>
    <row r="355" spans="1:30" ht="13.5" thickBot="1" x14ac:dyDescent="0.35">
      <c r="A355" s="18">
        <v>2035</v>
      </c>
      <c r="B355" s="19" t="s">
        <v>43</v>
      </c>
      <c r="C355" s="20" t="s">
        <v>50</v>
      </c>
      <c r="D355" s="21">
        <v>27287.466523480438</v>
      </c>
      <c r="E355" s="22">
        <v>27287.466523480438</v>
      </c>
      <c r="F355" s="22">
        <v>27287.466523480438</v>
      </c>
      <c r="G355" s="22">
        <v>27287.466523480438</v>
      </c>
      <c r="H355" s="22">
        <v>27287.466523480438</v>
      </c>
      <c r="I355" s="22">
        <v>27287.466523480438</v>
      </c>
      <c r="J355" s="22">
        <v>27287.466523480438</v>
      </c>
      <c r="K355" s="22">
        <v>48088.352881294588</v>
      </c>
      <c r="L355" s="22">
        <v>83555.35837124259</v>
      </c>
      <c r="M355" s="22">
        <v>106885.30045092427</v>
      </c>
      <c r="N355" s="22">
        <v>119780.25515064053</v>
      </c>
      <c r="O355" s="22">
        <v>124238.66433506974</v>
      </c>
      <c r="P355" s="22">
        <v>123062.90588747582</v>
      </c>
      <c r="Q355" s="22">
        <v>116372.50684759635</v>
      </c>
      <c r="R355" s="22">
        <v>103920.96352455279</v>
      </c>
      <c r="S355" s="22">
        <v>82071.975133142347</v>
      </c>
      <c r="T355" s="22">
        <v>47085.045739876747</v>
      </c>
      <c r="U355" s="22">
        <v>109149.86609392175</v>
      </c>
      <c r="V355" s="22">
        <v>109149.86609392175</v>
      </c>
      <c r="W355" s="22">
        <v>109149.86609392175</v>
      </c>
      <c r="X355" s="22">
        <v>109149.86609392175</v>
      </c>
      <c r="Y355" s="22">
        <v>109149.86609392175</v>
      </c>
      <c r="Z355" s="22">
        <v>109149.86609392175</v>
      </c>
      <c r="AA355" s="23">
        <v>109149.86609392175</v>
      </c>
      <c r="AB355" s="97"/>
      <c r="AC355" s="24">
        <v>5</v>
      </c>
      <c r="AD355" s="16">
        <f t="shared" si="112"/>
        <v>9550613.2832181547</v>
      </c>
    </row>
    <row r="356" spans="1:30" ht="13.5" thickBot="1" x14ac:dyDescent="0.35">
      <c r="A356" s="18">
        <v>2035</v>
      </c>
      <c r="B356" s="25" t="s">
        <v>43</v>
      </c>
      <c r="C356" s="26" t="s">
        <v>36</v>
      </c>
      <c r="D356" s="21">
        <v>27287.466523480438</v>
      </c>
      <c r="E356" s="22">
        <v>27287.466523480438</v>
      </c>
      <c r="F356" s="22">
        <v>27287.466523480438</v>
      </c>
      <c r="G356" s="22">
        <v>27287.466523480438</v>
      </c>
      <c r="H356" s="22">
        <v>27287.466523480438</v>
      </c>
      <c r="I356" s="22">
        <v>27287.466523480438</v>
      </c>
      <c r="J356" s="22">
        <v>27287.466523480438</v>
      </c>
      <c r="K356" s="22">
        <v>48088.352881294588</v>
      </c>
      <c r="L356" s="22">
        <v>83555.35837124259</v>
      </c>
      <c r="M356" s="22">
        <v>106885.30045092427</v>
      </c>
      <c r="N356" s="22">
        <v>119780.25515064053</v>
      </c>
      <c r="O356" s="22">
        <v>124238.66433506974</v>
      </c>
      <c r="P356" s="22">
        <v>123062.90588747582</v>
      </c>
      <c r="Q356" s="22">
        <v>116372.50684759635</v>
      </c>
      <c r="R356" s="22">
        <v>103920.96352455279</v>
      </c>
      <c r="S356" s="22">
        <v>82071.975133142347</v>
      </c>
      <c r="T356" s="22">
        <v>47085.045739876747</v>
      </c>
      <c r="U356" s="22">
        <v>109149.86609392175</v>
      </c>
      <c r="V356" s="22">
        <v>109149.86609392175</v>
      </c>
      <c r="W356" s="22">
        <v>109149.86609392175</v>
      </c>
      <c r="X356" s="22">
        <v>109149.86609392175</v>
      </c>
      <c r="Y356" s="22">
        <v>109149.86609392175</v>
      </c>
      <c r="Z356" s="22">
        <v>109149.86609392175</v>
      </c>
      <c r="AA356" s="23">
        <v>109149.86609392175</v>
      </c>
      <c r="AB356" s="97"/>
      <c r="AC356" s="27">
        <v>5</v>
      </c>
      <c r="AD356" s="16">
        <f t="shared" si="112"/>
        <v>9550613.2832181547</v>
      </c>
    </row>
    <row r="357" spans="1:30" ht="13.5" thickBot="1" x14ac:dyDescent="0.35">
      <c r="A357" s="18">
        <v>2035</v>
      </c>
      <c r="B357" s="11" t="s">
        <v>44</v>
      </c>
      <c r="C357" s="12" t="s">
        <v>33</v>
      </c>
      <c r="D357" s="21">
        <v>27287.466523480438</v>
      </c>
      <c r="E357" s="22">
        <v>27287.466523480438</v>
      </c>
      <c r="F357" s="22">
        <v>27287.466523480438</v>
      </c>
      <c r="G357" s="22">
        <v>27287.466523480438</v>
      </c>
      <c r="H357" s="22">
        <v>27287.466523480438</v>
      </c>
      <c r="I357" s="22">
        <v>27287.466523480438</v>
      </c>
      <c r="J357" s="22">
        <v>27287.466523480438</v>
      </c>
      <c r="K357" s="22">
        <v>48088.352881294566</v>
      </c>
      <c r="L357" s="22">
        <v>83555.358371242633</v>
      </c>
      <c r="M357" s="22">
        <v>106885.3004509243</v>
      </c>
      <c r="N357" s="22">
        <v>119780.25515064053</v>
      </c>
      <c r="O357" s="22">
        <v>124238.66433506973</v>
      </c>
      <c r="P357" s="22">
        <v>123062.90588747575</v>
      </c>
      <c r="Q357" s="22">
        <v>116372.50684759631</v>
      </c>
      <c r="R357" s="22">
        <v>103920.96352455278</v>
      </c>
      <c r="S357" s="22">
        <v>82071.975133142376</v>
      </c>
      <c r="T357" s="22">
        <v>47085.045739876776</v>
      </c>
      <c r="U357" s="22">
        <v>109149.86609392175</v>
      </c>
      <c r="V357" s="22">
        <v>109149.86609392175</v>
      </c>
      <c r="W357" s="22">
        <v>109149.86609392175</v>
      </c>
      <c r="X357" s="22">
        <v>109149.86609392175</v>
      </c>
      <c r="Y357" s="22">
        <v>109149.86609392175</v>
      </c>
      <c r="Z357" s="22">
        <v>109149.86609392175</v>
      </c>
      <c r="AA357" s="23">
        <v>109149.86609392175</v>
      </c>
      <c r="AB357" s="96">
        <f t="shared" ref="AB357" si="123">+SUM(D357:AA357)*AC357+SUM(D358:AA358)*AC358+SUM(D359:AA359)*AC359</f>
        <v>59213802.355952553</v>
      </c>
      <c r="AC357" s="16">
        <v>22</v>
      </c>
      <c r="AD357" s="16">
        <f t="shared" si="112"/>
        <v>42022698.446159877</v>
      </c>
    </row>
    <row r="358" spans="1:30" ht="13.5" thickBot="1" x14ac:dyDescent="0.35">
      <c r="A358" s="18">
        <v>2035</v>
      </c>
      <c r="B358" s="19" t="s">
        <v>44</v>
      </c>
      <c r="C358" s="20" t="s">
        <v>50</v>
      </c>
      <c r="D358" s="21">
        <v>27287.466523480442</v>
      </c>
      <c r="E358" s="22">
        <v>27287.466523480442</v>
      </c>
      <c r="F358" s="22">
        <v>27287.466523480442</v>
      </c>
      <c r="G358" s="22">
        <v>27287.466523480442</v>
      </c>
      <c r="H358" s="22">
        <v>27287.466523480442</v>
      </c>
      <c r="I358" s="22">
        <v>27287.466523480442</v>
      </c>
      <c r="J358" s="22">
        <v>27287.466523480442</v>
      </c>
      <c r="K358" s="22">
        <v>48088.352881294588</v>
      </c>
      <c r="L358" s="22">
        <v>83555.35837124259</v>
      </c>
      <c r="M358" s="22">
        <v>106885.30045092426</v>
      </c>
      <c r="N358" s="22">
        <v>119780.25515064053</v>
      </c>
      <c r="O358" s="22">
        <v>124238.66433506974</v>
      </c>
      <c r="P358" s="22">
        <v>123062.90588747582</v>
      </c>
      <c r="Q358" s="22">
        <v>116372.50684759635</v>
      </c>
      <c r="R358" s="22">
        <v>103920.96352455279</v>
      </c>
      <c r="S358" s="22">
        <v>82071.975133142347</v>
      </c>
      <c r="T358" s="22">
        <v>47085.045739876747</v>
      </c>
      <c r="U358" s="22">
        <v>109149.86609392177</v>
      </c>
      <c r="V358" s="22">
        <v>109149.86609392177</v>
      </c>
      <c r="W358" s="22">
        <v>109149.86609392177</v>
      </c>
      <c r="X358" s="22">
        <v>109149.86609392177</v>
      </c>
      <c r="Y358" s="22">
        <v>109149.86609392177</v>
      </c>
      <c r="Z358" s="22">
        <v>109149.86609392177</v>
      </c>
      <c r="AA358" s="23">
        <v>109149.86609392177</v>
      </c>
      <c r="AB358" s="97"/>
      <c r="AC358" s="24">
        <v>4</v>
      </c>
      <c r="AD358" s="16">
        <f t="shared" si="112"/>
        <v>7640490.6265745237</v>
      </c>
    </row>
    <row r="359" spans="1:30" ht="13.5" thickBot="1" x14ac:dyDescent="0.35">
      <c r="A359" s="18">
        <v>2035</v>
      </c>
      <c r="B359" s="25" t="s">
        <v>44</v>
      </c>
      <c r="C359" s="26" t="s">
        <v>36</v>
      </c>
      <c r="D359" s="21">
        <v>27287.466523480438</v>
      </c>
      <c r="E359" s="22">
        <v>27287.466523480438</v>
      </c>
      <c r="F359" s="22">
        <v>27287.466523480438</v>
      </c>
      <c r="G359" s="22">
        <v>27287.466523480438</v>
      </c>
      <c r="H359" s="22">
        <v>27287.466523480438</v>
      </c>
      <c r="I359" s="22">
        <v>27287.466523480438</v>
      </c>
      <c r="J359" s="22">
        <v>27287.466523480438</v>
      </c>
      <c r="K359" s="22">
        <v>48088.352881294588</v>
      </c>
      <c r="L359" s="22">
        <v>83555.35837124259</v>
      </c>
      <c r="M359" s="22">
        <v>106885.30045092427</v>
      </c>
      <c r="N359" s="22">
        <v>119780.25515064053</v>
      </c>
      <c r="O359" s="22">
        <v>124238.66433506974</v>
      </c>
      <c r="P359" s="22">
        <v>123062.90588747582</v>
      </c>
      <c r="Q359" s="22">
        <v>116372.50684759635</v>
      </c>
      <c r="R359" s="22">
        <v>103920.96352455279</v>
      </c>
      <c r="S359" s="22">
        <v>82071.975133142347</v>
      </c>
      <c r="T359" s="22">
        <v>47085.045739876747</v>
      </c>
      <c r="U359" s="22">
        <v>109149.86609392175</v>
      </c>
      <c r="V359" s="22">
        <v>109149.86609392175</v>
      </c>
      <c r="W359" s="22">
        <v>109149.86609392175</v>
      </c>
      <c r="X359" s="22">
        <v>109149.86609392175</v>
      </c>
      <c r="Y359" s="22">
        <v>109149.86609392175</v>
      </c>
      <c r="Z359" s="22">
        <v>109149.86609392175</v>
      </c>
      <c r="AA359" s="23">
        <v>109149.86609392175</v>
      </c>
      <c r="AB359" s="97"/>
      <c r="AC359" s="27">
        <v>5</v>
      </c>
      <c r="AD359" s="16">
        <f t="shared" si="112"/>
        <v>9550613.2832181547</v>
      </c>
    </row>
    <row r="360" spans="1:30" ht="13.5" thickBot="1" x14ac:dyDescent="0.35">
      <c r="A360" s="18">
        <v>2035</v>
      </c>
      <c r="B360" s="11" t="s">
        <v>45</v>
      </c>
      <c r="C360" s="12" t="s">
        <v>33</v>
      </c>
      <c r="D360" s="21">
        <v>27287.466523480434</v>
      </c>
      <c r="E360" s="22">
        <v>27287.466523480434</v>
      </c>
      <c r="F360" s="22">
        <v>27287.466523480434</v>
      </c>
      <c r="G360" s="22">
        <v>27287.466523480434</v>
      </c>
      <c r="H360" s="22">
        <v>27287.466523480434</v>
      </c>
      <c r="I360" s="22">
        <v>27287.466523480434</v>
      </c>
      <c r="J360" s="22">
        <v>27287.466523480434</v>
      </c>
      <c r="K360" s="22">
        <v>48088.352881294573</v>
      </c>
      <c r="L360" s="22">
        <v>83555.358371242619</v>
      </c>
      <c r="M360" s="22">
        <v>106885.30045092429</v>
      </c>
      <c r="N360" s="22">
        <v>119780.25515064054</v>
      </c>
      <c r="O360" s="22">
        <v>124238.66433506974</v>
      </c>
      <c r="P360" s="22">
        <v>123062.90588747575</v>
      </c>
      <c r="Q360" s="22">
        <v>116372.50684759631</v>
      </c>
      <c r="R360" s="22">
        <v>103920.96352455278</v>
      </c>
      <c r="S360" s="22">
        <v>82071.975133142361</v>
      </c>
      <c r="T360" s="22">
        <v>47085.045739876768</v>
      </c>
      <c r="U360" s="22">
        <v>109149.86609392174</v>
      </c>
      <c r="V360" s="22">
        <v>109149.86609392174</v>
      </c>
      <c r="W360" s="22">
        <v>109149.86609392174</v>
      </c>
      <c r="X360" s="22">
        <v>109149.86609392174</v>
      </c>
      <c r="Y360" s="22">
        <v>109149.86609392174</v>
      </c>
      <c r="Z360" s="22">
        <v>109149.86609392174</v>
      </c>
      <c r="AA360" s="23">
        <v>109149.86609392174</v>
      </c>
      <c r="AB360" s="96">
        <f t="shared" ref="AB360" si="124">+SUM(D360:AA360)*AC360+SUM(D361:AA361)*AC361+SUM(D362:AA362)*AC362</f>
        <v>57303679.699308917</v>
      </c>
      <c r="AC360" s="16">
        <v>20</v>
      </c>
      <c r="AD360" s="16">
        <f t="shared" si="112"/>
        <v>38202453.132872611</v>
      </c>
    </row>
    <row r="361" spans="1:30" ht="13.5" thickBot="1" x14ac:dyDescent="0.35">
      <c r="A361" s="18">
        <v>2035</v>
      </c>
      <c r="B361" s="19" t="s">
        <v>45</v>
      </c>
      <c r="C361" s="20" t="s">
        <v>50</v>
      </c>
      <c r="D361" s="21">
        <v>27287.466523480442</v>
      </c>
      <c r="E361" s="22">
        <v>27287.466523480442</v>
      </c>
      <c r="F361" s="22">
        <v>27287.466523480442</v>
      </c>
      <c r="G361" s="22">
        <v>27287.466523480442</v>
      </c>
      <c r="H361" s="22">
        <v>27287.466523480442</v>
      </c>
      <c r="I361" s="22">
        <v>27287.466523480442</v>
      </c>
      <c r="J361" s="22">
        <v>27287.466523480442</v>
      </c>
      <c r="K361" s="22">
        <v>48088.352881294588</v>
      </c>
      <c r="L361" s="22">
        <v>83555.35837124259</v>
      </c>
      <c r="M361" s="22">
        <v>106885.30045092426</v>
      </c>
      <c r="N361" s="22">
        <v>119780.25515064053</v>
      </c>
      <c r="O361" s="22">
        <v>124238.66433506974</v>
      </c>
      <c r="P361" s="22">
        <v>123062.90588747582</v>
      </c>
      <c r="Q361" s="22">
        <v>116372.50684759635</v>
      </c>
      <c r="R361" s="22">
        <v>103920.96352455279</v>
      </c>
      <c r="S361" s="22">
        <v>82071.975133142347</v>
      </c>
      <c r="T361" s="22">
        <v>47085.045739876747</v>
      </c>
      <c r="U361" s="22">
        <v>109149.86609392177</v>
      </c>
      <c r="V361" s="22">
        <v>109149.86609392177</v>
      </c>
      <c r="W361" s="22">
        <v>109149.86609392177</v>
      </c>
      <c r="X361" s="22">
        <v>109149.86609392177</v>
      </c>
      <c r="Y361" s="22">
        <v>109149.86609392177</v>
      </c>
      <c r="Z361" s="22">
        <v>109149.86609392177</v>
      </c>
      <c r="AA361" s="23">
        <v>109149.86609392177</v>
      </c>
      <c r="AB361" s="97"/>
      <c r="AC361" s="24">
        <v>4</v>
      </c>
      <c r="AD361" s="16">
        <f t="shared" si="112"/>
        <v>7640490.6265745237</v>
      </c>
    </row>
    <row r="362" spans="1:30" ht="13.5" thickBot="1" x14ac:dyDescent="0.35">
      <c r="A362" s="18">
        <v>2035</v>
      </c>
      <c r="B362" s="25" t="s">
        <v>45</v>
      </c>
      <c r="C362" s="26" t="s">
        <v>36</v>
      </c>
      <c r="D362" s="21">
        <v>27287.466523480438</v>
      </c>
      <c r="E362" s="22">
        <v>27287.466523480438</v>
      </c>
      <c r="F362" s="22">
        <v>27287.466523480438</v>
      </c>
      <c r="G362" s="22">
        <v>27287.466523480438</v>
      </c>
      <c r="H362" s="22">
        <v>27287.466523480438</v>
      </c>
      <c r="I362" s="22">
        <v>27287.466523480438</v>
      </c>
      <c r="J362" s="22">
        <v>27287.466523480438</v>
      </c>
      <c r="K362" s="22">
        <v>48088.352881294588</v>
      </c>
      <c r="L362" s="22">
        <v>83555.35837124259</v>
      </c>
      <c r="M362" s="22">
        <v>106885.30045092427</v>
      </c>
      <c r="N362" s="22">
        <v>119780.25515064051</v>
      </c>
      <c r="O362" s="22">
        <v>124238.66433506973</v>
      </c>
      <c r="P362" s="22">
        <v>123062.90588747582</v>
      </c>
      <c r="Q362" s="22">
        <v>116372.50684759636</v>
      </c>
      <c r="R362" s="22">
        <v>103920.96352455278</v>
      </c>
      <c r="S362" s="22">
        <v>82071.975133142332</v>
      </c>
      <c r="T362" s="22">
        <v>47085.045739876747</v>
      </c>
      <c r="U362" s="22">
        <v>109149.86609392175</v>
      </c>
      <c r="V362" s="22">
        <v>109149.86609392175</v>
      </c>
      <c r="W362" s="22">
        <v>109149.86609392175</v>
      </c>
      <c r="X362" s="22">
        <v>109149.86609392175</v>
      </c>
      <c r="Y362" s="22">
        <v>109149.86609392175</v>
      </c>
      <c r="Z362" s="22">
        <v>109149.86609392175</v>
      </c>
      <c r="AA362" s="23">
        <v>109149.86609392175</v>
      </c>
      <c r="AB362" s="97"/>
      <c r="AC362" s="27">
        <v>6</v>
      </c>
      <c r="AD362" s="16">
        <f t="shared" si="112"/>
        <v>11460735.939861786</v>
      </c>
    </row>
    <row r="363" spans="1:30" ht="13.5" thickBot="1" x14ac:dyDescent="0.35">
      <c r="A363" s="18">
        <v>2035</v>
      </c>
      <c r="B363" s="11" t="s">
        <v>46</v>
      </c>
      <c r="C363" s="12" t="s">
        <v>33</v>
      </c>
      <c r="D363" s="21">
        <v>27287.466523480434</v>
      </c>
      <c r="E363" s="22">
        <v>27287.466523480434</v>
      </c>
      <c r="F363" s="22">
        <v>27287.466523480434</v>
      </c>
      <c r="G363" s="22">
        <v>27287.466523480434</v>
      </c>
      <c r="H363" s="22">
        <v>27287.466523480434</v>
      </c>
      <c r="I363" s="22">
        <v>27287.466523480434</v>
      </c>
      <c r="J363" s="22">
        <v>27287.466523480434</v>
      </c>
      <c r="K363" s="22">
        <v>48088.352881294573</v>
      </c>
      <c r="L363" s="22">
        <v>83555.358371242619</v>
      </c>
      <c r="M363" s="22">
        <v>106885.30045092429</v>
      </c>
      <c r="N363" s="22">
        <v>119780.25515064054</v>
      </c>
      <c r="O363" s="22">
        <v>124238.66433506974</v>
      </c>
      <c r="P363" s="22">
        <v>123062.90588747575</v>
      </c>
      <c r="Q363" s="22">
        <v>116372.50684759631</v>
      </c>
      <c r="R363" s="22">
        <v>103920.96352455278</v>
      </c>
      <c r="S363" s="22">
        <v>82071.975133142361</v>
      </c>
      <c r="T363" s="22">
        <v>47085.045739876768</v>
      </c>
      <c r="U363" s="22">
        <v>109149.86609392174</v>
      </c>
      <c r="V363" s="22">
        <v>109149.86609392174</v>
      </c>
      <c r="W363" s="22">
        <v>109149.86609392174</v>
      </c>
      <c r="X363" s="22">
        <v>109149.86609392174</v>
      </c>
      <c r="Y363" s="22">
        <v>109149.86609392174</v>
      </c>
      <c r="Z363" s="22">
        <v>109149.86609392174</v>
      </c>
      <c r="AA363" s="23">
        <v>109149.86609392174</v>
      </c>
      <c r="AB363" s="96">
        <f t="shared" ref="AB363" si="125">+SUM(D363:AA363)*AC363+SUM(D364:AA364)*AC364+SUM(D365:AA365)*AC365</f>
        <v>59213802.355952546</v>
      </c>
      <c r="AC363" s="16">
        <v>20</v>
      </c>
      <c r="AD363" s="16">
        <f t="shared" si="112"/>
        <v>38202453.132872611</v>
      </c>
    </row>
    <row r="364" spans="1:30" ht="13.5" thickBot="1" x14ac:dyDescent="0.35">
      <c r="A364" s="18">
        <v>2035</v>
      </c>
      <c r="B364" s="19" t="s">
        <v>46</v>
      </c>
      <c r="C364" s="20" t="s">
        <v>50</v>
      </c>
      <c r="D364" s="21">
        <v>27287.466523480442</v>
      </c>
      <c r="E364" s="22">
        <v>27287.466523480442</v>
      </c>
      <c r="F364" s="22">
        <v>27287.466523480442</v>
      </c>
      <c r="G364" s="22">
        <v>27287.466523480442</v>
      </c>
      <c r="H364" s="22">
        <v>27287.466523480442</v>
      </c>
      <c r="I364" s="22">
        <v>27287.466523480442</v>
      </c>
      <c r="J364" s="22">
        <v>27287.466523480442</v>
      </c>
      <c r="K364" s="22">
        <v>48088.352881294588</v>
      </c>
      <c r="L364" s="22">
        <v>83555.35837124259</v>
      </c>
      <c r="M364" s="22">
        <v>106885.30045092426</v>
      </c>
      <c r="N364" s="22">
        <v>119780.25515064053</v>
      </c>
      <c r="O364" s="22">
        <v>124238.66433506974</v>
      </c>
      <c r="P364" s="22">
        <v>123062.90588747582</v>
      </c>
      <c r="Q364" s="22">
        <v>116372.50684759635</v>
      </c>
      <c r="R364" s="22">
        <v>103920.96352455279</v>
      </c>
      <c r="S364" s="22">
        <v>82071.975133142347</v>
      </c>
      <c r="T364" s="22">
        <v>47085.045739876747</v>
      </c>
      <c r="U364" s="22">
        <v>109149.86609392177</v>
      </c>
      <c r="V364" s="22">
        <v>109149.86609392177</v>
      </c>
      <c r="W364" s="22">
        <v>109149.86609392177</v>
      </c>
      <c r="X364" s="22">
        <v>109149.86609392177</v>
      </c>
      <c r="Y364" s="22">
        <v>109149.86609392177</v>
      </c>
      <c r="Z364" s="22">
        <v>109149.86609392177</v>
      </c>
      <c r="AA364" s="23">
        <v>109149.86609392177</v>
      </c>
      <c r="AB364" s="97"/>
      <c r="AC364" s="24">
        <v>4</v>
      </c>
      <c r="AD364" s="16">
        <f t="shared" si="112"/>
        <v>7640490.6265745237</v>
      </c>
    </row>
    <row r="365" spans="1:30" ht="13.5" thickBot="1" x14ac:dyDescent="0.35">
      <c r="A365" s="28">
        <v>2035</v>
      </c>
      <c r="B365" s="25" t="s">
        <v>46</v>
      </c>
      <c r="C365" s="26" t="s">
        <v>36</v>
      </c>
      <c r="D365" s="29">
        <v>27287.466523480434</v>
      </c>
      <c r="E365" s="30">
        <v>27287.466523480434</v>
      </c>
      <c r="F365" s="30">
        <v>27287.466523480434</v>
      </c>
      <c r="G365" s="30">
        <v>27287.466523480434</v>
      </c>
      <c r="H365" s="30">
        <v>27287.466523480434</v>
      </c>
      <c r="I365" s="30">
        <v>27287.466523480434</v>
      </c>
      <c r="J365" s="30">
        <v>27287.466523480434</v>
      </c>
      <c r="K365" s="30">
        <v>48088.352881294595</v>
      </c>
      <c r="L365" s="30">
        <v>83555.358371242575</v>
      </c>
      <c r="M365" s="30">
        <v>106885.30045092429</v>
      </c>
      <c r="N365" s="30">
        <v>119780.25515064051</v>
      </c>
      <c r="O365" s="30">
        <v>124238.66433506973</v>
      </c>
      <c r="P365" s="30">
        <v>123062.90588747582</v>
      </c>
      <c r="Q365" s="30">
        <v>116372.50684759636</v>
      </c>
      <c r="R365" s="30">
        <v>103920.96352455278</v>
      </c>
      <c r="S365" s="30">
        <v>82071.975133142332</v>
      </c>
      <c r="T365" s="30">
        <v>47085.045739876747</v>
      </c>
      <c r="U365" s="30">
        <v>109149.86609392174</v>
      </c>
      <c r="V365" s="30">
        <v>109149.86609392174</v>
      </c>
      <c r="W365" s="30">
        <v>109149.86609392174</v>
      </c>
      <c r="X365" s="30">
        <v>109149.86609392174</v>
      </c>
      <c r="Y365" s="30">
        <v>109149.86609392174</v>
      </c>
      <c r="Z365" s="30">
        <v>109149.86609392174</v>
      </c>
      <c r="AA365" s="31">
        <v>109149.86609392174</v>
      </c>
      <c r="AB365" s="97"/>
      <c r="AC365" s="27">
        <v>7</v>
      </c>
      <c r="AD365" s="42">
        <f t="shared" si="112"/>
        <v>13370858.596505415</v>
      </c>
    </row>
    <row r="366" spans="1:30" ht="13.5" thickBot="1" x14ac:dyDescent="0.35">
      <c r="A366" s="10">
        <v>2036</v>
      </c>
      <c r="B366" s="11" t="s">
        <v>32</v>
      </c>
      <c r="C366" s="12" t="s">
        <v>33</v>
      </c>
      <c r="D366" s="13">
        <v>27304.760555262194</v>
      </c>
      <c r="E366" s="14">
        <v>27304.760555262194</v>
      </c>
      <c r="F366" s="14">
        <v>27304.760555262194</v>
      </c>
      <c r="G366" s="14">
        <v>27304.760555262194</v>
      </c>
      <c r="H366" s="14">
        <v>27304.760555262194</v>
      </c>
      <c r="I366" s="14">
        <v>27304.760555262194</v>
      </c>
      <c r="J366" s="14">
        <v>27304.760555262194</v>
      </c>
      <c r="K366" s="14">
        <v>48118.829932080691</v>
      </c>
      <c r="L366" s="14">
        <v>83608.313416444871</v>
      </c>
      <c r="M366" s="14">
        <v>106953.04135979197</v>
      </c>
      <c r="N366" s="14">
        <v>119856.16852052468</v>
      </c>
      <c r="O366" s="14">
        <v>124317.40331978579</v>
      </c>
      <c r="P366" s="14">
        <v>123140.89970942849</v>
      </c>
      <c r="Q366" s="14">
        <v>116446.26048207939</v>
      </c>
      <c r="R366" s="14">
        <v>103986.82571972713</v>
      </c>
      <c r="S366" s="14">
        <v>82123.990051607601</v>
      </c>
      <c r="T366" s="14">
        <v>47114.886922705831</v>
      </c>
      <c r="U366" s="14">
        <v>109219.04222104877</v>
      </c>
      <c r="V366" s="14">
        <v>109219.04222104877</v>
      </c>
      <c r="W366" s="14">
        <v>109219.04222104877</v>
      </c>
      <c r="X366" s="14">
        <v>109219.04222104877</v>
      </c>
      <c r="Y366" s="14">
        <v>109219.04222104877</v>
      </c>
      <c r="Z366" s="14">
        <v>109219.04222104877</v>
      </c>
      <c r="AA366" s="15">
        <v>109219.04222104877</v>
      </c>
      <c r="AB366" s="96">
        <f t="shared" ref="AB366" si="126">+SUM(D366:AA366)*AC366+SUM(D367:AA367)*AC367+SUM(D368:AA368)*AC368</f>
        <v>59251330.404918969</v>
      </c>
      <c r="AC366" s="16">
        <v>21</v>
      </c>
      <c r="AD366" s="16">
        <f t="shared" si="112"/>
        <v>40137998.016235434</v>
      </c>
    </row>
    <row r="367" spans="1:30" ht="13.5" thickBot="1" x14ac:dyDescent="0.35">
      <c r="A367" s="18">
        <v>2036</v>
      </c>
      <c r="B367" s="19" t="s">
        <v>32</v>
      </c>
      <c r="C367" s="20" t="s">
        <v>50</v>
      </c>
      <c r="D367" s="21">
        <v>27304.760555262183</v>
      </c>
      <c r="E367" s="22">
        <v>27304.760555262183</v>
      </c>
      <c r="F367" s="22">
        <v>27304.760555262183</v>
      </c>
      <c r="G367" s="22">
        <v>27304.760555262183</v>
      </c>
      <c r="H367" s="22">
        <v>27304.760555262183</v>
      </c>
      <c r="I367" s="22">
        <v>27304.760555262183</v>
      </c>
      <c r="J367" s="22">
        <v>27304.760555262183</v>
      </c>
      <c r="K367" s="22">
        <v>48118.829932080691</v>
      </c>
      <c r="L367" s="22">
        <v>83608.313416444857</v>
      </c>
      <c r="M367" s="22">
        <v>106953.04135979198</v>
      </c>
      <c r="N367" s="22">
        <v>119856.16852052473</v>
      </c>
      <c r="O367" s="22">
        <v>124317.40331978574</v>
      </c>
      <c r="P367" s="22">
        <v>123140.89970942846</v>
      </c>
      <c r="Q367" s="22">
        <v>116446.26048207945</v>
      </c>
      <c r="R367" s="22">
        <v>103986.82571972709</v>
      </c>
      <c r="S367" s="22">
        <v>82123.990051607601</v>
      </c>
      <c r="T367" s="22">
        <v>47114.886922705846</v>
      </c>
      <c r="U367" s="22">
        <v>109219.04222104873</v>
      </c>
      <c r="V367" s="22">
        <v>109219.04222104873</v>
      </c>
      <c r="W367" s="22">
        <v>109219.04222104873</v>
      </c>
      <c r="X367" s="22">
        <v>109219.04222104873</v>
      </c>
      <c r="Y367" s="22">
        <v>109219.04222104873</v>
      </c>
      <c r="Z367" s="22">
        <v>109219.04222104873</v>
      </c>
      <c r="AA367" s="23">
        <v>109219.04222104873</v>
      </c>
      <c r="AB367" s="97"/>
      <c r="AC367" s="24">
        <v>4</v>
      </c>
      <c r="AD367" s="16">
        <f t="shared" si="112"/>
        <v>7645332.9554734137</v>
      </c>
    </row>
    <row r="368" spans="1:30" ht="13.5" thickBot="1" x14ac:dyDescent="0.35">
      <c r="A368" s="18">
        <v>2036</v>
      </c>
      <c r="B368" s="25" t="s">
        <v>32</v>
      </c>
      <c r="C368" s="26" t="s">
        <v>36</v>
      </c>
      <c r="D368" s="21">
        <v>27304.760555262183</v>
      </c>
      <c r="E368" s="22">
        <v>27304.760555262183</v>
      </c>
      <c r="F368" s="22">
        <v>27304.760555262183</v>
      </c>
      <c r="G368" s="22">
        <v>27304.760555262183</v>
      </c>
      <c r="H368" s="22">
        <v>27304.760555262183</v>
      </c>
      <c r="I368" s="22">
        <v>27304.760555262183</v>
      </c>
      <c r="J368" s="22">
        <v>27304.760555262183</v>
      </c>
      <c r="K368" s="22">
        <v>48118.829932080691</v>
      </c>
      <c r="L368" s="22">
        <v>83608.313416444857</v>
      </c>
      <c r="M368" s="22">
        <v>106953.04135979198</v>
      </c>
      <c r="N368" s="22">
        <v>119856.16852052473</v>
      </c>
      <c r="O368" s="22">
        <v>124317.40331978574</v>
      </c>
      <c r="P368" s="22">
        <v>123140.89970942844</v>
      </c>
      <c r="Q368" s="22">
        <v>116446.26048207945</v>
      </c>
      <c r="R368" s="22">
        <v>103986.82571972709</v>
      </c>
      <c r="S368" s="22">
        <v>82123.990051607601</v>
      </c>
      <c r="T368" s="22">
        <v>47114.886922705853</v>
      </c>
      <c r="U368" s="22">
        <v>109219.04222104873</v>
      </c>
      <c r="V368" s="22">
        <v>109219.04222104873</v>
      </c>
      <c r="W368" s="22">
        <v>109219.04222104873</v>
      </c>
      <c r="X368" s="22">
        <v>109219.04222104873</v>
      </c>
      <c r="Y368" s="22">
        <v>109219.04222104873</v>
      </c>
      <c r="Z368" s="22">
        <v>109219.04222104873</v>
      </c>
      <c r="AA368" s="23">
        <v>109219.04222104873</v>
      </c>
      <c r="AB368" s="97"/>
      <c r="AC368" s="27">
        <v>6</v>
      </c>
      <c r="AD368" s="16">
        <f t="shared" si="112"/>
        <v>11467999.43321012</v>
      </c>
    </row>
    <row r="369" spans="1:30" ht="13.5" thickBot="1" x14ac:dyDescent="0.35">
      <c r="A369" s="18">
        <v>2036</v>
      </c>
      <c r="B369" s="11" t="s">
        <v>35</v>
      </c>
      <c r="C369" s="12" t="s">
        <v>33</v>
      </c>
      <c r="D369" s="21">
        <v>27304.760555262194</v>
      </c>
      <c r="E369" s="22">
        <v>27304.760555262194</v>
      </c>
      <c r="F369" s="22">
        <v>27304.760555262194</v>
      </c>
      <c r="G369" s="22">
        <v>27304.760555262194</v>
      </c>
      <c r="H369" s="22">
        <v>27304.760555262194</v>
      </c>
      <c r="I369" s="22">
        <v>27304.760555262194</v>
      </c>
      <c r="J369" s="22">
        <v>27304.760555262194</v>
      </c>
      <c r="K369" s="22">
        <v>48118.829932080691</v>
      </c>
      <c r="L369" s="22">
        <v>83608.313416444871</v>
      </c>
      <c r="M369" s="22">
        <v>106953.04135979197</v>
      </c>
      <c r="N369" s="22">
        <v>119856.16852052468</v>
      </c>
      <c r="O369" s="22">
        <v>124317.40331978579</v>
      </c>
      <c r="P369" s="22">
        <v>123140.89970942849</v>
      </c>
      <c r="Q369" s="22">
        <v>116446.26048207939</v>
      </c>
      <c r="R369" s="22">
        <v>103986.82571972713</v>
      </c>
      <c r="S369" s="22">
        <v>82123.990051607601</v>
      </c>
      <c r="T369" s="22">
        <v>47114.886922705831</v>
      </c>
      <c r="U369" s="22">
        <v>109219.04222104877</v>
      </c>
      <c r="V369" s="22">
        <v>109219.04222104877</v>
      </c>
      <c r="W369" s="22">
        <v>109219.04222104877</v>
      </c>
      <c r="X369" s="22">
        <v>109219.04222104877</v>
      </c>
      <c r="Y369" s="22">
        <v>109219.04222104877</v>
      </c>
      <c r="Z369" s="22">
        <v>109219.04222104877</v>
      </c>
      <c r="AA369" s="23">
        <v>109219.04222104877</v>
      </c>
      <c r="AB369" s="96">
        <f t="shared" ref="AB369" si="127">+SUM(D369:AA369)*AC369+SUM(D370:AA370)*AC370+SUM(D371:AA371)*AC371</f>
        <v>55428663.927182265</v>
      </c>
      <c r="AC369" s="16">
        <v>21</v>
      </c>
      <c r="AD369" s="16">
        <f t="shared" si="112"/>
        <v>40137998.016235434</v>
      </c>
    </row>
    <row r="370" spans="1:30" ht="13.5" thickBot="1" x14ac:dyDescent="0.35">
      <c r="A370" s="18">
        <v>2036</v>
      </c>
      <c r="B370" s="19" t="s">
        <v>35</v>
      </c>
      <c r="C370" s="20" t="s">
        <v>50</v>
      </c>
      <c r="D370" s="21">
        <v>27304.760555262183</v>
      </c>
      <c r="E370" s="22">
        <v>27304.760555262183</v>
      </c>
      <c r="F370" s="22">
        <v>27304.760555262183</v>
      </c>
      <c r="G370" s="22">
        <v>27304.760555262183</v>
      </c>
      <c r="H370" s="22">
        <v>27304.760555262183</v>
      </c>
      <c r="I370" s="22">
        <v>27304.760555262183</v>
      </c>
      <c r="J370" s="22">
        <v>27304.760555262183</v>
      </c>
      <c r="K370" s="22">
        <v>48118.829932080691</v>
      </c>
      <c r="L370" s="22">
        <v>83608.313416444857</v>
      </c>
      <c r="M370" s="22">
        <v>106953.04135979198</v>
      </c>
      <c r="N370" s="22">
        <v>119856.16852052473</v>
      </c>
      <c r="O370" s="22">
        <v>124317.40331978574</v>
      </c>
      <c r="P370" s="22">
        <v>123140.89970942846</v>
      </c>
      <c r="Q370" s="22">
        <v>116446.26048207945</v>
      </c>
      <c r="R370" s="22">
        <v>103986.82571972709</v>
      </c>
      <c r="S370" s="22">
        <v>82123.990051607601</v>
      </c>
      <c r="T370" s="22">
        <v>47114.886922705846</v>
      </c>
      <c r="U370" s="22">
        <v>109219.04222104873</v>
      </c>
      <c r="V370" s="22">
        <v>109219.04222104873</v>
      </c>
      <c r="W370" s="22">
        <v>109219.04222104873</v>
      </c>
      <c r="X370" s="22">
        <v>109219.04222104873</v>
      </c>
      <c r="Y370" s="22">
        <v>109219.04222104873</v>
      </c>
      <c r="Z370" s="22">
        <v>109219.04222104873</v>
      </c>
      <c r="AA370" s="23">
        <v>109219.04222104873</v>
      </c>
      <c r="AB370" s="97"/>
      <c r="AC370" s="24">
        <v>4</v>
      </c>
      <c r="AD370" s="16">
        <f t="shared" si="112"/>
        <v>7645332.9554734137</v>
      </c>
    </row>
    <row r="371" spans="1:30" ht="13.5" thickBot="1" x14ac:dyDescent="0.35">
      <c r="A371" s="18">
        <v>2036</v>
      </c>
      <c r="B371" s="25" t="s">
        <v>35</v>
      </c>
      <c r="C371" s="26" t="s">
        <v>36</v>
      </c>
      <c r="D371" s="21">
        <v>27304.760555262183</v>
      </c>
      <c r="E371" s="22">
        <v>27304.760555262183</v>
      </c>
      <c r="F371" s="22">
        <v>27304.760555262183</v>
      </c>
      <c r="G371" s="22">
        <v>27304.760555262183</v>
      </c>
      <c r="H371" s="22">
        <v>27304.760555262183</v>
      </c>
      <c r="I371" s="22">
        <v>27304.760555262183</v>
      </c>
      <c r="J371" s="22">
        <v>27304.760555262183</v>
      </c>
      <c r="K371" s="22">
        <v>48118.829932080691</v>
      </c>
      <c r="L371" s="22">
        <v>83608.313416444857</v>
      </c>
      <c r="M371" s="22">
        <v>106953.04135979198</v>
      </c>
      <c r="N371" s="22">
        <v>119856.16852052473</v>
      </c>
      <c r="O371" s="22">
        <v>124317.40331978574</v>
      </c>
      <c r="P371" s="22">
        <v>123140.89970942846</v>
      </c>
      <c r="Q371" s="22">
        <v>116446.26048207945</v>
      </c>
      <c r="R371" s="22">
        <v>103986.82571972709</v>
      </c>
      <c r="S371" s="22">
        <v>82123.990051607601</v>
      </c>
      <c r="T371" s="22">
        <v>47114.886922705846</v>
      </c>
      <c r="U371" s="22">
        <v>109219.04222104873</v>
      </c>
      <c r="V371" s="22">
        <v>109219.04222104873</v>
      </c>
      <c r="W371" s="22">
        <v>109219.04222104873</v>
      </c>
      <c r="X371" s="22">
        <v>109219.04222104873</v>
      </c>
      <c r="Y371" s="22">
        <v>109219.04222104873</v>
      </c>
      <c r="Z371" s="22">
        <v>109219.04222104873</v>
      </c>
      <c r="AA371" s="23">
        <v>109219.04222104873</v>
      </c>
      <c r="AB371" s="97"/>
      <c r="AC371" s="27">
        <v>4</v>
      </c>
      <c r="AD371" s="16">
        <f t="shared" si="112"/>
        <v>7645332.9554734137</v>
      </c>
    </row>
    <row r="372" spans="1:30" ht="13.5" thickBot="1" x14ac:dyDescent="0.35">
      <c r="A372" s="18">
        <v>2036</v>
      </c>
      <c r="B372" s="11" t="s">
        <v>37</v>
      </c>
      <c r="C372" s="12" t="s">
        <v>33</v>
      </c>
      <c r="D372" s="21">
        <v>27304.760555262194</v>
      </c>
      <c r="E372" s="22">
        <v>27304.760555262194</v>
      </c>
      <c r="F372" s="22">
        <v>27304.760555262194</v>
      </c>
      <c r="G372" s="22">
        <v>27304.760555262194</v>
      </c>
      <c r="H372" s="22">
        <v>27304.760555262194</v>
      </c>
      <c r="I372" s="22">
        <v>27304.760555262194</v>
      </c>
      <c r="J372" s="22">
        <v>27304.760555262194</v>
      </c>
      <c r="K372" s="22">
        <v>48118.829932080691</v>
      </c>
      <c r="L372" s="22">
        <v>83608.313416444871</v>
      </c>
      <c r="M372" s="22">
        <v>106953.04135979197</v>
      </c>
      <c r="N372" s="22">
        <v>119856.16852052468</v>
      </c>
      <c r="O372" s="22">
        <v>124317.40331978579</v>
      </c>
      <c r="P372" s="22">
        <v>123140.89970942847</v>
      </c>
      <c r="Q372" s="22">
        <v>116446.26048207939</v>
      </c>
      <c r="R372" s="22">
        <v>103986.82571972713</v>
      </c>
      <c r="S372" s="22">
        <v>82123.990051607601</v>
      </c>
      <c r="T372" s="22">
        <v>47114.886922705831</v>
      </c>
      <c r="U372" s="22">
        <v>109219.04222104877</v>
      </c>
      <c r="V372" s="22">
        <v>109219.04222104877</v>
      </c>
      <c r="W372" s="22">
        <v>109219.04222104877</v>
      </c>
      <c r="X372" s="22">
        <v>109219.04222104877</v>
      </c>
      <c r="Y372" s="22">
        <v>109219.04222104877</v>
      </c>
      <c r="Z372" s="22">
        <v>109219.04222104877</v>
      </c>
      <c r="AA372" s="23">
        <v>109219.04222104877</v>
      </c>
      <c r="AB372" s="96">
        <f t="shared" ref="AB372" si="128">+SUM(D372:AA372)*AC372+SUM(D373:AA373)*AC373+SUM(D374:AA374)*AC374</f>
        <v>59251330.404918954</v>
      </c>
      <c r="AC372" s="16">
        <v>20</v>
      </c>
      <c r="AD372" s="16">
        <f t="shared" si="112"/>
        <v>38226664.77736707</v>
      </c>
    </row>
    <row r="373" spans="1:30" ht="13.5" thickBot="1" x14ac:dyDescent="0.35">
      <c r="A373" s="18">
        <v>2036</v>
      </c>
      <c r="B373" s="19" t="s">
        <v>37</v>
      </c>
      <c r="C373" s="20" t="s">
        <v>50</v>
      </c>
      <c r="D373" s="21">
        <v>27304.760555262183</v>
      </c>
      <c r="E373" s="22">
        <v>27304.760555262183</v>
      </c>
      <c r="F373" s="22">
        <v>27304.760555262183</v>
      </c>
      <c r="G373" s="22">
        <v>27304.760555262183</v>
      </c>
      <c r="H373" s="22">
        <v>27304.760555262183</v>
      </c>
      <c r="I373" s="22">
        <v>27304.760555262183</v>
      </c>
      <c r="J373" s="22">
        <v>27304.760555262183</v>
      </c>
      <c r="K373" s="22">
        <v>48118.829932080691</v>
      </c>
      <c r="L373" s="22">
        <v>83608.313416444857</v>
      </c>
      <c r="M373" s="22">
        <v>106953.04135979197</v>
      </c>
      <c r="N373" s="22">
        <v>119856.16852052472</v>
      </c>
      <c r="O373" s="22">
        <v>124317.40331978575</v>
      </c>
      <c r="P373" s="22">
        <v>123140.89970942846</v>
      </c>
      <c r="Q373" s="22">
        <v>116446.26048207944</v>
      </c>
      <c r="R373" s="22">
        <v>103986.82571972709</v>
      </c>
      <c r="S373" s="22">
        <v>82123.990051607601</v>
      </c>
      <c r="T373" s="22">
        <v>47114.886922705846</v>
      </c>
      <c r="U373" s="22">
        <v>109219.04222104873</v>
      </c>
      <c r="V373" s="22">
        <v>109219.04222104873</v>
      </c>
      <c r="W373" s="22">
        <v>109219.04222104873</v>
      </c>
      <c r="X373" s="22">
        <v>109219.04222104873</v>
      </c>
      <c r="Y373" s="22">
        <v>109219.04222104873</v>
      </c>
      <c r="Z373" s="22">
        <v>109219.04222104873</v>
      </c>
      <c r="AA373" s="23">
        <v>109219.04222104873</v>
      </c>
      <c r="AB373" s="97"/>
      <c r="AC373" s="24">
        <v>5</v>
      </c>
      <c r="AD373" s="16">
        <f t="shared" si="112"/>
        <v>9556666.1943417676</v>
      </c>
    </row>
    <row r="374" spans="1:30" ht="13.5" thickBot="1" x14ac:dyDescent="0.35">
      <c r="A374" s="18">
        <v>2036</v>
      </c>
      <c r="B374" s="25" t="s">
        <v>37</v>
      </c>
      <c r="C374" s="26" t="s">
        <v>36</v>
      </c>
      <c r="D374" s="21">
        <v>27304.760555262183</v>
      </c>
      <c r="E374" s="22">
        <v>27304.760555262183</v>
      </c>
      <c r="F374" s="22">
        <v>27304.760555262183</v>
      </c>
      <c r="G374" s="22">
        <v>27304.760555262183</v>
      </c>
      <c r="H374" s="22">
        <v>27304.760555262183</v>
      </c>
      <c r="I374" s="22">
        <v>27304.760555262183</v>
      </c>
      <c r="J374" s="22">
        <v>27304.760555262183</v>
      </c>
      <c r="K374" s="22">
        <v>48118.829932080691</v>
      </c>
      <c r="L374" s="22">
        <v>83608.313416444857</v>
      </c>
      <c r="M374" s="22">
        <v>106953.04135979198</v>
      </c>
      <c r="N374" s="22">
        <v>119856.16852052473</v>
      </c>
      <c r="O374" s="22">
        <v>124317.40331978574</v>
      </c>
      <c r="P374" s="22">
        <v>123140.89970942844</v>
      </c>
      <c r="Q374" s="22">
        <v>116446.26048207945</v>
      </c>
      <c r="R374" s="22">
        <v>103986.82571972709</v>
      </c>
      <c r="S374" s="22">
        <v>82123.990051607601</v>
      </c>
      <c r="T374" s="22">
        <v>47114.886922705853</v>
      </c>
      <c r="U374" s="22">
        <v>109219.04222104873</v>
      </c>
      <c r="V374" s="22">
        <v>109219.04222104873</v>
      </c>
      <c r="W374" s="22">
        <v>109219.04222104873</v>
      </c>
      <c r="X374" s="22">
        <v>109219.04222104873</v>
      </c>
      <c r="Y374" s="22">
        <v>109219.04222104873</v>
      </c>
      <c r="Z374" s="22">
        <v>109219.04222104873</v>
      </c>
      <c r="AA374" s="23">
        <v>109219.04222104873</v>
      </c>
      <c r="AB374" s="97"/>
      <c r="AC374" s="27">
        <v>6</v>
      </c>
      <c r="AD374" s="16">
        <f t="shared" si="112"/>
        <v>11467999.43321012</v>
      </c>
    </row>
    <row r="375" spans="1:30" ht="13.5" thickBot="1" x14ac:dyDescent="0.35">
      <c r="A375" s="18">
        <v>2036</v>
      </c>
      <c r="B375" s="11" t="s">
        <v>38</v>
      </c>
      <c r="C375" s="12" t="s">
        <v>33</v>
      </c>
      <c r="D375" s="21">
        <v>27304.760555262194</v>
      </c>
      <c r="E375" s="22">
        <v>27304.760555262194</v>
      </c>
      <c r="F375" s="22">
        <v>27304.760555262194</v>
      </c>
      <c r="G375" s="22">
        <v>27304.760555262194</v>
      </c>
      <c r="H375" s="22">
        <v>27304.760555262194</v>
      </c>
      <c r="I375" s="22">
        <v>27304.760555262194</v>
      </c>
      <c r="J375" s="22">
        <v>27304.760555262194</v>
      </c>
      <c r="K375" s="22">
        <v>48118.829932080691</v>
      </c>
      <c r="L375" s="22">
        <v>83608.313416444871</v>
      </c>
      <c r="M375" s="22">
        <v>106953.04135979197</v>
      </c>
      <c r="N375" s="22">
        <v>119856.16852052468</v>
      </c>
      <c r="O375" s="22">
        <v>124317.40331978579</v>
      </c>
      <c r="P375" s="22">
        <v>123140.89970942847</v>
      </c>
      <c r="Q375" s="22">
        <v>116446.26048207939</v>
      </c>
      <c r="R375" s="22">
        <v>103986.82571972713</v>
      </c>
      <c r="S375" s="22">
        <v>82123.990051607601</v>
      </c>
      <c r="T375" s="22">
        <v>47114.886922705831</v>
      </c>
      <c r="U375" s="22">
        <v>109219.04222104877</v>
      </c>
      <c r="V375" s="22">
        <v>109219.04222104877</v>
      </c>
      <c r="W375" s="22">
        <v>109219.04222104877</v>
      </c>
      <c r="X375" s="22">
        <v>109219.04222104877</v>
      </c>
      <c r="Y375" s="22">
        <v>109219.04222104877</v>
      </c>
      <c r="Z375" s="22">
        <v>109219.04222104877</v>
      </c>
      <c r="AA375" s="23">
        <v>109219.04222104877</v>
      </c>
      <c r="AB375" s="96">
        <f t="shared" ref="AB375" si="129">+SUM(D375:AA375)*AC375+SUM(D376:AA376)*AC376+SUM(D377:AA377)*AC377</f>
        <v>57339997.166050605</v>
      </c>
      <c r="AC375" s="16">
        <v>20</v>
      </c>
      <c r="AD375" s="16">
        <f t="shared" si="112"/>
        <v>38226664.77736707</v>
      </c>
    </row>
    <row r="376" spans="1:30" ht="13.5" thickBot="1" x14ac:dyDescent="0.35">
      <c r="A376" s="18">
        <v>2036</v>
      </c>
      <c r="B376" s="19" t="s">
        <v>38</v>
      </c>
      <c r="C376" s="20" t="s">
        <v>50</v>
      </c>
      <c r="D376" s="21">
        <v>27304.760555262183</v>
      </c>
      <c r="E376" s="22">
        <v>27304.760555262183</v>
      </c>
      <c r="F376" s="22">
        <v>27304.760555262183</v>
      </c>
      <c r="G376" s="22">
        <v>27304.760555262183</v>
      </c>
      <c r="H376" s="22">
        <v>27304.760555262183</v>
      </c>
      <c r="I376" s="22">
        <v>27304.760555262183</v>
      </c>
      <c r="J376" s="22">
        <v>27304.760555262183</v>
      </c>
      <c r="K376" s="22">
        <v>48118.829932080691</v>
      </c>
      <c r="L376" s="22">
        <v>83608.313416444857</v>
      </c>
      <c r="M376" s="22">
        <v>106953.04135979198</v>
      </c>
      <c r="N376" s="22">
        <v>119856.16852052473</v>
      </c>
      <c r="O376" s="22">
        <v>124317.40331978574</v>
      </c>
      <c r="P376" s="22">
        <v>123140.89970942846</v>
      </c>
      <c r="Q376" s="22">
        <v>116446.26048207945</v>
      </c>
      <c r="R376" s="22">
        <v>103986.82571972709</v>
      </c>
      <c r="S376" s="22">
        <v>82123.990051607601</v>
      </c>
      <c r="T376" s="22">
        <v>47114.886922705846</v>
      </c>
      <c r="U376" s="22">
        <v>109219.04222104873</v>
      </c>
      <c r="V376" s="22">
        <v>109219.04222104873</v>
      </c>
      <c r="W376" s="22">
        <v>109219.04222104873</v>
      </c>
      <c r="X376" s="22">
        <v>109219.04222104873</v>
      </c>
      <c r="Y376" s="22">
        <v>109219.04222104873</v>
      </c>
      <c r="Z376" s="22">
        <v>109219.04222104873</v>
      </c>
      <c r="AA376" s="23">
        <v>109219.04222104873</v>
      </c>
      <c r="AB376" s="97"/>
      <c r="AC376" s="24">
        <v>4</v>
      </c>
      <c r="AD376" s="16">
        <f t="shared" si="112"/>
        <v>7645332.9554734137</v>
      </c>
    </row>
    <row r="377" spans="1:30" ht="13.5" thickBot="1" x14ac:dyDescent="0.35">
      <c r="A377" s="18">
        <v>2036</v>
      </c>
      <c r="B377" s="25" t="s">
        <v>38</v>
      </c>
      <c r="C377" s="26" t="s">
        <v>36</v>
      </c>
      <c r="D377" s="21">
        <v>27304.760555262183</v>
      </c>
      <c r="E377" s="22">
        <v>27304.760555262183</v>
      </c>
      <c r="F377" s="22">
        <v>27304.760555262183</v>
      </c>
      <c r="G377" s="22">
        <v>27304.760555262183</v>
      </c>
      <c r="H377" s="22">
        <v>27304.760555262183</v>
      </c>
      <c r="I377" s="22">
        <v>27304.760555262183</v>
      </c>
      <c r="J377" s="22">
        <v>27304.760555262183</v>
      </c>
      <c r="K377" s="22">
        <v>48118.829932080691</v>
      </c>
      <c r="L377" s="22">
        <v>83608.313416444857</v>
      </c>
      <c r="M377" s="22">
        <v>106953.04135979198</v>
      </c>
      <c r="N377" s="22">
        <v>119856.16852052473</v>
      </c>
      <c r="O377" s="22">
        <v>124317.40331978574</v>
      </c>
      <c r="P377" s="22">
        <v>123140.89970942844</v>
      </c>
      <c r="Q377" s="22">
        <v>116446.26048207945</v>
      </c>
      <c r="R377" s="22">
        <v>103986.82571972709</v>
      </c>
      <c r="S377" s="22">
        <v>82123.990051607601</v>
      </c>
      <c r="T377" s="22">
        <v>47114.886922705853</v>
      </c>
      <c r="U377" s="22">
        <v>109219.04222104873</v>
      </c>
      <c r="V377" s="22">
        <v>109219.04222104873</v>
      </c>
      <c r="W377" s="22">
        <v>109219.04222104873</v>
      </c>
      <c r="X377" s="22">
        <v>109219.04222104873</v>
      </c>
      <c r="Y377" s="22">
        <v>109219.04222104873</v>
      </c>
      <c r="Z377" s="22">
        <v>109219.04222104873</v>
      </c>
      <c r="AA377" s="23">
        <v>109219.04222104873</v>
      </c>
      <c r="AB377" s="97"/>
      <c r="AC377" s="27">
        <v>6</v>
      </c>
      <c r="AD377" s="16">
        <f t="shared" si="112"/>
        <v>11467999.43321012</v>
      </c>
    </row>
    <row r="378" spans="1:30" ht="13.5" thickBot="1" x14ac:dyDescent="0.35">
      <c r="A378" s="18">
        <v>2036</v>
      </c>
      <c r="B378" s="11" t="s">
        <v>39</v>
      </c>
      <c r="C378" s="12" t="s">
        <v>33</v>
      </c>
      <c r="D378" s="21">
        <v>27304.760555262194</v>
      </c>
      <c r="E378" s="22">
        <v>27304.760555262194</v>
      </c>
      <c r="F378" s="22">
        <v>27304.760555262194</v>
      </c>
      <c r="G378" s="22">
        <v>27304.760555262194</v>
      </c>
      <c r="H378" s="22">
        <v>27304.760555262194</v>
      </c>
      <c r="I378" s="22">
        <v>27304.760555262194</v>
      </c>
      <c r="J378" s="22">
        <v>27304.760555262194</v>
      </c>
      <c r="K378" s="22">
        <v>48118.829932080691</v>
      </c>
      <c r="L378" s="22">
        <v>83608.313416444871</v>
      </c>
      <c r="M378" s="22">
        <v>106953.04135979197</v>
      </c>
      <c r="N378" s="22">
        <v>119856.16852052468</v>
      </c>
      <c r="O378" s="22">
        <v>124317.40331978579</v>
      </c>
      <c r="P378" s="22">
        <v>123140.89970942847</v>
      </c>
      <c r="Q378" s="22">
        <v>116446.26048207939</v>
      </c>
      <c r="R378" s="22">
        <v>103986.82571972713</v>
      </c>
      <c r="S378" s="22">
        <v>82123.990051607601</v>
      </c>
      <c r="T378" s="22">
        <v>47114.886922705831</v>
      </c>
      <c r="U378" s="22">
        <v>109219.04222104877</v>
      </c>
      <c r="V378" s="22">
        <v>109219.04222104877</v>
      </c>
      <c r="W378" s="22">
        <v>109219.04222104877</v>
      </c>
      <c r="X378" s="22">
        <v>109219.04222104877</v>
      </c>
      <c r="Y378" s="22">
        <v>109219.04222104877</v>
      </c>
      <c r="Z378" s="22">
        <v>109219.04222104877</v>
      </c>
      <c r="AA378" s="23">
        <v>109219.04222104877</v>
      </c>
      <c r="AB378" s="96">
        <f t="shared" ref="AB378" si="130">+SUM(D378:AA378)*AC378+SUM(D379:AA379)*AC379+SUM(D380:AA380)*AC380</f>
        <v>59251330.404918954</v>
      </c>
      <c r="AC378" s="16">
        <v>20</v>
      </c>
      <c r="AD378" s="16">
        <f t="shared" si="112"/>
        <v>38226664.77736707</v>
      </c>
    </row>
    <row r="379" spans="1:30" ht="13.5" thickBot="1" x14ac:dyDescent="0.35">
      <c r="A379" s="18">
        <v>2036</v>
      </c>
      <c r="B379" s="19" t="s">
        <v>39</v>
      </c>
      <c r="C379" s="20" t="s">
        <v>50</v>
      </c>
      <c r="D379" s="21">
        <v>27304.760555262183</v>
      </c>
      <c r="E379" s="22">
        <v>27304.760555262183</v>
      </c>
      <c r="F379" s="22">
        <v>27304.760555262183</v>
      </c>
      <c r="G379" s="22">
        <v>27304.760555262183</v>
      </c>
      <c r="H379" s="22">
        <v>27304.760555262183</v>
      </c>
      <c r="I379" s="22">
        <v>27304.760555262183</v>
      </c>
      <c r="J379" s="22">
        <v>27304.760555262183</v>
      </c>
      <c r="K379" s="22">
        <v>48118.829932080691</v>
      </c>
      <c r="L379" s="22">
        <v>83608.313416444857</v>
      </c>
      <c r="M379" s="22">
        <v>106953.04135979197</v>
      </c>
      <c r="N379" s="22">
        <v>119856.16852052472</v>
      </c>
      <c r="O379" s="22">
        <v>124317.40331978575</v>
      </c>
      <c r="P379" s="22">
        <v>123140.89970942846</v>
      </c>
      <c r="Q379" s="22">
        <v>116446.26048207944</v>
      </c>
      <c r="R379" s="22">
        <v>103986.82571972709</v>
      </c>
      <c r="S379" s="22">
        <v>82123.990051607601</v>
      </c>
      <c r="T379" s="22">
        <v>47114.886922705846</v>
      </c>
      <c r="U379" s="22">
        <v>109219.04222104873</v>
      </c>
      <c r="V379" s="22">
        <v>109219.04222104873</v>
      </c>
      <c r="W379" s="22">
        <v>109219.04222104873</v>
      </c>
      <c r="X379" s="22">
        <v>109219.04222104873</v>
      </c>
      <c r="Y379" s="22">
        <v>109219.04222104873</v>
      </c>
      <c r="Z379" s="22">
        <v>109219.04222104873</v>
      </c>
      <c r="AA379" s="23">
        <v>109219.04222104873</v>
      </c>
      <c r="AB379" s="97"/>
      <c r="AC379" s="24">
        <v>5</v>
      </c>
      <c r="AD379" s="16">
        <f t="shared" si="112"/>
        <v>9556666.1943417676</v>
      </c>
    </row>
    <row r="380" spans="1:30" ht="13.5" thickBot="1" x14ac:dyDescent="0.35">
      <c r="A380" s="18">
        <v>2036</v>
      </c>
      <c r="B380" s="25" t="s">
        <v>39</v>
      </c>
      <c r="C380" s="26" t="s">
        <v>36</v>
      </c>
      <c r="D380" s="21">
        <v>27304.760555262183</v>
      </c>
      <c r="E380" s="22">
        <v>27304.760555262183</v>
      </c>
      <c r="F380" s="22">
        <v>27304.760555262183</v>
      </c>
      <c r="G380" s="22">
        <v>27304.760555262183</v>
      </c>
      <c r="H380" s="22">
        <v>27304.760555262183</v>
      </c>
      <c r="I380" s="22">
        <v>27304.760555262183</v>
      </c>
      <c r="J380" s="22">
        <v>27304.760555262183</v>
      </c>
      <c r="K380" s="22">
        <v>48118.829932080691</v>
      </c>
      <c r="L380" s="22">
        <v>83608.313416444857</v>
      </c>
      <c r="M380" s="22">
        <v>106953.04135979198</v>
      </c>
      <c r="N380" s="22">
        <v>119856.16852052473</v>
      </c>
      <c r="O380" s="22">
        <v>124317.40331978574</v>
      </c>
      <c r="P380" s="22">
        <v>123140.89970942844</v>
      </c>
      <c r="Q380" s="22">
        <v>116446.26048207945</v>
      </c>
      <c r="R380" s="22">
        <v>103986.82571972709</v>
      </c>
      <c r="S380" s="22">
        <v>82123.990051607601</v>
      </c>
      <c r="T380" s="22">
        <v>47114.886922705853</v>
      </c>
      <c r="U380" s="22">
        <v>109219.04222104873</v>
      </c>
      <c r="V380" s="22">
        <v>109219.04222104873</v>
      </c>
      <c r="W380" s="22">
        <v>109219.04222104873</v>
      </c>
      <c r="X380" s="22">
        <v>109219.04222104873</v>
      </c>
      <c r="Y380" s="22">
        <v>109219.04222104873</v>
      </c>
      <c r="Z380" s="22">
        <v>109219.04222104873</v>
      </c>
      <c r="AA380" s="23">
        <v>109219.04222104873</v>
      </c>
      <c r="AB380" s="97"/>
      <c r="AC380" s="27">
        <v>6</v>
      </c>
      <c r="AD380" s="16">
        <f t="shared" si="112"/>
        <v>11467999.43321012</v>
      </c>
    </row>
    <row r="381" spans="1:30" ht="13.5" thickBot="1" x14ac:dyDescent="0.35">
      <c r="A381" s="18">
        <v>2036</v>
      </c>
      <c r="B381" s="11" t="s">
        <v>40</v>
      </c>
      <c r="C381" s="12" t="s">
        <v>33</v>
      </c>
      <c r="D381" s="21">
        <v>27304.760555262194</v>
      </c>
      <c r="E381" s="22">
        <v>27304.760555262194</v>
      </c>
      <c r="F381" s="22">
        <v>27304.760555262194</v>
      </c>
      <c r="G381" s="22">
        <v>27304.760555262194</v>
      </c>
      <c r="H381" s="22">
        <v>27304.760555262194</v>
      </c>
      <c r="I381" s="22">
        <v>27304.760555262194</v>
      </c>
      <c r="J381" s="22">
        <v>27304.760555262194</v>
      </c>
      <c r="K381" s="22">
        <v>48118.829932080691</v>
      </c>
      <c r="L381" s="22">
        <v>83608.313416444871</v>
      </c>
      <c r="M381" s="22">
        <v>106953.04135979198</v>
      </c>
      <c r="N381" s="22">
        <v>119856.16852052469</v>
      </c>
      <c r="O381" s="22">
        <v>124317.40331978578</v>
      </c>
      <c r="P381" s="22">
        <v>123140.89970942846</v>
      </c>
      <c r="Q381" s="22">
        <v>116446.26048207941</v>
      </c>
      <c r="R381" s="22">
        <v>103986.82571972713</v>
      </c>
      <c r="S381" s="22">
        <v>82123.990051607601</v>
      </c>
      <c r="T381" s="22">
        <v>47114.886922705831</v>
      </c>
      <c r="U381" s="22">
        <v>109219.04222104877</v>
      </c>
      <c r="V381" s="22">
        <v>109219.04222104877</v>
      </c>
      <c r="W381" s="22">
        <v>109219.04222104877</v>
      </c>
      <c r="X381" s="22">
        <v>109219.04222104877</v>
      </c>
      <c r="Y381" s="22">
        <v>109219.04222104877</v>
      </c>
      <c r="Z381" s="22">
        <v>109219.04222104877</v>
      </c>
      <c r="AA381" s="23">
        <v>109219.04222104877</v>
      </c>
      <c r="AB381" s="96">
        <f t="shared" ref="AB381" si="131">+SUM(D381:AA381)*AC381+SUM(D382:AA382)*AC382+SUM(D383:AA383)*AC383</f>
        <v>57339997.166050613</v>
      </c>
      <c r="AC381" s="16">
        <v>18</v>
      </c>
      <c r="AD381" s="16">
        <f t="shared" si="112"/>
        <v>34403998.299630374</v>
      </c>
    </row>
    <row r="382" spans="1:30" ht="13.5" thickBot="1" x14ac:dyDescent="0.35">
      <c r="A382" s="18">
        <v>2036</v>
      </c>
      <c r="B382" s="19" t="s">
        <v>40</v>
      </c>
      <c r="C382" s="20" t="s">
        <v>50</v>
      </c>
      <c r="D382" s="21">
        <v>27304.760555262183</v>
      </c>
      <c r="E382" s="22">
        <v>27304.760555262183</v>
      </c>
      <c r="F382" s="22">
        <v>27304.760555262183</v>
      </c>
      <c r="G382" s="22">
        <v>27304.760555262183</v>
      </c>
      <c r="H382" s="22">
        <v>27304.760555262183</v>
      </c>
      <c r="I382" s="22">
        <v>27304.760555262183</v>
      </c>
      <c r="J382" s="22">
        <v>27304.760555262183</v>
      </c>
      <c r="K382" s="22">
        <v>48118.829932080691</v>
      </c>
      <c r="L382" s="22">
        <v>83608.313416444857</v>
      </c>
      <c r="M382" s="22">
        <v>106953.04135979198</v>
      </c>
      <c r="N382" s="22">
        <v>119856.16852052473</v>
      </c>
      <c r="O382" s="22">
        <v>124317.40331978574</v>
      </c>
      <c r="P382" s="22">
        <v>123140.89970942846</v>
      </c>
      <c r="Q382" s="22">
        <v>116446.26048207945</v>
      </c>
      <c r="R382" s="22">
        <v>103986.82571972709</v>
      </c>
      <c r="S382" s="22">
        <v>82123.990051607601</v>
      </c>
      <c r="T382" s="22">
        <v>47114.886922705846</v>
      </c>
      <c r="U382" s="22">
        <v>109219.04222104873</v>
      </c>
      <c r="V382" s="22">
        <v>109219.04222104873</v>
      </c>
      <c r="W382" s="22">
        <v>109219.04222104873</v>
      </c>
      <c r="X382" s="22">
        <v>109219.04222104873</v>
      </c>
      <c r="Y382" s="22">
        <v>109219.04222104873</v>
      </c>
      <c r="Z382" s="22">
        <v>109219.04222104873</v>
      </c>
      <c r="AA382" s="23">
        <v>109219.04222104873</v>
      </c>
      <c r="AB382" s="97"/>
      <c r="AC382" s="24">
        <v>4</v>
      </c>
      <c r="AD382" s="16">
        <f t="shared" si="112"/>
        <v>7645332.9554734137</v>
      </c>
    </row>
    <row r="383" spans="1:30" ht="13.5" thickBot="1" x14ac:dyDescent="0.35">
      <c r="A383" s="18">
        <v>2036</v>
      </c>
      <c r="B383" s="25" t="s">
        <v>40</v>
      </c>
      <c r="C383" s="26" t="s">
        <v>36</v>
      </c>
      <c r="D383" s="21">
        <v>27304.760555262183</v>
      </c>
      <c r="E383" s="22">
        <v>27304.760555262183</v>
      </c>
      <c r="F383" s="22">
        <v>27304.760555262183</v>
      </c>
      <c r="G383" s="22">
        <v>27304.760555262183</v>
      </c>
      <c r="H383" s="22">
        <v>27304.760555262183</v>
      </c>
      <c r="I383" s="22">
        <v>27304.760555262183</v>
      </c>
      <c r="J383" s="22">
        <v>27304.760555262183</v>
      </c>
      <c r="K383" s="22">
        <v>48118.829932080691</v>
      </c>
      <c r="L383" s="22">
        <v>83608.313416444857</v>
      </c>
      <c r="M383" s="22">
        <v>106953.04135979198</v>
      </c>
      <c r="N383" s="22">
        <v>119856.16852052473</v>
      </c>
      <c r="O383" s="22">
        <v>124317.40331978574</v>
      </c>
      <c r="P383" s="22">
        <v>123140.89970942844</v>
      </c>
      <c r="Q383" s="22">
        <v>116446.26048207945</v>
      </c>
      <c r="R383" s="22">
        <v>103986.82571972709</v>
      </c>
      <c r="S383" s="22">
        <v>82123.990051607601</v>
      </c>
      <c r="T383" s="22">
        <v>47114.886922705853</v>
      </c>
      <c r="U383" s="22">
        <v>109219.04222104873</v>
      </c>
      <c r="V383" s="22">
        <v>109219.04222104873</v>
      </c>
      <c r="W383" s="22">
        <v>109219.04222104873</v>
      </c>
      <c r="X383" s="22">
        <v>109219.04222104873</v>
      </c>
      <c r="Y383" s="22">
        <v>109219.04222104873</v>
      </c>
      <c r="Z383" s="22">
        <v>109219.04222104873</v>
      </c>
      <c r="AA383" s="23">
        <v>109219.04222104873</v>
      </c>
      <c r="AB383" s="97"/>
      <c r="AC383" s="27">
        <v>8</v>
      </c>
      <c r="AD383" s="16">
        <f t="shared" si="112"/>
        <v>15290665.910946827</v>
      </c>
    </row>
    <row r="384" spans="1:30" ht="13.5" thickBot="1" x14ac:dyDescent="0.35">
      <c r="A384" s="18">
        <v>2036</v>
      </c>
      <c r="B384" s="11" t="s">
        <v>41</v>
      </c>
      <c r="C384" s="12" t="s">
        <v>33</v>
      </c>
      <c r="D384" s="21">
        <v>27304.760555262197</v>
      </c>
      <c r="E384" s="22">
        <v>27304.760555262197</v>
      </c>
      <c r="F384" s="22">
        <v>27304.760555262197</v>
      </c>
      <c r="G384" s="22">
        <v>27304.760555262197</v>
      </c>
      <c r="H384" s="22">
        <v>27304.760555262197</v>
      </c>
      <c r="I384" s="22">
        <v>27304.760555262197</v>
      </c>
      <c r="J384" s="22">
        <v>27304.760555262197</v>
      </c>
      <c r="K384" s="22">
        <v>48118.829932080684</v>
      </c>
      <c r="L384" s="22">
        <v>83608.313416444886</v>
      </c>
      <c r="M384" s="22">
        <v>106953.04135979198</v>
      </c>
      <c r="N384" s="22">
        <v>119856.16852052468</v>
      </c>
      <c r="O384" s="22">
        <v>124317.40331978579</v>
      </c>
      <c r="P384" s="22">
        <v>123140.8997094285</v>
      </c>
      <c r="Q384" s="22">
        <v>116446.26048207939</v>
      </c>
      <c r="R384" s="22">
        <v>103986.82571972715</v>
      </c>
      <c r="S384" s="22">
        <v>82123.990051607601</v>
      </c>
      <c r="T384" s="22">
        <v>47114.886922705824</v>
      </c>
      <c r="U384" s="22">
        <v>109219.04222104879</v>
      </c>
      <c r="V384" s="22">
        <v>109219.04222104879</v>
      </c>
      <c r="W384" s="22">
        <v>109219.04222104879</v>
      </c>
      <c r="X384" s="22">
        <v>109219.04222104879</v>
      </c>
      <c r="Y384" s="22">
        <v>109219.04222104879</v>
      </c>
      <c r="Z384" s="22">
        <v>109219.04222104879</v>
      </c>
      <c r="AA384" s="23">
        <v>109219.04222104879</v>
      </c>
      <c r="AB384" s="96">
        <f t="shared" ref="AB384" si="132">+SUM(D384:AA384)*AC384+SUM(D385:AA385)*AC385+SUM(D386:AA386)*AC386</f>
        <v>59251330.404918969</v>
      </c>
      <c r="AC384" s="16">
        <v>23</v>
      </c>
      <c r="AD384" s="16">
        <f t="shared" si="112"/>
        <v>43960664.493972138</v>
      </c>
    </row>
    <row r="385" spans="1:30" ht="13.5" thickBot="1" x14ac:dyDescent="0.35">
      <c r="A385" s="18">
        <v>2036</v>
      </c>
      <c r="B385" s="19" t="s">
        <v>41</v>
      </c>
      <c r="C385" s="20" t="s">
        <v>50</v>
      </c>
      <c r="D385" s="21">
        <v>27304.760555262183</v>
      </c>
      <c r="E385" s="22">
        <v>27304.760555262183</v>
      </c>
      <c r="F385" s="22">
        <v>27304.760555262183</v>
      </c>
      <c r="G385" s="22">
        <v>27304.760555262183</v>
      </c>
      <c r="H385" s="22">
        <v>27304.760555262183</v>
      </c>
      <c r="I385" s="22">
        <v>27304.760555262183</v>
      </c>
      <c r="J385" s="22">
        <v>27304.760555262183</v>
      </c>
      <c r="K385" s="22">
        <v>48118.829932080691</v>
      </c>
      <c r="L385" s="22">
        <v>83608.313416444857</v>
      </c>
      <c r="M385" s="22">
        <v>106953.04135979198</v>
      </c>
      <c r="N385" s="22">
        <v>119856.16852052473</v>
      </c>
      <c r="O385" s="22">
        <v>124317.40331978574</v>
      </c>
      <c r="P385" s="22">
        <v>123140.89970942846</v>
      </c>
      <c r="Q385" s="22">
        <v>116446.26048207945</v>
      </c>
      <c r="R385" s="22">
        <v>103986.82571972709</v>
      </c>
      <c r="S385" s="22">
        <v>82123.990051607601</v>
      </c>
      <c r="T385" s="22">
        <v>47114.886922705846</v>
      </c>
      <c r="U385" s="22">
        <v>109219.04222104873</v>
      </c>
      <c r="V385" s="22">
        <v>109219.04222104873</v>
      </c>
      <c r="W385" s="22">
        <v>109219.04222104873</v>
      </c>
      <c r="X385" s="22">
        <v>109219.04222104873</v>
      </c>
      <c r="Y385" s="22">
        <v>109219.04222104873</v>
      </c>
      <c r="Z385" s="22">
        <v>109219.04222104873</v>
      </c>
      <c r="AA385" s="23">
        <v>109219.04222104873</v>
      </c>
      <c r="AB385" s="97"/>
      <c r="AC385" s="24">
        <v>4</v>
      </c>
      <c r="AD385" s="16">
        <f t="shared" si="112"/>
        <v>7645332.9554734137</v>
      </c>
    </row>
    <row r="386" spans="1:30" ht="13.5" thickBot="1" x14ac:dyDescent="0.35">
      <c r="A386" s="18">
        <v>2036</v>
      </c>
      <c r="B386" s="25" t="s">
        <v>41</v>
      </c>
      <c r="C386" s="26" t="s">
        <v>36</v>
      </c>
      <c r="D386" s="21">
        <v>27304.760555262183</v>
      </c>
      <c r="E386" s="22">
        <v>27304.760555262183</v>
      </c>
      <c r="F386" s="22">
        <v>27304.760555262183</v>
      </c>
      <c r="G386" s="22">
        <v>27304.760555262183</v>
      </c>
      <c r="H386" s="22">
        <v>27304.760555262183</v>
      </c>
      <c r="I386" s="22">
        <v>27304.760555262183</v>
      </c>
      <c r="J386" s="22">
        <v>27304.760555262183</v>
      </c>
      <c r="K386" s="22">
        <v>48118.829932080691</v>
      </c>
      <c r="L386" s="22">
        <v>83608.313416444857</v>
      </c>
      <c r="M386" s="22">
        <v>106953.04135979198</v>
      </c>
      <c r="N386" s="22">
        <v>119856.16852052473</v>
      </c>
      <c r="O386" s="22">
        <v>124317.40331978574</v>
      </c>
      <c r="P386" s="22">
        <v>123140.89970942846</v>
      </c>
      <c r="Q386" s="22">
        <v>116446.26048207945</v>
      </c>
      <c r="R386" s="22">
        <v>103986.82571972709</v>
      </c>
      <c r="S386" s="22">
        <v>82123.990051607601</v>
      </c>
      <c r="T386" s="22">
        <v>47114.886922705846</v>
      </c>
      <c r="U386" s="22">
        <v>109219.04222104873</v>
      </c>
      <c r="V386" s="22">
        <v>109219.04222104873</v>
      </c>
      <c r="W386" s="22">
        <v>109219.04222104873</v>
      </c>
      <c r="X386" s="22">
        <v>109219.04222104873</v>
      </c>
      <c r="Y386" s="22">
        <v>109219.04222104873</v>
      </c>
      <c r="Z386" s="22">
        <v>109219.04222104873</v>
      </c>
      <c r="AA386" s="23">
        <v>109219.04222104873</v>
      </c>
      <c r="AB386" s="97"/>
      <c r="AC386" s="27">
        <v>4</v>
      </c>
      <c r="AD386" s="16">
        <f t="shared" si="112"/>
        <v>7645332.9554734137</v>
      </c>
    </row>
    <row r="387" spans="1:30" ht="13.5" thickBot="1" x14ac:dyDescent="0.35">
      <c r="A387" s="18">
        <v>2036</v>
      </c>
      <c r="B387" s="11" t="s">
        <v>42</v>
      </c>
      <c r="C387" s="12" t="s">
        <v>33</v>
      </c>
      <c r="D387" s="21">
        <v>27304.760555262194</v>
      </c>
      <c r="E387" s="22">
        <v>27304.760555262194</v>
      </c>
      <c r="F387" s="22">
        <v>27304.760555262194</v>
      </c>
      <c r="G387" s="22">
        <v>27304.760555262194</v>
      </c>
      <c r="H387" s="22">
        <v>27304.760555262194</v>
      </c>
      <c r="I387" s="22">
        <v>27304.760555262194</v>
      </c>
      <c r="J387" s="22">
        <v>27304.760555262194</v>
      </c>
      <c r="K387" s="22">
        <v>48118.829932080691</v>
      </c>
      <c r="L387" s="22">
        <v>83608.313416444871</v>
      </c>
      <c r="M387" s="22">
        <v>106953.04135979198</v>
      </c>
      <c r="N387" s="22">
        <v>119856.16852052468</v>
      </c>
      <c r="O387" s="22">
        <v>124317.40331978579</v>
      </c>
      <c r="P387" s="22">
        <v>123140.89970942847</v>
      </c>
      <c r="Q387" s="22">
        <v>116446.26048207939</v>
      </c>
      <c r="R387" s="22">
        <v>103986.82571972713</v>
      </c>
      <c r="S387" s="22">
        <v>82123.990051607601</v>
      </c>
      <c r="T387" s="22">
        <v>47114.886922705831</v>
      </c>
      <c r="U387" s="22">
        <v>109219.04222104877</v>
      </c>
      <c r="V387" s="22">
        <v>109219.04222104877</v>
      </c>
      <c r="W387" s="22">
        <v>109219.04222104877</v>
      </c>
      <c r="X387" s="22">
        <v>109219.04222104877</v>
      </c>
      <c r="Y387" s="22">
        <v>109219.04222104877</v>
      </c>
      <c r="Z387" s="22">
        <v>109219.04222104877</v>
      </c>
      <c r="AA387" s="23">
        <v>109219.04222104877</v>
      </c>
      <c r="AB387" s="96">
        <f t="shared" ref="AB387" si="133">+SUM(D387:AA387)*AC387+SUM(D388:AA388)*AC388+SUM(D389:AA389)*AC389</f>
        <v>59251330.404918969</v>
      </c>
      <c r="AC387" s="16">
        <v>19</v>
      </c>
      <c r="AD387" s="16">
        <f t="shared" si="112"/>
        <v>36315331.538498722</v>
      </c>
    </row>
    <row r="388" spans="1:30" ht="13.5" thickBot="1" x14ac:dyDescent="0.35">
      <c r="A388" s="18">
        <v>2036</v>
      </c>
      <c r="B388" s="19" t="s">
        <v>42</v>
      </c>
      <c r="C388" s="20" t="s">
        <v>50</v>
      </c>
      <c r="D388" s="21">
        <v>27304.760555262183</v>
      </c>
      <c r="E388" s="22">
        <v>27304.760555262183</v>
      </c>
      <c r="F388" s="22">
        <v>27304.760555262183</v>
      </c>
      <c r="G388" s="22">
        <v>27304.760555262183</v>
      </c>
      <c r="H388" s="22">
        <v>27304.760555262183</v>
      </c>
      <c r="I388" s="22">
        <v>27304.760555262183</v>
      </c>
      <c r="J388" s="22">
        <v>27304.760555262183</v>
      </c>
      <c r="K388" s="22">
        <v>48118.829932080691</v>
      </c>
      <c r="L388" s="22">
        <v>83608.313416444857</v>
      </c>
      <c r="M388" s="22">
        <v>106953.04135979197</v>
      </c>
      <c r="N388" s="22">
        <v>119856.16852052472</v>
      </c>
      <c r="O388" s="22">
        <v>124317.40331978575</v>
      </c>
      <c r="P388" s="22">
        <v>123140.89970942846</v>
      </c>
      <c r="Q388" s="22">
        <v>116446.26048207944</v>
      </c>
      <c r="R388" s="22">
        <v>103986.82571972709</v>
      </c>
      <c r="S388" s="22">
        <v>82123.990051607601</v>
      </c>
      <c r="T388" s="22">
        <v>47114.886922705846</v>
      </c>
      <c r="U388" s="22">
        <v>109219.04222104873</v>
      </c>
      <c r="V388" s="22">
        <v>109219.04222104873</v>
      </c>
      <c r="W388" s="22">
        <v>109219.04222104873</v>
      </c>
      <c r="X388" s="22">
        <v>109219.04222104873</v>
      </c>
      <c r="Y388" s="22">
        <v>109219.04222104873</v>
      </c>
      <c r="Z388" s="22">
        <v>109219.04222104873</v>
      </c>
      <c r="AA388" s="23">
        <v>109219.04222104873</v>
      </c>
      <c r="AB388" s="97"/>
      <c r="AC388" s="24">
        <v>5</v>
      </c>
      <c r="AD388" s="16">
        <f t="shared" si="112"/>
        <v>9556666.1943417676</v>
      </c>
    </row>
    <row r="389" spans="1:30" ht="13.5" thickBot="1" x14ac:dyDescent="0.35">
      <c r="A389" s="18">
        <v>2036</v>
      </c>
      <c r="B389" s="25" t="s">
        <v>42</v>
      </c>
      <c r="C389" s="26" t="s">
        <v>36</v>
      </c>
      <c r="D389" s="21">
        <v>27304.760555262183</v>
      </c>
      <c r="E389" s="22">
        <v>27304.760555262183</v>
      </c>
      <c r="F389" s="22">
        <v>27304.760555262183</v>
      </c>
      <c r="G389" s="22">
        <v>27304.760555262183</v>
      </c>
      <c r="H389" s="22">
        <v>27304.760555262183</v>
      </c>
      <c r="I389" s="22">
        <v>27304.760555262183</v>
      </c>
      <c r="J389" s="22">
        <v>27304.760555262183</v>
      </c>
      <c r="K389" s="22">
        <v>48118.829932080691</v>
      </c>
      <c r="L389" s="22">
        <v>83608.313416444857</v>
      </c>
      <c r="M389" s="22">
        <v>106953.04135979198</v>
      </c>
      <c r="N389" s="22">
        <v>119856.16852052473</v>
      </c>
      <c r="O389" s="22">
        <v>124317.40331978574</v>
      </c>
      <c r="P389" s="22">
        <v>123140.89970942844</v>
      </c>
      <c r="Q389" s="22">
        <v>116446.26048207945</v>
      </c>
      <c r="R389" s="22">
        <v>103986.82571972709</v>
      </c>
      <c r="S389" s="22">
        <v>82123.990051607601</v>
      </c>
      <c r="T389" s="22">
        <v>47114.886922705853</v>
      </c>
      <c r="U389" s="22">
        <v>109219.04222104873</v>
      </c>
      <c r="V389" s="22">
        <v>109219.04222104873</v>
      </c>
      <c r="W389" s="22">
        <v>109219.04222104873</v>
      </c>
      <c r="X389" s="22">
        <v>109219.04222104873</v>
      </c>
      <c r="Y389" s="22">
        <v>109219.04222104873</v>
      </c>
      <c r="Z389" s="22">
        <v>109219.04222104873</v>
      </c>
      <c r="AA389" s="23">
        <v>109219.04222104873</v>
      </c>
      <c r="AB389" s="97"/>
      <c r="AC389" s="27">
        <v>7</v>
      </c>
      <c r="AD389" s="16">
        <f t="shared" si="112"/>
        <v>13379332.672078473</v>
      </c>
    </row>
    <row r="390" spans="1:30" ht="13.5" thickBot="1" x14ac:dyDescent="0.35">
      <c r="A390" s="18">
        <v>2036</v>
      </c>
      <c r="B390" s="11" t="s">
        <v>43</v>
      </c>
      <c r="C390" s="12" t="s">
        <v>33</v>
      </c>
      <c r="D390" s="21">
        <v>27304.760555262197</v>
      </c>
      <c r="E390" s="22">
        <v>27304.760555262197</v>
      </c>
      <c r="F390" s="22">
        <v>27304.760555262197</v>
      </c>
      <c r="G390" s="22">
        <v>27304.760555262197</v>
      </c>
      <c r="H390" s="22">
        <v>27304.760555262197</v>
      </c>
      <c r="I390" s="22">
        <v>27304.760555262197</v>
      </c>
      <c r="J390" s="22">
        <v>27304.760555262197</v>
      </c>
      <c r="K390" s="22">
        <v>48118.829932080691</v>
      </c>
      <c r="L390" s="22">
        <v>83608.313416444871</v>
      </c>
      <c r="M390" s="22">
        <v>106953.04135979198</v>
      </c>
      <c r="N390" s="22">
        <v>119856.16852052468</v>
      </c>
      <c r="O390" s="22">
        <v>124317.40331978579</v>
      </c>
      <c r="P390" s="22">
        <v>123140.89970942849</v>
      </c>
      <c r="Q390" s="22">
        <v>116446.26048207939</v>
      </c>
      <c r="R390" s="22">
        <v>103986.82571972715</v>
      </c>
      <c r="S390" s="22">
        <v>82123.990051607601</v>
      </c>
      <c r="T390" s="22">
        <v>47114.886922705831</v>
      </c>
      <c r="U390" s="22">
        <v>109219.04222104879</v>
      </c>
      <c r="V390" s="22">
        <v>109219.04222104879</v>
      </c>
      <c r="W390" s="22">
        <v>109219.04222104879</v>
      </c>
      <c r="X390" s="22">
        <v>109219.04222104879</v>
      </c>
      <c r="Y390" s="22">
        <v>109219.04222104879</v>
      </c>
      <c r="Z390" s="22">
        <v>109219.04222104879</v>
      </c>
      <c r="AA390" s="23">
        <v>109219.04222104879</v>
      </c>
      <c r="AB390" s="96">
        <f t="shared" ref="AB390" si="134">+SUM(D390:AA390)*AC390+SUM(D391:AA391)*AC391+SUM(D392:AA392)*AC392</f>
        <v>57339997.166050613</v>
      </c>
      <c r="AC390" s="16">
        <v>22</v>
      </c>
      <c r="AD390" s="16">
        <f t="shared" ref="AD390:AD453" si="135">+SUM(D390:AA390)*AC390</f>
        <v>42049331.255103782</v>
      </c>
    </row>
    <row r="391" spans="1:30" ht="13.5" thickBot="1" x14ac:dyDescent="0.35">
      <c r="A391" s="18">
        <v>2036</v>
      </c>
      <c r="B391" s="19" t="s">
        <v>43</v>
      </c>
      <c r="C391" s="20" t="s">
        <v>50</v>
      </c>
      <c r="D391" s="21">
        <v>27304.760555262183</v>
      </c>
      <c r="E391" s="22">
        <v>27304.760555262183</v>
      </c>
      <c r="F391" s="22">
        <v>27304.760555262183</v>
      </c>
      <c r="G391" s="22">
        <v>27304.760555262183</v>
      </c>
      <c r="H391" s="22">
        <v>27304.760555262183</v>
      </c>
      <c r="I391" s="22">
        <v>27304.760555262183</v>
      </c>
      <c r="J391" s="22">
        <v>27304.760555262183</v>
      </c>
      <c r="K391" s="22">
        <v>48118.829932080691</v>
      </c>
      <c r="L391" s="22">
        <v>83608.313416444857</v>
      </c>
      <c r="M391" s="22">
        <v>106953.04135979198</v>
      </c>
      <c r="N391" s="22">
        <v>119856.16852052473</v>
      </c>
      <c r="O391" s="22">
        <v>124317.40331978574</v>
      </c>
      <c r="P391" s="22">
        <v>123140.89970942846</v>
      </c>
      <c r="Q391" s="22">
        <v>116446.26048207945</v>
      </c>
      <c r="R391" s="22">
        <v>103986.82571972709</v>
      </c>
      <c r="S391" s="22">
        <v>82123.990051607601</v>
      </c>
      <c r="T391" s="22">
        <v>47114.886922705846</v>
      </c>
      <c r="U391" s="22">
        <v>109219.04222104873</v>
      </c>
      <c r="V391" s="22">
        <v>109219.04222104873</v>
      </c>
      <c r="W391" s="22">
        <v>109219.04222104873</v>
      </c>
      <c r="X391" s="22">
        <v>109219.04222104873</v>
      </c>
      <c r="Y391" s="22">
        <v>109219.04222104873</v>
      </c>
      <c r="Z391" s="22">
        <v>109219.04222104873</v>
      </c>
      <c r="AA391" s="23">
        <v>109219.04222104873</v>
      </c>
      <c r="AB391" s="97"/>
      <c r="AC391" s="24">
        <v>4</v>
      </c>
      <c r="AD391" s="16">
        <f t="shared" si="135"/>
        <v>7645332.9554734137</v>
      </c>
    </row>
    <row r="392" spans="1:30" ht="13.5" thickBot="1" x14ac:dyDescent="0.35">
      <c r="A392" s="18">
        <v>2036</v>
      </c>
      <c r="B392" s="25" t="s">
        <v>43</v>
      </c>
      <c r="C392" s="26" t="s">
        <v>36</v>
      </c>
      <c r="D392" s="21">
        <v>27304.760555262183</v>
      </c>
      <c r="E392" s="22">
        <v>27304.760555262183</v>
      </c>
      <c r="F392" s="22">
        <v>27304.760555262183</v>
      </c>
      <c r="G392" s="22">
        <v>27304.760555262183</v>
      </c>
      <c r="H392" s="22">
        <v>27304.760555262183</v>
      </c>
      <c r="I392" s="22">
        <v>27304.760555262183</v>
      </c>
      <c r="J392" s="22">
        <v>27304.760555262183</v>
      </c>
      <c r="K392" s="22">
        <v>48118.829932080691</v>
      </c>
      <c r="L392" s="22">
        <v>83608.313416444857</v>
      </c>
      <c r="M392" s="22">
        <v>106953.04135979198</v>
      </c>
      <c r="N392" s="22">
        <v>119856.16852052473</v>
      </c>
      <c r="O392" s="22">
        <v>124317.40331978574</v>
      </c>
      <c r="P392" s="22">
        <v>123140.89970942846</v>
      </c>
      <c r="Q392" s="22">
        <v>116446.26048207945</v>
      </c>
      <c r="R392" s="22">
        <v>103986.82571972709</v>
      </c>
      <c r="S392" s="22">
        <v>82123.990051607601</v>
      </c>
      <c r="T392" s="22">
        <v>47114.886922705846</v>
      </c>
      <c r="U392" s="22">
        <v>109219.04222104873</v>
      </c>
      <c r="V392" s="22">
        <v>109219.04222104873</v>
      </c>
      <c r="W392" s="22">
        <v>109219.04222104873</v>
      </c>
      <c r="X392" s="22">
        <v>109219.04222104873</v>
      </c>
      <c r="Y392" s="22">
        <v>109219.04222104873</v>
      </c>
      <c r="Z392" s="22">
        <v>109219.04222104873</v>
      </c>
      <c r="AA392" s="23">
        <v>109219.04222104873</v>
      </c>
      <c r="AB392" s="97"/>
      <c r="AC392" s="27">
        <v>4</v>
      </c>
      <c r="AD392" s="16">
        <f t="shared" si="135"/>
        <v>7645332.9554734137</v>
      </c>
    </row>
    <row r="393" spans="1:30" ht="13.5" thickBot="1" x14ac:dyDescent="0.35">
      <c r="A393" s="18">
        <v>2036</v>
      </c>
      <c r="B393" s="11" t="s">
        <v>44</v>
      </c>
      <c r="C393" s="12" t="s">
        <v>33</v>
      </c>
      <c r="D393" s="21">
        <v>27304.760555262197</v>
      </c>
      <c r="E393" s="22">
        <v>27304.760555262197</v>
      </c>
      <c r="F393" s="22">
        <v>27304.760555262197</v>
      </c>
      <c r="G393" s="22">
        <v>27304.760555262197</v>
      </c>
      <c r="H393" s="22">
        <v>27304.760555262197</v>
      </c>
      <c r="I393" s="22">
        <v>27304.760555262197</v>
      </c>
      <c r="J393" s="22">
        <v>27304.760555262197</v>
      </c>
      <c r="K393" s="22">
        <v>48118.829932080691</v>
      </c>
      <c r="L393" s="22">
        <v>83608.313416444871</v>
      </c>
      <c r="M393" s="22">
        <v>106953.04135979198</v>
      </c>
      <c r="N393" s="22">
        <v>119856.16852052468</v>
      </c>
      <c r="O393" s="22">
        <v>124317.40331978579</v>
      </c>
      <c r="P393" s="22">
        <v>123140.89970942849</v>
      </c>
      <c r="Q393" s="22">
        <v>116446.26048207939</v>
      </c>
      <c r="R393" s="22">
        <v>103986.82571972715</v>
      </c>
      <c r="S393" s="22">
        <v>82123.990051607601</v>
      </c>
      <c r="T393" s="22">
        <v>47114.886922705831</v>
      </c>
      <c r="U393" s="22">
        <v>109219.04222104879</v>
      </c>
      <c r="V393" s="22">
        <v>109219.04222104879</v>
      </c>
      <c r="W393" s="22">
        <v>109219.04222104879</v>
      </c>
      <c r="X393" s="22">
        <v>109219.04222104879</v>
      </c>
      <c r="Y393" s="22">
        <v>109219.04222104879</v>
      </c>
      <c r="Z393" s="22">
        <v>109219.04222104879</v>
      </c>
      <c r="AA393" s="23">
        <v>109219.04222104879</v>
      </c>
      <c r="AB393" s="96">
        <f t="shared" ref="AB393" si="136">+SUM(D393:AA393)*AC393+SUM(D394:AA394)*AC394+SUM(D395:AA395)*AC395</f>
        <v>59251330.404918969</v>
      </c>
      <c r="AC393" s="16">
        <v>22</v>
      </c>
      <c r="AD393" s="16">
        <f t="shared" si="135"/>
        <v>42049331.255103782</v>
      </c>
    </row>
    <row r="394" spans="1:30" ht="13.5" thickBot="1" x14ac:dyDescent="0.35">
      <c r="A394" s="18">
        <v>2036</v>
      </c>
      <c r="B394" s="19" t="s">
        <v>44</v>
      </c>
      <c r="C394" s="20" t="s">
        <v>50</v>
      </c>
      <c r="D394" s="21">
        <v>27304.760555262183</v>
      </c>
      <c r="E394" s="22">
        <v>27304.760555262183</v>
      </c>
      <c r="F394" s="22">
        <v>27304.760555262183</v>
      </c>
      <c r="G394" s="22">
        <v>27304.760555262183</v>
      </c>
      <c r="H394" s="22">
        <v>27304.760555262183</v>
      </c>
      <c r="I394" s="22">
        <v>27304.760555262183</v>
      </c>
      <c r="J394" s="22">
        <v>27304.760555262183</v>
      </c>
      <c r="K394" s="22">
        <v>48118.829932080691</v>
      </c>
      <c r="L394" s="22">
        <v>83608.313416444857</v>
      </c>
      <c r="M394" s="22">
        <v>106953.04135979198</v>
      </c>
      <c r="N394" s="22">
        <v>119856.16852052473</v>
      </c>
      <c r="O394" s="22">
        <v>124317.40331978574</v>
      </c>
      <c r="P394" s="22">
        <v>123140.89970942846</v>
      </c>
      <c r="Q394" s="22">
        <v>116446.26048207945</v>
      </c>
      <c r="R394" s="22">
        <v>103986.82571972709</v>
      </c>
      <c r="S394" s="22">
        <v>82123.990051607601</v>
      </c>
      <c r="T394" s="22">
        <v>47114.886922705846</v>
      </c>
      <c r="U394" s="22">
        <v>109219.04222104873</v>
      </c>
      <c r="V394" s="22">
        <v>109219.04222104873</v>
      </c>
      <c r="W394" s="22">
        <v>109219.04222104873</v>
      </c>
      <c r="X394" s="22">
        <v>109219.04222104873</v>
      </c>
      <c r="Y394" s="22">
        <v>109219.04222104873</v>
      </c>
      <c r="Z394" s="22">
        <v>109219.04222104873</v>
      </c>
      <c r="AA394" s="23">
        <v>109219.04222104873</v>
      </c>
      <c r="AB394" s="97"/>
      <c r="AC394" s="24">
        <v>4</v>
      </c>
      <c r="AD394" s="16">
        <f t="shared" si="135"/>
        <v>7645332.9554734137</v>
      </c>
    </row>
    <row r="395" spans="1:30" ht="13.5" thickBot="1" x14ac:dyDescent="0.35">
      <c r="A395" s="18">
        <v>2036</v>
      </c>
      <c r="B395" s="25" t="s">
        <v>44</v>
      </c>
      <c r="C395" s="26" t="s">
        <v>36</v>
      </c>
      <c r="D395" s="21">
        <v>27304.760555262183</v>
      </c>
      <c r="E395" s="22">
        <v>27304.760555262183</v>
      </c>
      <c r="F395" s="22">
        <v>27304.760555262183</v>
      </c>
      <c r="G395" s="22">
        <v>27304.760555262183</v>
      </c>
      <c r="H395" s="22">
        <v>27304.760555262183</v>
      </c>
      <c r="I395" s="22">
        <v>27304.760555262183</v>
      </c>
      <c r="J395" s="22">
        <v>27304.760555262183</v>
      </c>
      <c r="K395" s="22">
        <v>48118.829932080691</v>
      </c>
      <c r="L395" s="22">
        <v>83608.313416444857</v>
      </c>
      <c r="M395" s="22">
        <v>106953.04135979197</v>
      </c>
      <c r="N395" s="22">
        <v>119856.16852052472</v>
      </c>
      <c r="O395" s="22">
        <v>124317.40331978575</v>
      </c>
      <c r="P395" s="22">
        <v>123140.89970942846</v>
      </c>
      <c r="Q395" s="22">
        <v>116446.26048207944</v>
      </c>
      <c r="R395" s="22">
        <v>103986.82571972709</v>
      </c>
      <c r="S395" s="22">
        <v>82123.990051607601</v>
      </c>
      <c r="T395" s="22">
        <v>47114.886922705846</v>
      </c>
      <c r="U395" s="22">
        <v>109219.04222104873</v>
      </c>
      <c r="V395" s="22">
        <v>109219.04222104873</v>
      </c>
      <c r="W395" s="22">
        <v>109219.04222104873</v>
      </c>
      <c r="X395" s="22">
        <v>109219.04222104873</v>
      </c>
      <c r="Y395" s="22">
        <v>109219.04222104873</v>
      </c>
      <c r="Z395" s="22">
        <v>109219.04222104873</v>
      </c>
      <c r="AA395" s="23">
        <v>109219.04222104873</v>
      </c>
      <c r="AB395" s="97"/>
      <c r="AC395" s="27">
        <v>5</v>
      </c>
      <c r="AD395" s="16">
        <f t="shared" si="135"/>
        <v>9556666.1943417676</v>
      </c>
    </row>
    <row r="396" spans="1:30" ht="13.5" thickBot="1" x14ac:dyDescent="0.35">
      <c r="A396" s="18">
        <v>2036</v>
      </c>
      <c r="B396" s="11" t="s">
        <v>45</v>
      </c>
      <c r="C396" s="12" t="s">
        <v>33</v>
      </c>
      <c r="D396" s="21">
        <v>27304.760555262194</v>
      </c>
      <c r="E396" s="22">
        <v>27304.760555262194</v>
      </c>
      <c r="F396" s="22">
        <v>27304.760555262194</v>
      </c>
      <c r="G396" s="22">
        <v>27304.760555262194</v>
      </c>
      <c r="H396" s="22">
        <v>27304.760555262194</v>
      </c>
      <c r="I396" s="22">
        <v>27304.760555262194</v>
      </c>
      <c r="J396" s="22">
        <v>27304.760555262194</v>
      </c>
      <c r="K396" s="22">
        <v>48118.829932080691</v>
      </c>
      <c r="L396" s="22">
        <v>83608.313416444871</v>
      </c>
      <c r="M396" s="22">
        <v>106953.04135979198</v>
      </c>
      <c r="N396" s="22">
        <v>119856.16852052469</v>
      </c>
      <c r="O396" s="22">
        <v>124317.40331978578</v>
      </c>
      <c r="P396" s="22">
        <v>123140.89970942846</v>
      </c>
      <c r="Q396" s="22">
        <v>116446.26048207941</v>
      </c>
      <c r="R396" s="22">
        <v>103986.82571972713</v>
      </c>
      <c r="S396" s="22">
        <v>82123.990051607601</v>
      </c>
      <c r="T396" s="22">
        <v>47114.886922705831</v>
      </c>
      <c r="U396" s="22">
        <v>109219.04222104877</v>
      </c>
      <c r="V396" s="22">
        <v>109219.04222104877</v>
      </c>
      <c r="W396" s="22">
        <v>109219.04222104877</v>
      </c>
      <c r="X396" s="22">
        <v>109219.04222104877</v>
      </c>
      <c r="Y396" s="22">
        <v>109219.04222104877</v>
      </c>
      <c r="Z396" s="22">
        <v>109219.04222104877</v>
      </c>
      <c r="AA396" s="23">
        <v>109219.04222104877</v>
      </c>
      <c r="AB396" s="96">
        <f t="shared" ref="AB396" si="137">+SUM(D396:AA396)*AC396+SUM(D397:AA397)*AC397+SUM(D398:AA398)*AC398</f>
        <v>57339997.166050613</v>
      </c>
      <c r="AC396" s="16">
        <v>18</v>
      </c>
      <c r="AD396" s="16">
        <f t="shared" si="135"/>
        <v>34403998.299630374</v>
      </c>
    </row>
    <row r="397" spans="1:30" ht="13.5" thickBot="1" x14ac:dyDescent="0.35">
      <c r="A397" s="18">
        <v>2036</v>
      </c>
      <c r="B397" s="19" t="s">
        <v>45</v>
      </c>
      <c r="C397" s="20" t="s">
        <v>50</v>
      </c>
      <c r="D397" s="21">
        <v>27304.760555262183</v>
      </c>
      <c r="E397" s="22">
        <v>27304.760555262183</v>
      </c>
      <c r="F397" s="22">
        <v>27304.760555262183</v>
      </c>
      <c r="G397" s="22">
        <v>27304.760555262183</v>
      </c>
      <c r="H397" s="22">
        <v>27304.760555262183</v>
      </c>
      <c r="I397" s="22">
        <v>27304.760555262183</v>
      </c>
      <c r="J397" s="22">
        <v>27304.760555262183</v>
      </c>
      <c r="K397" s="22">
        <v>48118.829932080691</v>
      </c>
      <c r="L397" s="22">
        <v>83608.313416444857</v>
      </c>
      <c r="M397" s="22">
        <v>106953.04135979197</v>
      </c>
      <c r="N397" s="22">
        <v>119856.16852052472</v>
      </c>
      <c r="O397" s="22">
        <v>124317.40331978575</v>
      </c>
      <c r="P397" s="22">
        <v>123140.89970942846</v>
      </c>
      <c r="Q397" s="22">
        <v>116446.26048207944</v>
      </c>
      <c r="R397" s="22">
        <v>103986.82571972709</v>
      </c>
      <c r="S397" s="22">
        <v>82123.990051607601</v>
      </c>
      <c r="T397" s="22">
        <v>47114.886922705846</v>
      </c>
      <c r="U397" s="22">
        <v>109219.04222104873</v>
      </c>
      <c r="V397" s="22">
        <v>109219.04222104873</v>
      </c>
      <c r="W397" s="22">
        <v>109219.04222104873</v>
      </c>
      <c r="X397" s="22">
        <v>109219.04222104873</v>
      </c>
      <c r="Y397" s="22">
        <v>109219.04222104873</v>
      </c>
      <c r="Z397" s="22">
        <v>109219.04222104873</v>
      </c>
      <c r="AA397" s="23">
        <v>109219.04222104873</v>
      </c>
      <c r="AB397" s="97"/>
      <c r="AC397" s="24">
        <v>5</v>
      </c>
      <c r="AD397" s="16">
        <f t="shared" si="135"/>
        <v>9556666.1943417676</v>
      </c>
    </row>
    <row r="398" spans="1:30" ht="13.5" thickBot="1" x14ac:dyDescent="0.35">
      <c r="A398" s="18">
        <v>2036</v>
      </c>
      <c r="B398" s="25" t="s">
        <v>45</v>
      </c>
      <c r="C398" s="26" t="s">
        <v>36</v>
      </c>
      <c r="D398" s="21">
        <v>27304.760555262183</v>
      </c>
      <c r="E398" s="22">
        <v>27304.760555262183</v>
      </c>
      <c r="F398" s="22">
        <v>27304.760555262183</v>
      </c>
      <c r="G398" s="22">
        <v>27304.760555262183</v>
      </c>
      <c r="H398" s="22">
        <v>27304.760555262183</v>
      </c>
      <c r="I398" s="22">
        <v>27304.760555262183</v>
      </c>
      <c r="J398" s="22">
        <v>27304.760555262183</v>
      </c>
      <c r="K398" s="22">
        <v>48118.829932080691</v>
      </c>
      <c r="L398" s="22">
        <v>83608.313416444857</v>
      </c>
      <c r="M398" s="22">
        <v>106953.04135979198</v>
      </c>
      <c r="N398" s="22">
        <v>119856.16852052473</v>
      </c>
      <c r="O398" s="22">
        <v>124317.40331978574</v>
      </c>
      <c r="P398" s="22">
        <v>123140.89970942844</v>
      </c>
      <c r="Q398" s="22">
        <v>116446.26048207945</v>
      </c>
      <c r="R398" s="22">
        <v>103986.82571972709</v>
      </c>
      <c r="S398" s="22">
        <v>82123.990051607601</v>
      </c>
      <c r="T398" s="22">
        <v>47114.886922705853</v>
      </c>
      <c r="U398" s="22">
        <v>109219.04222104873</v>
      </c>
      <c r="V398" s="22">
        <v>109219.04222104873</v>
      </c>
      <c r="W398" s="22">
        <v>109219.04222104873</v>
      </c>
      <c r="X398" s="22">
        <v>109219.04222104873</v>
      </c>
      <c r="Y398" s="22">
        <v>109219.04222104873</v>
      </c>
      <c r="Z398" s="22">
        <v>109219.04222104873</v>
      </c>
      <c r="AA398" s="23">
        <v>109219.04222104873</v>
      </c>
      <c r="AB398" s="97"/>
      <c r="AC398" s="27">
        <v>7</v>
      </c>
      <c r="AD398" s="16">
        <f t="shared" si="135"/>
        <v>13379332.672078473</v>
      </c>
    </row>
    <row r="399" spans="1:30" ht="13.5" thickBot="1" x14ac:dyDescent="0.35">
      <c r="A399" s="18">
        <v>2036</v>
      </c>
      <c r="B399" s="11" t="s">
        <v>46</v>
      </c>
      <c r="C399" s="12" t="s">
        <v>33</v>
      </c>
      <c r="D399" s="21">
        <v>27304.760555262194</v>
      </c>
      <c r="E399" s="22">
        <v>27304.760555262194</v>
      </c>
      <c r="F399" s="22">
        <v>27304.760555262194</v>
      </c>
      <c r="G399" s="22">
        <v>27304.760555262194</v>
      </c>
      <c r="H399" s="22">
        <v>27304.760555262194</v>
      </c>
      <c r="I399" s="22">
        <v>27304.760555262194</v>
      </c>
      <c r="J399" s="22">
        <v>27304.760555262194</v>
      </c>
      <c r="K399" s="22">
        <v>48118.829932080691</v>
      </c>
      <c r="L399" s="22">
        <v>83608.313416444871</v>
      </c>
      <c r="M399" s="22">
        <v>106953.04135979197</v>
      </c>
      <c r="N399" s="22">
        <v>119856.16852052468</v>
      </c>
      <c r="O399" s="22">
        <v>124317.40331978579</v>
      </c>
      <c r="P399" s="22">
        <v>123140.89970942849</v>
      </c>
      <c r="Q399" s="22">
        <v>116446.26048207939</v>
      </c>
      <c r="R399" s="22">
        <v>103986.82571972713</v>
      </c>
      <c r="S399" s="22">
        <v>82123.990051607601</v>
      </c>
      <c r="T399" s="22">
        <v>47114.886922705831</v>
      </c>
      <c r="U399" s="22">
        <v>109219.04222104877</v>
      </c>
      <c r="V399" s="22">
        <v>109219.04222104877</v>
      </c>
      <c r="W399" s="22">
        <v>109219.04222104877</v>
      </c>
      <c r="X399" s="22">
        <v>109219.04222104877</v>
      </c>
      <c r="Y399" s="22">
        <v>109219.04222104877</v>
      </c>
      <c r="Z399" s="22">
        <v>109219.04222104877</v>
      </c>
      <c r="AA399" s="23">
        <v>109219.04222104877</v>
      </c>
      <c r="AB399" s="96">
        <f t="shared" ref="AB399" si="138">+SUM(D399:AA399)*AC399+SUM(D400:AA400)*AC400+SUM(D401:AA401)*AC401</f>
        <v>59251330.404918969</v>
      </c>
      <c r="AC399" s="16">
        <v>21</v>
      </c>
      <c r="AD399" s="16">
        <f t="shared" si="135"/>
        <v>40137998.016235434</v>
      </c>
    </row>
    <row r="400" spans="1:30" ht="13.5" thickBot="1" x14ac:dyDescent="0.35">
      <c r="A400" s="18">
        <v>2036</v>
      </c>
      <c r="B400" s="19" t="s">
        <v>46</v>
      </c>
      <c r="C400" s="20" t="s">
        <v>50</v>
      </c>
      <c r="D400" s="21">
        <v>27304.760555262183</v>
      </c>
      <c r="E400" s="22">
        <v>27304.760555262183</v>
      </c>
      <c r="F400" s="22">
        <v>27304.760555262183</v>
      </c>
      <c r="G400" s="22">
        <v>27304.760555262183</v>
      </c>
      <c r="H400" s="22">
        <v>27304.760555262183</v>
      </c>
      <c r="I400" s="22">
        <v>27304.760555262183</v>
      </c>
      <c r="J400" s="22">
        <v>27304.760555262183</v>
      </c>
      <c r="K400" s="22">
        <v>48118.829932080691</v>
      </c>
      <c r="L400" s="22">
        <v>83608.313416444857</v>
      </c>
      <c r="M400" s="22">
        <v>106953.04135979198</v>
      </c>
      <c r="N400" s="22">
        <v>119856.16852052473</v>
      </c>
      <c r="O400" s="22">
        <v>124317.40331978574</v>
      </c>
      <c r="P400" s="22">
        <v>123140.89970942846</v>
      </c>
      <c r="Q400" s="22">
        <v>116446.26048207945</v>
      </c>
      <c r="R400" s="22">
        <v>103986.82571972709</v>
      </c>
      <c r="S400" s="22">
        <v>82123.990051607601</v>
      </c>
      <c r="T400" s="22">
        <v>47114.886922705846</v>
      </c>
      <c r="U400" s="22">
        <v>109219.04222104873</v>
      </c>
      <c r="V400" s="22">
        <v>109219.04222104873</v>
      </c>
      <c r="W400" s="22">
        <v>109219.04222104873</v>
      </c>
      <c r="X400" s="22">
        <v>109219.04222104873</v>
      </c>
      <c r="Y400" s="22">
        <v>109219.04222104873</v>
      </c>
      <c r="Z400" s="22">
        <v>109219.04222104873</v>
      </c>
      <c r="AA400" s="23">
        <v>109219.04222104873</v>
      </c>
      <c r="AB400" s="97"/>
      <c r="AC400" s="24">
        <v>4</v>
      </c>
      <c r="AD400" s="16">
        <f t="shared" si="135"/>
        <v>7645332.9554734137</v>
      </c>
    </row>
    <row r="401" spans="1:30" ht="13.5" thickBot="1" x14ac:dyDescent="0.35">
      <c r="A401" s="28">
        <v>2036</v>
      </c>
      <c r="B401" s="25" t="s">
        <v>46</v>
      </c>
      <c r="C401" s="26" t="s">
        <v>36</v>
      </c>
      <c r="D401" s="29">
        <v>27304.760555262183</v>
      </c>
      <c r="E401" s="30">
        <v>27304.760555262183</v>
      </c>
      <c r="F401" s="30">
        <v>27304.760555262183</v>
      </c>
      <c r="G401" s="30">
        <v>27304.760555262183</v>
      </c>
      <c r="H401" s="30">
        <v>27304.760555262183</v>
      </c>
      <c r="I401" s="30">
        <v>27304.760555262183</v>
      </c>
      <c r="J401" s="30">
        <v>27304.760555262183</v>
      </c>
      <c r="K401" s="30">
        <v>48118.829932080691</v>
      </c>
      <c r="L401" s="30">
        <v>83608.313416444857</v>
      </c>
      <c r="M401" s="30">
        <v>106953.04135979198</v>
      </c>
      <c r="N401" s="30">
        <v>119856.16852052473</v>
      </c>
      <c r="O401" s="30">
        <v>124317.40331978574</v>
      </c>
      <c r="P401" s="30">
        <v>123140.89970942844</v>
      </c>
      <c r="Q401" s="30">
        <v>116446.26048207945</v>
      </c>
      <c r="R401" s="30">
        <v>103986.82571972709</v>
      </c>
      <c r="S401" s="30">
        <v>82123.990051607601</v>
      </c>
      <c r="T401" s="30">
        <v>47114.886922705853</v>
      </c>
      <c r="U401" s="30">
        <v>109219.04222104873</v>
      </c>
      <c r="V401" s="30">
        <v>109219.04222104873</v>
      </c>
      <c r="W401" s="30">
        <v>109219.04222104873</v>
      </c>
      <c r="X401" s="30">
        <v>109219.04222104873</v>
      </c>
      <c r="Y401" s="30">
        <v>109219.04222104873</v>
      </c>
      <c r="Z401" s="30">
        <v>109219.04222104873</v>
      </c>
      <c r="AA401" s="31">
        <v>109219.04222104873</v>
      </c>
      <c r="AB401" s="97"/>
      <c r="AC401" s="27">
        <v>6</v>
      </c>
      <c r="AD401" s="42">
        <f t="shared" si="135"/>
        <v>11467999.43321012</v>
      </c>
    </row>
    <row r="402" spans="1:30" ht="13.5" thickBot="1" x14ac:dyDescent="0.35">
      <c r="A402" s="10">
        <v>2037</v>
      </c>
      <c r="B402" s="11" t="s">
        <v>32</v>
      </c>
      <c r="C402" s="12" t="s">
        <v>33</v>
      </c>
      <c r="D402" s="13">
        <v>19323.829144197742</v>
      </c>
      <c r="E402" s="14">
        <v>19323.829144197742</v>
      </c>
      <c r="F402" s="14">
        <v>19323.829144197742</v>
      </c>
      <c r="G402" s="14">
        <v>19323.829144197742</v>
      </c>
      <c r="H402" s="14">
        <v>19323.829144197742</v>
      </c>
      <c r="I402" s="14">
        <v>19323.829144197742</v>
      </c>
      <c r="J402" s="14">
        <v>19323.829144197742</v>
      </c>
      <c r="K402" s="14">
        <v>34054.136689619736</v>
      </c>
      <c r="L402" s="14">
        <v>59170.369219097622</v>
      </c>
      <c r="M402" s="14">
        <v>75691.647011738067</v>
      </c>
      <c r="N402" s="14">
        <v>84823.30829018887</v>
      </c>
      <c r="O402" s="14">
        <v>87980.565020515831</v>
      </c>
      <c r="P402" s="14">
        <v>87147.942639225832</v>
      </c>
      <c r="Q402" s="14">
        <v>82410.085138167982</v>
      </c>
      <c r="R402" s="14">
        <v>73592.429034072469</v>
      </c>
      <c r="S402" s="14">
        <v>58119.899978072601</v>
      </c>
      <c r="T402" s="14">
        <v>33343.637026221943</v>
      </c>
      <c r="U402" s="14">
        <v>77295.316576790967</v>
      </c>
      <c r="V402" s="14">
        <v>77295.316576790967</v>
      </c>
      <c r="W402" s="14">
        <v>77295.316576790967</v>
      </c>
      <c r="X402" s="14">
        <v>77295.316576790967</v>
      </c>
      <c r="Y402" s="14">
        <v>77295.316576790967</v>
      </c>
      <c r="Z402" s="14">
        <v>77295.316576790967</v>
      </c>
      <c r="AA402" s="15">
        <v>77295.316576790967</v>
      </c>
      <c r="AB402" s="96">
        <f t="shared" ref="AB402" si="139">+SUM(D402:AA402)*AC402+SUM(D403:AA403)*AC403+SUM(D404:AA404)*AC404</f>
        <v>41932709.242909104</v>
      </c>
      <c r="AC402" s="16">
        <v>20</v>
      </c>
      <c r="AD402" s="16">
        <f t="shared" si="135"/>
        <v>27053360.801876843</v>
      </c>
    </row>
    <row r="403" spans="1:30" ht="13.5" thickBot="1" x14ac:dyDescent="0.35">
      <c r="A403" s="18">
        <v>2037</v>
      </c>
      <c r="B403" s="19" t="s">
        <v>32</v>
      </c>
      <c r="C403" s="20" t="s">
        <v>50</v>
      </c>
      <c r="D403" s="21">
        <v>19323.829144197738</v>
      </c>
      <c r="E403" s="22">
        <v>19323.829144197738</v>
      </c>
      <c r="F403" s="22">
        <v>19323.829144197738</v>
      </c>
      <c r="G403" s="22">
        <v>19323.829144197738</v>
      </c>
      <c r="H403" s="22">
        <v>19323.829144197738</v>
      </c>
      <c r="I403" s="22">
        <v>19323.829144197738</v>
      </c>
      <c r="J403" s="22">
        <v>19323.829144197738</v>
      </c>
      <c r="K403" s="22">
        <v>34054.136689619729</v>
      </c>
      <c r="L403" s="22">
        <v>59170.369219097614</v>
      </c>
      <c r="M403" s="22">
        <v>75691.647011738081</v>
      </c>
      <c r="N403" s="22">
        <v>84823.308290188841</v>
      </c>
      <c r="O403" s="22">
        <v>87980.565020515845</v>
      </c>
      <c r="P403" s="22">
        <v>87147.942639225817</v>
      </c>
      <c r="Q403" s="22">
        <v>82410.085138168011</v>
      </c>
      <c r="R403" s="22">
        <v>73592.429034072484</v>
      </c>
      <c r="S403" s="22">
        <v>58119.899978072601</v>
      </c>
      <c r="T403" s="22">
        <v>33343.637026221928</v>
      </c>
      <c r="U403" s="22">
        <v>77295.316576790952</v>
      </c>
      <c r="V403" s="22">
        <v>77295.316576790952</v>
      </c>
      <c r="W403" s="22">
        <v>77295.316576790952</v>
      </c>
      <c r="X403" s="22">
        <v>77295.316576790952</v>
      </c>
      <c r="Y403" s="22">
        <v>77295.316576790952</v>
      </c>
      <c r="Z403" s="22">
        <v>77295.316576790952</v>
      </c>
      <c r="AA403" s="23">
        <v>77295.316576790952</v>
      </c>
      <c r="AB403" s="97"/>
      <c r="AC403" s="24">
        <v>5</v>
      </c>
      <c r="AD403" s="16">
        <f t="shared" si="135"/>
        <v>6763340.2004692107</v>
      </c>
    </row>
    <row r="404" spans="1:30" ht="13.5" thickBot="1" x14ac:dyDescent="0.35">
      <c r="A404" s="18">
        <v>2037</v>
      </c>
      <c r="B404" s="25" t="s">
        <v>32</v>
      </c>
      <c r="C404" s="26" t="s">
        <v>36</v>
      </c>
      <c r="D404" s="21">
        <v>19323.829144197738</v>
      </c>
      <c r="E404" s="22">
        <v>19323.829144197738</v>
      </c>
      <c r="F404" s="22">
        <v>19323.829144197738</v>
      </c>
      <c r="G404" s="22">
        <v>19323.829144197738</v>
      </c>
      <c r="H404" s="22">
        <v>19323.829144197738</v>
      </c>
      <c r="I404" s="22">
        <v>19323.829144197738</v>
      </c>
      <c r="J404" s="22">
        <v>19323.829144197738</v>
      </c>
      <c r="K404" s="22">
        <v>34054.136689619736</v>
      </c>
      <c r="L404" s="22">
        <v>59170.369219097607</v>
      </c>
      <c r="M404" s="22">
        <v>75691.647011738081</v>
      </c>
      <c r="N404" s="22">
        <v>84823.308290188841</v>
      </c>
      <c r="O404" s="22">
        <v>87980.565020515831</v>
      </c>
      <c r="P404" s="22">
        <v>87147.942639225817</v>
      </c>
      <c r="Q404" s="22">
        <v>82410.085138168011</v>
      </c>
      <c r="R404" s="22">
        <v>73592.429034072484</v>
      </c>
      <c r="S404" s="22">
        <v>58119.899978072608</v>
      </c>
      <c r="T404" s="22">
        <v>33343.637026221928</v>
      </c>
      <c r="U404" s="22">
        <v>77295.316576790952</v>
      </c>
      <c r="V404" s="22">
        <v>77295.316576790952</v>
      </c>
      <c r="W404" s="22">
        <v>77295.316576790952</v>
      </c>
      <c r="X404" s="22">
        <v>77295.316576790952</v>
      </c>
      <c r="Y404" s="22">
        <v>77295.316576790952</v>
      </c>
      <c r="Z404" s="22">
        <v>77295.316576790952</v>
      </c>
      <c r="AA404" s="23">
        <v>77295.316576790952</v>
      </c>
      <c r="AB404" s="97"/>
      <c r="AC404" s="27">
        <v>6</v>
      </c>
      <c r="AD404" s="16">
        <f t="shared" si="135"/>
        <v>8116008.2405630518</v>
      </c>
    </row>
    <row r="405" spans="1:30" ht="13.5" thickBot="1" x14ac:dyDescent="0.35">
      <c r="A405" s="18">
        <v>2037</v>
      </c>
      <c r="B405" s="11" t="s">
        <v>35</v>
      </c>
      <c r="C405" s="12" t="s">
        <v>33</v>
      </c>
      <c r="D405" s="21">
        <v>19323.829144197742</v>
      </c>
      <c r="E405" s="22">
        <v>19323.829144197742</v>
      </c>
      <c r="F405" s="22">
        <v>19323.829144197742</v>
      </c>
      <c r="G405" s="22">
        <v>19323.829144197742</v>
      </c>
      <c r="H405" s="22">
        <v>19323.829144197742</v>
      </c>
      <c r="I405" s="22">
        <v>19323.829144197742</v>
      </c>
      <c r="J405" s="22">
        <v>19323.829144197742</v>
      </c>
      <c r="K405" s="22">
        <v>34054.136689619736</v>
      </c>
      <c r="L405" s="22">
        <v>59170.369219097622</v>
      </c>
      <c r="M405" s="22">
        <v>75691.647011738067</v>
      </c>
      <c r="N405" s="22">
        <v>84823.30829018887</v>
      </c>
      <c r="O405" s="22">
        <v>87980.565020515831</v>
      </c>
      <c r="P405" s="22">
        <v>87147.942639225832</v>
      </c>
      <c r="Q405" s="22">
        <v>82410.085138167982</v>
      </c>
      <c r="R405" s="22">
        <v>73592.429034072469</v>
      </c>
      <c r="S405" s="22">
        <v>58119.899978072601</v>
      </c>
      <c r="T405" s="22">
        <v>33343.637026221943</v>
      </c>
      <c r="U405" s="22">
        <v>77295.316576790967</v>
      </c>
      <c r="V405" s="22">
        <v>77295.316576790967</v>
      </c>
      <c r="W405" s="22">
        <v>77295.316576790967</v>
      </c>
      <c r="X405" s="22">
        <v>77295.316576790967</v>
      </c>
      <c r="Y405" s="22">
        <v>77295.316576790967</v>
      </c>
      <c r="Z405" s="22">
        <v>77295.316576790967</v>
      </c>
      <c r="AA405" s="23">
        <v>77295.316576790967</v>
      </c>
      <c r="AB405" s="96">
        <f t="shared" ref="AB405" si="140">+SUM(D405:AA405)*AC405+SUM(D406:AA406)*AC406+SUM(D407:AA407)*AC407</f>
        <v>37874705.122627579</v>
      </c>
      <c r="AC405" s="16">
        <v>20</v>
      </c>
      <c r="AD405" s="16">
        <f t="shared" si="135"/>
        <v>27053360.801876843</v>
      </c>
    </row>
    <row r="406" spans="1:30" ht="13.5" thickBot="1" x14ac:dyDescent="0.35">
      <c r="A406" s="18">
        <v>2037</v>
      </c>
      <c r="B406" s="19" t="s">
        <v>35</v>
      </c>
      <c r="C406" s="20" t="s">
        <v>50</v>
      </c>
      <c r="D406" s="21">
        <v>19323.829144197738</v>
      </c>
      <c r="E406" s="22">
        <v>19323.829144197738</v>
      </c>
      <c r="F406" s="22">
        <v>19323.829144197738</v>
      </c>
      <c r="G406" s="22">
        <v>19323.829144197738</v>
      </c>
      <c r="H406" s="22">
        <v>19323.829144197738</v>
      </c>
      <c r="I406" s="22">
        <v>19323.829144197738</v>
      </c>
      <c r="J406" s="22">
        <v>19323.829144197738</v>
      </c>
      <c r="K406" s="22">
        <v>34054.136689619729</v>
      </c>
      <c r="L406" s="22">
        <v>59170.369219097614</v>
      </c>
      <c r="M406" s="22">
        <v>75691.647011738081</v>
      </c>
      <c r="N406" s="22">
        <v>84823.308290188841</v>
      </c>
      <c r="O406" s="22">
        <v>87980.565020515845</v>
      </c>
      <c r="P406" s="22">
        <v>87147.942639225817</v>
      </c>
      <c r="Q406" s="22">
        <v>82410.085138168011</v>
      </c>
      <c r="R406" s="22">
        <v>73592.429034072484</v>
      </c>
      <c r="S406" s="22">
        <v>58119.899978072608</v>
      </c>
      <c r="T406" s="22">
        <v>33343.637026221928</v>
      </c>
      <c r="U406" s="22">
        <v>77295.316576790952</v>
      </c>
      <c r="V406" s="22">
        <v>77295.316576790952</v>
      </c>
      <c r="W406" s="22">
        <v>77295.316576790952</v>
      </c>
      <c r="X406" s="22">
        <v>77295.316576790952</v>
      </c>
      <c r="Y406" s="22">
        <v>77295.316576790952</v>
      </c>
      <c r="Z406" s="22">
        <v>77295.316576790952</v>
      </c>
      <c r="AA406" s="23">
        <v>77295.316576790952</v>
      </c>
      <c r="AB406" s="97"/>
      <c r="AC406" s="24">
        <v>4</v>
      </c>
      <c r="AD406" s="16">
        <f t="shared" si="135"/>
        <v>5410672.1603753688</v>
      </c>
    </row>
    <row r="407" spans="1:30" ht="13.5" thickBot="1" x14ac:dyDescent="0.35">
      <c r="A407" s="18">
        <v>2037</v>
      </c>
      <c r="B407" s="25" t="s">
        <v>35</v>
      </c>
      <c r="C407" s="26" t="s">
        <v>36</v>
      </c>
      <c r="D407" s="21">
        <v>19323.829144197738</v>
      </c>
      <c r="E407" s="22">
        <v>19323.829144197738</v>
      </c>
      <c r="F407" s="22">
        <v>19323.829144197738</v>
      </c>
      <c r="G407" s="22">
        <v>19323.829144197738</v>
      </c>
      <c r="H407" s="22">
        <v>19323.829144197738</v>
      </c>
      <c r="I407" s="22">
        <v>19323.829144197738</v>
      </c>
      <c r="J407" s="22">
        <v>19323.829144197738</v>
      </c>
      <c r="K407" s="22">
        <v>34054.136689619729</v>
      </c>
      <c r="L407" s="22">
        <v>59170.369219097614</v>
      </c>
      <c r="M407" s="22">
        <v>75691.647011738081</v>
      </c>
      <c r="N407" s="22">
        <v>84823.308290188841</v>
      </c>
      <c r="O407" s="22">
        <v>87980.565020515845</v>
      </c>
      <c r="P407" s="22">
        <v>87147.942639225817</v>
      </c>
      <c r="Q407" s="22">
        <v>82410.085138168011</v>
      </c>
      <c r="R407" s="22">
        <v>73592.429034072484</v>
      </c>
      <c r="S407" s="22">
        <v>58119.899978072608</v>
      </c>
      <c r="T407" s="22">
        <v>33343.637026221928</v>
      </c>
      <c r="U407" s="22">
        <v>77295.316576790952</v>
      </c>
      <c r="V407" s="22">
        <v>77295.316576790952</v>
      </c>
      <c r="W407" s="22">
        <v>77295.316576790952</v>
      </c>
      <c r="X407" s="22">
        <v>77295.316576790952</v>
      </c>
      <c r="Y407" s="22">
        <v>77295.316576790952</v>
      </c>
      <c r="Z407" s="22">
        <v>77295.316576790952</v>
      </c>
      <c r="AA407" s="23">
        <v>77295.316576790952</v>
      </c>
      <c r="AB407" s="97"/>
      <c r="AC407" s="27">
        <v>4</v>
      </c>
      <c r="AD407" s="16">
        <f t="shared" si="135"/>
        <v>5410672.1603753688</v>
      </c>
    </row>
    <row r="408" spans="1:30" ht="13.5" thickBot="1" x14ac:dyDescent="0.35">
      <c r="A408" s="18">
        <v>2037</v>
      </c>
      <c r="B408" s="11" t="s">
        <v>37</v>
      </c>
      <c r="C408" s="12" t="s">
        <v>33</v>
      </c>
      <c r="D408" s="21">
        <v>19323.829144197742</v>
      </c>
      <c r="E408" s="22">
        <v>19323.829144197742</v>
      </c>
      <c r="F408" s="22">
        <v>19323.829144197742</v>
      </c>
      <c r="G408" s="22">
        <v>19323.829144197742</v>
      </c>
      <c r="H408" s="22">
        <v>19323.829144197742</v>
      </c>
      <c r="I408" s="22">
        <v>19323.829144197742</v>
      </c>
      <c r="J408" s="22">
        <v>19323.829144197742</v>
      </c>
      <c r="K408" s="22">
        <v>34054.136689619736</v>
      </c>
      <c r="L408" s="22">
        <v>59170.369219097622</v>
      </c>
      <c r="M408" s="22">
        <v>75691.647011738067</v>
      </c>
      <c r="N408" s="22">
        <v>84823.30829018887</v>
      </c>
      <c r="O408" s="22">
        <v>87980.565020515831</v>
      </c>
      <c r="P408" s="22">
        <v>87147.942639225832</v>
      </c>
      <c r="Q408" s="22">
        <v>82410.085138167982</v>
      </c>
      <c r="R408" s="22">
        <v>73592.429034072469</v>
      </c>
      <c r="S408" s="22">
        <v>58119.899978072601</v>
      </c>
      <c r="T408" s="22">
        <v>33343.637026221943</v>
      </c>
      <c r="U408" s="22">
        <v>77295.316576790967</v>
      </c>
      <c r="V408" s="22">
        <v>77295.316576790967</v>
      </c>
      <c r="W408" s="22">
        <v>77295.316576790967</v>
      </c>
      <c r="X408" s="22">
        <v>77295.316576790967</v>
      </c>
      <c r="Y408" s="22">
        <v>77295.316576790967</v>
      </c>
      <c r="Z408" s="22">
        <v>77295.316576790967</v>
      </c>
      <c r="AA408" s="23">
        <v>77295.316576790967</v>
      </c>
      <c r="AB408" s="96">
        <f t="shared" ref="AB408" si="141">+SUM(D408:AA408)*AC408+SUM(D409:AA409)*AC409+SUM(D410:AA410)*AC410</f>
        <v>41932709.242909104</v>
      </c>
      <c r="AC408" s="16">
        <v>21</v>
      </c>
      <c r="AD408" s="16">
        <f t="shared" si="135"/>
        <v>28406028.841970686</v>
      </c>
    </row>
    <row r="409" spans="1:30" ht="13.5" thickBot="1" x14ac:dyDescent="0.35">
      <c r="A409" s="18">
        <v>2037</v>
      </c>
      <c r="B409" s="19" t="s">
        <v>37</v>
      </c>
      <c r="C409" s="20" t="s">
        <v>50</v>
      </c>
      <c r="D409" s="21">
        <v>19323.829144197738</v>
      </c>
      <c r="E409" s="22">
        <v>19323.829144197738</v>
      </c>
      <c r="F409" s="22">
        <v>19323.829144197738</v>
      </c>
      <c r="G409" s="22">
        <v>19323.829144197738</v>
      </c>
      <c r="H409" s="22">
        <v>19323.829144197738</v>
      </c>
      <c r="I409" s="22">
        <v>19323.829144197738</v>
      </c>
      <c r="J409" s="22">
        <v>19323.829144197738</v>
      </c>
      <c r="K409" s="22">
        <v>34054.136689619729</v>
      </c>
      <c r="L409" s="22">
        <v>59170.369219097614</v>
      </c>
      <c r="M409" s="22">
        <v>75691.647011738081</v>
      </c>
      <c r="N409" s="22">
        <v>84823.308290188841</v>
      </c>
      <c r="O409" s="22">
        <v>87980.565020515845</v>
      </c>
      <c r="P409" s="22">
        <v>87147.942639225817</v>
      </c>
      <c r="Q409" s="22">
        <v>82410.085138168011</v>
      </c>
      <c r="R409" s="22">
        <v>73592.429034072484</v>
      </c>
      <c r="S409" s="22">
        <v>58119.899978072608</v>
      </c>
      <c r="T409" s="22">
        <v>33343.637026221928</v>
      </c>
      <c r="U409" s="22">
        <v>77295.316576790952</v>
      </c>
      <c r="V409" s="22">
        <v>77295.316576790952</v>
      </c>
      <c r="W409" s="22">
        <v>77295.316576790952</v>
      </c>
      <c r="X409" s="22">
        <v>77295.316576790952</v>
      </c>
      <c r="Y409" s="22">
        <v>77295.316576790952</v>
      </c>
      <c r="Z409" s="22">
        <v>77295.316576790952</v>
      </c>
      <c r="AA409" s="23">
        <v>77295.316576790952</v>
      </c>
      <c r="AB409" s="97"/>
      <c r="AC409" s="24">
        <v>4</v>
      </c>
      <c r="AD409" s="16">
        <f t="shared" si="135"/>
        <v>5410672.1603753688</v>
      </c>
    </row>
    <row r="410" spans="1:30" ht="13.5" thickBot="1" x14ac:dyDescent="0.35">
      <c r="A410" s="18">
        <v>2037</v>
      </c>
      <c r="B410" s="25" t="s">
        <v>37</v>
      </c>
      <c r="C410" s="26" t="s">
        <v>36</v>
      </c>
      <c r="D410" s="21">
        <v>19323.829144197738</v>
      </c>
      <c r="E410" s="22">
        <v>19323.829144197738</v>
      </c>
      <c r="F410" s="22">
        <v>19323.829144197738</v>
      </c>
      <c r="G410" s="22">
        <v>19323.829144197738</v>
      </c>
      <c r="H410" s="22">
        <v>19323.829144197738</v>
      </c>
      <c r="I410" s="22">
        <v>19323.829144197738</v>
      </c>
      <c r="J410" s="22">
        <v>19323.829144197738</v>
      </c>
      <c r="K410" s="22">
        <v>34054.136689619736</v>
      </c>
      <c r="L410" s="22">
        <v>59170.369219097607</v>
      </c>
      <c r="M410" s="22">
        <v>75691.647011738081</v>
      </c>
      <c r="N410" s="22">
        <v>84823.308290188841</v>
      </c>
      <c r="O410" s="22">
        <v>87980.565020515831</v>
      </c>
      <c r="P410" s="22">
        <v>87147.942639225817</v>
      </c>
      <c r="Q410" s="22">
        <v>82410.085138168011</v>
      </c>
      <c r="R410" s="22">
        <v>73592.429034072484</v>
      </c>
      <c r="S410" s="22">
        <v>58119.899978072608</v>
      </c>
      <c r="T410" s="22">
        <v>33343.637026221928</v>
      </c>
      <c r="U410" s="22">
        <v>77295.316576790952</v>
      </c>
      <c r="V410" s="22">
        <v>77295.316576790952</v>
      </c>
      <c r="W410" s="22">
        <v>77295.316576790952</v>
      </c>
      <c r="X410" s="22">
        <v>77295.316576790952</v>
      </c>
      <c r="Y410" s="22">
        <v>77295.316576790952</v>
      </c>
      <c r="Z410" s="22">
        <v>77295.316576790952</v>
      </c>
      <c r="AA410" s="23">
        <v>77295.316576790952</v>
      </c>
      <c r="AB410" s="97"/>
      <c r="AC410" s="27">
        <v>6</v>
      </c>
      <c r="AD410" s="16">
        <f t="shared" si="135"/>
        <v>8116008.2405630518</v>
      </c>
    </row>
    <row r="411" spans="1:30" ht="13.5" thickBot="1" x14ac:dyDescent="0.35">
      <c r="A411" s="18">
        <v>2037</v>
      </c>
      <c r="B411" s="11" t="s">
        <v>38</v>
      </c>
      <c r="C411" s="12" t="s">
        <v>33</v>
      </c>
      <c r="D411" s="21">
        <v>19323.829144197742</v>
      </c>
      <c r="E411" s="22">
        <v>19323.829144197742</v>
      </c>
      <c r="F411" s="22">
        <v>19323.829144197742</v>
      </c>
      <c r="G411" s="22">
        <v>19323.829144197742</v>
      </c>
      <c r="H411" s="22">
        <v>19323.829144197742</v>
      </c>
      <c r="I411" s="22">
        <v>19323.829144197742</v>
      </c>
      <c r="J411" s="22">
        <v>19323.829144197742</v>
      </c>
      <c r="K411" s="22">
        <v>34054.136689619736</v>
      </c>
      <c r="L411" s="22">
        <v>59170.369219097622</v>
      </c>
      <c r="M411" s="22">
        <v>75691.647011738067</v>
      </c>
      <c r="N411" s="22">
        <v>84823.30829018887</v>
      </c>
      <c r="O411" s="22">
        <v>87980.565020515831</v>
      </c>
      <c r="P411" s="22">
        <v>87147.942639225832</v>
      </c>
      <c r="Q411" s="22">
        <v>82410.085138167982</v>
      </c>
      <c r="R411" s="22">
        <v>73592.429034072469</v>
      </c>
      <c r="S411" s="22">
        <v>58119.899978072601</v>
      </c>
      <c r="T411" s="22">
        <v>33343.637026221943</v>
      </c>
      <c r="U411" s="22">
        <v>77295.316576790967</v>
      </c>
      <c r="V411" s="22">
        <v>77295.316576790967</v>
      </c>
      <c r="W411" s="22">
        <v>77295.316576790967</v>
      </c>
      <c r="X411" s="22">
        <v>77295.316576790967</v>
      </c>
      <c r="Y411" s="22">
        <v>77295.316576790967</v>
      </c>
      <c r="Z411" s="22">
        <v>77295.316576790967</v>
      </c>
      <c r="AA411" s="23">
        <v>77295.316576790967</v>
      </c>
      <c r="AB411" s="96">
        <f t="shared" ref="AB411" si="142">+SUM(D411:AA411)*AC411+SUM(D412:AA412)*AC412+SUM(D413:AA413)*AC413</f>
        <v>40580041.202815264</v>
      </c>
      <c r="AC411" s="16">
        <v>20</v>
      </c>
      <c r="AD411" s="16">
        <f t="shared" si="135"/>
        <v>27053360.801876843</v>
      </c>
    </row>
    <row r="412" spans="1:30" ht="13.5" thickBot="1" x14ac:dyDescent="0.35">
      <c r="A412" s="18">
        <v>2037</v>
      </c>
      <c r="B412" s="19" t="s">
        <v>38</v>
      </c>
      <c r="C412" s="20" t="s">
        <v>50</v>
      </c>
      <c r="D412" s="21">
        <v>19323.829144197738</v>
      </c>
      <c r="E412" s="22">
        <v>19323.829144197738</v>
      </c>
      <c r="F412" s="22">
        <v>19323.829144197738</v>
      </c>
      <c r="G412" s="22">
        <v>19323.829144197738</v>
      </c>
      <c r="H412" s="22">
        <v>19323.829144197738</v>
      </c>
      <c r="I412" s="22">
        <v>19323.829144197738</v>
      </c>
      <c r="J412" s="22">
        <v>19323.829144197738</v>
      </c>
      <c r="K412" s="22">
        <v>34054.136689619729</v>
      </c>
      <c r="L412" s="22">
        <v>59170.369219097614</v>
      </c>
      <c r="M412" s="22">
        <v>75691.647011738081</v>
      </c>
      <c r="N412" s="22">
        <v>84823.308290188841</v>
      </c>
      <c r="O412" s="22">
        <v>87980.565020515845</v>
      </c>
      <c r="P412" s="22">
        <v>87147.942639225817</v>
      </c>
      <c r="Q412" s="22">
        <v>82410.085138168011</v>
      </c>
      <c r="R412" s="22">
        <v>73592.429034072484</v>
      </c>
      <c r="S412" s="22">
        <v>58119.899978072608</v>
      </c>
      <c r="T412" s="22">
        <v>33343.637026221928</v>
      </c>
      <c r="U412" s="22">
        <v>77295.316576790952</v>
      </c>
      <c r="V412" s="22">
        <v>77295.316576790952</v>
      </c>
      <c r="W412" s="22">
        <v>77295.316576790952</v>
      </c>
      <c r="X412" s="22">
        <v>77295.316576790952</v>
      </c>
      <c r="Y412" s="22">
        <v>77295.316576790952</v>
      </c>
      <c r="Z412" s="22">
        <v>77295.316576790952</v>
      </c>
      <c r="AA412" s="23">
        <v>77295.316576790952</v>
      </c>
      <c r="AB412" s="97"/>
      <c r="AC412" s="24">
        <v>4</v>
      </c>
      <c r="AD412" s="16">
        <f t="shared" si="135"/>
        <v>5410672.1603753688</v>
      </c>
    </row>
    <row r="413" spans="1:30" ht="13.5" thickBot="1" x14ac:dyDescent="0.35">
      <c r="A413" s="18">
        <v>2037</v>
      </c>
      <c r="B413" s="25" t="s">
        <v>38</v>
      </c>
      <c r="C413" s="26" t="s">
        <v>36</v>
      </c>
      <c r="D413" s="21">
        <v>19323.829144197738</v>
      </c>
      <c r="E413" s="22">
        <v>19323.829144197738</v>
      </c>
      <c r="F413" s="22">
        <v>19323.829144197738</v>
      </c>
      <c r="G413" s="22">
        <v>19323.829144197738</v>
      </c>
      <c r="H413" s="22">
        <v>19323.829144197738</v>
      </c>
      <c r="I413" s="22">
        <v>19323.829144197738</v>
      </c>
      <c r="J413" s="22">
        <v>19323.829144197738</v>
      </c>
      <c r="K413" s="22">
        <v>34054.136689619736</v>
      </c>
      <c r="L413" s="22">
        <v>59170.369219097607</v>
      </c>
      <c r="M413" s="22">
        <v>75691.647011738081</v>
      </c>
      <c r="N413" s="22">
        <v>84823.308290188841</v>
      </c>
      <c r="O413" s="22">
        <v>87980.565020515831</v>
      </c>
      <c r="P413" s="22">
        <v>87147.942639225817</v>
      </c>
      <c r="Q413" s="22">
        <v>82410.085138168011</v>
      </c>
      <c r="R413" s="22">
        <v>73592.429034072484</v>
      </c>
      <c r="S413" s="22">
        <v>58119.899978072608</v>
      </c>
      <c r="T413" s="22">
        <v>33343.637026221928</v>
      </c>
      <c r="U413" s="22">
        <v>77295.316576790952</v>
      </c>
      <c r="V413" s="22">
        <v>77295.316576790952</v>
      </c>
      <c r="W413" s="22">
        <v>77295.316576790952</v>
      </c>
      <c r="X413" s="22">
        <v>77295.316576790952</v>
      </c>
      <c r="Y413" s="22">
        <v>77295.316576790952</v>
      </c>
      <c r="Z413" s="22">
        <v>77295.316576790952</v>
      </c>
      <c r="AA413" s="23">
        <v>77295.316576790952</v>
      </c>
      <c r="AB413" s="97"/>
      <c r="AC413" s="27">
        <v>6</v>
      </c>
      <c r="AD413" s="16">
        <f t="shared" si="135"/>
        <v>8116008.2405630518</v>
      </c>
    </row>
    <row r="414" spans="1:30" ht="13.5" thickBot="1" x14ac:dyDescent="0.35">
      <c r="A414" s="18">
        <v>2037</v>
      </c>
      <c r="B414" s="11" t="s">
        <v>39</v>
      </c>
      <c r="C414" s="12" t="s">
        <v>33</v>
      </c>
      <c r="D414" s="21">
        <v>19323.829144197742</v>
      </c>
      <c r="E414" s="22">
        <v>19323.829144197742</v>
      </c>
      <c r="F414" s="22">
        <v>19323.829144197742</v>
      </c>
      <c r="G414" s="22">
        <v>19323.829144197742</v>
      </c>
      <c r="H414" s="22">
        <v>19323.829144197742</v>
      </c>
      <c r="I414" s="22">
        <v>19323.829144197742</v>
      </c>
      <c r="J414" s="22">
        <v>19323.829144197742</v>
      </c>
      <c r="K414" s="22">
        <v>34054.136689619736</v>
      </c>
      <c r="L414" s="22">
        <v>59170.369219097629</v>
      </c>
      <c r="M414" s="22">
        <v>75691.647011738067</v>
      </c>
      <c r="N414" s="22">
        <v>84823.30829018887</v>
      </c>
      <c r="O414" s="22">
        <v>87980.565020515831</v>
      </c>
      <c r="P414" s="22">
        <v>87147.942639225832</v>
      </c>
      <c r="Q414" s="22">
        <v>82410.085138167982</v>
      </c>
      <c r="R414" s="22">
        <v>73592.429034072469</v>
      </c>
      <c r="S414" s="22">
        <v>58119.899978072601</v>
      </c>
      <c r="T414" s="22">
        <v>33343.637026221943</v>
      </c>
      <c r="U414" s="22">
        <v>77295.316576790967</v>
      </c>
      <c r="V414" s="22">
        <v>77295.316576790967</v>
      </c>
      <c r="W414" s="22">
        <v>77295.316576790967</v>
      </c>
      <c r="X414" s="22">
        <v>77295.316576790967</v>
      </c>
      <c r="Y414" s="22">
        <v>77295.316576790967</v>
      </c>
      <c r="Z414" s="22">
        <v>77295.316576790967</v>
      </c>
      <c r="AA414" s="23">
        <v>77295.316576790967</v>
      </c>
      <c r="AB414" s="96">
        <f t="shared" ref="AB414" si="143">+SUM(D414:AA414)*AC414+SUM(D415:AA415)*AC415+SUM(D416:AA416)*AC416</f>
        <v>41932709.242909104</v>
      </c>
      <c r="AC414" s="16">
        <v>19</v>
      </c>
      <c r="AD414" s="16">
        <f t="shared" si="135"/>
        <v>25700692.761783</v>
      </c>
    </row>
    <row r="415" spans="1:30" ht="13.5" thickBot="1" x14ac:dyDescent="0.35">
      <c r="A415" s="18">
        <v>2037</v>
      </c>
      <c r="B415" s="19" t="s">
        <v>39</v>
      </c>
      <c r="C415" s="20" t="s">
        <v>50</v>
      </c>
      <c r="D415" s="21">
        <v>19323.829144197738</v>
      </c>
      <c r="E415" s="22">
        <v>19323.829144197738</v>
      </c>
      <c r="F415" s="22">
        <v>19323.829144197738</v>
      </c>
      <c r="G415" s="22">
        <v>19323.829144197738</v>
      </c>
      <c r="H415" s="22">
        <v>19323.829144197738</v>
      </c>
      <c r="I415" s="22">
        <v>19323.829144197738</v>
      </c>
      <c r="J415" s="22">
        <v>19323.829144197738</v>
      </c>
      <c r="K415" s="22">
        <v>34054.136689619729</v>
      </c>
      <c r="L415" s="22">
        <v>59170.369219097614</v>
      </c>
      <c r="M415" s="22">
        <v>75691.647011738081</v>
      </c>
      <c r="N415" s="22">
        <v>84823.308290188841</v>
      </c>
      <c r="O415" s="22">
        <v>87980.565020515845</v>
      </c>
      <c r="P415" s="22">
        <v>87147.942639225817</v>
      </c>
      <c r="Q415" s="22">
        <v>82410.085138168011</v>
      </c>
      <c r="R415" s="22">
        <v>73592.429034072484</v>
      </c>
      <c r="S415" s="22">
        <v>58119.899978072601</v>
      </c>
      <c r="T415" s="22">
        <v>33343.637026221928</v>
      </c>
      <c r="U415" s="22">
        <v>77295.316576790952</v>
      </c>
      <c r="V415" s="22">
        <v>77295.316576790952</v>
      </c>
      <c r="W415" s="22">
        <v>77295.316576790952</v>
      </c>
      <c r="X415" s="22">
        <v>77295.316576790952</v>
      </c>
      <c r="Y415" s="22">
        <v>77295.316576790952</v>
      </c>
      <c r="Z415" s="22">
        <v>77295.316576790952</v>
      </c>
      <c r="AA415" s="23">
        <v>77295.316576790952</v>
      </c>
      <c r="AB415" s="97"/>
      <c r="AC415" s="24">
        <v>5</v>
      </c>
      <c r="AD415" s="16">
        <f t="shared" si="135"/>
        <v>6763340.2004692107</v>
      </c>
    </row>
    <row r="416" spans="1:30" ht="13.5" thickBot="1" x14ac:dyDescent="0.35">
      <c r="A416" s="18">
        <v>2037</v>
      </c>
      <c r="B416" s="25" t="s">
        <v>39</v>
      </c>
      <c r="C416" s="26" t="s">
        <v>36</v>
      </c>
      <c r="D416" s="21">
        <v>19323.829144197738</v>
      </c>
      <c r="E416" s="22">
        <v>19323.829144197738</v>
      </c>
      <c r="F416" s="22">
        <v>19323.829144197738</v>
      </c>
      <c r="G416" s="22">
        <v>19323.829144197738</v>
      </c>
      <c r="H416" s="22">
        <v>19323.829144197738</v>
      </c>
      <c r="I416" s="22">
        <v>19323.829144197738</v>
      </c>
      <c r="J416" s="22">
        <v>19323.829144197738</v>
      </c>
      <c r="K416" s="22">
        <v>34054.136689619736</v>
      </c>
      <c r="L416" s="22">
        <v>59170.369219097607</v>
      </c>
      <c r="M416" s="22">
        <v>75691.647011738081</v>
      </c>
      <c r="N416" s="22">
        <v>84823.308290188827</v>
      </c>
      <c r="O416" s="22">
        <v>87980.565020515831</v>
      </c>
      <c r="P416" s="22">
        <v>87147.942639225817</v>
      </c>
      <c r="Q416" s="22">
        <v>82410.085138168026</v>
      </c>
      <c r="R416" s="22">
        <v>73592.429034072484</v>
      </c>
      <c r="S416" s="22">
        <v>58119.899978072608</v>
      </c>
      <c r="T416" s="22">
        <v>33343.637026221928</v>
      </c>
      <c r="U416" s="22">
        <v>77295.316576790952</v>
      </c>
      <c r="V416" s="22">
        <v>77295.316576790952</v>
      </c>
      <c r="W416" s="22">
        <v>77295.316576790952</v>
      </c>
      <c r="X416" s="22">
        <v>77295.316576790952</v>
      </c>
      <c r="Y416" s="22">
        <v>77295.316576790952</v>
      </c>
      <c r="Z416" s="22">
        <v>77295.316576790952</v>
      </c>
      <c r="AA416" s="23">
        <v>77295.316576790952</v>
      </c>
      <c r="AB416" s="97"/>
      <c r="AC416" s="27">
        <v>7</v>
      </c>
      <c r="AD416" s="16">
        <f t="shared" si="135"/>
        <v>9468676.2806568928</v>
      </c>
    </row>
    <row r="417" spans="1:30" ht="13.5" thickBot="1" x14ac:dyDescent="0.35">
      <c r="A417" s="18">
        <v>2037</v>
      </c>
      <c r="B417" s="11" t="s">
        <v>40</v>
      </c>
      <c r="C417" s="12" t="s">
        <v>33</v>
      </c>
      <c r="D417" s="21">
        <v>19323.829144197742</v>
      </c>
      <c r="E417" s="22">
        <v>19323.829144197742</v>
      </c>
      <c r="F417" s="22">
        <v>19323.829144197742</v>
      </c>
      <c r="G417" s="22">
        <v>19323.829144197742</v>
      </c>
      <c r="H417" s="22">
        <v>19323.829144197742</v>
      </c>
      <c r="I417" s="22">
        <v>19323.829144197742</v>
      </c>
      <c r="J417" s="22">
        <v>19323.829144197742</v>
      </c>
      <c r="K417" s="22">
        <v>34054.136689619736</v>
      </c>
      <c r="L417" s="22">
        <v>59170.369219097629</v>
      </c>
      <c r="M417" s="22">
        <v>75691.647011738067</v>
      </c>
      <c r="N417" s="22">
        <v>84823.30829018887</v>
      </c>
      <c r="O417" s="22">
        <v>87980.565020515831</v>
      </c>
      <c r="P417" s="22">
        <v>87147.942639225832</v>
      </c>
      <c r="Q417" s="22">
        <v>82410.085138167982</v>
      </c>
      <c r="R417" s="22">
        <v>73592.429034072469</v>
      </c>
      <c r="S417" s="22">
        <v>58119.899978072601</v>
      </c>
      <c r="T417" s="22">
        <v>33343.637026221943</v>
      </c>
      <c r="U417" s="22">
        <v>77295.316576790967</v>
      </c>
      <c r="V417" s="22">
        <v>77295.316576790967</v>
      </c>
      <c r="W417" s="22">
        <v>77295.316576790967</v>
      </c>
      <c r="X417" s="22">
        <v>77295.316576790967</v>
      </c>
      <c r="Y417" s="22">
        <v>77295.316576790967</v>
      </c>
      <c r="Z417" s="22">
        <v>77295.316576790967</v>
      </c>
      <c r="AA417" s="23">
        <v>77295.316576790967</v>
      </c>
      <c r="AB417" s="96">
        <f t="shared" ref="AB417" si="144">+SUM(D417:AA417)*AC417+SUM(D418:AA418)*AC418+SUM(D419:AA419)*AC419</f>
        <v>40580041.202815264</v>
      </c>
      <c r="AC417" s="16">
        <v>19</v>
      </c>
      <c r="AD417" s="16">
        <f t="shared" si="135"/>
        <v>25700692.761783</v>
      </c>
    </row>
    <row r="418" spans="1:30" ht="13.5" thickBot="1" x14ac:dyDescent="0.35">
      <c r="A418" s="18">
        <v>2037</v>
      </c>
      <c r="B418" s="19" t="s">
        <v>40</v>
      </c>
      <c r="C418" s="20" t="s">
        <v>50</v>
      </c>
      <c r="D418" s="21">
        <v>19323.829144197738</v>
      </c>
      <c r="E418" s="22">
        <v>19323.829144197738</v>
      </c>
      <c r="F418" s="22">
        <v>19323.829144197738</v>
      </c>
      <c r="G418" s="22">
        <v>19323.829144197738</v>
      </c>
      <c r="H418" s="22">
        <v>19323.829144197738</v>
      </c>
      <c r="I418" s="22">
        <v>19323.829144197738</v>
      </c>
      <c r="J418" s="22">
        <v>19323.829144197738</v>
      </c>
      <c r="K418" s="22">
        <v>34054.136689619729</v>
      </c>
      <c r="L418" s="22">
        <v>59170.369219097614</v>
      </c>
      <c r="M418" s="22">
        <v>75691.647011738081</v>
      </c>
      <c r="N418" s="22">
        <v>84823.308290188841</v>
      </c>
      <c r="O418" s="22">
        <v>87980.565020515845</v>
      </c>
      <c r="P418" s="22">
        <v>87147.942639225817</v>
      </c>
      <c r="Q418" s="22">
        <v>82410.085138168011</v>
      </c>
      <c r="R418" s="22">
        <v>73592.429034072484</v>
      </c>
      <c r="S418" s="22">
        <v>58119.899978072608</v>
      </c>
      <c r="T418" s="22">
        <v>33343.637026221928</v>
      </c>
      <c r="U418" s="22">
        <v>77295.316576790952</v>
      </c>
      <c r="V418" s="22">
        <v>77295.316576790952</v>
      </c>
      <c r="W418" s="22">
        <v>77295.316576790952</v>
      </c>
      <c r="X418" s="22">
        <v>77295.316576790952</v>
      </c>
      <c r="Y418" s="22">
        <v>77295.316576790952</v>
      </c>
      <c r="Z418" s="22">
        <v>77295.316576790952</v>
      </c>
      <c r="AA418" s="23">
        <v>77295.316576790952</v>
      </c>
      <c r="AB418" s="97"/>
      <c r="AC418" s="24">
        <v>4</v>
      </c>
      <c r="AD418" s="16">
        <f t="shared" si="135"/>
        <v>5410672.1603753688</v>
      </c>
    </row>
    <row r="419" spans="1:30" ht="13.5" thickBot="1" x14ac:dyDescent="0.35">
      <c r="A419" s="18">
        <v>2037</v>
      </c>
      <c r="B419" s="25" t="s">
        <v>40</v>
      </c>
      <c r="C419" s="26" t="s">
        <v>36</v>
      </c>
      <c r="D419" s="21">
        <v>19323.829144197738</v>
      </c>
      <c r="E419" s="22">
        <v>19323.829144197738</v>
      </c>
      <c r="F419" s="22">
        <v>19323.829144197738</v>
      </c>
      <c r="G419" s="22">
        <v>19323.829144197738</v>
      </c>
      <c r="H419" s="22">
        <v>19323.829144197738</v>
      </c>
      <c r="I419" s="22">
        <v>19323.829144197738</v>
      </c>
      <c r="J419" s="22">
        <v>19323.829144197738</v>
      </c>
      <c r="K419" s="22">
        <v>34054.136689619736</v>
      </c>
      <c r="L419" s="22">
        <v>59170.369219097607</v>
      </c>
      <c r="M419" s="22">
        <v>75691.647011738081</v>
      </c>
      <c r="N419" s="22">
        <v>84823.308290188827</v>
      </c>
      <c r="O419" s="22">
        <v>87980.565020515831</v>
      </c>
      <c r="P419" s="22">
        <v>87147.942639225817</v>
      </c>
      <c r="Q419" s="22">
        <v>82410.085138168026</v>
      </c>
      <c r="R419" s="22">
        <v>73592.429034072484</v>
      </c>
      <c r="S419" s="22">
        <v>58119.899978072608</v>
      </c>
      <c r="T419" s="22">
        <v>33343.637026221928</v>
      </c>
      <c r="U419" s="22">
        <v>77295.316576790952</v>
      </c>
      <c r="V419" s="22">
        <v>77295.316576790952</v>
      </c>
      <c r="W419" s="22">
        <v>77295.316576790952</v>
      </c>
      <c r="X419" s="22">
        <v>77295.316576790952</v>
      </c>
      <c r="Y419" s="22">
        <v>77295.316576790952</v>
      </c>
      <c r="Z419" s="22">
        <v>77295.316576790952</v>
      </c>
      <c r="AA419" s="23">
        <v>77295.316576790952</v>
      </c>
      <c r="AB419" s="97"/>
      <c r="AC419" s="27">
        <v>7</v>
      </c>
      <c r="AD419" s="16">
        <f t="shared" si="135"/>
        <v>9468676.2806568928</v>
      </c>
    </row>
    <row r="420" spans="1:30" ht="13.5" thickBot="1" x14ac:dyDescent="0.35">
      <c r="A420" s="18">
        <v>2037</v>
      </c>
      <c r="B420" s="11" t="s">
        <v>41</v>
      </c>
      <c r="C420" s="12" t="s">
        <v>33</v>
      </c>
      <c r="D420" s="21">
        <v>19323.829144197745</v>
      </c>
      <c r="E420" s="22">
        <v>19323.829144197745</v>
      </c>
      <c r="F420" s="22">
        <v>19323.829144197745</v>
      </c>
      <c r="G420" s="22">
        <v>19323.829144197745</v>
      </c>
      <c r="H420" s="22">
        <v>19323.829144197745</v>
      </c>
      <c r="I420" s="22">
        <v>19323.829144197745</v>
      </c>
      <c r="J420" s="22">
        <v>19323.829144197745</v>
      </c>
      <c r="K420" s="22">
        <v>34054.136689619736</v>
      </c>
      <c r="L420" s="22">
        <v>59170.369219097614</v>
      </c>
      <c r="M420" s="22">
        <v>75691.647011738052</v>
      </c>
      <c r="N420" s="22">
        <v>84823.308290188885</v>
      </c>
      <c r="O420" s="22">
        <v>87980.565020515831</v>
      </c>
      <c r="P420" s="22">
        <v>87147.942639225847</v>
      </c>
      <c r="Q420" s="22">
        <v>82410.085138167968</v>
      </c>
      <c r="R420" s="22">
        <v>73592.429034072455</v>
      </c>
      <c r="S420" s="22">
        <v>58119.899978072608</v>
      </c>
      <c r="T420" s="22">
        <v>33343.63702622195</v>
      </c>
      <c r="U420" s="22">
        <v>77295.316576790981</v>
      </c>
      <c r="V420" s="22">
        <v>77295.316576790981</v>
      </c>
      <c r="W420" s="22">
        <v>77295.316576790981</v>
      </c>
      <c r="X420" s="22">
        <v>77295.316576790981</v>
      </c>
      <c r="Y420" s="22">
        <v>77295.316576790981</v>
      </c>
      <c r="Z420" s="22">
        <v>77295.316576790981</v>
      </c>
      <c r="AA420" s="23">
        <v>77295.316576790981</v>
      </c>
      <c r="AB420" s="96">
        <f t="shared" ref="AB420" si="145">+SUM(D420:AA420)*AC420+SUM(D421:AA421)*AC421+SUM(D422:AA422)*AC422</f>
        <v>41932709.242909104</v>
      </c>
      <c r="AC420" s="16">
        <v>22</v>
      </c>
      <c r="AD420" s="16">
        <f t="shared" si="135"/>
        <v>29758696.882064521</v>
      </c>
    </row>
    <row r="421" spans="1:30" ht="13.5" thickBot="1" x14ac:dyDescent="0.35">
      <c r="A421" s="18">
        <v>2037</v>
      </c>
      <c r="B421" s="19" t="s">
        <v>41</v>
      </c>
      <c r="C421" s="20" t="s">
        <v>50</v>
      </c>
      <c r="D421" s="21">
        <v>19323.829144197738</v>
      </c>
      <c r="E421" s="22">
        <v>19323.829144197738</v>
      </c>
      <c r="F421" s="22">
        <v>19323.829144197738</v>
      </c>
      <c r="G421" s="22">
        <v>19323.829144197738</v>
      </c>
      <c r="H421" s="22">
        <v>19323.829144197738</v>
      </c>
      <c r="I421" s="22">
        <v>19323.829144197738</v>
      </c>
      <c r="J421" s="22">
        <v>19323.829144197738</v>
      </c>
      <c r="K421" s="22">
        <v>34054.136689619729</v>
      </c>
      <c r="L421" s="22">
        <v>59170.369219097614</v>
      </c>
      <c r="M421" s="22">
        <v>75691.647011738081</v>
      </c>
      <c r="N421" s="22">
        <v>84823.308290188841</v>
      </c>
      <c r="O421" s="22">
        <v>87980.565020515845</v>
      </c>
      <c r="P421" s="22">
        <v>87147.942639225817</v>
      </c>
      <c r="Q421" s="22">
        <v>82410.085138168011</v>
      </c>
      <c r="R421" s="22">
        <v>73592.429034072484</v>
      </c>
      <c r="S421" s="22">
        <v>58119.899978072608</v>
      </c>
      <c r="T421" s="22">
        <v>33343.637026221928</v>
      </c>
      <c r="U421" s="22">
        <v>77295.316576790952</v>
      </c>
      <c r="V421" s="22">
        <v>77295.316576790952</v>
      </c>
      <c r="W421" s="22">
        <v>77295.316576790952</v>
      </c>
      <c r="X421" s="22">
        <v>77295.316576790952</v>
      </c>
      <c r="Y421" s="22">
        <v>77295.316576790952</v>
      </c>
      <c r="Z421" s="22">
        <v>77295.316576790952</v>
      </c>
      <c r="AA421" s="23">
        <v>77295.316576790952</v>
      </c>
      <c r="AB421" s="97"/>
      <c r="AC421" s="24">
        <v>4</v>
      </c>
      <c r="AD421" s="16">
        <f t="shared" si="135"/>
        <v>5410672.1603753688</v>
      </c>
    </row>
    <row r="422" spans="1:30" ht="13.5" thickBot="1" x14ac:dyDescent="0.35">
      <c r="A422" s="18">
        <v>2037</v>
      </c>
      <c r="B422" s="25" t="s">
        <v>41</v>
      </c>
      <c r="C422" s="26" t="s">
        <v>36</v>
      </c>
      <c r="D422" s="21">
        <v>19323.829144197738</v>
      </c>
      <c r="E422" s="22">
        <v>19323.829144197738</v>
      </c>
      <c r="F422" s="22">
        <v>19323.829144197738</v>
      </c>
      <c r="G422" s="22">
        <v>19323.829144197738</v>
      </c>
      <c r="H422" s="22">
        <v>19323.829144197738</v>
      </c>
      <c r="I422" s="22">
        <v>19323.829144197738</v>
      </c>
      <c r="J422" s="22">
        <v>19323.829144197738</v>
      </c>
      <c r="K422" s="22">
        <v>34054.136689619729</v>
      </c>
      <c r="L422" s="22">
        <v>59170.369219097614</v>
      </c>
      <c r="M422" s="22">
        <v>75691.647011738081</v>
      </c>
      <c r="N422" s="22">
        <v>84823.308290188841</v>
      </c>
      <c r="O422" s="22">
        <v>87980.565020515845</v>
      </c>
      <c r="P422" s="22">
        <v>87147.942639225817</v>
      </c>
      <c r="Q422" s="22">
        <v>82410.085138168011</v>
      </c>
      <c r="R422" s="22">
        <v>73592.429034072484</v>
      </c>
      <c r="S422" s="22">
        <v>58119.899978072601</v>
      </c>
      <c r="T422" s="22">
        <v>33343.637026221928</v>
      </c>
      <c r="U422" s="22">
        <v>77295.316576790952</v>
      </c>
      <c r="V422" s="22">
        <v>77295.316576790952</v>
      </c>
      <c r="W422" s="22">
        <v>77295.316576790952</v>
      </c>
      <c r="X422" s="22">
        <v>77295.316576790952</v>
      </c>
      <c r="Y422" s="22">
        <v>77295.316576790952</v>
      </c>
      <c r="Z422" s="22">
        <v>77295.316576790952</v>
      </c>
      <c r="AA422" s="23">
        <v>77295.316576790952</v>
      </c>
      <c r="AB422" s="97"/>
      <c r="AC422" s="27">
        <v>5</v>
      </c>
      <c r="AD422" s="16">
        <f t="shared" si="135"/>
        <v>6763340.2004692107</v>
      </c>
    </row>
    <row r="423" spans="1:30" ht="13.5" thickBot="1" x14ac:dyDescent="0.35">
      <c r="A423" s="18">
        <v>2037</v>
      </c>
      <c r="B423" s="11" t="s">
        <v>42</v>
      </c>
      <c r="C423" s="12" t="s">
        <v>33</v>
      </c>
      <c r="D423" s="21">
        <v>19323.829144197742</v>
      </c>
      <c r="E423" s="22">
        <v>19323.829144197742</v>
      </c>
      <c r="F423" s="22">
        <v>19323.829144197742</v>
      </c>
      <c r="G423" s="22">
        <v>19323.829144197742</v>
      </c>
      <c r="H423" s="22">
        <v>19323.829144197742</v>
      </c>
      <c r="I423" s="22">
        <v>19323.829144197742</v>
      </c>
      <c r="J423" s="22">
        <v>19323.829144197742</v>
      </c>
      <c r="K423" s="22">
        <v>34054.136689619736</v>
      </c>
      <c r="L423" s="22">
        <v>59170.369219097629</v>
      </c>
      <c r="M423" s="22">
        <v>75691.647011738067</v>
      </c>
      <c r="N423" s="22">
        <v>84823.30829018887</v>
      </c>
      <c r="O423" s="22">
        <v>87980.565020515831</v>
      </c>
      <c r="P423" s="22">
        <v>87147.942639225832</v>
      </c>
      <c r="Q423" s="22">
        <v>82410.085138167982</v>
      </c>
      <c r="R423" s="22">
        <v>73592.429034072469</v>
      </c>
      <c r="S423" s="22">
        <v>58119.899978072601</v>
      </c>
      <c r="T423" s="22">
        <v>33343.637026221943</v>
      </c>
      <c r="U423" s="22">
        <v>77295.316576790967</v>
      </c>
      <c r="V423" s="22">
        <v>77295.316576790967</v>
      </c>
      <c r="W423" s="22">
        <v>77295.316576790967</v>
      </c>
      <c r="X423" s="22">
        <v>77295.316576790967</v>
      </c>
      <c r="Y423" s="22">
        <v>77295.316576790967</v>
      </c>
      <c r="Z423" s="22">
        <v>77295.316576790967</v>
      </c>
      <c r="AA423" s="23">
        <v>77295.316576790967</v>
      </c>
      <c r="AB423" s="96">
        <f t="shared" ref="AB423" si="146">+SUM(D423:AA423)*AC423+SUM(D424:AA424)*AC424+SUM(D425:AA425)*AC425</f>
        <v>41932709.242909104</v>
      </c>
      <c r="AC423" s="16">
        <v>19</v>
      </c>
      <c r="AD423" s="16">
        <f t="shared" si="135"/>
        <v>25700692.761783</v>
      </c>
    </row>
    <row r="424" spans="1:30" ht="13.5" thickBot="1" x14ac:dyDescent="0.35">
      <c r="A424" s="18">
        <v>2037</v>
      </c>
      <c r="B424" s="19" t="s">
        <v>42</v>
      </c>
      <c r="C424" s="20" t="s">
        <v>50</v>
      </c>
      <c r="D424" s="21">
        <v>19323.829144197738</v>
      </c>
      <c r="E424" s="22">
        <v>19323.829144197738</v>
      </c>
      <c r="F424" s="22">
        <v>19323.829144197738</v>
      </c>
      <c r="G424" s="22">
        <v>19323.829144197738</v>
      </c>
      <c r="H424" s="22">
        <v>19323.829144197738</v>
      </c>
      <c r="I424" s="22">
        <v>19323.829144197738</v>
      </c>
      <c r="J424" s="22">
        <v>19323.829144197738</v>
      </c>
      <c r="K424" s="22">
        <v>34054.136689619729</v>
      </c>
      <c r="L424" s="22">
        <v>59170.369219097614</v>
      </c>
      <c r="M424" s="22">
        <v>75691.647011738081</v>
      </c>
      <c r="N424" s="22">
        <v>84823.308290188841</v>
      </c>
      <c r="O424" s="22">
        <v>87980.565020515845</v>
      </c>
      <c r="P424" s="22">
        <v>87147.942639225817</v>
      </c>
      <c r="Q424" s="22">
        <v>82410.085138168011</v>
      </c>
      <c r="R424" s="22">
        <v>73592.429034072484</v>
      </c>
      <c r="S424" s="22">
        <v>58119.899978072601</v>
      </c>
      <c r="T424" s="22">
        <v>33343.637026221928</v>
      </c>
      <c r="U424" s="22">
        <v>77295.316576790952</v>
      </c>
      <c r="V424" s="22">
        <v>77295.316576790952</v>
      </c>
      <c r="W424" s="22">
        <v>77295.316576790952</v>
      </c>
      <c r="X424" s="22">
        <v>77295.316576790952</v>
      </c>
      <c r="Y424" s="22">
        <v>77295.316576790952</v>
      </c>
      <c r="Z424" s="22">
        <v>77295.316576790952</v>
      </c>
      <c r="AA424" s="23">
        <v>77295.316576790952</v>
      </c>
      <c r="AB424" s="97"/>
      <c r="AC424" s="24">
        <v>5</v>
      </c>
      <c r="AD424" s="16">
        <f t="shared" si="135"/>
        <v>6763340.2004692107</v>
      </c>
    </row>
    <row r="425" spans="1:30" ht="13.5" thickBot="1" x14ac:dyDescent="0.35">
      <c r="A425" s="18">
        <v>2037</v>
      </c>
      <c r="B425" s="25" t="s">
        <v>42</v>
      </c>
      <c r="C425" s="26" t="s">
        <v>36</v>
      </c>
      <c r="D425" s="21">
        <v>19323.829144197738</v>
      </c>
      <c r="E425" s="22">
        <v>19323.829144197738</v>
      </c>
      <c r="F425" s="22">
        <v>19323.829144197738</v>
      </c>
      <c r="G425" s="22">
        <v>19323.829144197738</v>
      </c>
      <c r="H425" s="22">
        <v>19323.829144197738</v>
      </c>
      <c r="I425" s="22">
        <v>19323.829144197738</v>
      </c>
      <c r="J425" s="22">
        <v>19323.829144197738</v>
      </c>
      <c r="K425" s="22">
        <v>34054.136689619736</v>
      </c>
      <c r="L425" s="22">
        <v>59170.369219097607</v>
      </c>
      <c r="M425" s="22">
        <v>75691.647011738081</v>
      </c>
      <c r="N425" s="22">
        <v>84823.308290188827</v>
      </c>
      <c r="O425" s="22">
        <v>87980.565020515831</v>
      </c>
      <c r="P425" s="22">
        <v>87147.942639225817</v>
      </c>
      <c r="Q425" s="22">
        <v>82410.085138168026</v>
      </c>
      <c r="R425" s="22">
        <v>73592.429034072484</v>
      </c>
      <c r="S425" s="22">
        <v>58119.899978072608</v>
      </c>
      <c r="T425" s="22">
        <v>33343.637026221928</v>
      </c>
      <c r="U425" s="22">
        <v>77295.316576790952</v>
      </c>
      <c r="V425" s="22">
        <v>77295.316576790952</v>
      </c>
      <c r="W425" s="22">
        <v>77295.316576790952</v>
      </c>
      <c r="X425" s="22">
        <v>77295.316576790952</v>
      </c>
      <c r="Y425" s="22">
        <v>77295.316576790952</v>
      </c>
      <c r="Z425" s="22">
        <v>77295.316576790952</v>
      </c>
      <c r="AA425" s="23">
        <v>77295.316576790952</v>
      </c>
      <c r="AB425" s="97"/>
      <c r="AC425" s="27">
        <v>7</v>
      </c>
      <c r="AD425" s="16">
        <f t="shared" si="135"/>
        <v>9468676.2806568928</v>
      </c>
    </row>
    <row r="426" spans="1:30" ht="13.5" thickBot="1" x14ac:dyDescent="0.35">
      <c r="A426" s="18">
        <v>2037</v>
      </c>
      <c r="B426" s="11" t="s">
        <v>43</v>
      </c>
      <c r="C426" s="12" t="s">
        <v>33</v>
      </c>
      <c r="D426" s="21">
        <v>19323.829144197745</v>
      </c>
      <c r="E426" s="22">
        <v>19323.829144197745</v>
      </c>
      <c r="F426" s="22">
        <v>19323.829144197745</v>
      </c>
      <c r="G426" s="22">
        <v>19323.829144197745</v>
      </c>
      <c r="H426" s="22">
        <v>19323.829144197745</v>
      </c>
      <c r="I426" s="22">
        <v>19323.829144197745</v>
      </c>
      <c r="J426" s="22">
        <v>19323.829144197745</v>
      </c>
      <c r="K426" s="22">
        <v>34054.136689619736</v>
      </c>
      <c r="L426" s="22">
        <v>59170.369219097614</v>
      </c>
      <c r="M426" s="22">
        <v>75691.647011738052</v>
      </c>
      <c r="N426" s="22">
        <v>84823.308290188885</v>
      </c>
      <c r="O426" s="22">
        <v>87980.565020515831</v>
      </c>
      <c r="P426" s="22">
        <v>87147.942639225847</v>
      </c>
      <c r="Q426" s="22">
        <v>82410.085138167968</v>
      </c>
      <c r="R426" s="22">
        <v>73592.429034072455</v>
      </c>
      <c r="S426" s="22">
        <v>58119.899978072608</v>
      </c>
      <c r="T426" s="22">
        <v>33343.63702622195</v>
      </c>
      <c r="U426" s="22">
        <v>77295.316576790981</v>
      </c>
      <c r="V426" s="22">
        <v>77295.316576790981</v>
      </c>
      <c r="W426" s="22">
        <v>77295.316576790981</v>
      </c>
      <c r="X426" s="22">
        <v>77295.316576790981</v>
      </c>
      <c r="Y426" s="22">
        <v>77295.316576790981</v>
      </c>
      <c r="Z426" s="22">
        <v>77295.316576790981</v>
      </c>
      <c r="AA426" s="23">
        <v>77295.316576790981</v>
      </c>
      <c r="AB426" s="96">
        <f t="shared" ref="AB426" si="147">+SUM(D426:AA426)*AC426+SUM(D427:AA427)*AC427+SUM(D428:AA428)*AC428</f>
        <v>40580041.202815264</v>
      </c>
      <c r="AC426" s="16">
        <v>22</v>
      </c>
      <c r="AD426" s="16">
        <f t="shared" si="135"/>
        <v>29758696.882064521</v>
      </c>
    </row>
    <row r="427" spans="1:30" ht="13.5" thickBot="1" x14ac:dyDescent="0.35">
      <c r="A427" s="18">
        <v>2037</v>
      </c>
      <c r="B427" s="19" t="s">
        <v>43</v>
      </c>
      <c r="C427" s="20" t="s">
        <v>50</v>
      </c>
      <c r="D427" s="21">
        <v>19323.829144197738</v>
      </c>
      <c r="E427" s="22">
        <v>19323.829144197738</v>
      </c>
      <c r="F427" s="22">
        <v>19323.829144197738</v>
      </c>
      <c r="G427" s="22">
        <v>19323.829144197738</v>
      </c>
      <c r="H427" s="22">
        <v>19323.829144197738</v>
      </c>
      <c r="I427" s="22">
        <v>19323.829144197738</v>
      </c>
      <c r="J427" s="22">
        <v>19323.829144197738</v>
      </c>
      <c r="K427" s="22">
        <v>34054.136689619729</v>
      </c>
      <c r="L427" s="22">
        <v>59170.369219097614</v>
      </c>
      <c r="M427" s="22">
        <v>75691.647011738081</v>
      </c>
      <c r="N427" s="22">
        <v>84823.308290188841</v>
      </c>
      <c r="O427" s="22">
        <v>87980.565020515845</v>
      </c>
      <c r="P427" s="22">
        <v>87147.942639225817</v>
      </c>
      <c r="Q427" s="22">
        <v>82410.085138168011</v>
      </c>
      <c r="R427" s="22">
        <v>73592.429034072484</v>
      </c>
      <c r="S427" s="22">
        <v>58119.899978072608</v>
      </c>
      <c r="T427" s="22">
        <v>33343.637026221928</v>
      </c>
      <c r="U427" s="22">
        <v>77295.316576790952</v>
      </c>
      <c r="V427" s="22">
        <v>77295.316576790952</v>
      </c>
      <c r="W427" s="22">
        <v>77295.316576790952</v>
      </c>
      <c r="X427" s="22">
        <v>77295.316576790952</v>
      </c>
      <c r="Y427" s="22">
        <v>77295.316576790952</v>
      </c>
      <c r="Z427" s="22">
        <v>77295.316576790952</v>
      </c>
      <c r="AA427" s="23">
        <v>77295.316576790952</v>
      </c>
      <c r="AB427" s="97"/>
      <c r="AC427" s="24">
        <v>4</v>
      </c>
      <c r="AD427" s="16">
        <f t="shared" si="135"/>
        <v>5410672.1603753688</v>
      </c>
    </row>
    <row r="428" spans="1:30" ht="13.5" thickBot="1" x14ac:dyDescent="0.35">
      <c r="A428" s="18">
        <v>2037</v>
      </c>
      <c r="B428" s="25" t="s">
        <v>43</v>
      </c>
      <c r="C428" s="26" t="s">
        <v>36</v>
      </c>
      <c r="D428" s="21">
        <v>19323.829144197738</v>
      </c>
      <c r="E428" s="22">
        <v>19323.829144197738</v>
      </c>
      <c r="F428" s="22">
        <v>19323.829144197738</v>
      </c>
      <c r="G428" s="22">
        <v>19323.829144197738</v>
      </c>
      <c r="H428" s="22">
        <v>19323.829144197738</v>
      </c>
      <c r="I428" s="22">
        <v>19323.829144197738</v>
      </c>
      <c r="J428" s="22">
        <v>19323.829144197738</v>
      </c>
      <c r="K428" s="22">
        <v>34054.136689619729</v>
      </c>
      <c r="L428" s="22">
        <v>59170.369219097614</v>
      </c>
      <c r="M428" s="22">
        <v>75691.647011738081</v>
      </c>
      <c r="N428" s="22">
        <v>84823.308290188841</v>
      </c>
      <c r="O428" s="22">
        <v>87980.565020515845</v>
      </c>
      <c r="P428" s="22">
        <v>87147.942639225817</v>
      </c>
      <c r="Q428" s="22">
        <v>82410.085138168011</v>
      </c>
      <c r="R428" s="22">
        <v>73592.429034072484</v>
      </c>
      <c r="S428" s="22">
        <v>58119.899978072608</v>
      </c>
      <c r="T428" s="22">
        <v>33343.637026221928</v>
      </c>
      <c r="U428" s="22">
        <v>77295.316576790952</v>
      </c>
      <c r="V428" s="22">
        <v>77295.316576790952</v>
      </c>
      <c r="W428" s="22">
        <v>77295.316576790952</v>
      </c>
      <c r="X428" s="22">
        <v>77295.316576790952</v>
      </c>
      <c r="Y428" s="22">
        <v>77295.316576790952</v>
      </c>
      <c r="Z428" s="22">
        <v>77295.316576790952</v>
      </c>
      <c r="AA428" s="23">
        <v>77295.316576790952</v>
      </c>
      <c r="AB428" s="97"/>
      <c r="AC428" s="27">
        <v>4</v>
      </c>
      <c r="AD428" s="16">
        <f t="shared" si="135"/>
        <v>5410672.1603753688</v>
      </c>
    </row>
    <row r="429" spans="1:30" ht="13.5" thickBot="1" x14ac:dyDescent="0.35">
      <c r="A429" s="18">
        <v>2037</v>
      </c>
      <c r="B429" s="11" t="s">
        <v>44</v>
      </c>
      <c r="C429" s="12" t="s">
        <v>33</v>
      </c>
      <c r="D429" s="21">
        <v>19323.829144197742</v>
      </c>
      <c r="E429" s="22">
        <v>19323.829144197742</v>
      </c>
      <c r="F429" s="22">
        <v>19323.829144197742</v>
      </c>
      <c r="G429" s="22">
        <v>19323.829144197742</v>
      </c>
      <c r="H429" s="22">
        <v>19323.829144197742</v>
      </c>
      <c r="I429" s="22">
        <v>19323.829144197742</v>
      </c>
      <c r="J429" s="22">
        <v>19323.829144197742</v>
      </c>
      <c r="K429" s="22">
        <v>34054.136689619736</v>
      </c>
      <c r="L429" s="22">
        <v>59170.369219097622</v>
      </c>
      <c r="M429" s="22">
        <v>75691.647011738067</v>
      </c>
      <c r="N429" s="22">
        <v>84823.30829018887</v>
      </c>
      <c r="O429" s="22">
        <v>87980.565020515831</v>
      </c>
      <c r="P429" s="22">
        <v>87147.942639225832</v>
      </c>
      <c r="Q429" s="22">
        <v>82410.085138167982</v>
      </c>
      <c r="R429" s="22">
        <v>73592.429034072469</v>
      </c>
      <c r="S429" s="22">
        <v>58119.899978072601</v>
      </c>
      <c r="T429" s="22">
        <v>33343.637026221943</v>
      </c>
      <c r="U429" s="22">
        <v>77295.316576790967</v>
      </c>
      <c r="V429" s="22">
        <v>77295.316576790967</v>
      </c>
      <c r="W429" s="22">
        <v>77295.316576790967</v>
      </c>
      <c r="X429" s="22">
        <v>77295.316576790967</v>
      </c>
      <c r="Y429" s="22">
        <v>77295.316576790967</v>
      </c>
      <c r="Z429" s="22">
        <v>77295.316576790967</v>
      </c>
      <c r="AA429" s="23">
        <v>77295.316576790967</v>
      </c>
      <c r="AB429" s="96">
        <f t="shared" ref="AB429" si="148">+SUM(D429:AA429)*AC429+SUM(D430:AA430)*AC430+SUM(D431:AA431)*AC431</f>
        <v>41932709.242909104</v>
      </c>
      <c r="AC429" s="16">
        <v>21</v>
      </c>
      <c r="AD429" s="16">
        <f t="shared" si="135"/>
        <v>28406028.841970686</v>
      </c>
    </row>
    <row r="430" spans="1:30" ht="13.5" thickBot="1" x14ac:dyDescent="0.35">
      <c r="A430" s="18">
        <v>2037</v>
      </c>
      <c r="B430" s="19" t="s">
        <v>44</v>
      </c>
      <c r="C430" s="20" t="s">
        <v>50</v>
      </c>
      <c r="D430" s="21">
        <v>19323.829144197738</v>
      </c>
      <c r="E430" s="22">
        <v>19323.829144197738</v>
      </c>
      <c r="F430" s="22">
        <v>19323.829144197738</v>
      </c>
      <c r="G430" s="22">
        <v>19323.829144197738</v>
      </c>
      <c r="H430" s="22">
        <v>19323.829144197738</v>
      </c>
      <c r="I430" s="22">
        <v>19323.829144197738</v>
      </c>
      <c r="J430" s="22">
        <v>19323.829144197738</v>
      </c>
      <c r="K430" s="22">
        <v>34054.136689619729</v>
      </c>
      <c r="L430" s="22">
        <v>59170.369219097614</v>
      </c>
      <c r="M430" s="22">
        <v>75691.647011738081</v>
      </c>
      <c r="N430" s="22">
        <v>84823.308290188841</v>
      </c>
      <c r="O430" s="22">
        <v>87980.565020515845</v>
      </c>
      <c r="P430" s="22">
        <v>87147.942639225817</v>
      </c>
      <c r="Q430" s="22">
        <v>82410.085138168011</v>
      </c>
      <c r="R430" s="22">
        <v>73592.429034072484</v>
      </c>
      <c r="S430" s="22">
        <v>58119.899978072601</v>
      </c>
      <c r="T430" s="22">
        <v>33343.637026221928</v>
      </c>
      <c r="U430" s="22">
        <v>77295.316576790952</v>
      </c>
      <c r="V430" s="22">
        <v>77295.316576790952</v>
      </c>
      <c r="W430" s="22">
        <v>77295.316576790952</v>
      </c>
      <c r="X430" s="22">
        <v>77295.316576790952</v>
      </c>
      <c r="Y430" s="22">
        <v>77295.316576790952</v>
      </c>
      <c r="Z430" s="22">
        <v>77295.316576790952</v>
      </c>
      <c r="AA430" s="23">
        <v>77295.316576790952</v>
      </c>
      <c r="AB430" s="97"/>
      <c r="AC430" s="24">
        <v>5</v>
      </c>
      <c r="AD430" s="16">
        <f t="shared" si="135"/>
        <v>6763340.2004692107</v>
      </c>
    </row>
    <row r="431" spans="1:30" ht="13.5" thickBot="1" x14ac:dyDescent="0.35">
      <c r="A431" s="18">
        <v>2037</v>
      </c>
      <c r="B431" s="25" t="s">
        <v>44</v>
      </c>
      <c r="C431" s="26" t="s">
        <v>36</v>
      </c>
      <c r="D431" s="21">
        <v>19323.829144197738</v>
      </c>
      <c r="E431" s="22">
        <v>19323.829144197738</v>
      </c>
      <c r="F431" s="22">
        <v>19323.829144197738</v>
      </c>
      <c r="G431" s="22">
        <v>19323.829144197738</v>
      </c>
      <c r="H431" s="22">
        <v>19323.829144197738</v>
      </c>
      <c r="I431" s="22">
        <v>19323.829144197738</v>
      </c>
      <c r="J431" s="22">
        <v>19323.829144197738</v>
      </c>
      <c r="K431" s="22">
        <v>34054.136689619729</v>
      </c>
      <c r="L431" s="22">
        <v>59170.369219097614</v>
      </c>
      <c r="M431" s="22">
        <v>75691.647011738081</v>
      </c>
      <c r="N431" s="22">
        <v>84823.308290188841</v>
      </c>
      <c r="O431" s="22">
        <v>87980.565020515845</v>
      </c>
      <c r="P431" s="22">
        <v>87147.942639225817</v>
      </c>
      <c r="Q431" s="22">
        <v>82410.085138168011</v>
      </c>
      <c r="R431" s="22">
        <v>73592.429034072484</v>
      </c>
      <c r="S431" s="22">
        <v>58119.899978072601</v>
      </c>
      <c r="T431" s="22">
        <v>33343.637026221928</v>
      </c>
      <c r="U431" s="22">
        <v>77295.316576790952</v>
      </c>
      <c r="V431" s="22">
        <v>77295.316576790952</v>
      </c>
      <c r="W431" s="22">
        <v>77295.316576790952</v>
      </c>
      <c r="X431" s="22">
        <v>77295.316576790952</v>
      </c>
      <c r="Y431" s="22">
        <v>77295.316576790952</v>
      </c>
      <c r="Z431" s="22">
        <v>77295.316576790952</v>
      </c>
      <c r="AA431" s="23">
        <v>77295.316576790952</v>
      </c>
      <c r="AB431" s="97"/>
      <c r="AC431" s="27">
        <v>5</v>
      </c>
      <c r="AD431" s="16">
        <f t="shared" si="135"/>
        <v>6763340.2004692107</v>
      </c>
    </row>
    <row r="432" spans="1:30" ht="13.5" thickBot="1" x14ac:dyDescent="0.35">
      <c r="A432" s="18">
        <v>2037</v>
      </c>
      <c r="B432" s="11" t="s">
        <v>45</v>
      </c>
      <c r="C432" s="12" t="s">
        <v>33</v>
      </c>
      <c r="D432" s="21">
        <v>19323.829144197742</v>
      </c>
      <c r="E432" s="22">
        <v>19323.829144197742</v>
      </c>
      <c r="F432" s="22">
        <v>19323.829144197742</v>
      </c>
      <c r="G432" s="22">
        <v>19323.829144197742</v>
      </c>
      <c r="H432" s="22">
        <v>19323.829144197742</v>
      </c>
      <c r="I432" s="22">
        <v>19323.829144197742</v>
      </c>
      <c r="J432" s="22">
        <v>19323.829144197742</v>
      </c>
      <c r="K432" s="22">
        <v>34054.136689619736</v>
      </c>
      <c r="L432" s="22">
        <v>59170.369219097629</v>
      </c>
      <c r="M432" s="22">
        <v>75691.647011738067</v>
      </c>
      <c r="N432" s="22">
        <v>84823.30829018887</v>
      </c>
      <c r="O432" s="22">
        <v>87980.565020515831</v>
      </c>
      <c r="P432" s="22">
        <v>87147.942639225832</v>
      </c>
      <c r="Q432" s="22">
        <v>82410.085138167982</v>
      </c>
      <c r="R432" s="22">
        <v>73592.429034072469</v>
      </c>
      <c r="S432" s="22">
        <v>58119.899978072601</v>
      </c>
      <c r="T432" s="22">
        <v>33343.637026221943</v>
      </c>
      <c r="U432" s="22">
        <v>77295.316576790967</v>
      </c>
      <c r="V432" s="22">
        <v>77295.316576790967</v>
      </c>
      <c r="W432" s="22">
        <v>77295.316576790967</v>
      </c>
      <c r="X432" s="22">
        <v>77295.316576790967</v>
      </c>
      <c r="Y432" s="22">
        <v>77295.316576790967</v>
      </c>
      <c r="Z432" s="22">
        <v>77295.316576790967</v>
      </c>
      <c r="AA432" s="23">
        <v>77295.316576790967</v>
      </c>
      <c r="AB432" s="96">
        <f t="shared" ref="AB432" si="149">+SUM(D432:AA432)*AC432+SUM(D433:AA433)*AC433+SUM(D434:AA434)*AC434</f>
        <v>40580041.202815264</v>
      </c>
      <c r="AC432" s="16">
        <v>19</v>
      </c>
      <c r="AD432" s="16">
        <f t="shared" si="135"/>
        <v>25700692.761783</v>
      </c>
    </row>
    <row r="433" spans="1:30" ht="13.5" thickBot="1" x14ac:dyDescent="0.35">
      <c r="A433" s="18">
        <v>2037</v>
      </c>
      <c r="B433" s="19" t="s">
        <v>45</v>
      </c>
      <c r="C433" s="20" t="s">
        <v>50</v>
      </c>
      <c r="D433" s="21">
        <v>19323.829144197738</v>
      </c>
      <c r="E433" s="22">
        <v>19323.829144197738</v>
      </c>
      <c r="F433" s="22">
        <v>19323.829144197738</v>
      </c>
      <c r="G433" s="22">
        <v>19323.829144197738</v>
      </c>
      <c r="H433" s="22">
        <v>19323.829144197738</v>
      </c>
      <c r="I433" s="22">
        <v>19323.829144197738</v>
      </c>
      <c r="J433" s="22">
        <v>19323.829144197738</v>
      </c>
      <c r="K433" s="22">
        <v>34054.136689619729</v>
      </c>
      <c r="L433" s="22">
        <v>59170.369219097614</v>
      </c>
      <c r="M433" s="22">
        <v>75691.647011738081</v>
      </c>
      <c r="N433" s="22">
        <v>84823.308290188841</v>
      </c>
      <c r="O433" s="22">
        <v>87980.565020515845</v>
      </c>
      <c r="P433" s="22">
        <v>87147.942639225817</v>
      </c>
      <c r="Q433" s="22">
        <v>82410.085138168011</v>
      </c>
      <c r="R433" s="22">
        <v>73592.429034072484</v>
      </c>
      <c r="S433" s="22">
        <v>58119.899978072608</v>
      </c>
      <c r="T433" s="22">
        <v>33343.637026221928</v>
      </c>
      <c r="U433" s="22">
        <v>77295.316576790952</v>
      </c>
      <c r="V433" s="22">
        <v>77295.316576790952</v>
      </c>
      <c r="W433" s="22">
        <v>77295.316576790952</v>
      </c>
      <c r="X433" s="22">
        <v>77295.316576790952</v>
      </c>
      <c r="Y433" s="22">
        <v>77295.316576790952</v>
      </c>
      <c r="Z433" s="22">
        <v>77295.316576790952</v>
      </c>
      <c r="AA433" s="23">
        <v>77295.316576790952</v>
      </c>
      <c r="AB433" s="97"/>
      <c r="AC433" s="24">
        <v>4</v>
      </c>
      <c r="AD433" s="16">
        <f t="shared" si="135"/>
        <v>5410672.1603753688</v>
      </c>
    </row>
    <row r="434" spans="1:30" ht="13.5" thickBot="1" x14ac:dyDescent="0.35">
      <c r="A434" s="18">
        <v>2037</v>
      </c>
      <c r="B434" s="25" t="s">
        <v>45</v>
      </c>
      <c r="C434" s="26" t="s">
        <v>36</v>
      </c>
      <c r="D434" s="21">
        <v>19323.829144197738</v>
      </c>
      <c r="E434" s="22">
        <v>19323.829144197738</v>
      </c>
      <c r="F434" s="22">
        <v>19323.829144197738</v>
      </c>
      <c r="G434" s="22">
        <v>19323.829144197738</v>
      </c>
      <c r="H434" s="22">
        <v>19323.829144197738</v>
      </c>
      <c r="I434" s="22">
        <v>19323.829144197738</v>
      </c>
      <c r="J434" s="22">
        <v>19323.829144197738</v>
      </c>
      <c r="K434" s="22">
        <v>34054.136689619736</v>
      </c>
      <c r="L434" s="22">
        <v>59170.369219097607</v>
      </c>
      <c r="M434" s="22">
        <v>75691.647011738081</v>
      </c>
      <c r="N434" s="22">
        <v>84823.308290188827</v>
      </c>
      <c r="O434" s="22">
        <v>87980.565020515831</v>
      </c>
      <c r="P434" s="22">
        <v>87147.942639225817</v>
      </c>
      <c r="Q434" s="22">
        <v>82410.085138168026</v>
      </c>
      <c r="R434" s="22">
        <v>73592.429034072484</v>
      </c>
      <c r="S434" s="22">
        <v>58119.899978072608</v>
      </c>
      <c r="T434" s="22">
        <v>33343.637026221928</v>
      </c>
      <c r="U434" s="22">
        <v>77295.316576790952</v>
      </c>
      <c r="V434" s="22">
        <v>77295.316576790952</v>
      </c>
      <c r="W434" s="22">
        <v>77295.316576790952</v>
      </c>
      <c r="X434" s="22">
        <v>77295.316576790952</v>
      </c>
      <c r="Y434" s="22">
        <v>77295.316576790952</v>
      </c>
      <c r="Z434" s="22">
        <v>77295.316576790952</v>
      </c>
      <c r="AA434" s="23">
        <v>77295.316576790952</v>
      </c>
      <c r="AB434" s="97"/>
      <c r="AC434" s="27">
        <v>7</v>
      </c>
      <c r="AD434" s="16">
        <f t="shared" si="135"/>
        <v>9468676.2806568928</v>
      </c>
    </row>
    <row r="435" spans="1:30" ht="13.5" thickBot="1" x14ac:dyDescent="0.35">
      <c r="A435" s="18">
        <v>2037</v>
      </c>
      <c r="B435" s="11" t="s">
        <v>46</v>
      </c>
      <c r="C435" s="12" t="s">
        <v>33</v>
      </c>
      <c r="D435" s="21">
        <v>19323.829144197742</v>
      </c>
      <c r="E435" s="22">
        <v>19323.829144197742</v>
      </c>
      <c r="F435" s="22">
        <v>19323.829144197742</v>
      </c>
      <c r="G435" s="22">
        <v>19323.829144197742</v>
      </c>
      <c r="H435" s="22">
        <v>19323.829144197742</v>
      </c>
      <c r="I435" s="22">
        <v>19323.829144197742</v>
      </c>
      <c r="J435" s="22">
        <v>19323.829144197742</v>
      </c>
      <c r="K435" s="22">
        <v>34054.136689619736</v>
      </c>
      <c r="L435" s="22">
        <v>59170.369219097622</v>
      </c>
      <c r="M435" s="22">
        <v>75691.647011738067</v>
      </c>
      <c r="N435" s="22">
        <v>84823.30829018887</v>
      </c>
      <c r="O435" s="22">
        <v>87980.565020515831</v>
      </c>
      <c r="P435" s="22">
        <v>87147.942639225832</v>
      </c>
      <c r="Q435" s="22">
        <v>82410.085138167982</v>
      </c>
      <c r="R435" s="22">
        <v>73592.429034072469</v>
      </c>
      <c r="S435" s="22">
        <v>58119.899978072601</v>
      </c>
      <c r="T435" s="22">
        <v>33343.637026221943</v>
      </c>
      <c r="U435" s="22">
        <v>77295.316576790967</v>
      </c>
      <c r="V435" s="22">
        <v>77295.316576790967</v>
      </c>
      <c r="W435" s="22">
        <v>77295.316576790967</v>
      </c>
      <c r="X435" s="22">
        <v>77295.316576790967</v>
      </c>
      <c r="Y435" s="22">
        <v>77295.316576790967</v>
      </c>
      <c r="Z435" s="22">
        <v>77295.316576790967</v>
      </c>
      <c r="AA435" s="23">
        <v>77295.316576790967</v>
      </c>
      <c r="AB435" s="96">
        <f t="shared" ref="AB435" si="150">+SUM(D435:AA435)*AC435+SUM(D436:AA436)*AC436+SUM(D437:AA437)*AC437</f>
        <v>41932709.242909104</v>
      </c>
      <c r="AC435" s="16">
        <v>21</v>
      </c>
      <c r="AD435" s="16">
        <f t="shared" si="135"/>
        <v>28406028.841970686</v>
      </c>
    </row>
    <row r="436" spans="1:30" ht="13.5" thickBot="1" x14ac:dyDescent="0.35">
      <c r="A436" s="18">
        <v>2037</v>
      </c>
      <c r="B436" s="19" t="s">
        <v>46</v>
      </c>
      <c r="C436" s="20" t="s">
        <v>50</v>
      </c>
      <c r="D436" s="21">
        <v>19323.829144197738</v>
      </c>
      <c r="E436" s="22">
        <v>19323.829144197738</v>
      </c>
      <c r="F436" s="22">
        <v>19323.829144197738</v>
      </c>
      <c r="G436" s="22">
        <v>19323.829144197738</v>
      </c>
      <c r="H436" s="22">
        <v>19323.829144197738</v>
      </c>
      <c r="I436" s="22">
        <v>19323.829144197738</v>
      </c>
      <c r="J436" s="22">
        <v>19323.829144197738</v>
      </c>
      <c r="K436" s="22">
        <v>34054.136689619729</v>
      </c>
      <c r="L436" s="22">
        <v>59170.369219097614</v>
      </c>
      <c r="M436" s="22">
        <v>75691.647011738081</v>
      </c>
      <c r="N436" s="22">
        <v>84823.308290188841</v>
      </c>
      <c r="O436" s="22">
        <v>87980.565020515845</v>
      </c>
      <c r="P436" s="22">
        <v>87147.942639225817</v>
      </c>
      <c r="Q436" s="22">
        <v>82410.085138168011</v>
      </c>
      <c r="R436" s="22">
        <v>73592.429034072484</v>
      </c>
      <c r="S436" s="22">
        <v>58119.899978072608</v>
      </c>
      <c r="T436" s="22">
        <v>33343.637026221928</v>
      </c>
      <c r="U436" s="22">
        <v>77295.316576790952</v>
      </c>
      <c r="V436" s="22">
        <v>77295.316576790952</v>
      </c>
      <c r="W436" s="22">
        <v>77295.316576790952</v>
      </c>
      <c r="X436" s="22">
        <v>77295.316576790952</v>
      </c>
      <c r="Y436" s="22">
        <v>77295.316576790952</v>
      </c>
      <c r="Z436" s="22">
        <v>77295.316576790952</v>
      </c>
      <c r="AA436" s="23">
        <v>77295.316576790952</v>
      </c>
      <c r="AB436" s="97"/>
      <c r="AC436" s="24">
        <v>4</v>
      </c>
      <c r="AD436" s="16">
        <f t="shared" si="135"/>
        <v>5410672.1603753688</v>
      </c>
    </row>
    <row r="437" spans="1:30" ht="13.5" thickBot="1" x14ac:dyDescent="0.35">
      <c r="A437" s="28">
        <v>2037</v>
      </c>
      <c r="B437" s="25" t="s">
        <v>46</v>
      </c>
      <c r="C437" s="26" t="s">
        <v>36</v>
      </c>
      <c r="D437" s="29">
        <v>19323.829144197738</v>
      </c>
      <c r="E437" s="30">
        <v>19323.829144197738</v>
      </c>
      <c r="F437" s="30">
        <v>19323.829144197738</v>
      </c>
      <c r="G437" s="30">
        <v>19323.829144197738</v>
      </c>
      <c r="H437" s="30">
        <v>19323.829144197738</v>
      </c>
      <c r="I437" s="30">
        <v>19323.829144197738</v>
      </c>
      <c r="J437" s="30">
        <v>19323.829144197738</v>
      </c>
      <c r="K437" s="30">
        <v>34054.136689619736</v>
      </c>
      <c r="L437" s="30">
        <v>59170.369219097607</v>
      </c>
      <c r="M437" s="30">
        <v>75691.647011738081</v>
      </c>
      <c r="N437" s="30">
        <v>84823.308290188841</v>
      </c>
      <c r="O437" s="30">
        <v>87980.565020515831</v>
      </c>
      <c r="P437" s="30">
        <v>87147.942639225817</v>
      </c>
      <c r="Q437" s="30">
        <v>82410.085138168011</v>
      </c>
      <c r="R437" s="30">
        <v>73592.429034072484</v>
      </c>
      <c r="S437" s="30">
        <v>58119.899978072608</v>
      </c>
      <c r="T437" s="30">
        <v>33343.637026221928</v>
      </c>
      <c r="U437" s="30">
        <v>77295.316576790952</v>
      </c>
      <c r="V437" s="30">
        <v>77295.316576790952</v>
      </c>
      <c r="W437" s="30">
        <v>77295.316576790952</v>
      </c>
      <c r="X437" s="30">
        <v>77295.316576790952</v>
      </c>
      <c r="Y437" s="30">
        <v>77295.316576790952</v>
      </c>
      <c r="Z437" s="30">
        <v>77295.316576790952</v>
      </c>
      <c r="AA437" s="31">
        <v>77295.316576790952</v>
      </c>
      <c r="AB437" s="97"/>
      <c r="AC437" s="27">
        <v>6</v>
      </c>
      <c r="AD437" s="42">
        <f t="shared" si="135"/>
        <v>8116008.2405630518</v>
      </c>
    </row>
    <row r="438" spans="1:30" ht="13.5" thickBot="1" x14ac:dyDescent="0.35">
      <c r="A438" s="10">
        <v>2038</v>
      </c>
      <c r="B438" s="11" t="s">
        <v>32</v>
      </c>
      <c r="C438" s="12" t="s">
        <v>33</v>
      </c>
      <c r="D438" s="13">
        <v>19431.664973279745</v>
      </c>
      <c r="E438" s="14">
        <v>19431.664973279745</v>
      </c>
      <c r="F438" s="14">
        <v>19431.664973279745</v>
      </c>
      <c r="G438" s="14">
        <v>19431.664973279745</v>
      </c>
      <c r="H438" s="14">
        <v>19431.664973279745</v>
      </c>
      <c r="I438" s="14">
        <v>19431.664973279745</v>
      </c>
      <c r="J438" s="14">
        <v>19431.664973279745</v>
      </c>
      <c r="K438" s="14">
        <v>34244.174390542968</v>
      </c>
      <c r="L438" s="14">
        <v>59500.567016553578</v>
      </c>
      <c r="M438" s="14">
        <v>76114.041116404609</v>
      </c>
      <c r="N438" s="14">
        <v>85296.661252828562</v>
      </c>
      <c r="O438" s="14">
        <v>88471.536923718464</v>
      </c>
      <c r="P438" s="14">
        <v>87634.26812767658</v>
      </c>
      <c r="Q438" s="14">
        <v>82869.971208846735</v>
      </c>
      <c r="R438" s="14">
        <v>74003.108539662586</v>
      </c>
      <c r="S438" s="14">
        <v>58444.235675388576</v>
      </c>
      <c r="T438" s="14">
        <v>33529.709813168054</v>
      </c>
      <c r="U438" s="14">
        <v>77726.65989311898</v>
      </c>
      <c r="V438" s="14">
        <v>77726.65989311898</v>
      </c>
      <c r="W438" s="14">
        <v>77726.65989311898</v>
      </c>
      <c r="X438" s="14">
        <v>77726.65989311898</v>
      </c>
      <c r="Y438" s="14">
        <v>77726.65989311898</v>
      </c>
      <c r="Z438" s="14">
        <v>77726.65989311898</v>
      </c>
      <c r="AA438" s="15">
        <v>77726.65989311898</v>
      </c>
      <c r="AB438" s="96">
        <f t="shared" ref="AB438" si="151">+SUM(D438:AA438)*AC438+SUM(D439:AA439)*AC439+SUM(D440:AA440)*AC440</f>
        <v>42166712.992017038</v>
      </c>
      <c r="AC438" s="16">
        <v>19</v>
      </c>
      <c r="AD438" s="16">
        <f t="shared" si="135"/>
        <v>25844114.41446206</v>
      </c>
    </row>
    <row r="439" spans="1:30" ht="13.5" thickBot="1" x14ac:dyDescent="0.35">
      <c r="A439" s="18">
        <v>2038</v>
      </c>
      <c r="B439" s="19" t="s">
        <v>32</v>
      </c>
      <c r="C439" s="20" t="s">
        <v>50</v>
      </c>
      <c r="D439" s="21">
        <v>19431.664973279738</v>
      </c>
      <c r="E439" s="22">
        <v>19431.664973279738</v>
      </c>
      <c r="F439" s="22">
        <v>19431.664973279738</v>
      </c>
      <c r="G439" s="22">
        <v>19431.664973279738</v>
      </c>
      <c r="H439" s="22">
        <v>19431.664973279738</v>
      </c>
      <c r="I439" s="22">
        <v>19431.664973279738</v>
      </c>
      <c r="J439" s="22">
        <v>19431.664973279738</v>
      </c>
      <c r="K439" s="22">
        <v>34244.174390542961</v>
      </c>
      <c r="L439" s="22">
        <v>59500.567016553556</v>
      </c>
      <c r="M439" s="22">
        <v>76114.041116404624</v>
      </c>
      <c r="N439" s="22">
        <v>85296.661252828562</v>
      </c>
      <c r="O439" s="22">
        <v>88471.536923718508</v>
      </c>
      <c r="P439" s="22">
        <v>87634.268127676594</v>
      </c>
      <c r="Q439" s="22">
        <v>82869.97120884675</v>
      </c>
      <c r="R439" s="22">
        <v>74003.1085396626</v>
      </c>
      <c r="S439" s="22">
        <v>58444.235675388583</v>
      </c>
      <c r="T439" s="22">
        <v>33529.709813168061</v>
      </c>
      <c r="U439" s="22">
        <v>77726.659893118951</v>
      </c>
      <c r="V439" s="22">
        <v>77726.659893118951</v>
      </c>
      <c r="W439" s="22">
        <v>77726.659893118951</v>
      </c>
      <c r="X439" s="22">
        <v>77726.659893118951</v>
      </c>
      <c r="Y439" s="22">
        <v>77726.659893118951</v>
      </c>
      <c r="Z439" s="22">
        <v>77726.659893118951</v>
      </c>
      <c r="AA439" s="23">
        <v>77726.659893118951</v>
      </c>
      <c r="AB439" s="97"/>
      <c r="AC439" s="24">
        <v>5</v>
      </c>
      <c r="AD439" s="16">
        <f t="shared" si="135"/>
        <v>6801082.7406479092</v>
      </c>
    </row>
    <row r="440" spans="1:30" ht="13.5" thickBot="1" x14ac:dyDescent="0.35">
      <c r="A440" s="18">
        <v>2038</v>
      </c>
      <c r="B440" s="25" t="s">
        <v>32</v>
      </c>
      <c r="C440" s="26" t="s">
        <v>36</v>
      </c>
      <c r="D440" s="21">
        <v>19431.664973279734</v>
      </c>
      <c r="E440" s="22">
        <v>19431.664973279734</v>
      </c>
      <c r="F440" s="22">
        <v>19431.664973279734</v>
      </c>
      <c r="G440" s="22">
        <v>19431.664973279734</v>
      </c>
      <c r="H440" s="22">
        <v>19431.664973279734</v>
      </c>
      <c r="I440" s="22">
        <v>19431.664973279734</v>
      </c>
      <c r="J440" s="22">
        <v>19431.664973279734</v>
      </c>
      <c r="K440" s="22">
        <v>34244.174390542961</v>
      </c>
      <c r="L440" s="22">
        <v>59500.567016553548</v>
      </c>
      <c r="M440" s="22">
        <v>76114.041116404624</v>
      </c>
      <c r="N440" s="22">
        <v>85296.661252828562</v>
      </c>
      <c r="O440" s="22">
        <v>88471.536923718508</v>
      </c>
      <c r="P440" s="22">
        <v>87634.26812767658</v>
      </c>
      <c r="Q440" s="22">
        <v>82869.971208846764</v>
      </c>
      <c r="R440" s="22">
        <v>74003.1085396626</v>
      </c>
      <c r="S440" s="22">
        <v>58444.235675388591</v>
      </c>
      <c r="T440" s="22">
        <v>33529.709813168061</v>
      </c>
      <c r="U440" s="22">
        <v>77726.659893118936</v>
      </c>
      <c r="V440" s="22">
        <v>77726.659893118936</v>
      </c>
      <c r="W440" s="22">
        <v>77726.659893118936</v>
      </c>
      <c r="X440" s="22">
        <v>77726.659893118936</v>
      </c>
      <c r="Y440" s="22">
        <v>77726.659893118936</v>
      </c>
      <c r="Z440" s="22">
        <v>77726.659893118936</v>
      </c>
      <c r="AA440" s="23">
        <v>77726.659893118936</v>
      </c>
      <c r="AB440" s="97"/>
      <c r="AC440" s="27">
        <v>7</v>
      </c>
      <c r="AD440" s="42">
        <f t="shared" si="135"/>
        <v>9521515.836907072</v>
      </c>
    </row>
    <row r="441" spans="1:30" ht="13.5" thickBot="1" x14ac:dyDescent="0.35">
      <c r="A441" s="18">
        <v>2038</v>
      </c>
      <c r="B441" s="11" t="s">
        <v>35</v>
      </c>
      <c r="C441" s="12" t="s">
        <v>33</v>
      </c>
      <c r="D441" s="21">
        <v>19431.664973279745</v>
      </c>
      <c r="E441" s="22">
        <v>19431.664973279745</v>
      </c>
      <c r="F441" s="22">
        <v>19431.664973279745</v>
      </c>
      <c r="G441" s="22">
        <v>19431.664973279745</v>
      </c>
      <c r="H441" s="22">
        <v>19431.664973279745</v>
      </c>
      <c r="I441" s="22">
        <v>19431.664973279745</v>
      </c>
      <c r="J441" s="22">
        <v>19431.664973279745</v>
      </c>
      <c r="K441" s="22">
        <v>34244.174390542976</v>
      </c>
      <c r="L441" s="22">
        <v>59500.567016553578</v>
      </c>
      <c r="M441" s="22">
        <v>76114.041116404609</v>
      </c>
      <c r="N441" s="22">
        <v>85296.661252828562</v>
      </c>
      <c r="O441" s="22">
        <v>88471.536923718464</v>
      </c>
      <c r="P441" s="22">
        <v>87634.26812767658</v>
      </c>
      <c r="Q441" s="22">
        <v>82869.971208846735</v>
      </c>
      <c r="R441" s="22">
        <v>74003.108539662586</v>
      </c>
      <c r="S441" s="22">
        <v>58444.235675388576</v>
      </c>
      <c r="T441" s="22">
        <v>33529.709813168054</v>
      </c>
      <c r="U441" s="22">
        <v>77726.65989311898</v>
      </c>
      <c r="V441" s="22">
        <v>77726.65989311898</v>
      </c>
      <c r="W441" s="22">
        <v>77726.65989311898</v>
      </c>
      <c r="X441" s="22">
        <v>77726.65989311898</v>
      </c>
      <c r="Y441" s="22">
        <v>77726.65989311898</v>
      </c>
      <c r="Z441" s="22">
        <v>77726.65989311898</v>
      </c>
      <c r="AA441" s="23">
        <v>77726.65989311898</v>
      </c>
      <c r="AB441" s="96">
        <f t="shared" ref="AB441" si="152">+SUM(D441:AA441)*AC441+SUM(D442:AA442)*AC442+SUM(D443:AA443)*AC443</f>
        <v>38086063.347628295</v>
      </c>
      <c r="AC441" s="16">
        <v>20</v>
      </c>
      <c r="AD441" s="16">
        <f t="shared" si="135"/>
        <v>27204330.962591641</v>
      </c>
    </row>
    <row r="442" spans="1:30" ht="13.5" thickBot="1" x14ac:dyDescent="0.35">
      <c r="A442" s="18">
        <v>2038</v>
      </c>
      <c r="B442" s="19" t="s">
        <v>35</v>
      </c>
      <c r="C442" s="20" t="s">
        <v>50</v>
      </c>
      <c r="D442" s="21">
        <v>19431.664973279738</v>
      </c>
      <c r="E442" s="22">
        <v>19431.664973279738</v>
      </c>
      <c r="F442" s="22">
        <v>19431.664973279738</v>
      </c>
      <c r="G442" s="22">
        <v>19431.664973279738</v>
      </c>
      <c r="H442" s="22">
        <v>19431.664973279738</v>
      </c>
      <c r="I442" s="22">
        <v>19431.664973279738</v>
      </c>
      <c r="J442" s="22">
        <v>19431.664973279738</v>
      </c>
      <c r="K442" s="22">
        <v>34244.174390542961</v>
      </c>
      <c r="L442" s="22">
        <v>59500.567016553556</v>
      </c>
      <c r="M442" s="22">
        <v>76114.041116404624</v>
      </c>
      <c r="N442" s="22">
        <v>85296.661252828562</v>
      </c>
      <c r="O442" s="22">
        <v>88471.536923718508</v>
      </c>
      <c r="P442" s="22">
        <v>87634.268127676594</v>
      </c>
      <c r="Q442" s="22">
        <v>82869.97120884675</v>
      </c>
      <c r="R442" s="22">
        <v>74003.1085396626</v>
      </c>
      <c r="S442" s="22">
        <v>58444.235675388583</v>
      </c>
      <c r="T442" s="22">
        <v>33529.709813168061</v>
      </c>
      <c r="U442" s="22">
        <v>77726.659893118951</v>
      </c>
      <c r="V442" s="22">
        <v>77726.659893118951</v>
      </c>
      <c r="W442" s="22">
        <v>77726.659893118951</v>
      </c>
      <c r="X442" s="22">
        <v>77726.659893118951</v>
      </c>
      <c r="Y442" s="22">
        <v>77726.659893118951</v>
      </c>
      <c r="Z442" s="22">
        <v>77726.659893118951</v>
      </c>
      <c r="AA442" s="23">
        <v>77726.659893118951</v>
      </c>
      <c r="AB442" s="97"/>
      <c r="AC442" s="24">
        <v>4</v>
      </c>
      <c r="AD442" s="16">
        <f t="shared" si="135"/>
        <v>5440866.1925183274</v>
      </c>
    </row>
    <row r="443" spans="1:30" ht="13.5" thickBot="1" x14ac:dyDescent="0.35">
      <c r="A443" s="18">
        <v>2038</v>
      </c>
      <c r="B443" s="25" t="s">
        <v>35</v>
      </c>
      <c r="C443" s="26" t="s">
        <v>36</v>
      </c>
      <c r="D443" s="21">
        <v>19431.664973279738</v>
      </c>
      <c r="E443" s="22">
        <v>19431.664973279738</v>
      </c>
      <c r="F443" s="22">
        <v>19431.664973279738</v>
      </c>
      <c r="G443" s="22">
        <v>19431.664973279738</v>
      </c>
      <c r="H443" s="22">
        <v>19431.664973279738</v>
      </c>
      <c r="I443" s="22">
        <v>19431.664973279738</v>
      </c>
      <c r="J443" s="22">
        <v>19431.664973279738</v>
      </c>
      <c r="K443" s="22">
        <v>34244.174390542961</v>
      </c>
      <c r="L443" s="22">
        <v>59500.567016553556</v>
      </c>
      <c r="M443" s="22">
        <v>76114.041116404624</v>
      </c>
      <c r="N443" s="22">
        <v>85296.661252828562</v>
      </c>
      <c r="O443" s="22">
        <v>88471.536923718508</v>
      </c>
      <c r="P443" s="22">
        <v>87634.268127676594</v>
      </c>
      <c r="Q443" s="22">
        <v>82869.97120884675</v>
      </c>
      <c r="R443" s="22">
        <v>74003.1085396626</v>
      </c>
      <c r="S443" s="22">
        <v>58444.235675388583</v>
      </c>
      <c r="T443" s="22">
        <v>33529.709813168061</v>
      </c>
      <c r="U443" s="22">
        <v>77726.659893118951</v>
      </c>
      <c r="V443" s="22">
        <v>77726.659893118951</v>
      </c>
      <c r="W443" s="22">
        <v>77726.659893118951</v>
      </c>
      <c r="X443" s="22">
        <v>77726.659893118951</v>
      </c>
      <c r="Y443" s="22">
        <v>77726.659893118951</v>
      </c>
      <c r="Z443" s="22">
        <v>77726.659893118951</v>
      </c>
      <c r="AA443" s="23">
        <v>77726.659893118951</v>
      </c>
      <c r="AB443" s="97"/>
      <c r="AC443" s="27">
        <v>4</v>
      </c>
      <c r="AD443" s="42">
        <f t="shared" si="135"/>
        <v>5440866.1925183274</v>
      </c>
    </row>
    <row r="444" spans="1:30" ht="13.5" thickBot="1" x14ac:dyDescent="0.35">
      <c r="A444" s="18">
        <v>2038</v>
      </c>
      <c r="B444" s="11" t="s">
        <v>37</v>
      </c>
      <c r="C444" s="12" t="s">
        <v>33</v>
      </c>
      <c r="D444" s="21">
        <v>19431.664973279749</v>
      </c>
      <c r="E444" s="22">
        <v>19431.664973279749</v>
      </c>
      <c r="F444" s="22">
        <v>19431.664973279749</v>
      </c>
      <c r="G444" s="22">
        <v>19431.664973279749</v>
      </c>
      <c r="H444" s="22">
        <v>19431.664973279749</v>
      </c>
      <c r="I444" s="22">
        <v>19431.664973279749</v>
      </c>
      <c r="J444" s="22">
        <v>19431.664973279749</v>
      </c>
      <c r="K444" s="22">
        <v>34244.174390542976</v>
      </c>
      <c r="L444" s="22">
        <v>59500.567016553578</v>
      </c>
      <c r="M444" s="22">
        <v>76114.041116404595</v>
      </c>
      <c r="N444" s="22">
        <v>85296.661252828562</v>
      </c>
      <c r="O444" s="22">
        <v>88471.536923718464</v>
      </c>
      <c r="P444" s="22">
        <v>87634.26812767658</v>
      </c>
      <c r="Q444" s="22">
        <v>82869.97120884672</v>
      </c>
      <c r="R444" s="22">
        <v>74003.108539662571</v>
      </c>
      <c r="S444" s="22">
        <v>58444.235675388569</v>
      </c>
      <c r="T444" s="22">
        <v>33529.709813168047</v>
      </c>
      <c r="U444" s="22">
        <v>77726.659893118995</v>
      </c>
      <c r="V444" s="22">
        <v>77726.659893118995</v>
      </c>
      <c r="W444" s="22">
        <v>77726.659893118995</v>
      </c>
      <c r="X444" s="22">
        <v>77726.659893118995</v>
      </c>
      <c r="Y444" s="22">
        <v>77726.659893118995</v>
      </c>
      <c r="Z444" s="22">
        <v>77726.659893118995</v>
      </c>
      <c r="AA444" s="23">
        <v>77726.659893118995</v>
      </c>
      <c r="AB444" s="96">
        <f t="shared" ref="AB444" si="153">+SUM(D444:AA444)*AC444+SUM(D445:AA445)*AC445+SUM(D446:AA446)*AC446</f>
        <v>42166712.992017046</v>
      </c>
      <c r="AC444" s="16">
        <v>22</v>
      </c>
      <c r="AD444" s="16">
        <f t="shared" si="135"/>
        <v>29924764.058850802</v>
      </c>
    </row>
    <row r="445" spans="1:30" ht="13.5" thickBot="1" x14ac:dyDescent="0.35">
      <c r="A445" s="18">
        <v>2038</v>
      </c>
      <c r="B445" s="19" t="s">
        <v>37</v>
      </c>
      <c r="C445" s="20" t="s">
        <v>50</v>
      </c>
      <c r="D445" s="21">
        <v>19431.664973279738</v>
      </c>
      <c r="E445" s="22">
        <v>19431.664973279738</v>
      </c>
      <c r="F445" s="22">
        <v>19431.664973279738</v>
      </c>
      <c r="G445" s="22">
        <v>19431.664973279738</v>
      </c>
      <c r="H445" s="22">
        <v>19431.664973279738</v>
      </c>
      <c r="I445" s="22">
        <v>19431.664973279738</v>
      </c>
      <c r="J445" s="22">
        <v>19431.664973279738</v>
      </c>
      <c r="K445" s="22">
        <v>34244.174390542961</v>
      </c>
      <c r="L445" s="22">
        <v>59500.567016553556</v>
      </c>
      <c r="M445" s="22">
        <v>76114.041116404624</v>
      </c>
      <c r="N445" s="22">
        <v>85296.661252828562</v>
      </c>
      <c r="O445" s="22">
        <v>88471.536923718508</v>
      </c>
      <c r="P445" s="22">
        <v>87634.268127676594</v>
      </c>
      <c r="Q445" s="22">
        <v>82869.97120884675</v>
      </c>
      <c r="R445" s="22">
        <v>74003.1085396626</v>
      </c>
      <c r="S445" s="22">
        <v>58444.235675388583</v>
      </c>
      <c r="T445" s="22">
        <v>33529.709813168061</v>
      </c>
      <c r="U445" s="22">
        <v>77726.659893118951</v>
      </c>
      <c r="V445" s="22">
        <v>77726.659893118951</v>
      </c>
      <c r="W445" s="22">
        <v>77726.659893118951</v>
      </c>
      <c r="X445" s="22">
        <v>77726.659893118951</v>
      </c>
      <c r="Y445" s="22">
        <v>77726.659893118951</v>
      </c>
      <c r="Z445" s="22">
        <v>77726.659893118951</v>
      </c>
      <c r="AA445" s="23">
        <v>77726.659893118951</v>
      </c>
      <c r="AB445" s="97"/>
      <c r="AC445" s="24">
        <v>4</v>
      </c>
      <c r="AD445" s="16">
        <f t="shared" si="135"/>
        <v>5440866.1925183274</v>
      </c>
    </row>
    <row r="446" spans="1:30" ht="13.5" thickBot="1" x14ac:dyDescent="0.35">
      <c r="A446" s="18">
        <v>2038</v>
      </c>
      <c r="B446" s="25" t="s">
        <v>37</v>
      </c>
      <c r="C446" s="26" t="s">
        <v>36</v>
      </c>
      <c r="D446" s="21">
        <v>19431.664973279738</v>
      </c>
      <c r="E446" s="22">
        <v>19431.664973279738</v>
      </c>
      <c r="F446" s="22">
        <v>19431.664973279738</v>
      </c>
      <c r="G446" s="22">
        <v>19431.664973279738</v>
      </c>
      <c r="H446" s="22">
        <v>19431.664973279738</v>
      </c>
      <c r="I446" s="22">
        <v>19431.664973279738</v>
      </c>
      <c r="J446" s="22">
        <v>19431.664973279738</v>
      </c>
      <c r="K446" s="22">
        <v>34244.174390542961</v>
      </c>
      <c r="L446" s="22">
        <v>59500.567016553556</v>
      </c>
      <c r="M446" s="22">
        <v>76114.041116404624</v>
      </c>
      <c r="N446" s="22">
        <v>85296.661252828562</v>
      </c>
      <c r="O446" s="22">
        <v>88471.536923718508</v>
      </c>
      <c r="P446" s="22">
        <v>87634.268127676594</v>
      </c>
      <c r="Q446" s="22">
        <v>82869.97120884675</v>
      </c>
      <c r="R446" s="22">
        <v>74003.1085396626</v>
      </c>
      <c r="S446" s="22">
        <v>58444.235675388583</v>
      </c>
      <c r="T446" s="22">
        <v>33529.709813168061</v>
      </c>
      <c r="U446" s="22">
        <v>77726.659893118951</v>
      </c>
      <c r="V446" s="22">
        <v>77726.659893118951</v>
      </c>
      <c r="W446" s="22">
        <v>77726.659893118951</v>
      </c>
      <c r="X446" s="22">
        <v>77726.659893118951</v>
      </c>
      <c r="Y446" s="22">
        <v>77726.659893118951</v>
      </c>
      <c r="Z446" s="22">
        <v>77726.659893118951</v>
      </c>
      <c r="AA446" s="23">
        <v>77726.659893118951</v>
      </c>
      <c r="AB446" s="97"/>
      <c r="AC446" s="27">
        <v>5</v>
      </c>
      <c r="AD446" s="42">
        <f t="shared" si="135"/>
        <v>6801082.7406479092</v>
      </c>
    </row>
    <row r="447" spans="1:30" ht="13.5" thickBot="1" x14ac:dyDescent="0.35">
      <c r="A447" s="18">
        <v>2038</v>
      </c>
      <c r="B447" s="11" t="s">
        <v>38</v>
      </c>
      <c r="C447" s="12" t="s">
        <v>33</v>
      </c>
      <c r="D447" s="21">
        <v>19431.664973279745</v>
      </c>
      <c r="E447" s="22">
        <v>19431.664973279745</v>
      </c>
      <c r="F447" s="22">
        <v>19431.664973279745</v>
      </c>
      <c r="G447" s="22">
        <v>19431.664973279745</v>
      </c>
      <c r="H447" s="22">
        <v>19431.664973279745</v>
      </c>
      <c r="I447" s="22">
        <v>19431.664973279745</v>
      </c>
      <c r="J447" s="22">
        <v>19431.664973279745</v>
      </c>
      <c r="K447" s="22">
        <v>34244.174390542976</v>
      </c>
      <c r="L447" s="22">
        <v>59500.567016553578</v>
      </c>
      <c r="M447" s="22">
        <v>76114.041116404609</v>
      </c>
      <c r="N447" s="22">
        <v>85296.661252828562</v>
      </c>
      <c r="O447" s="22">
        <v>88471.536923718464</v>
      </c>
      <c r="P447" s="22">
        <v>87634.26812767658</v>
      </c>
      <c r="Q447" s="22">
        <v>82869.971208846735</v>
      </c>
      <c r="R447" s="22">
        <v>74003.108539662586</v>
      </c>
      <c r="S447" s="22">
        <v>58444.235675388576</v>
      </c>
      <c r="T447" s="22">
        <v>33529.709813168054</v>
      </c>
      <c r="U447" s="22">
        <v>77726.65989311898</v>
      </c>
      <c r="V447" s="22">
        <v>77726.65989311898</v>
      </c>
      <c r="W447" s="22">
        <v>77726.65989311898</v>
      </c>
      <c r="X447" s="22">
        <v>77726.65989311898</v>
      </c>
      <c r="Y447" s="22">
        <v>77726.65989311898</v>
      </c>
      <c r="Z447" s="22">
        <v>77726.65989311898</v>
      </c>
      <c r="AA447" s="23">
        <v>77726.65989311898</v>
      </c>
      <c r="AB447" s="96">
        <f t="shared" ref="AB447" si="154">+SUM(D447:AA447)*AC447+SUM(D448:AA448)*AC448+SUM(D449:AA449)*AC449</f>
        <v>40806496.443887457</v>
      </c>
      <c r="AC447" s="16">
        <v>20</v>
      </c>
      <c r="AD447" s="16">
        <f t="shared" si="135"/>
        <v>27204330.962591641</v>
      </c>
    </row>
    <row r="448" spans="1:30" ht="13.5" thickBot="1" x14ac:dyDescent="0.35">
      <c r="A448" s="18">
        <v>2038</v>
      </c>
      <c r="B448" s="19" t="s">
        <v>38</v>
      </c>
      <c r="C448" s="20" t="s">
        <v>50</v>
      </c>
      <c r="D448" s="21">
        <v>19431.664973279738</v>
      </c>
      <c r="E448" s="22">
        <v>19431.664973279738</v>
      </c>
      <c r="F448" s="22">
        <v>19431.664973279738</v>
      </c>
      <c r="G448" s="22">
        <v>19431.664973279738</v>
      </c>
      <c r="H448" s="22">
        <v>19431.664973279738</v>
      </c>
      <c r="I448" s="22">
        <v>19431.664973279738</v>
      </c>
      <c r="J448" s="22">
        <v>19431.664973279738</v>
      </c>
      <c r="K448" s="22">
        <v>34244.174390542961</v>
      </c>
      <c r="L448" s="22">
        <v>59500.567016553556</v>
      </c>
      <c r="M448" s="22">
        <v>76114.041116404624</v>
      </c>
      <c r="N448" s="22">
        <v>85296.661252828562</v>
      </c>
      <c r="O448" s="22">
        <v>88471.536923718508</v>
      </c>
      <c r="P448" s="22">
        <v>87634.268127676594</v>
      </c>
      <c r="Q448" s="22">
        <v>82869.97120884675</v>
      </c>
      <c r="R448" s="22">
        <v>74003.1085396626</v>
      </c>
      <c r="S448" s="22">
        <v>58444.235675388583</v>
      </c>
      <c r="T448" s="22">
        <v>33529.709813168061</v>
      </c>
      <c r="U448" s="22">
        <v>77726.659893118951</v>
      </c>
      <c r="V448" s="22">
        <v>77726.659893118951</v>
      </c>
      <c r="W448" s="22">
        <v>77726.659893118951</v>
      </c>
      <c r="X448" s="22">
        <v>77726.659893118951</v>
      </c>
      <c r="Y448" s="22">
        <v>77726.659893118951</v>
      </c>
      <c r="Z448" s="22">
        <v>77726.659893118951</v>
      </c>
      <c r="AA448" s="23">
        <v>77726.659893118951</v>
      </c>
      <c r="AB448" s="97"/>
      <c r="AC448" s="24">
        <v>4</v>
      </c>
      <c r="AD448" s="16">
        <f t="shared" si="135"/>
        <v>5440866.1925183274</v>
      </c>
    </row>
    <row r="449" spans="1:30" ht="13.5" thickBot="1" x14ac:dyDescent="0.35">
      <c r="A449" s="18">
        <v>2038</v>
      </c>
      <c r="B449" s="25" t="s">
        <v>38</v>
      </c>
      <c r="C449" s="26" t="s">
        <v>36</v>
      </c>
      <c r="D449" s="21">
        <v>19431.664973279738</v>
      </c>
      <c r="E449" s="22">
        <v>19431.664973279738</v>
      </c>
      <c r="F449" s="22">
        <v>19431.664973279738</v>
      </c>
      <c r="G449" s="22">
        <v>19431.664973279738</v>
      </c>
      <c r="H449" s="22">
        <v>19431.664973279738</v>
      </c>
      <c r="I449" s="22">
        <v>19431.664973279738</v>
      </c>
      <c r="J449" s="22">
        <v>19431.664973279738</v>
      </c>
      <c r="K449" s="22">
        <v>34244.174390542961</v>
      </c>
      <c r="L449" s="22">
        <v>59500.567016553548</v>
      </c>
      <c r="M449" s="22">
        <v>76114.041116404624</v>
      </c>
      <c r="N449" s="22">
        <v>85296.661252828562</v>
      </c>
      <c r="O449" s="22">
        <v>88471.536923718508</v>
      </c>
      <c r="P449" s="22">
        <v>87634.26812767658</v>
      </c>
      <c r="Q449" s="22">
        <v>82869.971208846764</v>
      </c>
      <c r="R449" s="22">
        <v>74003.1085396626</v>
      </c>
      <c r="S449" s="22">
        <v>58444.235675388591</v>
      </c>
      <c r="T449" s="22">
        <v>33529.709813168061</v>
      </c>
      <c r="U449" s="22">
        <v>77726.659893118951</v>
      </c>
      <c r="V449" s="22">
        <v>77726.659893118951</v>
      </c>
      <c r="W449" s="22">
        <v>77726.659893118951</v>
      </c>
      <c r="X449" s="22">
        <v>77726.659893118951</v>
      </c>
      <c r="Y449" s="22">
        <v>77726.659893118951</v>
      </c>
      <c r="Z449" s="22">
        <v>77726.659893118951</v>
      </c>
      <c r="AA449" s="23">
        <v>77726.659893118951</v>
      </c>
      <c r="AB449" s="97"/>
      <c r="AC449" s="27">
        <v>6</v>
      </c>
      <c r="AD449" s="42">
        <f t="shared" si="135"/>
        <v>8161299.2887774911</v>
      </c>
    </row>
    <row r="450" spans="1:30" ht="13.5" thickBot="1" x14ac:dyDescent="0.35">
      <c r="A450" s="18">
        <v>2038</v>
      </c>
      <c r="B450" s="11" t="s">
        <v>39</v>
      </c>
      <c r="C450" s="12" t="s">
        <v>33</v>
      </c>
      <c r="D450" s="21">
        <v>19431.664973279745</v>
      </c>
      <c r="E450" s="22">
        <v>19431.664973279745</v>
      </c>
      <c r="F450" s="22">
        <v>19431.664973279745</v>
      </c>
      <c r="G450" s="22">
        <v>19431.664973279745</v>
      </c>
      <c r="H450" s="22">
        <v>19431.664973279745</v>
      </c>
      <c r="I450" s="22">
        <v>19431.664973279745</v>
      </c>
      <c r="J450" s="22">
        <v>19431.664973279745</v>
      </c>
      <c r="K450" s="22">
        <v>34244.174390542976</v>
      </c>
      <c r="L450" s="22">
        <v>59500.567016553578</v>
      </c>
      <c r="M450" s="22">
        <v>76114.041116404609</v>
      </c>
      <c r="N450" s="22">
        <v>85296.661252828562</v>
      </c>
      <c r="O450" s="22">
        <v>88471.536923718464</v>
      </c>
      <c r="P450" s="22">
        <v>87634.26812767658</v>
      </c>
      <c r="Q450" s="22">
        <v>82869.971208846735</v>
      </c>
      <c r="R450" s="22">
        <v>74003.108539662586</v>
      </c>
      <c r="S450" s="22">
        <v>58444.235675388569</v>
      </c>
      <c r="T450" s="22">
        <v>33529.709813168054</v>
      </c>
      <c r="U450" s="22">
        <v>77726.65989311898</v>
      </c>
      <c r="V450" s="22">
        <v>77726.65989311898</v>
      </c>
      <c r="W450" s="22">
        <v>77726.65989311898</v>
      </c>
      <c r="X450" s="22">
        <v>77726.65989311898</v>
      </c>
      <c r="Y450" s="22">
        <v>77726.65989311898</v>
      </c>
      <c r="Z450" s="22">
        <v>77726.65989311898</v>
      </c>
      <c r="AA450" s="23">
        <v>77726.65989311898</v>
      </c>
      <c r="AB450" s="96">
        <f t="shared" ref="AB450" si="155">+SUM(D450:AA450)*AC450+SUM(D451:AA451)*AC451+SUM(D452:AA452)*AC452</f>
        <v>42166712.992017046</v>
      </c>
      <c r="AC450" s="16">
        <v>21</v>
      </c>
      <c r="AD450" s="16">
        <f t="shared" si="135"/>
        <v>28564547.510721225</v>
      </c>
    </row>
    <row r="451" spans="1:30" ht="13.5" thickBot="1" x14ac:dyDescent="0.35">
      <c r="A451" s="18">
        <v>2038</v>
      </c>
      <c r="B451" s="19" t="s">
        <v>39</v>
      </c>
      <c r="C451" s="20" t="s">
        <v>50</v>
      </c>
      <c r="D451" s="21">
        <v>19431.664973279738</v>
      </c>
      <c r="E451" s="22">
        <v>19431.664973279738</v>
      </c>
      <c r="F451" s="22">
        <v>19431.664973279738</v>
      </c>
      <c r="G451" s="22">
        <v>19431.664973279738</v>
      </c>
      <c r="H451" s="22">
        <v>19431.664973279738</v>
      </c>
      <c r="I451" s="22">
        <v>19431.664973279738</v>
      </c>
      <c r="J451" s="22">
        <v>19431.664973279738</v>
      </c>
      <c r="K451" s="22">
        <v>34244.174390542961</v>
      </c>
      <c r="L451" s="22">
        <v>59500.567016553556</v>
      </c>
      <c r="M451" s="22">
        <v>76114.041116404624</v>
      </c>
      <c r="N451" s="22">
        <v>85296.661252828562</v>
      </c>
      <c r="O451" s="22">
        <v>88471.536923718508</v>
      </c>
      <c r="P451" s="22">
        <v>87634.268127676594</v>
      </c>
      <c r="Q451" s="22">
        <v>82869.97120884675</v>
      </c>
      <c r="R451" s="22">
        <v>74003.1085396626</v>
      </c>
      <c r="S451" s="22">
        <v>58444.235675388583</v>
      </c>
      <c r="T451" s="22">
        <v>33529.709813168061</v>
      </c>
      <c r="U451" s="22">
        <v>77726.659893118951</v>
      </c>
      <c r="V451" s="22">
        <v>77726.659893118951</v>
      </c>
      <c r="W451" s="22">
        <v>77726.659893118951</v>
      </c>
      <c r="X451" s="22">
        <v>77726.659893118951</v>
      </c>
      <c r="Y451" s="22">
        <v>77726.659893118951</v>
      </c>
      <c r="Z451" s="22">
        <v>77726.659893118951</v>
      </c>
      <c r="AA451" s="23">
        <v>77726.659893118951</v>
      </c>
      <c r="AB451" s="97"/>
      <c r="AC451" s="24">
        <v>4</v>
      </c>
      <c r="AD451" s="16">
        <f t="shared" si="135"/>
        <v>5440866.1925183274</v>
      </c>
    </row>
    <row r="452" spans="1:30" ht="13.5" thickBot="1" x14ac:dyDescent="0.35">
      <c r="A452" s="18">
        <v>2038</v>
      </c>
      <c r="B452" s="25" t="s">
        <v>39</v>
      </c>
      <c r="C452" s="26" t="s">
        <v>36</v>
      </c>
      <c r="D452" s="21">
        <v>19431.664973279738</v>
      </c>
      <c r="E452" s="22">
        <v>19431.664973279738</v>
      </c>
      <c r="F452" s="22">
        <v>19431.664973279738</v>
      </c>
      <c r="G452" s="22">
        <v>19431.664973279738</v>
      </c>
      <c r="H452" s="22">
        <v>19431.664973279738</v>
      </c>
      <c r="I452" s="22">
        <v>19431.664973279738</v>
      </c>
      <c r="J452" s="22">
        <v>19431.664973279738</v>
      </c>
      <c r="K452" s="22">
        <v>34244.174390542961</v>
      </c>
      <c r="L452" s="22">
        <v>59500.567016553548</v>
      </c>
      <c r="M452" s="22">
        <v>76114.041116404624</v>
      </c>
      <c r="N452" s="22">
        <v>85296.661252828562</v>
      </c>
      <c r="O452" s="22">
        <v>88471.536923718508</v>
      </c>
      <c r="P452" s="22">
        <v>87634.26812767658</v>
      </c>
      <c r="Q452" s="22">
        <v>82869.971208846764</v>
      </c>
      <c r="R452" s="22">
        <v>74003.1085396626</v>
      </c>
      <c r="S452" s="22">
        <v>58444.235675388591</v>
      </c>
      <c r="T452" s="22">
        <v>33529.709813168061</v>
      </c>
      <c r="U452" s="22">
        <v>77726.659893118951</v>
      </c>
      <c r="V452" s="22">
        <v>77726.659893118951</v>
      </c>
      <c r="W452" s="22">
        <v>77726.659893118951</v>
      </c>
      <c r="X452" s="22">
        <v>77726.659893118951</v>
      </c>
      <c r="Y452" s="22">
        <v>77726.659893118951</v>
      </c>
      <c r="Z452" s="22">
        <v>77726.659893118951</v>
      </c>
      <c r="AA452" s="23">
        <v>77726.659893118951</v>
      </c>
      <c r="AB452" s="97"/>
      <c r="AC452" s="27">
        <v>6</v>
      </c>
      <c r="AD452" s="42">
        <f t="shared" si="135"/>
        <v>8161299.2887774911</v>
      </c>
    </row>
    <row r="453" spans="1:30" ht="13.5" thickBot="1" x14ac:dyDescent="0.35">
      <c r="A453" s="18">
        <v>2038</v>
      </c>
      <c r="B453" s="11" t="s">
        <v>40</v>
      </c>
      <c r="C453" s="12" t="s">
        <v>33</v>
      </c>
      <c r="D453" s="21">
        <v>19431.664973279745</v>
      </c>
      <c r="E453" s="22">
        <v>19431.664973279745</v>
      </c>
      <c r="F453" s="22">
        <v>19431.664973279745</v>
      </c>
      <c r="G453" s="22">
        <v>19431.664973279745</v>
      </c>
      <c r="H453" s="22">
        <v>19431.664973279745</v>
      </c>
      <c r="I453" s="22">
        <v>19431.664973279745</v>
      </c>
      <c r="J453" s="22">
        <v>19431.664973279745</v>
      </c>
      <c r="K453" s="22">
        <v>34244.174390542976</v>
      </c>
      <c r="L453" s="22">
        <v>59500.567016553578</v>
      </c>
      <c r="M453" s="22">
        <v>76114.041116404609</v>
      </c>
      <c r="N453" s="22">
        <v>85296.661252828562</v>
      </c>
      <c r="O453" s="22">
        <v>88471.536923718464</v>
      </c>
      <c r="P453" s="22">
        <v>87634.26812767658</v>
      </c>
      <c r="Q453" s="22">
        <v>82869.971208846735</v>
      </c>
      <c r="R453" s="22">
        <v>74003.108539662586</v>
      </c>
      <c r="S453" s="22">
        <v>58444.235675388576</v>
      </c>
      <c r="T453" s="22">
        <v>33529.709813168054</v>
      </c>
      <c r="U453" s="22">
        <v>77726.65989311898</v>
      </c>
      <c r="V453" s="22">
        <v>77726.65989311898</v>
      </c>
      <c r="W453" s="22">
        <v>77726.65989311898</v>
      </c>
      <c r="X453" s="22">
        <v>77726.65989311898</v>
      </c>
      <c r="Y453" s="22">
        <v>77726.65989311898</v>
      </c>
      <c r="Z453" s="22">
        <v>77726.65989311898</v>
      </c>
      <c r="AA453" s="23">
        <v>77726.65989311898</v>
      </c>
      <c r="AB453" s="96">
        <f t="shared" ref="AB453" si="156">+SUM(D453:AA453)*AC453+SUM(D454:AA454)*AC454+SUM(D455:AA455)*AC455</f>
        <v>40806496.443887457</v>
      </c>
      <c r="AC453" s="16">
        <v>20</v>
      </c>
      <c r="AD453" s="16">
        <f t="shared" si="135"/>
        <v>27204330.962591641</v>
      </c>
    </row>
    <row r="454" spans="1:30" ht="13.5" thickBot="1" x14ac:dyDescent="0.35">
      <c r="A454" s="18">
        <v>2038</v>
      </c>
      <c r="B454" s="19" t="s">
        <v>40</v>
      </c>
      <c r="C454" s="20" t="s">
        <v>50</v>
      </c>
      <c r="D454" s="21">
        <v>19431.664973279738</v>
      </c>
      <c r="E454" s="22">
        <v>19431.664973279738</v>
      </c>
      <c r="F454" s="22">
        <v>19431.664973279738</v>
      </c>
      <c r="G454" s="22">
        <v>19431.664973279738</v>
      </c>
      <c r="H454" s="22">
        <v>19431.664973279738</v>
      </c>
      <c r="I454" s="22">
        <v>19431.664973279738</v>
      </c>
      <c r="J454" s="22">
        <v>19431.664973279738</v>
      </c>
      <c r="K454" s="22">
        <v>34244.174390542961</v>
      </c>
      <c r="L454" s="22">
        <v>59500.567016553556</v>
      </c>
      <c r="M454" s="22">
        <v>76114.041116404624</v>
      </c>
      <c r="N454" s="22">
        <v>85296.661252828562</v>
      </c>
      <c r="O454" s="22">
        <v>88471.536923718508</v>
      </c>
      <c r="P454" s="22">
        <v>87634.268127676594</v>
      </c>
      <c r="Q454" s="22">
        <v>82869.97120884675</v>
      </c>
      <c r="R454" s="22">
        <v>74003.1085396626</v>
      </c>
      <c r="S454" s="22">
        <v>58444.235675388583</v>
      </c>
      <c r="T454" s="22">
        <v>33529.709813168061</v>
      </c>
      <c r="U454" s="22">
        <v>77726.659893118951</v>
      </c>
      <c r="V454" s="22">
        <v>77726.659893118951</v>
      </c>
      <c r="W454" s="22">
        <v>77726.659893118951</v>
      </c>
      <c r="X454" s="22">
        <v>77726.659893118951</v>
      </c>
      <c r="Y454" s="22">
        <v>77726.659893118951</v>
      </c>
      <c r="Z454" s="22">
        <v>77726.659893118951</v>
      </c>
      <c r="AA454" s="23">
        <v>77726.659893118951</v>
      </c>
      <c r="AB454" s="97"/>
      <c r="AC454" s="24">
        <v>4</v>
      </c>
      <c r="AD454" s="16">
        <f t="shared" ref="AD454:AD517" si="157">+SUM(D454:AA454)*AC454</f>
        <v>5440866.1925183274</v>
      </c>
    </row>
    <row r="455" spans="1:30" ht="13.5" thickBot="1" x14ac:dyDescent="0.35">
      <c r="A455" s="18">
        <v>2038</v>
      </c>
      <c r="B455" s="25" t="s">
        <v>40</v>
      </c>
      <c r="C455" s="26" t="s">
        <v>36</v>
      </c>
      <c r="D455" s="21">
        <v>19431.664973279738</v>
      </c>
      <c r="E455" s="22">
        <v>19431.664973279738</v>
      </c>
      <c r="F455" s="22">
        <v>19431.664973279738</v>
      </c>
      <c r="G455" s="22">
        <v>19431.664973279738</v>
      </c>
      <c r="H455" s="22">
        <v>19431.664973279738</v>
      </c>
      <c r="I455" s="22">
        <v>19431.664973279738</v>
      </c>
      <c r="J455" s="22">
        <v>19431.664973279738</v>
      </c>
      <c r="K455" s="22">
        <v>34244.174390542961</v>
      </c>
      <c r="L455" s="22">
        <v>59500.567016553548</v>
      </c>
      <c r="M455" s="22">
        <v>76114.041116404624</v>
      </c>
      <c r="N455" s="22">
        <v>85296.661252828562</v>
      </c>
      <c r="O455" s="22">
        <v>88471.536923718508</v>
      </c>
      <c r="P455" s="22">
        <v>87634.26812767658</v>
      </c>
      <c r="Q455" s="22">
        <v>82869.971208846764</v>
      </c>
      <c r="R455" s="22">
        <v>74003.1085396626</v>
      </c>
      <c r="S455" s="22">
        <v>58444.235675388591</v>
      </c>
      <c r="T455" s="22">
        <v>33529.709813168061</v>
      </c>
      <c r="U455" s="22">
        <v>77726.659893118951</v>
      </c>
      <c r="V455" s="22">
        <v>77726.659893118951</v>
      </c>
      <c r="W455" s="22">
        <v>77726.659893118951</v>
      </c>
      <c r="X455" s="22">
        <v>77726.659893118951</v>
      </c>
      <c r="Y455" s="22">
        <v>77726.659893118951</v>
      </c>
      <c r="Z455" s="22">
        <v>77726.659893118951</v>
      </c>
      <c r="AA455" s="23">
        <v>77726.659893118951</v>
      </c>
      <c r="AB455" s="97"/>
      <c r="AC455" s="27">
        <v>6</v>
      </c>
      <c r="AD455" s="42">
        <f t="shared" si="157"/>
        <v>8161299.2887774911</v>
      </c>
    </row>
    <row r="456" spans="1:30" ht="13.5" thickBot="1" x14ac:dyDescent="0.35">
      <c r="A456" s="18">
        <v>2038</v>
      </c>
      <c r="B456" s="11" t="s">
        <v>41</v>
      </c>
      <c r="C456" s="12" t="s">
        <v>33</v>
      </c>
      <c r="D456" s="21">
        <v>19431.664973279745</v>
      </c>
      <c r="E456" s="22">
        <v>19431.664973279745</v>
      </c>
      <c r="F456" s="22">
        <v>19431.664973279745</v>
      </c>
      <c r="G456" s="22">
        <v>19431.664973279745</v>
      </c>
      <c r="H456" s="22">
        <v>19431.664973279745</v>
      </c>
      <c r="I456" s="22">
        <v>19431.664973279745</v>
      </c>
      <c r="J456" s="22">
        <v>19431.664973279745</v>
      </c>
      <c r="K456" s="22">
        <v>34244.174390542976</v>
      </c>
      <c r="L456" s="22">
        <v>59500.567016553578</v>
      </c>
      <c r="M456" s="22">
        <v>76114.041116404609</v>
      </c>
      <c r="N456" s="22">
        <v>85296.661252828562</v>
      </c>
      <c r="O456" s="22">
        <v>88471.536923718464</v>
      </c>
      <c r="P456" s="22">
        <v>87634.26812767658</v>
      </c>
      <c r="Q456" s="22">
        <v>82869.971208846735</v>
      </c>
      <c r="R456" s="22">
        <v>74003.108539662586</v>
      </c>
      <c r="S456" s="22">
        <v>58444.235675388576</v>
      </c>
      <c r="T456" s="22">
        <v>33529.709813168054</v>
      </c>
      <c r="U456" s="22">
        <v>77726.65989311898</v>
      </c>
      <c r="V456" s="22">
        <v>77726.65989311898</v>
      </c>
      <c r="W456" s="22">
        <v>77726.65989311898</v>
      </c>
      <c r="X456" s="22">
        <v>77726.65989311898</v>
      </c>
      <c r="Y456" s="22">
        <v>77726.65989311898</v>
      </c>
      <c r="Z456" s="22">
        <v>77726.65989311898</v>
      </c>
      <c r="AA456" s="23">
        <v>77726.65989311898</v>
      </c>
      <c r="AB456" s="96">
        <f t="shared" ref="AB456" si="158">+SUM(D456:AA456)*AC456+SUM(D457:AA457)*AC457+SUM(D458:AA458)*AC458</f>
        <v>42166712.992017046</v>
      </c>
      <c r="AC456" s="16">
        <v>20</v>
      </c>
      <c r="AD456" s="16">
        <f t="shared" si="157"/>
        <v>27204330.962591641</v>
      </c>
    </row>
    <row r="457" spans="1:30" ht="13.5" thickBot="1" x14ac:dyDescent="0.35">
      <c r="A457" s="18">
        <v>2038</v>
      </c>
      <c r="B457" s="19" t="s">
        <v>41</v>
      </c>
      <c r="C457" s="20" t="s">
        <v>50</v>
      </c>
      <c r="D457" s="21">
        <v>19431.664973279738</v>
      </c>
      <c r="E457" s="22">
        <v>19431.664973279738</v>
      </c>
      <c r="F457" s="22">
        <v>19431.664973279738</v>
      </c>
      <c r="G457" s="22">
        <v>19431.664973279738</v>
      </c>
      <c r="H457" s="22">
        <v>19431.664973279738</v>
      </c>
      <c r="I457" s="22">
        <v>19431.664973279738</v>
      </c>
      <c r="J457" s="22">
        <v>19431.664973279738</v>
      </c>
      <c r="K457" s="22">
        <v>34244.174390542961</v>
      </c>
      <c r="L457" s="22">
        <v>59500.567016553556</v>
      </c>
      <c r="M457" s="22">
        <v>76114.041116404624</v>
      </c>
      <c r="N457" s="22">
        <v>85296.661252828562</v>
      </c>
      <c r="O457" s="22">
        <v>88471.536923718508</v>
      </c>
      <c r="P457" s="22">
        <v>87634.268127676594</v>
      </c>
      <c r="Q457" s="22">
        <v>82869.97120884675</v>
      </c>
      <c r="R457" s="22">
        <v>74003.1085396626</v>
      </c>
      <c r="S457" s="22">
        <v>58444.235675388583</v>
      </c>
      <c r="T457" s="22">
        <v>33529.709813168061</v>
      </c>
      <c r="U457" s="22">
        <v>77726.659893118951</v>
      </c>
      <c r="V457" s="22">
        <v>77726.659893118951</v>
      </c>
      <c r="W457" s="22">
        <v>77726.659893118951</v>
      </c>
      <c r="X457" s="22">
        <v>77726.659893118951</v>
      </c>
      <c r="Y457" s="22">
        <v>77726.659893118951</v>
      </c>
      <c r="Z457" s="22">
        <v>77726.659893118951</v>
      </c>
      <c r="AA457" s="23">
        <v>77726.659893118951</v>
      </c>
      <c r="AB457" s="97"/>
      <c r="AC457" s="24">
        <v>5</v>
      </c>
      <c r="AD457" s="16">
        <f t="shared" si="157"/>
        <v>6801082.7406479092</v>
      </c>
    </row>
    <row r="458" spans="1:30" ht="13.5" thickBot="1" x14ac:dyDescent="0.35">
      <c r="A458" s="18">
        <v>2038</v>
      </c>
      <c r="B458" s="25" t="s">
        <v>41</v>
      </c>
      <c r="C458" s="26" t="s">
        <v>36</v>
      </c>
      <c r="D458" s="21">
        <v>19431.664973279738</v>
      </c>
      <c r="E458" s="22">
        <v>19431.664973279738</v>
      </c>
      <c r="F458" s="22">
        <v>19431.664973279738</v>
      </c>
      <c r="G458" s="22">
        <v>19431.664973279738</v>
      </c>
      <c r="H458" s="22">
        <v>19431.664973279738</v>
      </c>
      <c r="I458" s="22">
        <v>19431.664973279738</v>
      </c>
      <c r="J458" s="22">
        <v>19431.664973279738</v>
      </c>
      <c r="K458" s="22">
        <v>34244.174390542961</v>
      </c>
      <c r="L458" s="22">
        <v>59500.567016553548</v>
      </c>
      <c r="M458" s="22">
        <v>76114.041116404624</v>
      </c>
      <c r="N458" s="22">
        <v>85296.661252828562</v>
      </c>
      <c r="O458" s="22">
        <v>88471.536923718508</v>
      </c>
      <c r="P458" s="22">
        <v>87634.26812767658</v>
      </c>
      <c r="Q458" s="22">
        <v>82869.971208846764</v>
      </c>
      <c r="R458" s="22">
        <v>74003.1085396626</v>
      </c>
      <c r="S458" s="22">
        <v>58444.235675388591</v>
      </c>
      <c r="T458" s="22">
        <v>33529.709813168061</v>
      </c>
      <c r="U458" s="22">
        <v>77726.659893118951</v>
      </c>
      <c r="V458" s="22">
        <v>77726.659893118951</v>
      </c>
      <c r="W458" s="22">
        <v>77726.659893118951</v>
      </c>
      <c r="X458" s="22">
        <v>77726.659893118951</v>
      </c>
      <c r="Y458" s="22">
        <v>77726.659893118951</v>
      </c>
      <c r="Z458" s="22">
        <v>77726.659893118951</v>
      </c>
      <c r="AA458" s="23">
        <v>77726.659893118951</v>
      </c>
      <c r="AB458" s="97"/>
      <c r="AC458" s="27">
        <v>6</v>
      </c>
      <c r="AD458" s="42">
        <f t="shared" si="157"/>
        <v>8161299.2887774911</v>
      </c>
    </row>
    <row r="459" spans="1:30" ht="13.5" thickBot="1" x14ac:dyDescent="0.35">
      <c r="A459" s="18">
        <v>2038</v>
      </c>
      <c r="B459" s="11" t="s">
        <v>42</v>
      </c>
      <c r="C459" s="12" t="s">
        <v>33</v>
      </c>
      <c r="D459" s="21">
        <v>19431.664973279745</v>
      </c>
      <c r="E459" s="22">
        <v>19431.664973279745</v>
      </c>
      <c r="F459" s="22">
        <v>19431.664973279745</v>
      </c>
      <c r="G459" s="22">
        <v>19431.664973279745</v>
      </c>
      <c r="H459" s="22">
        <v>19431.664973279745</v>
      </c>
      <c r="I459" s="22">
        <v>19431.664973279745</v>
      </c>
      <c r="J459" s="22">
        <v>19431.664973279745</v>
      </c>
      <c r="K459" s="22">
        <v>34244.174390542976</v>
      </c>
      <c r="L459" s="22">
        <v>59500.567016553578</v>
      </c>
      <c r="M459" s="22">
        <v>76114.041116404609</v>
      </c>
      <c r="N459" s="22">
        <v>85296.661252828562</v>
      </c>
      <c r="O459" s="22">
        <v>88471.536923718464</v>
      </c>
      <c r="P459" s="22">
        <v>87634.26812767658</v>
      </c>
      <c r="Q459" s="22">
        <v>82869.971208846735</v>
      </c>
      <c r="R459" s="22">
        <v>74003.108539662586</v>
      </c>
      <c r="S459" s="22">
        <v>58444.235675388569</v>
      </c>
      <c r="T459" s="22">
        <v>33529.709813168054</v>
      </c>
      <c r="U459" s="22">
        <v>77726.65989311898</v>
      </c>
      <c r="V459" s="22">
        <v>77726.65989311898</v>
      </c>
      <c r="W459" s="22">
        <v>77726.65989311898</v>
      </c>
      <c r="X459" s="22">
        <v>77726.65989311898</v>
      </c>
      <c r="Y459" s="22">
        <v>77726.65989311898</v>
      </c>
      <c r="Z459" s="22">
        <v>77726.65989311898</v>
      </c>
      <c r="AA459" s="23">
        <v>77726.65989311898</v>
      </c>
      <c r="AB459" s="96">
        <f t="shared" ref="AB459" si="159">+SUM(D459:AA459)*AC459+SUM(D460:AA460)*AC460+SUM(D461:AA461)*AC461</f>
        <v>42166712.992017046</v>
      </c>
      <c r="AC459" s="16">
        <v>21</v>
      </c>
      <c r="AD459" s="16">
        <f t="shared" si="157"/>
        <v>28564547.510721225</v>
      </c>
    </row>
    <row r="460" spans="1:30" ht="13.5" thickBot="1" x14ac:dyDescent="0.35">
      <c r="A460" s="18">
        <v>2038</v>
      </c>
      <c r="B460" s="19" t="s">
        <v>42</v>
      </c>
      <c r="C460" s="20" t="s">
        <v>50</v>
      </c>
      <c r="D460" s="21">
        <v>19431.664973279738</v>
      </c>
      <c r="E460" s="22">
        <v>19431.664973279738</v>
      </c>
      <c r="F460" s="22">
        <v>19431.664973279738</v>
      </c>
      <c r="G460" s="22">
        <v>19431.664973279738</v>
      </c>
      <c r="H460" s="22">
        <v>19431.664973279738</v>
      </c>
      <c r="I460" s="22">
        <v>19431.664973279738</v>
      </c>
      <c r="J460" s="22">
        <v>19431.664973279738</v>
      </c>
      <c r="K460" s="22">
        <v>34244.174390542961</v>
      </c>
      <c r="L460" s="22">
        <v>59500.567016553563</v>
      </c>
      <c r="M460" s="22">
        <v>76114.041116404624</v>
      </c>
      <c r="N460" s="22">
        <v>85296.661252828562</v>
      </c>
      <c r="O460" s="22">
        <v>88471.536923718508</v>
      </c>
      <c r="P460" s="22">
        <v>87634.268127676609</v>
      </c>
      <c r="Q460" s="22">
        <v>82869.97120884675</v>
      </c>
      <c r="R460" s="22">
        <v>74003.1085396626</v>
      </c>
      <c r="S460" s="22">
        <v>58444.235675388576</v>
      </c>
      <c r="T460" s="22">
        <v>33529.709813168061</v>
      </c>
      <c r="U460" s="22">
        <v>77726.659893118951</v>
      </c>
      <c r="V460" s="22">
        <v>77726.659893118951</v>
      </c>
      <c r="W460" s="22">
        <v>77726.659893118951</v>
      </c>
      <c r="X460" s="22">
        <v>77726.659893118951</v>
      </c>
      <c r="Y460" s="22">
        <v>77726.659893118951</v>
      </c>
      <c r="Z460" s="22">
        <v>77726.659893118951</v>
      </c>
      <c r="AA460" s="23">
        <v>77726.659893118951</v>
      </c>
      <c r="AB460" s="97"/>
      <c r="AC460" s="24">
        <v>3</v>
      </c>
      <c r="AD460" s="16">
        <f t="shared" si="157"/>
        <v>4080649.6443887455</v>
      </c>
    </row>
    <row r="461" spans="1:30" ht="13.5" thickBot="1" x14ac:dyDescent="0.35">
      <c r="A461" s="18">
        <v>2038</v>
      </c>
      <c r="B461" s="25" t="s">
        <v>42</v>
      </c>
      <c r="C461" s="26" t="s">
        <v>36</v>
      </c>
      <c r="D461" s="21">
        <v>19431.664973279734</v>
      </c>
      <c r="E461" s="22">
        <v>19431.664973279734</v>
      </c>
      <c r="F461" s="22">
        <v>19431.664973279734</v>
      </c>
      <c r="G461" s="22">
        <v>19431.664973279734</v>
      </c>
      <c r="H461" s="22">
        <v>19431.664973279734</v>
      </c>
      <c r="I461" s="22">
        <v>19431.664973279734</v>
      </c>
      <c r="J461" s="22">
        <v>19431.664973279734</v>
      </c>
      <c r="K461" s="22">
        <v>34244.174390542961</v>
      </c>
      <c r="L461" s="22">
        <v>59500.567016553548</v>
      </c>
      <c r="M461" s="22">
        <v>76114.041116404624</v>
      </c>
      <c r="N461" s="22">
        <v>85296.661252828562</v>
      </c>
      <c r="O461" s="22">
        <v>88471.536923718508</v>
      </c>
      <c r="P461" s="22">
        <v>87634.26812767658</v>
      </c>
      <c r="Q461" s="22">
        <v>82869.971208846764</v>
      </c>
      <c r="R461" s="22">
        <v>74003.1085396626</v>
      </c>
      <c r="S461" s="22">
        <v>58444.235675388591</v>
      </c>
      <c r="T461" s="22">
        <v>33529.709813168061</v>
      </c>
      <c r="U461" s="22">
        <v>77726.659893118936</v>
      </c>
      <c r="V461" s="22">
        <v>77726.659893118936</v>
      </c>
      <c r="W461" s="22">
        <v>77726.659893118936</v>
      </c>
      <c r="X461" s="22">
        <v>77726.659893118936</v>
      </c>
      <c r="Y461" s="22">
        <v>77726.659893118936</v>
      </c>
      <c r="Z461" s="22">
        <v>77726.659893118936</v>
      </c>
      <c r="AA461" s="23">
        <v>77726.659893118936</v>
      </c>
      <c r="AB461" s="97"/>
      <c r="AC461" s="27">
        <v>7</v>
      </c>
      <c r="AD461" s="42">
        <f t="shared" si="157"/>
        <v>9521515.836907072</v>
      </c>
    </row>
    <row r="462" spans="1:30" ht="13.5" thickBot="1" x14ac:dyDescent="0.35">
      <c r="A462" s="18">
        <v>2038</v>
      </c>
      <c r="B462" s="11" t="s">
        <v>43</v>
      </c>
      <c r="C462" s="12" t="s">
        <v>33</v>
      </c>
      <c r="D462" s="21">
        <v>19431.664973279749</v>
      </c>
      <c r="E462" s="22">
        <v>19431.664973279749</v>
      </c>
      <c r="F462" s="22">
        <v>19431.664973279749</v>
      </c>
      <c r="G462" s="22">
        <v>19431.664973279749</v>
      </c>
      <c r="H462" s="22">
        <v>19431.664973279749</v>
      </c>
      <c r="I462" s="22">
        <v>19431.664973279749</v>
      </c>
      <c r="J462" s="22">
        <v>19431.664973279749</v>
      </c>
      <c r="K462" s="22">
        <v>34244.174390542976</v>
      </c>
      <c r="L462" s="22">
        <v>59500.567016553578</v>
      </c>
      <c r="M462" s="22">
        <v>76114.041116404595</v>
      </c>
      <c r="N462" s="22">
        <v>85296.661252828562</v>
      </c>
      <c r="O462" s="22">
        <v>88471.536923718464</v>
      </c>
      <c r="P462" s="22">
        <v>87634.26812767658</v>
      </c>
      <c r="Q462" s="22">
        <v>82869.97120884672</v>
      </c>
      <c r="R462" s="22">
        <v>74003.108539662571</v>
      </c>
      <c r="S462" s="22">
        <v>58444.235675388569</v>
      </c>
      <c r="T462" s="22">
        <v>33529.709813168047</v>
      </c>
      <c r="U462" s="22">
        <v>77726.659893118995</v>
      </c>
      <c r="V462" s="22">
        <v>77726.659893118995</v>
      </c>
      <c r="W462" s="22">
        <v>77726.659893118995</v>
      </c>
      <c r="X462" s="22">
        <v>77726.659893118995</v>
      </c>
      <c r="Y462" s="22">
        <v>77726.659893118995</v>
      </c>
      <c r="Z462" s="22">
        <v>77726.659893118995</v>
      </c>
      <c r="AA462" s="23">
        <v>77726.659893118995</v>
      </c>
      <c r="AB462" s="96">
        <f t="shared" ref="AB462" si="160">+SUM(D462:AA462)*AC462+SUM(D463:AA463)*AC463+SUM(D464:AA464)*AC464</f>
        <v>40806496.443887457</v>
      </c>
      <c r="AC462" s="16">
        <v>22</v>
      </c>
      <c r="AD462" s="16">
        <f t="shared" si="157"/>
        <v>29924764.058850802</v>
      </c>
    </row>
    <row r="463" spans="1:30" ht="13.5" thickBot="1" x14ac:dyDescent="0.35">
      <c r="A463" s="18">
        <v>2038</v>
      </c>
      <c r="B463" s="19" t="s">
        <v>43</v>
      </c>
      <c r="C463" s="20" t="s">
        <v>50</v>
      </c>
      <c r="D463" s="21">
        <v>19431.664973279738</v>
      </c>
      <c r="E463" s="22">
        <v>19431.664973279738</v>
      </c>
      <c r="F463" s="22">
        <v>19431.664973279738</v>
      </c>
      <c r="G463" s="22">
        <v>19431.664973279738</v>
      </c>
      <c r="H463" s="22">
        <v>19431.664973279738</v>
      </c>
      <c r="I463" s="22">
        <v>19431.664973279738</v>
      </c>
      <c r="J463" s="22">
        <v>19431.664973279738</v>
      </c>
      <c r="K463" s="22">
        <v>34244.174390542961</v>
      </c>
      <c r="L463" s="22">
        <v>59500.567016553556</v>
      </c>
      <c r="M463" s="22">
        <v>76114.041116404624</v>
      </c>
      <c r="N463" s="22">
        <v>85296.661252828562</v>
      </c>
      <c r="O463" s="22">
        <v>88471.536923718508</v>
      </c>
      <c r="P463" s="22">
        <v>87634.268127676594</v>
      </c>
      <c r="Q463" s="22">
        <v>82869.97120884675</v>
      </c>
      <c r="R463" s="22">
        <v>74003.1085396626</v>
      </c>
      <c r="S463" s="22">
        <v>58444.235675388583</v>
      </c>
      <c r="T463" s="22">
        <v>33529.709813168061</v>
      </c>
      <c r="U463" s="22">
        <v>77726.659893118951</v>
      </c>
      <c r="V463" s="22">
        <v>77726.659893118951</v>
      </c>
      <c r="W463" s="22">
        <v>77726.659893118951</v>
      </c>
      <c r="X463" s="22">
        <v>77726.659893118951</v>
      </c>
      <c r="Y463" s="22">
        <v>77726.659893118951</v>
      </c>
      <c r="Z463" s="22">
        <v>77726.659893118951</v>
      </c>
      <c r="AA463" s="23">
        <v>77726.659893118951</v>
      </c>
      <c r="AB463" s="97"/>
      <c r="AC463" s="24">
        <v>4</v>
      </c>
      <c r="AD463" s="16">
        <f t="shared" si="157"/>
        <v>5440866.1925183274</v>
      </c>
    </row>
    <row r="464" spans="1:30" ht="13.5" thickBot="1" x14ac:dyDescent="0.35">
      <c r="A464" s="18">
        <v>2038</v>
      </c>
      <c r="B464" s="25" t="s">
        <v>43</v>
      </c>
      <c r="C464" s="26" t="s">
        <v>36</v>
      </c>
      <c r="D464" s="21">
        <v>19431.664973279738</v>
      </c>
      <c r="E464" s="22">
        <v>19431.664973279738</v>
      </c>
      <c r="F464" s="22">
        <v>19431.664973279738</v>
      </c>
      <c r="G464" s="22">
        <v>19431.664973279738</v>
      </c>
      <c r="H464" s="22">
        <v>19431.664973279738</v>
      </c>
      <c r="I464" s="22">
        <v>19431.664973279738</v>
      </c>
      <c r="J464" s="22">
        <v>19431.664973279738</v>
      </c>
      <c r="K464" s="22">
        <v>34244.174390542961</v>
      </c>
      <c r="L464" s="22">
        <v>59500.567016553556</v>
      </c>
      <c r="M464" s="22">
        <v>76114.041116404624</v>
      </c>
      <c r="N464" s="22">
        <v>85296.661252828562</v>
      </c>
      <c r="O464" s="22">
        <v>88471.536923718508</v>
      </c>
      <c r="P464" s="22">
        <v>87634.268127676594</v>
      </c>
      <c r="Q464" s="22">
        <v>82869.97120884675</v>
      </c>
      <c r="R464" s="22">
        <v>74003.1085396626</v>
      </c>
      <c r="S464" s="22">
        <v>58444.235675388583</v>
      </c>
      <c r="T464" s="22">
        <v>33529.709813168061</v>
      </c>
      <c r="U464" s="22">
        <v>77726.659893118951</v>
      </c>
      <c r="V464" s="22">
        <v>77726.659893118951</v>
      </c>
      <c r="W464" s="22">
        <v>77726.659893118951</v>
      </c>
      <c r="X464" s="22">
        <v>77726.659893118951</v>
      </c>
      <c r="Y464" s="22">
        <v>77726.659893118951</v>
      </c>
      <c r="Z464" s="22">
        <v>77726.659893118951</v>
      </c>
      <c r="AA464" s="23">
        <v>77726.659893118951</v>
      </c>
      <c r="AB464" s="97"/>
      <c r="AC464" s="27">
        <v>4</v>
      </c>
      <c r="AD464" s="42">
        <f t="shared" si="157"/>
        <v>5440866.1925183274</v>
      </c>
    </row>
    <row r="465" spans="1:30" ht="13.5" thickBot="1" x14ac:dyDescent="0.35">
      <c r="A465" s="18">
        <v>2038</v>
      </c>
      <c r="B465" s="11" t="s">
        <v>44</v>
      </c>
      <c r="C465" s="12" t="s">
        <v>33</v>
      </c>
      <c r="D465" s="21">
        <v>19431.664973279745</v>
      </c>
      <c r="E465" s="22">
        <v>19431.664973279745</v>
      </c>
      <c r="F465" s="22">
        <v>19431.664973279745</v>
      </c>
      <c r="G465" s="22">
        <v>19431.664973279745</v>
      </c>
      <c r="H465" s="22">
        <v>19431.664973279745</v>
      </c>
      <c r="I465" s="22">
        <v>19431.664973279745</v>
      </c>
      <c r="J465" s="22">
        <v>19431.664973279745</v>
      </c>
      <c r="K465" s="22">
        <v>34244.174390542976</v>
      </c>
      <c r="L465" s="22">
        <v>59500.567016553578</v>
      </c>
      <c r="M465" s="22">
        <v>76114.041116404609</v>
      </c>
      <c r="N465" s="22">
        <v>85296.661252828562</v>
      </c>
      <c r="O465" s="22">
        <v>88471.536923718464</v>
      </c>
      <c r="P465" s="22">
        <v>87634.26812767658</v>
      </c>
      <c r="Q465" s="22">
        <v>82869.971208846735</v>
      </c>
      <c r="R465" s="22">
        <v>74003.108539662586</v>
      </c>
      <c r="S465" s="22">
        <v>58444.235675388576</v>
      </c>
      <c r="T465" s="22">
        <v>33529.709813168054</v>
      </c>
      <c r="U465" s="22">
        <v>77726.65989311898</v>
      </c>
      <c r="V465" s="22">
        <v>77726.65989311898</v>
      </c>
      <c r="W465" s="22">
        <v>77726.65989311898</v>
      </c>
      <c r="X465" s="22">
        <v>77726.65989311898</v>
      </c>
      <c r="Y465" s="22">
        <v>77726.65989311898</v>
      </c>
      <c r="Z465" s="22">
        <v>77726.65989311898</v>
      </c>
      <c r="AA465" s="23">
        <v>77726.65989311898</v>
      </c>
      <c r="AB465" s="96">
        <f t="shared" ref="AB465" si="161">+SUM(D465:AA465)*AC465+SUM(D466:AA466)*AC466+SUM(D467:AA467)*AC467</f>
        <v>42166712.992017046</v>
      </c>
      <c r="AC465" s="16">
        <v>20</v>
      </c>
      <c r="AD465" s="16">
        <f t="shared" si="157"/>
        <v>27204330.962591641</v>
      </c>
    </row>
    <row r="466" spans="1:30" ht="13.5" thickBot="1" x14ac:dyDescent="0.35">
      <c r="A466" s="18">
        <v>2038</v>
      </c>
      <c r="B466" s="19" t="s">
        <v>44</v>
      </c>
      <c r="C466" s="20" t="s">
        <v>50</v>
      </c>
      <c r="D466" s="21">
        <v>19431.664973279738</v>
      </c>
      <c r="E466" s="22">
        <v>19431.664973279738</v>
      </c>
      <c r="F466" s="22">
        <v>19431.664973279738</v>
      </c>
      <c r="G466" s="22">
        <v>19431.664973279738</v>
      </c>
      <c r="H466" s="22">
        <v>19431.664973279738</v>
      </c>
      <c r="I466" s="22">
        <v>19431.664973279738</v>
      </c>
      <c r="J466" s="22">
        <v>19431.664973279738</v>
      </c>
      <c r="K466" s="22">
        <v>34244.174390542961</v>
      </c>
      <c r="L466" s="22">
        <v>59500.567016553556</v>
      </c>
      <c r="M466" s="22">
        <v>76114.041116404624</v>
      </c>
      <c r="N466" s="22">
        <v>85296.661252828562</v>
      </c>
      <c r="O466" s="22">
        <v>88471.536923718508</v>
      </c>
      <c r="P466" s="22">
        <v>87634.268127676594</v>
      </c>
      <c r="Q466" s="22">
        <v>82869.97120884675</v>
      </c>
      <c r="R466" s="22">
        <v>74003.1085396626</v>
      </c>
      <c r="S466" s="22">
        <v>58444.235675388583</v>
      </c>
      <c r="T466" s="22">
        <v>33529.709813168061</v>
      </c>
      <c r="U466" s="22">
        <v>77726.659893118951</v>
      </c>
      <c r="V466" s="22">
        <v>77726.659893118951</v>
      </c>
      <c r="W466" s="22">
        <v>77726.659893118951</v>
      </c>
      <c r="X466" s="22">
        <v>77726.659893118951</v>
      </c>
      <c r="Y466" s="22">
        <v>77726.659893118951</v>
      </c>
      <c r="Z466" s="22">
        <v>77726.659893118951</v>
      </c>
      <c r="AA466" s="23">
        <v>77726.659893118951</v>
      </c>
      <c r="AB466" s="97"/>
      <c r="AC466" s="24">
        <v>5</v>
      </c>
      <c r="AD466" s="16">
        <f t="shared" si="157"/>
        <v>6801082.7406479092</v>
      </c>
    </row>
    <row r="467" spans="1:30" ht="13.5" thickBot="1" x14ac:dyDescent="0.35">
      <c r="A467" s="18">
        <v>2038</v>
      </c>
      <c r="B467" s="25" t="s">
        <v>44</v>
      </c>
      <c r="C467" s="26" t="s">
        <v>36</v>
      </c>
      <c r="D467" s="21">
        <v>19431.664973279738</v>
      </c>
      <c r="E467" s="22">
        <v>19431.664973279738</v>
      </c>
      <c r="F467" s="22">
        <v>19431.664973279738</v>
      </c>
      <c r="G467" s="22">
        <v>19431.664973279738</v>
      </c>
      <c r="H467" s="22">
        <v>19431.664973279738</v>
      </c>
      <c r="I467" s="22">
        <v>19431.664973279738</v>
      </c>
      <c r="J467" s="22">
        <v>19431.664973279738</v>
      </c>
      <c r="K467" s="22">
        <v>34244.174390542961</v>
      </c>
      <c r="L467" s="22">
        <v>59500.567016553548</v>
      </c>
      <c r="M467" s="22">
        <v>76114.041116404624</v>
      </c>
      <c r="N467" s="22">
        <v>85296.661252828562</v>
      </c>
      <c r="O467" s="22">
        <v>88471.536923718508</v>
      </c>
      <c r="P467" s="22">
        <v>87634.26812767658</v>
      </c>
      <c r="Q467" s="22">
        <v>82869.971208846764</v>
      </c>
      <c r="R467" s="22">
        <v>74003.1085396626</v>
      </c>
      <c r="S467" s="22">
        <v>58444.235675388591</v>
      </c>
      <c r="T467" s="22">
        <v>33529.709813168061</v>
      </c>
      <c r="U467" s="22">
        <v>77726.659893118951</v>
      </c>
      <c r="V467" s="22">
        <v>77726.659893118951</v>
      </c>
      <c r="W467" s="22">
        <v>77726.659893118951</v>
      </c>
      <c r="X467" s="22">
        <v>77726.659893118951</v>
      </c>
      <c r="Y467" s="22">
        <v>77726.659893118951</v>
      </c>
      <c r="Z467" s="22">
        <v>77726.659893118951</v>
      </c>
      <c r="AA467" s="23">
        <v>77726.659893118951</v>
      </c>
      <c r="AB467" s="97"/>
      <c r="AC467" s="27">
        <v>6</v>
      </c>
      <c r="AD467" s="42">
        <f t="shared" si="157"/>
        <v>8161299.2887774911</v>
      </c>
    </row>
    <row r="468" spans="1:30" ht="13.5" thickBot="1" x14ac:dyDescent="0.35">
      <c r="A468" s="18">
        <v>2038</v>
      </c>
      <c r="B468" s="11" t="s">
        <v>45</v>
      </c>
      <c r="C468" s="12" t="s">
        <v>33</v>
      </c>
      <c r="D468" s="21">
        <v>19431.664973279745</v>
      </c>
      <c r="E468" s="22">
        <v>19431.664973279745</v>
      </c>
      <c r="F468" s="22">
        <v>19431.664973279745</v>
      </c>
      <c r="G468" s="22">
        <v>19431.664973279745</v>
      </c>
      <c r="H468" s="22">
        <v>19431.664973279745</v>
      </c>
      <c r="I468" s="22">
        <v>19431.664973279745</v>
      </c>
      <c r="J468" s="22">
        <v>19431.664973279745</v>
      </c>
      <c r="K468" s="22">
        <v>34244.174390542976</v>
      </c>
      <c r="L468" s="22">
        <v>59500.567016553578</v>
      </c>
      <c r="M468" s="22">
        <v>76114.041116404609</v>
      </c>
      <c r="N468" s="22">
        <v>85296.661252828562</v>
      </c>
      <c r="O468" s="22">
        <v>88471.536923718464</v>
      </c>
      <c r="P468" s="22">
        <v>87634.26812767658</v>
      </c>
      <c r="Q468" s="22">
        <v>82869.971208846735</v>
      </c>
      <c r="R468" s="22">
        <v>74003.108539662586</v>
      </c>
      <c r="S468" s="22">
        <v>58444.235675388576</v>
      </c>
      <c r="T468" s="22">
        <v>33529.709813168054</v>
      </c>
      <c r="U468" s="22">
        <v>77726.65989311898</v>
      </c>
      <c r="V468" s="22">
        <v>77726.65989311898</v>
      </c>
      <c r="W468" s="22">
        <v>77726.65989311898</v>
      </c>
      <c r="X468" s="22">
        <v>77726.65989311898</v>
      </c>
      <c r="Y468" s="22">
        <v>77726.65989311898</v>
      </c>
      <c r="Z468" s="22">
        <v>77726.65989311898</v>
      </c>
      <c r="AA468" s="23">
        <v>77726.65989311898</v>
      </c>
      <c r="AB468" s="96">
        <f t="shared" ref="AB468" si="162">+SUM(D468:AA468)*AC468+SUM(D469:AA469)*AC469+SUM(D470:AA470)*AC470</f>
        <v>40806496.443887457</v>
      </c>
      <c r="AC468" s="16">
        <v>20</v>
      </c>
      <c r="AD468" s="16">
        <f t="shared" si="157"/>
        <v>27204330.962591641</v>
      </c>
    </row>
    <row r="469" spans="1:30" ht="13.5" thickBot="1" x14ac:dyDescent="0.35">
      <c r="A469" s="18">
        <v>2038</v>
      </c>
      <c r="B469" s="19" t="s">
        <v>45</v>
      </c>
      <c r="C469" s="20" t="s">
        <v>50</v>
      </c>
      <c r="D469" s="21">
        <v>19431.664973279738</v>
      </c>
      <c r="E469" s="22">
        <v>19431.664973279738</v>
      </c>
      <c r="F469" s="22">
        <v>19431.664973279738</v>
      </c>
      <c r="G469" s="22">
        <v>19431.664973279738</v>
      </c>
      <c r="H469" s="22">
        <v>19431.664973279738</v>
      </c>
      <c r="I469" s="22">
        <v>19431.664973279738</v>
      </c>
      <c r="J469" s="22">
        <v>19431.664973279738</v>
      </c>
      <c r="K469" s="22">
        <v>34244.174390542961</v>
      </c>
      <c r="L469" s="22">
        <v>59500.567016553556</v>
      </c>
      <c r="M469" s="22">
        <v>76114.041116404624</v>
      </c>
      <c r="N469" s="22">
        <v>85296.661252828562</v>
      </c>
      <c r="O469" s="22">
        <v>88471.536923718508</v>
      </c>
      <c r="P469" s="22">
        <v>87634.268127676594</v>
      </c>
      <c r="Q469" s="22">
        <v>82869.97120884675</v>
      </c>
      <c r="R469" s="22">
        <v>74003.1085396626</v>
      </c>
      <c r="S469" s="22">
        <v>58444.235675388583</v>
      </c>
      <c r="T469" s="22">
        <v>33529.709813168061</v>
      </c>
      <c r="U469" s="22">
        <v>77726.659893118951</v>
      </c>
      <c r="V469" s="22">
        <v>77726.659893118951</v>
      </c>
      <c r="W469" s="22">
        <v>77726.659893118951</v>
      </c>
      <c r="X469" s="22">
        <v>77726.659893118951</v>
      </c>
      <c r="Y469" s="22">
        <v>77726.659893118951</v>
      </c>
      <c r="Z469" s="22">
        <v>77726.659893118951</v>
      </c>
      <c r="AA469" s="23">
        <v>77726.659893118951</v>
      </c>
      <c r="AB469" s="97"/>
      <c r="AC469" s="24">
        <v>4</v>
      </c>
      <c r="AD469" s="16">
        <f t="shared" si="157"/>
        <v>5440866.1925183274</v>
      </c>
    </row>
    <row r="470" spans="1:30" ht="13.5" thickBot="1" x14ac:dyDescent="0.35">
      <c r="A470" s="18">
        <v>2038</v>
      </c>
      <c r="B470" s="25" t="s">
        <v>45</v>
      </c>
      <c r="C470" s="26" t="s">
        <v>36</v>
      </c>
      <c r="D470" s="21">
        <v>19431.664973279738</v>
      </c>
      <c r="E470" s="22">
        <v>19431.664973279738</v>
      </c>
      <c r="F470" s="22">
        <v>19431.664973279738</v>
      </c>
      <c r="G470" s="22">
        <v>19431.664973279738</v>
      </c>
      <c r="H470" s="22">
        <v>19431.664973279738</v>
      </c>
      <c r="I470" s="22">
        <v>19431.664973279738</v>
      </c>
      <c r="J470" s="22">
        <v>19431.664973279738</v>
      </c>
      <c r="K470" s="22">
        <v>34244.174390542961</v>
      </c>
      <c r="L470" s="22">
        <v>59500.567016553548</v>
      </c>
      <c r="M470" s="22">
        <v>76114.041116404624</v>
      </c>
      <c r="N470" s="22">
        <v>85296.661252828562</v>
      </c>
      <c r="O470" s="22">
        <v>88471.536923718508</v>
      </c>
      <c r="P470" s="22">
        <v>87634.26812767658</v>
      </c>
      <c r="Q470" s="22">
        <v>82869.971208846764</v>
      </c>
      <c r="R470" s="22">
        <v>74003.1085396626</v>
      </c>
      <c r="S470" s="22">
        <v>58444.235675388591</v>
      </c>
      <c r="T470" s="22">
        <v>33529.709813168061</v>
      </c>
      <c r="U470" s="22">
        <v>77726.659893118951</v>
      </c>
      <c r="V470" s="22">
        <v>77726.659893118951</v>
      </c>
      <c r="W470" s="22">
        <v>77726.659893118951</v>
      </c>
      <c r="X470" s="22">
        <v>77726.659893118951</v>
      </c>
      <c r="Y470" s="22">
        <v>77726.659893118951</v>
      </c>
      <c r="Z470" s="22">
        <v>77726.659893118951</v>
      </c>
      <c r="AA470" s="23">
        <v>77726.659893118951</v>
      </c>
      <c r="AB470" s="97"/>
      <c r="AC470" s="27">
        <v>6</v>
      </c>
      <c r="AD470" s="42">
        <f t="shared" si="157"/>
        <v>8161299.2887774911</v>
      </c>
    </row>
    <row r="471" spans="1:30" ht="13.5" thickBot="1" x14ac:dyDescent="0.35">
      <c r="A471" s="18">
        <v>2038</v>
      </c>
      <c r="B471" s="11" t="s">
        <v>46</v>
      </c>
      <c r="C471" s="12" t="s">
        <v>33</v>
      </c>
      <c r="D471" s="21">
        <v>19431.664973279749</v>
      </c>
      <c r="E471" s="22">
        <v>19431.664973279749</v>
      </c>
      <c r="F471" s="22">
        <v>19431.664973279749</v>
      </c>
      <c r="G471" s="22">
        <v>19431.664973279749</v>
      </c>
      <c r="H471" s="22">
        <v>19431.664973279749</v>
      </c>
      <c r="I471" s="22">
        <v>19431.664973279749</v>
      </c>
      <c r="J471" s="22">
        <v>19431.664973279749</v>
      </c>
      <c r="K471" s="22">
        <v>34244.174390542976</v>
      </c>
      <c r="L471" s="22">
        <v>59500.567016553578</v>
      </c>
      <c r="M471" s="22">
        <v>76114.041116404595</v>
      </c>
      <c r="N471" s="22">
        <v>85296.661252828562</v>
      </c>
      <c r="O471" s="22">
        <v>88471.536923718464</v>
      </c>
      <c r="P471" s="22">
        <v>87634.26812767658</v>
      </c>
      <c r="Q471" s="22">
        <v>82869.97120884672</v>
      </c>
      <c r="R471" s="22">
        <v>74003.108539662571</v>
      </c>
      <c r="S471" s="22">
        <v>58444.235675388569</v>
      </c>
      <c r="T471" s="22">
        <v>33529.709813168047</v>
      </c>
      <c r="U471" s="22">
        <v>77726.659893118995</v>
      </c>
      <c r="V471" s="22">
        <v>77726.659893118995</v>
      </c>
      <c r="W471" s="22">
        <v>77726.659893118995</v>
      </c>
      <c r="X471" s="22">
        <v>77726.659893118995</v>
      </c>
      <c r="Y471" s="22">
        <v>77726.659893118995</v>
      </c>
      <c r="Z471" s="22">
        <v>77726.659893118995</v>
      </c>
      <c r="AA471" s="23">
        <v>77726.659893118995</v>
      </c>
      <c r="AB471" s="96">
        <f t="shared" ref="AB471" si="163">+SUM(D471:AA471)*AC471+SUM(D472:AA472)*AC472+SUM(D473:AA473)*AC473</f>
        <v>42166712.992017038</v>
      </c>
      <c r="AC471" s="16">
        <v>22</v>
      </c>
      <c r="AD471" s="16">
        <f t="shared" si="157"/>
        <v>29924764.058850802</v>
      </c>
    </row>
    <row r="472" spans="1:30" ht="13.5" thickBot="1" x14ac:dyDescent="0.35">
      <c r="A472" s="18">
        <v>2038</v>
      </c>
      <c r="B472" s="19" t="s">
        <v>46</v>
      </c>
      <c r="C472" s="20" t="s">
        <v>50</v>
      </c>
      <c r="D472" s="21">
        <v>19431.664973279738</v>
      </c>
      <c r="E472" s="22">
        <v>19431.664973279738</v>
      </c>
      <c r="F472" s="22">
        <v>19431.664973279738</v>
      </c>
      <c r="G472" s="22">
        <v>19431.664973279738</v>
      </c>
      <c r="H472" s="22">
        <v>19431.664973279738</v>
      </c>
      <c r="I472" s="22">
        <v>19431.664973279738</v>
      </c>
      <c r="J472" s="22">
        <v>19431.664973279738</v>
      </c>
      <c r="K472" s="22">
        <v>34244.174390542961</v>
      </c>
      <c r="L472" s="22">
        <v>59500.567016553563</v>
      </c>
      <c r="M472" s="22">
        <v>76114.041116404624</v>
      </c>
      <c r="N472" s="22">
        <v>85296.661252828562</v>
      </c>
      <c r="O472" s="22">
        <v>88471.536923718508</v>
      </c>
      <c r="P472" s="22">
        <v>87634.268127676609</v>
      </c>
      <c r="Q472" s="22">
        <v>82869.97120884675</v>
      </c>
      <c r="R472" s="22">
        <v>74003.1085396626</v>
      </c>
      <c r="S472" s="22">
        <v>58444.235675388576</v>
      </c>
      <c r="T472" s="22">
        <v>33529.709813168061</v>
      </c>
      <c r="U472" s="22">
        <v>77726.659893118951</v>
      </c>
      <c r="V472" s="22">
        <v>77726.659893118951</v>
      </c>
      <c r="W472" s="22">
        <v>77726.659893118951</v>
      </c>
      <c r="X472" s="22">
        <v>77726.659893118951</v>
      </c>
      <c r="Y472" s="22">
        <v>77726.659893118951</v>
      </c>
      <c r="Z472" s="22">
        <v>77726.659893118951</v>
      </c>
      <c r="AA472" s="23">
        <v>77726.659893118951</v>
      </c>
      <c r="AB472" s="97"/>
      <c r="AC472" s="24">
        <v>3</v>
      </c>
      <c r="AD472" s="16">
        <f t="shared" si="157"/>
        <v>4080649.6443887455</v>
      </c>
    </row>
    <row r="473" spans="1:30" ht="13.5" thickBot="1" x14ac:dyDescent="0.35">
      <c r="A473" s="28">
        <v>2038</v>
      </c>
      <c r="B473" s="25" t="s">
        <v>46</v>
      </c>
      <c r="C473" s="26" t="s">
        <v>36</v>
      </c>
      <c r="D473" s="29">
        <v>19431.664973279738</v>
      </c>
      <c r="E473" s="30">
        <v>19431.664973279738</v>
      </c>
      <c r="F473" s="30">
        <v>19431.664973279738</v>
      </c>
      <c r="G473" s="30">
        <v>19431.664973279738</v>
      </c>
      <c r="H473" s="30">
        <v>19431.664973279738</v>
      </c>
      <c r="I473" s="30">
        <v>19431.664973279738</v>
      </c>
      <c r="J473" s="30">
        <v>19431.664973279738</v>
      </c>
      <c r="K473" s="30">
        <v>34244.174390542961</v>
      </c>
      <c r="L473" s="30">
        <v>59500.567016553548</v>
      </c>
      <c r="M473" s="30">
        <v>76114.041116404624</v>
      </c>
      <c r="N473" s="30">
        <v>85296.661252828562</v>
      </c>
      <c r="O473" s="30">
        <v>88471.536923718508</v>
      </c>
      <c r="P473" s="30">
        <v>87634.26812767658</v>
      </c>
      <c r="Q473" s="30">
        <v>82869.971208846764</v>
      </c>
      <c r="R473" s="30">
        <v>74003.1085396626</v>
      </c>
      <c r="S473" s="30">
        <v>58444.235675388591</v>
      </c>
      <c r="T473" s="30">
        <v>33529.709813168061</v>
      </c>
      <c r="U473" s="30">
        <v>77726.659893118951</v>
      </c>
      <c r="V473" s="30">
        <v>77726.659893118951</v>
      </c>
      <c r="W473" s="30">
        <v>77726.659893118951</v>
      </c>
      <c r="X473" s="30">
        <v>77726.659893118951</v>
      </c>
      <c r="Y473" s="30">
        <v>77726.659893118951</v>
      </c>
      <c r="Z473" s="30">
        <v>77726.659893118951</v>
      </c>
      <c r="AA473" s="31">
        <v>77726.659893118951</v>
      </c>
      <c r="AB473" s="97"/>
      <c r="AC473" s="27">
        <v>6</v>
      </c>
      <c r="AD473" s="42">
        <f t="shared" si="157"/>
        <v>8161299.2887774911</v>
      </c>
    </row>
    <row r="474" spans="1:30" ht="13.5" thickBot="1" x14ac:dyDescent="0.35">
      <c r="A474" s="10">
        <v>2039</v>
      </c>
      <c r="B474" s="11" t="s">
        <v>32</v>
      </c>
      <c r="C474" s="12" t="s">
        <v>33</v>
      </c>
      <c r="D474" s="13">
        <v>19416.816176976521</v>
      </c>
      <c r="E474" s="14">
        <v>19416.816176976521</v>
      </c>
      <c r="F474" s="14">
        <v>19416.816176976521</v>
      </c>
      <c r="G474" s="14">
        <v>19416.816176976521</v>
      </c>
      <c r="H474" s="14">
        <v>19416.816176976521</v>
      </c>
      <c r="I474" s="14">
        <v>19416.816176976521</v>
      </c>
      <c r="J474" s="14">
        <v>19416.816176976521</v>
      </c>
      <c r="K474" s="14">
        <v>34218.006546933248</v>
      </c>
      <c r="L474" s="14">
        <v>59455.099384172601</v>
      </c>
      <c r="M474" s="14">
        <v>76055.878221258681</v>
      </c>
      <c r="N474" s="14">
        <v>85231.481416204697</v>
      </c>
      <c r="O474" s="14">
        <v>88403.930991225352</v>
      </c>
      <c r="P474" s="14">
        <v>87567.301997990871</v>
      </c>
      <c r="Q474" s="14">
        <v>82806.645738598818</v>
      </c>
      <c r="R474" s="14">
        <v>73946.558723369366</v>
      </c>
      <c r="S474" s="14">
        <v>58399.575243468069</v>
      </c>
      <c r="T474" s="14">
        <v>33504.087930956397</v>
      </c>
      <c r="U474" s="14">
        <v>77667.264707906084</v>
      </c>
      <c r="V474" s="14">
        <v>77667.264707906084</v>
      </c>
      <c r="W474" s="14">
        <v>77667.264707906084</v>
      </c>
      <c r="X474" s="14">
        <v>77667.264707906084</v>
      </c>
      <c r="Y474" s="14">
        <v>77667.264707906084</v>
      </c>
      <c r="Z474" s="14">
        <v>77667.264707906084</v>
      </c>
      <c r="AA474" s="15">
        <v>77667.264707906084</v>
      </c>
      <c r="AB474" s="96">
        <f t="shared" ref="AB474" si="164">+SUM(D474:AA474)*AC474+SUM(D475:AA475)*AC475+SUM(D476:AA476)*AC476</f>
        <v>42134491.104039043</v>
      </c>
      <c r="AC474" s="16">
        <v>20</v>
      </c>
      <c r="AD474" s="16">
        <f t="shared" si="157"/>
        <v>27183542.647767127</v>
      </c>
    </row>
    <row r="475" spans="1:30" ht="13.5" thickBot="1" x14ac:dyDescent="0.35">
      <c r="A475" s="18">
        <v>2039</v>
      </c>
      <c r="B475" s="19" t="s">
        <v>32</v>
      </c>
      <c r="C475" s="20" t="s">
        <v>50</v>
      </c>
      <c r="D475" s="21">
        <v>19416.816176976514</v>
      </c>
      <c r="E475" s="22">
        <v>19416.816176976514</v>
      </c>
      <c r="F475" s="22">
        <v>19416.816176976514</v>
      </c>
      <c r="G475" s="22">
        <v>19416.816176976514</v>
      </c>
      <c r="H475" s="22">
        <v>19416.816176976514</v>
      </c>
      <c r="I475" s="22">
        <v>19416.816176976514</v>
      </c>
      <c r="J475" s="22">
        <v>19416.816176976514</v>
      </c>
      <c r="K475" s="22">
        <v>34218.006546933248</v>
      </c>
      <c r="L475" s="22">
        <v>59455.099384172601</v>
      </c>
      <c r="M475" s="22">
        <v>76055.878221258652</v>
      </c>
      <c r="N475" s="22">
        <v>85231.481416204697</v>
      </c>
      <c r="O475" s="22">
        <v>88403.930991225337</v>
      </c>
      <c r="P475" s="22">
        <v>87567.301997990886</v>
      </c>
      <c r="Q475" s="22">
        <v>82806.645738598774</v>
      </c>
      <c r="R475" s="22">
        <v>73946.558723369366</v>
      </c>
      <c r="S475" s="22">
        <v>58399.575243468069</v>
      </c>
      <c r="T475" s="22">
        <v>33504.087930956397</v>
      </c>
      <c r="U475" s="22">
        <v>77667.264707906055</v>
      </c>
      <c r="V475" s="22">
        <v>77667.264707906055</v>
      </c>
      <c r="W475" s="22">
        <v>77667.264707906055</v>
      </c>
      <c r="X475" s="22">
        <v>77667.264707906055</v>
      </c>
      <c r="Y475" s="22">
        <v>77667.264707906055</v>
      </c>
      <c r="Z475" s="22">
        <v>77667.264707906055</v>
      </c>
      <c r="AA475" s="23">
        <v>77667.264707906055</v>
      </c>
      <c r="AB475" s="97"/>
      <c r="AC475" s="24">
        <v>4</v>
      </c>
      <c r="AD475" s="16">
        <f t="shared" si="157"/>
        <v>5436708.5295534246</v>
      </c>
    </row>
    <row r="476" spans="1:30" ht="13.5" thickBot="1" x14ac:dyDescent="0.35">
      <c r="A476" s="18">
        <v>2039</v>
      </c>
      <c r="B476" s="25" t="s">
        <v>32</v>
      </c>
      <c r="C476" s="26" t="s">
        <v>36</v>
      </c>
      <c r="D476" s="21">
        <v>19416.816176976514</v>
      </c>
      <c r="E476" s="22">
        <v>19416.816176976514</v>
      </c>
      <c r="F476" s="22">
        <v>19416.816176976514</v>
      </c>
      <c r="G476" s="22">
        <v>19416.816176976514</v>
      </c>
      <c r="H476" s="22">
        <v>19416.816176976514</v>
      </c>
      <c r="I476" s="22">
        <v>19416.816176976514</v>
      </c>
      <c r="J476" s="22">
        <v>19416.816176976514</v>
      </c>
      <c r="K476" s="22">
        <v>34218.006546933255</v>
      </c>
      <c r="L476" s="22">
        <v>59455.099384172594</v>
      </c>
      <c r="M476" s="22">
        <v>76055.878221258652</v>
      </c>
      <c r="N476" s="22">
        <v>85231.481416204697</v>
      </c>
      <c r="O476" s="22">
        <v>88403.930991225323</v>
      </c>
      <c r="P476" s="22">
        <v>87567.3019979909</v>
      </c>
      <c r="Q476" s="22">
        <v>82806.645738598774</v>
      </c>
      <c r="R476" s="22">
        <v>73946.558723369366</v>
      </c>
      <c r="S476" s="22">
        <v>58399.575243468062</v>
      </c>
      <c r="T476" s="22">
        <v>33504.087930956397</v>
      </c>
      <c r="U476" s="22">
        <v>77667.264707906055</v>
      </c>
      <c r="V476" s="22">
        <v>77667.264707906055</v>
      </c>
      <c r="W476" s="22">
        <v>77667.264707906055</v>
      </c>
      <c r="X476" s="22">
        <v>77667.264707906055</v>
      </c>
      <c r="Y476" s="22">
        <v>77667.264707906055</v>
      </c>
      <c r="Z476" s="22">
        <v>77667.264707906055</v>
      </c>
      <c r="AA476" s="23">
        <v>77667.264707906055</v>
      </c>
      <c r="AB476" s="97"/>
      <c r="AC476" s="27">
        <v>7</v>
      </c>
      <c r="AD476" s="42">
        <f t="shared" si="157"/>
        <v>9514239.9267184921</v>
      </c>
    </row>
    <row r="477" spans="1:30" ht="13.5" thickBot="1" x14ac:dyDescent="0.35">
      <c r="A477" s="18">
        <v>2039</v>
      </c>
      <c r="B477" s="11" t="s">
        <v>35</v>
      </c>
      <c r="C477" s="12" t="s">
        <v>33</v>
      </c>
      <c r="D477" s="21">
        <v>19416.816176976521</v>
      </c>
      <c r="E477" s="22">
        <v>19416.816176976521</v>
      </c>
      <c r="F477" s="22">
        <v>19416.816176976521</v>
      </c>
      <c r="G477" s="22">
        <v>19416.816176976521</v>
      </c>
      <c r="H477" s="22">
        <v>19416.816176976521</v>
      </c>
      <c r="I477" s="22">
        <v>19416.816176976521</v>
      </c>
      <c r="J477" s="22">
        <v>19416.816176976521</v>
      </c>
      <c r="K477" s="22">
        <v>34218.006546933248</v>
      </c>
      <c r="L477" s="22">
        <v>59455.099384172601</v>
      </c>
      <c r="M477" s="22">
        <v>76055.878221258681</v>
      </c>
      <c r="N477" s="22">
        <v>85231.481416204697</v>
      </c>
      <c r="O477" s="22">
        <v>88403.930991225352</v>
      </c>
      <c r="P477" s="22">
        <v>87567.301997990871</v>
      </c>
      <c r="Q477" s="22">
        <v>82806.645738598818</v>
      </c>
      <c r="R477" s="22">
        <v>73946.558723369366</v>
      </c>
      <c r="S477" s="22">
        <v>58399.575243468069</v>
      </c>
      <c r="T477" s="22">
        <v>33504.087930956397</v>
      </c>
      <c r="U477" s="22">
        <v>77667.264707906084</v>
      </c>
      <c r="V477" s="22">
        <v>77667.264707906084</v>
      </c>
      <c r="W477" s="22">
        <v>77667.264707906084</v>
      </c>
      <c r="X477" s="22">
        <v>77667.264707906084</v>
      </c>
      <c r="Y477" s="22">
        <v>77667.264707906084</v>
      </c>
      <c r="Z477" s="22">
        <v>77667.264707906084</v>
      </c>
      <c r="AA477" s="23">
        <v>77667.264707906084</v>
      </c>
      <c r="AB477" s="96">
        <f t="shared" ref="AB477" si="165">+SUM(D477:AA477)*AC477+SUM(D478:AA478)*AC478+SUM(D479:AA479)*AC479</f>
        <v>38056959.706873976</v>
      </c>
      <c r="AC477" s="16">
        <v>20</v>
      </c>
      <c r="AD477" s="16">
        <f t="shared" si="157"/>
        <v>27183542.647767127</v>
      </c>
    </row>
    <row r="478" spans="1:30" ht="13.5" thickBot="1" x14ac:dyDescent="0.35">
      <c r="A478" s="18">
        <v>2039</v>
      </c>
      <c r="B478" s="19" t="s">
        <v>35</v>
      </c>
      <c r="C478" s="20" t="s">
        <v>50</v>
      </c>
      <c r="D478" s="21">
        <v>19416.816176976514</v>
      </c>
      <c r="E478" s="22">
        <v>19416.816176976514</v>
      </c>
      <c r="F478" s="22">
        <v>19416.816176976514</v>
      </c>
      <c r="G478" s="22">
        <v>19416.816176976514</v>
      </c>
      <c r="H478" s="22">
        <v>19416.816176976514</v>
      </c>
      <c r="I478" s="22">
        <v>19416.816176976514</v>
      </c>
      <c r="J478" s="22">
        <v>19416.816176976514</v>
      </c>
      <c r="K478" s="22">
        <v>34218.006546933248</v>
      </c>
      <c r="L478" s="22">
        <v>59455.099384172601</v>
      </c>
      <c r="M478" s="22">
        <v>76055.878221258652</v>
      </c>
      <c r="N478" s="22">
        <v>85231.481416204697</v>
      </c>
      <c r="O478" s="22">
        <v>88403.930991225337</v>
      </c>
      <c r="P478" s="22">
        <v>87567.301997990886</v>
      </c>
      <c r="Q478" s="22">
        <v>82806.645738598774</v>
      </c>
      <c r="R478" s="22">
        <v>73946.558723369366</v>
      </c>
      <c r="S478" s="22">
        <v>58399.575243468069</v>
      </c>
      <c r="T478" s="22">
        <v>33504.087930956397</v>
      </c>
      <c r="U478" s="22">
        <v>77667.264707906055</v>
      </c>
      <c r="V478" s="22">
        <v>77667.264707906055</v>
      </c>
      <c r="W478" s="22">
        <v>77667.264707906055</v>
      </c>
      <c r="X478" s="22">
        <v>77667.264707906055</v>
      </c>
      <c r="Y478" s="22">
        <v>77667.264707906055</v>
      </c>
      <c r="Z478" s="22">
        <v>77667.264707906055</v>
      </c>
      <c r="AA478" s="23">
        <v>77667.264707906055</v>
      </c>
      <c r="AB478" s="97"/>
      <c r="AC478" s="24">
        <v>4</v>
      </c>
      <c r="AD478" s="16">
        <f t="shared" si="157"/>
        <v>5436708.5295534246</v>
      </c>
    </row>
    <row r="479" spans="1:30" ht="13.5" thickBot="1" x14ac:dyDescent="0.35">
      <c r="A479" s="18">
        <v>2039</v>
      </c>
      <c r="B479" s="25" t="s">
        <v>35</v>
      </c>
      <c r="C479" s="26" t="s">
        <v>36</v>
      </c>
      <c r="D479" s="21">
        <v>19416.816176976514</v>
      </c>
      <c r="E479" s="22">
        <v>19416.816176976514</v>
      </c>
      <c r="F479" s="22">
        <v>19416.816176976514</v>
      </c>
      <c r="G479" s="22">
        <v>19416.816176976514</v>
      </c>
      <c r="H479" s="22">
        <v>19416.816176976514</v>
      </c>
      <c r="I479" s="22">
        <v>19416.816176976514</v>
      </c>
      <c r="J479" s="22">
        <v>19416.816176976514</v>
      </c>
      <c r="K479" s="22">
        <v>34218.006546933248</v>
      </c>
      <c r="L479" s="22">
        <v>59455.099384172601</v>
      </c>
      <c r="M479" s="22">
        <v>76055.878221258652</v>
      </c>
      <c r="N479" s="22">
        <v>85231.481416204697</v>
      </c>
      <c r="O479" s="22">
        <v>88403.930991225337</v>
      </c>
      <c r="P479" s="22">
        <v>87567.301997990886</v>
      </c>
      <c r="Q479" s="22">
        <v>82806.645738598774</v>
      </c>
      <c r="R479" s="22">
        <v>73946.558723369366</v>
      </c>
      <c r="S479" s="22">
        <v>58399.575243468069</v>
      </c>
      <c r="T479" s="22">
        <v>33504.087930956397</v>
      </c>
      <c r="U479" s="22">
        <v>77667.264707906055</v>
      </c>
      <c r="V479" s="22">
        <v>77667.264707906055</v>
      </c>
      <c r="W479" s="22">
        <v>77667.264707906055</v>
      </c>
      <c r="X479" s="22">
        <v>77667.264707906055</v>
      </c>
      <c r="Y479" s="22">
        <v>77667.264707906055</v>
      </c>
      <c r="Z479" s="22">
        <v>77667.264707906055</v>
      </c>
      <c r="AA479" s="23">
        <v>77667.264707906055</v>
      </c>
      <c r="AB479" s="97"/>
      <c r="AC479" s="27">
        <v>4</v>
      </c>
      <c r="AD479" s="42">
        <f t="shared" si="157"/>
        <v>5436708.5295534246</v>
      </c>
    </row>
    <row r="480" spans="1:30" ht="13.5" thickBot="1" x14ac:dyDescent="0.35">
      <c r="A480" s="18">
        <v>2039</v>
      </c>
      <c r="B480" s="11" t="s">
        <v>37</v>
      </c>
      <c r="C480" s="12" t="s">
        <v>33</v>
      </c>
      <c r="D480" s="21">
        <v>19416.816176976521</v>
      </c>
      <c r="E480" s="22">
        <v>19416.816176976521</v>
      </c>
      <c r="F480" s="22">
        <v>19416.816176976521</v>
      </c>
      <c r="G480" s="22">
        <v>19416.816176976521</v>
      </c>
      <c r="H480" s="22">
        <v>19416.816176976521</v>
      </c>
      <c r="I480" s="22">
        <v>19416.816176976521</v>
      </c>
      <c r="J480" s="22">
        <v>19416.816176976521</v>
      </c>
      <c r="K480" s="22">
        <v>34218.00654693324</v>
      </c>
      <c r="L480" s="22">
        <v>59455.099384172594</v>
      </c>
      <c r="M480" s="22">
        <v>76055.878221258696</v>
      </c>
      <c r="N480" s="22">
        <v>85231.481416204697</v>
      </c>
      <c r="O480" s="22">
        <v>88403.930991225352</v>
      </c>
      <c r="P480" s="22">
        <v>87567.301997990871</v>
      </c>
      <c r="Q480" s="22">
        <v>82806.645738598832</v>
      </c>
      <c r="R480" s="22">
        <v>73946.558723369366</v>
      </c>
      <c r="S480" s="22">
        <v>58399.575243468076</v>
      </c>
      <c r="T480" s="22">
        <v>33504.087930956397</v>
      </c>
      <c r="U480" s="22">
        <v>77667.264707906084</v>
      </c>
      <c r="V480" s="22">
        <v>77667.264707906084</v>
      </c>
      <c r="W480" s="22">
        <v>77667.264707906084</v>
      </c>
      <c r="X480" s="22">
        <v>77667.264707906084</v>
      </c>
      <c r="Y480" s="22">
        <v>77667.264707906084</v>
      </c>
      <c r="Z480" s="22">
        <v>77667.264707906084</v>
      </c>
      <c r="AA480" s="23">
        <v>77667.264707906084</v>
      </c>
      <c r="AB480" s="96">
        <f t="shared" ref="AB480" si="166">+SUM(D480:AA480)*AC480+SUM(D481:AA481)*AC481+SUM(D482:AA482)*AC482</f>
        <v>42134491.104039051</v>
      </c>
      <c r="AC480" s="16">
        <v>22</v>
      </c>
      <c r="AD480" s="16">
        <f t="shared" si="157"/>
        <v>29901896.912543844</v>
      </c>
    </row>
    <row r="481" spans="1:30" ht="13.5" thickBot="1" x14ac:dyDescent="0.35">
      <c r="A481" s="18">
        <v>2039</v>
      </c>
      <c r="B481" s="19" t="s">
        <v>37</v>
      </c>
      <c r="C481" s="20" t="s">
        <v>50</v>
      </c>
      <c r="D481" s="21">
        <v>19416.816176976514</v>
      </c>
      <c r="E481" s="22">
        <v>19416.816176976514</v>
      </c>
      <c r="F481" s="22">
        <v>19416.816176976514</v>
      </c>
      <c r="G481" s="22">
        <v>19416.816176976514</v>
      </c>
      <c r="H481" s="22">
        <v>19416.816176976514</v>
      </c>
      <c r="I481" s="22">
        <v>19416.816176976514</v>
      </c>
      <c r="J481" s="22">
        <v>19416.816176976514</v>
      </c>
      <c r="K481" s="22">
        <v>34218.006546933248</v>
      </c>
      <c r="L481" s="22">
        <v>59455.099384172601</v>
      </c>
      <c r="M481" s="22">
        <v>76055.878221258652</v>
      </c>
      <c r="N481" s="22">
        <v>85231.481416204697</v>
      </c>
      <c r="O481" s="22">
        <v>88403.930991225337</v>
      </c>
      <c r="P481" s="22">
        <v>87567.301997990886</v>
      </c>
      <c r="Q481" s="22">
        <v>82806.645738598774</v>
      </c>
      <c r="R481" s="22">
        <v>73946.558723369366</v>
      </c>
      <c r="S481" s="22">
        <v>58399.575243468069</v>
      </c>
      <c r="T481" s="22">
        <v>33504.087930956397</v>
      </c>
      <c r="U481" s="22">
        <v>77667.264707906055</v>
      </c>
      <c r="V481" s="22">
        <v>77667.264707906055</v>
      </c>
      <c r="W481" s="22">
        <v>77667.264707906055</v>
      </c>
      <c r="X481" s="22">
        <v>77667.264707906055</v>
      </c>
      <c r="Y481" s="22">
        <v>77667.264707906055</v>
      </c>
      <c r="Z481" s="22">
        <v>77667.264707906055</v>
      </c>
      <c r="AA481" s="23">
        <v>77667.264707906055</v>
      </c>
      <c r="AB481" s="97"/>
      <c r="AC481" s="24">
        <v>4</v>
      </c>
      <c r="AD481" s="16">
        <f t="shared" si="157"/>
        <v>5436708.5295534246</v>
      </c>
    </row>
    <row r="482" spans="1:30" ht="13.5" thickBot="1" x14ac:dyDescent="0.35">
      <c r="A482" s="18">
        <v>2039</v>
      </c>
      <c r="B482" s="25" t="s">
        <v>37</v>
      </c>
      <c r="C482" s="26" t="s">
        <v>36</v>
      </c>
      <c r="D482" s="21">
        <v>19416.816176976514</v>
      </c>
      <c r="E482" s="22">
        <v>19416.816176976514</v>
      </c>
      <c r="F482" s="22">
        <v>19416.816176976514</v>
      </c>
      <c r="G482" s="22">
        <v>19416.816176976514</v>
      </c>
      <c r="H482" s="22">
        <v>19416.816176976514</v>
      </c>
      <c r="I482" s="22">
        <v>19416.816176976514</v>
      </c>
      <c r="J482" s="22">
        <v>19416.816176976514</v>
      </c>
      <c r="K482" s="22">
        <v>34218.006546933248</v>
      </c>
      <c r="L482" s="22">
        <v>59455.099384172601</v>
      </c>
      <c r="M482" s="22">
        <v>76055.878221258652</v>
      </c>
      <c r="N482" s="22">
        <v>85231.481416204697</v>
      </c>
      <c r="O482" s="22">
        <v>88403.930991225337</v>
      </c>
      <c r="P482" s="22">
        <v>87567.301997990886</v>
      </c>
      <c r="Q482" s="22">
        <v>82806.645738598774</v>
      </c>
      <c r="R482" s="22">
        <v>73946.558723369366</v>
      </c>
      <c r="S482" s="22">
        <v>58399.575243468069</v>
      </c>
      <c r="T482" s="22">
        <v>33504.087930956397</v>
      </c>
      <c r="U482" s="22">
        <v>77667.264707906055</v>
      </c>
      <c r="V482" s="22">
        <v>77667.264707906055</v>
      </c>
      <c r="W482" s="22">
        <v>77667.264707906055</v>
      </c>
      <c r="X482" s="22">
        <v>77667.264707906055</v>
      </c>
      <c r="Y482" s="22">
        <v>77667.264707906055</v>
      </c>
      <c r="Z482" s="22">
        <v>77667.264707906055</v>
      </c>
      <c r="AA482" s="23">
        <v>77667.264707906055</v>
      </c>
      <c r="AB482" s="97"/>
      <c r="AC482" s="27">
        <v>5</v>
      </c>
      <c r="AD482" s="42">
        <f t="shared" si="157"/>
        <v>6795885.6619417807</v>
      </c>
    </row>
    <row r="483" spans="1:30" ht="13.5" thickBot="1" x14ac:dyDescent="0.35">
      <c r="A483" s="18">
        <v>2039</v>
      </c>
      <c r="B483" s="11" t="s">
        <v>38</v>
      </c>
      <c r="C483" s="12" t="s">
        <v>33</v>
      </c>
      <c r="D483" s="21">
        <v>19416.816176976517</v>
      </c>
      <c r="E483" s="22">
        <v>19416.816176976517</v>
      </c>
      <c r="F483" s="22">
        <v>19416.816176976517</v>
      </c>
      <c r="G483" s="22">
        <v>19416.816176976517</v>
      </c>
      <c r="H483" s="22">
        <v>19416.816176976517</v>
      </c>
      <c r="I483" s="22">
        <v>19416.816176976517</v>
      </c>
      <c r="J483" s="22">
        <v>19416.816176976517</v>
      </c>
      <c r="K483" s="22">
        <v>34218.006546933248</v>
      </c>
      <c r="L483" s="22">
        <v>59455.099384172601</v>
      </c>
      <c r="M483" s="22">
        <v>76055.878221258681</v>
      </c>
      <c r="N483" s="22">
        <v>85231.481416204697</v>
      </c>
      <c r="O483" s="22">
        <v>88403.930991225352</v>
      </c>
      <c r="P483" s="22">
        <v>87567.301997990871</v>
      </c>
      <c r="Q483" s="22">
        <v>82806.645738598818</v>
      </c>
      <c r="R483" s="22">
        <v>73946.558723369366</v>
      </c>
      <c r="S483" s="22">
        <v>58399.575243468069</v>
      </c>
      <c r="T483" s="22">
        <v>33504.087930956397</v>
      </c>
      <c r="U483" s="22">
        <v>77667.26470790607</v>
      </c>
      <c r="V483" s="22">
        <v>77667.26470790607</v>
      </c>
      <c r="W483" s="22">
        <v>77667.26470790607</v>
      </c>
      <c r="X483" s="22">
        <v>77667.26470790607</v>
      </c>
      <c r="Y483" s="22">
        <v>77667.26470790607</v>
      </c>
      <c r="Z483" s="22">
        <v>77667.26470790607</v>
      </c>
      <c r="AA483" s="23">
        <v>77667.26470790607</v>
      </c>
      <c r="AB483" s="96">
        <f t="shared" ref="AB483" si="167">+SUM(D483:AA483)*AC483+SUM(D484:AA484)*AC484+SUM(D485:AA485)*AC485</f>
        <v>40775313.97165069</v>
      </c>
      <c r="AC483" s="16">
        <v>19</v>
      </c>
      <c r="AD483" s="16">
        <f t="shared" si="157"/>
        <v>25824365.515378769</v>
      </c>
    </row>
    <row r="484" spans="1:30" ht="13.5" thickBot="1" x14ac:dyDescent="0.35">
      <c r="A484" s="18">
        <v>2039</v>
      </c>
      <c r="B484" s="19" t="s">
        <v>38</v>
      </c>
      <c r="C484" s="20" t="s">
        <v>50</v>
      </c>
      <c r="D484" s="21">
        <v>19416.816176976514</v>
      </c>
      <c r="E484" s="22">
        <v>19416.816176976514</v>
      </c>
      <c r="F484" s="22">
        <v>19416.816176976514</v>
      </c>
      <c r="G484" s="22">
        <v>19416.816176976514</v>
      </c>
      <c r="H484" s="22">
        <v>19416.816176976514</v>
      </c>
      <c r="I484" s="22">
        <v>19416.816176976514</v>
      </c>
      <c r="J484" s="22">
        <v>19416.816176976514</v>
      </c>
      <c r="K484" s="22">
        <v>34218.006546933248</v>
      </c>
      <c r="L484" s="22">
        <v>59455.099384172601</v>
      </c>
      <c r="M484" s="22">
        <v>76055.878221258652</v>
      </c>
      <c r="N484" s="22">
        <v>85231.481416204697</v>
      </c>
      <c r="O484" s="22">
        <v>88403.930991225337</v>
      </c>
      <c r="P484" s="22">
        <v>87567.301997990886</v>
      </c>
      <c r="Q484" s="22">
        <v>82806.645738598774</v>
      </c>
      <c r="R484" s="22">
        <v>73946.558723369366</v>
      </c>
      <c r="S484" s="22">
        <v>58399.575243468069</v>
      </c>
      <c r="T484" s="22">
        <v>33504.087930956397</v>
      </c>
      <c r="U484" s="22">
        <v>77667.264707906055</v>
      </c>
      <c r="V484" s="22">
        <v>77667.264707906055</v>
      </c>
      <c r="W484" s="22">
        <v>77667.264707906055</v>
      </c>
      <c r="X484" s="22">
        <v>77667.264707906055</v>
      </c>
      <c r="Y484" s="22">
        <v>77667.264707906055</v>
      </c>
      <c r="Z484" s="22">
        <v>77667.264707906055</v>
      </c>
      <c r="AA484" s="23">
        <v>77667.264707906055</v>
      </c>
      <c r="AB484" s="97"/>
      <c r="AC484" s="24">
        <v>5</v>
      </c>
      <c r="AD484" s="16">
        <f t="shared" si="157"/>
        <v>6795885.6619417807</v>
      </c>
    </row>
    <row r="485" spans="1:30" ht="13.5" thickBot="1" x14ac:dyDescent="0.35">
      <c r="A485" s="18">
        <v>2039</v>
      </c>
      <c r="B485" s="25" t="s">
        <v>38</v>
      </c>
      <c r="C485" s="26" t="s">
        <v>36</v>
      </c>
      <c r="D485" s="21">
        <v>19416.816176976514</v>
      </c>
      <c r="E485" s="22">
        <v>19416.816176976514</v>
      </c>
      <c r="F485" s="22">
        <v>19416.816176976514</v>
      </c>
      <c r="G485" s="22">
        <v>19416.816176976514</v>
      </c>
      <c r="H485" s="22">
        <v>19416.816176976514</v>
      </c>
      <c r="I485" s="22">
        <v>19416.816176976514</v>
      </c>
      <c r="J485" s="22">
        <v>19416.816176976514</v>
      </c>
      <c r="K485" s="22">
        <v>34218.006546933255</v>
      </c>
      <c r="L485" s="22">
        <v>59455.099384172594</v>
      </c>
      <c r="M485" s="22">
        <v>76055.878221258652</v>
      </c>
      <c r="N485" s="22">
        <v>85231.481416204697</v>
      </c>
      <c r="O485" s="22">
        <v>88403.930991225337</v>
      </c>
      <c r="P485" s="22">
        <v>87567.301997990886</v>
      </c>
      <c r="Q485" s="22">
        <v>82806.645738598774</v>
      </c>
      <c r="R485" s="22">
        <v>73946.558723369366</v>
      </c>
      <c r="S485" s="22">
        <v>58399.575243468069</v>
      </c>
      <c r="T485" s="22">
        <v>33504.087930956397</v>
      </c>
      <c r="U485" s="22">
        <v>77667.264707906055</v>
      </c>
      <c r="V485" s="22">
        <v>77667.264707906055</v>
      </c>
      <c r="W485" s="22">
        <v>77667.264707906055</v>
      </c>
      <c r="X485" s="22">
        <v>77667.264707906055</v>
      </c>
      <c r="Y485" s="22">
        <v>77667.264707906055</v>
      </c>
      <c r="Z485" s="22">
        <v>77667.264707906055</v>
      </c>
      <c r="AA485" s="23">
        <v>77667.264707906055</v>
      </c>
      <c r="AB485" s="97"/>
      <c r="AC485" s="27">
        <v>6</v>
      </c>
      <c r="AD485" s="42">
        <f t="shared" si="157"/>
        <v>8155062.7943301369</v>
      </c>
    </row>
    <row r="486" spans="1:30" ht="13.5" thickBot="1" x14ac:dyDescent="0.35">
      <c r="A486" s="18">
        <v>2039</v>
      </c>
      <c r="B486" s="11" t="s">
        <v>39</v>
      </c>
      <c r="C486" s="12" t="s">
        <v>33</v>
      </c>
      <c r="D486" s="21">
        <v>19416.816176976521</v>
      </c>
      <c r="E486" s="22">
        <v>19416.816176976521</v>
      </c>
      <c r="F486" s="22">
        <v>19416.816176976521</v>
      </c>
      <c r="G486" s="22">
        <v>19416.816176976521</v>
      </c>
      <c r="H486" s="22">
        <v>19416.816176976521</v>
      </c>
      <c r="I486" s="22">
        <v>19416.816176976521</v>
      </c>
      <c r="J486" s="22">
        <v>19416.816176976521</v>
      </c>
      <c r="K486" s="22">
        <v>34218.00654693324</v>
      </c>
      <c r="L486" s="22">
        <v>59455.099384172601</v>
      </c>
      <c r="M486" s="22">
        <v>76055.878221258681</v>
      </c>
      <c r="N486" s="22">
        <v>85231.481416204697</v>
      </c>
      <c r="O486" s="22">
        <v>88403.930991225352</v>
      </c>
      <c r="P486" s="22">
        <v>87567.301997990871</v>
      </c>
      <c r="Q486" s="22">
        <v>82806.645738598818</v>
      </c>
      <c r="R486" s="22">
        <v>73946.558723369366</v>
      </c>
      <c r="S486" s="22">
        <v>58399.575243468076</v>
      </c>
      <c r="T486" s="22">
        <v>33504.087930956397</v>
      </c>
      <c r="U486" s="22">
        <v>77667.264707906084</v>
      </c>
      <c r="V486" s="22">
        <v>77667.264707906084</v>
      </c>
      <c r="W486" s="22">
        <v>77667.264707906084</v>
      </c>
      <c r="X486" s="22">
        <v>77667.264707906084</v>
      </c>
      <c r="Y486" s="22">
        <v>77667.264707906084</v>
      </c>
      <c r="Z486" s="22">
        <v>77667.264707906084</v>
      </c>
      <c r="AA486" s="23">
        <v>77667.264707906084</v>
      </c>
      <c r="AB486" s="96">
        <f t="shared" ref="AB486" si="168">+SUM(D486:AA486)*AC486+SUM(D487:AA487)*AC487+SUM(D488:AA488)*AC488</f>
        <v>42134491.104039043</v>
      </c>
      <c r="AC486" s="16">
        <v>21</v>
      </c>
      <c r="AD486" s="16">
        <f t="shared" si="157"/>
        <v>28542719.780155484</v>
      </c>
    </row>
    <row r="487" spans="1:30" ht="13.5" thickBot="1" x14ac:dyDescent="0.35">
      <c r="A487" s="18">
        <v>2039</v>
      </c>
      <c r="B487" s="19" t="s">
        <v>39</v>
      </c>
      <c r="C487" s="20" t="s">
        <v>50</v>
      </c>
      <c r="D487" s="21">
        <v>19416.816176976514</v>
      </c>
      <c r="E487" s="22">
        <v>19416.816176976514</v>
      </c>
      <c r="F487" s="22">
        <v>19416.816176976514</v>
      </c>
      <c r="G487" s="22">
        <v>19416.816176976514</v>
      </c>
      <c r="H487" s="22">
        <v>19416.816176976514</v>
      </c>
      <c r="I487" s="22">
        <v>19416.816176976514</v>
      </c>
      <c r="J487" s="22">
        <v>19416.816176976514</v>
      </c>
      <c r="K487" s="22">
        <v>34218.006546933248</v>
      </c>
      <c r="L487" s="22">
        <v>59455.099384172601</v>
      </c>
      <c r="M487" s="22">
        <v>76055.878221258652</v>
      </c>
      <c r="N487" s="22">
        <v>85231.481416204697</v>
      </c>
      <c r="O487" s="22">
        <v>88403.930991225337</v>
      </c>
      <c r="P487" s="22">
        <v>87567.301997990886</v>
      </c>
      <c r="Q487" s="22">
        <v>82806.645738598774</v>
      </c>
      <c r="R487" s="22">
        <v>73946.558723369366</v>
      </c>
      <c r="S487" s="22">
        <v>58399.575243468069</v>
      </c>
      <c r="T487" s="22">
        <v>33504.087930956397</v>
      </c>
      <c r="U487" s="22">
        <v>77667.264707906055</v>
      </c>
      <c r="V487" s="22">
        <v>77667.264707906055</v>
      </c>
      <c r="W487" s="22">
        <v>77667.264707906055</v>
      </c>
      <c r="X487" s="22">
        <v>77667.264707906055</v>
      </c>
      <c r="Y487" s="22">
        <v>77667.264707906055</v>
      </c>
      <c r="Z487" s="22">
        <v>77667.264707906055</v>
      </c>
      <c r="AA487" s="23">
        <v>77667.264707906055</v>
      </c>
      <c r="AB487" s="97"/>
      <c r="AC487" s="24">
        <v>4</v>
      </c>
      <c r="AD487" s="16">
        <f t="shared" si="157"/>
        <v>5436708.5295534246</v>
      </c>
    </row>
    <row r="488" spans="1:30" ht="13.5" thickBot="1" x14ac:dyDescent="0.35">
      <c r="A488" s="18">
        <v>2039</v>
      </c>
      <c r="B488" s="25" t="s">
        <v>39</v>
      </c>
      <c r="C488" s="26" t="s">
        <v>36</v>
      </c>
      <c r="D488" s="21">
        <v>19416.816176976514</v>
      </c>
      <c r="E488" s="22">
        <v>19416.816176976514</v>
      </c>
      <c r="F488" s="22">
        <v>19416.816176976514</v>
      </c>
      <c r="G488" s="22">
        <v>19416.816176976514</v>
      </c>
      <c r="H488" s="22">
        <v>19416.816176976514</v>
      </c>
      <c r="I488" s="22">
        <v>19416.816176976514</v>
      </c>
      <c r="J488" s="22">
        <v>19416.816176976514</v>
      </c>
      <c r="K488" s="22">
        <v>34218.006546933255</v>
      </c>
      <c r="L488" s="22">
        <v>59455.099384172594</v>
      </c>
      <c r="M488" s="22">
        <v>76055.878221258652</v>
      </c>
      <c r="N488" s="22">
        <v>85231.481416204697</v>
      </c>
      <c r="O488" s="22">
        <v>88403.930991225337</v>
      </c>
      <c r="P488" s="22">
        <v>87567.301997990886</v>
      </c>
      <c r="Q488" s="22">
        <v>82806.645738598774</v>
      </c>
      <c r="R488" s="22">
        <v>73946.558723369366</v>
      </c>
      <c r="S488" s="22">
        <v>58399.575243468069</v>
      </c>
      <c r="T488" s="22">
        <v>33504.087930956397</v>
      </c>
      <c r="U488" s="22">
        <v>77667.264707906055</v>
      </c>
      <c r="V488" s="22">
        <v>77667.264707906055</v>
      </c>
      <c r="W488" s="22">
        <v>77667.264707906055</v>
      </c>
      <c r="X488" s="22">
        <v>77667.264707906055</v>
      </c>
      <c r="Y488" s="22">
        <v>77667.264707906055</v>
      </c>
      <c r="Z488" s="22">
        <v>77667.264707906055</v>
      </c>
      <c r="AA488" s="23">
        <v>77667.264707906055</v>
      </c>
      <c r="AB488" s="97"/>
      <c r="AC488" s="27">
        <v>6</v>
      </c>
      <c r="AD488" s="42">
        <f t="shared" si="157"/>
        <v>8155062.7943301369</v>
      </c>
    </row>
    <row r="489" spans="1:30" ht="13.5" thickBot="1" x14ac:dyDescent="0.35">
      <c r="A489" s="18">
        <v>2039</v>
      </c>
      <c r="B489" s="11" t="s">
        <v>40</v>
      </c>
      <c r="C489" s="12" t="s">
        <v>33</v>
      </c>
      <c r="D489" s="21">
        <v>19416.816176976521</v>
      </c>
      <c r="E489" s="22">
        <v>19416.816176976521</v>
      </c>
      <c r="F489" s="22">
        <v>19416.816176976521</v>
      </c>
      <c r="G489" s="22">
        <v>19416.816176976521</v>
      </c>
      <c r="H489" s="22">
        <v>19416.816176976521</v>
      </c>
      <c r="I489" s="22">
        <v>19416.816176976521</v>
      </c>
      <c r="J489" s="22">
        <v>19416.816176976521</v>
      </c>
      <c r="K489" s="22">
        <v>34218.006546933248</v>
      </c>
      <c r="L489" s="22">
        <v>59455.099384172601</v>
      </c>
      <c r="M489" s="22">
        <v>76055.878221258681</v>
      </c>
      <c r="N489" s="22">
        <v>85231.481416204697</v>
      </c>
      <c r="O489" s="22">
        <v>88403.930991225352</v>
      </c>
      <c r="P489" s="22">
        <v>87567.301997990871</v>
      </c>
      <c r="Q489" s="22">
        <v>82806.645738598818</v>
      </c>
      <c r="R489" s="22">
        <v>73946.558723369366</v>
      </c>
      <c r="S489" s="22">
        <v>58399.575243468069</v>
      </c>
      <c r="T489" s="22">
        <v>33504.087930956397</v>
      </c>
      <c r="U489" s="22">
        <v>77667.264707906084</v>
      </c>
      <c r="V489" s="22">
        <v>77667.264707906084</v>
      </c>
      <c r="W489" s="22">
        <v>77667.264707906084</v>
      </c>
      <c r="X489" s="22">
        <v>77667.264707906084</v>
      </c>
      <c r="Y489" s="22">
        <v>77667.264707906084</v>
      </c>
      <c r="Z489" s="22">
        <v>77667.264707906084</v>
      </c>
      <c r="AA489" s="23">
        <v>77667.264707906084</v>
      </c>
      <c r="AB489" s="96">
        <f t="shared" ref="AB489" si="169">+SUM(D489:AA489)*AC489+SUM(D490:AA490)*AC490+SUM(D491:AA491)*AC491</f>
        <v>40775313.97165069</v>
      </c>
      <c r="AC489" s="16">
        <v>20</v>
      </c>
      <c r="AD489" s="16">
        <f t="shared" si="157"/>
        <v>27183542.647767127</v>
      </c>
    </row>
    <row r="490" spans="1:30" ht="13.5" thickBot="1" x14ac:dyDescent="0.35">
      <c r="A490" s="18">
        <v>2039</v>
      </c>
      <c r="B490" s="19" t="s">
        <v>40</v>
      </c>
      <c r="C490" s="20" t="s">
        <v>50</v>
      </c>
      <c r="D490" s="21">
        <v>19416.816176976514</v>
      </c>
      <c r="E490" s="22">
        <v>19416.816176976514</v>
      </c>
      <c r="F490" s="22">
        <v>19416.816176976514</v>
      </c>
      <c r="G490" s="22">
        <v>19416.816176976514</v>
      </c>
      <c r="H490" s="22">
        <v>19416.816176976514</v>
      </c>
      <c r="I490" s="22">
        <v>19416.816176976514</v>
      </c>
      <c r="J490" s="22">
        <v>19416.816176976514</v>
      </c>
      <c r="K490" s="22">
        <v>34218.006546933248</v>
      </c>
      <c r="L490" s="22">
        <v>59455.099384172601</v>
      </c>
      <c r="M490" s="22">
        <v>76055.878221258652</v>
      </c>
      <c r="N490" s="22">
        <v>85231.481416204697</v>
      </c>
      <c r="O490" s="22">
        <v>88403.930991225337</v>
      </c>
      <c r="P490" s="22">
        <v>87567.301997990886</v>
      </c>
      <c r="Q490" s="22">
        <v>82806.645738598774</v>
      </c>
      <c r="R490" s="22">
        <v>73946.558723369366</v>
      </c>
      <c r="S490" s="22">
        <v>58399.575243468069</v>
      </c>
      <c r="T490" s="22">
        <v>33504.087930956397</v>
      </c>
      <c r="U490" s="22">
        <v>77667.264707906055</v>
      </c>
      <c r="V490" s="22">
        <v>77667.264707906055</v>
      </c>
      <c r="W490" s="22">
        <v>77667.264707906055</v>
      </c>
      <c r="X490" s="22">
        <v>77667.264707906055</v>
      </c>
      <c r="Y490" s="22">
        <v>77667.264707906055</v>
      </c>
      <c r="Z490" s="22">
        <v>77667.264707906055</v>
      </c>
      <c r="AA490" s="23">
        <v>77667.264707906055</v>
      </c>
      <c r="AB490" s="97"/>
      <c r="AC490" s="24">
        <v>4</v>
      </c>
      <c r="AD490" s="16">
        <f t="shared" si="157"/>
        <v>5436708.5295534246</v>
      </c>
    </row>
    <row r="491" spans="1:30" ht="13.5" thickBot="1" x14ac:dyDescent="0.35">
      <c r="A491" s="18">
        <v>2039</v>
      </c>
      <c r="B491" s="25" t="s">
        <v>40</v>
      </c>
      <c r="C491" s="26" t="s">
        <v>36</v>
      </c>
      <c r="D491" s="21">
        <v>19416.816176976514</v>
      </c>
      <c r="E491" s="22">
        <v>19416.816176976514</v>
      </c>
      <c r="F491" s="22">
        <v>19416.816176976514</v>
      </c>
      <c r="G491" s="22">
        <v>19416.816176976514</v>
      </c>
      <c r="H491" s="22">
        <v>19416.816176976514</v>
      </c>
      <c r="I491" s="22">
        <v>19416.816176976514</v>
      </c>
      <c r="J491" s="22">
        <v>19416.816176976514</v>
      </c>
      <c r="K491" s="22">
        <v>34218.006546933255</v>
      </c>
      <c r="L491" s="22">
        <v>59455.099384172594</v>
      </c>
      <c r="M491" s="22">
        <v>76055.878221258652</v>
      </c>
      <c r="N491" s="22">
        <v>85231.481416204697</v>
      </c>
      <c r="O491" s="22">
        <v>88403.930991225337</v>
      </c>
      <c r="P491" s="22">
        <v>87567.301997990886</v>
      </c>
      <c r="Q491" s="22">
        <v>82806.645738598774</v>
      </c>
      <c r="R491" s="22">
        <v>73946.558723369366</v>
      </c>
      <c r="S491" s="22">
        <v>58399.575243468069</v>
      </c>
      <c r="T491" s="22">
        <v>33504.087930956397</v>
      </c>
      <c r="U491" s="22">
        <v>77667.264707906055</v>
      </c>
      <c r="V491" s="22">
        <v>77667.264707906055</v>
      </c>
      <c r="W491" s="22">
        <v>77667.264707906055</v>
      </c>
      <c r="X491" s="22">
        <v>77667.264707906055</v>
      </c>
      <c r="Y491" s="22">
        <v>77667.264707906055</v>
      </c>
      <c r="Z491" s="22">
        <v>77667.264707906055</v>
      </c>
      <c r="AA491" s="23">
        <v>77667.264707906055</v>
      </c>
      <c r="AB491" s="97"/>
      <c r="AC491" s="27">
        <v>6</v>
      </c>
      <c r="AD491" s="42">
        <f t="shared" si="157"/>
        <v>8155062.7943301369</v>
      </c>
    </row>
    <row r="492" spans="1:30" ht="13.5" thickBot="1" x14ac:dyDescent="0.35">
      <c r="A492" s="18">
        <v>2039</v>
      </c>
      <c r="B492" s="11" t="s">
        <v>41</v>
      </c>
      <c r="C492" s="12" t="s">
        <v>33</v>
      </c>
      <c r="D492" s="21">
        <v>19416.816176976517</v>
      </c>
      <c r="E492" s="22">
        <v>19416.816176976517</v>
      </c>
      <c r="F492" s="22">
        <v>19416.816176976517</v>
      </c>
      <c r="G492" s="22">
        <v>19416.816176976517</v>
      </c>
      <c r="H492" s="22">
        <v>19416.816176976517</v>
      </c>
      <c r="I492" s="22">
        <v>19416.816176976517</v>
      </c>
      <c r="J492" s="22">
        <v>19416.816176976517</v>
      </c>
      <c r="K492" s="22">
        <v>34218.006546933248</v>
      </c>
      <c r="L492" s="22">
        <v>59455.099384172601</v>
      </c>
      <c r="M492" s="22">
        <v>76055.878221258681</v>
      </c>
      <c r="N492" s="22">
        <v>85231.481416204697</v>
      </c>
      <c r="O492" s="22">
        <v>88403.930991225352</v>
      </c>
      <c r="P492" s="22">
        <v>87567.301997990871</v>
      </c>
      <c r="Q492" s="22">
        <v>82806.645738598818</v>
      </c>
      <c r="R492" s="22">
        <v>73946.558723369366</v>
      </c>
      <c r="S492" s="22">
        <v>58399.575243468069</v>
      </c>
      <c r="T492" s="22">
        <v>33504.087930956397</v>
      </c>
      <c r="U492" s="22">
        <v>77667.26470790607</v>
      </c>
      <c r="V492" s="22">
        <v>77667.26470790607</v>
      </c>
      <c r="W492" s="22">
        <v>77667.26470790607</v>
      </c>
      <c r="X492" s="22">
        <v>77667.26470790607</v>
      </c>
      <c r="Y492" s="22">
        <v>77667.26470790607</v>
      </c>
      <c r="Z492" s="22">
        <v>77667.26470790607</v>
      </c>
      <c r="AA492" s="23">
        <v>77667.26470790607</v>
      </c>
      <c r="AB492" s="96">
        <f t="shared" ref="AB492" si="170">+SUM(D492:AA492)*AC492+SUM(D493:AA493)*AC493+SUM(D494:AA494)*AC494</f>
        <v>42134491.104039043</v>
      </c>
      <c r="AC492" s="16">
        <v>19</v>
      </c>
      <c r="AD492" s="16">
        <f t="shared" si="157"/>
        <v>25824365.515378769</v>
      </c>
    </row>
    <row r="493" spans="1:30" ht="13.5" thickBot="1" x14ac:dyDescent="0.35">
      <c r="A493" s="18">
        <v>2039</v>
      </c>
      <c r="B493" s="19" t="s">
        <v>41</v>
      </c>
      <c r="C493" s="20" t="s">
        <v>50</v>
      </c>
      <c r="D493" s="21">
        <v>19416.816176976514</v>
      </c>
      <c r="E493" s="22">
        <v>19416.816176976514</v>
      </c>
      <c r="F493" s="22">
        <v>19416.816176976514</v>
      </c>
      <c r="G493" s="22">
        <v>19416.816176976514</v>
      </c>
      <c r="H493" s="22">
        <v>19416.816176976514</v>
      </c>
      <c r="I493" s="22">
        <v>19416.816176976514</v>
      </c>
      <c r="J493" s="22">
        <v>19416.816176976514</v>
      </c>
      <c r="K493" s="22">
        <v>34218.006546933248</v>
      </c>
      <c r="L493" s="22">
        <v>59455.099384172601</v>
      </c>
      <c r="M493" s="22">
        <v>76055.878221258652</v>
      </c>
      <c r="N493" s="22">
        <v>85231.481416204697</v>
      </c>
      <c r="O493" s="22">
        <v>88403.930991225337</v>
      </c>
      <c r="P493" s="22">
        <v>87567.301997990886</v>
      </c>
      <c r="Q493" s="22">
        <v>82806.645738598774</v>
      </c>
      <c r="R493" s="22">
        <v>73946.558723369366</v>
      </c>
      <c r="S493" s="22">
        <v>58399.575243468069</v>
      </c>
      <c r="T493" s="22">
        <v>33504.087930956397</v>
      </c>
      <c r="U493" s="22">
        <v>77667.264707906055</v>
      </c>
      <c r="V493" s="22">
        <v>77667.264707906055</v>
      </c>
      <c r="W493" s="22">
        <v>77667.264707906055</v>
      </c>
      <c r="X493" s="22">
        <v>77667.264707906055</v>
      </c>
      <c r="Y493" s="22">
        <v>77667.264707906055</v>
      </c>
      <c r="Z493" s="22">
        <v>77667.264707906055</v>
      </c>
      <c r="AA493" s="23">
        <v>77667.264707906055</v>
      </c>
      <c r="AB493" s="97"/>
      <c r="AC493" s="24">
        <v>5</v>
      </c>
      <c r="AD493" s="16">
        <f t="shared" si="157"/>
        <v>6795885.6619417807</v>
      </c>
    </row>
    <row r="494" spans="1:30" ht="13.5" thickBot="1" x14ac:dyDescent="0.35">
      <c r="A494" s="18">
        <v>2039</v>
      </c>
      <c r="B494" s="25" t="s">
        <v>41</v>
      </c>
      <c r="C494" s="26" t="s">
        <v>36</v>
      </c>
      <c r="D494" s="21">
        <v>19416.816176976514</v>
      </c>
      <c r="E494" s="22">
        <v>19416.816176976514</v>
      </c>
      <c r="F494" s="22">
        <v>19416.816176976514</v>
      </c>
      <c r="G494" s="22">
        <v>19416.816176976514</v>
      </c>
      <c r="H494" s="22">
        <v>19416.816176976514</v>
      </c>
      <c r="I494" s="22">
        <v>19416.816176976514</v>
      </c>
      <c r="J494" s="22">
        <v>19416.816176976514</v>
      </c>
      <c r="K494" s="22">
        <v>34218.006546933255</v>
      </c>
      <c r="L494" s="22">
        <v>59455.099384172594</v>
      </c>
      <c r="M494" s="22">
        <v>76055.878221258652</v>
      </c>
      <c r="N494" s="22">
        <v>85231.481416204697</v>
      </c>
      <c r="O494" s="22">
        <v>88403.930991225323</v>
      </c>
      <c r="P494" s="22">
        <v>87567.3019979909</v>
      </c>
      <c r="Q494" s="22">
        <v>82806.645738598774</v>
      </c>
      <c r="R494" s="22">
        <v>73946.558723369366</v>
      </c>
      <c r="S494" s="22">
        <v>58399.575243468062</v>
      </c>
      <c r="T494" s="22">
        <v>33504.087930956397</v>
      </c>
      <c r="U494" s="22">
        <v>77667.264707906055</v>
      </c>
      <c r="V494" s="22">
        <v>77667.264707906055</v>
      </c>
      <c r="W494" s="22">
        <v>77667.264707906055</v>
      </c>
      <c r="X494" s="22">
        <v>77667.264707906055</v>
      </c>
      <c r="Y494" s="22">
        <v>77667.264707906055</v>
      </c>
      <c r="Z494" s="22">
        <v>77667.264707906055</v>
      </c>
      <c r="AA494" s="23">
        <v>77667.264707906055</v>
      </c>
      <c r="AB494" s="97"/>
      <c r="AC494" s="27">
        <v>7</v>
      </c>
      <c r="AD494" s="42">
        <f t="shared" si="157"/>
        <v>9514239.9267184921</v>
      </c>
    </row>
    <row r="495" spans="1:30" ht="13.5" thickBot="1" x14ac:dyDescent="0.35">
      <c r="A495" s="18">
        <v>2039</v>
      </c>
      <c r="B495" s="11" t="s">
        <v>42</v>
      </c>
      <c r="C495" s="12" t="s">
        <v>33</v>
      </c>
      <c r="D495" s="21">
        <v>19416.816176976521</v>
      </c>
      <c r="E495" s="22">
        <v>19416.816176976521</v>
      </c>
      <c r="F495" s="22">
        <v>19416.816176976521</v>
      </c>
      <c r="G495" s="22">
        <v>19416.816176976521</v>
      </c>
      <c r="H495" s="22">
        <v>19416.816176976521</v>
      </c>
      <c r="I495" s="22">
        <v>19416.816176976521</v>
      </c>
      <c r="J495" s="22">
        <v>19416.816176976521</v>
      </c>
      <c r="K495" s="22">
        <v>34218.00654693324</v>
      </c>
      <c r="L495" s="22">
        <v>59455.099384172594</v>
      </c>
      <c r="M495" s="22">
        <v>76055.878221258696</v>
      </c>
      <c r="N495" s="22">
        <v>85231.481416204697</v>
      </c>
      <c r="O495" s="22">
        <v>88403.930991225352</v>
      </c>
      <c r="P495" s="22">
        <v>87567.301997990871</v>
      </c>
      <c r="Q495" s="22">
        <v>82806.645738598832</v>
      </c>
      <c r="R495" s="22">
        <v>73946.558723369366</v>
      </c>
      <c r="S495" s="22">
        <v>58399.575243468076</v>
      </c>
      <c r="T495" s="22">
        <v>33504.087930956397</v>
      </c>
      <c r="U495" s="22">
        <v>77667.264707906084</v>
      </c>
      <c r="V495" s="22">
        <v>77667.264707906084</v>
      </c>
      <c r="W495" s="22">
        <v>77667.264707906084</v>
      </c>
      <c r="X495" s="22">
        <v>77667.264707906084</v>
      </c>
      <c r="Y495" s="22">
        <v>77667.264707906084</v>
      </c>
      <c r="Z495" s="22">
        <v>77667.264707906084</v>
      </c>
      <c r="AA495" s="23">
        <v>77667.264707906084</v>
      </c>
      <c r="AB495" s="96">
        <f t="shared" ref="AB495" si="171">+SUM(D495:AA495)*AC495+SUM(D496:AA496)*AC496+SUM(D497:AA497)*AC497</f>
        <v>42134491.104039051</v>
      </c>
      <c r="AC495" s="16">
        <v>22</v>
      </c>
      <c r="AD495" s="16">
        <f t="shared" si="157"/>
        <v>29901896.912543844</v>
      </c>
    </row>
    <row r="496" spans="1:30" ht="13.5" thickBot="1" x14ac:dyDescent="0.35">
      <c r="A496" s="18">
        <v>2039</v>
      </c>
      <c r="B496" s="19" t="s">
        <v>42</v>
      </c>
      <c r="C496" s="20" t="s">
        <v>50</v>
      </c>
      <c r="D496" s="21">
        <v>19416.816176976514</v>
      </c>
      <c r="E496" s="22">
        <v>19416.816176976514</v>
      </c>
      <c r="F496" s="22">
        <v>19416.816176976514</v>
      </c>
      <c r="G496" s="22">
        <v>19416.816176976514</v>
      </c>
      <c r="H496" s="22">
        <v>19416.816176976514</v>
      </c>
      <c r="I496" s="22">
        <v>19416.816176976514</v>
      </c>
      <c r="J496" s="22">
        <v>19416.816176976514</v>
      </c>
      <c r="K496" s="22">
        <v>34218.006546933248</v>
      </c>
      <c r="L496" s="22">
        <v>59455.099384172601</v>
      </c>
      <c r="M496" s="22">
        <v>76055.878221258652</v>
      </c>
      <c r="N496" s="22">
        <v>85231.481416204697</v>
      </c>
      <c r="O496" s="22">
        <v>88403.930991225337</v>
      </c>
      <c r="P496" s="22">
        <v>87567.301997990886</v>
      </c>
      <c r="Q496" s="22">
        <v>82806.645738598774</v>
      </c>
      <c r="R496" s="22">
        <v>73946.558723369366</v>
      </c>
      <c r="S496" s="22">
        <v>58399.575243468069</v>
      </c>
      <c r="T496" s="22">
        <v>33504.087930956397</v>
      </c>
      <c r="U496" s="22">
        <v>77667.264707906055</v>
      </c>
      <c r="V496" s="22">
        <v>77667.264707906055</v>
      </c>
      <c r="W496" s="22">
        <v>77667.264707906055</v>
      </c>
      <c r="X496" s="22">
        <v>77667.264707906055</v>
      </c>
      <c r="Y496" s="22">
        <v>77667.264707906055</v>
      </c>
      <c r="Z496" s="22">
        <v>77667.264707906055</v>
      </c>
      <c r="AA496" s="23">
        <v>77667.264707906055</v>
      </c>
      <c r="AB496" s="97"/>
      <c r="AC496" s="24">
        <v>4</v>
      </c>
      <c r="AD496" s="16">
        <f t="shared" si="157"/>
        <v>5436708.5295534246</v>
      </c>
    </row>
    <row r="497" spans="1:30" ht="13.5" thickBot="1" x14ac:dyDescent="0.35">
      <c r="A497" s="18">
        <v>2039</v>
      </c>
      <c r="B497" s="25" t="s">
        <v>42</v>
      </c>
      <c r="C497" s="26" t="s">
        <v>36</v>
      </c>
      <c r="D497" s="21">
        <v>19416.816176976514</v>
      </c>
      <c r="E497" s="22">
        <v>19416.816176976514</v>
      </c>
      <c r="F497" s="22">
        <v>19416.816176976514</v>
      </c>
      <c r="G497" s="22">
        <v>19416.816176976514</v>
      </c>
      <c r="H497" s="22">
        <v>19416.816176976514</v>
      </c>
      <c r="I497" s="22">
        <v>19416.816176976514</v>
      </c>
      <c r="J497" s="22">
        <v>19416.816176976514</v>
      </c>
      <c r="K497" s="22">
        <v>34218.006546933248</v>
      </c>
      <c r="L497" s="22">
        <v>59455.099384172601</v>
      </c>
      <c r="M497" s="22">
        <v>76055.878221258652</v>
      </c>
      <c r="N497" s="22">
        <v>85231.481416204697</v>
      </c>
      <c r="O497" s="22">
        <v>88403.930991225337</v>
      </c>
      <c r="P497" s="22">
        <v>87567.301997990886</v>
      </c>
      <c r="Q497" s="22">
        <v>82806.645738598774</v>
      </c>
      <c r="R497" s="22">
        <v>73946.558723369366</v>
      </c>
      <c r="S497" s="22">
        <v>58399.575243468069</v>
      </c>
      <c r="T497" s="22">
        <v>33504.087930956397</v>
      </c>
      <c r="U497" s="22">
        <v>77667.264707906055</v>
      </c>
      <c r="V497" s="22">
        <v>77667.264707906055</v>
      </c>
      <c r="W497" s="22">
        <v>77667.264707906055</v>
      </c>
      <c r="X497" s="22">
        <v>77667.264707906055</v>
      </c>
      <c r="Y497" s="22">
        <v>77667.264707906055</v>
      </c>
      <c r="Z497" s="22">
        <v>77667.264707906055</v>
      </c>
      <c r="AA497" s="23">
        <v>77667.264707906055</v>
      </c>
      <c r="AB497" s="97"/>
      <c r="AC497" s="27">
        <v>5</v>
      </c>
      <c r="AD497" s="42">
        <f t="shared" si="157"/>
        <v>6795885.6619417807</v>
      </c>
    </row>
    <row r="498" spans="1:30" ht="13.5" thickBot="1" x14ac:dyDescent="0.35">
      <c r="A498" s="18">
        <v>2039</v>
      </c>
      <c r="B498" s="11" t="s">
        <v>43</v>
      </c>
      <c r="C498" s="12" t="s">
        <v>33</v>
      </c>
      <c r="D498" s="21">
        <v>19416.816176976521</v>
      </c>
      <c r="E498" s="22">
        <v>19416.816176976521</v>
      </c>
      <c r="F498" s="22">
        <v>19416.816176976521</v>
      </c>
      <c r="G498" s="22">
        <v>19416.816176976521</v>
      </c>
      <c r="H498" s="22">
        <v>19416.816176976521</v>
      </c>
      <c r="I498" s="22">
        <v>19416.816176976521</v>
      </c>
      <c r="J498" s="22">
        <v>19416.816176976521</v>
      </c>
      <c r="K498" s="22">
        <v>34218.00654693324</v>
      </c>
      <c r="L498" s="22">
        <v>59455.099384172594</v>
      </c>
      <c r="M498" s="22">
        <v>76055.878221258696</v>
      </c>
      <c r="N498" s="22">
        <v>85231.481416204697</v>
      </c>
      <c r="O498" s="22">
        <v>88403.930991225352</v>
      </c>
      <c r="P498" s="22">
        <v>87567.301997990871</v>
      </c>
      <c r="Q498" s="22">
        <v>82806.645738598832</v>
      </c>
      <c r="R498" s="22">
        <v>73946.558723369366</v>
      </c>
      <c r="S498" s="22">
        <v>58399.575243468076</v>
      </c>
      <c r="T498" s="22">
        <v>33504.087930956397</v>
      </c>
      <c r="U498" s="22">
        <v>77667.264707906084</v>
      </c>
      <c r="V498" s="22">
        <v>77667.264707906084</v>
      </c>
      <c r="W498" s="22">
        <v>77667.264707906084</v>
      </c>
      <c r="X498" s="22">
        <v>77667.264707906084</v>
      </c>
      <c r="Y498" s="22">
        <v>77667.264707906084</v>
      </c>
      <c r="Z498" s="22">
        <v>77667.264707906084</v>
      </c>
      <c r="AA498" s="23">
        <v>77667.264707906084</v>
      </c>
      <c r="AB498" s="96">
        <f t="shared" ref="AB498" si="172">+SUM(D498:AA498)*AC498+SUM(D499:AA499)*AC499+SUM(D500:AA500)*AC500</f>
        <v>40775313.97165069</v>
      </c>
      <c r="AC498" s="16">
        <v>22</v>
      </c>
      <c r="AD498" s="16">
        <f t="shared" si="157"/>
        <v>29901896.912543844</v>
      </c>
    </row>
    <row r="499" spans="1:30" ht="13.5" thickBot="1" x14ac:dyDescent="0.35">
      <c r="A499" s="18">
        <v>2039</v>
      </c>
      <c r="B499" s="19" t="s">
        <v>43</v>
      </c>
      <c r="C499" s="20" t="s">
        <v>50</v>
      </c>
      <c r="D499" s="21">
        <v>19416.816176976514</v>
      </c>
      <c r="E499" s="22">
        <v>19416.816176976514</v>
      </c>
      <c r="F499" s="22">
        <v>19416.816176976514</v>
      </c>
      <c r="G499" s="22">
        <v>19416.816176976514</v>
      </c>
      <c r="H499" s="22">
        <v>19416.816176976514</v>
      </c>
      <c r="I499" s="22">
        <v>19416.816176976514</v>
      </c>
      <c r="J499" s="22">
        <v>19416.816176976514</v>
      </c>
      <c r="K499" s="22">
        <v>34218.006546933248</v>
      </c>
      <c r="L499" s="22">
        <v>59455.099384172601</v>
      </c>
      <c r="M499" s="22">
        <v>76055.878221258652</v>
      </c>
      <c r="N499" s="22">
        <v>85231.481416204697</v>
      </c>
      <c r="O499" s="22">
        <v>88403.930991225337</v>
      </c>
      <c r="P499" s="22">
        <v>87567.301997990886</v>
      </c>
      <c r="Q499" s="22">
        <v>82806.645738598774</v>
      </c>
      <c r="R499" s="22">
        <v>73946.558723369366</v>
      </c>
      <c r="S499" s="22">
        <v>58399.575243468069</v>
      </c>
      <c r="T499" s="22">
        <v>33504.087930956397</v>
      </c>
      <c r="U499" s="22">
        <v>77667.264707906055</v>
      </c>
      <c r="V499" s="22">
        <v>77667.264707906055</v>
      </c>
      <c r="W499" s="22">
        <v>77667.264707906055</v>
      </c>
      <c r="X499" s="22">
        <v>77667.264707906055</v>
      </c>
      <c r="Y499" s="22">
        <v>77667.264707906055</v>
      </c>
      <c r="Z499" s="22">
        <v>77667.264707906055</v>
      </c>
      <c r="AA499" s="23">
        <v>77667.264707906055</v>
      </c>
      <c r="AB499" s="97"/>
      <c r="AC499" s="24">
        <v>4</v>
      </c>
      <c r="AD499" s="16">
        <f t="shared" si="157"/>
        <v>5436708.5295534246</v>
      </c>
    </row>
    <row r="500" spans="1:30" ht="13.5" thickBot="1" x14ac:dyDescent="0.35">
      <c r="A500" s="18">
        <v>2039</v>
      </c>
      <c r="B500" s="25" t="s">
        <v>43</v>
      </c>
      <c r="C500" s="26" t="s">
        <v>36</v>
      </c>
      <c r="D500" s="21">
        <v>19416.816176976514</v>
      </c>
      <c r="E500" s="22">
        <v>19416.816176976514</v>
      </c>
      <c r="F500" s="22">
        <v>19416.816176976514</v>
      </c>
      <c r="G500" s="22">
        <v>19416.816176976514</v>
      </c>
      <c r="H500" s="22">
        <v>19416.816176976514</v>
      </c>
      <c r="I500" s="22">
        <v>19416.816176976514</v>
      </c>
      <c r="J500" s="22">
        <v>19416.816176976514</v>
      </c>
      <c r="K500" s="22">
        <v>34218.006546933248</v>
      </c>
      <c r="L500" s="22">
        <v>59455.099384172601</v>
      </c>
      <c r="M500" s="22">
        <v>76055.878221258652</v>
      </c>
      <c r="N500" s="22">
        <v>85231.481416204697</v>
      </c>
      <c r="O500" s="22">
        <v>88403.930991225337</v>
      </c>
      <c r="P500" s="22">
        <v>87567.301997990886</v>
      </c>
      <c r="Q500" s="22">
        <v>82806.645738598774</v>
      </c>
      <c r="R500" s="22">
        <v>73946.558723369366</v>
      </c>
      <c r="S500" s="22">
        <v>58399.575243468069</v>
      </c>
      <c r="T500" s="22">
        <v>33504.087930956397</v>
      </c>
      <c r="U500" s="22">
        <v>77667.264707906055</v>
      </c>
      <c r="V500" s="22">
        <v>77667.264707906055</v>
      </c>
      <c r="W500" s="22">
        <v>77667.264707906055</v>
      </c>
      <c r="X500" s="22">
        <v>77667.264707906055</v>
      </c>
      <c r="Y500" s="22">
        <v>77667.264707906055</v>
      </c>
      <c r="Z500" s="22">
        <v>77667.264707906055</v>
      </c>
      <c r="AA500" s="23">
        <v>77667.264707906055</v>
      </c>
      <c r="AB500" s="97"/>
      <c r="AC500" s="27">
        <v>4</v>
      </c>
      <c r="AD500" s="42">
        <f t="shared" si="157"/>
        <v>5436708.5295534246</v>
      </c>
    </row>
    <row r="501" spans="1:30" ht="13.5" thickBot="1" x14ac:dyDescent="0.35">
      <c r="A501" s="18">
        <v>2039</v>
      </c>
      <c r="B501" s="11" t="s">
        <v>44</v>
      </c>
      <c r="C501" s="12" t="s">
        <v>33</v>
      </c>
      <c r="D501" s="21">
        <v>19416.816176976521</v>
      </c>
      <c r="E501" s="22">
        <v>19416.816176976521</v>
      </c>
      <c r="F501" s="22">
        <v>19416.816176976521</v>
      </c>
      <c r="G501" s="22">
        <v>19416.816176976521</v>
      </c>
      <c r="H501" s="22">
        <v>19416.816176976521</v>
      </c>
      <c r="I501" s="22">
        <v>19416.816176976521</v>
      </c>
      <c r="J501" s="22">
        <v>19416.816176976521</v>
      </c>
      <c r="K501" s="22">
        <v>34218.006546933248</v>
      </c>
      <c r="L501" s="22">
        <v>59455.099384172601</v>
      </c>
      <c r="M501" s="22">
        <v>76055.878221258681</v>
      </c>
      <c r="N501" s="22">
        <v>85231.481416204697</v>
      </c>
      <c r="O501" s="22">
        <v>88403.930991225352</v>
      </c>
      <c r="P501" s="22">
        <v>87567.301997990871</v>
      </c>
      <c r="Q501" s="22">
        <v>82806.645738598818</v>
      </c>
      <c r="R501" s="22">
        <v>73946.558723369366</v>
      </c>
      <c r="S501" s="22">
        <v>58399.575243468069</v>
      </c>
      <c r="T501" s="22">
        <v>33504.087930956397</v>
      </c>
      <c r="U501" s="22">
        <v>77667.264707906084</v>
      </c>
      <c r="V501" s="22">
        <v>77667.264707906084</v>
      </c>
      <c r="W501" s="22">
        <v>77667.264707906084</v>
      </c>
      <c r="X501" s="22">
        <v>77667.264707906084</v>
      </c>
      <c r="Y501" s="22">
        <v>77667.264707906084</v>
      </c>
      <c r="Z501" s="22">
        <v>77667.264707906084</v>
      </c>
      <c r="AA501" s="23">
        <v>77667.264707906084</v>
      </c>
      <c r="AB501" s="96">
        <f t="shared" ref="AB501" si="173">+SUM(D501:AA501)*AC501+SUM(D502:AA502)*AC502+SUM(D503:AA503)*AC503</f>
        <v>42134491.104039043</v>
      </c>
      <c r="AC501" s="16">
        <v>20</v>
      </c>
      <c r="AD501" s="16">
        <f t="shared" si="157"/>
        <v>27183542.647767127</v>
      </c>
    </row>
    <row r="502" spans="1:30" ht="13.5" thickBot="1" x14ac:dyDescent="0.35">
      <c r="A502" s="18">
        <v>2039</v>
      </c>
      <c r="B502" s="19" t="s">
        <v>44</v>
      </c>
      <c r="C502" s="20" t="s">
        <v>50</v>
      </c>
      <c r="D502" s="21">
        <v>19416.816176976514</v>
      </c>
      <c r="E502" s="22">
        <v>19416.816176976514</v>
      </c>
      <c r="F502" s="22">
        <v>19416.816176976514</v>
      </c>
      <c r="G502" s="22">
        <v>19416.816176976514</v>
      </c>
      <c r="H502" s="22">
        <v>19416.816176976514</v>
      </c>
      <c r="I502" s="22">
        <v>19416.816176976514</v>
      </c>
      <c r="J502" s="22">
        <v>19416.816176976514</v>
      </c>
      <c r="K502" s="22">
        <v>34218.006546933248</v>
      </c>
      <c r="L502" s="22">
        <v>59455.099384172601</v>
      </c>
      <c r="M502" s="22">
        <v>76055.878221258652</v>
      </c>
      <c r="N502" s="22">
        <v>85231.481416204697</v>
      </c>
      <c r="O502" s="22">
        <v>88403.930991225337</v>
      </c>
      <c r="P502" s="22">
        <v>87567.301997990886</v>
      </c>
      <c r="Q502" s="22">
        <v>82806.645738598774</v>
      </c>
      <c r="R502" s="22">
        <v>73946.558723369366</v>
      </c>
      <c r="S502" s="22">
        <v>58399.575243468069</v>
      </c>
      <c r="T502" s="22">
        <v>33504.087930956397</v>
      </c>
      <c r="U502" s="22">
        <v>77667.264707906055</v>
      </c>
      <c r="V502" s="22">
        <v>77667.264707906055</v>
      </c>
      <c r="W502" s="22">
        <v>77667.264707906055</v>
      </c>
      <c r="X502" s="22">
        <v>77667.264707906055</v>
      </c>
      <c r="Y502" s="22">
        <v>77667.264707906055</v>
      </c>
      <c r="Z502" s="22">
        <v>77667.264707906055</v>
      </c>
      <c r="AA502" s="23">
        <v>77667.264707906055</v>
      </c>
      <c r="AB502" s="97"/>
      <c r="AC502" s="24">
        <v>5</v>
      </c>
      <c r="AD502" s="16">
        <f t="shared" si="157"/>
        <v>6795885.6619417807</v>
      </c>
    </row>
    <row r="503" spans="1:30" ht="13.5" thickBot="1" x14ac:dyDescent="0.35">
      <c r="A503" s="18">
        <v>2039</v>
      </c>
      <c r="B503" s="25" t="s">
        <v>44</v>
      </c>
      <c r="C503" s="26" t="s">
        <v>36</v>
      </c>
      <c r="D503" s="21">
        <v>19416.816176976514</v>
      </c>
      <c r="E503" s="22">
        <v>19416.816176976514</v>
      </c>
      <c r="F503" s="22">
        <v>19416.816176976514</v>
      </c>
      <c r="G503" s="22">
        <v>19416.816176976514</v>
      </c>
      <c r="H503" s="22">
        <v>19416.816176976514</v>
      </c>
      <c r="I503" s="22">
        <v>19416.816176976514</v>
      </c>
      <c r="J503" s="22">
        <v>19416.816176976514</v>
      </c>
      <c r="K503" s="22">
        <v>34218.006546933255</v>
      </c>
      <c r="L503" s="22">
        <v>59455.099384172594</v>
      </c>
      <c r="M503" s="22">
        <v>76055.878221258652</v>
      </c>
      <c r="N503" s="22">
        <v>85231.481416204697</v>
      </c>
      <c r="O503" s="22">
        <v>88403.930991225337</v>
      </c>
      <c r="P503" s="22">
        <v>87567.301997990886</v>
      </c>
      <c r="Q503" s="22">
        <v>82806.645738598774</v>
      </c>
      <c r="R503" s="22">
        <v>73946.558723369366</v>
      </c>
      <c r="S503" s="22">
        <v>58399.575243468069</v>
      </c>
      <c r="T503" s="22">
        <v>33504.087930956397</v>
      </c>
      <c r="U503" s="22">
        <v>77667.264707906055</v>
      </c>
      <c r="V503" s="22">
        <v>77667.264707906055</v>
      </c>
      <c r="W503" s="22">
        <v>77667.264707906055</v>
      </c>
      <c r="X503" s="22">
        <v>77667.264707906055</v>
      </c>
      <c r="Y503" s="22">
        <v>77667.264707906055</v>
      </c>
      <c r="Z503" s="22">
        <v>77667.264707906055</v>
      </c>
      <c r="AA503" s="23">
        <v>77667.264707906055</v>
      </c>
      <c r="AB503" s="97"/>
      <c r="AC503" s="27">
        <v>6</v>
      </c>
      <c r="AD503" s="42">
        <f t="shared" si="157"/>
        <v>8155062.7943301369</v>
      </c>
    </row>
    <row r="504" spans="1:30" ht="13.5" thickBot="1" x14ac:dyDescent="0.35">
      <c r="A504" s="18">
        <v>2039</v>
      </c>
      <c r="B504" s="11" t="s">
        <v>45</v>
      </c>
      <c r="C504" s="12" t="s">
        <v>33</v>
      </c>
      <c r="D504" s="21">
        <v>19416.816176976521</v>
      </c>
      <c r="E504" s="22">
        <v>19416.816176976521</v>
      </c>
      <c r="F504" s="22">
        <v>19416.816176976521</v>
      </c>
      <c r="G504" s="22">
        <v>19416.816176976521</v>
      </c>
      <c r="H504" s="22">
        <v>19416.816176976521</v>
      </c>
      <c r="I504" s="22">
        <v>19416.816176976521</v>
      </c>
      <c r="J504" s="22">
        <v>19416.816176976521</v>
      </c>
      <c r="K504" s="22">
        <v>34218.006546933248</v>
      </c>
      <c r="L504" s="22">
        <v>59455.099384172601</v>
      </c>
      <c r="M504" s="22">
        <v>76055.878221258681</v>
      </c>
      <c r="N504" s="22">
        <v>85231.481416204697</v>
      </c>
      <c r="O504" s="22">
        <v>88403.930991225352</v>
      </c>
      <c r="P504" s="22">
        <v>87567.301997990871</v>
      </c>
      <c r="Q504" s="22">
        <v>82806.645738598818</v>
      </c>
      <c r="R504" s="22">
        <v>73946.558723369366</v>
      </c>
      <c r="S504" s="22">
        <v>58399.575243468069</v>
      </c>
      <c r="T504" s="22">
        <v>33504.087930956397</v>
      </c>
      <c r="U504" s="22">
        <v>77667.264707906084</v>
      </c>
      <c r="V504" s="22">
        <v>77667.264707906084</v>
      </c>
      <c r="W504" s="22">
        <v>77667.264707906084</v>
      </c>
      <c r="X504" s="22">
        <v>77667.264707906084</v>
      </c>
      <c r="Y504" s="22">
        <v>77667.264707906084</v>
      </c>
      <c r="Z504" s="22">
        <v>77667.264707906084</v>
      </c>
      <c r="AA504" s="23">
        <v>77667.264707906084</v>
      </c>
      <c r="AB504" s="96">
        <f t="shared" ref="AB504" si="174">+SUM(D504:AA504)*AC504+SUM(D505:AA505)*AC505+SUM(D506:AA506)*AC506</f>
        <v>40775313.97165069</v>
      </c>
      <c r="AC504" s="16">
        <v>20</v>
      </c>
      <c r="AD504" s="16">
        <f t="shared" si="157"/>
        <v>27183542.647767127</v>
      </c>
    </row>
    <row r="505" spans="1:30" ht="13.5" thickBot="1" x14ac:dyDescent="0.35">
      <c r="A505" s="18">
        <v>2039</v>
      </c>
      <c r="B505" s="19" t="s">
        <v>45</v>
      </c>
      <c r="C505" s="20" t="s">
        <v>50</v>
      </c>
      <c r="D505" s="21">
        <v>19416.816176976514</v>
      </c>
      <c r="E505" s="22">
        <v>19416.816176976514</v>
      </c>
      <c r="F505" s="22">
        <v>19416.816176976514</v>
      </c>
      <c r="G505" s="22">
        <v>19416.816176976514</v>
      </c>
      <c r="H505" s="22">
        <v>19416.816176976514</v>
      </c>
      <c r="I505" s="22">
        <v>19416.816176976514</v>
      </c>
      <c r="J505" s="22">
        <v>19416.816176976514</v>
      </c>
      <c r="K505" s="22">
        <v>34218.006546933248</v>
      </c>
      <c r="L505" s="22">
        <v>59455.099384172601</v>
      </c>
      <c r="M505" s="22">
        <v>76055.878221258652</v>
      </c>
      <c r="N505" s="22">
        <v>85231.481416204697</v>
      </c>
      <c r="O505" s="22">
        <v>88403.930991225337</v>
      </c>
      <c r="P505" s="22">
        <v>87567.301997990886</v>
      </c>
      <c r="Q505" s="22">
        <v>82806.645738598774</v>
      </c>
      <c r="R505" s="22">
        <v>73946.558723369366</v>
      </c>
      <c r="S505" s="22">
        <v>58399.575243468069</v>
      </c>
      <c r="T505" s="22">
        <v>33504.087930956397</v>
      </c>
      <c r="U505" s="22">
        <v>77667.264707906055</v>
      </c>
      <c r="V505" s="22">
        <v>77667.264707906055</v>
      </c>
      <c r="W505" s="22">
        <v>77667.264707906055</v>
      </c>
      <c r="X505" s="22">
        <v>77667.264707906055</v>
      </c>
      <c r="Y505" s="22">
        <v>77667.264707906055</v>
      </c>
      <c r="Z505" s="22">
        <v>77667.264707906055</v>
      </c>
      <c r="AA505" s="23">
        <v>77667.264707906055</v>
      </c>
      <c r="AB505" s="97"/>
      <c r="AC505" s="24">
        <v>4</v>
      </c>
      <c r="AD505" s="16">
        <f t="shared" si="157"/>
        <v>5436708.5295534246</v>
      </c>
    </row>
    <row r="506" spans="1:30" ht="13.5" thickBot="1" x14ac:dyDescent="0.35">
      <c r="A506" s="18">
        <v>2039</v>
      </c>
      <c r="B506" s="25" t="s">
        <v>45</v>
      </c>
      <c r="C506" s="26" t="s">
        <v>36</v>
      </c>
      <c r="D506" s="21">
        <v>19416.816176976514</v>
      </c>
      <c r="E506" s="22">
        <v>19416.816176976514</v>
      </c>
      <c r="F506" s="22">
        <v>19416.816176976514</v>
      </c>
      <c r="G506" s="22">
        <v>19416.816176976514</v>
      </c>
      <c r="H506" s="22">
        <v>19416.816176976514</v>
      </c>
      <c r="I506" s="22">
        <v>19416.816176976514</v>
      </c>
      <c r="J506" s="22">
        <v>19416.816176976514</v>
      </c>
      <c r="K506" s="22">
        <v>34218.006546933255</v>
      </c>
      <c r="L506" s="22">
        <v>59455.099384172594</v>
      </c>
      <c r="M506" s="22">
        <v>76055.878221258652</v>
      </c>
      <c r="N506" s="22">
        <v>85231.481416204697</v>
      </c>
      <c r="O506" s="22">
        <v>88403.930991225337</v>
      </c>
      <c r="P506" s="22">
        <v>87567.301997990886</v>
      </c>
      <c r="Q506" s="22">
        <v>82806.645738598774</v>
      </c>
      <c r="R506" s="22">
        <v>73946.558723369366</v>
      </c>
      <c r="S506" s="22">
        <v>58399.575243468069</v>
      </c>
      <c r="T506" s="22">
        <v>33504.087930956397</v>
      </c>
      <c r="U506" s="22">
        <v>77667.264707906055</v>
      </c>
      <c r="V506" s="22">
        <v>77667.264707906055</v>
      </c>
      <c r="W506" s="22">
        <v>77667.264707906055</v>
      </c>
      <c r="X506" s="22">
        <v>77667.264707906055</v>
      </c>
      <c r="Y506" s="22">
        <v>77667.264707906055</v>
      </c>
      <c r="Z506" s="22">
        <v>77667.264707906055</v>
      </c>
      <c r="AA506" s="23">
        <v>77667.264707906055</v>
      </c>
      <c r="AB506" s="97"/>
      <c r="AC506" s="27">
        <v>6</v>
      </c>
      <c r="AD506" s="42">
        <f t="shared" si="157"/>
        <v>8155062.7943301369</v>
      </c>
    </row>
    <row r="507" spans="1:30" ht="13.5" thickBot="1" x14ac:dyDescent="0.35">
      <c r="A507" s="18">
        <v>2039</v>
      </c>
      <c r="B507" s="11" t="s">
        <v>46</v>
      </c>
      <c r="C507" s="12" t="s">
        <v>33</v>
      </c>
      <c r="D507" s="21">
        <v>19416.816176976521</v>
      </c>
      <c r="E507" s="22">
        <v>19416.816176976521</v>
      </c>
      <c r="F507" s="22">
        <v>19416.816176976521</v>
      </c>
      <c r="G507" s="22">
        <v>19416.816176976521</v>
      </c>
      <c r="H507" s="22">
        <v>19416.816176976521</v>
      </c>
      <c r="I507" s="22">
        <v>19416.816176976521</v>
      </c>
      <c r="J507" s="22">
        <v>19416.816176976521</v>
      </c>
      <c r="K507" s="22">
        <v>34218.00654693324</v>
      </c>
      <c r="L507" s="22">
        <v>59455.099384172601</v>
      </c>
      <c r="M507" s="22">
        <v>76055.878221258681</v>
      </c>
      <c r="N507" s="22">
        <v>85231.481416204697</v>
      </c>
      <c r="O507" s="22">
        <v>88403.930991225352</v>
      </c>
      <c r="P507" s="22">
        <v>87567.301997990871</v>
      </c>
      <c r="Q507" s="22">
        <v>82806.645738598818</v>
      </c>
      <c r="R507" s="22">
        <v>73946.558723369366</v>
      </c>
      <c r="S507" s="22">
        <v>58399.575243468076</v>
      </c>
      <c r="T507" s="22">
        <v>33504.087930956397</v>
      </c>
      <c r="U507" s="22">
        <v>77667.264707906084</v>
      </c>
      <c r="V507" s="22">
        <v>77667.264707906084</v>
      </c>
      <c r="W507" s="22">
        <v>77667.264707906084</v>
      </c>
      <c r="X507" s="22">
        <v>77667.264707906084</v>
      </c>
      <c r="Y507" s="22">
        <v>77667.264707906084</v>
      </c>
      <c r="Z507" s="22">
        <v>77667.264707906084</v>
      </c>
      <c r="AA507" s="23">
        <v>77667.264707906084</v>
      </c>
      <c r="AB507" s="96">
        <f t="shared" ref="AB507" si="175">+SUM(D507:AA507)*AC507+SUM(D508:AA508)*AC508+SUM(D509:AA509)*AC509</f>
        <v>42134491.104039043</v>
      </c>
      <c r="AC507" s="16">
        <v>21</v>
      </c>
      <c r="AD507" s="16">
        <f t="shared" si="157"/>
        <v>28542719.780155484</v>
      </c>
    </row>
    <row r="508" spans="1:30" ht="13.5" thickBot="1" x14ac:dyDescent="0.35">
      <c r="A508" s="18">
        <v>2039</v>
      </c>
      <c r="B508" s="19" t="s">
        <v>46</v>
      </c>
      <c r="C508" s="20" t="s">
        <v>50</v>
      </c>
      <c r="D508" s="21">
        <v>19416.816176976514</v>
      </c>
      <c r="E508" s="22">
        <v>19416.816176976514</v>
      </c>
      <c r="F508" s="22">
        <v>19416.816176976514</v>
      </c>
      <c r="G508" s="22">
        <v>19416.816176976514</v>
      </c>
      <c r="H508" s="22">
        <v>19416.816176976514</v>
      </c>
      <c r="I508" s="22">
        <v>19416.816176976514</v>
      </c>
      <c r="J508" s="22">
        <v>19416.816176976514</v>
      </c>
      <c r="K508" s="22">
        <v>34218.006546933248</v>
      </c>
      <c r="L508" s="22">
        <v>59455.099384172601</v>
      </c>
      <c r="M508" s="22">
        <v>76055.878221258652</v>
      </c>
      <c r="N508" s="22">
        <v>85231.481416204697</v>
      </c>
      <c r="O508" s="22">
        <v>88403.930991225337</v>
      </c>
      <c r="P508" s="22">
        <v>87567.301997990886</v>
      </c>
      <c r="Q508" s="22">
        <v>82806.645738598774</v>
      </c>
      <c r="R508" s="22">
        <v>73946.558723369366</v>
      </c>
      <c r="S508" s="22">
        <v>58399.575243468069</v>
      </c>
      <c r="T508" s="22">
        <v>33504.087930956397</v>
      </c>
      <c r="U508" s="22">
        <v>77667.264707906055</v>
      </c>
      <c r="V508" s="22">
        <v>77667.264707906055</v>
      </c>
      <c r="W508" s="22">
        <v>77667.264707906055</v>
      </c>
      <c r="X508" s="22">
        <v>77667.264707906055</v>
      </c>
      <c r="Y508" s="22">
        <v>77667.264707906055</v>
      </c>
      <c r="Z508" s="22">
        <v>77667.264707906055</v>
      </c>
      <c r="AA508" s="23">
        <v>77667.264707906055</v>
      </c>
      <c r="AB508" s="97"/>
      <c r="AC508" s="24">
        <v>5</v>
      </c>
      <c r="AD508" s="16">
        <f t="shared" si="157"/>
        <v>6795885.6619417807</v>
      </c>
    </row>
    <row r="509" spans="1:30" ht="13.5" thickBot="1" x14ac:dyDescent="0.35">
      <c r="A509" s="28">
        <v>2039</v>
      </c>
      <c r="B509" s="25" t="s">
        <v>46</v>
      </c>
      <c r="C509" s="26" t="s">
        <v>36</v>
      </c>
      <c r="D509" s="29">
        <v>19416.816176976514</v>
      </c>
      <c r="E509" s="30">
        <v>19416.816176976514</v>
      </c>
      <c r="F509" s="30">
        <v>19416.816176976514</v>
      </c>
      <c r="G509" s="30">
        <v>19416.816176976514</v>
      </c>
      <c r="H509" s="30">
        <v>19416.816176976514</v>
      </c>
      <c r="I509" s="30">
        <v>19416.816176976514</v>
      </c>
      <c r="J509" s="30">
        <v>19416.816176976514</v>
      </c>
      <c r="K509" s="30">
        <v>34218.006546933248</v>
      </c>
      <c r="L509" s="30">
        <v>59455.099384172601</v>
      </c>
      <c r="M509" s="30">
        <v>76055.878221258652</v>
      </c>
      <c r="N509" s="30">
        <v>85231.481416204697</v>
      </c>
      <c r="O509" s="30">
        <v>88403.930991225337</v>
      </c>
      <c r="P509" s="30">
        <v>87567.301997990886</v>
      </c>
      <c r="Q509" s="30">
        <v>82806.645738598774</v>
      </c>
      <c r="R509" s="30">
        <v>73946.558723369366</v>
      </c>
      <c r="S509" s="30">
        <v>58399.575243468069</v>
      </c>
      <c r="T509" s="30">
        <v>33504.087930956397</v>
      </c>
      <c r="U509" s="30">
        <v>77667.264707906055</v>
      </c>
      <c r="V509" s="30">
        <v>77667.264707906055</v>
      </c>
      <c r="W509" s="30">
        <v>77667.264707906055</v>
      </c>
      <c r="X509" s="30">
        <v>77667.264707906055</v>
      </c>
      <c r="Y509" s="30">
        <v>77667.264707906055</v>
      </c>
      <c r="Z509" s="30">
        <v>77667.264707906055</v>
      </c>
      <c r="AA509" s="31">
        <v>77667.264707906055</v>
      </c>
      <c r="AB509" s="97"/>
      <c r="AC509" s="27">
        <v>5</v>
      </c>
      <c r="AD509" s="42">
        <f t="shared" si="157"/>
        <v>6795885.6619417807</v>
      </c>
    </row>
    <row r="510" spans="1:30" ht="13.5" thickBot="1" x14ac:dyDescent="0.35">
      <c r="A510" s="10">
        <v>2040</v>
      </c>
      <c r="B510" s="11" t="s">
        <v>32</v>
      </c>
      <c r="C510" s="12" t="s">
        <v>33</v>
      </c>
      <c r="D510" s="13">
        <v>19456.285332674226</v>
      </c>
      <c r="E510" s="14">
        <v>19456.285332674226</v>
      </c>
      <c r="F510" s="14">
        <v>19456.285332674226</v>
      </c>
      <c r="G510" s="14">
        <v>19456.285332674226</v>
      </c>
      <c r="H510" s="14">
        <v>19456.285332674226</v>
      </c>
      <c r="I510" s="14">
        <v>19456.285332674226</v>
      </c>
      <c r="J510" s="14">
        <v>19456.285332674226</v>
      </c>
      <c r="K510" s="14">
        <v>34287.562534678953</v>
      </c>
      <c r="L510" s="14">
        <v>59575.955581874034</v>
      </c>
      <c r="M510" s="14">
        <v>76210.47932948776</v>
      </c>
      <c r="N510" s="14">
        <v>85404.734053490916</v>
      </c>
      <c r="O510" s="14">
        <v>88583.632363725279</v>
      </c>
      <c r="P510" s="14">
        <v>87745.302729165633</v>
      </c>
      <c r="Q510" s="14">
        <v>82974.969338290553</v>
      </c>
      <c r="R510" s="14">
        <v>74096.872153385979</v>
      </c>
      <c r="S510" s="14">
        <v>58518.285844987702</v>
      </c>
      <c r="T510" s="14">
        <v>33572.19271451122</v>
      </c>
      <c r="U510" s="14">
        <v>77825.141330696904</v>
      </c>
      <c r="V510" s="14">
        <v>77825.141330696904</v>
      </c>
      <c r="W510" s="14">
        <v>77825.141330696904</v>
      </c>
      <c r="X510" s="14">
        <v>77825.141330696904</v>
      </c>
      <c r="Y510" s="14">
        <v>77825.141330696904</v>
      </c>
      <c r="Z510" s="14">
        <v>77825.141330696904</v>
      </c>
      <c r="AA510" s="15">
        <v>77825.141330696904</v>
      </c>
      <c r="AB510" s="96">
        <f t="shared" ref="AB510" si="176">+SUM(D510:AA510)*AC510+SUM(D511:AA511)*AC511+SUM(D512:AA512)*AC512</f>
        <v>42220139.171903059</v>
      </c>
      <c r="AC510" s="16">
        <v>21</v>
      </c>
      <c r="AD510" s="16">
        <f t="shared" si="157"/>
        <v>28600739.439031109</v>
      </c>
    </row>
    <row r="511" spans="1:30" ht="13.5" thickBot="1" x14ac:dyDescent="0.35">
      <c r="A511" s="18">
        <v>2040</v>
      </c>
      <c r="B511" s="19" t="s">
        <v>32</v>
      </c>
      <c r="C511" s="20" t="s">
        <v>50</v>
      </c>
      <c r="D511" s="21">
        <v>19456.28533267423</v>
      </c>
      <c r="E511" s="22">
        <v>19456.28533267423</v>
      </c>
      <c r="F511" s="22">
        <v>19456.28533267423</v>
      </c>
      <c r="G511" s="22">
        <v>19456.28533267423</v>
      </c>
      <c r="H511" s="22">
        <v>19456.28533267423</v>
      </c>
      <c r="I511" s="22">
        <v>19456.28533267423</v>
      </c>
      <c r="J511" s="22">
        <v>19456.28533267423</v>
      </c>
      <c r="K511" s="22">
        <v>34287.562534678946</v>
      </c>
      <c r="L511" s="22">
        <v>59575.955581874034</v>
      </c>
      <c r="M511" s="22">
        <v>76210.479329487745</v>
      </c>
      <c r="N511" s="22">
        <v>85404.734053490916</v>
      </c>
      <c r="O511" s="22">
        <v>88583.632363725323</v>
      </c>
      <c r="P511" s="22">
        <v>87745.302729165633</v>
      </c>
      <c r="Q511" s="22">
        <v>82974.969338290539</v>
      </c>
      <c r="R511" s="22">
        <v>74096.87215338595</v>
      </c>
      <c r="S511" s="22">
        <v>58518.285844987688</v>
      </c>
      <c r="T511" s="22">
        <v>33572.19271451122</v>
      </c>
      <c r="U511" s="22">
        <v>77825.141330696919</v>
      </c>
      <c r="V511" s="22">
        <v>77825.141330696919</v>
      </c>
      <c r="W511" s="22">
        <v>77825.141330696919</v>
      </c>
      <c r="X511" s="22">
        <v>77825.141330696919</v>
      </c>
      <c r="Y511" s="22">
        <v>77825.141330696919</v>
      </c>
      <c r="Z511" s="22">
        <v>77825.141330696919</v>
      </c>
      <c r="AA511" s="23">
        <v>77825.141330696919</v>
      </c>
      <c r="AB511" s="97"/>
      <c r="AC511" s="24">
        <v>4</v>
      </c>
      <c r="AD511" s="16">
        <f t="shared" si="157"/>
        <v>5447759.8931487827</v>
      </c>
    </row>
    <row r="512" spans="1:30" ht="13.5" thickBot="1" x14ac:dyDescent="0.35">
      <c r="A512" s="18">
        <v>2040</v>
      </c>
      <c r="B512" s="25" t="s">
        <v>32</v>
      </c>
      <c r="C512" s="26" t="s">
        <v>36</v>
      </c>
      <c r="D512" s="21">
        <v>19456.28533267423</v>
      </c>
      <c r="E512" s="22">
        <v>19456.28533267423</v>
      </c>
      <c r="F512" s="22">
        <v>19456.28533267423</v>
      </c>
      <c r="G512" s="22">
        <v>19456.28533267423</v>
      </c>
      <c r="H512" s="22">
        <v>19456.28533267423</v>
      </c>
      <c r="I512" s="22">
        <v>19456.28533267423</v>
      </c>
      <c r="J512" s="22">
        <v>19456.28533267423</v>
      </c>
      <c r="K512" s="22">
        <v>34287.562534678953</v>
      </c>
      <c r="L512" s="22">
        <v>59575.955581874026</v>
      </c>
      <c r="M512" s="22">
        <v>76210.47932948776</v>
      </c>
      <c r="N512" s="22">
        <v>85404.734053490916</v>
      </c>
      <c r="O512" s="22">
        <v>88583.632363725323</v>
      </c>
      <c r="P512" s="22">
        <v>87745.302729165633</v>
      </c>
      <c r="Q512" s="22">
        <v>82974.969338290524</v>
      </c>
      <c r="R512" s="22">
        <v>74096.87215338595</v>
      </c>
      <c r="S512" s="22">
        <v>58518.285844987688</v>
      </c>
      <c r="T512" s="22">
        <v>33572.19271451122</v>
      </c>
      <c r="U512" s="22">
        <v>77825.141330696919</v>
      </c>
      <c r="V512" s="22">
        <v>77825.141330696919</v>
      </c>
      <c r="W512" s="22">
        <v>77825.141330696919</v>
      </c>
      <c r="X512" s="22">
        <v>77825.141330696919</v>
      </c>
      <c r="Y512" s="22">
        <v>77825.141330696919</v>
      </c>
      <c r="Z512" s="22">
        <v>77825.141330696919</v>
      </c>
      <c r="AA512" s="23">
        <v>77825.141330696919</v>
      </c>
      <c r="AB512" s="97"/>
      <c r="AC512" s="27">
        <v>6</v>
      </c>
      <c r="AD512" s="42">
        <f t="shared" si="157"/>
        <v>8171639.8397231735</v>
      </c>
    </row>
    <row r="513" spans="1:30" ht="13.5" thickBot="1" x14ac:dyDescent="0.35">
      <c r="A513" s="18">
        <v>2040</v>
      </c>
      <c r="B513" s="11" t="s">
        <v>35</v>
      </c>
      <c r="C513" s="12" t="s">
        <v>33</v>
      </c>
      <c r="D513" s="21">
        <v>19456.285332674226</v>
      </c>
      <c r="E513" s="22">
        <v>19456.285332674226</v>
      </c>
      <c r="F513" s="22">
        <v>19456.285332674226</v>
      </c>
      <c r="G513" s="22">
        <v>19456.285332674226</v>
      </c>
      <c r="H513" s="22">
        <v>19456.285332674226</v>
      </c>
      <c r="I513" s="22">
        <v>19456.285332674226</v>
      </c>
      <c r="J513" s="22">
        <v>19456.285332674226</v>
      </c>
      <c r="K513" s="22">
        <v>34287.562534678953</v>
      </c>
      <c r="L513" s="22">
        <v>59575.955581874034</v>
      </c>
      <c r="M513" s="22">
        <v>76210.47932948776</v>
      </c>
      <c r="N513" s="22">
        <v>85404.734053490916</v>
      </c>
      <c r="O513" s="22">
        <v>88583.632363725279</v>
      </c>
      <c r="P513" s="22">
        <v>87745.302729165633</v>
      </c>
      <c r="Q513" s="22">
        <v>82974.969338290553</v>
      </c>
      <c r="R513" s="22">
        <v>74096.872153385979</v>
      </c>
      <c r="S513" s="22">
        <v>58518.285844987702</v>
      </c>
      <c r="T513" s="22">
        <v>33572.19271451122</v>
      </c>
      <c r="U513" s="22">
        <v>77825.141330696904</v>
      </c>
      <c r="V513" s="22">
        <v>77825.141330696904</v>
      </c>
      <c r="W513" s="22">
        <v>77825.141330696904</v>
      </c>
      <c r="X513" s="22">
        <v>77825.141330696904</v>
      </c>
      <c r="Y513" s="22">
        <v>77825.141330696904</v>
      </c>
      <c r="Z513" s="22">
        <v>77825.141330696904</v>
      </c>
      <c r="AA513" s="23">
        <v>77825.141330696904</v>
      </c>
      <c r="AB513" s="96">
        <f t="shared" ref="AB513" si="177">+SUM(D513:AA513)*AC513+SUM(D514:AA514)*AC514+SUM(D515:AA515)*AC515</f>
        <v>39496259.225328669</v>
      </c>
      <c r="AC513" s="16">
        <v>21</v>
      </c>
      <c r="AD513" s="16">
        <f t="shared" si="157"/>
        <v>28600739.439031109</v>
      </c>
    </row>
    <row r="514" spans="1:30" ht="13.5" thickBot="1" x14ac:dyDescent="0.35">
      <c r="A514" s="18">
        <v>2040</v>
      </c>
      <c r="B514" s="19" t="s">
        <v>35</v>
      </c>
      <c r="C514" s="20" t="s">
        <v>50</v>
      </c>
      <c r="D514" s="21">
        <v>19456.28533267423</v>
      </c>
      <c r="E514" s="22">
        <v>19456.28533267423</v>
      </c>
      <c r="F514" s="22">
        <v>19456.28533267423</v>
      </c>
      <c r="G514" s="22">
        <v>19456.28533267423</v>
      </c>
      <c r="H514" s="22">
        <v>19456.28533267423</v>
      </c>
      <c r="I514" s="22">
        <v>19456.28533267423</v>
      </c>
      <c r="J514" s="22">
        <v>19456.28533267423</v>
      </c>
      <c r="K514" s="22">
        <v>34287.562534678946</v>
      </c>
      <c r="L514" s="22">
        <v>59575.955581874034</v>
      </c>
      <c r="M514" s="22">
        <v>76210.479329487745</v>
      </c>
      <c r="N514" s="22">
        <v>85404.734053490916</v>
      </c>
      <c r="O514" s="22">
        <v>88583.632363725323</v>
      </c>
      <c r="P514" s="22">
        <v>87745.302729165633</v>
      </c>
      <c r="Q514" s="22">
        <v>82974.969338290539</v>
      </c>
      <c r="R514" s="22">
        <v>74096.87215338595</v>
      </c>
      <c r="S514" s="22">
        <v>58518.285844987688</v>
      </c>
      <c r="T514" s="22">
        <v>33572.19271451122</v>
      </c>
      <c r="U514" s="22">
        <v>77825.141330696919</v>
      </c>
      <c r="V514" s="22">
        <v>77825.141330696919</v>
      </c>
      <c r="W514" s="22">
        <v>77825.141330696919</v>
      </c>
      <c r="X514" s="22">
        <v>77825.141330696919</v>
      </c>
      <c r="Y514" s="22">
        <v>77825.141330696919</v>
      </c>
      <c r="Z514" s="22">
        <v>77825.141330696919</v>
      </c>
      <c r="AA514" s="23">
        <v>77825.141330696919</v>
      </c>
      <c r="AB514" s="97"/>
      <c r="AC514" s="24">
        <v>4</v>
      </c>
      <c r="AD514" s="16">
        <f t="shared" si="157"/>
        <v>5447759.8931487827</v>
      </c>
    </row>
    <row r="515" spans="1:30" ht="13.5" thickBot="1" x14ac:dyDescent="0.35">
      <c r="A515" s="18">
        <v>2040</v>
      </c>
      <c r="B515" s="25" t="s">
        <v>35</v>
      </c>
      <c r="C515" s="26" t="s">
        <v>36</v>
      </c>
      <c r="D515" s="21">
        <v>19456.28533267423</v>
      </c>
      <c r="E515" s="22">
        <v>19456.28533267423</v>
      </c>
      <c r="F515" s="22">
        <v>19456.28533267423</v>
      </c>
      <c r="G515" s="22">
        <v>19456.28533267423</v>
      </c>
      <c r="H515" s="22">
        <v>19456.28533267423</v>
      </c>
      <c r="I515" s="22">
        <v>19456.28533267423</v>
      </c>
      <c r="J515" s="22">
        <v>19456.28533267423</v>
      </c>
      <c r="K515" s="22">
        <v>34287.562534678946</v>
      </c>
      <c r="L515" s="22">
        <v>59575.955581874034</v>
      </c>
      <c r="M515" s="22">
        <v>76210.479329487745</v>
      </c>
      <c r="N515" s="22">
        <v>85404.734053490916</v>
      </c>
      <c r="O515" s="22">
        <v>88583.632363725323</v>
      </c>
      <c r="P515" s="22">
        <v>87745.302729165633</v>
      </c>
      <c r="Q515" s="22">
        <v>82974.969338290539</v>
      </c>
      <c r="R515" s="22">
        <v>74096.87215338595</v>
      </c>
      <c r="S515" s="22">
        <v>58518.285844987688</v>
      </c>
      <c r="T515" s="22">
        <v>33572.19271451122</v>
      </c>
      <c r="U515" s="22">
        <v>77825.141330696919</v>
      </c>
      <c r="V515" s="22">
        <v>77825.141330696919</v>
      </c>
      <c r="W515" s="22">
        <v>77825.141330696919</v>
      </c>
      <c r="X515" s="22">
        <v>77825.141330696919</v>
      </c>
      <c r="Y515" s="22">
        <v>77825.141330696919</v>
      </c>
      <c r="Z515" s="22">
        <v>77825.141330696919</v>
      </c>
      <c r="AA515" s="23">
        <v>77825.141330696919</v>
      </c>
      <c r="AB515" s="97"/>
      <c r="AC515" s="27">
        <v>4</v>
      </c>
      <c r="AD515" s="42">
        <f t="shared" si="157"/>
        <v>5447759.8931487827</v>
      </c>
    </row>
    <row r="516" spans="1:30" ht="13.5" thickBot="1" x14ac:dyDescent="0.35">
      <c r="A516" s="18">
        <v>2040</v>
      </c>
      <c r="B516" s="11" t="s">
        <v>37</v>
      </c>
      <c r="C516" s="12" t="s">
        <v>33</v>
      </c>
      <c r="D516" s="21">
        <v>19456.285332674226</v>
      </c>
      <c r="E516" s="22">
        <v>19456.285332674226</v>
      </c>
      <c r="F516" s="22">
        <v>19456.285332674226</v>
      </c>
      <c r="G516" s="22">
        <v>19456.285332674226</v>
      </c>
      <c r="H516" s="22">
        <v>19456.285332674226</v>
      </c>
      <c r="I516" s="22">
        <v>19456.285332674226</v>
      </c>
      <c r="J516" s="22">
        <v>19456.285332674226</v>
      </c>
      <c r="K516" s="22">
        <v>34287.562534678953</v>
      </c>
      <c r="L516" s="22">
        <v>59575.955581874026</v>
      </c>
      <c r="M516" s="22">
        <v>76210.47932948776</v>
      </c>
      <c r="N516" s="22">
        <v>85404.734053490916</v>
      </c>
      <c r="O516" s="22">
        <v>88583.632363725279</v>
      </c>
      <c r="P516" s="22">
        <v>87745.302729165633</v>
      </c>
      <c r="Q516" s="22">
        <v>82974.969338290553</v>
      </c>
      <c r="R516" s="22">
        <v>74096.872153385979</v>
      </c>
      <c r="S516" s="22">
        <v>58518.285844987702</v>
      </c>
      <c r="T516" s="22">
        <v>33572.19271451122</v>
      </c>
      <c r="U516" s="22">
        <v>77825.141330696904</v>
      </c>
      <c r="V516" s="22">
        <v>77825.141330696904</v>
      </c>
      <c r="W516" s="22">
        <v>77825.141330696904</v>
      </c>
      <c r="X516" s="22">
        <v>77825.141330696904</v>
      </c>
      <c r="Y516" s="22">
        <v>77825.141330696904</v>
      </c>
      <c r="Z516" s="22">
        <v>77825.141330696904</v>
      </c>
      <c r="AA516" s="23">
        <v>77825.141330696904</v>
      </c>
      <c r="AB516" s="96">
        <f t="shared" ref="AB516" si="178">+SUM(D516:AA516)*AC516+SUM(D517:AA517)*AC517+SUM(D518:AA518)*AC518</f>
        <v>42220139.171903066</v>
      </c>
      <c r="AC516" s="16">
        <v>19</v>
      </c>
      <c r="AD516" s="16">
        <f t="shared" si="157"/>
        <v>25876859.492456719</v>
      </c>
    </row>
    <row r="517" spans="1:30" ht="13.5" thickBot="1" x14ac:dyDescent="0.35">
      <c r="A517" s="18">
        <v>2040</v>
      </c>
      <c r="B517" s="19" t="s">
        <v>37</v>
      </c>
      <c r="C517" s="20" t="s">
        <v>50</v>
      </c>
      <c r="D517" s="21">
        <v>19456.28533267423</v>
      </c>
      <c r="E517" s="22">
        <v>19456.28533267423</v>
      </c>
      <c r="F517" s="22">
        <v>19456.28533267423</v>
      </c>
      <c r="G517" s="22">
        <v>19456.28533267423</v>
      </c>
      <c r="H517" s="22">
        <v>19456.28533267423</v>
      </c>
      <c r="I517" s="22">
        <v>19456.28533267423</v>
      </c>
      <c r="J517" s="22">
        <v>19456.28533267423</v>
      </c>
      <c r="K517" s="22">
        <v>34287.562534678946</v>
      </c>
      <c r="L517" s="22">
        <v>59575.955581874026</v>
      </c>
      <c r="M517" s="22">
        <v>76210.479329487745</v>
      </c>
      <c r="N517" s="22">
        <v>85404.734053490916</v>
      </c>
      <c r="O517" s="22">
        <v>88583.632363725323</v>
      </c>
      <c r="P517" s="22">
        <v>87745.302729165633</v>
      </c>
      <c r="Q517" s="22">
        <v>82974.969338290539</v>
      </c>
      <c r="R517" s="22">
        <v>74096.87215338595</v>
      </c>
      <c r="S517" s="22">
        <v>58518.285844987688</v>
      </c>
      <c r="T517" s="22">
        <v>33572.19271451122</v>
      </c>
      <c r="U517" s="22">
        <v>77825.141330696919</v>
      </c>
      <c r="V517" s="22">
        <v>77825.141330696919</v>
      </c>
      <c r="W517" s="22">
        <v>77825.141330696919</v>
      </c>
      <c r="X517" s="22">
        <v>77825.141330696919</v>
      </c>
      <c r="Y517" s="22">
        <v>77825.141330696919</v>
      </c>
      <c r="Z517" s="22">
        <v>77825.141330696919</v>
      </c>
      <c r="AA517" s="23">
        <v>77825.141330696919</v>
      </c>
      <c r="AB517" s="97"/>
      <c r="AC517" s="24">
        <v>5</v>
      </c>
      <c r="AD517" s="16">
        <f t="shared" si="157"/>
        <v>6809699.8664359786</v>
      </c>
    </row>
    <row r="518" spans="1:30" ht="13.5" thickBot="1" x14ac:dyDescent="0.35">
      <c r="A518" s="18">
        <v>2040</v>
      </c>
      <c r="B518" s="25" t="s">
        <v>37</v>
      </c>
      <c r="C518" s="26" t="s">
        <v>36</v>
      </c>
      <c r="D518" s="21">
        <v>19456.28533267423</v>
      </c>
      <c r="E518" s="22">
        <v>19456.28533267423</v>
      </c>
      <c r="F518" s="22">
        <v>19456.28533267423</v>
      </c>
      <c r="G518" s="22">
        <v>19456.28533267423</v>
      </c>
      <c r="H518" s="22">
        <v>19456.28533267423</v>
      </c>
      <c r="I518" s="22">
        <v>19456.28533267423</v>
      </c>
      <c r="J518" s="22">
        <v>19456.28533267423</v>
      </c>
      <c r="K518" s="22">
        <v>34287.562534678953</v>
      </c>
      <c r="L518" s="22">
        <v>59575.955581874019</v>
      </c>
      <c r="M518" s="22">
        <v>76210.47932948776</v>
      </c>
      <c r="N518" s="22">
        <v>85404.734053490916</v>
      </c>
      <c r="O518" s="22">
        <v>88583.632363725323</v>
      </c>
      <c r="P518" s="22">
        <v>87745.302729165633</v>
      </c>
      <c r="Q518" s="22">
        <v>82974.969338290524</v>
      </c>
      <c r="R518" s="22">
        <v>74096.87215338595</v>
      </c>
      <c r="S518" s="22">
        <v>58518.28584498768</v>
      </c>
      <c r="T518" s="22">
        <v>33572.19271451122</v>
      </c>
      <c r="U518" s="22">
        <v>77825.141330696919</v>
      </c>
      <c r="V518" s="22">
        <v>77825.141330696919</v>
      </c>
      <c r="W518" s="22">
        <v>77825.141330696919</v>
      </c>
      <c r="X518" s="22">
        <v>77825.141330696919</v>
      </c>
      <c r="Y518" s="22">
        <v>77825.141330696919</v>
      </c>
      <c r="Z518" s="22">
        <v>77825.141330696919</v>
      </c>
      <c r="AA518" s="23">
        <v>77825.141330696919</v>
      </c>
      <c r="AB518" s="97"/>
      <c r="AC518" s="27">
        <v>7</v>
      </c>
      <c r="AD518" s="42">
        <f t="shared" ref="AD518:AD545" si="179">+SUM(D518:AA518)*AC518</f>
        <v>9533579.8130103704</v>
      </c>
    </row>
    <row r="519" spans="1:30" ht="13.5" thickBot="1" x14ac:dyDescent="0.35">
      <c r="A519" s="18">
        <v>2040</v>
      </c>
      <c r="B519" s="11" t="s">
        <v>38</v>
      </c>
      <c r="C519" s="12" t="s">
        <v>33</v>
      </c>
      <c r="D519" s="21">
        <v>19456.285332674226</v>
      </c>
      <c r="E519" s="22">
        <v>19456.285332674226</v>
      </c>
      <c r="F519" s="22">
        <v>19456.285332674226</v>
      </c>
      <c r="G519" s="22">
        <v>19456.285332674226</v>
      </c>
      <c r="H519" s="22">
        <v>19456.285332674226</v>
      </c>
      <c r="I519" s="22">
        <v>19456.285332674226</v>
      </c>
      <c r="J519" s="22">
        <v>19456.285332674226</v>
      </c>
      <c r="K519" s="22">
        <v>34287.562534678953</v>
      </c>
      <c r="L519" s="22">
        <v>59575.955581874034</v>
      </c>
      <c r="M519" s="22">
        <v>76210.47932948776</v>
      </c>
      <c r="N519" s="22">
        <v>85404.734053490916</v>
      </c>
      <c r="O519" s="22">
        <v>88583.632363725279</v>
      </c>
      <c r="P519" s="22">
        <v>87745.302729165633</v>
      </c>
      <c r="Q519" s="22">
        <v>82974.969338290553</v>
      </c>
      <c r="R519" s="22">
        <v>74096.872153385979</v>
      </c>
      <c r="S519" s="22">
        <v>58518.285844987702</v>
      </c>
      <c r="T519" s="22">
        <v>33572.19271451122</v>
      </c>
      <c r="U519" s="22">
        <v>77825.141330696904</v>
      </c>
      <c r="V519" s="22">
        <v>77825.141330696904</v>
      </c>
      <c r="W519" s="22">
        <v>77825.141330696904</v>
      </c>
      <c r="X519" s="22">
        <v>77825.141330696904</v>
      </c>
      <c r="Y519" s="22">
        <v>77825.141330696904</v>
      </c>
      <c r="Z519" s="22">
        <v>77825.141330696904</v>
      </c>
      <c r="AA519" s="23">
        <v>77825.141330696904</v>
      </c>
      <c r="AB519" s="96">
        <f t="shared" ref="AB519" si="180">+SUM(D519:AA519)*AC519+SUM(D520:AA520)*AC520+SUM(D521:AA521)*AC521</f>
        <v>40858199.198615864</v>
      </c>
      <c r="AC519" s="16">
        <v>21</v>
      </c>
      <c r="AD519" s="16">
        <f t="shared" si="179"/>
        <v>28600739.439031109</v>
      </c>
    </row>
    <row r="520" spans="1:30" ht="13.5" thickBot="1" x14ac:dyDescent="0.35">
      <c r="A520" s="18">
        <v>2040</v>
      </c>
      <c r="B520" s="19" t="s">
        <v>38</v>
      </c>
      <c r="C520" s="20" t="s">
        <v>50</v>
      </c>
      <c r="D520" s="21">
        <v>19456.28533267423</v>
      </c>
      <c r="E520" s="22">
        <v>19456.28533267423</v>
      </c>
      <c r="F520" s="22">
        <v>19456.28533267423</v>
      </c>
      <c r="G520" s="22">
        <v>19456.28533267423</v>
      </c>
      <c r="H520" s="22">
        <v>19456.28533267423</v>
      </c>
      <c r="I520" s="22">
        <v>19456.28533267423</v>
      </c>
      <c r="J520" s="22">
        <v>19456.28533267423</v>
      </c>
      <c r="K520" s="22">
        <v>34287.562534678946</v>
      </c>
      <c r="L520" s="22">
        <v>59575.955581874034</v>
      </c>
      <c r="M520" s="22">
        <v>76210.479329487745</v>
      </c>
      <c r="N520" s="22">
        <v>85404.734053490916</v>
      </c>
      <c r="O520" s="22">
        <v>88583.632363725323</v>
      </c>
      <c r="P520" s="22">
        <v>87745.302729165633</v>
      </c>
      <c r="Q520" s="22">
        <v>82974.969338290539</v>
      </c>
      <c r="R520" s="22">
        <v>74096.87215338595</v>
      </c>
      <c r="S520" s="22">
        <v>58518.285844987688</v>
      </c>
      <c r="T520" s="22">
        <v>33572.19271451122</v>
      </c>
      <c r="U520" s="22">
        <v>77825.141330696919</v>
      </c>
      <c r="V520" s="22">
        <v>77825.141330696919</v>
      </c>
      <c r="W520" s="22">
        <v>77825.141330696919</v>
      </c>
      <c r="X520" s="22">
        <v>77825.141330696919</v>
      </c>
      <c r="Y520" s="22">
        <v>77825.141330696919</v>
      </c>
      <c r="Z520" s="22">
        <v>77825.141330696919</v>
      </c>
      <c r="AA520" s="23">
        <v>77825.141330696919</v>
      </c>
      <c r="AB520" s="97"/>
      <c r="AC520" s="24">
        <v>4</v>
      </c>
      <c r="AD520" s="16">
        <f t="shared" si="179"/>
        <v>5447759.8931487827</v>
      </c>
    </row>
    <row r="521" spans="1:30" ht="13.5" thickBot="1" x14ac:dyDescent="0.35">
      <c r="A521" s="18">
        <v>2040</v>
      </c>
      <c r="B521" s="25" t="s">
        <v>38</v>
      </c>
      <c r="C521" s="26" t="s">
        <v>36</v>
      </c>
      <c r="D521" s="21">
        <v>19456.28533267423</v>
      </c>
      <c r="E521" s="22">
        <v>19456.28533267423</v>
      </c>
      <c r="F521" s="22">
        <v>19456.28533267423</v>
      </c>
      <c r="G521" s="22">
        <v>19456.28533267423</v>
      </c>
      <c r="H521" s="22">
        <v>19456.28533267423</v>
      </c>
      <c r="I521" s="22">
        <v>19456.28533267423</v>
      </c>
      <c r="J521" s="22">
        <v>19456.28533267423</v>
      </c>
      <c r="K521" s="22">
        <v>34287.562534678946</v>
      </c>
      <c r="L521" s="22">
        <v>59575.955581874026</v>
      </c>
      <c r="M521" s="22">
        <v>76210.479329487745</v>
      </c>
      <c r="N521" s="22">
        <v>85404.734053490916</v>
      </c>
      <c r="O521" s="22">
        <v>88583.632363725323</v>
      </c>
      <c r="P521" s="22">
        <v>87745.302729165633</v>
      </c>
      <c r="Q521" s="22">
        <v>82974.969338290539</v>
      </c>
      <c r="R521" s="22">
        <v>74096.87215338595</v>
      </c>
      <c r="S521" s="22">
        <v>58518.285844987688</v>
      </c>
      <c r="T521" s="22">
        <v>33572.19271451122</v>
      </c>
      <c r="U521" s="22">
        <v>77825.141330696919</v>
      </c>
      <c r="V521" s="22">
        <v>77825.141330696919</v>
      </c>
      <c r="W521" s="22">
        <v>77825.141330696919</v>
      </c>
      <c r="X521" s="22">
        <v>77825.141330696919</v>
      </c>
      <c r="Y521" s="22">
        <v>77825.141330696919</v>
      </c>
      <c r="Z521" s="22">
        <v>77825.141330696919</v>
      </c>
      <c r="AA521" s="23">
        <v>77825.141330696919</v>
      </c>
      <c r="AB521" s="97"/>
      <c r="AC521" s="27">
        <v>5</v>
      </c>
      <c r="AD521" s="42">
        <f t="shared" si="179"/>
        <v>6809699.8664359786</v>
      </c>
    </row>
    <row r="522" spans="1:30" ht="13.5" thickBot="1" x14ac:dyDescent="0.35">
      <c r="A522" s="18">
        <v>2040</v>
      </c>
      <c r="B522" s="11" t="s">
        <v>39</v>
      </c>
      <c r="C522" s="12" t="s">
        <v>33</v>
      </c>
      <c r="D522" s="21">
        <v>19456.285332674226</v>
      </c>
      <c r="E522" s="22">
        <v>19456.285332674226</v>
      </c>
      <c r="F522" s="22">
        <v>19456.285332674226</v>
      </c>
      <c r="G522" s="22">
        <v>19456.285332674226</v>
      </c>
      <c r="H522" s="22">
        <v>19456.285332674226</v>
      </c>
      <c r="I522" s="22">
        <v>19456.285332674226</v>
      </c>
      <c r="J522" s="22">
        <v>19456.285332674226</v>
      </c>
      <c r="K522" s="22">
        <v>34287.562534678953</v>
      </c>
      <c r="L522" s="22">
        <v>59575.955581874034</v>
      </c>
      <c r="M522" s="22">
        <v>76210.47932948776</v>
      </c>
      <c r="N522" s="22">
        <v>85404.734053490916</v>
      </c>
      <c r="O522" s="22">
        <v>88583.632363725279</v>
      </c>
      <c r="P522" s="22">
        <v>87745.302729165633</v>
      </c>
      <c r="Q522" s="22">
        <v>82974.969338290553</v>
      </c>
      <c r="R522" s="22">
        <v>74096.872153385979</v>
      </c>
      <c r="S522" s="22">
        <v>58518.285844987702</v>
      </c>
      <c r="T522" s="22">
        <v>33572.19271451122</v>
      </c>
      <c r="U522" s="22">
        <v>77825.141330696904</v>
      </c>
      <c r="V522" s="22">
        <v>77825.141330696904</v>
      </c>
      <c r="W522" s="22">
        <v>77825.141330696904</v>
      </c>
      <c r="X522" s="22">
        <v>77825.141330696904</v>
      </c>
      <c r="Y522" s="22">
        <v>77825.141330696904</v>
      </c>
      <c r="Z522" s="22">
        <v>77825.141330696904</v>
      </c>
      <c r="AA522" s="23">
        <v>77825.141330696904</v>
      </c>
      <c r="AB522" s="96">
        <f t="shared" ref="AB522" si="181">+SUM(D522:AA522)*AC522+SUM(D523:AA523)*AC523+SUM(D524:AA524)*AC524</f>
        <v>42220139.171903059</v>
      </c>
      <c r="AC522" s="16">
        <v>21</v>
      </c>
      <c r="AD522" s="16">
        <f t="shared" si="179"/>
        <v>28600739.439031109</v>
      </c>
    </row>
    <row r="523" spans="1:30" ht="13.5" thickBot="1" x14ac:dyDescent="0.35">
      <c r="A523" s="18">
        <v>2040</v>
      </c>
      <c r="B523" s="19" t="s">
        <v>39</v>
      </c>
      <c r="C523" s="20" t="s">
        <v>50</v>
      </c>
      <c r="D523" s="21">
        <v>19456.28533267423</v>
      </c>
      <c r="E523" s="22">
        <v>19456.28533267423</v>
      </c>
      <c r="F523" s="22">
        <v>19456.28533267423</v>
      </c>
      <c r="G523" s="22">
        <v>19456.28533267423</v>
      </c>
      <c r="H523" s="22">
        <v>19456.28533267423</v>
      </c>
      <c r="I523" s="22">
        <v>19456.28533267423</v>
      </c>
      <c r="J523" s="22">
        <v>19456.28533267423</v>
      </c>
      <c r="K523" s="22">
        <v>34287.562534678946</v>
      </c>
      <c r="L523" s="22">
        <v>59575.955581874034</v>
      </c>
      <c r="M523" s="22">
        <v>76210.479329487745</v>
      </c>
      <c r="N523" s="22">
        <v>85404.734053490916</v>
      </c>
      <c r="O523" s="22">
        <v>88583.632363725323</v>
      </c>
      <c r="P523" s="22">
        <v>87745.302729165633</v>
      </c>
      <c r="Q523" s="22">
        <v>82974.969338290539</v>
      </c>
      <c r="R523" s="22">
        <v>74096.87215338595</v>
      </c>
      <c r="S523" s="22">
        <v>58518.285844987688</v>
      </c>
      <c r="T523" s="22">
        <v>33572.19271451122</v>
      </c>
      <c r="U523" s="22">
        <v>77825.141330696919</v>
      </c>
      <c r="V523" s="22">
        <v>77825.141330696919</v>
      </c>
      <c r="W523" s="22">
        <v>77825.141330696919</v>
      </c>
      <c r="X523" s="22">
        <v>77825.141330696919</v>
      </c>
      <c r="Y523" s="22">
        <v>77825.141330696919</v>
      </c>
      <c r="Z523" s="22">
        <v>77825.141330696919</v>
      </c>
      <c r="AA523" s="23">
        <v>77825.141330696919</v>
      </c>
      <c r="AB523" s="97"/>
      <c r="AC523" s="24">
        <v>4</v>
      </c>
      <c r="AD523" s="16">
        <f t="shared" si="179"/>
        <v>5447759.8931487827</v>
      </c>
    </row>
    <row r="524" spans="1:30" ht="13.5" thickBot="1" x14ac:dyDescent="0.35">
      <c r="A524" s="18">
        <v>2040</v>
      </c>
      <c r="B524" s="25" t="s">
        <v>39</v>
      </c>
      <c r="C524" s="26" t="s">
        <v>36</v>
      </c>
      <c r="D524" s="21">
        <v>19456.28533267423</v>
      </c>
      <c r="E524" s="22">
        <v>19456.28533267423</v>
      </c>
      <c r="F524" s="22">
        <v>19456.28533267423</v>
      </c>
      <c r="G524" s="22">
        <v>19456.28533267423</v>
      </c>
      <c r="H524" s="22">
        <v>19456.28533267423</v>
      </c>
      <c r="I524" s="22">
        <v>19456.28533267423</v>
      </c>
      <c r="J524" s="22">
        <v>19456.28533267423</v>
      </c>
      <c r="K524" s="22">
        <v>34287.562534678953</v>
      </c>
      <c r="L524" s="22">
        <v>59575.955581874026</v>
      </c>
      <c r="M524" s="22">
        <v>76210.47932948776</v>
      </c>
      <c r="N524" s="22">
        <v>85404.734053490916</v>
      </c>
      <c r="O524" s="22">
        <v>88583.632363725323</v>
      </c>
      <c r="P524" s="22">
        <v>87745.302729165633</v>
      </c>
      <c r="Q524" s="22">
        <v>82974.969338290524</v>
      </c>
      <c r="R524" s="22">
        <v>74096.87215338595</v>
      </c>
      <c r="S524" s="22">
        <v>58518.285844987688</v>
      </c>
      <c r="T524" s="22">
        <v>33572.19271451122</v>
      </c>
      <c r="U524" s="22">
        <v>77825.141330696919</v>
      </c>
      <c r="V524" s="22">
        <v>77825.141330696919</v>
      </c>
      <c r="W524" s="22">
        <v>77825.141330696919</v>
      </c>
      <c r="X524" s="22">
        <v>77825.141330696919</v>
      </c>
      <c r="Y524" s="22">
        <v>77825.141330696919</v>
      </c>
      <c r="Z524" s="22">
        <v>77825.141330696919</v>
      </c>
      <c r="AA524" s="23">
        <v>77825.141330696919</v>
      </c>
      <c r="AB524" s="97"/>
      <c r="AC524" s="27">
        <v>6</v>
      </c>
      <c r="AD524" s="42">
        <f t="shared" si="179"/>
        <v>8171639.8397231735</v>
      </c>
    </row>
    <row r="525" spans="1:30" ht="13.5" thickBot="1" x14ac:dyDescent="0.35">
      <c r="A525" s="18">
        <v>2040</v>
      </c>
      <c r="B525" s="11" t="s">
        <v>40</v>
      </c>
      <c r="C525" s="12" t="s">
        <v>33</v>
      </c>
      <c r="D525" s="21">
        <v>19456.285332674226</v>
      </c>
      <c r="E525" s="22">
        <v>19456.285332674226</v>
      </c>
      <c r="F525" s="22">
        <v>19456.285332674226</v>
      </c>
      <c r="G525" s="22">
        <v>19456.285332674226</v>
      </c>
      <c r="H525" s="22">
        <v>19456.285332674226</v>
      </c>
      <c r="I525" s="22">
        <v>19456.285332674226</v>
      </c>
      <c r="J525" s="22">
        <v>19456.285332674226</v>
      </c>
      <c r="K525" s="22">
        <v>34287.562534678953</v>
      </c>
      <c r="L525" s="22">
        <v>59575.955581874026</v>
      </c>
      <c r="M525" s="22">
        <v>76210.47932948776</v>
      </c>
      <c r="N525" s="22">
        <v>85404.734053490916</v>
      </c>
      <c r="O525" s="22">
        <v>88583.632363725279</v>
      </c>
      <c r="P525" s="22">
        <v>87745.302729165633</v>
      </c>
      <c r="Q525" s="22">
        <v>82974.969338290553</v>
      </c>
      <c r="R525" s="22">
        <v>74096.872153385979</v>
      </c>
      <c r="S525" s="22">
        <v>58518.285844987702</v>
      </c>
      <c r="T525" s="22">
        <v>33572.19271451122</v>
      </c>
      <c r="U525" s="22">
        <v>77825.141330696904</v>
      </c>
      <c r="V525" s="22">
        <v>77825.141330696904</v>
      </c>
      <c r="W525" s="22">
        <v>77825.141330696904</v>
      </c>
      <c r="X525" s="22">
        <v>77825.141330696904</v>
      </c>
      <c r="Y525" s="22">
        <v>77825.141330696904</v>
      </c>
      <c r="Z525" s="22">
        <v>77825.141330696904</v>
      </c>
      <c r="AA525" s="23">
        <v>77825.141330696904</v>
      </c>
      <c r="AB525" s="96">
        <f t="shared" ref="AB525" si="182">+SUM(D525:AA525)*AC525+SUM(D526:AA526)*AC526+SUM(D527:AA527)*AC527</f>
        <v>40858199.198615871</v>
      </c>
      <c r="AC525" s="16">
        <v>19</v>
      </c>
      <c r="AD525" s="16">
        <f t="shared" si="179"/>
        <v>25876859.492456719</v>
      </c>
    </row>
    <row r="526" spans="1:30" ht="13.5" thickBot="1" x14ac:dyDescent="0.35">
      <c r="A526" s="18">
        <v>2040</v>
      </c>
      <c r="B526" s="19" t="s">
        <v>40</v>
      </c>
      <c r="C526" s="20" t="s">
        <v>50</v>
      </c>
      <c r="D526" s="21">
        <v>19456.28533267423</v>
      </c>
      <c r="E526" s="22">
        <v>19456.28533267423</v>
      </c>
      <c r="F526" s="22">
        <v>19456.28533267423</v>
      </c>
      <c r="G526" s="22">
        <v>19456.28533267423</v>
      </c>
      <c r="H526" s="22">
        <v>19456.28533267423</v>
      </c>
      <c r="I526" s="22">
        <v>19456.28533267423</v>
      </c>
      <c r="J526" s="22">
        <v>19456.28533267423</v>
      </c>
      <c r="K526" s="22">
        <v>34287.562534678946</v>
      </c>
      <c r="L526" s="22">
        <v>59575.955581874026</v>
      </c>
      <c r="M526" s="22">
        <v>76210.479329487745</v>
      </c>
      <c r="N526" s="22">
        <v>85404.734053490916</v>
      </c>
      <c r="O526" s="22">
        <v>88583.632363725323</v>
      </c>
      <c r="P526" s="22">
        <v>87745.302729165633</v>
      </c>
      <c r="Q526" s="22">
        <v>82974.969338290539</v>
      </c>
      <c r="R526" s="22">
        <v>74096.87215338595</v>
      </c>
      <c r="S526" s="22">
        <v>58518.285844987688</v>
      </c>
      <c r="T526" s="22">
        <v>33572.19271451122</v>
      </c>
      <c r="U526" s="22">
        <v>77825.141330696919</v>
      </c>
      <c r="V526" s="22">
        <v>77825.141330696919</v>
      </c>
      <c r="W526" s="22">
        <v>77825.141330696919</v>
      </c>
      <c r="X526" s="22">
        <v>77825.141330696919</v>
      </c>
      <c r="Y526" s="22">
        <v>77825.141330696919</v>
      </c>
      <c r="Z526" s="22">
        <v>77825.141330696919</v>
      </c>
      <c r="AA526" s="23">
        <v>77825.141330696919</v>
      </c>
      <c r="AB526" s="97"/>
      <c r="AC526" s="24">
        <v>5</v>
      </c>
      <c r="AD526" s="16">
        <f t="shared" si="179"/>
        <v>6809699.8664359786</v>
      </c>
    </row>
    <row r="527" spans="1:30" ht="13.5" thickBot="1" x14ac:dyDescent="0.35">
      <c r="A527" s="18">
        <v>2040</v>
      </c>
      <c r="B527" s="25" t="s">
        <v>40</v>
      </c>
      <c r="C527" s="26" t="s">
        <v>36</v>
      </c>
      <c r="D527" s="21">
        <v>19456.28533267423</v>
      </c>
      <c r="E527" s="22">
        <v>19456.28533267423</v>
      </c>
      <c r="F527" s="22">
        <v>19456.28533267423</v>
      </c>
      <c r="G527" s="22">
        <v>19456.28533267423</v>
      </c>
      <c r="H527" s="22">
        <v>19456.28533267423</v>
      </c>
      <c r="I527" s="22">
        <v>19456.28533267423</v>
      </c>
      <c r="J527" s="22">
        <v>19456.28533267423</v>
      </c>
      <c r="K527" s="22">
        <v>34287.562534678953</v>
      </c>
      <c r="L527" s="22">
        <v>59575.955581874026</v>
      </c>
      <c r="M527" s="22">
        <v>76210.47932948776</v>
      </c>
      <c r="N527" s="22">
        <v>85404.734053490916</v>
      </c>
      <c r="O527" s="22">
        <v>88583.632363725323</v>
      </c>
      <c r="P527" s="22">
        <v>87745.302729165633</v>
      </c>
      <c r="Q527" s="22">
        <v>82974.969338290524</v>
      </c>
      <c r="R527" s="22">
        <v>74096.87215338595</v>
      </c>
      <c r="S527" s="22">
        <v>58518.285844987688</v>
      </c>
      <c r="T527" s="22">
        <v>33572.19271451122</v>
      </c>
      <c r="U527" s="22">
        <v>77825.141330696919</v>
      </c>
      <c r="V527" s="22">
        <v>77825.141330696919</v>
      </c>
      <c r="W527" s="22">
        <v>77825.141330696919</v>
      </c>
      <c r="X527" s="22">
        <v>77825.141330696919</v>
      </c>
      <c r="Y527" s="22">
        <v>77825.141330696919</v>
      </c>
      <c r="Z527" s="22">
        <v>77825.141330696919</v>
      </c>
      <c r="AA527" s="23">
        <v>77825.141330696919</v>
      </c>
      <c r="AB527" s="97"/>
      <c r="AC527" s="27">
        <v>6</v>
      </c>
      <c r="AD527" s="42">
        <f t="shared" si="179"/>
        <v>8171639.8397231735</v>
      </c>
    </row>
    <row r="528" spans="1:30" ht="13.5" thickBot="1" x14ac:dyDescent="0.35">
      <c r="A528" s="18">
        <v>2040</v>
      </c>
      <c r="B528" s="11" t="s">
        <v>41</v>
      </c>
      <c r="C528" s="12" t="s">
        <v>33</v>
      </c>
      <c r="D528" s="21">
        <v>19456.285332674226</v>
      </c>
      <c r="E528" s="22">
        <v>19456.285332674226</v>
      </c>
      <c r="F528" s="22">
        <v>19456.285332674226</v>
      </c>
      <c r="G528" s="22">
        <v>19456.285332674226</v>
      </c>
      <c r="H528" s="22">
        <v>19456.285332674226</v>
      </c>
      <c r="I528" s="22">
        <v>19456.285332674226</v>
      </c>
      <c r="J528" s="22">
        <v>19456.285332674226</v>
      </c>
      <c r="K528" s="22">
        <v>34287.562534678953</v>
      </c>
      <c r="L528" s="22">
        <v>59575.955581874026</v>
      </c>
      <c r="M528" s="22">
        <v>76210.47932948776</v>
      </c>
      <c r="N528" s="22">
        <v>85404.734053490916</v>
      </c>
      <c r="O528" s="22">
        <v>88583.632363725279</v>
      </c>
      <c r="P528" s="22">
        <v>87745.302729165633</v>
      </c>
      <c r="Q528" s="22">
        <v>82974.969338290553</v>
      </c>
      <c r="R528" s="22">
        <v>74096.872153385979</v>
      </c>
      <c r="S528" s="22">
        <v>58518.285844987702</v>
      </c>
      <c r="T528" s="22">
        <v>33572.19271451122</v>
      </c>
      <c r="U528" s="22">
        <v>77825.141330696904</v>
      </c>
      <c r="V528" s="22">
        <v>77825.141330696904</v>
      </c>
      <c r="W528" s="22">
        <v>77825.141330696904</v>
      </c>
      <c r="X528" s="22">
        <v>77825.141330696904</v>
      </c>
      <c r="Y528" s="22">
        <v>77825.141330696904</v>
      </c>
      <c r="Z528" s="22">
        <v>77825.141330696904</v>
      </c>
      <c r="AA528" s="23">
        <v>77825.141330696904</v>
      </c>
      <c r="AB528" s="96">
        <f t="shared" ref="AB528" si="183">+SUM(D528:AA528)*AC528+SUM(D529:AA529)*AC529+SUM(D530:AA530)*AC530</f>
        <v>42220139.171903066</v>
      </c>
      <c r="AC528" s="16">
        <v>20</v>
      </c>
      <c r="AD528" s="16">
        <f t="shared" si="179"/>
        <v>27238799.465743914</v>
      </c>
    </row>
    <row r="529" spans="1:30" ht="13.5" thickBot="1" x14ac:dyDescent="0.35">
      <c r="A529" s="18">
        <v>2040</v>
      </c>
      <c r="B529" s="19" t="s">
        <v>41</v>
      </c>
      <c r="C529" s="20" t="s">
        <v>50</v>
      </c>
      <c r="D529" s="21">
        <v>19456.28533267423</v>
      </c>
      <c r="E529" s="22">
        <v>19456.28533267423</v>
      </c>
      <c r="F529" s="22">
        <v>19456.28533267423</v>
      </c>
      <c r="G529" s="22">
        <v>19456.28533267423</v>
      </c>
      <c r="H529" s="22">
        <v>19456.28533267423</v>
      </c>
      <c r="I529" s="22">
        <v>19456.28533267423</v>
      </c>
      <c r="J529" s="22">
        <v>19456.28533267423</v>
      </c>
      <c r="K529" s="22">
        <v>34287.562534678946</v>
      </c>
      <c r="L529" s="22">
        <v>59575.955581874034</v>
      </c>
      <c r="M529" s="22">
        <v>76210.479329487745</v>
      </c>
      <c r="N529" s="22">
        <v>85404.734053490916</v>
      </c>
      <c r="O529" s="22">
        <v>88583.632363725323</v>
      </c>
      <c r="P529" s="22">
        <v>87745.302729165633</v>
      </c>
      <c r="Q529" s="22">
        <v>82974.969338290539</v>
      </c>
      <c r="R529" s="22">
        <v>74096.87215338595</v>
      </c>
      <c r="S529" s="22">
        <v>58518.285844987688</v>
      </c>
      <c r="T529" s="22">
        <v>33572.19271451122</v>
      </c>
      <c r="U529" s="22">
        <v>77825.141330696919</v>
      </c>
      <c r="V529" s="22">
        <v>77825.141330696919</v>
      </c>
      <c r="W529" s="22">
        <v>77825.141330696919</v>
      </c>
      <c r="X529" s="22">
        <v>77825.141330696919</v>
      </c>
      <c r="Y529" s="22">
        <v>77825.141330696919</v>
      </c>
      <c r="Z529" s="22">
        <v>77825.141330696919</v>
      </c>
      <c r="AA529" s="23">
        <v>77825.141330696919</v>
      </c>
      <c r="AB529" s="97"/>
      <c r="AC529" s="24">
        <v>4</v>
      </c>
      <c r="AD529" s="16">
        <f t="shared" si="179"/>
        <v>5447759.8931487827</v>
      </c>
    </row>
    <row r="530" spans="1:30" ht="13.5" thickBot="1" x14ac:dyDescent="0.35">
      <c r="A530" s="18">
        <v>2040</v>
      </c>
      <c r="B530" s="25" t="s">
        <v>41</v>
      </c>
      <c r="C530" s="26" t="s">
        <v>36</v>
      </c>
      <c r="D530" s="21">
        <v>19456.28533267423</v>
      </c>
      <c r="E530" s="22">
        <v>19456.28533267423</v>
      </c>
      <c r="F530" s="22">
        <v>19456.28533267423</v>
      </c>
      <c r="G530" s="22">
        <v>19456.28533267423</v>
      </c>
      <c r="H530" s="22">
        <v>19456.28533267423</v>
      </c>
      <c r="I530" s="22">
        <v>19456.28533267423</v>
      </c>
      <c r="J530" s="22">
        <v>19456.28533267423</v>
      </c>
      <c r="K530" s="22">
        <v>34287.562534678953</v>
      </c>
      <c r="L530" s="22">
        <v>59575.955581874019</v>
      </c>
      <c r="M530" s="22">
        <v>76210.47932948776</v>
      </c>
      <c r="N530" s="22">
        <v>85404.734053490916</v>
      </c>
      <c r="O530" s="22">
        <v>88583.632363725323</v>
      </c>
      <c r="P530" s="22">
        <v>87745.302729165633</v>
      </c>
      <c r="Q530" s="22">
        <v>82974.969338290524</v>
      </c>
      <c r="R530" s="22">
        <v>74096.87215338595</v>
      </c>
      <c r="S530" s="22">
        <v>58518.28584498768</v>
      </c>
      <c r="T530" s="22">
        <v>33572.19271451122</v>
      </c>
      <c r="U530" s="22">
        <v>77825.141330696919</v>
      </c>
      <c r="V530" s="22">
        <v>77825.141330696919</v>
      </c>
      <c r="W530" s="22">
        <v>77825.141330696919</v>
      </c>
      <c r="X530" s="22">
        <v>77825.141330696919</v>
      </c>
      <c r="Y530" s="22">
        <v>77825.141330696919</v>
      </c>
      <c r="Z530" s="22">
        <v>77825.141330696919</v>
      </c>
      <c r="AA530" s="23">
        <v>77825.141330696919</v>
      </c>
      <c r="AB530" s="97"/>
      <c r="AC530" s="27">
        <v>7</v>
      </c>
      <c r="AD530" s="42">
        <f t="shared" si="179"/>
        <v>9533579.8130103704</v>
      </c>
    </row>
    <row r="531" spans="1:30" ht="13.5" thickBot="1" x14ac:dyDescent="0.35">
      <c r="A531" s="18">
        <v>2040</v>
      </c>
      <c r="B531" s="11" t="s">
        <v>42</v>
      </c>
      <c r="C531" s="12" t="s">
        <v>33</v>
      </c>
      <c r="D531" s="21">
        <v>19456.285332674226</v>
      </c>
      <c r="E531" s="22">
        <v>19456.285332674226</v>
      </c>
      <c r="F531" s="22">
        <v>19456.285332674226</v>
      </c>
      <c r="G531" s="22">
        <v>19456.285332674226</v>
      </c>
      <c r="H531" s="22">
        <v>19456.285332674226</v>
      </c>
      <c r="I531" s="22">
        <v>19456.285332674226</v>
      </c>
      <c r="J531" s="22">
        <v>19456.285332674226</v>
      </c>
      <c r="K531" s="22">
        <v>34287.562534678953</v>
      </c>
      <c r="L531" s="22">
        <v>59575.955581874034</v>
      </c>
      <c r="M531" s="22">
        <v>76210.47932948776</v>
      </c>
      <c r="N531" s="22">
        <v>85404.734053490916</v>
      </c>
      <c r="O531" s="22">
        <v>88583.632363725279</v>
      </c>
      <c r="P531" s="22">
        <v>87745.302729165633</v>
      </c>
      <c r="Q531" s="22">
        <v>82974.969338290553</v>
      </c>
      <c r="R531" s="22">
        <v>74096.872153385979</v>
      </c>
      <c r="S531" s="22">
        <v>58518.285844987702</v>
      </c>
      <c r="T531" s="22">
        <v>33572.19271451122</v>
      </c>
      <c r="U531" s="22">
        <v>77825.141330696904</v>
      </c>
      <c r="V531" s="22">
        <v>77825.141330696904</v>
      </c>
      <c r="W531" s="22">
        <v>77825.141330696904</v>
      </c>
      <c r="X531" s="22">
        <v>77825.141330696904</v>
      </c>
      <c r="Y531" s="22">
        <v>77825.141330696904</v>
      </c>
      <c r="Z531" s="22">
        <v>77825.141330696904</v>
      </c>
      <c r="AA531" s="23">
        <v>77825.141330696904</v>
      </c>
      <c r="AB531" s="96">
        <f t="shared" ref="AB531" si="184">+SUM(D531:AA531)*AC531+SUM(D532:AA532)*AC532+SUM(D533:AA533)*AC533</f>
        <v>42220139.171903059</v>
      </c>
      <c r="AC531" s="16">
        <v>21</v>
      </c>
      <c r="AD531" s="16">
        <f t="shared" si="179"/>
        <v>28600739.439031109</v>
      </c>
    </row>
    <row r="532" spans="1:30" ht="13.5" thickBot="1" x14ac:dyDescent="0.35">
      <c r="A532" s="18">
        <v>2040</v>
      </c>
      <c r="B532" s="19" t="s">
        <v>42</v>
      </c>
      <c r="C532" s="20" t="s">
        <v>50</v>
      </c>
      <c r="D532" s="21">
        <v>19456.28533267423</v>
      </c>
      <c r="E532" s="22">
        <v>19456.28533267423</v>
      </c>
      <c r="F532" s="22">
        <v>19456.28533267423</v>
      </c>
      <c r="G532" s="22">
        <v>19456.28533267423</v>
      </c>
      <c r="H532" s="22">
        <v>19456.28533267423</v>
      </c>
      <c r="I532" s="22">
        <v>19456.28533267423</v>
      </c>
      <c r="J532" s="22">
        <v>19456.28533267423</v>
      </c>
      <c r="K532" s="22">
        <v>34287.562534678946</v>
      </c>
      <c r="L532" s="22">
        <v>59575.955581874034</v>
      </c>
      <c r="M532" s="22">
        <v>76210.479329487745</v>
      </c>
      <c r="N532" s="22">
        <v>85404.734053490916</v>
      </c>
      <c r="O532" s="22">
        <v>88583.632363725323</v>
      </c>
      <c r="P532" s="22">
        <v>87745.302729165633</v>
      </c>
      <c r="Q532" s="22">
        <v>82974.969338290539</v>
      </c>
      <c r="R532" s="22">
        <v>74096.87215338595</v>
      </c>
      <c r="S532" s="22">
        <v>58518.285844987688</v>
      </c>
      <c r="T532" s="22">
        <v>33572.19271451122</v>
      </c>
      <c r="U532" s="22">
        <v>77825.141330696919</v>
      </c>
      <c r="V532" s="22">
        <v>77825.141330696919</v>
      </c>
      <c r="W532" s="22">
        <v>77825.141330696919</v>
      </c>
      <c r="X532" s="22">
        <v>77825.141330696919</v>
      </c>
      <c r="Y532" s="22">
        <v>77825.141330696919</v>
      </c>
      <c r="Z532" s="22">
        <v>77825.141330696919</v>
      </c>
      <c r="AA532" s="23">
        <v>77825.141330696919</v>
      </c>
      <c r="AB532" s="97"/>
      <c r="AC532" s="24">
        <v>4</v>
      </c>
      <c r="AD532" s="16">
        <f t="shared" si="179"/>
        <v>5447759.8931487827</v>
      </c>
    </row>
    <row r="533" spans="1:30" ht="13.5" thickBot="1" x14ac:dyDescent="0.35">
      <c r="A533" s="18">
        <v>2040</v>
      </c>
      <c r="B533" s="25" t="s">
        <v>42</v>
      </c>
      <c r="C533" s="26" t="s">
        <v>36</v>
      </c>
      <c r="D533" s="21">
        <v>19456.28533267423</v>
      </c>
      <c r="E533" s="22">
        <v>19456.28533267423</v>
      </c>
      <c r="F533" s="22">
        <v>19456.28533267423</v>
      </c>
      <c r="G533" s="22">
        <v>19456.28533267423</v>
      </c>
      <c r="H533" s="22">
        <v>19456.28533267423</v>
      </c>
      <c r="I533" s="22">
        <v>19456.28533267423</v>
      </c>
      <c r="J533" s="22">
        <v>19456.28533267423</v>
      </c>
      <c r="K533" s="22">
        <v>34287.562534678953</v>
      </c>
      <c r="L533" s="22">
        <v>59575.955581874026</v>
      </c>
      <c r="M533" s="22">
        <v>76210.47932948776</v>
      </c>
      <c r="N533" s="22">
        <v>85404.734053490916</v>
      </c>
      <c r="O533" s="22">
        <v>88583.632363725323</v>
      </c>
      <c r="P533" s="22">
        <v>87745.302729165633</v>
      </c>
      <c r="Q533" s="22">
        <v>82974.969338290524</v>
      </c>
      <c r="R533" s="22">
        <v>74096.87215338595</v>
      </c>
      <c r="S533" s="22">
        <v>58518.285844987688</v>
      </c>
      <c r="T533" s="22">
        <v>33572.19271451122</v>
      </c>
      <c r="U533" s="22">
        <v>77825.141330696919</v>
      </c>
      <c r="V533" s="22">
        <v>77825.141330696919</v>
      </c>
      <c r="W533" s="22">
        <v>77825.141330696919</v>
      </c>
      <c r="X533" s="22">
        <v>77825.141330696919</v>
      </c>
      <c r="Y533" s="22">
        <v>77825.141330696919</v>
      </c>
      <c r="Z533" s="22">
        <v>77825.141330696919</v>
      </c>
      <c r="AA533" s="23">
        <v>77825.141330696919</v>
      </c>
      <c r="AB533" s="97"/>
      <c r="AC533" s="27">
        <v>6</v>
      </c>
      <c r="AD533" s="42">
        <f t="shared" si="179"/>
        <v>8171639.8397231735</v>
      </c>
    </row>
    <row r="534" spans="1:30" ht="13.5" thickBot="1" x14ac:dyDescent="0.35">
      <c r="A534" s="18">
        <v>2040</v>
      </c>
      <c r="B534" s="11" t="s">
        <v>43</v>
      </c>
      <c r="C534" s="12" t="s">
        <v>33</v>
      </c>
      <c r="D534" s="21">
        <v>19456.285332674226</v>
      </c>
      <c r="E534" s="22">
        <v>19456.285332674226</v>
      </c>
      <c r="F534" s="22">
        <v>19456.285332674226</v>
      </c>
      <c r="G534" s="22">
        <v>19456.285332674226</v>
      </c>
      <c r="H534" s="22">
        <v>19456.285332674226</v>
      </c>
      <c r="I534" s="22">
        <v>19456.285332674226</v>
      </c>
      <c r="J534" s="22">
        <v>19456.285332674226</v>
      </c>
      <c r="K534" s="22">
        <v>34287.562534678953</v>
      </c>
      <c r="L534" s="22">
        <v>59575.955581874026</v>
      </c>
      <c r="M534" s="22">
        <v>76210.47932948776</v>
      </c>
      <c r="N534" s="22">
        <v>85404.734053490916</v>
      </c>
      <c r="O534" s="22">
        <v>88583.632363725279</v>
      </c>
      <c r="P534" s="22">
        <v>87745.302729165633</v>
      </c>
      <c r="Q534" s="22">
        <v>82974.969338290553</v>
      </c>
      <c r="R534" s="22">
        <v>74096.872153385979</v>
      </c>
      <c r="S534" s="22">
        <v>58518.285844987702</v>
      </c>
      <c r="T534" s="22">
        <v>33572.19271451122</v>
      </c>
      <c r="U534" s="22">
        <v>77825.141330696904</v>
      </c>
      <c r="V534" s="22">
        <v>77825.141330696904</v>
      </c>
      <c r="W534" s="22">
        <v>77825.141330696904</v>
      </c>
      <c r="X534" s="22">
        <v>77825.141330696904</v>
      </c>
      <c r="Y534" s="22">
        <v>77825.141330696904</v>
      </c>
      <c r="Z534" s="22">
        <v>77825.141330696904</v>
      </c>
      <c r="AA534" s="23">
        <v>77825.141330696904</v>
      </c>
      <c r="AB534" s="96">
        <f t="shared" ref="AB534" si="185">+SUM(D534:AA534)*AC534+SUM(D535:AA535)*AC535+SUM(D536:AA536)*AC536</f>
        <v>40858199.198615864</v>
      </c>
      <c r="AC534" s="16">
        <v>20</v>
      </c>
      <c r="AD534" s="16">
        <f t="shared" si="179"/>
        <v>27238799.465743914</v>
      </c>
    </row>
    <row r="535" spans="1:30" ht="13.5" thickBot="1" x14ac:dyDescent="0.35">
      <c r="A535" s="18">
        <v>2040</v>
      </c>
      <c r="B535" s="19" t="s">
        <v>43</v>
      </c>
      <c r="C535" s="20" t="s">
        <v>50</v>
      </c>
      <c r="D535" s="21">
        <v>19456.28533267423</v>
      </c>
      <c r="E535" s="22">
        <v>19456.28533267423</v>
      </c>
      <c r="F535" s="22">
        <v>19456.28533267423</v>
      </c>
      <c r="G535" s="22">
        <v>19456.28533267423</v>
      </c>
      <c r="H535" s="22">
        <v>19456.28533267423</v>
      </c>
      <c r="I535" s="22">
        <v>19456.28533267423</v>
      </c>
      <c r="J535" s="22">
        <v>19456.28533267423</v>
      </c>
      <c r="K535" s="22">
        <v>34287.562534678946</v>
      </c>
      <c r="L535" s="22">
        <v>59575.955581874026</v>
      </c>
      <c r="M535" s="22">
        <v>76210.479329487745</v>
      </c>
      <c r="N535" s="22">
        <v>85404.734053490916</v>
      </c>
      <c r="O535" s="22">
        <v>88583.632363725323</v>
      </c>
      <c r="P535" s="22">
        <v>87745.302729165633</v>
      </c>
      <c r="Q535" s="22">
        <v>82974.969338290539</v>
      </c>
      <c r="R535" s="22">
        <v>74096.87215338595</v>
      </c>
      <c r="S535" s="22">
        <v>58518.285844987688</v>
      </c>
      <c r="T535" s="22">
        <v>33572.19271451122</v>
      </c>
      <c r="U535" s="22">
        <v>77825.141330696919</v>
      </c>
      <c r="V535" s="22">
        <v>77825.141330696919</v>
      </c>
      <c r="W535" s="22">
        <v>77825.141330696919</v>
      </c>
      <c r="X535" s="22">
        <v>77825.141330696919</v>
      </c>
      <c r="Y535" s="22">
        <v>77825.141330696919</v>
      </c>
      <c r="Z535" s="22">
        <v>77825.141330696919</v>
      </c>
      <c r="AA535" s="23">
        <v>77825.141330696919</v>
      </c>
      <c r="AB535" s="97"/>
      <c r="AC535" s="24">
        <v>5</v>
      </c>
      <c r="AD535" s="16">
        <f t="shared" si="179"/>
        <v>6809699.8664359786</v>
      </c>
    </row>
    <row r="536" spans="1:30" ht="13.5" thickBot="1" x14ac:dyDescent="0.35">
      <c r="A536" s="18">
        <v>2040</v>
      </c>
      <c r="B536" s="25" t="s">
        <v>43</v>
      </c>
      <c r="C536" s="26" t="s">
        <v>36</v>
      </c>
      <c r="D536" s="21">
        <v>19456.28533267423</v>
      </c>
      <c r="E536" s="22">
        <v>19456.28533267423</v>
      </c>
      <c r="F536" s="22">
        <v>19456.28533267423</v>
      </c>
      <c r="G536" s="22">
        <v>19456.28533267423</v>
      </c>
      <c r="H536" s="22">
        <v>19456.28533267423</v>
      </c>
      <c r="I536" s="22">
        <v>19456.28533267423</v>
      </c>
      <c r="J536" s="22">
        <v>19456.28533267423</v>
      </c>
      <c r="K536" s="22">
        <v>34287.562534678946</v>
      </c>
      <c r="L536" s="22">
        <v>59575.955581874026</v>
      </c>
      <c r="M536" s="22">
        <v>76210.479329487745</v>
      </c>
      <c r="N536" s="22">
        <v>85404.734053490916</v>
      </c>
      <c r="O536" s="22">
        <v>88583.632363725323</v>
      </c>
      <c r="P536" s="22">
        <v>87745.302729165633</v>
      </c>
      <c r="Q536" s="22">
        <v>82974.969338290539</v>
      </c>
      <c r="R536" s="22">
        <v>74096.87215338595</v>
      </c>
      <c r="S536" s="22">
        <v>58518.285844987688</v>
      </c>
      <c r="T536" s="22">
        <v>33572.19271451122</v>
      </c>
      <c r="U536" s="22">
        <v>77825.141330696919</v>
      </c>
      <c r="V536" s="22">
        <v>77825.141330696919</v>
      </c>
      <c r="W536" s="22">
        <v>77825.141330696919</v>
      </c>
      <c r="X536" s="22">
        <v>77825.141330696919</v>
      </c>
      <c r="Y536" s="22">
        <v>77825.141330696919</v>
      </c>
      <c r="Z536" s="22">
        <v>77825.141330696919</v>
      </c>
      <c r="AA536" s="23">
        <v>77825.141330696919</v>
      </c>
      <c r="AB536" s="97"/>
      <c r="AC536" s="27">
        <v>5</v>
      </c>
      <c r="AD536" s="42">
        <f t="shared" si="179"/>
        <v>6809699.8664359786</v>
      </c>
    </row>
    <row r="537" spans="1:30" ht="13.5" thickBot="1" x14ac:dyDescent="0.35">
      <c r="A537" s="18">
        <v>2040</v>
      </c>
      <c r="B537" s="11" t="s">
        <v>44</v>
      </c>
      <c r="C537" s="12" t="s">
        <v>33</v>
      </c>
      <c r="D537" s="21">
        <v>19456.285332674222</v>
      </c>
      <c r="E537" s="22">
        <v>19456.285332674222</v>
      </c>
      <c r="F537" s="22">
        <v>19456.285332674222</v>
      </c>
      <c r="G537" s="22">
        <v>19456.285332674222</v>
      </c>
      <c r="H537" s="22">
        <v>19456.285332674222</v>
      </c>
      <c r="I537" s="22">
        <v>19456.285332674222</v>
      </c>
      <c r="J537" s="22">
        <v>19456.285332674222</v>
      </c>
      <c r="K537" s="22">
        <v>34287.562534678953</v>
      </c>
      <c r="L537" s="22">
        <v>59575.955581874034</v>
      </c>
      <c r="M537" s="22">
        <v>76210.47932948776</v>
      </c>
      <c r="N537" s="22">
        <v>85404.734053490916</v>
      </c>
      <c r="O537" s="22">
        <v>88583.632363725279</v>
      </c>
      <c r="P537" s="22">
        <v>87745.302729165633</v>
      </c>
      <c r="Q537" s="22">
        <v>82974.969338290568</v>
      </c>
      <c r="R537" s="22">
        <v>74096.872153385993</v>
      </c>
      <c r="S537" s="22">
        <v>58518.285844987702</v>
      </c>
      <c r="T537" s="22">
        <v>33572.192714511213</v>
      </c>
      <c r="U537" s="22">
        <v>77825.14133069689</v>
      </c>
      <c r="V537" s="22">
        <v>77825.14133069689</v>
      </c>
      <c r="W537" s="22">
        <v>77825.14133069689</v>
      </c>
      <c r="X537" s="22">
        <v>77825.14133069689</v>
      </c>
      <c r="Y537" s="22">
        <v>77825.14133069689</v>
      </c>
      <c r="Z537" s="22">
        <v>77825.14133069689</v>
      </c>
      <c r="AA537" s="23">
        <v>77825.14133069689</v>
      </c>
      <c r="AB537" s="96">
        <f t="shared" ref="AB537" si="186">+SUM(D537:AA537)*AC537+SUM(D538:AA538)*AC538+SUM(D539:AA539)*AC539</f>
        <v>42220139.171903059</v>
      </c>
      <c r="AC537" s="16">
        <v>22</v>
      </c>
      <c r="AD537" s="16">
        <f t="shared" si="179"/>
        <v>29962679.412318304</v>
      </c>
    </row>
    <row r="538" spans="1:30" ht="13.5" thickBot="1" x14ac:dyDescent="0.35">
      <c r="A538" s="18">
        <v>2040</v>
      </c>
      <c r="B538" s="19" t="s">
        <v>44</v>
      </c>
      <c r="C538" s="20" t="s">
        <v>50</v>
      </c>
      <c r="D538" s="21">
        <v>19456.28533267423</v>
      </c>
      <c r="E538" s="22">
        <v>19456.28533267423</v>
      </c>
      <c r="F538" s="22">
        <v>19456.28533267423</v>
      </c>
      <c r="G538" s="22">
        <v>19456.28533267423</v>
      </c>
      <c r="H538" s="22">
        <v>19456.28533267423</v>
      </c>
      <c r="I538" s="22">
        <v>19456.28533267423</v>
      </c>
      <c r="J538" s="22">
        <v>19456.28533267423</v>
      </c>
      <c r="K538" s="22">
        <v>34287.562534678946</v>
      </c>
      <c r="L538" s="22">
        <v>59575.955581874034</v>
      </c>
      <c r="M538" s="22">
        <v>76210.479329487745</v>
      </c>
      <c r="N538" s="22">
        <v>85404.734053490916</v>
      </c>
      <c r="O538" s="22">
        <v>88583.632363725323</v>
      </c>
      <c r="P538" s="22">
        <v>87745.302729165633</v>
      </c>
      <c r="Q538" s="22">
        <v>82974.969338290539</v>
      </c>
      <c r="R538" s="22">
        <v>74096.87215338595</v>
      </c>
      <c r="S538" s="22">
        <v>58518.285844987688</v>
      </c>
      <c r="T538" s="22">
        <v>33572.19271451122</v>
      </c>
      <c r="U538" s="22">
        <v>77825.141330696919</v>
      </c>
      <c r="V538" s="22">
        <v>77825.141330696919</v>
      </c>
      <c r="W538" s="22">
        <v>77825.141330696919</v>
      </c>
      <c r="X538" s="22">
        <v>77825.141330696919</v>
      </c>
      <c r="Y538" s="22">
        <v>77825.141330696919</v>
      </c>
      <c r="Z538" s="22">
        <v>77825.141330696919</v>
      </c>
      <c r="AA538" s="23">
        <v>77825.141330696919</v>
      </c>
      <c r="AB538" s="97"/>
      <c r="AC538" s="24">
        <v>4</v>
      </c>
      <c r="AD538" s="16">
        <f t="shared" si="179"/>
        <v>5447759.8931487827</v>
      </c>
    </row>
    <row r="539" spans="1:30" ht="13.5" thickBot="1" x14ac:dyDescent="0.35">
      <c r="A539" s="18">
        <v>2040</v>
      </c>
      <c r="B539" s="25" t="s">
        <v>44</v>
      </c>
      <c r="C539" s="26" t="s">
        <v>36</v>
      </c>
      <c r="D539" s="21">
        <v>19456.28533267423</v>
      </c>
      <c r="E539" s="22">
        <v>19456.28533267423</v>
      </c>
      <c r="F539" s="22">
        <v>19456.28533267423</v>
      </c>
      <c r="G539" s="22">
        <v>19456.28533267423</v>
      </c>
      <c r="H539" s="22">
        <v>19456.28533267423</v>
      </c>
      <c r="I539" s="22">
        <v>19456.28533267423</v>
      </c>
      <c r="J539" s="22">
        <v>19456.28533267423</v>
      </c>
      <c r="K539" s="22">
        <v>34287.562534678946</v>
      </c>
      <c r="L539" s="22">
        <v>59575.955581874026</v>
      </c>
      <c r="M539" s="22">
        <v>76210.479329487745</v>
      </c>
      <c r="N539" s="22">
        <v>85404.734053490916</v>
      </c>
      <c r="O539" s="22">
        <v>88583.632363725323</v>
      </c>
      <c r="P539" s="22">
        <v>87745.302729165633</v>
      </c>
      <c r="Q539" s="22">
        <v>82974.969338290539</v>
      </c>
      <c r="R539" s="22">
        <v>74096.87215338595</v>
      </c>
      <c r="S539" s="22">
        <v>58518.285844987688</v>
      </c>
      <c r="T539" s="22">
        <v>33572.19271451122</v>
      </c>
      <c r="U539" s="22">
        <v>77825.141330696919</v>
      </c>
      <c r="V539" s="22">
        <v>77825.141330696919</v>
      </c>
      <c r="W539" s="22">
        <v>77825.141330696919</v>
      </c>
      <c r="X539" s="22">
        <v>77825.141330696919</v>
      </c>
      <c r="Y539" s="22">
        <v>77825.141330696919</v>
      </c>
      <c r="Z539" s="22">
        <v>77825.141330696919</v>
      </c>
      <c r="AA539" s="23">
        <v>77825.141330696919</v>
      </c>
      <c r="AB539" s="97"/>
      <c r="AC539" s="27">
        <v>5</v>
      </c>
      <c r="AD539" s="42">
        <f t="shared" si="179"/>
        <v>6809699.8664359786</v>
      </c>
    </row>
    <row r="540" spans="1:30" ht="13.5" thickBot="1" x14ac:dyDescent="0.35">
      <c r="A540" s="18">
        <v>2040</v>
      </c>
      <c r="B540" s="11" t="s">
        <v>45</v>
      </c>
      <c r="C540" s="12" t="s">
        <v>33</v>
      </c>
      <c r="D540" s="21">
        <v>19456.285332674226</v>
      </c>
      <c r="E540" s="22">
        <v>19456.285332674226</v>
      </c>
      <c r="F540" s="22">
        <v>19456.285332674226</v>
      </c>
      <c r="G540" s="22">
        <v>19456.285332674226</v>
      </c>
      <c r="H540" s="22">
        <v>19456.285332674226</v>
      </c>
      <c r="I540" s="22">
        <v>19456.285332674226</v>
      </c>
      <c r="J540" s="22">
        <v>19456.285332674226</v>
      </c>
      <c r="K540" s="22">
        <v>34287.562534678953</v>
      </c>
      <c r="L540" s="22">
        <v>59575.955581874026</v>
      </c>
      <c r="M540" s="22">
        <v>76210.47932948776</v>
      </c>
      <c r="N540" s="22">
        <v>85404.734053490916</v>
      </c>
      <c r="O540" s="22">
        <v>88583.632363725279</v>
      </c>
      <c r="P540" s="22">
        <v>87745.302729165633</v>
      </c>
      <c r="Q540" s="22">
        <v>82974.969338290553</v>
      </c>
      <c r="R540" s="22">
        <v>74096.872153385979</v>
      </c>
      <c r="S540" s="22">
        <v>58518.285844987702</v>
      </c>
      <c r="T540" s="22">
        <v>33572.19271451122</v>
      </c>
      <c r="U540" s="22">
        <v>77825.141330696904</v>
      </c>
      <c r="V540" s="22">
        <v>77825.141330696904</v>
      </c>
      <c r="W540" s="22">
        <v>77825.141330696904</v>
      </c>
      <c r="X540" s="22">
        <v>77825.141330696904</v>
      </c>
      <c r="Y540" s="22">
        <v>77825.141330696904</v>
      </c>
      <c r="Z540" s="22">
        <v>77825.141330696904</v>
      </c>
      <c r="AA540" s="23">
        <v>77825.141330696904</v>
      </c>
      <c r="AB540" s="96">
        <f t="shared" ref="AB540" si="187">+SUM(D540:AA540)*AC540+SUM(D541:AA541)*AC541+SUM(D542:AA542)*AC542</f>
        <v>40858199.198615871</v>
      </c>
      <c r="AC540" s="16">
        <v>20</v>
      </c>
      <c r="AD540" s="16">
        <f t="shared" si="179"/>
        <v>27238799.465743914</v>
      </c>
    </row>
    <row r="541" spans="1:30" ht="13.5" thickBot="1" x14ac:dyDescent="0.35">
      <c r="A541" s="18">
        <v>2040</v>
      </c>
      <c r="B541" s="19" t="s">
        <v>45</v>
      </c>
      <c r="C541" s="20" t="s">
        <v>50</v>
      </c>
      <c r="D541" s="21">
        <v>19456.28533267423</v>
      </c>
      <c r="E541" s="22">
        <v>19456.28533267423</v>
      </c>
      <c r="F541" s="22">
        <v>19456.28533267423</v>
      </c>
      <c r="G541" s="22">
        <v>19456.28533267423</v>
      </c>
      <c r="H541" s="22">
        <v>19456.28533267423</v>
      </c>
      <c r="I541" s="22">
        <v>19456.28533267423</v>
      </c>
      <c r="J541" s="22">
        <v>19456.28533267423</v>
      </c>
      <c r="K541" s="22">
        <v>34287.562534678946</v>
      </c>
      <c r="L541" s="22">
        <v>59575.955581874034</v>
      </c>
      <c r="M541" s="22">
        <v>76210.479329487745</v>
      </c>
      <c r="N541" s="22">
        <v>85404.734053490916</v>
      </c>
      <c r="O541" s="22">
        <v>88583.632363725323</v>
      </c>
      <c r="P541" s="22">
        <v>87745.302729165633</v>
      </c>
      <c r="Q541" s="22">
        <v>82974.969338290539</v>
      </c>
      <c r="R541" s="22">
        <v>74096.87215338595</v>
      </c>
      <c r="S541" s="22">
        <v>58518.285844987688</v>
      </c>
      <c r="T541" s="22">
        <v>33572.19271451122</v>
      </c>
      <c r="U541" s="22">
        <v>77825.141330696919</v>
      </c>
      <c r="V541" s="22">
        <v>77825.141330696919</v>
      </c>
      <c r="W541" s="22">
        <v>77825.141330696919</v>
      </c>
      <c r="X541" s="22">
        <v>77825.141330696919</v>
      </c>
      <c r="Y541" s="22">
        <v>77825.141330696919</v>
      </c>
      <c r="Z541" s="22">
        <v>77825.141330696919</v>
      </c>
      <c r="AA541" s="23">
        <v>77825.141330696919</v>
      </c>
      <c r="AB541" s="97"/>
      <c r="AC541" s="24">
        <v>4</v>
      </c>
      <c r="AD541" s="16">
        <f t="shared" si="179"/>
        <v>5447759.8931487827</v>
      </c>
    </row>
    <row r="542" spans="1:30" ht="13.5" thickBot="1" x14ac:dyDescent="0.35">
      <c r="A542" s="18">
        <v>2040</v>
      </c>
      <c r="B542" s="25" t="s">
        <v>45</v>
      </c>
      <c r="C542" s="26" t="s">
        <v>36</v>
      </c>
      <c r="D542" s="21">
        <v>19456.28533267423</v>
      </c>
      <c r="E542" s="22">
        <v>19456.28533267423</v>
      </c>
      <c r="F542" s="22">
        <v>19456.28533267423</v>
      </c>
      <c r="G542" s="22">
        <v>19456.28533267423</v>
      </c>
      <c r="H542" s="22">
        <v>19456.28533267423</v>
      </c>
      <c r="I542" s="22">
        <v>19456.28533267423</v>
      </c>
      <c r="J542" s="22">
        <v>19456.28533267423</v>
      </c>
      <c r="K542" s="22">
        <v>34287.562534678953</v>
      </c>
      <c r="L542" s="22">
        <v>59575.955581874026</v>
      </c>
      <c r="M542" s="22">
        <v>76210.47932948776</v>
      </c>
      <c r="N542" s="22">
        <v>85404.734053490916</v>
      </c>
      <c r="O542" s="22">
        <v>88583.632363725323</v>
      </c>
      <c r="P542" s="22">
        <v>87745.302729165633</v>
      </c>
      <c r="Q542" s="22">
        <v>82974.969338290524</v>
      </c>
      <c r="R542" s="22">
        <v>74096.87215338595</v>
      </c>
      <c r="S542" s="22">
        <v>58518.285844987688</v>
      </c>
      <c r="T542" s="22">
        <v>33572.19271451122</v>
      </c>
      <c r="U542" s="22">
        <v>77825.141330696919</v>
      </c>
      <c r="V542" s="22">
        <v>77825.141330696919</v>
      </c>
      <c r="W542" s="22">
        <v>77825.141330696919</v>
      </c>
      <c r="X542" s="22">
        <v>77825.141330696919</v>
      </c>
      <c r="Y542" s="22">
        <v>77825.141330696919</v>
      </c>
      <c r="Z542" s="22">
        <v>77825.141330696919</v>
      </c>
      <c r="AA542" s="23">
        <v>77825.141330696919</v>
      </c>
      <c r="AB542" s="97"/>
      <c r="AC542" s="27">
        <v>6</v>
      </c>
      <c r="AD542" s="42">
        <f t="shared" si="179"/>
        <v>8171639.8397231735</v>
      </c>
    </row>
    <row r="543" spans="1:30" ht="13.5" thickBot="1" x14ac:dyDescent="0.35">
      <c r="A543" s="18">
        <v>2040</v>
      </c>
      <c r="B543" s="11" t="s">
        <v>46</v>
      </c>
      <c r="C543" s="12" t="s">
        <v>33</v>
      </c>
      <c r="D543" s="21">
        <v>19456.285332674226</v>
      </c>
      <c r="E543" s="22">
        <v>19456.285332674226</v>
      </c>
      <c r="F543" s="22">
        <v>19456.285332674226</v>
      </c>
      <c r="G543" s="22">
        <v>19456.285332674226</v>
      </c>
      <c r="H543" s="22">
        <v>19456.285332674226</v>
      </c>
      <c r="I543" s="22">
        <v>19456.285332674226</v>
      </c>
      <c r="J543" s="22">
        <v>19456.285332674226</v>
      </c>
      <c r="K543" s="22">
        <v>34287.562534678953</v>
      </c>
      <c r="L543" s="22">
        <v>59575.955581874026</v>
      </c>
      <c r="M543" s="22">
        <v>76210.47932948776</v>
      </c>
      <c r="N543" s="22">
        <v>85404.734053490916</v>
      </c>
      <c r="O543" s="22">
        <v>88583.632363725279</v>
      </c>
      <c r="P543" s="22">
        <v>87745.302729165633</v>
      </c>
      <c r="Q543" s="22">
        <v>82974.969338290553</v>
      </c>
      <c r="R543" s="22">
        <v>74096.872153385979</v>
      </c>
      <c r="S543" s="22">
        <v>58518.285844987702</v>
      </c>
      <c r="T543" s="22">
        <v>33572.19271451122</v>
      </c>
      <c r="U543" s="22">
        <v>77825.141330696904</v>
      </c>
      <c r="V543" s="22">
        <v>77825.141330696904</v>
      </c>
      <c r="W543" s="22">
        <v>77825.141330696904</v>
      </c>
      <c r="X543" s="22">
        <v>77825.141330696904</v>
      </c>
      <c r="Y543" s="22">
        <v>77825.141330696904</v>
      </c>
      <c r="Z543" s="22">
        <v>77825.141330696904</v>
      </c>
      <c r="AA543" s="23">
        <v>77825.141330696904</v>
      </c>
      <c r="AB543" s="96">
        <f t="shared" ref="AB543" si="188">+SUM(D543:AA543)*AC543+SUM(D544:AA544)*AC544+SUM(D545:AA545)*AC545</f>
        <v>42220139.171903066</v>
      </c>
      <c r="AC543" s="16">
        <v>20</v>
      </c>
      <c r="AD543" s="16">
        <f t="shared" si="179"/>
        <v>27238799.465743914</v>
      </c>
    </row>
    <row r="544" spans="1:30" ht="13.5" thickBot="1" x14ac:dyDescent="0.35">
      <c r="A544" s="18">
        <v>2040</v>
      </c>
      <c r="B544" s="19" t="s">
        <v>46</v>
      </c>
      <c r="C544" s="20" t="s">
        <v>50</v>
      </c>
      <c r="D544" s="21">
        <v>19456.28533267423</v>
      </c>
      <c r="E544" s="22">
        <v>19456.28533267423</v>
      </c>
      <c r="F544" s="22">
        <v>19456.28533267423</v>
      </c>
      <c r="G544" s="22">
        <v>19456.28533267423</v>
      </c>
      <c r="H544" s="22">
        <v>19456.28533267423</v>
      </c>
      <c r="I544" s="22">
        <v>19456.28533267423</v>
      </c>
      <c r="J544" s="22">
        <v>19456.28533267423</v>
      </c>
      <c r="K544" s="22">
        <v>34287.562534678946</v>
      </c>
      <c r="L544" s="22">
        <v>59575.955581874034</v>
      </c>
      <c r="M544" s="22">
        <v>76210.479329487745</v>
      </c>
      <c r="N544" s="22">
        <v>85404.734053490916</v>
      </c>
      <c r="O544" s="22">
        <v>88583.632363725323</v>
      </c>
      <c r="P544" s="22">
        <v>87745.302729165633</v>
      </c>
      <c r="Q544" s="22">
        <v>82974.969338290539</v>
      </c>
      <c r="R544" s="22">
        <v>74096.87215338595</v>
      </c>
      <c r="S544" s="22">
        <v>58518.285844987688</v>
      </c>
      <c r="T544" s="22">
        <v>33572.19271451122</v>
      </c>
      <c r="U544" s="22">
        <v>77825.141330696919</v>
      </c>
      <c r="V544" s="22">
        <v>77825.141330696919</v>
      </c>
      <c r="W544" s="22">
        <v>77825.141330696919</v>
      </c>
      <c r="X544" s="22">
        <v>77825.141330696919</v>
      </c>
      <c r="Y544" s="22">
        <v>77825.141330696919</v>
      </c>
      <c r="Z544" s="22">
        <v>77825.141330696919</v>
      </c>
      <c r="AA544" s="23">
        <v>77825.141330696919</v>
      </c>
      <c r="AB544" s="97"/>
      <c r="AC544" s="24">
        <v>4</v>
      </c>
      <c r="AD544" s="16">
        <f t="shared" si="179"/>
        <v>5447759.8931487827</v>
      </c>
    </row>
    <row r="545" spans="1:30" ht="13.5" thickBot="1" x14ac:dyDescent="0.35">
      <c r="A545" s="28">
        <v>2040</v>
      </c>
      <c r="B545" s="25" t="s">
        <v>46</v>
      </c>
      <c r="C545" s="26" t="s">
        <v>36</v>
      </c>
      <c r="D545" s="29">
        <v>19456.28533267423</v>
      </c>
      <c r="E545" s="30">
        <v>19456.28533267423</v>
      </c>
      <c r="F545" s="30">
        <v>19456.28533267423</v>
      </c>
      <c r="G545" s="30">
        <v>19456.28533267423</v>
      </c>
      <c r="H545" s="30">
        <v>19456.28533267423</v>
      </c>
      <c r="I545" s="30">
        <v>19456.28533267423</v>
      </c>
      <c r="J545" s="30">
        <v>19456.28533267423</v>
      </c>
      <c r="K545" s="30">
        <v>34287.562534678953</v>
      </c>
      <c r="L545" s="30">
        <v>59575.955581874019</v>
      </c>
      <c r="M545" s="30">
        <v>76210.47932948776</v>
      </c>
      <c r="N545" s="30">
        <v>85404.734053490916</v>
      </c>
      <c r="O545" s="30">
        <v>88583.632363725323</v>
      </c>
      <c r="P545" s="30">
        <v>87745.302729165633</v>
      </c>
      <c r="Q545" s="30">
        <v>82974.969338290524</v>
      </c>
      <c r="R545" s="30">
        <v>74096.87215338595</v>
      </c>
      <c r="S545" s="30">
        <v>58518.28584498768</v>
      </c>
      <c r="T545" s="30">
        <v>33572.19271451122</v>
      </c>
      <c r="U545" s="30">
        <v>77825.141330696919</v>
      </c>
      <c r="V545" s="30">
        <v>77825.141330696919</v>
      </c>
      <c r="W545" s="30">
        <v>77825.141330696919</v>
      </c>
      <c r="X545" s="30">
        <v>77825.141330696919</v>
      </c>
      <c r="Y545" s="30">
        <v>77825.141330696919</v>
      </c>
      <c r="Z545" s="30">
        <v>77825.141330696919</v>
      </c>
      <c r="AA545" s="31">
        <v>77825.141330696919</v>
      </c>
      <c r="AB545" s="98"/>
      <c r="AC545" s="27">
        <v>7</v>
      </c>
      <c r="AD545" s="42">
        <f t="shared" si="179"/>
        <v>9533579.8130103704</v>
      </c>
    </row>
    <row r="546" spans="1:30" ht="13.5" thickBot="1" x14ac:dyDescent="0.35">
      <c r="AD546" s="34">
        <f>SUM(AD6:AD545)</f>
        <v>8960903633.9897919</v>
      </c>
    </row>
    <row r="547" spans="1:30" x14ac:dyDescent="0.3">
      <c r="AD547" s="35"/>
    </row>
    <row r="548" spans="1:30" x14ac:dyDescent="0.3">
      <c r="AD548" s="35"/>
    </row>
  </sheetData>
  <mergeCells count="183">
    <mergeCell ref="A1:AD1"/>
    <mergeCell ref="A2:AD2"/>
    <mergeCell ref="A3:AD3"/>
    <mergeCell ref="AB6:AB8"/>
    <mergeCell ref="AB9:AB11"/>
    <mergeCell ref="AB12:AB14"/>
    <mergeCell ref="AB33:AB35"/>
    <mergeCell ref="AB36:AB38"/>
    <mergeCell ref="AB39:AB41"/>
    <mergeCell ref="AB42:AB44"/>
    <mergeCell ref="AB45:AB47"/>
    <mergeCell ref="AB48:AB50"/>
    <mergeCell ref="AB15:AB17"/>
    <mergeCell ref="AB18:AB20"/>
    <mergeCell ref="AB21:AB23"/>
    <mergeCell ref="AB24:AB26"/>
    <mergeCell ref="AB27:AB29"/>
    <mergeCell ref="AB30:AB32"/>
    <mergeCell ref="AB69:AB71"/>
    <mergeCell ref="AB72:AB74"/>
    <mergeCell ref="AB75:AB77"/>
    <mergeCell ref="AB78:AB80"/>
    <mergeCell ref="AB81:AB83"/>
    <mergeCell ref="AB84:AB86"/>
    <mergeCell ref="AB51:AB53"/>
    <mergeCell ref="AB54:AB56"/>
    <mergeCell ref="AB57:AB59"/>
    <mergeCell ref="AB60:AB62"/>
    <mergeCell ref="AB63:AB65"/>
    <mergeCell ref="AB66:AB68"/>
    <mergeCell ref="AB105:AB107"/>
    <mergeCell ref="AB108:AB110"/>
    <mergeCell ref="AB111:AB113"/>
    <mergeCell ref="AB114:AB116"/>
    <mergeCell ref="AB117:AB119"/>
    <mergeCell ref="AB120:AB122"/>
    <mergeCell ref="AB87:AB89"/>
    <mergeCell ref="AB90:AB92"/>
    <mergeCell ref="AB93:AB95"/>
    <mergeCell ref="AB96:AB98"/>
    <mergeCell ref="AB99:AB101"/>
    <mergeCell ref="AB102:AB104"/>
    <mergeCell ref="AB141:AB143"/>
    <mergeCell ref="AB144:AB146"/>
    <mergeCell ref="AB147:AB149"/>
    <mergeCell ref="AB150:AB152"/>
    <mergeCell ref="AB153:AB155"/>
    <mergeCell ref="AB156:AB158"/>
    <mergeCell ref="AB123:AB125"/>
    <mergeCell ref="AB126:AB128"/>
    <mergeCell ref="AB129:AB131"/>
    <mergeCell ref="AB132:AB134"/>
    <mergeCell ref="AB135:AB137"/>
    <mergeCell ref="AB138:AB140"/>
    <mergeCell ref="AB177:AB179"/>
    <mergeCell ref="AB180:AB182"/>
    <mergeCell ref="AB183:AB185"/>
    <mergeCell ref="AB186:AB188"/>
    <mergeCell ref="AB189:AB191"/>
    <mergeCell ref="AB192:AB194"/>
    <mergeCell ref="AB159:AB161"/>
    <mergeCell ref="AB162:AB164"/>
    <mergeCell ref="AB165:AB167"/>
    <mergeCell ref="AB168:AB170"/>
    <mergeCell ref="AB171:AB173"/>
    <mergeCell ref="AB174:AB176"/>
    <mergeCell ref="AB213:AB215"/>
    <mergeCell ref="AB216:AB218"/>
    <mergeCell ref="AB219:AB221"/>
    <mergeCell ref="AB222:AB224"/>
    <mergeCell ref="AB225:AB227"/>
    <mergeCell ref="AB228:AB230"/>
    <mergeCell ref="AB195:AB197"/>
    <mergeCell ref="AB198:AB200"/>
    <mergeCell ref="AB201:AB203"/>
    <mergeCell ref="AB204:AB206"/>
    <mergeCell ref="AB207:AB209"/>
    <mergeCell ref="AB210:AB212"/>
    <mergeCell ref="AB249:AB251"/>
    <mergeCell ref="AB252:AB254"/>
    <mergeCell ref="AB255:AB257"/>
    <mergeCell ref="AB258:AB260"/>
    <mergeCell ref="AB261:AB263"/>
    <mergeCell ref="AB264:AB266"/>
    <mergeCell ref="AB231:AB233"/>
    <mergeCell ref="AB234:AB236"/>
    <mergeCell ref="AB237:AB239"/>
    <mergeCell ref="AB240:AB242"/>
    <mergeCell ref="AB243:AB245"/>
    <mergeCell ref="AB246:AB248"/>
    <mergeCell ref="AB285:AB287"/>
    <mergeCell ref="AB288:AB290"/>
    <mergeCell ref="AB291:AB293"/>
    <mergeCell ref="AB294:AB296"/>
    <mergeCell ref="AB297:AB299"/>
    <mergeCell ref="AB300:AB302"/>
    <mergeCell ref="AB267:AB269"/>
    <mergeCell ref="AB270:AB272"/>
    <mergeCell ref="AB273:AB275"/>
    <mergeCell ref="AB276:AB278"/>
    <mergeCell ref="AB279:AB281"/>
    <mergeCell ref="AB282:AB284"/>
    <mergeCell ref="AB321:AB323"/>
    <mergeCell ref="AB324:AB326"/>
    <mergeCell ref="AB327:AB329"/>
    <mergeCell ref="AB330:AB332"/>
    <mergeCell ref="AB333:AB335"/>
    <mergeCell ref="AB336:AB338"/>
    <mergeCell ref="AB303:AB305"/>
    <mergeCell ref="AB306:AB308"/>
    <mergeCell ref="AB309:AB311"/>
    <mergeCell ref="AB312:AB314"/>
    <mergeCell ref="AB315:AB317"/>
    <mergeCell ref="AB318:AB320"/>
    <mergeCell ref="AB357:AB359"/>
    <mergeCell ref="AB360:AB362"/>
    <mergeCell ref="AB363:AB365"/>
    <mergeCell ref="AB366:AB368"/>
    <mergeCell ref="AB369:AB371"/>
    <mergeCell ref="AB372:AB374"/>
    <mergeCell ref="AB339:AB341"/>
    <mergeCell ref="AB342:AB344"/>
    <mergeCell ref="AB345:AB347"/>
    <mergeCell ref="AB348:AB350"/>
    <mergeCell ref="AB351:AB353"/>
    <mergeCell ref="AB354:AB356"/>
    <mergeCell ref="AB393:AB395"/>
    <mergeCell ref="AB396:AB398"/>
    <mergeCell ref="AB399:AB401"/>
    <mergeCell ref="AB402:AB404"/>
    <mergeCell ref="AB405:AB407"/>
    <mergeCell ref="AB408:AB410"/>
    <mergeCell ref="AB375:AB377"/>
    <mergeCell ref="AB378:AB380"/>
    <mergeCell ref="AB381:AB383"/>
    <mergeCell ref="AB384:AB386"/>
    <mergeCell ref="AB387:AB389"/>
    <mergeCell ref="AB390:AB392"/>
    <mergeCell ref="AB429:AB431"/>
    <mergeCell ref="AB432:AB434"/>
    <mergeCell ref="AB435:AB437"/>
    <mergeCell ref="AB438:AB440"/>
    <mergeCell ref="AB441:AB443"/>
    <mergeCell ref="AB444:AB446"/>
    <mergeCell ref="AB411:AB413"/>
    <mergeCell ref="AB414:AB416"/>
    <mergeCell ref="AB417:AB419"/>
    <mergeCell ref="AB420:AB422"/>
    <mergeCell ref="AB423:AB425"/>
    <mergeCell ref="AB426:AB428"/>
    <mergeCell ref="AB465:AB467"/>
    <mergeCell ref="AB468:AB470"/>
    <mergeCell ref="AB471:AB473"/>
    <mergeCell ref="AB474:AB476"/>
    <mergeCell ref="AB477:AB479"/>
    <mergeCell ref="AB480:AB482"/>
    <mergeCell ref="AB447:AB449"/>
    <mergeCell ref="AB450:AB452"/>
    <mergeCell ref="AB453:AB455"/>
    <mergeCell ref="AB456:AB458"/>
    <mergeCell ref="AB459:AB461"/>
    <mergeCell ref="AB462:AB464"/>
    <mergeCell ref="AB501:AB503"/>
    <mergeCell ref="AB504:AB506"/>
    <mergeCell ref="AB507:AB509"/>
    <mergeCell ref="AB510:AB512"/>
    <mergeCell ref="AB513:AB515"/>
    <mergeCell ref="AB516:AB518"/>
    <mergeCell ref="AB483:AB485"/>
    <mergeCell ref="AB486:AB488"/>
    <mergeCell ref="AB489:AB491"/>
    <mergeCell ref="AB492:AB494"/>
    <mergeCell ref="AB495:AB497"/>
    <mergeCell ref="AB498:AB500"/>
    <mergeCell ref="AB537:AB539"/>
    <mergeCell ref="AB540:AB542"/>
    <mergeCell ref="AB543:AB545"/>
    <mergeCell ref="AB519:AB521"/>
    <mergeCell ref="AB522:AB524"/>
    <mergeCell ref="AB525:AB527"/>
    <mergeCell ref="AB528:AB530"/>
    <mergeCell ref="AB531:AB533"/>
    <mergeCell ref="AB534:AB53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E75B2-C6BC-43F9-8B08-A106272964B7}">
  <dimension ref="B2:I65"/>
  <sheetViews>
    <sheetView zoomScale="110" zoomScaleNormal="110" workbookViewId="0">
      <selection activeCell="B2" sqref="B2:G58"/>
    </sheetView>
  </sheetViews>
  <sheetFormatPr baseColWidth="10" defaultColWidth="12.59765625" defaultRowHeight="13" x14ac:dyDescent="0.3"/>
  <cols>
    <col min="1" max="1" width="5.69921875" style="1" customWidth="1"/>
    <col min="2" max="2" width="15.8984375" style="1" customWidth="1"/>
    <col min="3" max="3" width="17.59765625" style="1" customWidth="1"/>
    <col min="4" max="4" width="15.296875" style="1" bestFit="1" customWidth="1"/>
    <col min="5" max="5" width="12.59765625" style="1" bestFit="1" customWidth="1"/>
    <col min="6" max="6" width="10.69921875" style="1" bestFit="1" customWidth="1"/>
    <col min="7" max="7" width="8.19921875" style="1" customWidth="1"/>
    <col min="8" max="8" width="9.69921875" style="1" customWidth="1"/>
    <col min="9" max="16384" width="12.59765625" style="1"/>
  </cols>
  <sheetData>
    <row r="2" spans="2:7" x14ac:dyDescent="0.3">
      <c r="B2" s="101" t="s">
        <v>51</v>
      </c>
      <c r="C2" s="101"/>
      <c r="D2" s="101"/>
      <c r="E2" s="101"/>
      <c r="F2" s="101"/>
      <c r="G2" s="101"/>
    </row>
    <row r="3" spans="2:7" x14ac:dyDescent="0.3">
      <c r="B3" s="102" t="s">
        <v>52</v>
      </c>
      <c r="C3" s="102"/>
      <c r="D3" s="102"/>
      <c r="E3" s="102"/>
      <c r="F3" s="102"/>
      <c r="G3" s="102"/>
    </row>
    <row r="4" spans="2:7" x14ac:dyDescent="0.3">
      <c r="B4" s="101" t="s">
        <v>53</v>
      </c>
      <c r="C4" s="101"/>
      <c r="D4" s="101"/>
      <c r="E4" s="101"/>
      <c r="F4" s="101"/>
      <c r="G4" s="101"/>
    </row>
    <row r="5" spans="2:7" x14ac:dyDescent="0.3">
      <c r="B5" s="101" t="s">
        <v>54</v>
      </c>
      <c r="C5" s="101"/>
      <c r="D5" s="101"/>
      <c r="E5" s="101"/>
      <c r="F5" s="101"/>
      <c r="G5" s="101"/>
    </row>
    <row r="6" spans="2:7" ht="9.65" customHeight="1" thickBot="1" x14ac:dyDescent="0.35">
      <c r="B6" s="44"/>
      <c r="C6" s="44"/>
      <c r="D6" s="44"/>
      <c r="E6" s="44"/>
      <c r="F6" s="44"/>
      <c r="G6" s="44"/>
    </row>
    <row r="7" spans="2:7" ht="13" customHeight="1" thickBot="1" x14ac:dyDescent="0.35">
      <c r="B7" s="103" t="s">
        <v>55</v>
      </c>
      <c r="C7" s="104"/>
      <c r="D7" s="105"/>
      <c r="E7" s="105"/>
      <c r="F7" s="105"/>
      <c r="G7" s="106"/>
    </row>
    <row r="8" spans="2:7" ht="18.75" customHeight="1" thickBot="1" x14ac:dyDescent="0.35">
      <c r="B8" s="107" t="s">
        <v>56</v>
      </c>
      <c r="C8" s="108" t="s">
        <v>57</v>
      </c>
      <c r="D8" s="109" t="s">
        <v>58</v>
      </c>
      <c r="E8" s="110"/>
      <c r="F8" s="110"/>
      <c r="G8" s="111"/>
    </row>
    <row r="9" spans="2:7" ht="26.5" thickBot="1" x14ac:dyDescent="0.35">
      <c r="B9" s="107"/>
      <c r="C9" s="107"/>
      <c r="D9" s="45" t="s">
        <v>59</v>
      </c>
      <c r="E9" s="46" t="s">
        <v>60</v>
      </c>
      <c r="F9" s="46" t="s">
        <v>61</v>
      </c>
      <c r="G9" s="47" t="s">
        <v>62</v>
      </c>
    </row>
    <row r="10" spans="2:7" ht="13.5" thickBot="1" x14ac:dyDescent="0.35">
      <c r="B10" s="48">
        <v>2026</v>
      </c>
      <c r="C10" s="49" t="s">
        <v>63</v>
      </c>
      <c r="D10" s="50">
        <v>199527149.68572468</v>
      </c>
      <c r="E10" s="51"/>
      <c r="F10" s="50">
        <f t="shared" ref="F10:F57" si="0">+D10*E10</f>
        <v>0</v>
      </c>
      <c r="G10" s="52"/>
    </row>
    <row r="11" spans="2:7" ht="13.5" thickBot="1" x14ac:dyDescent="0.35">
      <c r="B11" s="53">
        <v>2026</v>
      </c>
      <c r="C11" s="54" t="s">
        <v>64</v>
      </c>
      <c r="D11" s="55">
        <v>185219438.78659061</v>
      </c>
      <c r="E11" s="56"/>
      <c r="F11" s="55">
        <f t="shared" si="0"/>
        <v>0</v>
      </c>
      <c r="G11" s="52"/>
    </row>
    <row r="12" spans="2:7" ht="13.5" thickBot="1" x14ac:dyDescent="0.35">
      <c r="B12" s="53">
        <v>2026</v>
      </c>
      <c r="C12" s="54" t="s">
        <v>65</v>
      </c>
      <c r="D12" s="55">
        <v>258980266.09327894</v>
      </c>
      <c r="E12" s="56"/>
      <c r="F12" s="55">
        <f t="shared" si="0"/>
        <v>0</v>
      </c>
      <c r="G12" s="52"/>
    </row>
    <row r="13" spans="2:7" ht="13.5" thickBot="1" x14ac:dyDescent="0.35">
      <c r="B13" s="53">
        <v>2026</v>
      </c>
      <c r="C13" s="54" t="s">
        <v>66</v>
      </c>
      <c r="D13" s="55">
        <v>238384321.27785775</v>
      </c>
      <c r="E13" s="56"/>
      <c r="F13" s="55">
        <f t="shared" si="0"/>
        <v>0</v>
      </c>
      <c r="G13" s="52"/>
    </row>
    <row r="14" spans="2:7" ht="13.5" thickBot="1" x14ac:dyDescent="0.35">
      <c r="B14" s="53">
        <v>2026</v>
      </c>
      <c r="C14" s="54" t="s">
        <v>67</v>
      </c>
      <c r="D14" s="55">
        <v>252154852.2506488</v>
      </c>
      <c r="E14" s="56"/>
      <c r="F14" s="55">
        <f t="shared" si="0"/>
        <v>0</v>
      </c>
      <c r="G14" s="52"/>
    </row>
    <row r="15" spans="2:7" ht="13.5" thickBot="1" x14ac:dyDescent="0.35">
      <c r="B15" s="53">
        <v>2026</v>
      </c>
      <c r="C15" s="54" t="s">
        <v>68</v>
      </c>
      <c r="D15" s="55">
        <v>250024862.29819569</v>
      </c>
      <c r="E15" s="56"/>
      <c r="F15" s="55">
        <f t="shared" si="0"/>
        <v>0</v>
      </c>
      <c r="G15" s="52"/>
    </row>
    <row r="16" spans="2:7" ht="13.5" thickBot="1" x14ac:dyDescent="0.35">
      <c r="B16" s="53">
        <v>2026</v>
      </c>
      <c r="C16" s="54" t="s">
        <v>69</v>
      </c>
      <c r="D16" s="55">
        <v>250424849.68652076</v>
      </c>
      <c r="E16" s="56"/>
      <c r="F16" s="55">
        <f t="shared" si="0"/>
        <v>0</v>
      </c>
      <c r="G16" s="52"/>
    </row>
    <row r="17" spans="2:7" ht="13.5" thickBot="1" x14ac:dyDescent="0.35">
      <c r="B17" s="53">
        <v>2026</v>
      </c>
      <c r="C17" s="54" t="s">
        <v>70</v>
      </c>
      <c r="D17" s="55">
        <v>260767326.76998991</v>
      </c>
      <c r="E17" s="56"/>
      <c r="F17" s="55">
        <f t="shared" si="0"/>
        <v>0</v>
      </c>
      <c r="G17" s="52"/>
    </row>
    <row r="18" spans="2:7" ht="13.5" thickBot="1" x14ac:dyDescent="0.35">
      <c r="B18" s="53">
        <v>2026</v>
      </c>
      <c r="C18" s="54" t="s">
        <v>71</v>
      </c>
      <c r="D18" s="55">
        <v>254428254.16417238</v>
      </c>
      <c r="E18" s="56"/>
      <c r="F18" s="55">
        <f t="shared" si="0"/>
        <v>0</v>
      </c>
      <c r="G18" s="52"/>
    </row>
    <row r="19" spans="2:7" ht="13.5" thickBot="1" x14ac:dyDescent="0.35">
      <c r="B19" s="53">
        <v>2026</v>
      </c>
      <c r="C19" s="54" t="s">
        <v>72</v>
      </c>
      <c r="D19" s="55">
        <v>255290726.06314325</v>
      </c>
      <c r="E19" s="56"/>
      <c r="F19" s="55">
        <f t="shared" si="0"/>
        <v>0</v>
      </c>
      <c r="G19" s="52"/>
    </row>
    <row r="20" spans="2:7" ht="13.5" thickBot="1" x14ac:dyDescent="0.35">
      <c r="B20" s="53">
        <v>2026</v>
      </c>
      <c r="C20" s="54" t="s">
        <v>73</v>
      </c>
      <c r="D20" s="55">
        <v>237711095.91979927</v>
      </c>
      <c r="E20" s="56"/>
      <c r="F20" s="55">
        <f t="shared" si="0"/>
        <v>0</v>
      </c>
      <c r="G20" s="52"/>
    </row>
    <row r="21" spans="2:7" ht="13.5" thickBot="1" x14ac:dyDescent="0.35">
      <c r="B21" s="57">
        <v>2026</v>
      </c>
      <c r="C21" s="58" t="s">
        <v>74</v>
      </c>
      <c r="D21" s="59">
        <v>248100427.36013824</v>
      </c>
      <c r="E21" s="56"/>
      <c r="F21" s="59">
        <f t="shared" si="0"/>
        <v>0</v>
      </c>
      <c r="G21" s="52"/>
    </row>
    <row r="22" spans="2:7" ht="13.5" thickBot="1" x14ac:dyDescent="0.35">
      <c r="B22" s="48">
        <v>2027</v>
      </c>
      <c r="C22" s="49" t="s">
        <v>63</v>
      </c>
      <c r="D22" s="50">
        <v>175354132.92189598</v>
      </c>
      <c r="E22" s="56"/>
      <c r="F22" s="50">
        <f t="shared" si="0"/>
        <v>0</v>
      </c>
      <c r="G22" s="52"/>
    </row>
    <row r="23" spans="2:7" ht="13.5" thickBot="1" x14ac:dyDescent="0.35">
      <c r="B23" s="53">
        <v>2027</v>
      </c>
      <c r="C23" s="54" t="s">
        <v>64</v>
      </c>
      <c r="D23" s="55">
        <v>161314320.29831585</v>
      </c>
      <c r="E23" s="56"/>
      <c r="F23" s="55">
        <f t="shared" si="0"/>
        <v>0</v>
      </c>
      <c r="G23" s="52"/>
    </row>
    <row r="24" spans="2:7" ht="13.5" thickBot="1" x14ac:dyDescent="0.35">
      <c r="B24" s="53">
        <v>2027</v>
      </c>
      <c r="C24" s="54" t="s">
        <v>65</v>
      </c>
      <c r="D24" s="55">
        <v>193030827.0781295</v>
      </c>
      <c r="E24" s="56"/>
      <c r="F24" s="55">
        <f t="shared" si="0"/>
        <v>0</v>
      </c>
      <c r="G24" s="52"/>
    </row>
    <row r="25" spans="2:7" ht="13.5" thickBot="1" x14ac:dyDescent="0.35">
      <c r="B25" s="53">
        <v>2027</v>
      </c>
      <c r="C25" s="54" t="s">
        <v>66</v>
      </c>
      <c r="D25" s="55">
        <v>178292789.61719382</v>
      </c>
      <c r="E25" s="56"/>
      <c r="F25" s="55">
        <f t="shared" si="0"/>
        <v>0</v>
      </c>
      <c r="G25" s="52"/>
    </row>
    <row r="26" spans="2:7" ht="13.5" thickBot="1" x14ac:dyDescent="0.35">
      <c r="B26" s="53">
        <v>2027</v>
      </c>
      <c r="C26" s="54" t="s">
        <v>67</v>
      </c>
      <c r="D26" s="55">
        <v>186349103.88719469</v>
      </c>
      <c r="E26" s="56"/>
      <c r="F26" s="55">
        <f t="shared" si="0"/>
        <v>0</v>
      </c>
      <c r="G26" s="52"/>
    </row>
    <row r="27" spans="2:7" ht="13.5" thickBot="1" x14ac:dyDescent="0.35">
      <c r="B27" s="53">
        <v>2027</v>
      </c>
      <c r="C27" s="54" t="s">
        <v>68</v>
      </c>
      <c r="D27" s="55">
        <v>186529267.13325414</v>
      </c>
      <c r="E27" s="56"/>
      <c r="F27" s="55">
        <f t="shared" si="0"/>
        <v>0</v>
      </c>
      <c r="G27" s="52"/>
    </row>
    <row r="28" spans="2:7" ht="13.5" thickBot="1" x14ac:dyDescent="0.35">
      <c r="B28" s="53">
        <v>2027</v>
      </c>
      <c r="C28" s="54" t="s">
        <v>69</v>
      </c>
      <c r="D28" s="55">
        <v>185658004.74732736</v>
      </c>
      <c r="E28" s="56"/>
      <c r="F28" s="55">
        <f t="shared" si="0"/>
        <v>0</v>
      </c>
      <c r="G28" s="52"/>
    </row>
    <row r="29" spans="2:7" ht="13.5" thickBot="1" x14ac:dyDescent="0.35">
      <c r="B29" s="53">
        <v>2027</v>
      </c>
      <c r="C29" s="54" t="s">
        <v>70</v>
      </c>
      <c r="D29" s="55">
        <v>195638825.76584631</v>
      </c>
      <c r="E29" s="56"/>
      <c r="F29" s="55">
        <f t="shared" si="0"/>
        <v>0</v>
      </c>
      <c r="G29" s="52"/>
    </row>
    <row r="30" spans="2:7" ht="13.5" thickBot="1" x14ac:dyDescent="0.35">
      <c r="B30" s="53">
        <v>2027</v>
      </c>
      <c r="C30" s="54" t="s">
        <v>71</v>
      </c>
      <c r="D30" s="55">
        <v>189803729.13102126</v>
      </c>
      <c r="E30" s="56"/>
      <c r="F30" s="55">
        <f t="shared" si="0"/>
        <v>0</v>
      </c>
      <c r="G30" s="52"/>
    </row>
    <row r="31" spans="2:7" ht="13.5" thickBot="1" x14ac:dyDescent="0.35">
      <c r="B31" s="53">
        <v>2027</v>
      </c>
      <c r="C31" s="54" t="s">
        <v>72</v>
      </c>
      <c r="D31" s="55">
        <v>189313277.90924704</v>
      </c>
      <c r="E31" s="56"/>
      <c r="F31" s="55">
        <f t="shared" si="0"/>
        <v>0</v>
      </c>
      <c r="G31" s="52"/>
    </row>
    <row r="32" spans="2:7" ht="13.5" thickBot="1" x14ac:dyDescent="0.35">
      <c r="B32" s="53">
        <v>2027</v>
      </c>
      <c r="C32" s="54" t="s">
        <v>73</v>
      </c>
      <c r="D32" s="55">
        <v>178200968.99059027</v>
      </c>
      <c r="E32" s="56"/>
      <c r="F32" s="55">
        <f t="shared" si="0"/>
        <v>0</v>
      </c>
      <c r="G32" s="52"/>
    </row>
    <row r="33" spans="2:7" ht="13.5" thickBot="1" x14ac:dyDescent="0.35">
      <c r="B33" s="57">
        <v>2027</v>
      </c>
      <c r="C33" s="58" t="s">
        <v>74</v>
      </c>
      <c r="D33" s="59">
        <v>185916416.39025897</v>
      </c>
      <c r="E33" s="56"/>
      <c r="F33" s="59">
        <f t="shared" si="0"/>
        <v>0</v>
      </c>
      <c r="G33" s="52"/>
    </row>
    <row r="34" spans="2:7" ht="13.5" thickBot="1" x14ac:dyDescent="0.35">
      <c r="B34" s="48">
        <v>2028</v>
      </c>
      <c r="C34" s="49" t="s">
        <v>63</v>
      </c>
      <c r="D34" s="50">
        <v>226613155.67801452</v>
      </c>
      <c r="E34" s="56"/>
      <c r="F34" s="50">
        <f t="shared" si="0"/>
        <v>0</v>
      </c>
      <c r="G34" s="52"/>
    </row>
    <row r="35" spans="2:7" ht="13.5" thickBot="1" x14ac:dyDescent="0.35">
      <c r="B35" s="53">
        <v>2028</v>
      </c>
      <c r="C35" s="54" t="s">
        <v>64</v>
      </c>
      <c r="D35" s="55">
        <v>221385379.48032746</v>
      </c>
      <c r="E35" s="56"/>
      <c r="F35" s="55">
        <f t="shared" si="0"/>
        <v>0</v>
      </c>
      <c r="G35" s="52"/>
    </row>
    <row r="36" spans="2:7" ht="13.5" thickBot="1" x14ac:dyDescent="0.35">
      <c r="B36" s="53">
        <v>2028</v>
      </c>
      <c r="C36" s="54" t="s">
        <v>65</v>
      </c>
      <c r="D36" s="55">
        <v>246610802.53410688</v>
      </c>
      <c r="E36" s="56"/>
      <c r="F36" s="55">
        <f t="shared" si="0"/>
        <v>0</v>
      </c>
      <c r="G36" s="52"/>
    </row>
    <row r="37" spans="2:7" ht="13.5" thickBot="1" x14ac:dyDescent="0.35">
      <c r="B37" s="53">
        <v>2028</v>
      </c>
      <c r="C37" s="54" t="s">
        <v>66</v>
      </c>
      <c r="D37" s="55">
        <v>228176537.14560041</v>
      </c>
      <c r="E37" s="56"/>
      <c r="F37" s="55">
        <f t="shared" si="0"/>
        <v>0</v>
      </c>
      <c r="G37" s="52"/>
    </row>
    <row r="38" spans="2:7" ht="13.5" thickBot="1" x14ac:dyDescent="0.35">
      <c r="B38" s="53">
        <v>2028</v>
      </c>
      <c r="C38" s="54" t="s">
        <v>67</v>
      </c>
      <c r="D38" s="55">
        <v>245753929.0269376</v>
      </c>
      <c r="E38" s="56"/>
      <c r="F38" s="55">
        <f t="shared" si="0"/>
        <v>0</v>
      </c>
      <c r="G38" s="52"/>
    </row>
    <row r="39" spans="2:7" ht="13.5" thickBot="1" x14ac:dyDescent="0.35">
      <c r="B39" s="53">
        <v>2028</v>
      </c>
      <c r="C39" s="54" t="s">
        <v>68</v>
      </c>
      <c r="D39" s="55">
        <v>241612596.78269386</v>
      </c>
      <c r="E39" s="56"/>
      <c r="F39" s="55">
        <f t="shared" si="0"/>
        <v>0</v>
      </c>
      <c r="G39" s="52"/>
    </row>
    <row r="40" spans="2:7" ht="13.5" thickBot="1" x14ac:dyDescent="0.35">
      <c r="B40" s="53">
        <v>2028</v>
      </c>
      <c r="C40" s="54" t="s">
        <v>69</v>
      </c>
      <c r="D40" s="55">
        <v>242060528.65740111</v>
      </c>
      <c r="E40" s="56"/>
      <c r="F40" s="55">
        <f t="shared" si="0"/>
        <v>0</v>
      </c>
      <c r="G40" s="52"/>
    </row>
    <row r="41" spans="2:7" ht="13.5" thickBot="1" x14ac:dyDescent="0.35">
      <c r="B41" s="53">
        <v>2028</v>
      </c>
      <c r="C41" s="54" t="s">
        <v>70</v>
      </c>
      <c r="D41" s="55">
        <v>251517354.84029049</v>
      </c>
      <c r="E41" s="56"/>
      <c r="F41" s="55">
        <f t="shared" si="0"/>
        <v>0</v>
      </c>
      <c r="G41" s="52"/>
    </row>
    <row r="42" spans="2:7" ht="13.5" thickBot="1" x14ac:dyDescent="0.35">
      <c r="B42" s="53">
        <v>2028</v>
      </c>
      <c r="C42" s="54" t="s">
        <v>71</v>
      </c>
      <c r="D42" s="55">
        <v>244175488.86457074</v>
      </c>
      <c r="E42" s="56"/>
      <c r="F42" s="55">
        <f t="shared" si="0"/>
        <v>0</v>
      </c>
      <c r="G42" s="52"/>
    </row>
    <row r="43" spans="2:7" ht="13.5" thickBot="1" x14ac:dyDescent="0.35">
      <c r="B43" s="53">
        <v>2028</v>
      </c>
      <c r="C43" s="54" t="s">
        <v>72</v>
      </c>
      <c r="D43" s="55">
        <v>244960977.78055733</v>
      </c>
      <c r="E43" s="56"/>
      <c r="F43" s="55">
        <f t="shared" si="0"/>
        <v>0</v>
      </c>
      <c r="G43" s="52"/>
    </row>
    <row r="44" spans="2:7" ht="13.5" thickBot="1" x14ac:dyDescent="0.35">
      <c r="B44" s="53">
        <v>2028</v>
      </c>
      <c r="C44" s="54" t="s">
        <v>73</v>
      </c>
      <c r="D44" s="55">
        <v>231478338.09084278</v>
      </c>
      <c r="E44" s="56"/>
      <c r="F44" s="55">
        <f t="shared" si="0"/>
        <v>0</v>
      </c>
      <c r="G44" s="52"/>
    </row>
    <row r="45" spans="2:7" ht="13.5" thickBot="1" x14ac:dyDescent="0.35">
      <c r="B45" s="57">
        <v>2028</v>
      </c>
      <c r="C45" s="58" t="s">
        <v>74</v>
      </c>
      <c r="D45" s="59">
        <v>237605142.51943332</v>
      </c>
      <c r="E45" s="56"/>
      <c r="F45" s="59">
        <f t="shared" si="0"/>
        <v>0</v>
      </c>
      <c r="G45" s="52"/>
    </row>
    <row r="46" spans="2:7" ht="13.5" thickBot="1" x14ac:dyDescent="0.35">
      <c r="B46" s="48">
        <v>2029</v>
      </c>
      <c r="C46" s="49" t="s">
        <v>63</v>
      </c>
      <c r="D46" s="50">
        <v>221967042.21951401</v>
      </c>
      <c r="E46" s="56"/>
      <c r="F46" s="50">
        <f t="shared" si="0"/>
        <v>0</v>
      </c>
      <c r="G46" s="52"/>
    </row>
    <row r="47" spans="2:7" ht="13.5" thickBot="1" x14ac:dyDescent="0.35">
      <c r="B47" s="53">
        <v>2029</v>
      </c>
      <c r="C47" s="54" t="s">
        <v>64</v>
      </c>
      <c r="D47" s="55">
        <v>203647496.77203706</v>
      </c>
      <c r="E47" s="56"/>
      <c r="F47" s="55">
        <f t="shared" si="0"/>
        <v>0</v>
      </c>
      <c r="G47" s="52"/>
    </row>
    <row r="48" spans="2:7" ht="13.5" thickBot="1" x14ac:dyDescent="0.35">
      <c r="B48" s="53">
        <v>2029</v>
      </c>
      <c r="C48" s="54" t="s">
        <v>65</v>
      </c>
      <c r="D48" s="55">
        <v>237478012.2479443</v>
      </c>
      <c r="E48" s="56"/>
      <c r="F48" s="55">
        <f t="shared" si="0"/>
        <v>0</v>
      </c>
      <c r="G48" s="52"/>
    </row>
    <row r="49" spans="2:9" ht="13.5" thickBot="1" x14ac:dyDescent="0.35">
      <c r="B49" s="53">
        <v>2029</v>
      </c>
      <c r="C49" s="54" t="s">
        <v>66</v>
      </c>
      <c r="D49" s="55">
        <v>221980933.65968776</v>
      </c>
      <c r="E49" s="56"/>
      <c r="F49" s="55">
        <f t="shared" si="0"/>
        <v>0</v>
      </c>
      <c r="G49" s="52"/>
    </row>
    <row r="50" spans="2:9" ht="13.5" thickBot="1" x14ac:dyDescent="0.35">
      <c r="B50" s="53">
        <v>2029</v>
      </c>
      <c r="C50" s="54" t="s">
        <v>67</v>
      </c>
      <c r="D50" s="55">
        <v>236310558.17364123</v>
      </c>
      <c r="E50" s="56"/>
      <c r="F50" s="55">
        <f t="shared" si="0"/>
        <v>0</v>
      </c>
      <c r="G50" s="52"/>
    </row>
    <row r="51" spans="2:9" ht="13.5" thickBot="1" x14ac:dyDescent="0.35">
      <c r="B51" s="53">
        <v>2029</v>
      </c>
      <c r="C51" s="54" t="s">
        <v>68</v>
      </c>
      <c r="D51" s="55">
        <v>232129094.49215773</v>
      </c>
      <c r="E51" s="56"/>
      <c r="F51" s="55">
        <f t="shared" si="0"/>
        <v>0</v>
      </c>
      <c r="G51" s="52"/>
    </row>
    <row r="52" spans="2:9" ht="13.5" thickBot="1" x14ac:dyDescent="0.35">
      <c r="B52" s="53">
        <v>2029</v>
      </c>
      <c r="C52" s="54" t="s">
        <v>69</v>
      </c>
      <c r="D52" s="55">
        <v>233888028.58907813</v>
      </c>
      <c r="E52" s="56"/>
      <c r="F52" s="55">
        <f t="shared" si="0"/>
        <v>0</v>
      </c>
      <c r="G52" s="52"/>
    </row>
    <row r="53" spans="2:9" ht="13.5" thickBot="1" x14ac:dyDescent="0.35">
      <c r="B53" s="53">
        <v>2029</v>
      </c>
      <c r="C53" s="54" t="s">
        <v>70</v>
      </c>
      <c r="D53" s="55">
        <v>242442749.93570089</v>
      </c>
      <c r="E53" s="56"/>
      <c r="F53" s="55">
        <f t="shared" si="0"/>
        <v>0</v>
      </c>
      <c r="G53" s="52"/>
    </row>
    <row r="54" spans="2:9" ht="13.5" thickBot="1" x14ac:dyDescent="0.35">
      <c r="B54" s="53">
        <v>2029</v>
      </c>
      <c r="C54" s="54" t="s">
        <v>71</v>
      </c>
      <c r="D54" s="55">
        <v>234608993.66931665</v>
      </c>
      <c r="E54" s="56"/>
      <c r="F54" s="55">
        <f t="shared" si="0"/>
        <v>0</v>
      </c>
      <c r="G54" s="52"/>
    </row>
    <row r="55" spans="2:9" ht="13.5" thickBot="1" x14ac:dyDescent="0.35">
      <c r="B55" s="53">
        <v>2029</v>
      </c>
      <c r="C55" s="54" t="s">
        <v>72</v>
      </c>
      <c r="D55" s="55">
        <v>236046592.55223483</v>
      </c>
      <c r="E55" s="56"/>
      <c r="F55" s="55">
        <f t="shared" si="0"/>
        <v>0</v>
      </c>
      <c r="G55" s="52"/>
    </row>
    <row r="56" spans="2:9" ht="13.5" thickBot="1" x14ac:dyDescent="0.35">
      <c r="B56" s="53">
        <v>2029</v>
      </c>
      <c r="C56" s="54" t="s">
        <v>73</v>
      </c>
      <c r="D56" s="55">
        <v>222206057.00500607</v>
      </c>
      <c r="E56" s="56"/>
      <c r="F56" s="55">
        <f t="shared" si="0"/>
        <v>0</v>
      </c>
      <c r="G56" s="52"/>
    </row>
    <row r="57" spans="2:9" ht="13.5" thickBot="1" x14ac:dyDescent="0.35">
      <c r="B57" s="57">
        <v>2029</v>
      </c>
      <c r="C57" s="58" t="s">
        <v>74</v>
      </c>
      <c r="D57" s="59">
        <v>228863630.23393202</v>
      </c>
      <c r="E57" s="56"/>
      <c r="F57" s="59">
        <f t="shared" si="0"/>
        <v>0</v>
      </c>
      <c r="G57" s="60"/>
    </row>
    <row r="58" spans="2:9" ht="13.5" thickBot="1" x14ac:dyDescent="0.35">
      <c r="C58" s="61" t="s">
        <v>75</v>
      </c>
      <c r="D58" s="62">
        <f>SUM(D10:D57)</f>
        <v>10709934655.177364</v>
      </c>
      <c r="I58" s="115"/>
    </row>
    <row r="59" spans="2:9" x14ac:dyDescent="0.3">
      <c r="D59" s="17"/>
    </row>
    <row r="60" spans="2:9" x14ac:dyDescent="0.3">
      <c r="D60" s="17"/>
    </row>
    <row r="61" spans="2:9" x14ac:dyDescent="0.3">
      <c r="C61" s="1" t="s">
        <v>76</v>
      </c>
    </row>
    <row r="62" spans="2:9" x14ac:dyDescent="0.3">
      <c r="C62" s="63" t="s">
        <v>77</v>
      </c>
    </row>
    <row r="63" spans="2:9" x14ac:dyDescent="0.3">
      <c r="C63" s="1" t="s">
        <v>78</v>
      </c>
      <c r="F63" s="64"/>
    </row>
    <row r="64" spans="2:9" x14ac:dyDescent="0.3">
      <c r="C64" s="100" t="s">
        <v>79</v>
      </c>
      <c r="D64" s="100"/>
      <c r="E64" s="100"/>
      <c r="F64" s="100"/>
      <c r="G64" s="100"/>
      <c r="H64" s="100"/>
    </row>
    <row r="65" spans="3:8" x14ac:dyDescent="0.3">
      <c r="C65" s="100"/>
      <c r="D65" s="100"/>
      <c r="E65" s="100"/>
      <c r="F65" s="100"/>
      <c r="G65" s="100"/>
      <c r="H65" s="100"/>
    </row>
  </sheetData>
  <mergeCells count="9">
    <mergeCell ref="C64:H65"/>
    <mergeCell ref="B2:G2"/>
    <mergeCell ref="B3:G3"/>
    <mergeCell ref="B4:G4"/>
    <mergeCell ref="B5:G5"/>
    <mergeCell ref="B7:G7"/>
    <mergeCell ref="B8:B9"/>
    <mergeCell ref="C8:C9"/>
    <mergeCell ref="D8:G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EFC62-BC9C-4E7D-AB2B-0B0563410966}">
  <dimension ref="B2:J197"/>
  <sheetViews>
    <sheetView tabSelected="1" topLeftCell="A126" zoomScale="120" zoomScaleNormal="120" workbookViewId="0">
      <selection activeCell="B142" sqref="B142:G190"/>
    </sheetView>
  </sheetViews>
  <sheetFormatPr baseColWidth="10" defaultColWidth="12.59765625" defaultRowHeight="13" x14ac:dyDescent="0.3"/>
  <cols>
    <col min="1" max="1" width="5.69921875" style="1" customWidth="1"/>
    <col min="2" max="2" width="11" style="1" customWidth="1"/>
    <col min="3" max="3" width="16.5" style="1" bestFit="1" customWidth="1"/>
    <col min="4" max="4" width="18.3984375" style="1" bestFit="1" customWidth="1"/>
    <col min="5" max="5" width="18.5" style="1" customWidth="1"/>
    <col min="6" max="6" width="21.69921875" style="1" customWidth="1"/>
    <col min="7" max="7" width="17.8984375" style="1" customWidth="1"/>
    <col min="8" max="8" width="9.69921875" style="1" customWidth="1"/>
    <col min="9" max="9" width="18.69921875" style="1" customWidth="1"/>
    <col min="10" max="16384" width="12.59765625" style="1"/>
  </cols>
  <sheetData>
    <row r="2" spans="2:10" x14ac:dyDescent="0.3">
      <c r="B2" s="101" t="s">
        <v>80</v>
      </c>
      <c r="C2" s="101"/>
      <c r="D2" s="101"/>
      <c r="E2" s="101"/>
      <c r="F2" s="101"/>
      <c r="G2" s="101"/>
    </row>
    <row r="3" spans="2:10" x14ac:dyDescent="0.3">
      <c r="B3" s="102" t="s">
        <v>52</v>
      </c>
      <c r="C3" s="102"/>
      <c r="D3" s="102"/>
      <c r="E3" s="102"/>
      <c r="F3" s="102"/>
      <c r="G3" s="102"/>
    </row>
    <row r="4" spans="2:10" x14ac:dyDescent="0.3">
      <c r="B4" s="101" t="s">
        <v>53</v>
      </c>
      <c r="C4" s="101"/>
      <c r="D4" s="101"/>
      <c r="E4" s="101"/>
      <c r="F4" s="101"/>
      <c r="G4" s="101"/>
    </row>
    <row r="5" spans="2:10" x14ac:dyDescent="0.3">
      <c r="B5" s="101" t="s">
        <v>54</v>
      </c>
      <c r="C5" s="101"/>
      <c r="D5" s="101"/>
      <c r="E5" s="101"/>
      <c r="F5" s="101"/>
      <c r="G5" s="101"/>
    </row>
    <row r="6" spans="2:10" ht="9.65" customHeight="1" thickBot="1" x14ac:dyDescent="0.35">
      <c r="B6" s="44"/>
      <c r="C6" s="44"/>
      <c r="D6" s="44"/>
      <c r="E6" s="44"/>
      <c r="F6" s="44"/>
      <c r="G6" s="44"/>
    </row>
    <row r="7" spans="2:10" ht="13" customHeight="1" thickBot="1" x14ac:dyDescent="0.35">
      <c r="B7" s="103" t="s">
        <v>81</v>
      </c>
      <c r="C7" s="104"/>
      <c r="D7" s="104"/>
      <c r="E7" s="104"/>
      <c r="F7" s="104"/>
      <c r="G7" s="104"/>
    </row>
    <row r="8" spans="2:10" ht="18.75" customHeight="1" thickBot="1" x14ac:dyDescent="0.4">
      <c r="B8" s="112" t="s">
        <v>56</v>
      </c>
      <c r="C8" s="112" t="s">
        <v>57</v>
      </c>
      <c r="D8" s="109" t="s">
        <v>82</v>
      </c>
      <c r="E8" s="110"/>
      <c r="F8" s="110"/>
      <c r="G8" s="110"/>
      <c r="J8" s="33"/>
    </row>
    <row r="9" spans="2:10" ht="26.5" thickBot="1" x14ac:dyDescent="0.4">
      <c r="B9" s="107"/>
      <c r="C9" s="107"/>
      <c r="D9" s="65" t="s">
        <v>59</v>
      </c>
      <c r="E9" s="66" t="s">
        <v>60</v>
      </c>
      <c r="F9" s="66" t="s">
        <v>61</v>
      </c>
      <c r="G9" s="67" t="s">
        <v>62</v>
      </c>
      <c r="J9" s="33"/>
    </row>
    <row r="10" spans="2:10" ht="14.5" x14ac:dyDescent="0.35">
      <c r="B10" s="48">
        <v>2026</v>
      </c>
      <c r="C10" s="49" t="s">
        <v>63</v>
      </c>
      <c r="D10" s="50">
        <v>85511635.579596296</v>
      </c>
      <c r="E10" s="56"/>
      <c r="F10" s="50">
        <f>+D10*E10</f>
        <v>0</v>
      </c>
      <c r="G10" s="68"/>
      <c r="J10" s="33"/>
    </row>
    <row r="11" spans="2:10" ht="14.5" x14ac:dyDescent="0.35">
      <c r="B11" s="53">
        <v>2026</v>
      </c>
      <c r="C11" s="54" t="s">
        <v>64</v>
      </c>
      <c r="D11" s="55">
        <v>79379759.479967415</v>
      </c>
      <c r="E11" s="69"/>
      <c r="F11" s="55">
        <f t="shared" ref="F11:F74" si="0">+D11*E11</f>
        <v>0</v>
      </c>
      <c r="G11" s="70"/>
      <c r="J11" s="33"/>
    </row>
    <row r="12" spans="2:10" ht="14.5" x14ac:dyDescent="0.35">
      <c r="B12" s="53">
        <v>2026</v>
      </c>
      <c r="C12" s="54" t="s">
        <v>65</v>
      </c>
      <c r="D12" s="55">
        <v>110991542.61140525</v>
      </c>
      <c r="E12" s="69"/>
      <c r="F12" s="55">
        <f t="shared" si="0"/>
        <v>0</v>
      </c>
      <c r="G12" s="70"/>
      <c r="J12" s="33"/>
    </row>
    <row r="13" spans="2:10" ht="14.5" x14ac:dyDescent="0.35">
      <c r="B13" s="53">
        <v>2026</v>
      </c>
      <c r="C13" s="54" t="s">
        <v>66</v>
      </c>
      <c r="D13" s="55">
        <v>102164709.1190819</v>
      </c>
      <c r="E13" s="69"/>
      <c r="F13" s="55">
        <f t="shared" si="0"/>
        <v>0</v>
      </c>
      <c r="G13" s="70"/>
      <c r="J13" s="33"/>
    </row>
    <row r="14" spans="2:10" ht="14.5" x14ac:dyDescent="0.35">
      <c r="B14" s="53">
        <v>2026</v>
      </c>
      <c r="C14" s="54" t="s">
        <v>67</v>
      </c>
      <c r="D14" s="55">
        <v>108066365.25027806</v>
      </c>
      <c r="E14" s="69"/>
      <c r="F14" s="55">
        <f t="shared" si="0"/>
        <v>0</v>
      </c>
      <c r="G14" s="70"/>
      <c r="J14" s="33"/>
    </row>
    <row r="15" spans="2:10" ht="14.5" x14ac:dyDescent="0.35">
      <c r="B15" s="53">
        <v>2026</v>
      </c>
      <c r="C15" s="54" t="s">
        <v>68</v>
      </c>
      <c r="D15" s="55">
        <v>107153512.41351245</v>
      </c>
      <c r="E15" s="69"/>
      <c r="F15" s="55">
        <f t="shared" si="0"/>
        <v>0</v>
      </c>
      <c r="G15" s="70"/>
      <c r="J15" s="33"/>
    </row>
    <row r="16" spans="2:10" ht="14.5" x14ac:dyDescent="0.35">
      <c r="B16" s="53">
        <v>2026</v>
      </c>
      <c r="C16" s="54" t="s">
        <v>69</v>
      </c>
      <c r="D16" s="55">
        <v>107324935.57993749</v>
      </c>
      <c r="E16" s="69"/>
      <c r="F16" s="55">
        <f t="shared" si="0"/>
        <v>0</v>
      </c>
      <c r="G16" s="70"/>
      <c r="J16" s="33"/>
    </row>
    <row r="17" spans="2:10" ht="14.5" x14ac:dyDescent="0.35">
      <c r="B17" s="53">
        <v>2026</v>
      </c>
      <c r="C17" s="54" t="s">
        <v>70</v>
      </c>
      <c r="D17" s="55">
        <v>111757425.75856709</v>
      </c>
      <c r="E17" s="69"/>
      <c r="F17" s="55">
        <f t="shared" si="0"/>
        <v>0</v>
      </c>
      <c r="G17" s="70"/>
      <c r="J17" s="33"/>
    </row>
    <row r="18" spans="2:10" ht="14.5" x14ac:dyDescent="0.35">
      <c r="B18" s="53">
        <v>2026</v>
      </c>
      <c r="C18" s="54" t="s">
        <v>71</v>
      </c>
      <c r="D18" s="55">
        <v>109040680.35607389</v>
      </c>
      <c r="E18" s="69"/>
      <c r="F18" s="55">
        <f t="shared" si="0"/>
        <v>0</v>
      </c>
      <c r="G18" s="70"/>
      <c r="J18" s="33"/>
    </row>
    <row r="19" spans="2:10" ht="14.5" x14ac:dyDescent="0.35">
      <c r="B19" s="53">
        <v>2026</v>
      </c>
      <c r="C19" s="54" t="s">
        <v>72</v>
      </c>
      <c r="D19" s="55">
        <v>109410311.16991858</v>
      </c>
      <c r="E19" s="69"/>
      <c r="F19" s="55">
        <f t="shared" si="0"/>
        <v>0</v>
      </c>
      <c r="G19" s="70"/>
      <c r="J19" s="33"/>
    </row>
    <row r="20" spans="2:10" ht="14.5" x14ac:dyDescent="0.35">
      <c r="B20" s="53">
        <v>2026</v>
      </c>
      <c r="C20" s="54" t="s">
        <v>73</v>
      </c>
      <c r="D20" s="55">
        <v>101876183.9656283</v>
      </c>
      <c r="E20" s="69"/>
      <c r="F20" s="55">
        <f t="shared" si="0"/>
        <v>0</v>
      </c>
      <c r="G20" s="70"/>
      <c r="J20" s="33"/>
    </row>
    <row r="21" spans="2:10" ht="15" thickBot="1" x14ac:dyDescent="0.4">
      <c r="B21" s="57">
        <v>2026</v>
      </c>
      <c r="C21" s="58" t="s">
        <v>74</v>
      </c>
      <c r="D21" s="59">
        <v>106328754.58291639</v>
      </c>
      <c r="E21" s="71"/>
      <c r="F21" s="59">
        <f t="shared" si="0"/>
        <v>0</v>
      </c>
      <c r="G21" s="72"/>
      <c r="J21" s="33"/>
    </row>
    <row r="22" spans="2:10" ht="14.5" x14ac:dyDescent="0.35">
      <c r="B22" s="48">
        <v>2027</v>
      </c>
      <c r="C22" s="49" t="s">
        <v>63</v>
      </c>
      <c r="D22" s="50">
        <v>75151771.252241135</v>
      </c>
      <c r="E22" s="56"/>
      <c r="F22" s="50">
        <f t="shared" si="0"/>
        <v>0</v>
      </c>
      <c r="G22" s="68"/>
      <c r="J22" s="33"/>
    </row>
    <row r="23" spans="2:10" ht="14.5" x14ac:dyDescent="0.35">
      <c r="B23" s="53">
        <v>2027</v>
      </c>
      <c r="C23" s="54" t="s">
        <v>64</v>
      </c>
      <c r="D23" s="55">
        <v>69134708.699278235</v>
      </c>
      <c r="E23" s="69"/>
      <c r="F23" s="55">
        <f t="shared" si="0"/>
        <v>0</v>
      </c>
      <c r="G23" s="70"/>
      <c r="J23" s="33"/>
    </row>
    <row r="24" spans="2:10" ht="14.5" x14ac:dyDescent="0.35">
      <c r="B24" s="53">
        <v>2027</v>
      </c>
      <c r="C24" s="54" t="s">
        <v>65</v>
      </c>
      <c r="D24" s="55">
        <v>82727497.31919837</v>
      </c>
      <c r="E24" s="69"/>
      <c r="F24" s="55">
        <f t="shared" si="0"/>
        <v>0</v>
      </c>
      <c r="G24" s="70"/>
      <c r="J24" s="33"/>
    </row>
    <row r="25" spans="2:10" ht="14.5" x14ac:dyDescent="0.35">
      <c r="B25" s="53">
        <v>2027</v>
      </c>
      <c r="C25" s="54" t="s">
        <v>66</v>
      </c>
      <c r="D25" s="55">
        <v>76411195.550225928</v>
      </c>
      <c r="E25" s="69"/>
      <c r="F25" s="55">
        <f t="shared" si="0"/>
        <v>0</v>
      </c>
      <c r="G25" s="70"/>
      <c r="J25" s="33"/>
    </row>
    <row r="26" spans="2:10" x14ac:dyDescent="0.3">
      <c r="B26" s="53">
        <v>2027</v>
      </c>
      <c r="C26" s="54" t="s">
        <v>67</v>
      </c>
      <c r="D26" s="55">
        <v>79863901.665940583</v>
      </c>
      <c r="E26" s="69"/>
      <c r="F26" s="55">
        <f t="shared" si="0"/>
        <v>0</v>
      </c>
      <c r="G26" s="70"/>
    </row>
    <row r="27" spans="2:10" x14ac:dyDescent="0.3">
      <c r="B27" s="53">
        <v>2027</v>
      </c>
      <c r="C27" s="54" t="s">
        <v>68</v>
      </c>
      <c r="D27" s="55">
        <v>79941114.485680327</v>
      </c>
      <c r="E27" s="69"/>
      <c r="F27" s="55">
        <f t="shared" si="0"/>
        <v>0</v>
      </c>
      <c r="G27" s="70"/>
    </row>
    <row r="28" spans="2:10" x14ac:dyDescent="0.3">
      <c r="B28" s="53">
        <v>2027</v>
      </c>
      <c r="C28" s="54" t="s">
        <v>69</v>
      </c>
      <c r="D28" s="55">
        <v>79567716.320283145</v>
      </c>
      <c r="E28" s="69"/>
      <c r="F28" s="55">
        <f t="shared" si="0"/>
        <v>0</v>
      </c>
      <c r="G28" s="70"/>
    </row>
    <row r="29" spans="2:10" x14ac:dyDescent="0.3">
      <c r="B29" s="53">
        <v>2027</v>
      </c>
      <c r="C29" s="54" t="s">
        <v>70</v>
      </c>
      <c r="D29" s="55">
        <v>83845211.042505577</v>
      </c>
      <c r="E29" s="69"/>
      <c r="F29" s="55">
        <f t="shared" si="0"/>
        <v>0</v>
      </c>
      <c r="G29" s="70"/>
    </row>
    <row r="30" spans="2:10" x14ac:dyDescent="0.3">
      <c r="B30" s="53">
        <v>2027</v>
      </c>
      <c r="C30" s="54" t="s">
        <v>71</v>
      </c>
      <c r="D30" s="55">
        <v>81344455.341866255</v>
      </c>
      <c r="E30" s="69"/>
      <c r="F30" s="55">
        <f t="shared" si="0"/>
        <v>0</v>
      </c>
      <c r="G30" s="70"/>
    </row>
    <row r="31" spans="2:10" x14ac:dyDescent="0.3">
      <c r="B31" s="53">
        <v>2027</v>
      </c>
      <c r="C31" s="54" t="s">
        <v>72</v>
      </c>
      <c r="D31" s="55">
        <v>81134261.961105868</v>
      </c>
      <c r="E31" s="69"/>
      <c r="F31" s="55">
        <f t="shared" si="0"/>
        <v>0</v>
      </c>
      <c r="G31" s="70"/>
    </row>
    <row r="32" spans="2:10" x14ac:dyDescent="0.3">
      <c r="B32" s="53">
        <v>2027</v>
      </c>
      <c r="C32" s="54" t="s">
        <v>73</v>
      </c>
      <c r="D32" s="55">
        <v>76371843.85311012</v>
      </c>
      <c r="E32" s="69"/>
      <c r="F32" s="55">
        <f t="shared" si="0"/>
        <v>0</v>
      </c>
      <c r="G32" s="70"/>
    </row>
    <row r="33" spans="2:7" ht="13.5" thickBot="1" x14ac:dyDescent="0.35">
      <c r="B33" s="57">
        <v>2027</v>
      </c>
      <c r="C33" s="58" t="s">
        <v>74</v>
      </c>
      <c r="D33" s="59">
        <v>79678464.167253852</v>
      </c>
      <c r="E33" s="71"/>
      <c r="F33" s="59">
        <f t="shared" si="0"/>
        <v>0</v>
      </c>
      <c r="G33" s="72"/>
    </row>
    <row r="34" spans="2:7" x14ac:dyDescent="0.3">
      <c r="B34" s="48">
        <v>2028</v>
      </c>
      <c r="C34" s="49" t="s">
        <v>63</v>
      </c>
      <c r="D34" s="50">
        <v>97119923.862006247</v>
      </c>
      <c r="E34" s="56"/>
      <c r="F34" s="50">
        <f t="shared" si="0"/>
        <v>0</v>
      </c>
      <c r="G34" s="68"/>
    </row>
    <row r="35" spans="2:7" x14ac:dyDescent="0.3">
      <c r="B35" s="53">
        <v>2028</v>
      </c>
      <c r="C35" s="54" t="s">
        <v>64</v>
      </c>
      <c r="D35" s="55">
        <v>94879448.348711759</v>
      </c>
      <c r="E35" s="69"/>
      <c r="F35" s="55">
        <f t="shared" si="0"/>
        <v>0</v>
      </c>
      <c r="G35" s="70"/>
    </row>
    <row r="36" spans="2:7" x14ac:dyDescent="0.3">
      <c r="B36" s="53">
        <v>2028</v>
      </c>
      <c r="C36" s="54" t="s">
        <v>65</v>
      </c>
      <c r="D36" s="55">
        <v>105690343.94318865</v>
      </c>
      <c r="E36" s="69"/>
      <c r="F36" s="55">
        <f t="shared" si="0"/>
        <v>0</v>
      </c>
      <c r="G36" s="70"/>
    </row>
    <row r="37" spans="2:7" x14ac:dyDescent="0.3">
      <c r="B37" s="53">
        <v>2028</v>
      </c>
      <c r="C37" s="54" t="s">
        <v>66</v>
      </c>
      <c r="D37" s="55">
        <v>97789944.490971595</v>
      </c>
      <c r="E37" s="69"/>
      <c r="F37" s="55">
        <f t="shared" si="0"/>
        <v>0</v>
      </c>
      <c r="G37" s="70"/>
    </row>
    <row r="38" spans="2:7" x14ac:dyDescent="0.3">
      <c r="B38" s="53">
        <v>2028</v>
      </c>
      <c r="C38" s="54" t="s">
        <v>67</v>
      </c>
      <c r="D38" s="55">
        <v>105323112.44011612</v>
      </c>
      <c r="E38" s="69"/>
      <c r="F38" s="55">
        <f t="shared" si="0"/>
        <v>0</v>
      </c>
      <c r="G38" s="70"/>
    </row>
    <row r="39" spans="2:7" x14ac:dyDescent="0.3">
      <c r="B39" s="53">
        <v>2028</v>
      </c>
      <c r="C39" s="54" t="s">
        <v>68</v>
      </c>
      <c r="D39" s="55">
        <v>103548255.76401165</v>
      </c>
      <c r="E39" s="69"/>
      <c r="F39" s="55">
        <f t="shared" si="0"/>
        <v>0</v>
      </c>
      <c r="G39" s="70"/>
    </row>
    <row r="40" spans="2:7" x14ac:dyDescent="0.3">
      <c r="B40" s="53">
        <v>2028</v>
      </c>
      <c r="C40" s="54" t="s">
        <v>69</v>
      </c>
      <c r="D40" s="55">
        <v>103740226.5674576</v>
      </c>
      <c r="E40" s="69"/>
      <c r="F40" s="55">
        <f t="shared" si="0"/>
        <v>0</v>
      </c>
      <c r="G40" s="70"/>
    </row>
    <row r="41" spans="2:7" x14ac:dyDescent="0.3">
      <c r="B41" s="53">
        <v>2028</v>
      </c>
      <c r="C41" s="54" t="s">
        <v>70</v>
      </c>
      <c r="D41" s="55">
        <v>107793152.0744102</v>
      </c>
      <c r="E41" s="69"/>
      <c r="F41" s="55">
        <f t="shared" si="0"/>
        <v>0</v>
      </c>
      <c r="G41" s="70"/>
    </row>
    <row r="42" spans="2:7" x14ac:dyDescent="0.3">
      <c r="B42" s="53">
        <v>2028</v>
      </c>
      <c r="C42" s="54" t="s">
        <v>71</v>
      </c>
      <c r="D42" s="55">
        <v>104646638.08481604</v>
      </c>
      <c r="E42" s="69"/>
      <c r="F42" s="55">
        <f t="shared" si="0"/>
        <v>0</v>
      </c>
      <c r="G42" s="70"/>
    </row>
    <row r="43" spans="2:7" x14ac:dyDescent="0.3">
      <c r="B43" s="53">
        <v>2028</v>
      </c>
      <c r="C43" s="54" t="s">
        <v>72</v>
      </c>
      <c r="D43" s="55">
        <v>104983276.19166745</v>
      </c>
      <c r="E43" s="69"/>
      <c r="F43" s="55">
        <f t="shared" si="0"/>
        <v>0</v>
      </c>
      <c r="G43" s="70"/>
    </row>
    <row r="44" spans="2:7" x14ac:dyDescent="0.3">
      <c r="B44" s="53">
        <v>2028</v>
      </c>
      <c r="C44" s="54" t="s">
        <v>73</v>
      </c>
      <c r="D44" s="55">
        <v>99205002.038932636</v>
      </c>
      <c r="E44" s="69"/>
      <c r="F44" s="55">
        <f t="shared" si="0"/>
        <v>0</v>
      </c>
      <c r="G44" s="70"/>
    </row>
    <row r="45" spans="2:7" ht="13.5" thickBot="1" x14ac:dyDescent="0.35">
      <c r="B45" s="57">
        <v>2028</v>
      </c>
      <c r="C45" s="58" t="s">
        <v>74</v>
      </c>
      <c r="D45" s="59">
        <v>101830775.36547142</v>
      </c>
      <c r="E45" s="71"/>
      <c r="F45" s="59">
        <f t="shared" si="0"/>
        <v>0</v>
      </c>
      <c r="G45" s="72"/>
    </row>
    <row r="46" spans="2:7" x14ac:dyDescent="0.3">
      <c r="B46" s="48">
        <v>2029</v>
      </c>
      <c r="C46" s="49" t="s">
        <v>63</v>
      </c>
      <c r="D46" s="50">
        <v>93263463.117442846</v>
      </c>
      <c r="E46" s="56"/>
      <c r="F46" s="50">
        <f t="shared" si="0"/>
        <v>0</v>
      </c>
      <c r="G46" s="68"/>
    </row>
    <row r="47" spans="2:7" x14ac:dyDescent="0.3">
      <c r="B47" s="53">
        <v>2029</v>
      </c>
      <c r="C47" s="54" t="s">
        <v>64</v>
      </c>
      <c r="D47" s="55">
        <v>85566175.114301279</v>
      </c>
      <c r="E47" s="69"/>
      <c r="F47" s="55">
        <f t="shared" si="0"/>
        <v>0</v>
      </c>
      <c r="G47" s="70"/>
    </row>
    <row r="48" spans="2:7" x14ac:dyDescent="0.3">
      <c r="B48" s="53">
        <v>2029</v>
      </c>
      <c r="C48" s="54" t="s">
        <v>65</v>
      </c>
      <c r="D48" s="55">
        <v>99780677.415102676</v>
      </c>
      <c r="E48" s="69"/>
      <c r="F48" s="55">
        <f t="shared" si="0"/>
        <v>0</v>
      </c>
      <c r="G48" s="70"/>
    </row>
    <row r="49" spans="2:7" x14ac:dyDescent="0.3">
      <c r="B49" s="53">
        <v>2029</v>
      </c>
      <c r="C49" s="54" t="s">
        <v>66</v>
      </c>
      <c r="D49" s="55">
        <v>93269299.857011646</v>
      </c>
      <c r="E49" s="69"/>
      <c r="F49" s="55">
        <f t="shared" si="0"/>
        <v>0</v>
      </c>
      <c r="G49" s="70"/>
    </row>
    <row r="50" spans="2:7" x14ac:dyDescent="0.3">
      <c r="B50" s="53">
        <v>2029</v>
      </c>
      <c r="C50" s="54" t="s">
        <v>67</v>
      </c>
      <c r="D50" s="55">
        <v>99290150.493126571</v>
      </c>
      <c r="E50" s="69"/>
      <c r="F50" s="55">
        <f t="shared" si="0"/>
        <v>0</v>
      </c>
      <c r="G50" s="70"/>
    </row>
    <row r="51" spans="2:7" x14ac:dyDescent="0.3">
      <c r="B51" s="53">
        <v>2029</v>
      </c>
      <c r="C51" s="54" t="s">
        <v>68</v>
      </c>
      <c r="D51" s="55">
        <v>97533232.979898185</v>
      </c>
      <c r="E51" s="69"/>
      <c r="F51" s="55">
        <f t="shared" si="0"/>
        <v>0</v>
      </c>
      <c r="G51" s="70"/>
    </row>
    <row r="52" spans="2:7" x14ac:dyDescent="0.3">
      <c r="B52" s="53">
        <v>2029</v>
      </c>
      <c r="C52" s="54" t="s">
        <v>69</v>
      </c>
      <c r="D52" s="55">
        <v>98272280.919780731</v>
      </c>
      <c r="E52" s="69"/>
      <c r="F52" s="55">
        <f t="shared" si="0"/>
        <v>0</v>
      </c>
      <c r="G52" s="70"/>
    </row>
    <row r="53" spans="2:7" x14ac:dyDescent="0.3">
      <c r="B53" s="53">
        <v>2029</v>
      </c>
      <c r="C53" s="54" t="s">
        <v>70</v>
      </c>
      <c r="D53" s="55">
        <v>101866701.65365583</v>
      </c>
      <c r="E53" s="69"/>
      <c r="F53" s="55">
        <f t="shared" si="0"/>
        <v>0</v>
      </c>
      <c r="G53" s="70"/>
    </row>
    <row r="54" spans="2:7" x14ac:dyDescent="0.3">
      <c r="B54" s="53">
        <v>2029</v>
      </c>
      <c r="C54" s="54" t="s">
        <v>71</v>
      </c>
      <c r="D54" s="55">
        <v>98575207.424082637</v>
      </c>
      <c r="E54" s="69"/>
      <c r="F54" s="55">
        <f t="shared" si="0"/>
        <v>0</v>
      </c>
      <c r="G54" s="70"/>
    </row>
    <row r="55" spans="2:7" x14ac:dyDescent="0.3">
      <c r="B55" s="53">
        <v>2029</v>
      </c>
      <c r="C55" s="54" t="s">
        <v>72</v>
      </c>
      <c r="D55" s="55">
        <v>99179240.568165913</v>
      </c>
      <c r="E55" s="69"/>
      <c r="F55" s="55">
        <f t="shared" si="0"/>
        <v>0</v>
      </c>
      <c r="G55" s="70"/>
    </row>
    <row r="56" spans="2:7" x14ac:dyDescent="0.3">
      <c r="B56" s="53">
        <v>2029</v>
      </c>
      <c r="C56" s="54" t="s">
        <v>73</v>
      </c>
      <c r="D56" s="55">
        <v>93363889.497901738</v>
      </c>
      <c r="E56" s="69"/>
      <c r="F56" s="55">
        <f t="shared" si="0"/>
        <v>0</v>
      </c>
      <c r="G56" s="70"/>
    </row>
    <row r="57" spans="2:7" ht="13.5" thickBot="1" x14ac:dyDescent="0.35">
      <c r="B57" s="57">
        <v>2029</v>
      </c>
      <c r="C57" s="58" t="s">
        <v>74</v>
      </c>
      <c r="D57" s="59">
        <v>96161189.173921019</v>
      </c>
      <c r="E57" s="71"/>
      <c r="F57" s="59">
        <f t="shared" si="0"/>
        <v>0</v>
      </c>
      <c r="G57" s="72"/>
    </row>
    <row r="58" spans="2:7" x14ac:dyDescent="0.3">
      <c r="B58" s="48">
        <v>2030</v>
      </c>
      <c r="C58" s="49" t="s">
        <v>63</v>
      </c>
      <c r="D58" s="50">
        <v>207322225.9131991</v>
      </c>
      <c r="E58" s="56"/>
      <c r="F58" s="50">
        <f t="shared" si="0"/>
        <v>0</v>
      </c>
      <c r="G58" s="68"/>
    </row>
    <row r="59" spans="2:7" x14ac:dyDescent="0.3">
      <c r="B59" s="53">
        <v>2030</v>
      </c>
      <c r="C59" s="54" t="s">
        <v>64</v>
      </c>
      <c r="D59" s="55">
        <v>190279455.9339155</v>
      </c>
      <c r="E59" s="69"/>
      <c r="F59" s="55">
        <f t="shared" si="0"/>
        <v>0</v>
      </c>
      <c r="G59" s="70"/>
    </row>
    <row r="60" spans="2:7" x14ac:dyDescent="0.3">
      <c r="B60" s="53">
        <v>2030</v>
      </c>
      <c r="C60" s="54" t="s">
        <v>65</v>
      </c>
      <c r="D60" s="55">
        <v>222149574.6903078</v>
      </c>
      <c r="E60" s="69"/>
      <c r="F60" s="55">
        <f t="shared" si="0"/>
        <v>0</v>
      </c>
      <c r="G60" s="70"/>
    </row>
    <row r="61" spans="2:7" x14ac:dyDescent="0.3">
      <c r="B61" s="53">
        <v>2030</v>
      </c>
      <c r="C61" s="54" t="s">
        <v>66</v>
      </c>
      <c r="D61" s="55">
        <v>206830246.62697989</v>
      </c>
      <c r="E61" s="69"/>
      <c r="F61" s="55">
        <f t="shared" si="0"/>
        <v>0</v>
      </c>
      <c r="G61" s="70"/>
    </row>
    <row r="62" spans="2:7" x14ac:dyDescent="0.3">
      <c r="B62" s="53">
        <v>2030</v>
      </c>
      <c r="C62" s="54" t="s">
        <v>67</v>
      </c>
      <c r="D62" s="55">
        <v>221533247.65976125</v>
      </c>
      <c r="E62" s="69"/>
      <c r="F62" s="55">
        <f t="shared" si="0"/>
        <v>0</v>
      </c>
      <c r="G62" s="70"/>
    </row>
    <row r="63" spans="2:7" x14ac:dyDescent="0.3">
      <c r="B63" s="53">
        <v>2030</v>
      </c>
      <c r="C63" s="54" t="s">
        <v>68</v>
      </c>
      <c r="D63" s="55">
        <v>216050506.24747014</v>
      </c>
      <c r="E63" s="69"/>
      <c r="F63" s="55">
        <f t="shared" si="0"/>
        <v>0</v>
      </c>
      <c r="G63" s="70"/>
    </row>
    <row r="64" spans="2:7" x14ac:dyDescent="0.3">
      <c r="B64" s="53">
        <v>2030</v>
      </c>
      <c r="C64" s="54" t="s">
        <v>69</v>
      </c>
      <c r="D64" s="55">
        <v>219629966.79120675</v>
      </c>
      <c r="E64" s="69"/>
      <c r="F64" s="55">
        <f t="shared" si="0"/>
        <v>0</v>
      </c>
      <c r="G64" s="70"/>
    </row>
    <row r="65" spans="2:7" x14ac:dyDescent="0.3">
      <c r="B65" s="53">
        <v>2030</v>
      </c>
      <c r="C65" s="54" t="s">
        <v>70</v>
      </c>
      <c r="D65" s="55">
        <v>224963285.41328794</v>
      </c>
      <c r="E65" s="69"/>
      <c r="F65" s="55">
        <f t="shared" si="0"/>
        <v>0</v>
      </c>
      <c r="G65" s="70"/>
    </row>
    <row r="66" spans="2:7" x14ac:dyDescent="0.3">
      <c r="B66" s="53">
        <v>2030</v>
      </c>
      <c r="C66" s="54" t="s">
        <v>71</v>
      </c>
      <c r="D66" s="55">
        <v>218392299.7930119</v>
      </c>
      <c r="E66" s="69"/>
      <c r="F66" s="55">
        <f t="shared" si="0"/>
        <v>0</v>
      </c>
      <c r="G66" s="70"/>
    </row>
    <row r="67" spans="2:7" x14ac:dyDescent="0.3">
      <c r="B67" s="53">
        <v>2030</v>
      </c>
      <c r="C67" s="54" t="s">
        <v>72</v>
      </c>
      <c r="D67" s="55">
        <v>220381284.62890357</v>
      </c>
      <c r="E67" s="69"/>
      <c r="F67" s="55">
        <f t="shared" si="0"/>
        <v>0</v>
      </c>
      <c r="G67" s="70"/>
    </row>
    <row r="68" spans="2:7" x14ac:dyDescent="0.3">
      <c r="B68" s="53">
        <v>2030</v>
      </c>
      <c r="C68" s="54" t="s">
        <v>73</v>
      </c>
      <c r="D68" s="55">
        <v>207430032.70722815</v>
      </c>
      <c r="E68" s="69"/>
      <c r="F68" s="55">
        <f t="shared" si="0"/>
        <v>0</v>
      </c>
      <c r="G68" s="70"/>
    </row>
    <row r="69" spans="2:7" ht="13.5" thickBot="1" x14ac:dyDescent="0.35">
      <c r="B69" s="57">
        <v>2030</v>
      </c>
      <c r="C69" s="58" t="s">
        <v>74</v>
      </c>
      <c r="D69" s="59">
        <v>214084737.5947367</v>
      </c>
      <c r="E69" s="71"/>
      <c r="F69" s="59">
        <f t="shared" si="0"/>
        <v>0</v>
      </c>
      <c r="G69" s="72"/>
    </row>
    <row r="70" spans="2:7" x14ac:dyDescent="0.3">
      <c r="B70" s="48">
        <v>2031</v>
      </c>
      <c r="C70" s="49" t="s">
        <v>63</v>
      </c>
      <c r="D70" s="50">
        <v>207148304.46886009</v>
      </c>
      <c r="E70" s="56"/>
      <c r="F70" s="50">
        <f t="shared" si="0"/>
        <v>0</v>
      </c>
      <c r="G70" s="68"/>
    </row>
    <row r="71" spans="2:7" x14ac:dyDescent="0.3">
      <c r="B71" s="53">
        <v>2031</v>
      </c>
      <c r="C71" s="54" t="s">
        <v>64</v>
      </c>
      <c r="D71" s="55">
        <v>190393209.30087736</v>
      </c>
      <c r="E71" s="69"/>
      <c r="F71" s="55">
        <f t="shared" si="0"/>
        <v>0</v>
      </c>
      <c r="G71" s="70"/>
    </row>
    <row r="72" spans="2:7" x14ac:dyDescent="0.3">
      <c r="B72" s="53">
        <v>2031</v>
      </c>
      <c r="C72" s="54" t="s">
        <v>65</v>
      </c>
      <c r="D72" s="55">
        <v>221865058.17281514</v>
      </c>
      <c r="E72" s="69"/>
      <c r="F72" s="55">
        <f t="shared" si="0"/>
        <v>0</v>
      </c>
      <c r="G72" s="70"/>
    </row>
    <row r="73" spans="2:7" x14ac:dyDescent="0.3">
      <c r="B73" s="53">
        <v>2031</v>
      </c>
      <c r="C73" s="54" t="s">
        <v>66</v>
      </c>
      <c r="D73" s="55">
        <v>207519288.18316159</v>
      </c>
      <c r="E73" s="69"/>
      <c r="F73" s="55">
        <f t="shared" si="0"/>
        <v>0</v>
      </c>
      <c r="G73" s="70"/>
    </row>
    <row r="74" spans="2:7" x14ac:dyDescent="0.3">
      <c r="B74" s="53">
        <v>2031</v>
      </c>
      <c r="C74" s="54" t="s">
        <v>67</v>
      </c>
      <c r="D74" s="55">
        <v>220941977.28206995</v>
      </c>
      <c r="E74" s="69"/>
      <c r="F74" s="55">
        <f t="shared" si="0"/>
        <v>0</v>
      </c>
      <c r="G74" s="70"/>
    </row>
    <row r="75" spans="2:7" x14ac:dyDescent="0.3">
      <c r="B75" s="53">
        <v>2031</v>
      </c>
      <c r="C75" s="54" t="s">
        <v>68</v>
      </c>
      <c r="D75" s="55">
        <v>216089372.38828433</v>
      </c>
      <c r="E75" s="69"/>
      <c r="F75" s="55">
        <f t="shared" ref="F75:F138" si="1">+D75*E75</f>
        <v>0</v>
      </c>
      <c r="G75" s="70"/>
    </row>
    <row r="76" spans="2:7" x14ac:dyDescent="0.3">
      <c r="B76" s="53">
        <v>2031</v>
      </c>
      <c r="C76" s="54" t="s">
        <v>69</v>
      </c>
      <c r="D76" s="55">
        <v>220031667.29057121</v>
      </c>
      <c r="E76" s="69"/>
      <c r="F76" s="55">
        <f t="shared" si="1"/>
        <v>0</v>
      </c>
      <c r="G76" s="70"/>
    </row>
    <row r="77" spans="2:7" x14ac:dyDescent="0.3">
      <c r="B77" s="53">
        <v>2031</v>
      </c>
      <c r="C77" s="54" t="s">
        <v>70</v>
      </c>
      <c r="D77" s="55">
        <v>223621890.90611297</v>
      </c>
      <c r="E77" s="69"/>
      <c r="F77" s="55">
        <f t="shared" si="1"/>
        <v>0</v>
      </c>
      <c r="G77" s="70"/>
    </row>
    <row r="78" spans="2:7" x14ac:dyDescent="0.3">
      <c r="B78" s="53">
        <v>2031</v>
      </c>
      <c r="C78" s="54" t="s">
        <v>71</v>
      </c>
      <c r="D78" s="55">
        <v>218881766.62852803</v>
      </c>
      <c r="E78" s="69"/>
      <c r="F78" s="55">
        <f t="shared" si="1"/>
        <v>0</v>
      </c>
      <c r="G78" s="70"/>
    </row>
    <row r="79" spans="2:7" x14ac:dyDescent="0.3">
      <c r="B79" s="53">
        <v>2031</v>
      </c>
      <c r="C79" s="54" t="s">
        <v>72</v>
      </c>
      <c r="D79" s="55">
        <v>220492826.9576419</v>
      </c>
      <c r="E79" s="69"/>
      <c r="F79" s="55">
        <f t="shared" si="1"/>
        <v>0</v>
      </c>
      <c r="G79" s="70"/>
    </row>
    <row r="80" spans="2:7" x14ac:dyDescent="0.3">
      <c r="B80" s="53">
        <v>2031</v>
      </c>
      <c r="C80" s="54" t="s">
        <v>73</v>
      </c>
      <c r="D80" s="55">
        <v>206818311.95263487</v>
      </c>
      <c r="E80" s="69"/>
      <c r="F80" s="55">
        <f t="shared" si="1"/>
        <v>0</v>
      </c>
      <c r="G80" s="70"/>
    </row>
    <row r="81" spans="2:7" ht="13.5" thickBot="1" x14ac:dyDescent="0.35">
      <c r="B81" s="57">
        <v>2031</v>
      </c>
      <c r="C81" s="58" t="s">
        <v>74</v>
      </c>
      <c r="D81" s="59">
        <v>214301493.46844977</v>
      </c>
      <c r="E81" s="71"/>
      <c r="F81" s="59">
        <f t="shared" si="1"/>
        <v>0</v>
      </c>
      <c r="G81" s="72"/>
    </row>
    <row r="82" spans="2:7" x14ac:dyDescent="0.3">
      <c r="B82" s="48">
        <v>2032</v>
      </c>
      <c r="C82" s="49" t="s">
        <v>63</v>
      </c>
      <c r="D82" s="50">
        <v>205112650.69416034</v>
      </c>
      <c r="E82" s="56"/>
      <c r="F82" s="50">
        <f t="shared" si="1"/>
        <v>0</v>
      </c>
      <c r="G82" s="68"/>
    </row>
    <row r="83" spans="2:7" x14ac:dyDescent="0.3">
      <c r="B83" s="53">
        <v>2032</v>
      </c>
      <c r="C83" s="54" t="s">
        <v>64</v>
      </c>
      <c r="D83" s="55">
        <v>198905556.93079588</v>
      </c>
      <c r="E83" s="69"/>
      <c r="F83" s="55">
        <f t="shared" si="1"/>
        <v>0</v>
      </c>
      <c r="G83" s="70"/>
    </row>
    <row r="84" spans="2:7" x14ac:dyDescent="0.3">
      <c r="B84" s="53">
        <v>2032</v>
      </c>
      <c r="C84" s="54" t="s">
        <v>65</v>
      </c>
      <c r="D84" s="55">
        <v>219457768.2039836</v>
      </c>
      <c r="E84" s="69"/>
      <c r="F84" s="55">
        <f t="shared" si="1"/>
        <v>0</v>
      </c>
      <c r="G84" s="70"/>
    </row>
    <row r="85" spans="2:7" x14ac:dyDescent="0.3">
      <c r="B85" s="53">
        <v>2032</v>
      </c>
      <c r="C85" s="54" t="s">
        <v>66</v>
      </c>
      <c r="D85" s="55">
        <v>207635764.81753772</v>
      </c>
      <c r="E85" s="69"/>
      <c r="F85" s="55">
        <f t="shared" si="1"/>
        <v>0</v>
      </c>
      <c r="G85" s="70"/>
    </row>
    <row r="86" spans="2:7" x14ac:dyDescent="0.3">
      <c r="B86" s="53">
        <v>2032</v>
      </c>
      <c r="C86" s="54" t="s">
        <v>67</v>
      </c>
      <c r="D86" s="55">
        <v>218068670.73101592</v>
      </c>
      <c r="E86" s="69"/>
      <c r="F86" s="55">
        <f t="shared" si="1"/>
        <v>0</v>
      </c>
      <c r="G86" s="70"/>
    </row>
    <row r="87" spans="2:7" x14ac:dyDescent="0.3">
      <c r="B87" s="53">
        <v>2032</v>
      </c>
      <c r="C87" s="54" t="s">
        <v>68</v>
      </c>
      <c r="D87" s="55">
        <v>216564667.7007966</v>
      </c>
      <c r="E87" s="69"/>
      <c r="F87" s="55">
        <f t="shared" si="1"/>
        <v>0</v>
      </c>
      <c r="G87" s="70"/>
    </row>
    <row r="88" spans="2:7" x14ac:dyDescent="0.3">
      <c r="B88" s="53">
        <v>2032</v>
      </c>
      <c r="C88" s="54" t="s">
        <v>69</v>
      </c>
      <c r="D88" s="55">
        <v>217414419.53734618</v>
      </c>
      <c r="E88" s="69"/>
      <c r="F88" s="55">
        <f t="shared" si="1"/>
        <v>0</v>
      </c>
      <c r="G88" s="70"/>
    </row>
    <row r="89" spans="2:7" x14ac:dyDescent="0.3">
      <c r="B89" s="53">
        <v>2032</v>
      </c>
      <c r="C89" s="54" t="s">
        <v>70</v>
      </c>
      <c r="D89" s="55">
        <v>224063248.0072588</v>
      </c>
      <c r="E89" s="69"/>
      <c r="F89" s="55">
        <f t="shared" si="1"/>
        <v>0</v>
      </c>
      <c r="G89" s="70"/>
    </row>
    <row r="90" spans="2:7" x14ac:dyDescent="0.3">
      <c r="B90" s="53">
        <v>2032</v>
      </c>
      <c r="C90" s="54" t="s">
        <v>71</v>
      </c>
      <c r="D90" s="55">
        <v>218042145.40055141</v>
      </c>
      <c r="E90" s="69"/>
      <c r="F90" s="55">
        <f t="shared" si="1"/>
        <v>0</v>
      </c>
      <c r="G90" s="70"/>
    </row>
    <row r="91" spans="2:7" x14ac:dyDescent="0.3">
      <c r="B91" s="53">
        <v>2032</v>
      </c>
      <c r="C91" s="54" t="s">
        <v>72</v>
      </c>
      <c r="D91" s="55">
        <v>217424520.21001771</v>
      </c>
      <c r="E91" s="69"/>
      <c r="F91" s="55">
        <f t="shared" si="1"/>
        <v>0</v>
      </c>
      <c r="G91" s="70"/>
    </row>
    <row r="92" spans="2:7" x14ac:dyDescent="0.3">
      <c r="B92" s="53">
        <v>2032</v>
      </c>
      <c r="C92" s="54" t="s">
        <v>73</v>
      </c>
      <c r="D92" s="55">
        <v>207017072.08693734</v>
      </c>
      <c r="E92" s="69"/>
      <c r="F92" s="55">
        <f t="shared" si="1"/>
        <v>0</v>
      </c>
      <c r="G92" s="70"/>
    </row>
    <row r="93" spans="2:7" ht="13.5" thickBot="1" x14ac:dyDescent="0.35">
      <c r="B93" s="57">
        <v>2032</v>
      </c>
      <c r="C93" s="58" t="s">
        <v>74</v>
      </c>
      <c r="D93" s="59">
        <v>213395158.67959622</v>
      </c>
      <c r="E93" s="71"/>
      <c r="F93" s="59">
        <f t="shared" si="1"/>
        <v>0</v>
      </c>
      <c r="G93" s="72"/>
    </row>
    <row r="94" spans="2:7" x14ac:dyDescent="0.3">
      <c r="B94" s="48">
        <v>2033</v>
      </c>
      <c r="C94" s="49" t="s">
        <v>63</v>
      </c>
      <c r="D94" s="50">
        <v>206040831.49876669</v>
      </c>
      <c r="E94" s="56"/>
      <c r="F94" s="50">
        <f t="shared" si="1"/>
        <v>0</v>
      </c>
      <c r="G94" s="68"/>
    </row>
    <row r="95" spans="2:7" x14ac:dyDescent="0.3">
      <c r="B95" s="53">
        <v>2033</v>
      </c>
      <c r="C95" s="54" t="s">
        <v>64</v>
      </c>
      <c r="D95" s="55">
        <v>190122071.29372454</v>
      </c>
      <c r="E95" s="69"/>
      <c r="F95" s="55">
        <f t="shared" si="1"/>
        <v>0</v>
      </c>
      <c r="G95" s="70"/>
    </row>
    <row r="96" spans="2:7" x14ac:dyDescent="0.3">
      <c r="B96" s="53">
        <v>2033</v>
      </c>
      <c r="C96" s="54" t="s">
        <v>65</v>
      </c>
      <c r="D96" s="55">
        <v>222175569.93148154</v>
      </c>
      <c r="E96" s="69"/>
      <c r="F96" s="55">
        <f t="shared" si="1"/>
        <v>0</v>
      </c>
      <c r="G96" s="70"/>
    </row>
    <row r="97" spans="2:7" x14ac:dyDescent="0.3">
      <c r="B97" s="53">
        <v>2033</v>
      </c>
      <c r="C97" s="54" t="s">
        <v>66</v>
      </c>
      <c r="D97" s="55">
        <v>206527414.0764927</v>
      </c>
      <c r="E97" s="69"/>
      <c r="F97" s="55">
        <f t="shared" si="1"/>
        <v>0</v>
      </c>
      <c r="G97" s="70"/>
    </row>
    <row r="98" spans="2:7" x14ac:dyDescent="0.3">
      <c r="B98" s="53">
        <v>2033</v>
      </c>
      <c r="C98" s="54" t="s">
        <v>67</v>
      </c>
      <c r="D98" s="55">
        <v>219943730.65090322</v>
      </c>
      <c r="E98" s="69"/>
      <c r="F98" s="55">
        <f t="shared" si="1"/>
        <v>0</v>
      </c>
      <c r="G98" s="70"/>
    </row>
    <row r="99" spans="2:7" x14ac:dyDescent="0.3">
      <c r="B99" s="53">
        <v>2033</v>
      </c>
      <c r="C99" s="54" t="s">
        <v>68</v>
      </c>
      <c r="D99" s="55">
        <v>216775001.37481588</v>
      </c>
      <c r="E99" s="69"/>
      <c r="F99" s="55">
        <f t="shared" si="1"/>
        <v>0</v>
      </c>
      <c r="G99" s="70"/>
    </row>
    <row r="100" spans="2:7" x14ac:dyDescent="0.3">
      <c r="B100" s="53">
        <v>2033</v>
      </c>
      <c r="C100" s="54" t="s">
        <v>69</v>
      </c>
      <c r="D100" s="55">
        <v>216909089.26939696</v>
      </c>
      <c r="E100" s="69"/>
      <c r="F100" s="55">
        <f t="shared" si="1"/>
        <v>0</v>
      </c>
      <c r="G100" s="70"/>
    </row>
    <row r="101" spans="2:7" x14ac:dyDescent="0.3">
      <c r="B101" s="53">
        <v>2033</v>
      </c>
      <c r="C101" s="54" t="s">
        <v>70</v>
      </c>
      <c r="D101" s="55">
        <v>225218938.34129888</v>
      </c>
      <c r="E101" s="69"/>
      <c r="F101" s="55">
        <f t="shared" si="1"/>
        <v>0</v>
      </c>
      <c r="G101" s="70"/>
    </row>
    <row r="102" spans="2:7" x14ac:dyDescent="0.3">
      <c r="B102" s="53">
        <v>2033</v>
      </c>
      <c r="C102" s="54" t="s">
        <v>71</v>
      </c>
      <c r="D102" s="55">
        <v>218460742.70884782</v>
      </c>
      <c r="E102" s="69"/>
      <c r="F102" s="55">
        <f t="shared" si="1"/>
        <v>0</v>
      </c>
      <c r="G102" s="70"/>
    </row>
    <row r="103" spans="2:7" x14ac:dyDescent="0.3">
      <c r="B103" s="53">
        <v>2033</v>
      </c>
      <c r="C103" s="54" t="s">
        <v>72</v>
      </c>
      <c r="D103" s="55">
        <v>217808195.02958071</v>
      </c>
      <c r="E103" s="69"/>
      <c r="F103" s="55">
        <f t="shared" si="1"/>
        <v>0</v>
      </c>
      <c r="G103" s="70"/>
    </row>
    <row r="104" spans="2:7" x14ac:dyDescent="0.3">
      <c r="B104" s="53">
        <v>2033</v>
      </c>
      <c r="C104" s="54" t="s">
        <v>73</v>
      </c>
      <c r="D104" s="55">
        <v>207625911.70293784</v>
      </c>
      <c r="E104" s="69"/>
      <c r="F104" s="55">
        <f t="shared" si="1"/>
        <v>0</v>
      </c>
      <c r="G104" s="70"/>
    </row>
    <row r="105" spans="2:7" ht="13.5" thickBot="1" x14ac:dyDescent="0.35">
      <c r="B105" s="57">
        <v>2033</v>
      </c>
      <c r="C105" s="58" t="s">
        <v>74</v>
      </c>
      <c r="D105" s="59">
        <v>213565933.12175992</v>
      </c>
      <c r="E105" s="71"/>
      <c r="F105" s="59">
        <f t="shared" si="1"/>
        <v>0</v>
      </c>
      <c r="G105" s="72"/>
    </row>
    <row r="106" spans="2:7" x14ac:dyDescent="0.3">
      <c r="B106" s="48">
        <v>2034</v>
      </c>
      <c r="C106" s="49" t="s">
        <v>63</v>
      </c>
      <c r="D106" s="50">
        <v>204619251.10983881</v>
      </c>
      <c r="E106" s="56"/>
      <c r="F106" s="50">
        <f t="shared" si="1"/>
        <v>0</v>
      </c>
      <c r="G106" s="68"/>
    </row>
    <row r="107" spans="2:7" x14ac:dyDescent="0.3">
      <c r="B107" s="53">
        <v>2034</v>
      </c>
      <c r="C107" s="54" t="s">
        <v>64</v>
      </c>
      <c r="D107" s="55">
        <v>188722235.10186309</v>
      </c>
      <c r="E107" s="69"/>
      <c r="F107" s="55">
        <f t="shared" si="1"/>
        <v>0</v>
      </c>
      <c r="G107" s="70"/>
    </row>
    <row r="108" spans="2:7" x14ac:dyDescent="0.3">
      <c r="B108" s="53">
        <v>2034</v>
      </c>
      <c r="C108" s="54" t="s">
        <v>65</v>
      </c>
      <c r="D108" s="55">
        <v>220188374.64764085</v>
      </c>
      <c r="E108" s="69"/>
      <c r="F108" s="55">
        <f t="shared" si="1"/>
        <v>0</v>
      </c>
      <c r="G108" s="70"/>
    </row>
    <row r="109" spans="2:7" x14ac:dyDescent="0.3">
      <c r="B109" s="53">
        <v>2034</v>
      </c>
      <c r="C109" s="54" t="s">
        <v>66</v>
      </c>
      <c r="D109" s="55">
        <v>204580055.23882669</v>
      </c>
      <c r="E109" s="69"/>
      <c r="F109" s="55">
        <f t="shared" si="1"/>
        <v>0</v>
      </c>
      <c r="G109" s="70"/>
    </row>
    <row r="110" spans="2:7" x14ac:dyDescent="0.3">
      <c r="B110" s="53">
        <v>2034</v>
      </c>
      <c r="C110" s="54" t="s">
        <v>67</v>
      </c>
      <c r="D110" s="55">
        <v>218608198.21113616</v>
      </c>
      <c r="E110" s="69"/>
      <c r="F110" s="55">
        <f t="shared" si="1"/>
        <v>0</v>
      </c>
      <c r="G110" s="70"/>
    </row>
    <row r="111" spans="2:7" x14ac:dyDescent="0.3">
      <c r="B111" s="53">
        <v>2034</v>
      </c>
      <c r="C111" s="54" t="s">
        <v>68</v>
      </c>
      <c r="D111" s="55">
        <v>215459752.95505041</v>
      </c>
      <c r="E111" s="69"/>
      <c r="F111" s="55">
        <f t="shared" si="1"/>
        <v>0</v>
      </c>
      <c r="G111" s="70"/>
    </row>
    <row r="112" spans="2:7" x14ac:dyDescent="0.3">
      <c r="B112" s="53">
        <v>2034</v>
      </c>
      <c r="C112" s="54" t="s">
        <v>69</v>
      </c>
      <c r="D112" s="55">
        <v>215658197.14797112</v>
      </c>
      <c r="E112" s="69"/>
      <c r="F112" s="55">
        <f t="shared" si="1"/>
        <v>0</v>
      </c>
      <c r="G112" s="70"/>
    </row>
    <row r="113" spans="2:7" x14ac:dyDescent="0.3">
      <c r="B113" s="53">
        <v>2034</v>
      </c>
      <c r="C113" s="54" t="s">
        <v>70</v>
      </c>
      <c r="D113" s="55">
        <v>223271522.43903303</v>
      </c>
      <c r="E113" s="69"/>
      <c r="F113" s="55">
        <f t="shared" si="1"/>
        <v>0</v>
      </c>
      <c r="G113" s="70"/>
    </row>
    <row r="114" spans="2:7" x14ac:dyDescent="0.3">
      <c r="B114" s="53">
        <v>2034</v>
      </c>
      <c r="C114" s="54" t="s">
        <v>71</v>
      </c>
      <c r="D114" s="55">
        <v>217004487.63179594</v>
      </c>
      <c r="E114" s="69"/>
      <c r="F114" s="55">
        <f t="shared" si="1"/>
        <v>0</v>
      </c>
      <c r="G114" s="70"/>
    </row>
    <row r="115" spans="2:7" x14ac:dyDescent="0.3">
      <c r="B115" s="53">
        <v>2034</v>
      </c>
      <c r="C115" s="54" t="s">
        <v>72</v>
      </c>
      <c r="D115" s="55">
        <v>216830573.1811094</v>
      </c>
      <c r="E115" s="69"/>
      <c r="F115" s="55">
        <f t="shared" si="1"/>
        <v>0</v>
      </c>
      <c r="G115" s="70"/>
    </row>
    <row r="116" spans="2:7" x14ac:dyDescent="0.3">
      <c r="B116" s="53">
        <v>2034</v>
      </c>
      <c r="C116" s="54" t="s">
        <v>73</v>
      </c>
      <c r="D116" s="55">
        <v>206516426.70909411</v>
      </c>
      <c r="E116" s="69"/>
      <c r="F116" s="55">
        <f t="shared" si="1"/>
        <v>0</v>
      </c>
      <c r="G116" s="70"/>
    </row>
    <row r="117" spans="2:7" ht="13.5" thickBot="1" x14ac:dyDescent="0.35">
      <c r="B117" s="57">
        <v>2034</v>
      </c>
      <c r="C117" s="58" t="s">
        <v>74</v>
      </c>
      <c r="D117" s="59">
        <v>210897794.62660596</v>
      </c>
      <c r="E117" s="71"/>
      <c r="F117" s="59">
        <f t="shared" si="1"/>
        <v>0</v>
      </c>
      <c r="G117" s="72"/>
    </row>
    <row r="118" spans="2:7" x14ac:dyDescent="0.3">
      <c r="B118" s="48">
        <v>2035</v>
      </c>
      <c r="C118" s="49" t="s">
        <v>63</v>
      </c>
      <c r="D118" s="50">
        <v>204734436.20897639</v>
      </c>
      <c r="E118" s="56"/>
      <c r="F118" s="50">
        <f t="shared" si="1"/>
        <v>0</v>
      </c>
      <c r="G118" s="68"/>
    </row>
    <row r="119" spans="2:7" x14ac:dyDescent="0.3">
      <c r="B119" s="53">
        <v>2035</v>
      </c>
      <c r="C119" s="54" t="s">
        <v>64</v>
      </c>
      <c r="D119" s="55">
        <v>188900643.8154285</v>
      </c>
      <c r="E119" s="69"/>
      <c r="F119" s="55">
        <f t="shared" si="1"/>
        <v>0</v>
      </c>
      <c r="G119" s="70"/>
    </row>
    <row r="120" spans="2:7" x14ac:dyDescent="0.3">
      <c r="B120" s="53">
        <v>2035</v>
      </c>
      <c r="C120" s="54" t="s">
        <v>65</v>
      </c>
      <c r="D120" s="55">
        <v>218078251.17278647</v>
      </c>
      <c r="E120" s="69"/>
      <c r="F120" s="55">
        <f t="shared" si="1"/>
        <v>0</v>
      </c>
      <c r="G120" s="70"/>
    </row>
    <row r="121" spans="2:7" x14ac:dyDescent="0.3">
      <c r="B121" s="53">
        <v>2035</v>
      </c>
      <c r="C121" s="54" t="s">
        <v>66</v>
      </c>
      <c r="D121" s="55">
        <v>204940477.75397751</v>
      </c>
      <c r="E121" s="69"/>
      <c r="F121" s="55">
        <f t="shared" si="1"/>
        <v>0</v>
      </c>
      <c r="G121" s="70"/>
    </row>
    <row r="122" spans="2:7" x14ac:dyDescent="0.3">
      <c r="B122" s="53">
        <v>2035</v>
      </c>
      <c r="C122" s="54" t="s">
        <v>67</v>
      </c>
      <c r="D122" s="55">
        <v>216205952.00477123</v>
      </c>
      <c r="E122" s="69"/>
      <c r="F122" s="55">
        <f t="shared" si="1"/>
        <v>0</v>
      </c>
      <c r="G122" s="70"/>
    </row>
    <row r="123" spans="2:7" x14ac:dyDescent="0.3">
      <c r="B123" s="53">
        <v>2035</v>
      </c>
      <c r="C123" s="54" t="s">
        <v>68</v>
      </c>
      <c r="D123" s="55">
        <v>214274644.70977667</v>
      </c>
      <c r="E123" s="69"/>
      <c r="F123" s="55">
        <f t="shared" si="1"/>
        <v>0</v>
      </c>
      <c r="G123" s="70"/>
    </row>
    <row r="124" spans="2:7" x14ac:dyDescent="0.3">
      <c r="B124" s="53">
        <v>2035</v>
      </c>
      <c r="C124" s="54" t="s">
        <v>69</v>
      </c>
      <c r="D124" s="55">
        <v>215048527.47864026</v>
      </c>
      <c r="E124" s="69"/>
      <c r="F124" s="55">
        <f t="shared" si="1"/>
        <v>0</v>
      </c>
      <c r="G124" s="70"/>
    </row>
    <row r="125" spans="2:7" x14ac:dyDescent="0.3">
      <c r="B125" s="53">
        <v>2035</v>
      </c>
      <c r="C125" s="54" t="s">
        <v>70</v>
      </c>
      <c r="D125" s="55">
        <v>222183896.6806345</v>
      </c>
      <c r="E125" s="69"/>
      <c r="F125" s="55">
        <f t="shared" si="1"/>
        <v>0</v>
      </c>
      <c r="G125" s="70"/>
    </row>
    <row r="126" spans="2:7" x14ac:dyDescent="0.3">
      <c r="B126" s="53">
        <v>2035</v>
      </c>
      <c r="C126" s="54" t="s">
        <v>71</v>
      </c>
      <c r="D126" s="55">
        <v>215360167.80950305</v>
      </c>
      <c r="E126" s="69"/>
      <c r="F126" s="55">
        <f t="shared" si="1"/>
        <v>0</v>
      </c>
      <c r="G126" s="70"/>
    </row>
    <row r="127" spans="2:7" x14ac:dyDescent="0.3">
      <c r="B127" s="53">
        <v>2035</v>
      </c>
      <c r="C127" s="54" t="s">
        <v>72</v>
      </c>
      <c r="D127" s="55">
        <v>216132568.63535595</v>
      </c>
      <c r="E127" s="69"/>
      <c r="F127" s="55">
        <f t="shared" si="1"/>
        <v>0</v>
      </c>
      <c r="G127" s="70"/>
    </row>
    <row r="128" spans="2:7" x14ac:dyDescent="0.3">
      <c r="B128" s="53">
        <v>2035</v>
      </c>
      <c r="C128" s="54" t="s">
        <v>73</v>
      </c>
      <c r="D128" s="55">
        <v>205203292.93938541</v>
      </c>
      <c r="E128" s="69"/>
      <c r="F128" s="55">
        <f t="shared" si="1"/>
        <v>0</v>
      </c>
      <c r="G128" s="70"/>
    </row>
    <row r="129" spans="2:7" ht="13.5" thickBot="1" x14ac:dyDescent="0.35">
      <c r="B129" s="57">
        <v>2035</v>
      </c>
      <c r="C129" s="58" t="s">
        <v>74</v>
      </c>
      <c r="D129" s="59">
        <v>210160379.79079807</v>
      </c>
      <c r="E129" s="71"/>
      <c r="F129" s="59">
        <f t="shared" si="1"/>
        <v>0</v>
      </c>
      <c r="G129" s="72"/>
    </row>
    <row r="130" spans="2:7" x14ac:dyDescent="0.3">
      <c r="B130" s="48">
        <v>2036</v>
      </c>
      <c r="C130" s="49" t="s">
        <v>63</v>
      </c>
      <c r="D130" s="50">
        <v>201836242.3555871</v>
      </c>
      <c r="E130" s="56"/>
      <c r="F130" s="50">
        <f t="shared" si="1"/>
        <v>0</v>
      </c>
      <c r="G130" s="68"/>
    </row>
    <row r="131" spans="2:7" x14ac:dyDescent="0.3">
      <c r="B131" s="53">
        <v>2036</v>
      </c>
      <c r="C131" s="54" t="s">
        <v>64</v>
      </c>
      <c r="D131" s="55">
        <v>196558509.15979183</v>
      </c>
      <c r="E131" s="69"/>
      <c r="F131" s="55">
        <f t="shared" si="1"/>
        <v>0</v>
      </c>
      <c r="G131" s="70"/>
    </row>
    <row r="132" spans="2:7" x14ac:dyDescent="0.3">
      <c r="B132" s="53">
        <v>2036</v>
      </c>
      <c r="C132" s="54" t="s">
        <v>65</v>
      </c>
      <c r="D132" s="55">
        <v>216035407.30993217</v>
      </c>
      <c r="E132" s="69"/>
      <c r="F132" s="55">
        <f t="shared" si="1"/>
        <v>0</v>
      </c>
      <c r="G132" s="70"/>
    </row>
    <row r="133" spans="2:7" x14ac:dyDescent="0.3">
      <c r="B133" s="53">
        <v>2036</v>
      </c>
      <c r="C133" s="54" t="s">
        <v>66</v>
      </c>
      <c r="D133" s="55">
        <v>203909940.0238263</v>
      </c>
      <c r="E133" s="69"/>
      <c r="F133" s="55">
        <f t="shared" si="1"/>
        <v>0</v>
      </c>
      <c r="G133" s="70"/>
    </row>
    <row r="134" spans="2:7" x14ac:dyDescent="0.3">
      <c r="B134" s="53">
        <v>2036</v>
      </c>
      <c r="C134" s="54" t="s">
        <v>67</v>
      </c>
      <c r="D134" s="55">
        <v>216445838.0070366</v>
      </c>
      <c r="E134" s="69"/>
      <c r="F134" s="55">
        <f t="shared" si="1"/>
        <v>0</v>
      </c>
      <c r="G134" s="70"/>
    </row>
    <row r="135" spans="2:7" x14ac:dyDescent="0.3">
      <c r="B135" s="53">
        <v>2036</v>
      </c>
      <c r="C135" s="54" t="s">
        <v>68</v>
      </c>
      <c r="D135" s="55">
        <v>211811314.42273366</v>
      </c>
      <c r="E135" s="69"/>
      <c r="F135" s="55">
        <f t="shared" si="1"/>
        <v>0</v>
      </c>
      <c r="G135" s="70"/>
    </row>
    <row r="136" spans="2:7" x14ac:dyDescent="0.3">
      <c r="B136" s="53">
        <v>2036</v>
      </c>
      <c r="C136" s="54" t="s">
        <v>69</v>
      </c>
      <c r="D136" s="55">
        <v>215149779.90588319</v>
      </c>
      <c r="E136" s="69"/>
      <c r="F136" s="55">
        <f t="shared" si="1"/>
        <v>0</v>
      </c>
      <c r="G136" s="70"/>
    </row>
    <row r="137" spans="2:7" x14ac:dyDescent="0.3">
      <c r="B137" s="53">
        <v>2036</v>
      </c>
      <c r="C137" s="54" t="s">
        <v>70</v>
      </c>
      <c r="D137" s="55">
        <v>219283294.28669235</v>
      </c>
      <c r="E137" s="69"/>
      <c r="F137" s="55">
        <f t="shared" si="1"/>
        <v>0</v>
      </c>
      <c r="G137" s="70"/>
    </row>
    <row r="138" spans="2:7" x14ac:dyDescent="0.3">
      <c r="B138" s="53">
        <v>2036</v>
      </c>
      <c r="C138" s="54" t="s">
        <v>71</v>
      </c>
      <c r="D138" s="55">
        <v>214023462.87313348</v>
      </c>
      <c r="E138" s="69"/>
      <c r="F138" s="55">
        <f t="shared" si="1"/>
        <v>0</v>
      </c>
      <c r="G138" s="70"/>
    </row>
    <row r="139" spans="2:7" x14ac:dyDescent="0.3">
      <c r="B139" s="53">
        <v>2036</v>
      </c>
      <c r="C139" s="54" t="s">
        <v>72</v>
      </c>
      <c r="D139" s="55">
        <v>214671290.77710325</v>
      </c>
      <c r="E139" s="69"/>
      <c r="F139" s="55">
        <f t="shared" ref="F139:F189" si="2">+D139*E139</f>
        <v>0</v>
      </c>
      <c r="G139" s="70"/>
    </row>
    <row r="140" spans="2:7" x14ac:dyDescent="0.3">
      <c r="B140" s="53">
        <v>2036</v>
      </c>
      <c r="C140" s="54" t="s">
        <v>73</v>
      </c>
      <c r="D140" s="55">
        <v>203205381.36512634</v>
      </c>
      <c r="E140" s="69"/>
      <c r="F140" s="55">
        <f t="shared" si="2"/>
        <v>0</v>
      </c>
      <c r="G140" s="70"/>
    </row>
    <row r="141" spans="2:7" ht="13.5" thickBot="1" x14ac:dyDescent="0.35">
      <c r="B141" s="57">
        <v>2036</v>
      </c>
      <c r="C141" s="58" t="s">
        <v>74</v>
      </c>
      <c r="D141" s="59">
        <v>208972372.51315537</v>
      </c>
      <c r="E141" s="71"/>
      <c r="F141" s="59">
        <f t="shared" si="2"/>
        <v>0</v>
      </c>
      <c r="G141" s="72"/>
    </row>
    <row r="142" spans="2:7" x14ac:dyDescent="0.3">
      <c r="B142" s="48">
        <v>2037</v>
      </c>
      <c r="C142" s="49" t="s">
        <v>63</v>
      </c>
      <c r="D142" s="50">
        <v>203537416.65941355</v>
      </c>
      <c r="E142" s="56"/>
      <c r="F142" s="50">
        <f t="shared" si="2"/>
        <v>0</v>
      </c>
      <c r="G142" s="68"/>
    </row>
    <row r="143" spans="2:7" x14ac:dyDescent="0.3">
      <c r="B143" s="53">
        <v>2037</v>
      </c>
      <c r="C143" s="54" t="s">
        <v>64</v>
      </c>
      <c r="D143" s="55">
        <v>187956451.58762398</v>
      </c>
      <c r="E143" s="69"/>
      <c r="F143" s="55">
        <f t="shared" si="2"/>
        <v>0</v>
      </c>
      <c r="G143" s="70"/>
    </row>
    <row r="144" spans="2:7" x14ac:dyDescent="0.3">
      <c r="B144" s="53">
        <v>2037</v>
      </c>
      <c r="C144" s="54" t="s">
        <v>65</v>
      </c>
      <c r="D144" s="55">
        <v>217386914.80538878</v>
      </c>
      <c r="E144" s="69"/>
      <c r="F144" s="55">
        <f t="shared" si="2"/>
        <v>0</v>
      </c>
      <c r="G144" s="70"/>
    </row>
    <row r="145" spans="2:7" x14ac:dyDescent="0.3">
      <c r="B145" s="53">
        <v>2037</v>
      </c>
      <c r="C145" s="54" t="s">
        <v>66</v>
      </c>
      <c r="D145" s="55">
        <v>203996719.60656452</v>
      </c>
      <c r="E145" s="69"/>
      <c r="F145" s="55">
        <f t="shared" si="2"/>
        <v>0</v>
      </c>
      <c r="G145" s="70"/>
    </row>
    <row r="146" spans="2:7" x14ac:dyDescent="0.3">
      <c r="B146" s="53">
        <v>2037</v>
      </c>
      <c r="C146" s="54" t="s">
        <v>67</v>
      </c>
      <c r="D146" s="55">
        <v>215446362.05958807</v>
      </c>
      <c r="E146" s="69"/>
      <c r="F146" s="55">
        <f t="shared" si="2"/>
        <v>0</v>
      </c>
      <c r="G146" s="70"/>
    </row>
    <row r="147" spans="2:7" x14ac:dyDescent="0.3">
      <c r="B147" s="53">
        <v>2037</v>
      </c>
      <c r="C147" s="54" t="s">
        <v>68</v>
      </c>
      <c r="D147" s="55">
        <v>212207653.96824923</v>
      </c>
      <c r="E147" s="69"/>
      <c r="F147" s="55">
        <f t="shared" si="2"/>
        <v>0</v>
      </c>
      <c r="G147" s="70"/>
    </row>
    <row r="148" spans="2:7" x14ac:dyDescent="0.3">
      <c r="B148" s="53">
        <v>2037</v>
      </c>
      <c r="C148" s="54" t="s">
        <v>69</v>
      </c>
      <c r="D148" s="55">
        <v>214859133.14756578</v>
      </c>
      <c r="E148" s="69"/>
      <c r="F148" s="55">
        <f t="shared" si="2"/>
        <v>0</v>
      </c>
      <c r="G148" s="70"/>
    </row>
    <row r="149" spans="2:7" x14ac:dyDescent="0.3">
      <c r="B149" s="53">
        <v>2037</v>
      </c>
      <c r="C149" s="54" t="s">
        <v>70</v>
      </c>
      <c r="D149" s="55">
        <v>219330767.21906239</v>
      </c>
      <c r="E149" s="69"/>
      <c r="F149" s="55">
        <f t="shared" si="2"/>
        <v>0</v>
      </c>
      <c r="G149" s="70"/>
    </row>
    <row r="150" spans="2:7" x14ac:dyDescent="0.3">
      <c r="B150" s="53">
        <v>2037</v>
      </c>
      <c r="C150" s="54" t="s">
        <v>71</v>
      </c>
      <c r="D150" s="55">
        <v>214193520.64239872</v>
      </c>
      <c r="E150" s="69"/>
      <c r="F150" s="55">
        <f t="shared" si="2"/>
        <v>0</v>
      </c>
      <c r="G150" s="70"/>
    </row>
    <row r="151" spans="2:7" x14ac:dyDescent="0.3">
      <c r="B151" s="53">
        <v>2037</v>
      </c>
      <c r="C151" s="54" t="s">
        <v>72</v>
      </c>
      <c r="D151" s="55">
        <v>214134646.49556249</v>
      </c>
      <c r="E151" s="69"/>
      <c r="F151" s="55">
        <f t="shared" si="2"/>
        <v>0</v>
      </c>
      <c r="G151" s="70"/>
    </row>
    <row r="152" spans="2:7" x14ac:dyDescent="0.3">
      <c r="B152" s="53">
        <v>2037</v>
      </c>
      <c r="C152" s="54" t="s">
        <v>73</v>
      </c>
      <c r="D152" s="55">
        <v>203376652.2556099</v>
      </c>
      <c r="E152" s="69"/>
      <c r="F152" s="55">
        <f t="shared" si="2"/>
        <v>0</v>
      </c>
      <c r="G152" s="70"/>
    </row>
    <row r="153" spans="2:7" ht="13.5" thickBot="1" x14ac:dyDescent="0.35">
      <c r="B153" s="57">
        <v>2037</v>
      </c>
      <c r="C153" s="58" t="s">
        <v>74</v>
      </c>
      <c r="D153" s="59">
        <v>208960824.55298939</v>
      </c>
      <c r="E153" s="71"/>
      <c r="F153" s="59">
        <f t="shared" si="2"/>
        <v>0</v>
      </c>
      <c r="G153" s="72"/>
    </row>
    <row r="154" spans="2:7" x14ac:dyDescent="0.3">
      <c r="B154" s="48">
        <v>2038</v>
      </c>
      <c r="C154" s="49" t="s">
        <v>63</v>
      </c>
      <c r="D154" s="50">
        <v>202929719.93651807</v>
      </c>
      <c r="E154" s="56"/>
      <c r="F154" s="50">
        <f t="shared" si="2"/>
        <v>0</v>
      </c>
      <c r="G154" s="68"/>
    </row>
    <row r="155" spans="2:7" x14ac:dyDescent="0.3">
      <c r="B155" s="53">
        <v>2038</v>
      </c>
      <c r="C155" s="54" t="s">
        <v>64</v>
      </c>
      <c r="D155" s="55">
        <v>187931948.85938892</v>
      </c>
      <c r="E155" s="69"/>
      <c r="F155" s="55">
        <f t="shared" si="2"/>
        <v>0</v>
      </c>
      <c r="G155" s="70"/>
    </row>
    <row r="156" spans="2:7" x14ac:dyDescent="0.3">
      <c r="B156" s="53">
        <v>2038</v>
      </c>
      <c r="C156" s="54" t="s">
        <v>65</v>
      </c>
      <c r="D156" s="55">
        <v>217363986.8854844</v>
      </c>
      <c r="E156" s="69"/>
      <c r="F156" s="55">
        <f t="shared" si="2"/>
        <v>0</v>
      </c>
      <c r="G156" s="70"/>
    </row>
    <row r="157" spans="2:7" x14ac:dyDescent="0.3">
      <c r="B157" s="53">
        <v>2038</v>
      </c>
      <c r="C157" s="54" t="s">
        <v>66</v>
      </c>
      <c r="D157" s="55">
        <v>203380135.84000236</v>
      </c>
      <c r="E157" s="69"/>
      <c r="F157" s="55">
        <f t="shared" si="2"/>
        <v>0</v>
      </c>
      <c r="G157" s="70"/>
    </row>
    <row r="158" spans="2:7" x14ac:dyDescent="0.3">
      <c r="B158" s="53">
        <v>2038</v>
      </c>
      <c r="C158" s="54" t="s">
        <v>67</v>
      </c>
      <c r="D158" s="55">
        <v>215712889.7239894</v>
      </c>
      <c r="E158" s="69"/>
      <c r="F158" s="55">
        <f t="shared" si="2"/>
        <v>0</v>
      </c>
      <c r="G158" s="70"/>
    </row>
    <row r="159" spans="2:7" x14ac:dyDescent="0.3">
      <c r="B159" s="53">
        <v>2038</v>
      </c>
      <c r="C159" s="54" t="s">
        <v>68</v>
      </c>
      <c r="D159" s="55">
        <v>211838328.90133828</v>
      </c>
      <c r="E159" s="69"/>
      <c r="F159" s="55">
        <f t="shared" si="2"/>
        <v>0</v>
      </c>
      <c r="G159" s="70"/>
    </row>
    <row r="160" spans="2:7" x14ac:dyDescent="0.3">
      <c r="B160" s="53">
        <v>2038</v>
      </c>
      <c r="C160" s="54" t="s">
        <v>69</v>
      </c>
      <c r="D160" s="55">
        <v>213308171.9302175</v>
      </c>
      <c r="E160" s="69"/>
      <c r="F160" s="55">
        <f t="shared" si="2"/>
        <v>0</v>
      </c>
      <c r="G160" s="70"/>
    </row>
    <row r="161" spans="2:7" x14ac:dyDescent="0.3">
      <c r="B161" s="53">
        <v>2038</v>
      </c>
      <c r="C161" s="54" t="s">
        <v>70</v>
      </c>
      <c r="D161" s="55">
        <v>219355871.59058571</v>
      </c>
      <c r="E161" s="69"/>
      <c r="F161" s="55">
        <f t="shared" si="2"/>
        <v>0</v>
      </c>
      <c r="G161" s="70"/>
    </row>
    <row r="162" spans="2:7" x14ac:dyDescent="0.3">
      <c r="B162" s="53">
        <v>2038</v>
      </c>
      <c r="C162" s="54" t="s">
        <v>71</v>
      </c>
      <c r="D162" s="55">
        <v>213274670.73285732</v>
      </c>
      <c r="E162" s="69"/>
      <c r="F162" s="55">
        <f t="shared" si="2"/>
        <v>0</v>
      </c>
      <c r="G162" s="70"/>
    </row>
    <row r="163" spans="2:7" x14ac:dyDescent="0.3">
      <c r="B163" s="53">
        <v>2038</v>
      </c>
      <c r="C163" s="54" t="s">
        <v>72</v>
      </c>
      <c r="D163" s="55">
        <v>212600871.24040848</v>
      </c>
      <c r="E163" s="69"/>
      <c r="F163" s="55">
        <f t="shared" si="2"/>
        <v>0</v>
      </c>
      <c r="G163" s="70"/>
    </row>
    <row r="164" spans="2:7" x14ac:dyDescent="0.3">
      <c r="B164" s="53">
        <v>2038</v>
      </c>
      <c r="C164" s="54" t="s">
        <v>73</v>
      </c>
      <c r="D164" s="55">
        <v>203390217.87966835</v>
      </c>
      <c r="E164" s="69"/>
      <c r="F164" s="55">
        <f t="shared" si="2"/>
        <v>0</v>
      </c>
      <c r="G164" s="70"/>
    </row>
    <row r="165" spans="2:7" ht="13.5" thickBot="1" x14ac:dyDescent="0.35">
      <c r="B165" s="57">
        <v>2038</v>
      </c>
      <c r="C165" s="58" t="s">
        <v>74</v>
      </c>
      <c r="D165" s="59">
        <v>208940644.47953817</v>
      </c>
      <c r="E165" s="71"/>
      <c r="F165" s="59">
        <f t="shared" si="2"/>
        <v>0</v>
      </c>
      <c r="G165" s="72"/>
    </row>
    <row r="166" spans="2:7" x14ac:dyDescent="0.3">
      <c r="B166" s="48">
        <v>2039</v>
      </c>
      <c r="C166" s="49" t="s">
        <v>63</v>
      </c>
      <c r="D166" s="50">
        <v>201672211.80806315</v>
      </c>
      <c r="E166" s="56"/>
      <c r="F166" s="50">
        <f t="shared" si="2"/>
        <v>0</v>
      </c>
      <c r="G166" s="68"/>
    </row>
    <row r="167" spans="2:7" x14ac:dyDescent="0.3">
      <c r="B167" s="53">
        <v>2039</v>
      </c>
      <c r="C167" s="54" t="s">
        <v>64</v>
      </c>
      <c r="D167" s="55">
        <v>187475481.33182281</v>
      </c>
      <c r="E167" s="69"/>
      <c r="F167" s="55">
        <f t="shared" si="2"/>
        <v>0</v>
      </c>
      <c r="G167" s="70"/>
    </row>
    <row r="168" spans="2:7" x14ac:dyDescent="0.3">
      <c r="B168" s="53">
        <v>2039</v>
      </c>
      <c r="C168" s="54" t="s">
        <v>65</v>
      </c>
      <c r="D168" s="55">
        <v>217251196.1563043</v>
      </c>
      <c r="E168" s="69"/>
      <c r="F168" s="55">
        <f t="shared" si="2"/>
        <v>0</v>
      </c>
      <c r="G168" s="70"/>
    </row>
    <row r="169" spans="2:7" x14ac:dyDescent="0.3">
      <c r="B169" s="53">
        <v>2039</v>
      </c>
      <c r="C169" s="54" t="s">
        <v>66</v>
      </c>
      <c r="D169" s="55">
        <v>202404169.58690554</v>
      </c>
      <c r="E169" s="69"/>
      <c r="F169" s="55">
        <f t="shared" si="2"/>
        <v>0</v>
      </c>
      <c r="G169" s="70"/>
    </row>
    <row r="170" spans="2:7" x14ac:dyDescent="0.3">
      <c r="B170" s="53">
        <v>2039</v>
      </c>
      <c r="C170" s="54" t="s">
        <v>67</v>
      </c>
      <c r="D170" s="55">
        <v>215798992.59331521</v>
      </c>
      <c r="E170" s="69"/>
      <c r="F170" s="55">
        <f t="shared" si="2"/>
        <v>0</v>
      </c>
      <c r="G170" s="70"/>
    </row>
    <row r="171" spans="2:7" x14ac:dyDescent="0.3">
      <c r="B171" s="53">
        <v>2039</v>
      </c>
      <c r="C171" s="54" t="s">
        <v>68</v>
      </c>
      <c r="D171" s="55">
        <v>211450340.09792817</v>
      </c>
      <c r="E171" s="69"/>
      <c r="F171" s="55">
        <f t="shared" si="2"/>
        <v>0</v>
      </c>
      <c r="G171" s="70"/>
    </row>
    <row r="172" spans="2:7" x14ac:dyDescent="0.3">
      <c r="B172" s="53">
        <v>2039</v>
      </c>
      <c r="C172" s="54" t="s">
        <v>69</v>
      </c>
      <c r="D172" s="55">
        <v>211567162.3725962</v>
      </c>
      <c r="E172" s="69"/>
      <c r="F172" s="55">
        <f t="shared" si="2"/>
        <v>0</v>
      </c>
      <c r="G172" s="70"/>
    </row>
    <row r="173" spans="2:7" x14ac:dyDescent="0.3">
      <c r="B173" s="53">
        <v>2039</v>
      </c>
      <c r="C173" s="54" t="s">
        <v>70</v>
      </c>
      <c r="D173" s="55">
        <v>219363037.23019987</v>
      </c>
      <c r="E173" s="69"/>
      <c r="F173" s="55">
        <f t="shared" si="2"/>
        <v>0</v>
      </c>
      <c r="G173" s="70"/>
    </row>
    <row r="174" spans="2:7" x14ac:dyDescent="0.3">
      <c r="B174" s="53">
        <v>2039</v>
      </c>
      <c r="C174" s="54" t="s">
        <v>71</v>
      </c>
      <c r="D174" s="55">
        <v>212420804.27864757</v>
      </c>
      <c r="E174" s="69"/>
      <c r="F174" s="55">
        <f t="shared" si="2"/>
        <v>0</v>
      </c>
      <c r="G174" s="70"/>
    </row>
    <row r="175" spans="2:7" x14ac:dyDescent="0.3">
      <c r="B175" s="53">
        <v>2039</v>
      </c>
      <c r="C175" s="54" t="s">
        <v>72</v>
      </c>
      <c r="D175" s="55">
        <v>210843806.3341864</v>
      </c>
      <c r="E175" s="69"/>
      <c r="F175" s="55">
        <f t="shared" si="2"/>
        <v>0</v>
      </c>
      <c r="G175" s="70"/>
    </row>
    <row r="176" spans="2:7" x14ac:dyDescent="0.3">
      <c r="B176" s="53">
        <v>2039</v>
      </c>
      <c r="C176" s="54" t="s">
        <v>73</v>
      </c>
      <c r="D176" s="55">
        <v>203010966.14732748</v>
      </c>
      <c r="E176" s="69"/>
      <c r="F176" s="55">
        <f t="shared" si="2"/>
        <v>0</v>
      </c>
      <c r="G176" s="70"/>
    </row>
    <row r="177" spans="2:9" ht="13.5" thickBot="1" x14ac:dyDescent="0.35">
      <c r="B177" s="57">
        <v>2039</v>
      </c>
      <c r="C177" s="58" t="s">
        <v>74</v>
      </c>
      <c r="D177" s="59">
        <v>208464815.062711</v>
      </c>
      <c r="E177" s="71"/>
      <c r="F177" s="59">
        <f t="shared" si="2"/>
        <v>0</v>
      </c>
      <c r="G177" s="72"/>
    </row>
    <row r="178" spans="2:9" x14ac:dyDescent="0.3">
      <c r="B178" s="48">
        <v>2040</v>
      </c>
      <c r="C178" s="49" t="s">
        <v>63</v>
      </c>
      <c r="D178" s="50">
        <v>200548148.75878441</v>
      </c>
      <c r="E178" s="56"/>
      <c r="F178" s="50">
        <f t="shared" si="2"/>
        <v>0</v>
      </c>
      <c r="G178" s="68"/>
    </row>
    <row r="179" spans="2:9" x14ac:dyDescent="0.3">
      <c r="B179" s="53">
        <v>2040</v>
      </c>
      <c r="C179" s="54" t="s">
        <v>64</v>
      </c>
      <c r="D179" s="55">
        <v>193949714.67569643</v>
      </c>
      <c r="E179" s="69"/>
      <c r="F179" s="55">
        <f t="shared" si="2"/>
        <v>0</v>
      </c>
      <c r="G179" s="70"/>
    </row>
    <row r="180" spans="2:9" x14ac:dyDescent="0.3">
      <c r="B180" s="53">
        <v>2040</v>
      </c>
      <c r="C180" s="54" t="s">
        <v>65</v>
      </c>
      <c r="D180" s="55">
        <v>217394235.8244769</v>
      </c>
      <c r="E180" s="69"/>
      <c r="F180" s="55">
        <f t="shared" si="2"/>
        <v>0</v>
      </c>
      <c r="G180" s="70"/>
    </row>
    <row r="181" spans="2:9" x14ac:dyDescent="0.3">
      <c r="B181" s="53">
        <v>2040</v>
      </c>
      <c r="C181" s="54" t="s">
        <v>66</v>
      </c>
      <c r="D181" s="55">
        <v>201405564.56778479</v>
      </c>
      <c r="E181" s="69"/>
      <c r="F181" s="55">
        <f t="shared" si="2"/>
        <v>0</v>
      </c>
      <c r="G181" s="70"/>
    </row>
    <row r="182" spans="2:9" x14ac:dyDescent="0.3">
      <c r="B182" s="53">
        <v>2040</v>
      </c>
      <c r="C182" s="54" t="s">
        <v>67</v>
      </c>
      <c r="D182" s="55">
        <v>216480244.28472295</v>
      </c>
      <c r="E182" s="69"/>
      <c r="F182" s="55">
        <f t="shared" si="2"/>
        <v>0</v>
      </c>
      <c r="G182" s="70"/>
    </row>
    <row r="183" spans="2:9" x14ac:dyDescent="0.3">
      <c r="B183" s="53">
        <v>2040</v>
      </c>
      <c r="C183" s="54" t="s">
        <v>68</v>
      </c>
      <c r="D183" s="55">
        <v>210937396.58550206</v>
      </c>
      <c r="E183" s="69"/>
      <c r="F183" s="55">
        <f t="shared" si="2"/>
        <v>0</v>
      </c>
      <c r="G183" s="70"/>
    </row>
    <row r="184" spans="2:9" x14ac:dyDescent="0.3">
      <c r="B184" s="53">
        <v>2040</v>
      </c>
      <c r="C184" s="54" t="s">
        <v>69</v>
      </c>
      <c r="D184" s="55">
        <v>210242102.4844813</v>
      </c>
      <c r="E184" s="69"/>
      <c r="F184" s="55">
        <f t="shared" si="2"/>
        <v>0</v>
      </c>
      <c r="G184" s="70"/>
    </row>
    <row r="185" spans="2:9" x14ac:dyDescent="0.3">
      <c r="B185" s="53">
        <v>2040</v>
      </c>
      <c r="C185" s="54" t="s">
        <v>70</v>
      </c>
      <c r="D185" s="55">
        <v>219524965.31014079</v>
      </c>
      <c r="E185" s="69"/>
      <c r="F185" s="55">
        <f t="shared" si="2"/>
        <v>0</v>
      </c>
      <c r="G185" s="70"/>
    </row>
    <row r="186" spans="2:9" x14ac:dyDescent="0.3">
      <c r="B186" s="53">
        <v>2040</v>
      </c>
      <c r="C186" s="54" t="s">
        <v>71</v>
      </c>
      <c r="D186" s="55">
        <v>211341369.19113654</v>
      </c>
      <c r="E186" s="69"/>
      <c r="F186" s="55">
        <f t="shared" si="2"/>
        <v>0</v>
      </c>
      <c r="G186" s="70"/>
    </row>
    <row r="187" spans="2:9" x14ac:dyDescent="0.3">
      <c r="B187" s="53">
        <v>2040</v>
      </c>
      <c r="C187" s="54" t="s">
        <v>72</v>
      </c>
      <c r="D187" s="55">
        <v>209265383.99039227</v>
      </c>
      <c r="E187" s="69"/>
      <c r="F187" s="55">
        <f t="shared" si="2"/>
        <v>0</v>
      </c>
      <c r="G187" s="70"/>
    </row>
    <row r="188" spans="2:9" x14ac:dyDescent="0.3">
      <c r="B188" s="53">
        <v>2040</v>
      </c>
      <c r="C188" s="54" t="s">
        <v>73</v>
      </c>
      <c r="D188" s="55">
        <v>202761220.76626059</v>
      </c>
      <c r="E188" s="69"/>
      <c r="F188" s="55">
        <f t="shared" si="2"/>
        <v>0</v>
      </c>
      <c r="G188" s="70"/>
    </row>
    <row r="189" spans="2:9" ht="13.5" thickBot="1" x14ac:dyDescent="0.35">
      <c r="B189" s="57">
        <v>2040</v>
      </c>
      <c r="C189" s="58" t="s">
        <v>74</v>
      </c>
      <c r="D189" s="59">
        <v>207579521.56061566</v>
      </c>
      <c r="E189" s="71"/>
      <c r="F189" s="59">
        <f t="shared" si="2"/>
        <v>0</v>
      </c>
      <c r="G189" s="72"/>
    </row>
    <row r="190" spans="2:9" ht="13.5" thickBot="1" x14ac:dyDescent="0.35">
      <c r="C190" s="61" t="s">
        <v>75</v>
      </c>
      <c r="D190" s="62">
        <f>SUM(D10:D189)</f>
        <v>32452326980.91177</v>
      </c>
      <c r="I190" s="17"/>
    </row>
    <row r="191" spans="2:9" x14ac:dyDescent="0.3">
      <c r="D191" s="17"/>
      <c r="I191" s="17"/>
    </row>
    <row r="192" spans="2:9" x14ac:dyDescent="0.3">
      <c r="D192" s="17"/>
    </row>
    <row r="193" spans="3:8" x14ac:dyDescent="0.3">
      <c r="C193" s="1" t="s">
        <v>76</v>
      </c>
    </row>
    <row r="194" spans="3:8" x14ac:dyDescent="0.3">
      <c r="C194" s="63" t="s">
        <v>77</v>
      </c>
    </row>
    <row r="195" spans="3:8" x14ac:dyDescent="0.3">
      <c r="C195" s="1" t="s">
        <v>78</v>
      </c>
      <c r="F195" s="64"/>
    </row>
    <row r="196" spans="3:8" x14ac:dyDescent="0.3">
      <c r="C196" s="100" t="s">
        <v>79</v>
      </c>
      <c r="D196" s="100"/>
      <c r="E196" s="100"/>
      <c r="F196" s="100"/>
      <c r="G196" s="100"/>
      <c r="H196" s="100"/>
    </row>
    <row r="197" spans="3:8" x14ac:dyDescent="0.3">
      <c r="C197" s="100"/>
      <c r="D197" s="100"/>
      <c r="E197" s="100"/>
      <c r="F197" s="100"/>
      <c r="G197" s="100"/>
      <c r="H197" s="100"/>
    </row>
  </sheetData>
  <mergeCells count="9">
    <mergeCell ref="C196:H197"/>
    <mergeCell ref="B2:G2"/>
    <mergeCell ref="B3:G3"/>
    <mergeCell ref="B4:G4"/>
    <mergeCell ref="B5:G5"/>
    <mergeCell ref="B7:G7"/>
    <mergeCell ref="B8:B9"/>
    <mergeCell ref="C8:C9"/>
    <mergeCell ref="D8:G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B7CBF-A887-443C-80B3-425107DFD674}">
  <dimension ref="B2:L197"/>
  <sheetViews>
    <sheetView topLeftCell="A146" zoomScale="90" zoomScaleNormal="90" workbookViewId="0">
      <selection activeCell="G190" sqref="G190"/>
    </sheetView>
  </sheetViews>
  <sheetFormatPr baseColWidth="10" defaultColWidth="12.59765625" defaultRowHeight="13" x14ac:dyDescent="0.3"/>
  <cols>
    <col min="1" max="1" width="5.69921875" style="1" customWidth="1"/>
    <col min="2" max="2" width="11" style="1" customWidth="1"/>
    <col min="3" max="3" width="16.5" style="1" bestFit="1" customWidth="1"/>
    <col min="4" max="4" width="16.5" style="1" customWidth="1"/>
    <col min="5" max="5" width="15.3984375" style="1" bestFit="1" customWidth="1"/>
    <col min="6" max="6" width="16.5" style="1" customWidth="1"/>
    <col min="7" max="7" width="18.3984375" style="1" bestFit="1" customWidth="1"/>
    <col min="8" max="8" width="18.3984375" style="1" customWidth="1"/>
    <col min="9" max="9" width="18.5" style="1" customWidth="1"/>
    <col min="10" max="10" width="21.69921875" style="1" customWidth="1"/>
    <col min="11" max="11" width="17.8984375" style="1" customWidth="1"/>
    <col min="12" max="12" width="9.69921875" style="1" customWidth="1"/>
    <col min="13" max="16384" width="12.59765625" style="1"/>
  </cols>
  <sheetData>
    <row r="2" spans="2:11" x14ac:dyDescent="0.3">
      <c r="B2" s="101" t="s">
        <v>83</v>
      </c>
      <c r="C2" s="101"/>
      <c r="D2" s="101"/>
      <c r="E2" s="101"/>
      <c r="F2" s="101"/>
      <c r="G2" s="101"/>
      <c r="H2" s="101"/>
      <c r="I2" s="101"/>
      <c r="J2" s="101"/>
      <c r="K2" s="101"/>
    </row>
    <row r="3" spans="2:11" x14ac:dyDescent="0.3">
      <c r="B3" s="102" t="s">
        <v>52</v>
      </c>
      <c r="C3" s="102"/>
      <c r="D3" s="102"/>
      <c r="E3" s="102"/>
      <c r="F3" s="102"/>
      <c r="G3" s="102"/>
      <c r="H3" s="102"/>
      <c r="I3" s="102"/>
      <c r="J3" s="102"/>
      <c r="K3" s="102"/>
    </row>
    <row r="4" spans="2:11" x14ac:dyDescent="0.3">
      <c r="B4" s="101" t="s">
        <v>53</v>
      </c>
      <c r="C4" s="101"/>
      <c r="D4" s="101"/>
      <c r="E4" s="101"/>
      <c r="F4" s="101"/>
      <c r="G4" s="101"/>
      <c r="H4" s="101"/>
      <c r="I4" s="101"/>
      <c r="J4" s="101"/>
      <c r="K4" s="101"/>
    </row>
    <row r="5" spans="2:11" x14ac:dyDescent="0.3">
      <c r="B5" s="101" t="s">
        <v>54</v>
      </c>
      <c r="C5" s="101"/>
      <c r="D5" s="101"/>
      <c r="E5" s="101"/>
      <c r="F5" s="101"/>
      <c r="G5" s="101"/>
      <c r="H5" s="101"/>
      <c r="I5" s="101"/>
      <c r="J5" s="101"/>
      <c r="K5" s="101"/>
    </row>
    <row r="6" spans="2:11" ht="9.65" customHeight="1" thickBot="1" x14ac:dyDescent="0.35">
      <c r="B6" s="44"/>
      <c r="C6" s="44"/>
      <c r="D6" s="44"/>
      <c r="E6" s="44"/>
      <c r="F6" s="44"/>
      <c r="G6" s="44"/>
      <c r="H6" s="44"/>
      <c r="I6" s="44"/>
      <c r="J6" s="44"/>
      <c r="K6" s="44"/>
    </row>
    <row r="7" spans="2:11" ht="13" customHeight="1" thickBot="1" x14ac:dyDescent="0.35">
      <c r="B7" s="103" t="s">
        <v>84</v>
      </c>
      <c r="C7" s="105"/>
      <c r="D7" s="104"/>
      <c r="E7" s="104"/>
      <c r="F7" s="104"/>
      <c r="G7" s="104"/>
      <c r="H7" s="104"/>
      <c r="I7" s="104"/>
      <c r="J7" s="104"/>
      <c r="K7" s="113"/>
    </row>
    <row r="8" spans="2:11" ht="18.75" customHeight="1" thickBot="1" x14ac:dyDescent="0.35">
      <c r="B8" s="114" t="s">
        <v>56</v>
      </c>
      <c r="C8" s="112" t="s">
        <v>57</v>
      </c>
      <c r="D8" s="110" t="s">
        <v>82</v>
      </c>
      <c r="E8" s="110"/>
      <c r="F8" s="110"/>
      <c r="G8" s="110"/>
      <c r="H8" s="110"/>
      <c r="I8" s="110"/>
      <c r="J8" s="110"/>
      <c r="K8" s="111"/>
    </row>
    <row r="9" spans="2:11" ht="39.5" thickBot="1" x14ac:dyDescent="0.35">
      <c r="B9" s="108"/>
      <c r="C9" s="107"/>
      <c r="D9" s="45" t="s">
        <v>85</v>
      </c>
      <c r="E9" s="45" t="s">
        <v>86</v>
      </c>
      <c r="F9" s="45" t="s">
        <v>87</v>
      </c>
      <c r="G9" s="45" t="s">
        <v>88</v>
      </c>
      <c r="H9" s="45" t="s">
        <v>89</v>
      </c>
      <c r="I9" s="46" t="s">
        <v>60</v>
      </c>
      <c r="J9" s="46" t="s">
        <v>61</v>
      </c>
      <c r="K9" s="47" t="s">
        <v>62</v>
      </c>
    </row>
    <row r="10" spans="2:11" ht="13.5" thickBot="1" x14ac:dyDescent="0.35">
      <c r="B10" s="48">
        <v>2026</v>
      </c>
      <c r="C10" s="49" t="s">
        <v>63</v>
      </c>
      <c r="D10" s="73">
        <v>4390429.4364301199</v>
      </c>
      <c r="E10" s="73">
        <v>21952147.182150599</v>
      </c>
      <c r="F10" s="73">
        <v>17561717.74572048</v>
      </c>
      <c r="G10" s="74">
        <v>43904294.364301197</v>
      </c>
      <c r="H10" s="75"/>
      <c r="I10" s="76"/>
      <c r="J10" s="50">
        <f t="shared" ref="J10:J73" si="0">IF(H10=1,I10*D10,IF(H10=2,E10*I10,IF(H10=3,F10*I10,G10*I10)))</f>
        <v>0</v>
      </c>
      <c r="K10" s="52"/>
    </row>
    <row r="11" spans="2:11" ht="13.5" thickBot="1" x14ac:dyDescent="0.35">
      <c r="B11" s="53">
        <v>2026</v>
      </c>
      <c r="C11" s="54" t="s">
        <v>64</v>
      </c>
      <c r="D11" s="77">
        <v>3965549.1683884957</v>
      </c>
      <c r="E11" s="77">
        <v>19827745.841942478</v>
      </c>
      <c r="F11" s="77">
        <v>15862196.673553983</v>
      </c>
      <c r="G11" s="78">
        <v>39655491.683884956</v>
      </c>
      <c r="H11" s="79" t="str">
        <f t="shared" ref="H11:H74" si="1">IF($H$10="","",$H$10)</f>
        <v/>
      </c>
      <c r="I11" s="80"/>
      <c r="J11" s="81">
        <f t="shared" si="0"/>
        <v>0</v>
      </c>
      <c r="K11" s="82"/>
    </row>
    <row r="12" spans="2:11" ht="13.5" thickBot="1" x14ac:dyDescent="0.35">
      <c r="B12" s="53">
        <v>2026</v>
      </c>
      <c r="C12" s="54" t="s">
        <v>65</v>
      </c>
      <c r="D12" s="77">
        <v>4390429.4364301199</v>
      </c>
      <c r="E12" s="77">
        <v>21952147.182150599</v>
      </c>
      <c r="F12" s="77">
        <v>17561717.74572048</v>
      </c>
      <c r="G12" s="78">
        <v>43904294.364301197</v>
      </c>
      <c r="H12" s="79" t="str">
        <f t="shared" si="1"/>
        <v/>
      </c>
      <c r="I12" s="80"/>
      <c r="J12" s="81">
        <f t="shared" si="0"/>
        <v>0</v>
      </c>
      <c r="K12" s="82"/>
    </row>
    <row r="13" spans="2:11" ht="13.5" thickBot="1" x14ac:dyDescent="0.35">
      <c r="B13" s="53">
        <v>2026</v>
      </c>
      <c r="C13" s="54" t="s">
        <v>66</v>
      </c>
      <c r="D13" s="77">
        <v>4248802.680416245</v>
      </c>
      <c r="E13" s="77">
        <v>21244013.402081225</v>
      </c>
      <c r="F13" s="77">
        <v>16995210.72166498</v>
      </c>
      <c r="G13" s="78">
        <v>42488026.80416245</v>
      </c>
      <c r="H13" s="79" t="str">
        <f t="shared" si="1"/>
        <v/>
      </c>
      <c r="I13" s="80"/>
      <c r="J13" s="81">
        <f t="shared" si="0"/>
        <v>0</v>
      </c>
      <c r="K13" s="82"/>
    </row>
    <row r="14" spans="2:11" ht="13.5" thickBot="1" x14ac:dyDescent="0.35">
      <c r="B14" s="53">
        <v>2026</v>
      </c>
      <c r="C14" s="54" t="s">
        <v>67</v>
      </c>
      <c r="D14" s="77">
        <v>4390429.4364301199</v>
      </c>
      <c r="E14" s="77">
        <v>21952147.182150599</v>
      </c>
      <c r="F14" s="77">
        <v>17561717.74572048</v>
      </c>
      <c r="G14" s="78">
        <v>43904294.364301197</v>
      </c>
      <c r="H14" s="79" t="str">
        <f t="shared" si="1"/>
        <v/>
      </c>
      <c r="I14" s="80"/>
      <c r="J14" s="81">
        <f t="shared" si="0"/>
        <v>0</v>
      </c>
      <c r="K14" s="82"/>
    </row>
    <row r="15" spans="2:11" ht="13.5" thickBot="1" x14ac:dyDescent="0.35">
      <c r="B15" s="53">
        <v>2026</v>
      </c>
      <c r="C15" s="54" t="s">
        <v>68</v>
      </c>
      <c r="D15" s="77">
        <v>4248802.680416245</v>
      </c>
      <c r="E15" s="77">
        <v>21244013.402081225</v>
      </c>
      <c r="F15" s="77">
        <v>16995210.72166498</v>
      </c>
      <c r="G15" s="78">
        <v>42488026.80416245</v>
      </c>
      <c r="H15" s="79" t="str">
        <f t="shared" si="1"/>
        <v/>
      </c>
      <c r="I15" s="80"/>
      <c r="J15" s="81">
        <f t="shared" si="0"/>
        <v>0</v>
      </c>
      <c r="K15" s="82"/>
    </row>
    <row r="16" spans="2:11" ht="13.5" thickBot="1" x14ac:dyDescent="0.35">
      <c r="B16" s="53">
        <v>2026</v>
      </c>
      <c r="C16" s="54" t="s">
        <v>69</v>
      </c>
      <c r="D16" s="77">
        <v>4390429.4364301199</v>
      </c>
      <c r="E16" s="77">
        <v>21952147.182150599</v>
      </c>
      <c r="F16" s="77">
        <v>17561717.74572048</v>
      </c>
      <c r="G16" s="78">
        <v>43904294.364301197</v>
      </c>
      <c r="H16" s="79" t="str">
        <f t="shared" si="1"/>
        <v/>
      </c>
      <c r="I16" s="80"/>
      <c r="J16" s="81">
        <f t="shared" si="0"/>
        <v>0</v>
      </c>
      <c r="K16" s="82"/>
    </row>
    <row r="17" spans="2:11" ht="13.5" thickBot="1" x14ac:dyDescent="0.35">
      <c r="B17" s="53">
        <v>2026</v>
      </c>
      <c r="C17" s="54" t="s">
        <v>70</v>
      </c>
      <c r="D17" s="77">
        <v>4390429.4364301199</v>
      </c>
      <c r="E17" s="77">
        <v>21952147.182150599</v>
      </c>
      <c r="F17" s="77">
        <v>17561717.74572048</v>
      </c>
      <c r="G17" s="78">
        <v>43904294.364301197</v>
      </c>
      <c r="H17" s="79" t="str">
        <f t="shared" si="1"/>
        <v/>
      </c>
      <c r="I17" s="80"/>
      <c r="J17" s="81">
        <f t="shared" si="0"/>
        <v>0</v>
      </c>
      <c r="K17" s="82"/>
    </row>
    <row r="18" spans="2:11" ht="13.5" thickBot="1" x14ac:dyDescent="0.35">
      <c r="B18" s="53">
        <v>2026</v>
      </c>
      <c r="C18" s="54" t="s">
        <v>71</v>
      </c>
      <c r="D18" s="77">
        <v>4248802.680416245</v>
      </c>
      <c r="E18" s="77">
        <v>21244013.402081225</v>
      </c>
      <c r="F18" s="77">
        <v>16995210.72166498</v>
      </c>
      <c r="G18" s="78">
        <v>42488026.80416245</v>
      </c>
      <c r="H18" s="79" t="str">
        <f t="shared" si="1"/>
        <v/>
      </c>
      <c r="I18" s="80"/>
      <c r="J18" s="81">
        <f t="shared" si="0"/>
        <v>0</v>
      </c>
      <c r="K18" s="82"/>
    </row>
    <row r="19" spans="2:11" ht="13.5" thickBot="1" x14ac:dyDescent="0.35">
      <c r="B19" s="53">
        <v>2026</v>
      </c>
      <c r="C19" s="54" t="s">
        <v>72</v>
      </c>
      <c r="D19" s="77">
        <v>4390429.4364301199</v>
      </c>
      <c r="E19" s="77">
        <v>21952147.182150599</v>
      </c>
      <c r="F19" s="77">
        <v>17561717.74572048</v>
      </c>
      <c r="G19" s="78">
        <v>43904294.364301197</v>
      </c>
      <c r="H19" s="79" t="str">
        <f t="shared" si="1"/>
        <v/>
      </c>
      <c r="I19" s="80"/>
      <c r="J19" s="81">
        <f t="shared" si="0"/>
        <v>0</v>
      </c>
      <c r="K19" s="82"/>
    </row>
    <row r="20" spans="2:11" ht="13.5" thickBot="1" x14ac:dyDescent="0.35">
      <c r="B20" s="53">
        <v>2026</v>
      </c>
      <c r="C20" s="54" t="s">
        <v>73</v>
      </c>
      <c r="D20" s="77">
        <v>4248802.680416245</v>
      </c>
      <c r="E20" s="77">
        <v>21244013.402081225</v>
      </c>
      <c r="F20" s="77">
        <v>16995210.72166498</v>
      </c>
      <c r="G20" s="78">
        <v>42488026.80416245</v>
      </c>
      <c r="H20" s="79" t="str">
        <f t="shared" si="1"/>
        <v/>
      </c>
      <c r="I20" s="80"/>
      <c r="J20" s="81">
        <f t="shared" si="0"/>
        <v>0</v>
      </c>
      <c r="K20" s="82"/>
    </row>
    <row r="21" spans="2:11" ht="13.5" thickBot="1" x14ac:dyDescent="0.35">
      <c r="B21" s="57">
        <v>2026</v>
      </c>
      <c r="C21" s="58" t="s">
        <v>74</v>
      </c>
      <c r="D21" s="83">
        <v>4390429.4364301199</v>
      </c>
      <c r="E21" s="83">
        <v>21952147.182150599</v>
      </c>
      <c r="F21" s="83">
        <v>17561717.74572048</v>
      </c>
      <c r="G21" s="84">
        <v>43904294.364301197</v>
      </c>
      <c r="H21" s="85" t="str">
        <f t="shared" si="1"/>
        <v/>
      </c>
      <c r="I21" s="86"/>
      <c r="J21" s="81">
        <f t="shared" si="0"/>
        <v>0</v>
      </c>
      <c r="K21" s="87"/>
    </row>
    <row r="22" spans="2:11" ht="13.5" thickBot="1" x14ac:dyDescent="0.35">
      <c r="B22" s="48">
        <v>2027</v>
      </c>
      <c r="C22" s="49" t="s">
        <v>63</v>
      </c>
      <c r="D22" s="73">
        <v>4622278.175497923</v>
      </c>
      <c r="E22" s="73">
        <v>23111390.877489615</v>
      </c>
      <c r="F22" s="73">
        <v>18489112.701991692</v>
      </c>
      <c r="G22" s="74">
        <v>46222781.75497923</v>
      </c>
      <c r="H22" s="85" t="str">
        <f t="shared" si="1"/>
        <v/>
      </c>
      <c r="I22" s="76"/>
      <c r="J22" s="50">
        <f t="shared" si="0"/>
        <v>0</v>
      </c>
      <c r="K22" s="52"/>
    </row>
    <row r="23" spans="2:11" ht="13.5" thickBot="1" x14ac:dyDescent="0.35">
      <c r="B23" s="53">
        <v>2027</v>
      </c>
      <c r="C23" s="54" t="s">
        <v>64</v>
      </c>
      <c r="D23" s="77">
        <v>4174960.9327078015</v>
      </c>
      <c r="E23" s="77">
        <v>20874804.663539007</v>
      </c>
      <c r="F23" s="77">
        <v>16699843.730831206</v>
      </c>
      <c r="G23" s="78">
        <v>41749609.327078015</v>
      </c>
      <c r="H23" s="79" t="str">
        <f t="shared" si="1"/>
        <v/>
      </c>
      <c r="I23" s="80"/>
      <c r="J23" s="81">
        <f t="shared" si="0"/>
        <v>0</v>
      </c>
      <c r="K23" s="82"/>
    </row>
    <row r="24" spans="2:11" ht="13.5" thickBot="1" x14ac:dyDescent="0.35">
      <c r="B24" s="53">
        <v>2027</v>
      </c>
      <c r="C24" s="54" t="s">
        <v>65</v>
      </c>
      <c r="D24" s="77">
        <v>4622278.175497923</v>
      </c>
      <c r="E24" s="77">
        <v>23111390.877489615</v>
      </c>
      <c r="F24" s="77">
        <v>18489112.701991692</v>
      </c>
      <c r="G24" s="78">
        <v>46222781.75497923</v>
      </c>
      <c r="H24" s="79" t="str">
        <f t="shared" si="1"/>
        <v/>
      </c>
      <c r="I24" s="80"/>
      <c r="J24" s="81">
        <f t="shared" si="0"/>
        <v>0</v>
      </c>
      <c r="K24" s="82"/>
    </row>
    <row r="25" spans="2:11" ht="13.5" thickBot="1" x14ac:dyDescent="0.35">
      <c r="B25" s="53">
        <v>2027</v>
      </c>
      <c r="C25" s="54" t="s">
        <v>66</v>
      </c>
      <c r="D25" s="77">
        <v>4473172.4279012159</v>
      </c>
      <c r="E25" s="77">
        <v>22365862.139506079</v>
      </c>
      <c r="F25" s="77">
        <v>17892689.711604863</v>
      </c>
      <c r="G25" s="78">
        <v>44731724.279012159</v>
      </c>
      <c r="H25" s="79" t="str">
        <f t="shared" si="1"/>
        <v/>
      </c>
      <c r="I25" s="80"/>
      <c r="J25" s="81">
        <f t="shared" si="0"/>
        <v>0</v>
      </c>
      <c r="K25" s="82"/>
    </row>
    <row r="26" spans="2:11" ht="13.5" thickBot="1" x14ac:dyDescent="0.35">
      <c r="B26" s="53">
        <v>2027</v>
      </c>
      <c r="C26" s="54" t="s">
        <v>67</v>
      </c>
      <c r="D26" s="77">
        <v>4622278.175497923</v>
      </c>
      <c r="E26" s="77">
        <v>23111390.877489615</v>
      </c>
      <c r="F26" s="77">
        <v>18489112.701991692</v>
      </c>
      <c r="G26" s="78">
        <v>46222781.75497923</v>
      </c>
      <c r="H26" s="79" t="str">
        <f t="shared" si="1"/>
        <v/>
      </c>
      <c r="I26" s="80"/>
      <c r="J26" s="81">
        <f t="shared" si="0"/>
        <v>0</v>
      </c>
      <c r="K26" s="82"/>
    </row>
    <row r="27" spans="2:11" ht="13.5" thickBot="1" x14ac:dyDescent="0.35">
      <c r="B27" s="53">
        <v>2027</v>
      </c>
      <c r="C27" s="54" t="s">
        <v>68</v>
      </c>
      <c r="D27" s="77">
        <v>4473172.4279012159</v>
      </c>
      <c r="E27" s="77">
        <v>22365862.139506079</v>
      </c>
      <c r="F27" s="77">
        <v>17892689.711604863</v>
      </c>
      <c r="G27" s="78">
        <v>44731724.279012159</v>
      </c>
      <c r="H27" s="79" t="str">
        <f t="shared" si="1"/>
        <v/>
      </c>
      <c r="I27" s="80"/>
      <c r="J27" s="81">
        <f t="shared" si="0"/>
        <v>0</v>
      </c>
      <c r="K27" s="82"/>
    </row>
    <row r="28" spans="2:11" ht="13.5" thickBot="1" x14ac:dyDescent="0.35">
      <c r="B28" s="53">
        <v>2027</v>
      </c>
      <c r="C28" s="54" t="s">
        <v>69</v>
      </c>
      <c r="D28" s="77">
        <v>4622278.175497923</v>
      </c>
      <c r="E28" s="77">
        <v>23111390.877489615</v>
      </c>
      <c r="F28" s="77">
        <v>18489112.701991692</v>
      </c>
      <c r="G28" s="78">
        <v>46222781.75497923</v>
      </c>
      <c r="H28" s="79" t="str">
        <f t="shared" si="1"/>
        <v/>
      </c>
      <c r="I28" s="80"/>
      <c r="J28" s="81">
        <f t="shared" si="0"/>
        <v>0</v>
      </c>
      <c r="K28" s="82"/>
    </row>
    <row r="29" spans="2:11" ht="13.5" thickBot="1" x14ac:dyDescent="0.35">
      <c r="B29" s="53">
        <v>2027</v>
      </c>
      <c r="C29" s="54" t="s">
        <v>70</v>
      </c>
      <c r="D29" s="77">
        <v>4622278.175497923</v>
      </c>
      <c r="E29" s="77">
        <v>23111390.877489615</v>
      </c>
      <c r="F29" s="77">
        <v>18489112.701991692</v>
      </c>
      <c r="G29" s="78">
        <v>46222781.75497923</v>
      </c>
      <c r="H29" s="79" t="str">
        <f t="shared" si="1"/>
        <v/>
      </c>
      <c r="I29" s="80"/>
      <c r="J29" s="81">
        <f t="shared" si="0"/>
        <v>0</v>
      </c>
      <c r="K29" s="82"/>
    </row>
    <row r="30" spans="2:11" ht="13.5" thickBot="1" x14ac:dyDescent="0.35">
      <c r="B30" s="53">
        <v>2027</v>
      </c>
      <c r="C30" s="54" t="s">
        <v>71</v>
      </c>
      <c r="D30" s="77">
        <v>4473172.4279012159</v>
      </c>
      <c r="E30" s="77">
        <v>22365862.139506079</v>
      </c>
      <c r="F30" s="77">
        <v>17892689.711604863</v>
      </c>
      <c r="G30" s="78">
        <v>44731724.279012159</v>
      </c>
      <c r="H30" s="79" t="str">
        <f t="shared" si="1"/>
        <v/>
      </c>
      <c r="I30" s="80"/>
      <c r="J30" s="81">
        <f t="shared" si="0"/>
        <v>0</v>
      </c>
      <c r="K30" s="82"/>
    </row>
    <row r="31" spans="2:11" ht="13.5" thickBot="1" x14ac:dyDescent="0.35">
      <c r="B31" s="53">
        <v>2027</v>
      </c>
      <c r="C31" s="54" t="s">
        <v>72</v>
      </c>
      <c r="D31" s="77">
        <v>4622278.175497923</v>
      </c>
      <c r="E31" s="77">
        <v>23111390.877489615</v>
      </c>
      <c r="F31" s="77">
        <v>18489112.701991692</v>
      </c>
      <c r="G31" s="78">
        <v>46222781.75497923</v>
      </c>
      <c r="H31" s="79" t="str">
        <f t="shared" si="1"/>
        <v/>
      </c>
      <c r="I31" s="80"/>
      <c r="J31" s="81">
        <f t="shared" si="0"/>
        <v>0</v>
      </c>
      <c r="K31" s="82"/>
    </row>
    <row r="32" spans="2:11" ht="13.5" thickBot="1" x14ac:dyDescent="0.35">
      <c r="B32" s="53">
        <v>2027</v>
      </c>
      <c r="C32" s="54" t="s">
        <v>73</v>
      </c>
      <c r="D32" s="77">
        <v>4473172.4279012159</v>
      </c>
      <c r="E32" s="77">
        <v>22365862.139506079</v>
      </c>
      <c r="F32" s="77">
        <v>17892689.711604863</v>
      </c>
      <c r="G32" s="78">
        <v>44731724.279012159</v>
      </c>
      <c r="H32" s="79" t="str">
        <f t="shared" si="1"/>
        <v/>
      </c>
      <c r="I32" s="80"/>
      <c r="J32" s="81">
        <f t="shared" si="0"/>
        <v>0</v>
      </c>
      <c r="K32" s="82"/>
    </row>
    <row r="33" spans="2:11" ht="13.5" thickBot="1" x14ac:dyDescent="0.35">
      <c r="B33" s="57">
        <v>2027</v>
      </c>
      <c r="C33" s="58" t="s">
        <v>74</v>
      </c>
      <c r="D33" s="83">
        <v>4622278.175497923</v>
      </c>
      <c r="E33" s="83">
        <v>23111390.877489615</v>
      </c>
      <c r="F33" s="83">
        <v>18489112.701991692</v>
      </c>
      <c r="G33" s="84">
        <v>46222781.75497923</v>
      </c>
      <c r="H33" s="85" t="str">
        <f t="shared" si="1"/>
        <v/>
      </c>
      <c r="I33" s="86"/>
      <c r="J33" s="81">
        <f t="shared" si="0"/>
        <v>0</v>
      </c>
      <c r="K33" s="87"/>
    </row>
    <row r="34" spans="2:11" ht="13.5" thickBot="1" x14ac:dyDescent="0.35">
      <c r="B34" s="48">
        <v>2028</v>
      </c>
      <c r="C34" s="49" t="s">
        <v>63</v>
      </c>
      <c r="D34" s="73">
        <v>4854035.3001178522</v>
      </c>
      <c r="E34" s="73">
        <v>24270176.500589259</v>
      </c>
      <c r="F34" s="73">
        <v>19416141.200471409</v>
      </c>
      <c r="G34" s="74">
        <v>48540353.001178518</v>
      </c>
      <c r="H34" s="85" t="str">
        <f t="shared" si="1"/>
        <v/>
      </c>
      <c r="I34" s="76"/>
      <c r="J34" s="50">
        <f t="shared" si="0"/>
        <v>0</v>
      </c>
      <c r="K34" s="52"/>
    </row>
    <row r="35" spans="2:11" ht="13.5" thickBot="1" x14ac:dyDescent="0.35">
      <c r="B35" s="53">
        <v>2028</v>
      </c>
      <c r="C35" s="54" t="s">
        <v>64</v>
      </c>
      <c r="D35" s="77">
        <v>4540871.7323683128</v>
      </c>
      <c r="E35" s="77">
        <v>22704358.661841564</v>
      </c>
      <c r="F35" s="77">
        <v>18163486.929473251</v>
      </c>
      <c r="G35" s="78">
        <v>45408717.323683128</v>
      </c>
      <c r="H35" s="79" t="str">
        <f t="shared" si="1"/>
        <v/>
      </c>
      <c r="I35" s="80"/>
      <c r="J35" s="81">
        <f t="shared" si="0"/>
        <v>0</v>
      </c>
      <c r="K35" s="82"/>
    </row>
    <row r="36" spans="2:11" ht="13.5" thickBot="1" x14ac:dyDescent="0.35">
      <c r="B36" s="53">
        <v>2028</v>
      </c>
      <c r="C36" s="54" t="s">
        <v>65</v>
      </c>
      <c r="D36" s="77">
        <v>4854035.3001178522</v>
      </c>
      <c r="E36" s="77">
        <v>24270176.500589259</v>
      </c>
      <c r="F36" s="77">
        <v>19416141.200471409</v>
      </c>
      <c r="G36" s="78">
        <v>48540353.001178518</v>
      </c>
      <c r="H36" s="79" t="str">
        <f t="shared" si="1"/>
        <v/>
      </c>
      <c r="I36" s="80"/>
      <c r="J36" s="81">
        <f t="shared" si="0"/>
        <v>0</v>
      </c>
      <c r="K36" s="82"/>
    </row>
    <row r="37" spans="2:11" ht="13.5" thickBot="1" x14ac:dyDescent="0.35">
      <c r="B37" s="53">
        <v>2028</v>
      </c>
      <c r="C37" s="54" t="s">
        <v>66</v>
      </c>
      <c r="D37" s="77">
        <v>4697453.5162430834</v>
      </c>
      <c r="E37" s="77">
        <v>23487267.581215415</v>
      </c>
      <c r="F37" s="77">
        <v>18789814.064972334</v>
      </c>
      <c r="G37" s="78">
        <v>46974535.16243083</v>
      </c>
      <c r="H37" s="79" t="str">
        <f t="shared" si="1"/>
        <v/>
      </c>
      <c r="I37" s="80"/>
      <c r="J37" s="81">
        <f t="shared" si="0"/>
        <v>0</v>
      </c>
      <c r="K37" s="82"/>
    </row>
    <row r="38" spans="2:11" ht="13.5" thickBot="1" x14ac:dyDescent="0.35">
      <c r="B38" s="53">
        <v>2028</v>
      </c>
      <c r="C38" s="54" t="s">
        <v>67</v>
      </c>
      <c r="D38" s="77">
        <v>4854035.3001178522</v>
      </c>
      <c r="E38" s="77">
        <v>24270176.500589259</v>
      </c>
      <c r="F38" s="77">
        <v>19416141.200471409</v>
      </c>
      <c r="G38" s="78">
        <v>48540353.001178518</v>
      </c>
      <c r="H38" s="79" t="str">
        <f t="shared" si="1"/>
        <v/>
      </c>
      <c r="I38" s="80"/>
      <c r="J38" s="81">
        <f t="shared" si="0"/>
        <v>0</v>
      </c>
      <c r="K38" s="82"/>
    </row>
    <row r="39" spans="2:11" ht="13.5" thickBot="1" x14ac:dyDescent="0.35">
      <c r="B39" s="53">
        <v>2028</v>
      </c>
      <c r="C39" s="54" t="s">
        <v>68</v>
      </c>
      <c r="D39" s="77">
        <v>4697453.5162430825</v>
      </c>
      <c r="E39" s="77">
        <v>23487267.581215411</v>
      </c>
      <c r="F39" s="77">
        <v>18789814.06497233</v>
      </c>
      <c r="G39" s="78">
        <v>46974535.162430823</v>
      </c>
      <c r="H39" s="79" t="str">
        <f t="shared" si="1"/>
        <v/>
      </c>
      <c r="I39" s="80"/>
      <c r="J39" s="81">
        <f t="shared" si="0"/>
        <v>0</v>
      </c>
      <c r="K39" s="82"/>
    </row>
    <row r="40" spans="2:11" ht="13.5" thickBot="1" x14ac:dyDescent="0.35">
      <c r="B40" s="53">
        <v>2028</v>
      </c>
      <c r="C40" s="54" t="s">
        <v>69</v>
      </c>
      <c r="D40" s="77">
        <v>4854035.3001178522</v>
      </c>
      <c r="E40" s="77">
        <v>24270176.500589259</v>
      </c>
      <c r="F40" s="77">
        <v>19416141.200471409</v>
      </c>
      <c r="G40" s="78">
        <v>48540353.001178518</v>
      </c>
      <c r="H40" s="79" t="str">
        <f t="shared" si="1"/>
        <v/>
      </c>
      <c r="I40" s="80"/>
      <c r="J40" s="81">
        <f t="shared" si="0"/>
        <v>0</v>
      </c>
      <c r="K40" s="82"/>
    </row>
    <row r="41" spans="2:11" ht="13.5" thickBot="1" x14ac:dyDescent="0.35">
      <c r="B41" s="53">
        <v>2028</v>
      </c>
      <c r="C41" s="54" t="s">
        <v>70</v>
      </c>
      <c r="D41" s="77">
        <v>4854035.3001178522</v>
      </c>
      <c r="E41" s="77">
        <v>24270176.500589259</v>
      </c>
      <c r="F41" s="77">
        <v>19416141.200471409</v>
      </c>
      <c r="G41" s="78">
        <v>48540353.001178518</v>
      </c>
      <c r="H41" s="79" t="str">
        <f t="shared" si="1"/>
        <v/>
      </c>
      <c r="I41" s="80"/>
      <c r="J41" s="81">
        <f t="shared" si="0"/>
        <v>0</v>
      </c>
      <c r="K41" s="82"/>
    </row>
    <row r="42" spans="2:11" ht="13.5" thickBot="1" x14ac:dyDescent="0.35">
      <c r="B42" s="53">
        <v>2028</v>
      </c>
      <c r="C42" s="54" t="s">
        <v>71</v>
      </c>
      <c r="D42" s="77">
        <v>4697453.5162430825</v>
      </c>
      <c r="E42" s="77">
        <v>23487267.581215411</v>
      </c>
      <c r="F42" s="77">
        <v>18789814.06497233</v>
      </c>
      <c r="G42" s="78">
        <v>46974535.162430823</v>
      </c>
      <c r="H42" s="79" t="str">
        <f t="shared" si="1"/>
        <v/>
      </c>
      <c r="I42" s="80"/>
      <c r="J42" s="81">
        <f t="shared" si="0"/>
        <v>0</v>
      </c>
      <c r="K42" s="82"/>
    </row>
    <row r="43" spans="2:11" ht="13.5" thickBot="1" x14ac:dyDescent="0.35">
      <c r="B43" s="53">
        <v>2028</v>
      </c>
      <c r="C43" s="54" t="s">
        <v>72</v>
      </c>
      <c r="D43" s="77">
        <v>4854035.3001178522</v>
      </c>
      <c r="E43" s="77">
        <v>24270176.500589259</v>
      </c>
      <c r="F43" s="77">
        <v>19416141.200471409</v>
      </c>
      <c r="G43" s="78">
        <v>48540353.001178518</v>
      </c>
      <c r="H43" s="79" t="str">
        <f t="shared" si="1"/>
        <v/>
      </c>
      <c r="I43" s="80"/>
      <c r="J43" s="81">
        <f t="shared" si="0"/>
        <v>0</v>
      </c>
      <c r="K43" s="82"/>
    </row>
    <row r="44" spans="2:11" ht="13.5" thickBot="1" x14ac:dyDescent="0.35">
      <c r="B44" s="53">
        <v>2028</v>
      </c>
      <c r="C44" s="54" t="s">
        <v>73</v>
      </c>
      <c r="D44" s="77">
        <v>4697453.5162430825</v>
      </c>
      <c r="E44" s="77">
        <v>23487267.581215411</v>
      </c>
      <c r="F44" s="77">
        <v>18789814.06497233</v>
      </c>
      <c r="G44" s="78">
        <v>46974535.162430823</v>
      </c>
      <c r="H44" s="79" t="str">
        <f t="shared" si="1"/>
        <v/>
      </c>
      <c r="I44" s="80"/>
      <c r="J44" s="81">
        <f t="shared" si="0"/>
        <v>0</v>
      </c>
      <c r="K44" s="82"/>
    </row>
    <row r="45" spans="2:11" ht="13.5" thickBot="1" x14ac:dyDescent="0.35">
      <c r="B45" s="57">
        <v>2028</v>
      </c>
      <c r="C45" s="58" t="s">
        <v>74</v>
      </c>
      <c r="D45" s="83">
        <v>4854035.3001178522</v>
      </c>
      <c r="E45" s="83">
        <v>24270176.500589259</v>
      </c>
      <c r="F45" s="83">
        <v>19416141.200471409</v>
      </c>
      <c r="G45" s="84">
        <v>48540353.001178518</v>
      </c>
      <c r="H45" s="85" t="str">
        <f t="shared" si="1"/>
        <v/>
      </c>
      <c r="I45" s="86"/>
      <c r="J45" s="81">
        <f t="shared" si="0"/>
        <v>0</v>
      </c>
      <c r="K45" s="87"/>
    </row>
    <row r="46" spans="2:11" ht="13.5" thickBot="1" x14ac:dyDescent="0.35">
      <c r="B46" s="48">
        <v>2029</v>
      </c>
      <c r="C46" s="49" t="s">
        <v>63</v>
      </c>
      <c r="D46" s="73">
        <v>5055498.3516257051</v>
      </c>
      <c r="E46" s="73">
        <v>25277491.758128524</v>
      </c>
      <c r="F46" s="73">
        <v>20221993.406502821</v>
      </c>
      <c r="G46" s="74">
        <v>50554983.516257048</v>
      </c>
      <c r="H46" s="85" t="str">
        <f t="shared" si="1"/>
        <v/>
      </c>
      <c r="I46" s="76"/>
      <c r="J46" s="50">
        <f t="shared" si="0"/>
        <v>0</v>
      </c>
      <c r="K46" s="52"/>
    </row>
    <row r="47" spans="2:11" ht="13.5" thickBot="1" x14ac:dyDescent="0.35">
      <c r="B47" s="53">
        <v>2029</v>
      </c>
      <c r="C47" s="54" t="s">
        <v>64</v>
      </c>
      <c r="D47" s="77">
        <v>4566256.5756619265</v>
      </c>
      <c r="E47" s="77">
        <v>22831282.878309634</v>
      </c>
      <c r="F47" s="77">
        <v>18265026.302647706</v>
      </c>
      <c r="G47" s="78">
        <v>45662565.756619267</v>
      </c>
      <c r="H47" s="79" t="str">
        <f t="shared" si="1"/>
        <v/>
      </c>
      <c r="I47" s="80"/>
      <c r="J47" s="81">
        <f t="shared" si="0"/>
        <v>0</v>
      </c>
      <c r="K47" s="82"/>
    </row>
    <row r="48" spans="2:11" ht="13.5" thickBot="1" x14ac:dyDescent="0.35">
      <c r="B48" s="53">
        <v>2029</v>
      </c>
      <c r="C48" s="54" t="s">
        <v>65</v>
      </c>
      <c r="D48" s="77">
        <v>5055498.3516257061</v>
      </c>
      <c r="E48" s="77">
        <v>25277491.758128528</v>
      </c>
      <c r="F48" s="77">
        <v>20221993.406502824</v>
      </c>
      <c r="G48" s="78">
        <v>50554983.516257055</v>
      </c>
      <c r="H48" s="79" t="str">
        <f t="shared" si="1"/>
        <v/>
      </c>
      <c r="I48" s="80"/>
      <c r="J48" s="81">
        <f t="shared" si="0"/>
        <v>0</v>
      </c>
      <c r="K48" s="82"/>
    </row>
    <row r="49" spans="2:11" ht="13.5" thickBot="1" x14ac:dyDescent="0.35">
      <c r="B49" s="53">
        <v>2029</v>
      </c>
      <c r="C49" s="54" t="s">
        <v>66</v>
      </c>
      <c r="D49" s="77">
        <v>4892417.7596377796</v>
      </c>
      <c r="E49" s="77">
        <v>24462088.798188895</v>
      </c>
      <c r="F49" s="77">
        <v>19569671.038551118</v>
      </c>
      <c r="G49" s="78">
        <v>48924177.59637779</v>
      </c>
      <c r="H49" s="79" t="str">
        <f t="shared" si="1"/>
        <v/>
      </c>
      <c r="I49" s="80"/>
      <c r="J49" s="81">
        <f t="shared" si="0"/>
        <v>0</v>
      </c>
      <c r="K49" s="82"/>
    </row>
    <row r="50" spans="2:11" ht="13.5" thickBot="1" x14ac:dyDescent="0.35">
      <c r="B50" s="53">
        <v>2029</v>
      </c>
      <c r="C50" s="54" t="s">
        <v>67</v>
      </c>
      <c r="D50" s="77">
        <v>5055498.3516257051</v>
      </c>
      <c r="E50" s="77">
        <v>25277491.758128524</v>
      </c>
      <c r="F50" s="77">
        <v>20221993.406502821</v>
      </c>
      <c r="G50" s="78">
        <v>50554983.516257048</v>
      </c>
      <c r="H50" s="79" t="str">
        <f t="shared" si="1"/>
        <v/>
      </c>
      <c r="I50" s="80"/>
      <c r="J50" s="81">
        <f t="shared" si="0"/>
        <v>0</v>
      </c>
      <c r="K50" s="82"/>
    </row>
    <row r="51" spans="2:11" ht="13.5" thickBot="1" x14ac:dyDescent="0.35">
      <c r="B51" s="53">
        <v>2029</v>
      </c>
      <c r="C51" s="54" t="s">
        <v>68</v>
      </c>
      <c r="D51" s="77">
        <v>4892417.7596377796</v>
      </c>
      <c r="E51" s="77">
        <v>24462088.798188895</v>
      </c>
      <c r="F51" s="77">
        <v>19569671.038551118</v>
      </c>
      <c r="G51" s="78">
        <v>48924177.59637779</v>
      </c>
      <c r="H51" s="79" t="str">
        <f t="shared" si="1"/>
        <v/>
      </c>
      <c r="I51" s="80"/>
      <c r="J51" s="81">
        <f t="shared" si="0"/>
        <v>0</v>
      </c>
      <c r="K51" s="82"/>
    </row>
    <row r="52" spans="2:11" ht="13.5" thickBot="1" x14ac:dyDescent="0.35">
      <c r="B52" s="53">
        <v>2029</v>
      </c>
      <c r="C52" s="54" t="s">
        <v>69</v>
      </c>
      <c r="D52" s="77">
        <v>5055498.3516257051</v>
      </c>
      <c r="E52" s="77">
        <v>25277491.758128524</v>
      </c>
      <c r="F52" s="77">
        <v>20221993.406502821</v>
      </c>
      <c r="G52" s="78">
        <v>50554983.516257048</v>
      </c>
      <c r="H52" s="79" t="str">
        <f t="shared" si="1"/>
        <v/>
      </c>
      <c r="I52" s="80"/>
      <c r="J52" s="81">
        <f t="shared" si="0"/>
        <v>0</v>
      </c>
      <c r="K52" s="82"/>
    </row>
    <row r="53" spans="2:11" ht="13.5" thickBot="1" x14ac:dyDescent="0.35">
      <c r="B53" s="53">
        <v>2029</v>
      </c>
      <c r="C53" s="54" t="s">
        <v>70</v>
      </c>
      <c r="D53" s="77">
        <v>5055498.3516257051</v>
      </c>
      <c r="E53" s="77">
        <v>25277491.758128524</v>
      </c>
      <c r="F53" s="77">
        <v>20221993.406502821</v>
      </c>
      <c r="G53" s="78">
        <v>50554983.516257048</v>
      </c>
      <c r="H53" s="79" t="str">
        <f t="shared" si="1"/>
        <v/>
      </c>
      <c r="I53" s="80"/>
      <c r="J53" s="81">
        <f t="shared" si="0"/>
        <v>0</v>
      </c>
      <c r="K53" s="82"/>
    </row>
    <row r="54" spans="2:11" ht="13.5" thickBot="1" x14ac:dyDescent="0.35">
      <c r="B54" s="53">
        <v>2029</v>
      </c>
      <c r="C54" s="54" t="s">
        <v>71</v>
      </c>
      <c r="D54" s="77">
        <v>4892417.7596377796</v>
      </c>
      <c r="E54" s="77">
        <v>24462088.798188895</v>
      </c>
      <c r="F54" s="77">
        <v>19569671.038551118</v>
      </c>
      <c r="G54" s="78">
        <v>48924177.59637779</v>
      </c>
      <c r="H54" s="79" t="str">
        <f t="shared" si="1"/>
        <v/>
      </c>
      <c r="I54" s="80"/>
      <c r="J54" s="81">
        <f t="shared" si="0"/>
        <v>0</v>
      </c>
      <c r="K54" s="82"/>
    </row>
    <row r="55" spans="2:11" ht="13.5" thickBot="1" x14ac:dyDescent="0.35">
      <c r="B55" s="53">
        <v>2029</v>
      </c>
      <c r="C55" s="54" t="s">
        <v>72</v>
      </c>
      <c r="D55" s="77">
        <v>5055498.3516257051</v>
      </c>
      <c r="E55" s="77">
        <v>25277491.758128524</v>
      </c>
      <c r="F55" s="77">
        <v>20221993.406502821</v>
      </c>
      <c r="G55" s="78">
        <v>50554983.516257048</v>
      </c>
      <c r="H55" s="79" t="str">
        <f t="shared" si="1"/>
        <v/>
      </c>
      <c r="I55" s="80"/>
      <c r="J55" s="81">
        <f t="shared" si="0"/>
        <v>0</v>
      </c>
      <c r="K55" s="82"/>
    </row>
    <row r="56" spans="2:11" ht="13.5" thickBot="1" x14ac:dyDescent="0.35">
      <c r="B56" s="53">
        <v>2029</v>
      </c>
      <c r="C56" s="54" t="s">
        <v>73</v>
      </c>
      <c r="D56" s="77">
        <v>4892417.7596377796</v>
      </c>
      <c r="E56" s="77">
        <v>24462088.798188895</v>
      </c>
      <c r="F56" s="77">
        <v>19569671.038551118</v>
      </c>
      <c r="G56" s="78">
        <v>48924177.59637779</v>
      </c>
      <c r="H56" s="79" t="str">
        <f t="shared" si="1"/>
        <v/>
      </c>
      <c r="I56" s="80"/>
      <c r="J56" s="81">
        <f t="shared" si="0"/>
        <v>0</v>
      </c>
      <c r="K56" s="82"/>
    </row>
    <row r="57" spans="2:11" ht="13.5" thickBot="1" x14ac:dyDescent="0.35">
      <c r="B57" s="57">
        <v>2029</v>
      </c>
      <c r="C57" s="58" t="s">
        <v>74</v>
      </c>
      <c r="D57" s="83">
        <v>5055498.3516257051</v>
      </c>
      <c r="E57" s="83">
        <v>25277491.758128524</v>
      </c>
      <c r="F57" s="83">
        <v>20221993.406502821</v>
      </c>
      <c r="G57" s="84">
        <v>50554983.516257048</v>
      </c>
      <c r="H57" s="85" t="str">
        <f t="shared" si="1"/>
        <v/>
      </c>
      <c r="I57" s="86"/>
      <c r="J57" s="81">
        <f t="shared" si="0"/>
        <v>0</v>
      </c>
      <c r="K57" s="87"/>
    </row>
    <row r="58" spans="2:11" ht="13.5" thickBot="1" x14ac:dyDescent="0.35">
      <c r="B58" s="48">
        <v>2030</v>
      </c>
      <c r="C58" s="49" t="s">
        <v>63</v>
      </c>
      <c r="D58" s="73">
        <v>5271900.8295528479</v>
      </c>
      <c r="E58" s="73">
        <v>26359504.147764236</v>
      </c>
      <c r="F58" s="73">
        <v>21087603.318211392</v>
      </c>
      <c r="G58" s="88">
        <v>52719008.295528471</v>
      </c>
      <c r="H58" s="85" t="str">
        <f t="shared" si="1"/>
        <v/>
      </c>
      <c r="I58" s="89"/>
      <c r="J58" s="50">
        <f t="shared" si="0"/>
        <v>0</v>
      </c>
      <c r="K58" s="52"/>
    </row>
    <row r="59" spans="2:11" ht="13.5" thickBot="1" x14ac:dyDescent="0.35">
      <c r="B59" s="53">
        <v>2030</v>
      </c>
      <c r="C59" s="54" t="s">
        <v>64</v>
      </c>
      <c r="D59" s="77">
        <v>4761716.8783057984</v>
      </c>
      <c r="E59" s="77">
        <v>23808584.39152899</v>
      </c>
      <c r="F59" s="77">
        <v>19046867.513223194</v>
      </c>
      <c r="G59" s="90">
        <v>47617168.78305798</v>
      </c>
      <c r="H59" s="85" t="str">
        <f t="shared" si="1"/>
        <v/>
      </c>
      <c r="I59" s="91"/>
      <c r="J59" s="81">
        <f t="shared" si="0"/>
        <v>0</v>
      </c>
      <c r="K59" s="82"/>
    </row>
    <row r="60" spans="2:11" ht="13.5" thickBot="1" x14ac:dyDescent="0.35">
      <c r="B60" s="53">
        <v>2030</v>
      </c>
      <c r="C60" s="54" t="s">
        <v>65</v>
      </c>
      <c r="D60" s="77">
        <v>5271900.8295528479</v>
      </c>
      <c r="E60" s="77">
        <v>26359504.147764236</v>
      </c>
      <c r="F60" s="77">
        <v>21087603.318211392</v>
      </c>
      <c r="G60" s="90">
        <v>52719008.295528471</v>
      </c>
      <c r="H60" s="85" t="str">
        <f t="shared" si="1"/>
        <v/>
      </c>
      <c r="I60" s="91"/>
      <c r="J60" s="81">
        <f t="shared" si="0"/>
        <v>0</v>
      </c>
      <c r="K60" s="82"/>
    </row>
    <row r="61" spans="2:11" ht="13.5" thickBot="1" x14ac:dyDescent="0.35">
      <c r="B61" s="53">
        <v>2030</v>
      </c>
      <c r="C61" s="54" t="s">
        <v>66</v>
      </c>
      <c r="D61" s="77">
        <v>5101839.5124704977</v>
      </c>
      <c r="E61" s="77">
        <v>25509197.562352486</v>
      </c>
      <c r="F61" s="77">
        <v>20407358.049881991</v>
      </c>
      <c r="G61" s="90">
        <v>51018395.124704972</v>
      </c>
      <c r="H61" s="85" t="str">
        <f t="shared" si="1"/>
        <v/>
      </c>
      <c r="I61" s="91"/>
      <c r="J61" s="81">
        <f t="shared" si="0"/>
        <v>0</v>
      </c>
      <c r="K61" s="82"/>
    </row>
    <row r="62" spans="2:11" ht="13.5" thickBot="1" x14ac:dyDescent="0.35">
      <c r="B62" s="53">
        <v>2030</v>
      </c>
      <c r="C62" s="54" t="s">
        <v>67</v>
      </c>
      <c r="D62" s="77">
        <v>5271900.8295528479</v>
      </c>
      <c r="E62" s="77">
        <v>26359504.147764239</v>
      </c>
      <c r="F62" s="77">
        <v>21087603.318211392</v>
      </c>
      <c r="G62" s="90">
        <v>52719008.295528479</v>
      </c>
      <c r="H62" s="85" t="str">
        <f t="shared" si="1"/>
        <v/>
      </c>
      <c r="I62" s="91"/>
      <c r="J62" s="81">
        <f t="shared" si="0"/>
        <v>0</v>
      </c>
      <c r="K62" s="82"/>
    </row>
    <row r="63" spans="2:11" ht="13.5" thickBot="1" x14ac:dyDescent="0.35">
      <c r="B63" s="53">
        <v>2030</v>
      </c>
      <c r="C63" s="54" t="s">
        <v>68</v>
      </c>
      <c r="D63" s="77">
        <v>5101839.5124704977</v>
      </c>
      <c r="E63" s="77">
        <v>25509197.562352486</v>
      </c>
      <c r="F63" s="77">
        <v>20407358.049881991</v>
      </c>
      <c r="G63" s="90">
        <v>51018395.124704972</v>
      </c>
      <c r="H63" s="85" t="str">
        <f t="shared" si="1"/>
        <v/>
      </c>
      <c r="I63" s="91"/>
      <c r="J63" s="81">
        <f t="shared" si="0"/>
        <v>0</v>
      </c>
      <c r="K63" s="82"/>
    </row>
    <row r="64" spans="2:11" ht="13.5" thickBot="1" x14ac:dyDescent="0.35">
      <c r="B64" s="53">
        <v>2030</v>
      </c>
      <c r="C64" s="54" t="s">
        <v>69</v>
      </c>
      <c r="D64" s="77">
        <v>5271900.8295528479</v>
      </c>
      <c r="E64" s="77">
        <v>26359504.147764236</v>
      </c>
      <c r="F64" s="77">
        <v>21087603.318211392</v>
      </c>
      <c r="G64" s="90">
        <v>52719008.295528471</v>
      </c>
      <c r="H64" s="85" t="str">
        <f t="shared" si="1"/>
        <v/>
      </c>
      <c r="I64" s="91"/>
      <c r="J64" s="81">
        <f t="shared" si="0"/>
        <v>0</v>
      </c>
      <c r="K64" s="82"/>
    </row>
    <row r="65" spans="2:11" ht="13.5" thickBot="1" x14ac:dyDescent="0.35">
      <c r="B65" s="53">
        <v>2030</v>
      </c>
      <c r="C65" s="54" t="s">
        <v>70</v>
      </c>
      <c r="D65" s="77">
        <v>5271900.8295528479</v>
      </c>
      <c r="E65" s="77">
        <v>26359504.147764236</v>
      </c>
      <c r="F65" s="77">
        <v>21087603.318211392</v>
      </c>
      <c r="G65" s="90">
        <v>52719008.295528471</v>
      </c>
      <c r="H65" s="85" t="str">
        <f t="shared" si="1"/>
        <v/>
      </c>
      <c r="I65" s="91"/>
      <c r="J65" s="81">
        <f t="shared" si="0"/>
        <v>0</v>
      </c>
      <c r="K65" s="82"/>
    </row>
    <row r="66" spans="2:11" ht="13.5" thickBot="1" x14ac:dyDescent="0.35">
      <c r="B66" s="53">
        <v>2030</v>
      </c>
      <c r="C66" s="54" t="s">
        <v>71</v>
      </c>
      <c r="D66" s="77">
        <v>5101839.5124704987</v>
      </c>
      <c r="E66" s="77">
        <v>25509197.56235249</v>
      </c>
      <c r="F66" s="77">
        <v>20407358.049881995</v>
      </c>
      <c r="G66" s="90">
        <v>51018395.124704979</v>
      </c>
      <c r="H66" s="85" t="str">
        <f t="shared" si="1"/>
        <v/>
      </c>
      <c r="I66" s="91"/>
      <c r="J66" s="81">
        <f t="shared" si="0"/>
        <v>0</v>
      </c>
      <c r="K66" s="82"/>
    </row>
    <row r="67" spans="2:11" ht="13.5" thickBot="1" x14ac:dyDescent="0.35">
      <c r="B67" s="53">
        <v>2030</v>
      </c>
      <c r="C67" s="54" t="s">
        <v>72</v>
      </c>
      <c r="D67" s="77">
        <v>5271900.8295528479</v>
      </c>
      <c r="E67" s="77">
        <v>26359504.147764239</v>
      </c>
      <c r="F67" s="77">
        <v>21087603.318211392</v>
      </c>
      <c r="G67" s="90">
        <v>52719008.295528479</v>
      </c>
      <c r="H67" s="85" t="str">
        <f t="shared" si="1"/>
        <v/>
      </c>
      <c r="I67" s="91"/>
      <c r="J67" s="81">
        <f t="shared" si="0"/>
        <v>0</v>
      </c>
      <c r="K67" s="82"/>
    </row>
    <row r="68" spans="2:11" ht="13.5" thickBot="1" x14ac:dyDescent="0.35">
      <c r="B68" s="53">
        <v>2030</v>
      </c>
      <c r="C68" s="54" t="s">
        <v>73</v>
      </c>
      <c r="D68" s="77">
        <v>5101839.5124704977</v>
      </c>
      <c r="E68" s="77">
        <v>25509197.562352486</v>
      </c>
      <c r="F68" s="77">
        <v>20407358.049881991</v>
      </c>
      <c r="G68" s="90">
        <v>51018395.124704972</v>
      </c>
      <c r="H68" s="85" t="str">
        <f t="shared" si="1"/>
        <v/>
      </c>
      <c r="I68" s="91"/>
      <c r="J68" s="81">
        <f t="shared" si="0"/>
        <v>0</v>
      </c>
      <c r="K68" s="82"/>
    </row>
    <row r="69" spans="2:11" ht="13.5" thickBot="1" x14ac:dyDescent="0.35">
      <c r="B69" s="57">
        <v>2030</v>
      </c>
      <c r="C69" s="58" t="s">
        <v>74</v>
      </c>
      <c r="D69" s="83">
        <v>5271900.8295528479</v>
      </c>
      <c r="E69" s="83">
        <v>26359504.147764236</v>
      </c>
      <c r="F69" s="83">
        <v>21087603.318211392</v>
      </c>
      <c r="G69" s="92">
        <v>52719008.295528471</v>
      </c>
      <c r="H69" s="85" t="str">
        <f t="shared" si="1"/>
        <v/>
      </c>
      <c r="I69" s="93"/>
      <c r="J69" s="81">
        <f t="shared" si="0"/>
        <v>0</v>
      </c>
      <c r="K69" s="87"/>
    </row>
    <row r="70" spans="2:11" ht="13.5" thickBot="1" x14ac:dyDescent="0.35">
      <c r="B70" s="48">
        <v>2031</v>
      </c>
      <c r="C70" s="49" t="s">
        <v>63</v>
      </c>
      <c r="D70" s="73">
        <v>5511004.1773684928</v>
      </c>
      <c r="E70" s="73">
        <v>27555020.886842463</v>
      </c>
      <c r="F70" s="73">
        <v>22044016.709473971</v>
      </c>
      <c r="G70" s="88">
        <v>55110041.773684926</v>
      </c>
      <c r="H70" s="85" t="str">
        <f t="shared" si="1"/>
        <v/>
      </c>
      <c r="I70" s="89"/>
      <c r="J70" s="50">
        <f t="shared" si="0"/>
        <v>0</v>
      </c>
      <c r="K70" s="52"/>
    </row>
    <row r="71" spans="2:11" ht="13.5" thickBot="1" x14ac:dyDescent="0.35">
      <c r="B71" s="53">
        <v>2031</v>
      </c>
      <c r="C71" s="54" t="s">
        <v>64</v>
      </c>
      <c r="D71" s="77">
        <v>4977681.192461865</v>
      </c>
      <c r="E71" s="77">
        <v>24888405.962309323</v>
      </c>
      <c r="F71" s="77">
        <v>19910724.76984746</v>
      </c>
      <c r="G71" s="90">
        <v>49776811.924618647</v>
      </c>
      <c r="H71" s="85" t="str">
        <f t="shared" si="1"/>
        <v/>
      </c>
      <c r="I71" s="91"/>
      <c r="J71" s="81">
        <f t="shared" si="0"/>
        <v>0</v>
      </c>
      <c r="K71" s="82"/>
    </row>
    <row r="72" spans="2:11" ht="13.5" thickBot="1" x14ac:dyDescent="0.35">
      <c r="B72" s="53">
        <v>2031</v>
      </c>
      <c r="C72" s="54" t="s">
        <v>65</v>
      </c>
      <c r="D72" s="77">
        <v>5511004.1773684928</v>
      </c>
      <c r="E72" s="77">
        <v>27555020.886842463</v>
      </c>
      <c r="F72" s="77">
        <v>22044016.709473971</v>
      </c>
      <c r="G72" s="90">
        <v>55110041.773684926</v>
      </c>
      <c r="H72" s="85" t="str">
        <f t="shared" si="1"/>
        <v/>
      </c>
      <c r="I72" s="91"/>
      <c r="J72" s="81">
        <f t="shared" si="0"/>
        <v>0</v>
      </c>
      <c r="K72" s="82"/>
    </row>
    <row r="73" spans="2:11" ht="13.5" thickBot="1" x14ac:dyDescent="0.35">
      <c r="B73" s="53">
        <v>2031</v>
      </c>
      <c r="C73" s="54" t="s">
        <v>66</v>
      </c>
      <c r="D73" s="77">
        <v>5333229.8490662836</v>
      </c>
      <c r="E73" s="77">
        <v>26666149.245331418</v>
      </c>
      <c r="F73" s="77">
        <v>21332919.396265134</v>
      </c>
      <c r="G73" s="90">
        <v>53332298.490662836</v>
      </c>
      <c r="H73" s="85" t="str">
        <f t="shared" si="1"/>
        <v/>
      </c>
      <c r="I73" s="91"/>
      <c r="J73" s="81">
        <f t="shared" si="0"/>
        <v>0</v>
      </c>
      <c r="K73" s="82"/>
    </row>
    <row r="74" spans="2:11" ht="13.5" thickBot="1" x14ac:dyDescent="0.35">
      <c r="B74" s="53">
        <v>2031</v>
      </c>
      <c r="C74" s="54" t="s">
        <v>67</v>
      </c>
      <c r="D74" s="77">
        <v>5511004.1773684928</v>
      </c>
      <c r="E74" s="77">
        <v>27555020.886842463</v>
      </c>
      <c r="F74" s="77">
        <v>22044016.709473971</v>
      </c>
      <c r="G74" s="90">
        <v>55110041.773684926</v>
      </c>
      <c r="H74" s="85" t="str">
        <f t="shared" si="1"/>
        <v/>
      </c>
      <c r="I74" s="91"/>
      <c r="J74" s="81">
        <f t="shared" ref="J74:J137" si="2">IF(H74=1,I74*D74,IF(H74=2,E74*I74,IF(H74=3,F74*I74,G74*I74)))</f>
        <v>0</v>
      </c>
      <c r="K74" s="82"/>
    </row>
    <row r="75" spans="2:11" ht="13.5" thickBot="1" x14ac:dyDescent="0.35">
      <c r="B75" s="53">
        <v>2031</v>
      </c>
      <c r="C75" s="54" t="s">
        <v>68</v>
      </c>
      <c r="D75" s="77">
        <v>5333229.8490662836</v>
      </c>
      <c r="E75" s="77">
        <v>26666149.245331418</v>
      </c>
      <c r="F75" s="77">
        <v>21332919.396265134</v>
      </c>
      <c r="G75" s="90">
        <v>53332298.490662836</v>
      </c>
      <c r="H75" s="85" t="str">
        <f t="shared" ref="H75:H138" si="3">IF($H$10="","",$H$10)</f>
        <v/>
      </c>
      <c r="I75" s="91"/>
      <c r="J75" s="81">
        <f t="shared" si="2"/>
        <v>0</v>
      </c>
      <c r="K75" s="82"/>
    </row>
    <row r="76" spans="2:11" ht="13.5" thickBot="1" x14ac:dyDescent="0.35">
      <c r="B76" s="53">
        <v>2031</v>
      </c>
      <c r="C76" s="54" t="s">
        <v>69</v>
      </c>
      <c r="D76" s="77">
        <v>5511004.1773684938</v>
      </c>
      <c r="E76" s="77">
        <v>27555020.886842467</v>
      </c>
      <c r="F76" s="77">
        <v>22044016.709473975</v>
      </c>
      <c r="G76" s="90">
        <v>55110041.773684934</v>
      </c>
      <c r="H76" s="85" t="str">
        <f t="shared" si="3"/>
        <v/>
      </c>
      <c r="I76" s="91"/>
      <c r="J76" s="81">
        <f t="shared" si="2"/>
        <v>0</v>
      </c>
      <c r="K76" s="82"/>
    </row>
    <row r="77" spans="2:11" ht="13.5" thickBot="1" x14ac:dyDescent="0.35">
      <c r="B77" s="53">
        <v>2031</v>
      </c>
      <c r="C77" s="54" t="s">
        <v>70</v>
      </c>
      <c r="D77" s="77">
        <v>5511004.1773684938</v>
      </c>
      <c r="E77" s="77">
        <v>27555020.886842467</v>
      </c>
      <c r="F77" s="77">
        <v>22044016.709473975</v>
      </c>
      <c r="G77" s="90">
        <v>55110041.773684934</v>
      </c>
      <c r="H77" s="85" t="str">
        <f t="shared" si="3"/>
        <v/>
      </c>
      <c r="I77" s="91"/>
      <c r="J77" s="81">
        <f t="shared" si="2"/>
        <v>0</v>
      </c>
      <c r="K77" s="82"/>
    </row>
    <row r="78" spans="2:11" ht="13.5" thickBot="1" x14ac:dyDescent="0.35">
      <c r="B78" s="53">
        <v>2031</v>
      </c>
      <c r="C78" s="54" t="s">
        <v>71</v>
      </c>
      <c r="D78" s="77">
        <v>5333229.8490662836</v>
      </c>
      <c r="E78" s="77">
        <v>26666149.245331414</v>
      </c>
      <c r="F78" s="77">
        <v>21332919.396265134</v>
      </c>
      <c r="G78" s="90">
        <v>53332298.490662828</v>
      </c>
      <c r="H78" s="85" t="str">
        <f t="shared" si="3"/>
        <v/>
      </c>
      <c r="I78" s="91"/>
      <c r="J78" s="81">
        <f t="shared" si="2"/>
        <v>0</v>
      </c>
      <c r="K78" s="82"/>
    </row>
    <row r="79" spans="2:11" ht="13.5" thickBot="1" x14ac:dyDescent="0.35">
      <c r="B79" s="53">
        <v>2031</v>
      </c>
      <c r="C79" s="54" t="s">
        <v>72</v>
      </c>
      <c r="D79" s="77">
        <v>5511004.1773684919</v>
      </c>
      <c r="E79" s="77">
        <v>27555020.886842459</v>
      </c>
      <c r="F79" s="77">
        <v>22044016.709473968</v>
      </c>
      <c r="G79" s="90">
        <v>55110041.773684919</v>
      </c>
      <c r="H79" s="85" t="str">
        <f t="shared" si="3"/>
        <v/>
      </c>
      <c r="I79" s="91"/>
      <c r="J79" s="81">
        <f t="shared" si="2"/>
        <v>0</v>
      </c>
      <c r="K79" s="82"/>
    </row>
    <row r="80" spans="2:11" ht="13.5" thickBot="1" x14ac:dyDescent="0.35">
      <c r="B80" s="53">
        <v>2031</v>
      </c>
      <c r="C80" s="54" t="s">
        <v>73</v>
      </c>
      <c r="D80" s="77">
        <v>5333229.8490662845</v>
      </c>
      <c r="E80" s="77">
        <v>26666149.245331421</v>
      </c>
      <c r="F80" s="77">
        <v>21332919.396265138</v>
      </c>
      <c r="G80" s="90">
        <v>53332298.490662843</v>
      </c>
      <c r="H80" s="85" t="str">
        <f t="shared" si="3"/>
        <v/>
      </c>
      <c r="I80" s="91"/>
      <c r="J80" s="81">
        <f t="shared" si="2"/>
        <v>0</v>
      </c>
      <c r="K80" s="82"/>
    </row>
    <row r="81" spans="2:11" ht="13.5" thickBot="1" x14ac:dyDescent="0.35">
      <c r="B81" s="57">
        <v>2031</v>
      </c>
      <c r="C81" s="58" t="s">
        <v>74</v>
      </c>
      <c r="D81" s="83">
        <v>5511004.1773684928</v>
      </c>
      <c r="E81" s="83">
        <v>27555020.886842463</v>
      </c>
      <c r="F81" s="83">
        <v>22044016.709473971</v>
      </c>
      <c r="G81" s="92">
        <v>55110041.773684926</v>
      </c>
      <c r="H81" s="85" t="str">
        <f t="shared" si="3"/>
        <v/>
      </c>
      <c r="I81" s="93"/>
      <c r="J81" s="81">
        <f t="shared" si="2"/>
        <v>0</v>
      </c>
      <c r="K81" s="87"/>
    </row>
    <row r="82" spans="2:11" ht="13.5" thickBot="1" x14ac:dyDescent="0.35">
      <c r="B82" s="48">
        <v>2032</v>
      </c>
      <c r="C82" s="49" t="s">
        <v>63</v>
      </c>
      <c r="D82" s="73">
        <v>5751181.9165374637</v>
      </c>
      <c r="E82" s="73">
        <v>28755909.582687318</v>
      </c>
      <c r="F82" s="73">
        <v>23004727.666149855</v>
      </c>
      <c r="G82" s="88">
        <v>57511819.165374637</v>
      </c>
      <c r="H82" s="85" t="str">
        <f t="shared" si="3"/>
        <v/>
      </c>
      <c r="I82" s="89"/>
      <c r="J82" s="50">
        <f t="shared" si="2"/>
        <v>0</v>
      </c>
      <c r="K82" s="52"/>
    </row>
    <row r="83" spans="2:11" ht="13.5" thickBot="1" x14ac:dyDescent="0.35">
      <c r="B83" s="53">
        <v>2032</v>
      </c>
      <c r="C83" s="54" t="s">
        <v>64</v>
      </c>
      <c r="D83" s="77">
        <v>5380137.9219221435</v>
      </c>
      <c r="E83" s="77">
        <v>26900689.609610718</v>
      </c>
      <c r="F83" s="77">
        <v>21520551.687688574</v>
      </c>
      <c r="G83" s="90">
        <v>53801379.219221435</v>
      </c>
      <c r="H83" s="85" t="str">
        <f t="shared" si="3"/>
        <v/>
      </c>
      <c r="I83" s="91"/>
      <c r="J83" s="81">
        <f t="shared" si="2"/>
        <v>0</v>
      </c>
      <c r="K83" s="82"/>
    </row>
    <row r="84" spans="2:11" ht="13.5" thickBot="1" x14ac:dyDescent="0.35">
      <c r="B84" s="53">
        <v>2032</v>
      </c>
      <c r="C84" s="54" t="s">
        <v>65</v>
      </c>
      <c r="D84" s="77">
        <v>5751181.9165374637</v>
      </c>
      <c r="E84" s="77">
        <v>28755909.582687318</v>
      </c>
      <c r="F84" s="77">
        <v>23004727.666149855</v>
      </c>
      <c r="G84" s="90">
        <v>57511819.165374637</v>
      </c>
      <c r="H84" s="85" t="str">
        <f t="shared" si="3"/>
        <v/>
      </c>
      <c r="I84" s="91"/>
      <c r="J84" s="81">
        <f t="shared" si="2"/>
        <v>0</v>
      </c>
      <c r="K84" s="82"/>
    </row>
    <row r="85" spans="2:11" ht="13.5" thickBot="1" x14ac:dyDescent="0.35">
      <c r="B85" s="53">
        <v>2032</v>
      </c>
      <c r="C85" s="54" t="s">
        <v>66</v>
      </c>
      <c r="D85" s="77">
        <v>5565659.9192298036</v>
      </c>
      <c r="E85" s="77">
        <v>27828299.596149016</v>
      </c>
      <c r="F85" s="77">
        <v>22262639.676919214</v>
      </c>
      <c r="G85" s="90">
        <v>55656599.192298032</v>
      </c>
      <c r="H85" s="85" t="str">
        <f t="shared" si="3"/>
        <v/>
      </c>
      <c r="I85" s="91"/>
      <c r="J85" s="81">
        <f t="shared" si="2"/>
        <v>0</v>
      </c>
      <c r="K85" s="82"/>
    </row>
    <row r="86" spans="2:11" ht="13.5" thickBot="1" x14ac:dyDescent="0.35">
      <c r="B86" s="53">
        <v>2032</v>
      </c>
      <c r="C86" s="54" t="s">
        <v>67</v>
      </c>
      <c r="D86" s="77">
        <v>5751181.9165374637</v>
      </c>
      <c r="E86" s="77">
        <v>28755909.582687318</v>
      </c>
      <c r="F86" s="77">
        <v>23004727.666149855</v>
      </c>
      <c r="G86" s="90">
        <v>57511819.165374637</v>
      </c>
      <c r="H86" s="85" t="str">
        <f t="shared" si="3"/>
        <v/>
      </c>
      <c r="I86" s="91"/>
      <c r="J86" s="81">
        <f t="shared" si="2"/>
        <v>0</v>
      </c>
      <c r="K86" s="82"/>
    </row>
    <row r="87" spans="2:11" ht="13.5" thickBot="1" x14ac:dyDescent="0.35">
      <c r="B87" s="53">
        <v>2032</v>
      </c>
      <c r="C87" s="54" t="s">
        <v>68</v>
      </c>
      <c r="D87" s="77">
        <v>5565659.9192298036</v>
      </c>
      <c r="E87" s="77">
        <v>27828299.596149016</v>
      </c>
      <c r="F87" s="77">
        <v>22262639.676919214</v>
      </c>
      <c r="G87" s="90">
        <v>55656599.192298032</v>
      </c>
      <c r="H87" s="85" t="str">
        <f t="shared" si="3"/>
        <v/>
      </c>
      <c r="I87" s="91"/>
      <c r="J87" s="81">
        <f t="shared" si="2"/>
        <v>0</v>
      </c>
      <c r="K87" s="82"/>
    </row>
    <row r="88" spans="2:11" ht="13.5" thickBot="1" x14ac:dyDescent="0.35">
      <c r="B88" s="53">
        <v>2032</v>
      </c>
      <c r="C88" s="54" t="s">
        <v>69</v>
      </c>
      <c r="D88" s="77">
        <v>5751181.9165374637</v>
      </c>
      <c r="E88" s="77">
        <v>28755909.582687318</v>
      </c>
      <c r="F88" s="77">
        <v>23004727.666149855</v>
      </c>
      <c r="G88" s="90">
        <v>57511819.165374637</v>
      </c>
      <c r="H88" s="85" t="str">
        <f t="shared" si="3"/>
        <v/>
      </c>
      <c r="I88" s="91"/>
      <c r="J88" s="81">
        <f t="shared" si="2"/>
        <v>0</v>
      </c>
      <c r="K88" s="82"/>
    </row>
    <row r="89" spans="2:11" ht="13.5" thickBot="1" x14ac:dyDescent="0.35">
      <c r="B89" s="53">
        <v>2032</v>
      </c>
      <c r="C89" s="54" t="s">
        <v>70</v>
      </c>
      <c r="D89" s="77">
        <v>5751181.9165374637</v>
      </c>
      <c r="E89" s="77">
        <v>28755909.582687318</v>
      </c>
      <c r="F89" s="77">
        <v>23004727.666149855</v>
      </c>
      <c r="G89" s="90">
        <v>57511819.165374637</v>
      </c>
      <c r="H89" s="85" t="str">
        <f t="shared" si="3"/>
        <v/>
      </c>
      <c r="I89" s="91"/>
      <c r="J89" s="81">
        <f t="shared" si="2"/>
        <v>0</v>
      </c>
      <c r="K89" s="82"/>
    </row>
    <row r="90" spans="2:11" ht="13.5" thickBot="1" x14ac:dyDescent="0.35">
      <c r="B90" s="53">
        <v>2032</v>
      </c>
      <c r="C90" s="54" t="s">
        <v>71</v>
      </c>
      <c r="D90" s="77">
        <v>5565659.9192298036</v>
      </c>
      <c r="E90" s="77">
        <v>27828299.596149016</v>
      </c>
      <c r="F90" s="77">
        <v>22262639.676919214</v>
      </c>
      <c r="G90" s="90">
        <v>55656599.192298032</v>
      </c>
      <c r="H90" s="85" t="str">
        <f t="shared" si="3"/>
        <v/>
      </c>
      <c r="I90" s="91"/>
      <c r="J90" s="81">
        <f t="shared" si="2"/>
        <v>0</v>
      </c>
      <c r="K90" s="82"/>
    </row>
    <row r="91" spans="2:11" ht="13.5" thickBot="1" x14ac:dyDescent="0.35">
      <c r="B91" s="53">
        <v>2032</v>
      </c>
      <c r="C91" s="54" t="s">
        <v>72</v>
      </c>
      <c r="D91" s="77">
        <v>5751181.9165374637</v>
      </c>
      <c r="E91" s="77">
        <v>28755909.582687318</v>
      </c>
      <c r="F91" s="77">
        <v>23004727.666149855</v>
      </c>
      <c r="G91" s="90">
        <v>57511819.165374637</v>
      </c>
      <c r="H91" s="85" t="str">
        <f t="shared" si="3"/>
        <v/>
      </c>
      <c r="I91" s="91"/>
      <c r="J91" s="81">
        <f t="shared" si="2"/>
        <v>0</v>
      </c>
      <c r="K91" s="82"/>
    </row>
    <row r="92" spans="2:11" ht="13.5" thickBot="1" x14ac:dyDescent="0.35">
      <c r="B92" s="53">
        <v>2032</v>
      </c>
      <c r="C92" s="54" t="s">
        <v>73</v>
      </c>
      <c r="D92" s="77">
        <v>5565659.9192298045</v>
      </c>
      <c r="E92" s="77">
        <v>27828299.59614902</v>
      </c>
      <c r="F92" s="77">
        <v>22262639.676919218</v>
      </c>
      <c r="G92" s="90">
        <v>55656599.19229804</v>
      </c>
      <c r="H92" s="85" t="str">
        <f t="shared" si="3"/>
        <v/>
      </c>
      <c r="I92" s="91"/>
      <c r="J92" s="81">
        <f t="shared" si="2"/>
        <v>0</v>
      </c>
      <c r="K92" s="82"/>
    </row>
    <row r="93" spans="2:11" ht="13.5" thickBot="1" x14ac:dyDescent="0.35">
      <c r="B93" s="57">
        <v>2032</v>
      </c>
      <c r="C93" s="58" t="s">
        <v>74</v>
      </c>
      <c r="D93" s="83">
        <v>5751181.9165374637</v>
      </c>
      <c r="E93" s="83">
        <v>28755909.582687318</v>
      </c>
      <c r="F93" s="83">
        <v>23004727.666149855</v>
      </c>
      <c r="G93" s="92">
        <v>57511819.165374637</v>
      </c>
      <c r="H93" s="85" t="str">
        <f t="shared" si="3"/>
        <v/>
      </c>
      <c r="I93" s="93"/>
      <c r="J93" s="81">
        <f t="shared" si="2"/>
        <v>0</v>
      </c>
      <c r="K93" s="87"/>
    </row>
    <row r="94" spans="2:11" ht="13.5" thickBot="1" x14ac:dyDescent="0.35">
      <c r="B94" s="48">
        <v>2033</v>
      </c>
      <c r="C94" s="49" t="s">
        <v>63</v>
      </c>
      <c r="D94" s="73">
        <v>5966749.7810178529</v>
      </c>
      <c r="E94" s="73">
        <v>29833748.905089263</v>
      </c>
      <c r="F94" s="73">
        <v>23866999.124071412</v>
      </c>
      <c r="G94" s="88">
        <v>59667497.810178526</v>
      </c>
      <c r="H94" s="85" t="str">
        <f t="shared" si="3"/>
        <v/>
      </c>
      <c r="I94" s="89"/>
      <c r="J94" s="50">
        <f t="shared" si="2"/>
        <v>0</v>
      </c>
      <c r="K94" s="52"/>
    </row>
    <row r="95" spans="2:11" ht="13.5" thickBot="1" x14ac:dyDescent="0.35">
      <c r="B95" s="53">
        <v>2033</v>
      </c>
      <c r="C95" s="54" t="s">
        <v>64</v>
      </c>
      <c r="D95" s="77">
        <v>5389322.3828548351</v>
      </c>
      <c r="E95" s="77">
        <v>26946611.914274175</v>
      </c>
      <c r="F95" s="77">
        <v>21557289.531419341</v>
      </c>
      <c r="G95" s="90">
        <v>53893223.828548349</v>
      </c>
      <c r="H95" s="85" t="str">
        <f t="shared" si="3"/>
        <v/>
      </c>
      <c r="I95" s="91"/>
      <c r="J95" s="81">
        <f t="shared" si="2"/>
        <v>0</v>
      </c>
      <c r="K95" s="82"/>
    </row>
    <row r="96" spans="2:11" ht="13.5" thickBot="1" x14ac:dyDescent="0.35">
      <c r="B96" s="53">
        <v>2033</v>
      </c>
      <c r="C96" s="54" t="s">
        <v>65</v>
      </c>
      <c r="D96" s="77">
        <v>5966749.7810178529</v>
      </c>
      <c r="E96" s="77">
        <v>29833748.905089263</v>
      </c>
      <c r="F96" s="77">
        <v>23866999.124071412</v>
      </c>
      <c r="G96" s="90">
        <v>59667497.810178526</v>
      </c>
      <c r="H96" s="85" t="str">
        <f t="shared" si="3"/>
        <v/>
      </c>
      <c r="I96" s="91"/>
      <c r="J96" s="81">
        <f t="shared" si="2"/>
        <v>0</v>
      </c>
      <c r="K96" s="82"/>
    </row>
    <row r="97" spans="2:11" ht="13.5" thickBot="1" x14ac:dyDescent="0.35">
      <c r="B97" s="53">
        <v>2033</v>
      </c>
      <c r="C97" s="54" t="s">
        <v>66</v>
      </c>
      <c r="D97" s="77">
        <v>5774273.98163018</v>
      </c>
      <c r="E97" s="77">
        <v>28871369.9081509</v>
      </c>
      <c r="F97" s="77">
        <v>23097095.92652072</v>
      </c>
      <c r="G97" s="90">
        <v>57742739.8163018</v>
      </c>
      <c r="H97" s="85" t="str">
        <f t="shared" si="3"/>
        <v/>
      </c>
      <c r="I97" s="91"/>
      <c r="J97" s="81">
        <f t="shared" si="2"/>
        <v>0</v>
      </c>
      <c r="K97" s="82"/>
    </row>
    <row r="98" spans="2:11" ht="13.5" thickBot="1" x14ac:dyDescent="0.35">
      <c r="B98" s="53">
        <v>2033</v>
      </c>
      <c r="C98" s="54" t="s">
        <v>67</v>
      </c>
      <c r="D98" s="77">
        <v>5966749.7810178529</v>
      </c>
      <c r="E98" s="77">
        <v>29833748.905089263</v>
      </c>
      <c r="F98" s="77">
        <v>23866999.124071412</v>
      </c>
      <c r="G98" s="90">
        <v>59667497.810178526</v>
      </c>
      <c r="H98" s="85" t="str">
        <f t="shared" si="3"/>
        <v/>
      </c>
      <c r="I98" s="91"/>
      <c r="J98" s="81">
        <f t="shared" si="2"/>
        <v>0</v>
      </c>
      <c r="K98" s="82"/>
    </row>
    <row r="99" spans="2:11" ht="13.5" thickBot="1" x14ac:dyDescent="0.35">
      <c r="B99" s="53">
        <v>2033</v>
      </c>
      <c r="C99" s="54" t="s">
        <v>68</v>
      </c>
      <c r="D99" s="77">
        <v>5774273.98163018</v>
      </c>
      <c r="E99" s="77">
        <v>28871369.9081509</v>
      </c>
      <c r="F99" s="77">
        <v>23097095.92652072</v>
      </c>
      <c r="G99" s="90">
        <v>57742739.8163018</v>
      </c>
      <c r="H99" s="85" t="str">
        <f t="shared" si="3"/>
        <v/>
      </c>
      <c r="I99" s="91"/>
      <c r="J99" s="81">
        <f t="shared" si="2"/>
        <v>0</v>
      </c>
      <c r="K99" s="82"/>
    </row>
    <row r="100" spans="2:11" ht="13.5" thickBot="1" x14ac:dyDescent="0.35">
      <c r="B100" s="53">
        <v>2033</v>
      </c>
      <c r="C100" s="54" t="s">
        <v>69</v>
      </c>
      <c r="D100" s="77">
        <v>5966749.7810178529</v>
      </c>
      <c r="E100" s="77">
        <v>29833748.905089263</v>
      </c>
      <c r="F100" s="77">
        <v>23866999.124071412</v>
      </c>
      <c r="G100" s="90">
        <v>59667497.810178526</v>
      </c>
      <c r="H100" s="85" t="str">
        <f t="shared" si="3"/>
        <v/>
      </c>
      <c r="I100" s="91"/>
      <c r="J100" s="81">
        <f t="shared" si="2"/>
        <v>0</v>
      </c>
      <c r="K100" s="82"/>
    </row>
    <row r="101" spans="2:11" ht="13.5" thickBot="1" x14ac:dyDescent="0.35">
      <c r="B101" s="53">
        <v>2033</v>
      </c>
      <c r="C101" s="54" t="s">
        <v>70</v>
      </c>
      <c r="D101" s="77">
        <v>5966749.7810178529</v>
      </c>
      <c r="E101" s="77">
        <v>29833748.905089263</v>
      </c>
      <c r="F101" s="77">
        <v>23866999.124071412</v>
      </c>
      <c r="G101" s="90">
        <v>59667497.810178526</v>
      </c>
      <c r="H101" s="85" t="str">
        <f t="shared" si="3"/>
        <v/>
      </c>
      <c r="I101" s="91"/>
      <c r="J101" s="81">
        <f t="shared" si="2"/>
        <v>0</v>
      </c>
      <c r="K101" s="82"/>
    </row>
    <row r="102" spans="2:11" ht="13.5" thickBot="1" x14ac:dyDescent="0.35">
      <c r="B102" s="53">
        <v>2033</v>
      </c>
      <c r="C102" s="54" t="s">
        <v>71</v>
      </c>
      <c r="D102" s="77">
        <v>5774273.98163018</v>
      </c>
      <c r="E102" s="77">
        <v>28871369.9081509</v>
      </c>
      <c r="F102" s="77">
        <v>23097095.92652072</v>
      </c>
      <c r="G102" s="90">
        <v>57742739.8163018</v>
      </c>
      <c r="H102" s="85" t="str">
        <f t="shared" si="3"/>
        <v/>
      </c>
      <c r="I102" s="91"/>
      <c r="J102" s="81">
        <f t="shared" si="2"/>
        <v>0</v>
      </c>
      <c r="K102" s="82"/>
    </row>
    <row r="103" spans="2:11" ht="13.5" thickBot="1" x14ac:dyDescent="0.35">
      <c r="B103" s="53">
        <v>2033</v>
      </c>
      <c r="C103" s="54" t="s">
        <v>72</v>
      </c>
      <c r="D103" s="77">
        <v>5966749.7810178529</v>
      </c>
      <c r="E103" s="77">
        <v>29833748.905089263</v>
      </c>
      <c r="F103" s="77">
        <v>23866999.124071412</v>
      </c>
      <c r="G103" s="90">
        <v>59667497.810178526</v>
      </c>
      <c r="H103" s="85" t="str">
        <f t="shared" si="3"/>
        <v/>
      </c>
      <c r="I103" s="91"/>
      <c r="J103" s="81">
        <f t="shared" si="2"/>
        <v>0</v>
      </c>
      <c r="K103" s="82"/>
    </row>
    <row r="104" spans="2:11" ht="13.5" thickBot="1" x14ac:dyDescent="0.35">
      <c r="B104" s="53">
        <v>2033</v>
      </c>
      <c r="C104" s="54" t="s">
        <v>73</v>
      </c>
      <c r="D104" s="77">
        <v>5774273.98163018</v>
      </c>
      <c r="E104" s="77">
        <v>28871369.9081509</v>
      </c>
      <c r="F104" s="77">
        <v>23097095.92652072</v>
      </c>
      <c r="G104" s="90">
        <v>57742739.8163018</v>
      </c>
      <c r="H104" s="85" t="str">
        <f t="shared" si="3"/>
        <v/>
      </c>
      <c r="I104" s="91"/>
      <c r="J104" s="81">
        <f t="shared" si="2"/>
        <v>0</v>
      </c>
      <c r="K104" s="82"/>
    </row>
    <row r="105" spans="2:11" ht="13.5" thickBot="1" x14ac:dyDescent="0.35">
      <c r="B105" s="57">
        <v>2033</v>
      </c>
      <c r="C105" s="58" t="s">
        <v>74</v>
      </c>
      <c r="D105" s="83">
        <v>5966749.7810178529</v>
      </c>
      <c r="E105" s="83">
        <v>29833748.905089263</v>
      </c>
      <c r="F105" s="83">
        <v>23866999.124071412</v>
      </c>
      <c r="G105" s="92">
        <v>59667497.810178526</v>
      </c>
      <c r="H105" s="85" t="str">
        <f t="shared" si="3"/>
        <v/>
      </c>
      <c r="I105" s="93"/>
      <c r="J105" s="81">
        <f t="shared" si="2"/>
        <v>0</v>
      </c>
      <c r="K105" s="87"/>
    </row>
    <row r="106" spans="2:11" ht="13.5" thickBot="1" x14ac:dyDescent="0.35">
      <c r="B106" s="48">
        <v>2034</v>
      </c>
      <c r="C106" s="49" t="s">
        <v>63</v>
      </c>
      <c r="D106" s="73">
        <v>5934452.5490449443</v>
      </c>
      <c r="E106" s="73">
        <v>29672262.745224722</v>
      </c>
      <c r="F106" s="73">
        <v>23737810.196179777</v>
      </c>
      <c r="G106" s="88">
        <v>59344525.490449443</v>
      </c>
      <c r="H106" s="85" t="str">
        <f t="shared" si="3"/>
        <v/>
      </c>
      <c r="I106" s="89"/>
      <c r="J106" s="50">
        <f t="shared" si="2"/>
        <v>0</v>
      </c>
      <c r="K106" s="52"/>
    </row>
    <row r="107" spans="2:11" ht="13.5" thickBot="1" x14ac:dyDescent="0.35">
      <c r="B107" s="53">
        <v>2034</v>
      </c>
      <c r="C107" s="54" t="s">
        <v>64</v>
      </c>
      <c r="D107" s="77">
        <v>5360150.6894599497</v>
      </c>
      <c r="E107" s="77">
        <v>26800753.447299749</v>
      </c>
      <c r="F107" s="77">
        <v>21440602.757839799</v>
      </c>
      <c r="G107" s="90">
        <v>53601506.894599497</v>
      </c>
      <c r="H107" s="85" t="str">
        <f t="shared" si="3"/>
        <v/>
      </c>
      <c r="I107" s="91"/>
      <c r="J107" s="81">
        <f t="shared" si="2"/>
        <v>0</v>
      </c>
      <c r="K107" s="82"/>
    </row>
    <row r="108" spans="2:11" ht="13.5" thickBot="1" x14ac:dyDescent="0.35">
      <c r="B108" s="53">
        <v>2034</v>
      </c>
      <c r="C108" s="54" t="s">
        <v>65</v>
      </c>
      <c r="D108" s="77">
        <v>5934452.5490449443</v>
      </c>
      <c r="E108" s="77">
        <v>29672262.745224722</v>
      </c>
      <c r="F108" s="77">
        <v>23737810.196179777</v>
      </c>
      <c r="G108" s="90">
        <v>59344525.490449443</v>
      </c>
      <c r="H108" s="85" t="str">
        <f t="shared" si="3"/>
        <v/>
      </c>
      <c r="I108" s="91"/>
      <c r="J108" s="81">
        <f t="shared" si="2"/>
        <v>0</v>
      </c>
      <c r="K108" s="82"/>
    </row>
    <row r="109" spans="2:11" ht="13.5" thickBot="1" x14ac:dyDescent="0.35">
      <c r="B109" s="53">
        <v>2034</v>
      </c>
      <c r="C109" s="54" t="s">
        <v>66</v>
      </c>
      <c r="D109" s="77">
        <v>5743018.5958499461</v>
      </c>
      <c r="E109" s="77">
        <v>28715092.979249731</v>
      </c>
      <c r="F109" s="77">
        <v>22972074.383399785</v>
      </c>
      <c r="G109" s="90">
        <v>57430185.958499461</v>
      </c>
      <c r="H109" s="85" t="str">
        <f t="shared" si="3"/>
        <v/>
      </c>
      <c r="I109" s="91"/>
      <c r="J109" s="81">
        <f t="shared" si="2"/>
        <v>0</v>
      </c>
      <c r="K109" s="82"/>
    </row>
    <row r="110" spans="2:11" ht="13.5" thickBot="1" x14ac:dyDescent="0.35">
      <c r="B110" s="53">
        <v>2034</v>
      </c>
      <c r="C110" s="54" t="s">
        <v>67</v>
      </c>
      <c r="D110" s="77">
        <v>5934452.5490449443</v>
      </c>
      <c r="E110" s="77">
        <v>29672262.745224722</v>
      </c>
      <c r="F110" s="77">
        <v>23737810.196179777</v>
      </c>
      <c r="G110" s="90">
        <v>59344525.490449443</v>
      </c>
      <c r="H110" s="85" t="str">
        <f t="shared" si="3"/>
        <v/>
      </c>
      <c r="I110" s="91"/>
      <c r="J110" s="81">
        <f t="shared" si="2"/>
        <v>0</v>
      </c>
      <c r="K110" s="82"/>
    </row>
    <row r="111" spans="2:11" ht="13.5" thickBot="1" x14ac:dyDescent="0.35">
      <c r="B111" s="53">
        <v>2034</v>
      </c>
      <c r="C111" s="54" t="s">
        <v>68</v>
      </c>
      <c r="D111" s="77">
        <v>5743018.5958499461</v>
      </c>
      <c r="E111" s="77">
        <v>28715092.979249731</v>
      </c>
      <c r="F111" s="77">
        <v>22972074.383399785</v>
      </c>
      <c r="G111" s="90">
        <v>57430185.958499461</v>
      </c>
      <c r="H111" s="85" t="str">
        <f t="shared" si="3"/>
        <v/>
      </c>
      <c r="I111" s="91"/>
      <c r="J111" s="81">
        <f t="shared" si="2"/>
        <v>0</v>
      </c>
      <c r="K111" s="82"/>
    </row>
    <row r="112" spans="2:11" ht="13.5" thickBot="1" x14ac:dyDescent="0.35">
      <c r="B112" s="53">
        <v>2034</v>
      </c>
      <c r="C112" s="54" t="s">
        <v>69</v>
      </c>
      <c r="D112" s="77">
        <v>5934452.5490449443</v>
      </c>
      <c r="E112" s="77">
        <v>29672262.745224722</v>
      </c>
      <c r="F112" s="77">
        <v>23737810.196179777</v>
      </c>
      <c r="G112" s="90">
        <v>59344525.490449443</v>
      </c>
      <c r="H112" s="85" t="str">
        <f t="shared" si="3"/>
        <v/>
      </c>
      <c r="I112" s="91"/>
      <c r="J112" s="81">
        <f t="shared" si="2"/>
        <v>0</v>
      </c>
      <c r="K112" s="82"/>
    </row>
    <row r="113" spans="2:11" ht="13.5" thickBot="1" x14ac:dyDescent="0.35">
      <c r="B113" s="53">
        <v>2034</v>
      </c>
      <c r="C113" s="54" t="s">
        <v>70</v>
      </c>
      <c r="D113" s="77">
        <v>5934452.5490449443</v>
      </c>
      <c r="E113" s="77">
        <v>29672262.745224722</v>
      </c>
      <c r="F113" s="77">
        <v>23737810.196179777</v>
      </c>
      <c r="G113" s="90">
        <v>59344525.490449443</v>
      </c>
      <c r="H113" s="85" t="str">
        <f t="shared" si="3"/>
        <v/>
      </c>
      <c r="I113" s="91"/>
      <c r="J113" s="81">
        <f t="shared" si="2"/>
        <v>0</v>
      </c>
      <c r="K113" s="82"/>
    </row>
    <row r="114" spans="2:11" ht="13.5" thickBot="1" x14ac:dyDescent="0.35">
      <c r="B114" s="53">
        <v>2034</v>
      </c>
      <c r="C114" s="54" t="s">
        <v>71</v>
      </c>
      <c r="D114" s="77">
        <v>5743018.5958499461</v>
      </c>
      <c r="E114" s="77">
        <v>28715092.979249731</v>
      </c>
      <c r="F114" s="77">
        <v>22972074.383399785</v>
      </c>
      <c r="G114" s="90">
        <v>57430185.958499461</v>
      </c>
      <c r="H114" s="85" t="str">
        <f t="shared" si="3"/>
        <v/>
      </c>
      <c r="I114" s="91"/>
      <c r="J114" s="81">
        <f t="shared" si="2"/>
        <v>0</v>
      </c>
      <c r="K114" s="82"/>
    </row>
    <row r="115" spans="2:11" ht="13.5" thickBot="1" x14ac:dyDescent="0.35">
      <c r="B115" s="53">
        <v>2034</v>
      </c>
      <c r="C115" s="54" t="s">
        <v>72</v>
      </c>
      <c r="D115" s="77">
        <v>5934452.5490449443</v>
      </c>
      <c r="E115" s="77">
        <v>29672262.745224722</v>
      </c>
      <c r="F115" s="77">
        <v>23737810.196179777</v>
      </c>
      <c r="G115" s="90">
        <v>59344525.490449443</v>
      </c>
      <c r="H115" s="85" t="str">
        <f t="shared" si="3"/>
        <v/>
      </c>
      <c r="I115" s="91"/>
      <c r="J115" s="81">
        <f t="shared" si="2"/>
        <v>0</v>
      </c>
      <c r="K115" s="82"/>
    </row>
    <row r="116" spans="2:11" ht="13.5" thickBot="1" x14ac:dyDescent="0.35">
      <c r="B116" s="53">
        <v>2034</v>
      </c>
      <c r="C116" s="54" t="s">
        <v>73</v>
      </c>
      <c r="D116" s="77">
        <v>5743018.5958499461</v>
      </c>
      <c r="E116" s="77">
        <v>28715092.979249731</v>
      </c>
      <c r="F116" s="77">
        <v>22972074.383399785</v>
      </c>
      <c r="G116" s="90">
        <v>57430185.958499461</v>
      </c>
      <c r="H116" s="85" t="str">
        <f t="shared" si="3"/>
        <v/>
      </c>
      <c r="I116" s="91"/>
      <c r="J116" s="81">
        <f t="shared" si="2"/>
        <v>0</v>
      </c>
      <c r="K116" s="82"/>
    </row>
    <row r="117" spans="2:11" ht="13.5" thickBot="1" x14ac:dyDescent="0.35">
      <c r="B117" s="57">
        <v>2034</v>
      </c>
      <c r="C117" s="58" t="s">
        <v>74</v>
      </c>
      <c r="D117" s="83">
        <v>5934452.5490449443</v>
      </c>
      <c r="E117" s="83">
        <v>29672262.745224722</v>
      </c>
      <c r="F117" s="83">
        <v>23737810.196179777</v>
      </c>
      <c r="G117" s="92">
        <v>59344525.490449443</v>
      </c>
      <c r="H117" s="85" t="str">
        <f t="shared" si="3"/>
        <v/>
      </c>
      <c r="I117" s="93"/>
      <c r="J117" s="81">
        <f t="shared" si="2"/>
        <v>0</v>
      </c>
      <c r="K117" s="87"/>
    </row>
    <row r="118" spans="2:11" ht="13.5" thickBot="1" x14ac:dyDescent="0.35">
      <c r="B118" s="48">
        <v>2035</v>
      </c>
      <c r="C118" s="49" t="s">
        <v>63</v>
      </c>
      <c r="D118" s="73">
        <v>5921380.2355952561</v>
      </c>
      <c r="E118" s="73">
        <v>29606901.17797628</v>
      </c>
      <c r="F118" s="73">
        <v>23685520.942381024</v>
      </c>
      <c r="G118" s="88">
        <v>59213802.355952561</v>
      </c>
      <c r="H118" s="85" t="str">
        <f t="shared" si="3"/>
        <v/>
      </c>
      <c r="I118" s="89"/>
      <c r="J118" s="50">
        <f t="shared" si="2"/>
        <v>0</v>
      </c>
      <c r="K118" s="52"/>
    </row>
    <row r="119" spans="2:11" ht="13.5" thickBot="1" x14ac:dyDescent="0.35">
      <c r="B119" s="53">
        <v>2035</v>
      </c>
      <c r="C119" s="54" t="s">
        <v>64</v>
      </c>
      <c r="D119" s="77">
        <v>5348343.4386021663</v>
      </c>
      <c r="E119" s="77">
        <v>26741717.193010829</v>
      </c>
      <c r="F119" s="77">
        <v>21393373.754408665</v>
      </c>
      <c r="G119" s="90">
        <v>53483434.386021659</v>
      </c>
      <c r="H119" s="85" t="str">
        <f t="shared" si="3"/>
        <v/>
      </c>
      <c r="I119" s="91"/>
      <c r="J119" s="81">
        <f t="shared" si="2"/>
        <v>0</v>
      </c>
      <c r="K119" s="82"/>
    </row>
    <row r="120" spans="2:11" ht="13.5" thickBot="1" x14ac:dyDescent="0.35">
      <c r="B120" s="53">
        <v>2035</v>
      </c>
      <c r="C120" s="54" t="s">
        <v>65</v>
      </c>
      <c r="D120" s="77">
        <v>5921380.2355952552</v>
      </c>
      <c r="E120" s="77">
        <v>29606901.177976273</v>
      </c>
      <c r="F120" s="77">
        <v>23685520.942381021</v>
      </c>
      <c r="G120" s="90">
        <v>59213802.355952546</v>
      </c>
      <c r="H120" s="85" t="str">
        <f t="shared" si="3"/>
        <v/>
      </c>
      <c r="I120" s="91"/>
      <c r="J120" s="81">
        <f t="shared" si="2"/>
        <v>0</v>
      </c>
      <c r="K120" s="82"/>
    </row>
    <row r="121" spans="2:11" ht="13.5" thickBot="1" x14ac:dyDescent="0.35">
      <c r="B121" s="53">
        <v>2035</v>
      </c>
      <c r="C121" s="54" t="s">
        <v>66</v>
      </c>
      <c r="D121" s="77">
        <v>5730367.9699308928</v>
      </c>
      <c r="E121" s="77">
        <v>28651839.849654462</v>
      </c>
      <c r="F121" s="77">
        <v>22921471.879723571</v>
      </c>
      <c r="G121" s="90">
        <v>57303679.699308924</v>
      </c>
      <c r="H121" s="85" t="str">
        <f t="shared" si="3"/>
        <v/>
      </c>
      <c r="I121" s="91"/>
      <c r="J121" s="81">
        <f t="shared" si="2"/>
        <v>0</v>
      </c>
      <c r="K121" s="82"/>
    </row>
    <row r="122" spans="2:11" ht="13.5" thickBot="1" x14ac:dyDescent="0.35">
      <c r="B122" s="53">
        <v>2035</v>
      </c>
      <c r="C122" s="54" t="s">
        <v>67</v>
      </c>
      <c r="D122" s="77">
        <v>5921380.2355952552</v>
      </c>
      <c r="E122" s="77">
        <v>29606901.177976273</v>
      </c>
      <c r="F122" s="77">
        <v>23685520.942381021</v>
      </c>
      <c r="G122" s="90">
        <v>59213802.355952546</v>
      </c>
      <c r="H122" s="85" t="str">
        <f t="shared" si="3"/>
        <v/>
      </c>
      <c r="I122" s="91"/>
      <c r="J122" s="81">
        <f t="shared" si="2"/>
        <v>0</v>
      </c>
      <c r="K122" s="82"/>
    </row>
    <row r="123" spans="2:11" ht="13.5" thickBot="1" x14ac:dyDescent="0.35">
      <c r="B123" s="53">
        <v>2035</v>
      </c>
      <c r="C123" s="54" t="s">
        <v>68</v>
      </c>
      <c r="D123" s="77">
        <v>5730367.9699308919</v>
      </c>
      <c r="E123" s="77">
        <v>28651839.849654458</v>
      </c>
      <c r="F123" s="77">
        <v>22921471.879723568</v>
      </c>
      <c r="G123" s="90">
        <v>57303679.699308917</v>
      </c>
      <c r="H123" s="85" t="str">
        <f t="shared" si="3"/>
        <v/>
      </c>
      <c r="I123" s="91"/>
      <c r="J123" s="81">
        <f t="shared" si="2"/>
        <v>0</v>
      </c>
      <c r="K123" s="82"/>
    </row>
    <row r="124" spans="2:11" ht="13.5" thickBot="1" x14ac:dyDescent="0.35">
      <c r="B124" s="53">
        <v>2035</v>
      </c>
      <c r="C124" s="54" t="s">
        <v>69</v>
      </c>
      <c r="D124" s="77">
        <v>5921380.2355952552</v>
      </c>
      <c r="E124" s="77">
        <v>29606901.177976273</v>
      </c>
      <c r="F124" s="77">
        <v>23685520.942381021</v>
      </c>
      <c r="G124" s="90">
        <v>59213802.355952546</v>
      </c>
      <c r="H124" s="85" t="str">
        <f t="shared" si="3"/>
        <v/>
      </c>
      <c r="I124" s="91"/>
      <c r="J124" s="81">
        <f t="shared" si="2"/>
        <v>0</v>
      </c>
      <c r="K124" s="82"/>
    </row>
    <row r="125" spans="2:11" ht="13.5" thickBot="1" x14ac:dyDescent="0.35">
      <c r="B125" s="53">
        <v>2035</v>
      </c>
      <c r="C125" s="54" t="s">
        <v>70</v>
      </c>
      <c r="D125" s="77">
        <v>5921380.2355952561</v>
      </c>
      <c r="E125" s="77">
        <v>29606901.17797628</v>
      </c>
      <c r="F125" s="77">
        <v>23685520.942381024</v>
      </c>
      <c r="G125" s="90">
        <v>59213802.355952561</v>
      </c>
      <c r="H125" s="85" t="str">
        <f t="shared" si="3"/>
        <v/>
      </c>
      <c r="I125" s="91"/>
      <c r="J125" s="81">
        <f t="shared" si="2"/>
        <v>0</v>
      </c>
      <c r="K125" s="82"/>
    </row>
    <row r="126" spans="2:11" ht="13.5" thickBot="1" x14ac:dyDescent="0.35">
      <c r="B126" s="53">
        <v>2035</v>
      </c>
      <c r="C126" s="54" t="s">
        <v>71</v>
      </c>
      <c r="D126" s="77">
        <v>5730367.9699308919</v>
      </c>
      <c r="E126" s="77">
        <v>28651839.849654458</v>
      </c>
      <c r="F126" s="77">
        <v>22921471.879723568</v>
      </c>
      <c r="G126" s="90">
        <v>57303679.699308917</v>
      </c>
      <c r="H126" s="85" t="str">
        <f t="shared" si="3"/>
        <v/>
      </c>
      <c r="I126" s="91"/>
      <c r="J126" s="81">
        <f t="shared" si="2"/>
        <v>0</v>
      </c>
      <c r="K126" s="82"/>
    </row>
    <row r="127" spans="2:11" ht="13.5" thickBot="1" x14ac:dyDescent="0.35">
      <c r="B127" s="53">
        <v>2035</v>
      </c>
      <c r="C127" s="54" t="s">
        <v>72</v>
      </c>
      <c r="D127" s="77">
        <v>5921380.2355952561</v>
      </c>
      <c r="E127" s="77">
        <v>29606901.177976277</v>
      </c>
      <c r="F127" s="77">
        <v>23685520.942381024</v>
      </c>
      <c r="G127" s="90">
        <v>59213802.355952553</v>
      </c>
      <c r="H127" s="85" t="str">
        <f t="shared" si="3"/>
        <v/>
      </c>
      <c r="I127" s="91"/>
      <c r="J127" s="81">
        <f t="shared" si="2"/>
        <v>0</v>
      </c>
      <c r="K127" s="82"/>
    </row>
    <row r="128" spans="2:11" ht="13.5" thickBot="1" x14ac:dyDescent="0.35">
      <c r="B128" s="53">
        <v>2035</v>
      </c>
      <c r="C128" s="54" t="s">
        <v>73</v>
      </c>
      <c r="D128" s="77">
        <v>5730367.9699308919</v>
      </c>
      <c r="E128" s="77">
        <v>28651839.849654458</v>
      </c>
      <c r="F128" s="77">
        <v>22921471.879723568</v>
      </c>
      <c r="G128" s="90">
        <v>57303679.699308917</v>
      </c>
      <c r="H128" s="85" t="str">
        <f t="shared" si="3"/>
        <v/>
      </c>
      <c r="I128" s="91"/>
      <c r="J128" s="81">
        <f t="shared" si="2"/>
        <v>0</v>
      </c>
      <c r="K128" s="82"/>
    </row>
    <row r="129" spans="2:11" ht="13.5" thickBot="1" x14ac:dyDescent="0.35">
      <c r="B129" s="57">
        <v>2035</v>
      </c>
      <c r="C129" s="58" t="s">
        <v>74</v>
      </c>
      <c r="D129" s="83">
        <v>5921380.2355952552</v>
      </c>
      <c r="E129" s="83">
        <v>29606901.177976273</v>
      </c>
      <c r="F129" s="83">
        <v>23685520.942381021</v>
      </c>
      <c r="G129" s="92">
        <v>59213802.355952546</v>
      </c>
      <c r="H129" s="85" t="str">
        <f t="shared" si="3"/>
        <v/>
      </c>
      <c r="I129" s="93"/>
      <c r="J129" s="81">
        <f t="shared" si="2"/>
        <v>0</v>
      </c>
      <c r="K129" s="87"/>
    </row>
    <row r="130" spans="2:11" ht="13.5" thickBot="1" x14ac:dyDescent="0.35">
      <c r="B130" s="48">
        <v>2036</v>
      </c>
      <c r="C130" s="49" t="s">
        <v>63</v>
      </c>
      <c r="D130" s="73">
        <v>5925133.0404918976</v>
      </c>
      <c r="E130" s="73">
        <v>29625665.202459484</v>
      </c>
      <c r="F130" s="73">
        <v>23700532.16196759</v>
      </c>
      <c r="G130" s="88">
        <v>59251330.404918969</v>
      </c>
      <c r="H130" s="85" t="str">
        <f t="shared" si="3"/>
        <v/>
      </c>
      <c r="I130" s="89"/>
      <c r="J130" s="50">
        <f t="shared" si="2"/>
        <v>0</v>
      </c>
      <c r="K130" s="52"/>
    </row>
    <row r="131" spans="2:11" ht="13.5" thickBot="1" x14ac:dyDescent="0.35">
      <c r="B131" s="53">
        <v>2036</v>
      </c>
      <c r="C131" s="54" t="s">
        <v>64</v>
      </c>
      <c r="D131" s="77">
        <v>5542866.3927182266</v>
      </c>
      <c r="E131" s="77">
        <v>27714331.963591132</v>
      </c>
      <c r="F131" s="77">
        <v>22171465.570872907</v>
      </c>
      <c r="G131" s="90">
        <v>55428663.927182265</v>
      </c>
      <c r="H131" s="85" t="str">
        <f t="shared" si="3"/>
        <v/>
      </c>
      <c r="I131" s="91"/>
      <c r="J131" s="81">
        <f t="shared" si="2"/>
        <v>0</v>
      </c>
      <c r="K131" s="82"/>
    </row>
    <row r="132" spans="2:11" ht="13.5" thickBot="1" x14ac:dyDescent="0.35">
      <c r="B132" s="53">
        <v>2036</v>
      </c>
      <c r="C132" s="54" t="s">
        <v>65</v>
      </c>
      <c r="D132" s="77">
        <v>5925133.0404918958</v>
      </c>
      <c r="E132" s="77">
        <v>29625665.202459477</v>
      </c>
      <c r="F132" s="77">
        <v>23700532.161967583</v>
      </c>
      <c r="G132" s="90">
        <v>59251330.404918954</v>
      </c>
      <c r="H132" s="85" t="str">
        <f t="shared" si="3"/>
        <v/>
      </c>
      <c r="I132" s="91"/>
      <c r="J132" s="81">
        <f t="shared" si="2"/>
        <v>0</v>
      </c>
      <c r="K132" s="82"/>
    </row>
    <row r="133" spans="2:11" ht="13.5" thickBot="1" x14ac:dyDescent="0.35">
      <c r="B133" s="53">
        <v>2036</v>
      </c>
      <c r="C133" s="54" t="s">
        <v>66</v>
      </c>
      <c r="D133" s="77">
        <v>5733999.7166050607</v>
      </c>
      <c r="E133" s="77">
        <v>28669998.583025303</v>
      </c>
      <c r="F133" s="77">
        <v>22935998.866420243</v>
      </c>
      <c r="G133" s="90">
        <v>57339997.166050605</v>
      </c>
      <c r="H133" s="85" t="str">
        <f t="shared" si="3"/>
        <v/>
      </c>
      <c r="I133" s="91"/>
      <c r="J133" s="81">
        <f t="shared" si="2"/>
        <v>0</v>
      </c>
      <c r="K133" s="82"/>
    </row>
    <row r="134" spans="2:11" ht="13.5" thickBot="1" x14ac:dyDescent="0.35">
      <c r="B134" s="53">
        <v>2036</v>
      </c>
      <c r="C134" s="54" t="s">
        <v>67</v>
      </c>
      <c r="D134" s="77">
        <v>5925133.0404918958</v>
      </c>
      <c r="E134" s="77">
        <v>29625665.202459477</v>
      </c>
      <c r="F134" s="77">
        <v>23700532.161967583</v>
      </c>
      <c r="G134" s="90">
        <v>59251330.404918954</v>
      </c>
      <c r="H134" s="85" t="str">
        <f t="shared" si="3"/>
        <v/>
      </c>
      <c r="I134" s="91"/>
      <c r="J134" s="81">
        <f t="shared" si="2"/>
        <v>0</v>
      </c>
      <c r="K134" s="82"/>
    </row>
    <row r="135" spans="2:11" ht="13.5" thickBot="1" x14ac:dyDescent="0.35">
      <c r="B135" s="53">
        <v>2036</v>
      </c>
      <c r="C135" s="54" t="s">
        <v>68</v>
      </c>
      <c r="D135" s="77">
        <v>5733999.7166050617</v>
      </c>
      <c r="E135" s="77">
        <v>28669998.583025306</v>
      </c>
      <c r="F135" s="77">
        <v>22935998.866420247</v>
      </c>
      <c r="G135" s="90">
        <v>57339997.166050613</v>
      </c>
      <c r="H135" s="85" t="str">
        <f t="shared" si="3"/>
        <v/>
      </c>
      <c r="I135" s="91"/>
      <c r="J135" s="81">
        <f t="shared" si="2"/>
        <v>0</v>
      </c>
      <c r="K135" s="82"/>
    </row>
    <row r="136" spans="2:11" ht="13.5" thickBot="1" x14ac:dyDescent="0.35">
      <c r="B136" s="53">
        <v>2036</v>
      </c>
      <c r="C136" s="54" t="s">
        <v>69</v>
      </c>
      <c r="D136" s="77">
        <v>5925133.0404918976</v>
      </c>
      <c r="E136" s="77">
        <v>29625665.202459484</v>
      </c>
      <c r="F136" s="77">
        <v>23700532.16196759</v>
      </c>
      <c r="G136" s="90">
        <v>59251330.404918969</v>
      </c>
      <c r="H136" s="85" t="str">
        <f t="shared" si="3"/>
        <v/>
      </c>
      <c r="I136" s="91"/>
      <c r="J136" s="81">
        <f t="shared" si="2"/>
        <v>0</v>
      </c>
      <c r="K136" s="82"/>
    </row>
    <row r="137" spans="2:11" ht="13.5" thickBot="1" x14ac:dyDescent="0.35">
      <c r="B137" s="53">
        <v>2036</v>
      </c>
      <c r="C137" s="54" t="s">
        <v>70</v>
      </c>
      <c r="D137" s="77">
        <v>5925133.0404918976</v>
      </c>
      <c r="E137" s="77">
        <v>29625665.202459484</v>
      </c>
      <c r="F137" s="77">
        <v>23700532.16196759</v>
      </c>
      <c r="G137" s="90">
        <v>59251330.404918969</v>
      </c>
      <c r="H137" s="85" t="str">
        <f t="shared" si="3"/>
        <v/>
      </c>
      <c r="I137" s="91"/>
      <c r="J137" s="81">
        <f t="shared" si="2"/>
        <v>0</v>
      </c>
      <c r="K137" s="82"/>
    </row>
    <row r="138" spans="2:11" ht="13.5" thickBot="1" x14ac:dyDescent="0.35">
      <c r="B138" s="53">
        <v>2036</v>
      </c>
      <c r="C138" s="54" t="s">
        <v>71</v>
      </c>
      <c r="D138" s="77">
        <v>5733999.7166050617</v>
      </c>
      <c r="E138" s="77">
        <v>28669998.583025306</v>
      </c>
      <c r="F138" s="77">
        <v>22935998.866420247</v>
      </c>
      <c r="G138" s="90">
        <v>57339997.166050613</v>
      </c>
      <c r="H138" s="85" t="str">
        <f t="shared" si="3"/>
        <v/>
      </c>
      <c r="I138" s="91"/>
      <c r="J138" s="81">
        <f t="shared" ref="J138:J189" si="4">IF(H138=1,I138*D138,IF(H138=2,E138*I138,IF(H138=3,F138*I138,G138*I138)))</f>
        <v>0</v>
      </c>
      <c r="K138" s="82"/>
    </row>
    <row r="139" spans="2:11" ht="13.5" thickBot="1" x14ac:dyDescent="0.35">
      <c r="B139" s="53">
        <v>2036</v>
      </c>
      <c r="C139" s="54" t="s">
        <v>72</v>
      </c>
      <c r="D139" s="77">
        <v>5925133.0404918976</v>
      </c>
      <c r="E139" s="77">
        <v>29625665.202459484</v>
      </c>
      <c r="F139" s="77">
        <v>23700532.16196759</v>
      </c>
      <c r="G139" s="90">
        <v>59251330.404918969</v>
      </c>
      <c r="H139" s="85" t="str">
        <f t="shared" ref="H139:H189" si="5">IF($H$10="","",$H$10)</f>
        <v/>
      </c>
      <c r="I139" s="91"/>
      <c r="J139" s="81">
        <f t="shared" si="4"/>
        <v>0</v>
      </c>
      <c r="K139" s="82"/>
    </row>
    <row r="140" spans="2:11" ht="13.5" thickBot="1" x14ac:dyDescent="0.35">
      <c r="B140" s="53">
        <v>2036</v>
      </c>
      <c r="C140" s="54" t="s">
        <v>73</v>
      </c>
      <c r="D140" s="77">
        <v>5733999.7166050617</v>
      </c>
      <c r="E140" s="77">
        <v>28669998.583025306</v>
      </c>
      <c r="F140" s="77">
        <v>22935998.866420247</v>
      </c>
      <c r="G140" s="90">
        <v>57339997.166050613</v>
      </c>
      <c r="H140" s="85" t="str">
        <f t="shared" si="5"/>
        <v/>
      </c>
      <c r="I140" s="91"/>
      <c r="J140" s="81">
        <f t="shared" si="4"/>
        <v>0</v>
      </c>
      <c r="K140" s="82"/>
    </row>
    <row r="141" spans="2:11" ht="13.5" thickBot="1" x14ac:dyDescent="0.35">
      <c r="B141" s="57">
        <v>2036</v>
      </c>
      <c r="C141" s="58" t="s">
        <v>74</v>
      </c>
      <c r="D141" s="83">
        <v>5925133.0404918976</v>
      </c>
      <c r="E141" s="83">
        <v>29625665.202459484</v>
      </c>
      <c r="F141" s="83">
        <v>23700532.16196759</v>
      </c>
      <c r="G141" s="92">
        <v>59251330.404918969</v>
      </c>
      <c r="H141" s="85" t="str">
        <f t="shared" si="5"/>
        <v/>
      </c>
      <c r="I141" s="93"/>
      <c r="J141" s="81">
        <f t="shared" si="4"/>
        <v>0</v>
      </c>
      <c r="K141" s="87"/>
    </row>
    <row r="142" spans="2:11" ht="13.5" thickBot="1" x14ac:dyDescent="0.35">
      <c r="B142" s="48">
        <v>2037</v>
      </c>
      <c r="C142" s="49" t="s">
        <v>63</v>
      </c>
      <c r="D142" s="73">
        <v>4193270.9242909104</v>
      </c>
      <c r="E142" s="73">
        <v>20966354.621454552</v>
      </c>
      <c r="F142" s="73">
        <v>16773083.697163641</v>
      </c>
      <c r="G142" s="88">
        <v>41932709.242909104</v>
      </c>
      <c r="H142" s="85" t="str">
        <f t="shared" si="5"/>
        <v/>
      </c>
      <c r="I142" s="89"/>
      <c r="J142" s="50">
        <f t="shared" si="4"/>
        <v>0</v>
      </c>
      <c r="K142" s="52"/>
    </row>
    <row r="143" spans="2:11" ht="13.5" thickBot="1" x14ac:dyDescent="0.35">
      <c r="B143" s="53">
        <v>2037</v>
      </c>
      <c r="C143" s="54" t="s">
        <v>64</v>
      </c>
      <c r="D143" s="77">
        <v>3787470.5122627579</v>
      </c>
      <c r="E143" s="77">
        <v>18937352.561313789</v>
      </c>
      <c r="F143" s="77">
        <v>15149882.049051031</v>
      </c>
      <c r="G143" s="90">
        <v>37874705.122627579</v>
      </c>
      <c r="H143" s="85" t="str">
        <f t="shared" si="5"/>
        <v/>
      </c>
      <c r="I143" s="91"/>
      <c r="J143" s="81">
        <f t="shared" si="4"/>
        <v>0</v>
      </c>
      <c r="K143" s="82"/>
    </row>
    <row r="144" spans="2:11" ht="13.5" thickBot="1" x14ac:dyDescent="0.35">
      <c r="B144" s="53">
        <v>2037</v>
      </c>
      <c r="C144" s="54" t="s">
        <v>65</v>
      </c>
      <c r="D144" s="77">
        <v>4193270.9242909104</v>
      </c>
      <c r="E144" s="77">
        <v>20966354.621454552</v>
      </c>
      <c r="F144" s="77">
        <v>16773083.697163641</v>
      </c>
      <c r="G144" s="90">
        <v>41932709.242909104</v>
      </c>
      <c r="H144" s="85" t="str">
        <f t="shared" si="5"/>
        <v/>
      </c>
      <c r="I144" s="91"/>
      <c r="J144" s="81">
        <f t="shared" si="4"/>
        <v>0</v>
      </c>
      <c r="K144" s="82"/>
    </row>
    <row r="145" spans="2:11" ht="13.5" thickBot="1" x14ac:dyDescent="0.35">
      <c r="B145" s="53">
        <v>2037</v>
      </c>
      <c r="C145" s="54" t="s">
        <v>66</v>
      </c>
      <c r="D145" s="77">
        <v>4058004.1202815268</v>
      </c>
      <c r="E145" s="77">
        <v>20290020.601407632</v>
      </c>
      <c r="F145" s="77">
        <v>16232016.481126107</v>
      </c>
      <c r="G145" s="90">
        <v>40580041.202815264</v>
      </c>
      <c r="H145" s="85" t="str">
        <f t="shared" si="5"/>
        <v/>
      </c>
      <c r="I145" s="91"/>
      <c r="J145" s="81">
        <f t="shared" si="4"/>
        <v>0</v>
      </c>
      <c r="K145" s="82"/>
    </row>
    <row r="146" spans="2:11" ht="13.5" thickBot="1" x14ac:dyDescent="0.35">
      <c r="B146" s="53">
        <v>2037</v>
      </c>
      <c r="C146" s="54" t="s">
        <v>67</v>
      </c>
      <c r="D146" s="77">
        <v>4193270.9242909104</v>
      </c>
      <c r="E146" s="77">
        <v>20966354.621454552</v>
      </c>
      <c r="F146" s="77">
        <v>16773083.697163641</v>
      </c>
      <c r="G146" s="90">
        <v>41932709.242909104</v>
      </c>
      <c r="H146" s="85" t="str">
        <f t="shared" si="5"/>
        <v/>
      </c>
      <c r="I146" s="91"/>
      <c r="J146" s="81">
        <f t="shared" si="4"/>
        <v>0</v>
      </c>
      <c r="K146" s="82"/>
    </row>
    <row r="147" spans="2:11" ht="13.5" thickBot="1" x14ac:dyDescent="0.35">
      <c r="B147" s="53">
        <v>2037</v>
      </c>
      <c r="C147" s="54" t="s">
        <v>68</v>
      </c>
      <c r="D147" s="77">
        <v>4058004.1202815268</v>
      </c>
      <c r="E147" s="77">
        <v>20290020.601407632</v>
      </c>
      <c r="F147" s="77">
        <v>16232016.481126107</v>
      </c>
      <c r="G147" s="90">
        <v>40580041.202815264</v>
      </c>
      <c r="H147" s="85" t="str">
        <f t="shared" si="5"/>
        <v/>
      </c>
      <c r="I147" s="91"/>
      <c r="J147" s="81">
        <f t="shared" si="4"/>
        <v>0</v>
      </c>
      <c r="K147" s="82"/>
    </row>
    <row r="148" spans="2:11" ht="13.5" thickBot="1" x14ac:dyDescent="0.35">
      <c r="B148" s="53">
        <v>2037</v>
      </c>
      <c r="C148" s="54" t="s">
        <v>69</v>
      </c>
      <c r="D148" s="77">
        <v>4193270.9242909104</v>
      </c>
      <c r="E148" s="77">
        <v>20966354.621454552</v>
      </c>
      <c r="F148" s="77">
        <v>16773083.697163641</v>
      </c>
      <c r="G148" s="90">
        <v>41932709.242909104</v>
      </c>
      <c r="H148" s="85" t="str">
        <f t="shared" si="5"/>
        <v/>
      </c>
      <c r="I148" s="91"/>
      <c r="J148" s="81">
        <f t="shared" si="4"/>
        <v>0</v>
      </c>
      <c r="K148" s="82"/>
    </row>
    <row r="149" spans="2:11" ht="13.5" thickBot="1" x14ac:dyDescent="0.35">
      <c r="B149" s="53">
        <v>2037</v>
      </c>
      <c r="C149" s="54" t="s">
        <v>70</v>
      </c>
      <c r="D149" s="77">
        <v>4193270.9242909104</v>
      </c>
      <c r="E149" s="77">
        <v>20966354.621454552</v>
      </c>
      <c r="F149" s="77">
        <v>16773083.697163641</v>
      </c>
      <c r="G149" s="90">
        <v>41932709.242909104</v>
      </c>
      <c r="H149" s="85" t="str">
        <f t="shared" si="5"/>
        <v/>
      </c>
      <c r="I149" s="91"/>
      <c r="J149" s="81">
        <f t="shared" si="4"/>
        <v>0</v>
      </c>
      <c r="K149" s="82"/>
    </row>
    <row r="150" spans="2:11" ht="13.5" thickBot="1" x14ac:dyDescent="0.35">
      <c r="B150" s="53">
        <v>2037</v>
      </c>
      <c r="C150" s="54" t="s">
        <v>71</v>
      </c>
      <c r="D150" s="77">
        <v>4058004.1202815268</v>
      </c>
      <c r="E150" s="77">
        <v>20290020.601407632</v>
      </c>
      <c r="F150" s="77">
        <v>16232016.481126107</v>
      </c>
      <c r="G150" s="90">
        <v>40580041.202815264</v>
      </c>
      <c r="H150" s="85" t="str">
        <f t="shared" si="5"/>
        <v/>
      </c>
      <c r="I150" s="91"/>
      <c r="J150" s="81">
        <f t="shared" si="4"/>
        <v>0</v>
      </c>
      <c r="K150" s="82"/>
    </row>
    <row r="151" spans="2:11" ht="13.5" thickBot="1" x14ac:dyDescent="0.35">
      <c r="B151" s="53">
        <v>2037</v>
      </c>
      <c r="C151" s="54" t="s">
        <v>72</v>
      </c>
      <c r="D151" s="77">
        <v>4193270.9242909104</v>
      </c>
      <c r="E151" s="77">
        <v>20966354.621454552</v>
      </c>
      <c r="F151" s="77">
        <v>16773083.697163641</v>
      </c>
      <c r="G151" s="90">
        <v>41932709.242909104</v>
      </c>
      <c r="H151" s="85" t="str">
        <f t="shared" si="5"/>
        <v/>
      </c>
      <c r="I151" s="91"/>
      <c r="J151" s="81">
        <f t="shared" si="4"/>
        <v>0</v>
      </c>
      <c r="K151" s="82"/>
    </row>
    <row r="152" spans="2:11" ht="13.5" thickBot="1" x14ac:dyDescent="0.35">
      <c r="B152" s="53">
        <v>2037</v>
      </c>
      <c r="C152" s="54" t="s">
        <v>73</v>
      </c>
      <c r="D152" s="77">
        <v>4058004.1202815268</v>
      </c>
      <c r="E152" s="77">
        <v>20290020.601407632</v>
      </c>
      <c r="F152" s="77">
        <v>16232016.481126107</v>
      </c>
      <c r="G152" s="90">
        <v>40580041.202815264</v>
      </c>
      <c r="H152" s="85" t="str">
        <f t="shared" si="5"/>
        <v/>
      </c>
      <c r="I152" s="91"/>
      <c r="J152" s="81">
        <f t="shared" si="4"/>
        <v>0</v>
      </c>
      <c r="K152" s="82"/>
    </row>
    <row r="153" spans="2:11" ht="13.5" thickBot="1" x14ac:dyDescent="0.35">
      <c r="B153" s="57">
        <v>2037</v>
      </c>
      <c r="C153" s="58" t="s">
        <v>74</v>
      </c>
      <c r="D153" s="83">
        <v>4193270.9242909104</v>
      </c>
      <c r="E153" s="83">
        <v>20966354.621454552</v>
      </c>
      <c r="F153" s="83">
        <v>16773083.697163641</v>
      </c>
      <c r="G153" s="92">
        <v>41932709.242909104</v>
      </c>
      <c r="H153" s="85" t="str">
        <f t="shared" si="5"/>
        <v/>
      </c>
      <c r="I153" s="93"/>
      <c r="J153" s="81">
        <f t="shared" si="4"/>
        <v>0</v>
      </c>
      <c r="K153" s="87"/>
    </row>
    <row r="154" spans="2:11" ht="13.5" thickBot="1" x14ac:dyDescent="0.35">
      <c r="B154" s="48">
        <v>2038</v>
      </c>
      <c r="C154" s="49" t="s">
        <v>63</v>
      </c>
      <c r="D154" s="73">
        <v>4216671.2992017036</v>
      </c>
      <c r="E154" s="73">
        <v>21083356.496008519</v>
      </c>
      <c r="F154" s="73">
        <v>16866685.196806815</v>
      </c>
      <c r="G154" s="88">
        <v>42166712.992017038</v>
      </c>
      <c r="H154" s="85" t="str">
        <f t="shared" si="5"/>
        <v/>
      </c>
      <c r="I154" s="89"/>
      <c r="J154" s="50">
        <f t="shared" si="4"/>
        <v>0</v>
      </c>
      <c r="K154" s="52"/>
    </row>
    <row r="155" spans="2:11" ht="13.5" thickBot="1" x14ac:dyDescent="0.35">
      <c r="B155" s="53">
        <v>2038</v>
      </c>
      <c r="C155" s="54" t="s">
        <v>64</v>
      </c>
      <c r="D155" s="77">
        <v>3808606.3347628298</v>
      </c>
      <c r="E155" s="77">
        <v>19043031.673814148</v>
      </c>
      <c r="F155" s="77">
        <v>15234425.339051319</v>
      </c>
      <c r="G155" s="90">
        <v>38086063.347628295</v>
      </c>
      <c r="H155" s="85" t="str">
        <f t="shared" si="5"/>
        <v/>
      </c>
      <c r="I155" s="91"/>
      <c r="J155" s="81">
        <f t="shared" si="4"/>
        <v>0</v>
      </c>
      <c r="K155" s="82"/>
    </row>
    <row r="156" spans="2:11" ht="13.5" thickBot="1" x14ac:dyDescent="0.35">
      <c r="B156" s="53">
        <v>2038</v>
      </c>
      <c r="C156" s="54" t="s">
        <v>65</v>
      </c>
      <c r="D156" s="77">
        <v>4216671.2992017046</v>
      </c>
      <c r="E156" s="77">
        <v>21083356.496008523</v>
      </c>
      <c r="F156" s="77">
        <v>16866685.196806818</v>
      </c>
      <c r="G156" s="90">
        <v>42166712.992017046</v>
      </c>
      <c r="H156" s="85" t="str">
        <f t="shared" si="5"/>
        <v/>
      </c>
      <c r="I156" s="91"/>
      <c r="J156" s="81">
        <f t="shared" si="4"/>
        <v>0</v>
      </c>
      <c r="K156" s="82"/>
    </row>
    <row r="157" spans="2:11" ht="13.5" thickBot="1" x14ac:dyDescent="0.35">
      <c r="B157" s="53">
        <v>2038</v>
      </c>
      <c r="C157" s="54" t="s">
        <v>66</v>
      </c>
      <c r="D157" s="77">
        <v>4080649.644388746</v>
      </c>
      <c r="E157" s="77">
        <v>20403248.221943729</v>
      </c>
      <c r="F157" s="77">
        <v>16322598.577554984</v>
      </c>
      <c r="G157" s="90">
        <v>40806496.443887457</v>
      </c>
      <c r="H157" s="85" t="str">
        <f t="shared" si="5"/>
        <v/>
      </c>
      <c r="I157" s="91"/>
      <c r="J157" s="81">
        <f t="shared" si="4"/>
        <v>0</v>
      </c>
      <c r="K157" s="82"/>
    </row>
    <row r="158" spans="2:11" ht="13.5" thickBot="1" x14ac:dyDescent="0.35">
      <c r="B158" s="53">
        <v>2038</v>
      </c>
      <c r="C158" s="54" t="s">
        <v>67</v>
      </c>
      <c r="D158" s="77">
        <v>4216671.2992017046</v>
      </c>
      <c r="E158" s="77">
        <v>21083356.496008523</v>
      </c>
      <c r="F158" s="77">
        <v>16866685.196806818</v>
      </c>
      <c r="G158" s="90">
        <v>42166712.992017046</v>
      </c>
      <c r="H158" s="85" t="str">
        <f t="shared" si="5"/>
        <v/>
      </c>
      <c r="I158" s="91"/>
      <c r="J158" s="81">
        <f t="shared" si="4"/>
        <v>0</v>
      </c>
      <c r="K158" s="82"/>
    </row>
    <row r="159" spans="2:11" ht="13.5" thickBot="1" x14ac:dyDescent="0.35">
      <c r="B159" s="53">
        <v>2038</v>
      </c>
      <c r="C159" s="54" t="s">
        <v>68</v>
      </c>
      <c r="D159" s="77">
        <v>4080649.644388746</v>
      </c>
      <c r="E159" s="77">
        <v>20403248.221943729</v>
      </c>
      <c r="F159" s="77">
        <v>16322598.577554984</v>
      </c>
      <c r="G159" s="90">
        <v>40806496.443887457</v>
      </c>
      <c r="H159" s="85" t="str">
        <f t="shared" si="5"/>
        <v/>
      </c>
      <c r="I159" s="91"/>
      <c r="J159" s="81">
        <f t="shared" si="4"/>
        <v>0</v>
      </c>
      <c r="K159" s="82"/>
    </row>
    <row r="160" spans="2:11" ht="13.5" thickBot="1" x14ac:dyDescent="0.35">
      <c r="B160" s="53">
        <v>2038</v>
      </c>
      <c r="C160" s="54" t="s">
        <v>69</v>
      </c>
      <c r="D160" s="77">
        <v>4216671.2992017046</v>
      </c>
      <c r="E160" s="77">
        <v>21083356.496008523</v>
      </c>
      <c r="F160" s="77">
        <v>16866685.196806818</v>
      </c>
      <c r="G160" s="90">
        <v>42166712.992017046</v>
      </c>
      <c r="H160" s="85" t="str">
        <f t="shared" si="5"/>
        <v/>
      </c>
      <c r="I160" s="91"/>
      <c r="J160" s="81">
        <f t="shared" si="4"/>
        <v>0</v>
      </c>
      <c r="K160" s="82"/>
    </row>
    <row r="161" spans="2:11" ht="13.5" thickBot="1" x14ac:dyDescent="0.35">
      <c r="B161" s="53">
        <v>2038</v>
      </c>
      <c r="C161" s="54" t="s">
        <v>70</v>
      </c>
      <c r="D161" s="77">
        <v>4216671.2992017046</v>
      </c>
      <c r="E161" s="77">
        <v>21083356.496008523</v>
      </c>
      <c r="F161" s="77">
        <v>16866685.196806818</v>
      </c>
      <c r="G161" s="90">
        <v>42166712.992017046</v>
      </c>
      <c r="H161" s="85" t="str">
        <f t="shared" si="5"/>
        <v/>
      </c>
      <c r="I161" s="91"/>
      <c r="J161" s="81">
        <f t="shared" si="4"/>
        <v>0</v>
      </c>
      <c r="K161" s="82"/>
    </row>
    <row r="162" spans="2:11" ht="13.5" thickBot="1" x14ac:dyDescent="0.35">
      <c r="B162" s="53">
        <v>2038</v>
      </c>
      <c r="C162" s="54" t="s">
        <v>71</v>
      </c>
      <c r="D162" s="77">
        <v>4080649.644388746</v>
      </c>
      <c r="E162" s="77">
        <v>20403248.221943729</v>
      </c>
      <c r="F162" s="77">
        <v>16322598.577554984</v>
      </c>
      <c r="G162" s="90">
        <v>40806496.443887457</v>
      </c>
      <c r="H162" s="85" t="str">
        <f t="shared" si="5"/>
        <v/>
      </c>
      <c r="I162" s="91"/>
      <c r="J162" s="81">
        <f t="shared" si="4"/>
        <v>0</v>
      </c>
      <c r="K162" s="82"/>
    </row>
    <row r="163" spans="2:11" ht="13.5" thickBot="1" x14ac:dyDescent="0.35">
      <c r="B163" s="53">
        <v>2038</v>
      </c>
      <c r="C163" s="54" t="s">
        <v>72</v>
      </c>
      <c r="D163" s="77">
        <v>4216671.2992017046</v>
      </c>
      <c r="E163" s="77">
        <v>21083356.496008523</v>
      </c>
      <c r="F163" s="77">
        <v>16866685.196806818</v>
      </c>
      <c r="G163" s="90">
        <v>42166712.992017046</v>
      </c>
      <c r="H163" s="85" t="str">
        <f t="shared" si="5"/>
        <v/>
      </c>
      <c r="I163" s="91"/>
      <c r="J163" s="81">
        <f t="shared" si="4"/>
        <v>0</v>
      </c>
      <c r="K163" s="82"/>
    </row>
    <row r="164" spans="2:11" ht="13.5" thickBot="1" x14ac:dyDescent="0.35">
      <c r="B164" s="53">
        <v>2038</v>
      </c>
      <c r="C164" s="54" t="s">
        <v>73</v>
      </c>
      <c r="D164" s="77">
        <v>4080649.644388746</v>
      </c>
      <c r="E164" s="77">
        <v>20403248.221943729</v>
      </c>
      <c r="F164" s="77">
        <v>16322598.577554984</v>
      </c>
      <c r="G164" s="90">
        <v>40806496.443887457</v>
      </c>
      <c r="H164" s="85" t="str">
        <f t="shared" si="5"/>
        <v/>
      </c>
      <c r="I164" s="91"/>
      <c r="J164" s="81">
        <f t="shared" si="4"/>
        <v>0</v>
      </c>
      <c r="K164" s="82"/>
    </row>
    <row r="165" spans="2:11" ht="13.5" thickBot="1" x14ac:dyDescent="0.35">
      <c r="B165" s="57">
        <v>2038</v>
      </c>
      <c r="C165" s="58" t="s">
        <v>74</v>
      </c>
      <c r="D165" s="83">
        <v>4216671.2992017036</v>
      </c>
      <c r="E165" s="83">
        <v>21083356.496008519</v>
      </c>
      <c r="F165" s="83">
        <v>16866685.196806815</v>
      </c>
      <c r="G165" s="92">
        <v>42166712.992017038</v>
      </c>
      <c r="H165" s="85" t="str">
        <f t="shared" si="5"/>
        <v/>
      </c>
      <c r="I165" s="93"/>
      <c r="J165" s="81">
        <f t="shared" si="4"/>
        <v>0</v>
      </c>
      <c r="K165" s="87"/>
    </row>
    <row r="166" spans="2:11" ht="13.5" thickBot="1" x14ac:dyDescent="0.35">
      <c r="B166" s="48">
        <v>2039</v>
      </c>
      <c r="C166" s="49" t="s">
        <v>63</v>
      </c>
      <c r="D166" s="73">
        <v>4213449.1104039047</v>
      </c>
      <c r="E166" s="73">
        <v>21067245.552019522</v>
      </c>
      <c r="F166" s="73">
        <v>16853796.441615619</v>
      </c>
      <c r="G166" s="88">
        <v>42134491.104039043</v>
      </c>
      <c r="H166" s="85" t="str">
        <f t="shared" si="5"/>
        <v/>
      </c>
      <c r="I166" s="89"/>
      <c r="J166" s="50">
        <f t="shared" si="4"/>
        <v>0</v>
      </c>
      <c r="K166" s="52"/>
    </row>
    <row r="167" spans="2:11" ht="13.5" thickBot="1" x14ac:dyDescent="0.35">
      <c r="B167" s="53">
        <v>2039</v>
      </c>
      <c r="C167" s="54" t="s">
        <v>64</v>
      </c>
      <c r="D167" s="77">
        <v>3805695.9706873978</v>
      </c>
      <c r="E167" s="77">
        <v>19028479.853436988</v>
      </c>
      <c r="F167" s="77">
        <v>15222783.882749591</v>
      </c>
      <c r="G167" s="90">
        <v>38056959.706873976</v>
      </c>
      <c r="H167" s="85" t="str">
        <f t="shared" si="5"/>
        <v/>
      </c>
      <c r="I167" s="91"/>
      <c r="J167" s="81">
        <f t="shared" si="4"/>
        <v>0</v>
      </c>
      <c r="K167" s="82"/>
    </row>
    <row r="168" spans="2:11" ht="13.5" thickBot="1" x14ac:dyDescent="0.35">
      <c r="B168" s="53">
        <v>2039</v>
      </c>
      <c r="C168" s="54" t="s">
        <v>65</v>
      </c>
      <c r="D168" s="77">
        <v>4213449.1104039056</v>
      </c>
      <c r="E168" s="77">
        <v>21067245.552019525</v>
      </c>
      <c r="F168" s="77">
        <v>16853796.441615622</v>
      </c>
      <c r="G168" s="90">
        <v>42134491.104039051</v>
      </c>
      <c r="H168" s="85" t="str">
        <f t="shared" si="5"/>
        <v/>
      </c>
      <c r="I168" s="91"/>
      <c r="J168" s="81">
        <f t="shared" si="4"/>
        <v>0</v>
      </c>
      <c r="K168" s="82"/>
    </row>
    <row r="169" spans="2:11" ht="13.5" thickBot="1" x14ac:dyDescent="0.35">
      <c r="B169" s="53">
        <v>2039</v>
      </c>
      <c r="C169" s="54" t="s">
        <v>66</v>
      </c>
      <c r="D169" s="77">
        <v>4077531.3971650694</v>
      </c>
      <c r="E169" s="77">
        <v>20387656.985825345</v>
      </c>
      <c r="F169" s="77">
        <v>16310125.588660277</v>
      </c>
      <c r="G169" s="90">
        <v>40775313.97165069</v>
      </c>
      <c r="H169" s="85" t="str">
        <f t="shared" si="5"/>
        <v/>
      </c>
      <c r="I169" s="91"/>
      <c r="J169" s="81">
        <f t="shared" si="4"/>
        <v>0</v>
      </c>
      <c r="K169" s="82"/>
    </row>
    <row r="170" spans="2:11" ht="13.5" thickBot="1" x14ac:dyDescent="0.35">
      <c r="B170" s="53">
        <v>2039</v>
      </c>
      <c r="C170" s="54" t="s">
        <v>67</v>
      </c>
      <c r="D170" s="77">
        <v>4213449.1104039047</v>
      </c>
      <c r="E170" s="77">
        <v>21067245.552019522</v>
      </c>
      <c r="F170" s="77">
        <v>16853796.441615619</v>
      </c>
      <c r="G170" s="90">
        <v>42134491.104039043</v>
      </c>
      <c r="H170" s="85" t="str">
        <f t="shared" si="5"/>
        <v/>
      </c>
      <c r="I170" s="91"/>
      <c r="J170" s="81">
        <f t="shared" si="4"/>
        <v>0</v>
      </c>
      <c r="K170" s="82"/>
    </row>
    <row r="171" spans="2:11" ht="13.5" thickBot="1" x14ac:dyDescent="0.35">
      <c r="B171" s="53">
        <v>2039</v>
      </c>
      <c r="C171" s="54" t="s">
        <v>68</v>
      </c>
      <c r="D171" s="77">
        <v>4077531.3971650694</v>
      </c>
      <c r="E171" s="77">
        <v>20387656.985825345</v>
      </c>
      <c r="F171" s="77">
        <v>16310125.588660277</v>
      </c>
      <c r="G171" s="90">
        <v>40775313.97165069</v>
      </c>
      <c r="H171" s="85" t="str">
        <f t="shared" si="5"/>
        <v/>
      </c>
      <c r="I171" s="91"/>
      <c r="J171" s="81">
        <f t="shared" si="4"/>
        <v>0</v>
      </c>
      <c r="K171" s="82"/>
    </row>
    <row r="172" spans="2:11" ht="13.5" thickBot="1" x14ac:dyDescent="0.35">
      <c r="B172" s="53">
        <v>2039</v>
      </c>
      <c r="C172" s="54" t="s">
        <v>69</v>
      </c>
      <c r="D172" s="77">
        <v>4213449.1104039047</v>
      </c>
      <c r="E172" s="77">
        <v>21067245.552019522</v>
      </c>
      <c r="F172" s="77">
        <v>16853796.441615619</v>
      </c>
      <c r="G172" s="90">
        <v>42134491.104039043</v>
      </c>
      <c r="H172" s="85" t="str">
        <f t="shared" si="5"/>
        <v/>
      </c>
      <c r="I172" s="91"/>
      <c r="J172" s="81">
        <f t="shared" si="4"/>
        <v>0</v>
      </c>
      <c r="K172" s="82"/>
    </row>
    <row r="173" spans="2:11" ht="13.5" thickBot="1" x14ac:dyDescent="0.35">
      <c r="B173" s="53">
        <v>2039</v>
      </c>
      <c r="C173" s="54" t="s">
        <v>70</v>
      </c>
      <c r="D173" s="77">
        <v>4213449.1104039056</v>
      </c>
      <c r="E173" s="77">
        <v>21067245.552019525</v>
      </c>
      <c r="F173" s="77">
        <v>16853796.441615622</v>
      </c>
      <c r="G173" s="90">
        <v>42134491.104039051</v>
      </c>
      <c r="H173" s="85" t="str">
        <f t="shared" si="5"/>
        <v/>
      </c>
      <c r="I173" s="91"/>
      <c r="J173" s="81">
        <f t="shared" si="4"/>
        <v>0</v>
      </c>
      <c r="K173" s="82"/>
    </row>
    <row r="174" spans="2:11" ht="13.5" thickBot="1" x14ac:dyDescent="0.35">
      <c r="B174" s="53">
        <v>2039</v>
      </c>
      <c r="C174" s="54" t="s">
        <v>71</v>
      </c>
      <c r="D174" s="77">
        <v>4077531.3971650694</v>
      </c>
      <c r="E174" s="77">
        <v>20387656.985825345</v>
      </c>
      <c r="F174" s="77">
        <v>16310125.588660277</v>
      </c>
      <c r="G174" s="90">
        <v>40775313.97165069</v>
      </c>
      <c r="H174" s="85" t="str">
        <f t="shared" si="5"/>
        <v/>
      </c>
      <c r="I174" s="91"/>
      <c r="J174" s="81">
        <f t="shared" si="4"/>
        <v>0</v>
      </c>
      <c r="K174" s="82"/>
    </row>
    <row r="175" spans="2:11" ht="13.5" thickBot="1" x14ac:dyDescent="0.35">
      <c r="B175" s="53">
        <v>2039</v>
      </c>
      <c r="C175" s="54" t="s">
        <v>72</v>
      </c>
      <c r="D175" s="77">
        <v>4213449.1104039047</v>
      </c>
      <c r="E175" s="77">
        <v>21067245.552019522</v>
      </c>
      <c r="F175" s="77">
        <v>16853796.441615619</v>
      </c>
      <c r="G175" s="90">
        <v>42134491.104039043</v>
      </c>
      <c r="H175" s="85" t="str">
        <f t="shared" si="5"/>
        <v/>
      </c>
      <c r="I175" s="91"/>
      <c r="J175" s="81">
        <f t="shared" si="4"/>
        <v>0</v>
      </c>
      <c r="K175" s="82"/>
    </row>
    <row r="176" spans="2:11" ht="13.5" thickBot="1" x14ac:dyDescent="0.35">
      <c r="B176" s="53">
        <v>2039</v>
      </c>
      <c r="C176" s="54" t="s">
        <v>73</v>
      </c>
      <c r="D176" s="77">
        <v>4077531.3971650694</v>
      </c>
      <c r="E176" s="77">
        <v>20387656.985825345</v>
      </c>
      <c r="F176" s="77">
        <v>16310125.588660277</v>
      </c>
      <c r="G176" s="90">
        <v>40775313.97165069</v>
      </c>
      <c r="H176" s="85" t="str">
        <f t="shared" si="5"/>
        <v/>
      </c>
      <c r="I176" s="91"/>
      <c r="J176" s="81">
        <f t="shared" si="4"/>
        <v>0</v>
      </c>
      <c r="K176" s="82"/>
    </row>
    <row r="177" spans="2:11" ht="13.5" thickBot="1" x14ac:dyDescent="0.35">
      <c r="B177" s="57">
        <v>2039</v>
      </c>
      <c r="C177" s="58" t="s">
        <v>74</v>
      </c>
      <c r="D177" s="83">
        <v>4213449.1104039047</v>
      </c>
      <c r="E177" s="83">
        <v>21067245.552019522</v>
      </c>
      <c r="F177" s="83">
        <v>16853796.441615619</v>
      </c>
      <c r="G177" s="92">
        <v>42134491.104039043</v>
      </c>
      <c r="H177" s="85" t="str">
        <f t="shared" si="5"/>
        <v/>
      </c>
      <c r="I177" s="93"/>
      <c r="J177" s="81">
        <f t="shared" si="4"/>
        <v>0</v>
      </c>
      <c r="K177" s="87"/>
    </row>
    <row r="178" spans="2:11" ht="13.5" thickBot="1" x14ac:dyDescent="0.35">
      <c r="B178" s="48">
        <v>2040</v>
      </c>
      <c r="C178" s="49" t="s">
        <v>63</v>
      </c>
      <c r="D178" s="73">
        <v>4222013.9171903059</v>
      </c>
      <c r="E178" s="73">
        <v>21110069.585951529</v>
      </c>
      <c r="F178" s="73">
        <v>16888055.668761224</v>
      </c>
      <c r="G178" s="88">
        <v>42220139.171903059</v>
      </c>
      <c r="H178" s="85" t="str">
        <f t="shared" si="5"/>
        <v/>
      </c>
      <c r="I178" s="89"/>
      <c r="J178" s="50">
        <f t="shared" si="4"/>
        <v>0</v>
      </c>
      <c r="K178" s="52"/>
    </row>
    <row r="179" spans="2:11" ht="13.5" thickBot="1" x14ac:dyDescent="0.35">
      <c r="B179" s="53">
        <v>2040</v>
      </c>
      <c r="C179" s="54" t="s">
        <v>64</v>
      </c>
      <c r="D179" s="77">
        <v>3949625.9225328672</v>
      </c>
      <c r="E179" s="77">
        <v>19748129.612664334</v>
      </c>
      <c r="F179" s="77">
        <v>15798503.690131469</v>
      </c>
      <c r="G179" s="90">
        <v>39496259.225328669</v>
      </c>
      <c r="H179" s="85" t="str">
        <f t="shared" si="5"/>
        <v/>
      </c>
      <c r="I179" s="91"/>
      <c r="J179" s="81">
        <f t="shared" si="4"/>
        <v>0</v>
      </c>
      <c r="K179" s="82"/>
    </row>
    <row r="180" spans="2:11" ht="13.5" thickBot="1" x14ac:dyDescent="0.35">
      <c r="B180" s="53">
        <v>2040</v>
      </c>
      <c r="C180" s="54" t="s">
        <v>65</v>
      </c>
      <c r="D180" s="77">
        <v>4222013.9171903068</v>
      </c>
      <c r="E180" s="77">
        <v>21110069.585951533</v>
      </c>
      <c r="F180" s="77">
        <v>16888055.668761227</v>
      </c>
      <c r="G180" s="90">
        <v>42220139.171903066</v>
      </c>
      <c r="H180" s="85" t="str">
        <f t="shared" si="5"/>
        <v/>
      </c>
      <c r="I180" s="91"/>
      <c r="J180" s="81">
        <f t="shared" si="4"/>
        <v>0</v>
      </c>
      <c r="K180" s="82"/>
    </row>
    <row r="181" spans="2:11" ht="13.5" thickBot="1" x14ac:dyDescent="0.35">
      <c r="B181" s="53">
        <v>2040</v>
      </c>
      <c r="C181" s="54" t="s">
        <v>66</v>
      </c>
      <c r="D181" s="77">
        <v>4085819.9198615868</v>
      </c>
      <c r="E181" s="77">
        <v>20429099.599307932</v>
      </c>
      <c r="F181" s="77">
        <v>16343279.679446347</v>
      </c>
      <c r="G181" s="90">
        <v>40858199.198615864</v>
      </c>
      <c r="H181" s="85" t="str">
        <f t="shared" si="5"/>
        <v/>
      </c>
      <c r="I181" s="91"/>
      <c r="J181" s="81">
        <f t="shared" si="4"/>
        <v>0</v>
      </c>
      <c r="K181" s="82"/>
    </row>
    <row r="182" spans="2:11" ht="13.5" thickBot="1" x14ac:dyDescent="0.35">
      <c r="B182" s="53">
        <v>2040</v>
      </c>
      <c r="C182" s="54" t="s">
        <v>67</v>
      </c>
      <c r="D182" s="77">
        <v>4222013.9171903059</v>
      </c>
      <c r="E182" s="77">
        <v>21110069.585951529</v>
      </c>
      <c r="F182" s="77">
        <v>16888055.668761224</v>
      </c>
      <c r="G182" s="90">
        <v>42220139.171903059</v>
      </c>
      <c r="H182" s="85" t="str">
        <f t="shared" si="5"/>
        <v/>
      </c>
      <c r="I182" s="91"/>
      <c r="J182" s="81">
        <f t="shared" si="4"/>
        <v>0</v>
      </c>
      <c r="K182" s="82"/>
    </row>
    <row r="183" spans="2:11" ht="13.5" thickBot="1" x14ac:dyDescent="0.35">
      <c r="B183" s="53">
        <v>2040</v>
      </c>
      <c r="C183" s="54" t="s">
        <v>68</v>
      </c>
      <c r="D183" s="77">
        <v>4085819.9198615872</v>
      </c>
      <c r="E183" s="77">
        <v>20429099.599307936</v>
      </c>
      <c r="F183" s="77">
        <v>16343279.679446349</v>
      </c>
      <c r="G183" s="90">
        <v>40858199.198615871</v>
      </c>
      <c r="H183" s="85" t="str">
        <f t="shared" si="5"/>
        <v/>
      </c>
      <c r="I183" s="91"/>
      <c r="J183" s="81">
        <f t="shared" si="4"/>
        <v>0</v>
      </c>
      <c r="K183" s="82"/>
    </row>
    <row r="184" spans="2:11" ht="13.5" thickBot="1" x14ac:dyDescent="0.35">
      <c r="B184" s="53">
        <v>2040</v>
      </c>
      <c r="C184" s="54" t="s">
        <v>69</v>
      </c>
      <c r="D184" s="77">
        <v>4222013.9171903068</v>
      </c>
      <c r="E184" s="77">
        <v>21110069.585951533</v>
      </c>
      <c r="F184" s="77">
        <v>16888055.668761227</v>
      </c>
      <c r="G184" s="90">
        <v>42220139.171903066</v>
      </c>
      <c r="H184" s="85" t="str">
        <f t="shared" si="5"/>
        <v/>
      </c>
      <c r="I184" s="91"/>
      <c r="J184" s="81">
        <f t="shared" si="4"/>
        <v>0</v>
      </c>
      <c r="K184" s="82"/>
    </row>
    <row r="185" spans="2:11" ht="13.5" thickBot="1" x14ac:dyDescent="0.35">
      <c r="B185" s="53">
        <v>2040</v>
      </c>
      <c r="C185" s="54" t="s">
        <v>70</v>
      </c>
      <c r="D185" s="77">
        <v>4222013.9171903059</v>
      </c>
      <c r="E185" s="77">
        <v>21110069.585951529</v>
      </c>
      <c r="F185" s="77">
        <v>16888055.668761224</v>
      </c>
      <c r="G185" s="90">
        <v>42220139.171903059</v>
      </c>
      <c r="H185" s="85" t="str">
        <f t="shared" si="5"/>
        <v/>
      </c>
      <c r="I185" s="91"/>
      <c r="J185" s="81">
        <f t="shared" si="4"/>
        <v>0</v>
      </c>
      <c r="K185" s="82"/>
    </row>
    <row r="186" spans="2:11" ht="13.5" thickBot="1" x14ac:dyDescent="0.35">
      <c r="B186" s="53">
        <v>2040</v>
      </c>
      <c r="C186" s="54" t="s">
        <v>71</v>
      </c>
      <c r="D186" s="77">
        <v>4085819.9198615868</v>
      </c>
      <c r="E186" s="77">
        <v>20429099.599307932</v>
      </c>
      <c r="F186" s="77">
        <v>16343279.679446347</v>
      </c>
      <c r="G186" s="90">
        <v>40858199.198615864</v>
      </c>
      <c r="H186" s="85" t="str">
        <f t="shared" si="5"/>
        <v/>
      </c>
      <c r="I186" s="91"/>
      <c r="J186" s="81">
        <f t="shared" si="4"/>
        <v>0</v>
      </c>
      <c r="K186" s="82"/>
    </row>
    <row r="187" spans="2:11" ht="13.5" thickBot="1" x14ac:dyDescent="0.35">
      <c r="B187" s="53">
        <v>2040</v>
      </c>
      <c r="C187" s="54" t="s">
        <v>72</v>
      </c>
      <c r="D187" s="77">
        <v>4222013.9171903059</v>
      </c>
      <c r="E187" s="77">
        <v>21110069.585951529</v>
      </c>
      <c r="F187" s="77">
        <v>16888055.668761224</v>
      </c>
      <c r="G187" s="90">
        <v>42220139.171903059</v>
      </c>
      <c r="H187" s="85" t="str">
        <f t="shared" si="5"/>
        <v/>
      </c>
      <c r="I187" s="91"/>
      <c r="J187" s="81">
        <f t="shared" si="4"/>
        <v>0</v>
      </c>
      <c r="K187" s="82"/>
    </row>
    <row r="188" spans="2:11" ht="13.5" thickBot="1" x14ac:dyDescent="0.35">
      <c r="B188" s="53">
        <v>2040</v>
      </c>
      <c r="C188" s="54" t="s">
        <v>73</v>
      </c>
      <c r="D188" s="77">
        <v>4085819.9198615872</v>
      </c>
      <c r="E188" s="77">
        <v>20429099.599307936</v>
      </c>
      <c r="F188" s="77">
        <v>16343279.679446349</v>
      </c>
      <c r="G188" s="90">
        <v>40858199.198615871</v>
      </c>
      <c r="H188" s="85" t="str">
        <f t="shared" si="5"/>
        <v/>
      </c>
      <c r="I188" s="91"/>
      <c r="J188" s="81">
        <f t="shared" si="4"/>
        <v>0</v>
      </c>
      <c r="K188" s="82"/>
    </row>
    <row r="189" spans="2:11" ht="13.5" thickBot="1" x14ac:dyDescent="0.35">
      <c r="B189" s="57">
        <v>2040</v>
      </c>
      <c r="C189" s="58" t="s">
        <v>74</v>
      </c>
      <c r="D189" s="83">
        <v>4222013.9171903068</v>
      </c>
      <c r="E189" s="83">
        <v>21110069.585951533</v>
      </c>
      <c r="F189" s="83">
        <v>16888055.668761227</v>
      </c>
      <c r="G189" s="92">
        <v>42220139.171903066</v>
      </c>
      <c r="H189" s="85" t="str">
        <f t="shared" si="5"/>
        <v/>
      </c>
      <c r="I189" s="93"/>
      <c r="J189" s="81">
        <f t="shared" si="4"/>
        <v>0</v>
      </c>
      <c r="K189" s="87"/>
    </row>
    <row r="190" spans="2:11" ht="13.5" thickBot="1" x14ac:dyDescent="0.35">
      <c r="C190" s="61" t="s">
        <v>75</v>
      </c>
      <c r="D190" s="94">
        <f>SUM(D10:D189)</f>
        <v>896090363.3989799</v>
      </c>
      <c r="E190" s="94">
        <f>SUM(E10:E189)</f>
        <v>4480451816.9949017</v>
      </c>
      <c r="F190" s="94">
        <f>SUM(F10:F189)</f>
        <v>3584361453.5959196</v>
      </c>
      <c r="G190" s="62">
        <f>SUM(G10:G189)</f>
        <v>8960903633.9898033</v>
      </c>
      <c r="H190" s="95"/>
    </row>
    <row r="191" spans="2:11" x14ac:dyDescent="0.3">
      <c r="G191" s="17"/>
      <c r="H191" s="17"/>
    </row>
    <row r="192" spans="2:11" x14ac:dyDescent="0.3">
      <c r="G192" s="17"/>
      <c r="H192" s="17"/>
    </row>
    <row r="193" spans="3:12" x14ac:dyDescent="0.3">
      <c r="C193" s="1" t="s">
        <v>76</v>
      </c>
    </row>
    <row r="194" spans="3:12" x14ac:dyDescent="0.3">
      <c r="C194" s="63" t="s">
        <v>77</v>
      </c>
      <c r="D194" s="63"/>
      <c r="E194" s="63"/>
      <c r="F194" s="63"/>
    </row>
    <row r="195" spans="3:12" x14ac:dyDescent="0.3">
      <c r="C195" s="1" t="s">
        <v>78</v>
      </c>
      <c r="J195" s="64"/>
    </row>
    <row r="196" spans="3:12" x14ac:dyDescent="0.3">
      <c r="C196" s="100" t="s">
        <v>79</v>
      </c>
      <c r="D196" s="100"/>
      <c r="E196" s="100"/>
      <c r="F196" s="100"/>
      <c r="G196" s="100"/>
      <c r="H196" s="100"/>
      <c r="I196" s="100"/>
      <c r="J196" s="100"/>
      <c r="K196" s="100"/>
      <c r="L196" s="100"/>
    </row>
    <row r="197" spans="3:12" x14ac:dyDescent="0.3"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</row>
  </sheetData>
  <mergeCells count="9">
    <mergeCell ref="C196:L197"/>
    <mergeCell ref="B2:K2"/>
    <mergeCell ref="B3:K3"/>
    <mergeCell ref="B4:K4"/>
    <mergeCell ref="B5:K5"/>
    <mergeCell ref="B7:K7"/>
    <mergeCell ref="B8:B9"/>
    <mergeCell ref="C8:C9"/>
    <mergeCell ref="D8:K8"/>
  </mergeCells>
  <dataValidations count="1">
    <dataValidation type="list" allowBlank="1" showInputMessage="1" showErrorMessage="1" sqref="H10" xr:uid="{6D1CFC31-88E2-4C16-96E5-01F6232DBFD3}">
      <formula1>"1,2,3,Todos los bloques"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Producto 1</vt:lpstr>
      <vt:lpstr>Producto 2</vt:lpstr>
      <vt:lpstr>Producto 3</vt:lpstr>
      <vt:lpstr>R-Producto_1</vt:lpstr>
      <vt:lpstr>R-Producto_2</vt:lpstr>
      <vt:lpstr>R-Producto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Over Paul Perez Hernandez</dc:creator>
  <cp:lastModifiedBy>Over Paul Perez Hernandez</cp:lastModifiedBy>
  <dcterms:created xsi:type="dcterms:W3CDTF">2025-05-07T18:23:05Z</dcterms:created>
  <dcterms:modified xsi:type="dcterms:W3CDTF">2025-05-08T03:31:27Z</dcterms:modified>
</cp:coreProperties>
</file>