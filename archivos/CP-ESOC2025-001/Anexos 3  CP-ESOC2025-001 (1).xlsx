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e65fd4753dc5093e/Documents/EMPRESAS/TIMBIQUI/Convocatoria Publica/CP-ESOC2025-001/PLIEGOS DEFINITIVOS/"/>
    </mc:Choice>
  </mc:AlternateContent>
  <xr:revisionPtr revIDLastSave="10" documentId="8_{12D67275-5B3C-4AD1-9E24-3AA7110DFF81}" xr6:coauthVersionLast="47" xr6:coauthVersionMax="47" xr10:uidLastSave="{5FE0A87D-F003-44BD-93C0-18708E508804}"/>
  <bookViews>
    <workbookView xWindow="-110" yWindow="-110" windowWidth="19420" windowHeight="11500" activeTab="1" xr2:uid="{00000000-000D-0000-FFFF-FFFF00000000}"/>
  </bookViews>
  <sheets>
    <sheet name="Cant. Requeridas Producto 1" sheetId="1" r:id="rId1"/>
    <sheet name="Oferta Producto 1" sheetId="2" r:id="rId2"/>
  </sheets>
  <definedNames>
    <definedName name="_xlnm._FilterDatabase" localSheetId="0" hidden="1">'Cant. Requeridas Producto 1'!$B$11:$AC$11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HTsnmLxlioLfybYBNoPNBieFUYn3o1/mEb/phuwgLY="/>
    </ext>
  </extLst>
</workbook>
</file>

<file path=xl/calcChain.xml><?xml version="1.0" encoding="utf-8"?>
<calcChain xmlns="http://schemas.openxmlformats.org/spreadsheetml/2006/main">
  <c r="E24" i="2" l="1"/>
  <c r="E23" i="2"/>
  <c r="E13" i="2"/>
  <c r="E14" i="2"/>
  <c r="E15" i="2"/>
  <c r="E16" i="2"/>
  <c r="E17" i="2"/>
  <c r="E18" i="2"/>
  <c r="E19" i="2"/>
  <c r="E20" i="2"/>
  <c r="E21" i="2"/>
  <c r="E22" i="2"/>
  <c r="E12" i="2"/>
  <c r="AA12" i="1"/>
  <c r="AC12" i="1" s="1"/>
  <c r="C12" i="2" s="1"/>
  <c r="AA14" i="1" l="1"/>
  <c r="AC14" i="1" s="1"/>
  <c r="C14" i="2" s="1"/>
  <c r="AA13" i="1"/>
  <c r="AC13" i="1" s="1"/>
  <c r="C13" i="2" s="1"/>
  <c r="AA15" i="1"/>
  <c r="AC15" i="1" s="1"/>
  <c r="C15" i="2" s="1"/>
  <c r="AA16" i="1" l="1"/>
  <c r="AC16" i="1" s="1"/>
  <c r="C16" i="2" s="1"/>
  <c r="AA17" i="1" l="1"/>
  <c r="AC17" i="1" s="1"/>
  <c r="AA18" i="1" l="1"/>
  <c r="AC18" i="1" s="1"/>
  <c r="C18" i="2" s="1"/>
  <c r="C17" i="2"/>
  <c r="AA19" i="1" l="1"/>
  <c r="AC19" i="1" s="1"/>
  <c r="AA20" i="1" l="1"/>
  <c r="AC20" i="1" s="1"/>
  <c r="C20" i="2" s="1"/>
  <c r="C19" i="2"/>
  <c r="AA21" i="1" l="1"/>
  <c r="AC21" i="1" s="1"/>
  <c r="C21" i="2" s="1"/>
  <c r="AA22" i="1" l="1"/>
  <c r="AC22" i="1" s="1"/>
  <c r="C22" i="2" s="1"/>
  <c r="AA23" i="1" l="1"/>
  <c r="AC23" i="1" s="1"/>
  <c r="C23" i="2" s="1"/>
  <c r="AA24" i="1" l="1"/>
  <c r="AC24" i="1" s="1"/>
  <c r="C24" i="2" s="1"/>
  <c r="E25" i="2" l="1"/>
  <c r="C25" i="2" l="1"/>
  <c r="AC25" i="1"/>
</calcChain>
</file>

<file path=xl/sharedStrings.xml><?xml version="1.0" encoding="utf-8"?>
<sst xmlns="http://schemas.openxmlformats.org/spreadsheetml/2006/main" count="53" uniqueCount="50">
  <si>
    <t>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</si>
  <si>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</si>
  <si>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</si>
  <si>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</si>
  <si>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</si>
  <si>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</si>
  <si>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</si>
  <si>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</si>
  <si>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</si>
  <si>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</si>
  <si>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</si>
  <si>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</si>
  <si>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</si>
  <si>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</si>
  <si>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</si>
  <si>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</si>
  <si>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</si>
  <si>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</si>
  <si>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</si>
  <si>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</si>
  <si>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</si>
  <si>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</si>
  <si>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</si>
  <si>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</si>
  <si>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</si>
  <si>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</si>
  <si>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</si>
  <si>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 MES</t>
  </si>
  <si>
    <t>Total producto</t>
  </si>
  <si>
    <t>NOMBRE DEL OFERENTE</t>
  </si>
  <si>
    <t>Precios y cantidades de la energía ofertada</t>
  </si>
  <si>
    <t>E. Solicitada
[kWh-mes]</t>
  </si>
  <si>
    <t>% E. Ofertado</t>
  </si>
  <si>
    <t>E. Ofertada
[kWh]</t>
  </si>
  <si>
    <t>$/kWh</t>
  </si>
  <si>
    <t>TOTAL</t>
  </si>
  <si>
    <t>El oferente debe indicar si acepta adjudicaciones parciales o no</t>
  </si>
  <si>
    <t>Representante legal</t>
  </si>
  <si>
    <t>Nombre Oferente</t>
  </si>
  <si>
    <t>EMSEROCCIDENTE SA ESP</t>
  </si>
  <si>
    <t>PRODUCTO 1 - PAGUE LO DEMANDADO CON TOPO</t>
  </si>
  <si>
    <t>TOPE MAXIMO</t>
  </si>
  <si>
    <t>CONVOCATORIA PÚBLICA N° CP-ESOC2025-001</t>
  </si>
  <si>
    <t>En Pesos de Noviembre de 2025</t>
  </si>
  <si>
    <t>Periodo: 1 de febrero 2026  al 31 diciembre de 2027</t>
  </si>
  <si>
    <t>ANEXO 3A - CANTIDADES DE  ENERGÍA SOLICITADA EN kWh</t>
  </si>
  <si>
    <t>OFERTA PRODUCTO 1</t>
  </si>
  <si>
    <t>No se aceptan ofertas con diferente porcentaje cada mes.</t>
  </si>
  <si>
    <t>• El precio ofertado puede ser diferente para cada año,  los precios se deben presentar en $/kWh, con hasta dos (2) decimales.</t>
  </si>
  <si>
    <t>ANEXO 3. FORMATO DE OFERTA - PRODUCTO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</si>
</sst>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Din-regular"/>
    </font>
    <font>
      <sz val="10"/>
      <color theme="1"/>
      <name val="Din-regula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vertical="center"/>
    </xf>
    <xf numFmtId="17" fontId="4" fillId="0" borderId="1" xfId="0" applyNumberFormat="1" applyFont="1" applyBorder="1"/>
    <xf numFmtId="43" fontId="4" fillId="0" borderId="1" xfId="1" applyFont="1" applyFill="1" applyBorder="1"/>
    <xf numFmtId="164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/>
    <xf numFmtId="164" fontId="4" fillId="0" borderId="2" xfId="0" applyNumberFormat="1" applyFont="1" applyBorder="1"/>
    <xf numFmtId="164" fontId="5" fillId="0" borderId="5" xfId="0" applyNumberFormat="1" applyFont="1" applyBorder="1"/>
    <xf numFmtId="0" fontId="7" fillId="0" borderId="0" xfId="0" applyFont="1"/>
    <xf numFmtId="0" fontId="9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" fontId="9" fillId="0" borderId="9" xfId="0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17" fontId="9" fillId="0" borderId="17" xfId="0" applyNumberFormat="1" applyFont="1" applyBorder="1" applyAlignment="1">
      <alignment horizontal="left" vertical="center"/>
    </xf>
    <xf numFmtId="166" fontId="9" fillId="0" borderId="18" xfId="0" applyNumberFormat="1" applyFont="1" applyBorder="1" applyAlignment="1">
      <alignment horizontal="center" vertical="center"/>
    </xf>
    <xf numFmtId="164" fontId="5" fillId="0" borderId="18" xfId="0" applyNumberFormat="1" applyFont="1" applyBorder="1"/>
    <xf numFmtId="166" fontId="10" fillId="0" borderId="18" xfId="0" applyNumberFormat="1" applyFont="1" applyBorder="1" applyAlignment="1">
      <alignment horizontal="center" vertical="center" wrapText="1"/>
    </xf>
    <xf numFmtId="0" fontId="7" fillId="0" borderId="11" xfId="0" applyFont="1" applyBorder="1"/>
    <xf numFmtId="4" fontId="11" fillId="0" borderId="0" xfId="0" applyNumberFormat="1" applyFont="1"/>
    <xf numFmtId="0" fontId="4" fillId="0" borderId="6" xfId="0" applyFont="1" applyBorder="1"/>
    <xf numFmtId="0" fontId="4" fillId="0" borderId="7" xfId="0" applyFont="1" applyBorder="1"/>
    <xf numFmtId="0" fontId="5" fillId="0" borderId="3" xfId="0" applyFont="1" applyBorder="1" applyAlignment="1">
      <alignment horizontal="center"/>
    </xf>
    <xf numFmtId="0" fontId="6" fillId="0" borderId="4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4" fillId="0" borderId="0" xfId="0" applyFont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165" fontId="9" fillId="0" borderId="15" xfId="0" applyNumberFormat="1" applyFont="1" applyBorder="1" applyAlignment="1">
      <alignment horizontal="center" vertical="center" wrapText="1"/>
    </xf>
    <xf numFmtId="17" fontId="9" fillId="0" borderId="20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165" fontId="10" fillId="0" borderId="7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/>
    </xf>
    <xf numFmtId="17" fontId="9" fillId="0" borderId="24" xfId="0" applyNumberFormat="1" applyFont="1" applyBorder="1" applyAlignment="1">
      <alignment horizontal="center" vertical="center"/>
    </xf>
    <xf numFmtId="165" fontId="10" fillId="0" borderId="25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17" fontId="9" fillId="0" borderId="28" xfId="0" applyNumberFormat="1" applyFont="1" applyBorder="1" applyAlignment="1">
      <alignment horizontal="center" vertical="center"/>
    </xf>
    <xf numFmtId="165" fontId="10" fillId="0" borderId="29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/>
    </xf>
    <xf numFmtId="165" fontId="10" fillId="0" borderId="31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165" fontId="10" fillId="0" borderId="13" xfId="0" applyNumberFormat="1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 wrapText="1"/>
    </xf>
    <xf numFmtId="165" fontId="10" fillId="0" borderId="30" xfId="0" applyNumberFormat="1" applyFont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A2B2491D-24A0-441F-A861-4E5B04D5AE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C992"/>
  <sheetViews>
    <sheetView zoomScale="50" zoomScaleNormal="50" workbookViewId="0">
      <pane xSplit="2" ySplit="8" topLeftCell="C9" activePane="bottomRight" state="frozen"/>
      <selection pane="topRight" activeCell="B1" sqref="B1"/>
      <selection pane="bottomLeft" activeCell="A7" sqref="A7"/>
      <selection pane="bottomRight" activeCell="K30" sqref="K30"/>
    </sheetView>
  </sheetViews>
  <sheetFormatPr baseColWidth="10" defaultColWidth="14.453125" defaultRowHeight="15" customHeight="1"/>
  <cols>
    <col min="2" max="4" width="10.7265625" customWidth="1"/>
    <col min="5" max="5" width="11.26953125" customWidth="1"/>
    <col min="6" max="26" width="10.7265625" customWidth="1"/>
    <col min="27" max="27" width="12.26953125" style="1" customWidth="1"/>
    <col min="28" max="28" width="6.26953125" customWidth="1"/>
    <col min="29" max="29" width="15.7265625" bestFit="1" customWidth="1"/>
  </cols>
  <sheetData>
    <row r="2" spans="2:29" ht="15" customHeight="1">
      <c r="B2" s="32" t="s">
        <v>39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 spans="2:29" ht="14.25" customHeight="1">
      <c r="B3" s="32" t="s">
        <v>45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spans="2:29" ht="14.25" customHeight="1">
      <c r="B4" s="32" t="s">
        <v>40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spans="2:29" ht="14.25" customHeight="1">
      <c r="B5" s="32" t="s">
        <v>44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spans="2:29" ht="14.25" customHeight="1">
      <c r="B6" s="32" t="s">
        <v>42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 spans="2:29" ht="14.25" customHeight="1">
      <c r="B7" s="2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4"/>
      <c r="X7" s="4"/>
      <c r="Y7" s="4"/>
      <c r="Z7" s="4"/>
      <c r="AA7" s="5"/>
      <c r="AB7" s="4"/>
    </row>
    <row r="8" spans="2:29" ht="14.25" customHeight="1">
      <c r="B8" s="2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4"/>
      <c r="X8" s="4"/>
      <c r="Y8" s="4"/>
      <c r="Z8" s="4"/>
      <c r="AA8" s="5"/>
      <c r="AB8" s="4"/>
    </row>
    <row r="9" spans="2:29" ht="14.25" customHeight="1">
      <c r="B9" s="2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6"/>
      <c r="AB9" s="2"/>
    </row>
    <row r="10" spans="2:29" ht="14.25" customHeight="1">
      <c r="B10" s="34" t="s">
        <v>41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 spans="2:29" ht="14.25" customHeight="1">
      <c r="B11" s="7" t="s">
        <v>0</v>
      </c>
      <c r="C11" s="8" t="s">
        <v>1</v>
      </c>
      <c r="D11" s="8" t="s">
        <v>2</v>
      </c>
      <c r="E11" s="8" t="s">
        <v>3</v>
      </c>
      <c r="F11" s="8" t="s">
        <v>4</v>
      </c>
      <c r="G11" s="8" t="s">
        <v>5</v>
      </c>
      <c r="H11" s="8" t="s">
        <v>6</v>
      </c>
      <c r="I11" s="8" t="s">
        <v>7</v>
      </c>
      <c r="J11" s="8" t="s">
        <v>8</v>
      </c>
      <c r="K11" s="8" t="s">
        <v>9</v>
      </c>
      <c r="L11" s="8" t="s">
        <v>10</v>
      </c>
      <c r="M11" s="8" t="s">
        <v>11</v>
      </c>
      <c r="N11" s="8" t="s">
        <v>12</v>
      </c>
      <c r="O11" s="8" t="s">
        <v>13</v>
      </c>
      <c r="P11" s="8" t="s">
        <v>14</v>
      </c>
      <c r="Q11" s="8" t="s">
        <v>15</v>
      </c>
      <c r="R11" s="8" t="s">
        <v>16</v>
      </c>
      <c r="S11" s="8" t="s">
        <v>17</v>
      </c>
      <c r="T11" s="8" t="s">
        <v>18</v>
      </c>
      <c r="U11" s="8" t="s">
        <v>19</v>
      </c>
      <c r="V11" s="8" t="s">
        <v>20</v>
      </c>
      <c r="W11" s="8" t="s">
        <v>21</v>
      </c>
      <c r="X11" s="8" t="s">
        <v>22</v>
      </c>
      <c r="Y11" s="8" t="s">
        <v>23</v>
      </c>
      <c r="Z11" s="8" t="s">
        <v>24</v>
      </c>
      <c r="AA11" s="9" t="s">
        <v>25</v>
      </c>
      <c r="AB11" s="8" t="s">
        <v>26</v>
      </c>
      <c r="AC11" s="8" t="s">
        <v>27</v>
      </c>
    </row>
    <row r="12" spans="2:29" ht="14.25" customHeight="1">
      <c r="B12" s="10">
        <v>46054</v>
      </c>
      <c r="C12" s="11">
        <v>628.89333333333332</v>
      </c>
      <c r="D12" s="11">
        <v>556.16</v>
      </c>
      <c r="E12" s="11">
        <v>549.62</v>
      </c>
      <c r="F12" s="11">
        <v>535.66999999999996</v>
      </c>
      <c r="G12" s="11">
        <v>529.48666666666668</v>
      </c>
      <c r="H12" s="11">
        <v>530.71999999999991</v>
      </c>
      <c r="I12" s="11">
        <v>547.70666666666671</v>
      </c>
      <c r="J12" s="11">
        <v>602.52666666666664</v>
      </c>
      <c r="K12" s="11">
        <v>654.27999999999986</v>
      </c>
      <c r="L12" s="11">
        <v>687.8366666666667</v>
      </c>
      <c r="M12" s="11">
        <v>705.46999999999991</v>
      </c>
      <c r="N12" s="11">
        <v>735.98666666666668</v>
      </c>
      <c r="O12" s="11">
        <v>751.29</v>
      </c>
      <c r="P12" s="11">
        <v>757.0233333333332</v>
      </c>
      <c r="Q12" s="11">
        <v>754.65000000000009</v>
      </c>
      <c r="R12" s="11">
        <v>744.20666666666659</v>
      </c>
      <c r="S12" s="11">
        <v>744.25666666666666</v>
      </c>
      <c r="T12" s="11">
        <v>758.62666666666667</v>
      </c>
      <c r="U12" s="11">
        <v>833.75666666666666</v>
      </c>
      <c r="V12" s="11">
        <v>858.89666666666665</v>
      </c>
      <c r="W12" s="11">
        <v>834.07666666666671</v>
      </c>
      <c r="X12" s="11">
        <v>773.40333333333331</v>
      </c>
      <c r="Y12" s="11">
        <v>694.23666666666668</v>
      </c>
      <c r="Z12" s="11">
        <v>635.95333333333338</v>
      </c>
      <c r="AA12" s="12">
        <f t="shared" ref="AA12:AA24" si="0">SUM(C12:Z12)</f>
        <v>16404.733333333334</v>
      </c>
      <c r="AB12" s="13">
        <v>12</v>
      </c>
      <c r="AC12" s="13">
        <f t="shared" ref="AC12:AC24" si="1">AA12*AB12</f>
        <v>196856.8</v>
      </c>
    </row>
    <row r="13" spans="2:29" ht="14.25" customHeight="1">
      <c r="B13" s="10">
        <v>46082</v>
      </c>
      <c r="C13" s="11">
        <v>628.89333333333332</v>
      </c>
      <c r="D13" s="11">
        <v>556.16</v>
      </c>
      <c r="E13" s="11">
        <v>549.62</v>
      </c>
      <c r="F13" s="11">
        <v>535.66999999999996</v>
      </c>
      <c r="G13" s="11">
        <v>529.48666666666668</v>
      </c>
      <c r="H13" s="11">
        <v>530.71999999999991</v>
      </c>
      <c r="I13" s="11">
        <v>547.70666666666671</v>
      </c>
      <c r="J13" s="11">
        <v>602.52666666666664</v>
      </c>
      <c r="K13" s="11">
        <v>654.27999999999986</v>
      </c>
      <c r="L13" s="11">
        <v>687.8366666666667</v>
      </c>
      <c r="M13" s="11">
        <v>705.46999999999991</v>
      </c>
      <c r="N13" s="11">
        <v>735.98666666666668</v>
      </c>
      <c r="O13" s="11">
        <v>751.29</v>
      </c>
      <c r="P13" s="11">
        <v>757.0233333333332</v>
      </c>
      <c r="Q13" s="11">
        <v>754.65000000000009</v>
      </c>
      <c r="R13" s="11">
        <v>744.20666666666659</v>
      </c>
      <c r="S13" s="11">
        <v>744.25666666666666</v>
      </c>
      <c r="T13" s="11">
        <v>758.62666666666667</v>
      </c>
      <c r="U13" s="11">
        <v>833.75666666666666</v>
      </c>
      <c r="V13" s="11">
        <v>858.89666666666665</v>
      </c>
      <c r="W13" s="11">
        <v>834.07666666666671</v>
      </c>
      <c r="X13" s="11">
        <v>773.40333333333331</v>
      </c>
      <c r="Y13" s="11">
        <v>694.23666666666668</v>
      </c>
      <c r="Z13" s="11">
        <v>635.95333333333338</v>
      </c>
      <c r="AA13" s="12">
        <f t="shared" si="0"/>
        <v>16404.733333333334</v>
      </c>
      <c r="AB13" s="13">
        <v>31</v>
      </c>
      <c r="AC13" s="13">
        <f t="shared" si="1"/>
        <v>508546.73333333334</v>
      </c>
    </row>
    <row r="14" spans="2:29" ht="14.25" customHeight="1">
      <c r="B14" s="10">
        <v>46113</v>
      </c>
      <c r="C14" s="11">
        <v>628.89333333333332</v>
      </c>
      <c r="D14" s="11">
        <v>556.16</v>
      </c>
      <c r="E14" s="11">
        <v>549.62</v>
      </c>
      <c r="F14" s="11">
        <v>535.66999999999996</v>
      </c>
      <c r="G14" s="11">
        <v>529.48666666666668</v>
      </c>
      <c r="H14" s="11">
        <v>530.71999999999991</v>
      </c>
      <c r="I14" s="11">
        <v>547.70666666666671</v>
      </c>
      <c r="J14" s="11">
        <v>602.52666666666664</v>
      </c>
      <c r="K14" s="11">
        <v>654.27999999999986</v>
      </c>
      <c r="L14" s="11">
        <v>687.8366666666667</v>
      </c>
      <c r="M14" s="11">
        <v>705.46999999999991</v>
      </c>
      <c r="N14" s="11">
        <v>735.98666666666668</v>
      </c>
      <c r="O14" s="11">
        <v>751.29</v>
      </c>
      <c r="P14" s="11">
        <v>757.0233333333332</v>
      </c>
      <c r="Q14" s="11">
        <v>754.65000000000009</v>
      </c>
      <c r="R14" s="11">
        <v>744.20666666666659</v>
      </c>
      <c r="S14" s="11">
        <v>744.25666666666666</v>
      </c>
      <c r="T14" s="11">
        <v>758.62666666666667</v>
      </c>
      <c r="U14" s="11">
        <v>833.75666666666666</v>
      </c>
      <c r="V14" s="11">
        <v>858.89666666666665</v>
      </c>
      <c r="W14" s="11">
        <v>834.07666666666671</v>
      </c>
      <c r="X14" s="11">
        <v>773.40333333333331</v>
      </c>
      <c r="Y14" s="11">
        <v>694.23666666666668</v>
      </c>
      <c r="Z14" s="11">
        <v>635.95333333333338</v>
      </c>
      <c r="AA14" s="12">
        <f t="shared" si="0"/>
        <v>16404.733333333334</v>
      </c>
      <c r="AB14" s="13">
        <v>30</v>
      </c>
      <c r="AC14" s="13">
        <f t="shared" si="1"/>
        <v>492142</v>
      </c>
    </row>
    <row r="15" spans="2:29" ht="14.25" customHeight="1">
      <c r="B15" s="10">
        <v>46143</v>
      </c>
      <c r="C15" s="11">
        <v>628.89333333333332</v>
      </c>
      <c r="D15" s="11">
        <v>556.16</v>
      </c>
      <c r="E15" s="11">
        <v>549.62</v>
      </c>
      <c r="F15" s="11">
        <v>535.66999999999996</v>
      </c>
      <c r="G15" s="11">
        <v>529.48666666666668</v>
      </c>
      <c r="H15" s="11">
        <v>530.71999999999991</v>
      </c>
      <c r="I15" s="11">
        <v>547.70666666666671</v>
      </c>
      <c r="J15" s="11">
        <v>602.52666666666664</v>
      </c>
      <c r="K15" s="11">
        <v>654.27999999999986</v>
      </c>
      <c r="L15" s="11">
        <v>687.8366666666667</v>
      </c>
      <c r="M15" s="11">
        <v>705.46999999999991</v>
      </c>
      <c r="N15" s="11">
        <v>735.98666666666668</v>
      </c>
      <c r="O15" s="11">
        <v>751.29</v>
      </c>
      <c r="P15" s="11">
        <v>757.0233333333332</v>
      </c>
      <c r="Q15" s="11">
        <v>754.65000000000009</v>
      </c>
      <c r="R15" s="11">
        <v>744.20666666666659</v>
      </c>
      <c r="S15" s="11">
        <v>744.25666666666666</v>
      </c>
      <c r="T15" s="11">
        <v>758.62666666666667</v>
      </c>
      <c r="U15" s="11">
        <v>833.75666666666666</v>
      </c>
      <c r="V15" s="11">
        <v>858.89666666666665</v>
      </c>
      <c r="W15" s="11">
        <v>834.07666666666671</v>
      </c>
      <c r="X15" s="11">
        <v>773.40333333333331</v>
      </c>
      <c r="Y15" s="11">
        <v>694.23666666666668</v>
      </c>
      <c r="Z15" s="11">
        <v>635.95333333333338</v>
      </c>
      <c r="AA15" s="12">
        <f t="shared" si="0"/>
        <v>16404.733333333334</v>
      </c>
      <c r="AB15" s="13">
        <v>31</v>
      </c>
      <c r="AC15" s="13">
        <f t="shared" si="1"/>
        <v>508546.73333333334</v>
      </c>
    </row>
    <row r="16" spans="2:29" ht="14.25" customHeight="1">
      <c r="B16" s="10">
        <v>46174</v>
      </c>
      <c r="C16" s="11">
        <v>628.89333333333332</v>
      </c>
      <c r="D16" s="11">
        <v>556.16</v>
      </c>
      <c r="E16" s="11">
        <v>549.62</v>
      </c>
      <c r="F16" s="11">
        <v>535.66999999999996</v>
      </c>
      <c r="G16" s="11">
        <v>529.48666666666668</v>
      </c>
      <c r="H16" s="11">
        <v>530.71999999999991</v>
      </c>
      <c r="I16" s="11">
        <v>547.70666666666671</v>
      </c>
      <c r="J16" s="11">
        <v>602.52666666666664</v>
      </c>
      <c r="K16" s="11">
        <v>654.27999999999986</v>
      </c>
      <c r="L16" s="11">
        <v>687.8366666666667</v>
      </c>
      <c r="M16" s="11">
        <v>705.46999999999991</v>
      </c>
      <c r="N16" s="11">
        <v>735.98666666666668</v>
      </c>
      <c r="O16" s="11">
        <v>751.29</v>
      </c>
      <c r="P16" s="11">
        <v>757.0233333333332</v>
      </c>
      <c r="Q16" s="11">
        <v>754.65000000000009</v>
      </c>
      <c r="R16" s="11">
        <v>744.20666666666659</v>
      </c>
      <c r="S16" s="11">
        <v>744.25666666666666</v>
      </c>
      <c r="T16" s="11">
        <v>758.62666666666667</v>
      </c>
      <c r="U16" s="11">
        <v>833.75666666666666</v>
      </c>
      <c r="V16" s="11">
        <v>858.89666666666665</v>
      </c>
      <c r="W16" s="11">
        <v>834.07666666666671</v>
      </c>
      <c r="X16" s="11">
        <v>773.40333333333331</v>
      </c>
      <c r="Y16" s="11">
        <v>694.23666666666668</v>
      </c>
      <c r="Z16" s="11">
        <v>635.95333333333338</v>
      </c>
      <c r="AA16" s="12">
        <f t="shared" si="0"/>
        <v>16404.733333333334</v>
      </c>
      <c r="AB16" s="13">
        <v>30</v>
      </c>
      <c r="AC16" s="13">
        <f t="shared" si="1"/>
        <v>492142</v>
      </c>
    </row>
    <row r="17" spans="2:29" ht="14.25" customHeight="1">
      <c r="B17" s="10">
        <v>46204</v>
      </c>
      <c r="C17" s="11">
        <v>628.89333333333332</v>
      </c>
      <c r="D17" s="11">
        <v>556.16</v>
      </c>
      <c r="E17" s="11">
        <v>549.62</v>
      </c>
      <c r="F17" s="11">
        <v>535.66999999999996</v>
      </c>
      <c r="G17" s="11">
        <v>529.48666666666668</v>
      </c>
      <c r="H17" s="11">
        <v>530.71999999999991</v>
      </c>
      <c r="I17" s="11">
        <v>547.70666666666671</v>
      </c>
      <c r="J17" s="11">
        <v>602.52666666666664</v>
      </c>
      <c r="K17" s="11">
        <v>654.27999999999986</v>
      </c>
      <c r="L17" s="11">
        <v>687.8366666666667</v>
      </c>
      <c r="M17" s="11">
        <v>705.46999999999991</v>
      </c>
      <c r="N17" s="11">
        <v>735.98666666666668</v>
      </c>
      <c r="O17" s="11">
        <v>751.29</v>
      </c>
      <c r="P17" s="11">
        <v>757.0233333333332</v>
      </c>
      <c r="Q17" s="11">
        <v>754.65000000000009</v>
      </c>
      <c r="R17" s="11">
        <v>744.20666666666659</v>
      </c>
      <c r="S17" s="11">
        <v>744.25666666666666</v>
      </c>
      <c r="T17" s="11">
        <v>758.62666666666667</v>
      </c>
      <c r="U17" s="11">
        <v>833.75666666666666</v>
      </c>
      <c r="V17" s="11">
        <v>858.89666666666665</v>
      </c>
      <c r="W17" s="11">
        <v>834.07666666666671</v>
      </c>
      <c r="X17" s="11">
        <v>773.40333333333331</v>
      </c>
      <c r="Y17" s="11">
        <v>694.23666666666668</v>
      </c>
      <c r="Z17" s="11">
        <v>635.95333333333338</v>
      </c>
      <c r="AA17" s="12">
        <f t="shared" si="0"/>
        <v>16404.733333333334</v>
      </c>
      <c r="AB17" s="13">
        <v>31</v>
      </c>
      <c r="AC17" s="13">
        <f t="shared" si="1"/>
        <v>508546.73333333334</v>
      </c>
    </row>
    <row r="18" spans="2:29" ht="14.25" customHeight="1">
      <c r="B18" s="10">
        <v>46235</v>
      </c>
      <c r="C18" s="11">
        <v>628.89333333333332</v>
      </c>
      <c r="D18" s="11">
        <v>556.16</v>
      </c>
      <c r="E18" s="11">
        <v>549.62</v>
      </c>
      <c r="F18" s="11">
        <v>535.66999999999996</v>
      </c>
      <c r="G18" s="11">
        <v>529.48666666666668</v>
      </c>
      <c r="H18" s="11">
        <v>530.71999999999991</v>
      </c>
      <c r="I18" s="11">
        <v>547.70666666666671</v>
      </c>
      <c r="J18" s="11">
        <v>602.52666666666664</v>
      </c>
      <c r="K18" s="11">
        <v>654.27999999999986</v>
      </c>
      <c r="L18" s="11">
        <v>687.8366666666667</v>
      </c>
      <c r="M18" s="11">
        <v>705.46999999999991</v>
      </c>
      <c r="N18" s="11">
        <v>735.98666666666668</v>
      </c>
      <c r="O18" s="11">
        <v>751.29</v>
      </c>
      <c r="P18" s="11">
        <v>757.0233333333332</v>
      </c>
      <c r="Q18" s="11">
        <v>754.65000000000009</v>
      </c>
      <c r="R18" s="11">
        <v>744.20666666666659</v>
      </c>
      <c r="S18" s="11">
        <v>744.25666666666666</v>
      </c>
      <c r="T18" s="11">
        <v>758.62666666666667</v>
      </c>
      <c r="U18" s="11">
        <v>833.75666666666666</v>
      </c>
      <c r="V18" s="11">
        <v>858.89666666666665</v>
      </c>
      <c r="W18" s="11">
        <v>834.07666666666671</v>
      </c>
      <c r="X18" s="11">
        <v>773.40333333333331</v>
      </c>
      <c r="Y18" s="11">
        <v>694.23666666666668</v>
      </c>
      <c r="Z18" s="11">
        <v>635.95333333333338</v>
      </c>
      <c r="AA18" s="12">
        <f t="shared" si="0"/>
        <v>16404.733333333334</v>
      </c>
      <c r="AB18" s="13">
        <v>31</v>
      </c>
      <c r="AC18" s="13">
        <f t="shared" si="1"/>
        <v>508546.73333333334</v>
      </c>
    </row>
    <row r="19" spans="2:29" ht="14.25" customHeight="1">
      <c r="B19" s="10">
        <v>46266</v>
      </c>
      <c r="C19" s="11">
        <v>628.89333333333332</v>
      </c>
      <c r="D19" s="11">
        <v>556.16</v>
      </c>
      <c r="E19" s="11">
        <v>549.62</v>
      </c>
      <c r="F19" s="11">
        <v>535.66999999999996</v>
      </c>
      <c r="G19" s="11">
        <v>529.48666666666668</v>
      </c>
      <c r="H19" s="11">
        <v>530.71999999999991</v>
      </c>
      <c r="I19" s="11">
        <v>547.70666666666671</v>
      </c>
      <c r="J19" s="11">
        <v>602.52666666666664</v>
      </c>
      <c r="K19" s="11">
        <v>654.27999999999986</v>
      </c>
      <c r="L19" s="11">
        <v>687.8366666666667</v>
      </c>
      <c r="M19" s="11">
        <v>705.46999999999991</v>
      </c>
      <c r="N19" s="11">
        <v>735.98666666666668</v>
      </c>
      <c r="O19" s="11">
        <v>751.29</v>
      </c>
      <c r="P19" s="11">
        <v>757.0233333333332</v>
      </c>
      <c r="Q19" s="11">
        <v>754.65000000000009</v>
      </c>
      <c r="R19" s="11">
        <v>744.20666666666659</v>
      </c>
      <c r="S19" s="11">
        <v>744.25666666666666</v>
      </c>
      <c r="T19" s="11">
        <v>758.62666666666667</v>
      </c>
      <c r="U19" s="11">
        <v>833.75666666666666</v>
      </c>
      <c r="V19" s="11">
        <v>858.89666666666665</v>
      </c>
      <c r="W19" s="11">
        <v>834.07666666666671</v>
      </c>
      <c r="X19" s="11">
        <v>773.40333333333331</v>
      </c>
      <c r="Y19" s="11">
        <v>694.23666666666668</v>
      </c>
      <c r="Z19" s="11">
        <v>635.95333333333338</v>
      </c>
      <c r="AA19" s="12">
        <f t="shared" si="0"/>
        <v>16404.733333333334</v>
      </c>
      <c r="AB19" s="13">
        <v>30</v>
      </c>
      <c r="AC19" s="13">
        <f t="shared" si="1"/>
        <v>492142</v>
      </c>
    </row>
    <row r="20" spans="2:29" ht="14.25" customHeight="1">
      <c r="B20" s="10">
        <v>46296</v>
      </c>
      <c r="C20" s="11">
        <v>628.89333333333332</v>
      </c>
      <c r="D20" s="11">
        <v>556.16</v>
      </c>
      <c r="E20" s="11">
        <v>549.62</v>
      </c>
      <c r="F20" s="11">
        <v>535.66999999999996</v>
      </c>
      <c r="G20" s="11">
        <v>529.48666666666668</v>
      </c>
      <c r="H20" s="11">
        <v>530.71999999999991</v>
      </c>
      <c r="I20" s="11">
        <v>547.70666666666671</v>
      </c>
      <c r="J20" s="11">
        <v>602.52666666666664</v>
      </c>
      <c r="K20" s="11">
        <v>654.27999999999986</v>
      </c>
      <c r="L20" s="11">
        <v>687.8366666666667</v>
      </c>
      <c r="M20" s="11">
        <v>705.46999999999991</v>
      </c>
      <c r="N20" s="11">
        <v>735.98666666666668</v>
      </c>
      <c r="O20" s="11">
        <v>751.29</v>
      </c>
      <c r="P20" s="11">
        <v>757.0233333333332</v>
      </c>
      <c r="Q20" s="11">
        <v>754.65000000000009</v>
      </c>
      <c r="R20" s="11">
        <v>744.20666666666659</v>
      </c>
      <c r="S20" s="11">
        <v>744.25666666666666</v>
      </c>
      <c r="T20" s="11">
        <v>758.62666666666667</v>
      </c>
      <c r="U20" s="11">
        <v>833.75666666666666</v>
      </c>
      <c r="V20" s="11">
        <v>858.89666666666665</v>
      </c>
      <c r="W20" s="11">
        <v>834.07666666666671</v>
      </c>
      <c r="X20" s="11">
        <v>773.40333333333331</v>
      </c>
      <c r="Y20" s="11">
        <v>694.23666666666668</v>
      </c>
      <c r="Z20" s="11">
        <v>635.95333333333338</v>
      </c>
      <c r="AA20" s="12">
        <f t="shared" si="0"/>
        <v>16404.733333333334</v>
      </c>
      <c r="AB20" s="13">
        <v>31</v>
      </c>
      <c r="AC20" s="13">
        <f t="shared" si="1"/>
        <v>508546.73333333334</v>
      </c>
    </row>
    <row r="21" spans="2:29" ht="14.25" customHeight="1">
      <c r="B21" s="10">
        <v>46327</v>
      </c>
      <c r="C21" s="11">
        <v>628.89333333333332</v>
      </c>
      <c r="D21" s="11">
        <v>556.16</v>
      </c>
      <c r="E21" s="11">
        <v>549.62</v>
      </c>
      <c r="F21" s="11">
        <v>535.66999999999996</v>
      </c>
      <c r="G21" s="11">
        <v>529.48666666666668</v>
      </c>
      <c r="H21" s="11">
        <v>530.71999999999991</v>
      </c>
      <c r="I21" s="11">
        <v>547.70666666666671</v>
      </c>
      <c r="J21" s="11">
        <v>602.52666666666664</v>
      </c>
      <c r="K21" s="11">
        <v>654.27999999999986</v>
      </c>
      <c r="L21" s="11">
        <v>687.8366666666667</v>
      </c>
      <c r="M21" s="11">
        <v>705.46999999999991</v>
      </c>
      <c r="N21" s="11">
        <v>735.98666666666668</v>
      </c>
      <c r="O21" s="11">
        <v>751.29</v>
      </c>
      <c r="P21" s="11">
        <v>757.0233333333332</v>
      </c>
      <c r="Q21" s="11">
        <v>754.65000000000009</v>
      </c>
      <c r="R21" s="11">
        <v>744.20666666666659</v>
      </c>
      <c r="S21" s="11">
        <v>744.25666666666666</v>
      </c>
      <c r="T21" s="11">
        <v>758.62666666666667</v>
      </c>
      <c r="U21" s="11">
        <v>833.75666666666666</v>
      </c>
      <c r="V21" s="11">
        <v>858.89666666666665</v>
      </c>
      <c r="W21" s="11">
        <v>834.07666666666671</v>
      </c>
      <c r="X21" s="11">
        <v>773.40333333333331</v>
      </c>
      <c r="Y21" s="11">
        <v>694.23666666666668</v>
      </c>
      <c r="Z21" s="11">
        <v>635.95333333333338</v>
      </c>
      <c r="AA21" s="12">
        <f t="shared" si="0"/>
        <v>16404.733333333334</v>
      </c>
      <c r="AB21" s="14">
        <v>30</v>
      </c>
      <c r="AC21" s="13">
        <f t="shared" si="1"/>
        <v>492142</v>
      </c>
    </row>
    <row r="22" spans="2:29" ht="14.25" customHeight="1">
      <c r="B22" s="10">
        <v>46357</v>
      </c>
      <c r="C22" s="11">
        <v>628.89333333333332</v>
      </c>
      <c r="D22" s="11">
        <v>556.16</v>
      </c>
      <c r="E22" s="11">
        <v>549.62</v>
      </c>
      <c r="F22" s="11">
        <v>535.66999999999996</v>
      </c>
      <c r="G22" s="11">
        <v>529.48666666666668</v>
      </c>
      <c r="H22" s="11">
        <v>530.71999999999991</v>
      </c>
      <c r="I22" s="11">
        <v>547.70666666666671</v>
      </c>
      <c r="J22" s="11">
        <v>602.52666666666664</v>
      </c>
      <c r="K22" s="11">
        <v>654.27999999999986</v>
      </c>
      <c r="L22" s="11">
        <v>687.8366666666667</v>
      </c>
      <c r="M22" s="11">
        <v>705.46999999999991</v>
      </c>
      <c r="N22" s="11">
        <v>735.98666666666668</v>
      </c>
      <c r="O22" s="11">
        <v>751.29</v>
      </c>
      <c r="P22" s="11">
        <v>757.0233333333332</v>
      </c>
      <c r="Q22" s="11">
        <v>754.65000000000009</v>
      </c>
      <c r="R22" s="11">
        <v>744.20666666666659</v>
      </c>
      <c r="S22" s="11">
        <v>744.25666666666666</v>
      </c>
      <c r="T22" s="11">
        <v>758.62666666666667</v>
      </c>
      <c r="U22" s="11">
        <v>833.75666666666666</v>
      </c>
      <c r="V22" s="11">
        <v>858.89666666666665</v>
      </c>
      <c r="W22" s="11">
        <v>834.07666666666671</v>
      </c>
      <c r="X22" s="11">
        <v>773.40333333333331</v>
      </c>
      <c r="Y22" s="11">
        <v>694.23666666666668</v>
      </c>
      <c r="Z22" s="11">
        <v>635.95333333333338</v>
      </c>
      <c r="AA22" s="12">
        <f t="shared" si="0"/>
        <v>16404.733333333334</v>
      </c>
      <c r="AB22" s="13">
        <v>31</v>
      </c>
      <c r="AC22" s="13">
        <f t="shared" si="1"/>
        <v>508546.73333333334</v>
      </c>
    </row>
    <row r="23" spans="2:29" ht="14.25" customHeight="1">
      <c r="B23" s="10">
        <v>46388</v>
      </c>
      <c r="C23" s="11">
        <v>628.89333333333332</v>
      </c>
      <c r="D23" s="11">
        <v>556.16</v>
      </c>
      <c r="E23" s="11">
        <v>549.62</v>
      </c>
      <c r="F23" s="11">
        <v>535.66999999999996</v>
      </c>
      <c r="G23" s="11">
        <v>529.48666666666668</v>
      </c>
      <c r="H23" s="11">
        <v>530.71999999999991</v>
      </c>
      <c r="I23" s="11">
        <v>547.70666666666671</v>
      </c>
      <c r="J23" s="11">
        <v>602.52666666666664</v>
      </c>
      <c r="K23" s="11">
        <v>654.27999999999986</v>
      </c>
      <c r="L23" s="11">
        <v>687.8366666666667</v>
      </c>
      <c r="M23" s="11">
        <v>705.46999999999991</v>
      </c>
      <c r="N23" s="11">
        <v>735.98666666666668</v>
      </c>
      <c r="O23" s="11">
        <v>751.29</v>
      </c>
      <c r="P23" s="11">
        <v>757.0233333333332</v>
      </c>
      <c r="Q23" s="11">
        <v>754.65000000000009</v>
      </c>
      <c r="R23" s="11">
        <v>744.20666666666659</v>
      </c>
      <c r="S23" s="11">
        <v>744.25666666666666</v>
      </c>
      <c r="T23" s="11">
        <v>758.62666666666667</v>
      </c>
      <c r="U23" s="11">
        <v>833.75666666666666</v>
      </c>
      <c r="V23" s="11">
        <v>858.89666666666665</v>
      </c>
      <c r="W23" s="11">
        <v>834.07666666666671</v>
      </c>
      <c r="X23" s="11">
        <v>773.40333333333331</v>
      </c>
      <c r="Y23" s="11">
        <v>694.23666666666668</v>
      </c>
      <c r="Z23" s="11">
        <v>635.95333333333338</v>
      </c>
      <c r="AA23" s="12">
        <f t="shared" si="0"/>
        <v>16404.733333333334</v>
      </c>
      <c r="AB23" s="13">
        <v>31</v>
      </c>
      <c r="AC23" s="13">
        <f t="shared" si="1"/>
        <v>508546.73333333334</v>
      </c>
    </row>
    <row r="24" spans="2:29" ht="14.25" customHeight="1">
      <c r="B24" s="10">
        <v>46419</v>
      </c>
      <c r="C24" s="11">
        <v>628.89333333333332</v>
      </c>
      <c r="D24" s="11">
        <v>556.16</v>
      </c>
      <c r="E24" s="11">
        <v>549.62</v>
      </c>
      <c r="F24" s="11">
        <v>535.66999999999996</v>
      </c>
      <c r="G24" s="11">
        <v>529.48666666666668</v>
      </c>
      <c r="H24" s="11">
        <v>530.71999999999991</v>
      </c>
      <c r="I24" s="11">
        <v>547.70666666666671</v>
      </c>
      <c r="J24" s="11">
        <v>602.52666666666664</v>
      </c>
      <c r="K24" s="11">
        <v>654.27999999999986</v>
      </c>
      <c r="L24" s="11">
        <v>687.8366666666667</v>
      </c>
      <c r="M24" s="11">
        <v>705.46999999999991</v>
      </c>
      <c r="N24" s="11">
        <v>735.98666666666668</v>
      </c>
      <c r="O24" s="11">
        <v>751.29</v>
      </c>
      <c r="P24" s="11">
        <v>757.0233333333332</v>
      </c>
      <c r="Q24" s="11">
        <v>754.65000000000009</v>
      </c>
      <c r="R24" s="11">
        <v>744.20666666666659</v>
      </c>
      <c r="S24" s="11">
        <v>744.25666666666666</v>
      </c>
      <c r="T24" s="11">
        <v>758.62666666666667</v>
      </c>
      <c r="U24" s="11">
        <v>833.75666666666666</v>
      </c>
      <c r="V24" s="11">
        <v>858.89666666666665</v>
      </c>
      <c r="W24" s="11">
        <v>834.07666666666671</v>
      </c>
      <c r="X24" s="11">
        <v>773.40333333333331</v>
      </c>
      <c r="Y24" s="11">
        <v>694.23666666666668</v>
      </c>
      <c r="Z24" s="11">
        <v>635.95333333333338</v>
      </c>
      <c r="AA24" s="12">
        <f t="shared" si="0"/>
        <v>16404.733333333334</v>
      </c>
      <c r="AB24" s="13">
        <v>11</v>
      </c>
      <c r="AC24" s="13">
        <f t="shared" si="1"/>
        <v>180452.06666666668</v>
      </c>
    </row>
    <row r="25" spans="2:29" ht="14.25" customHeight="1">
      <c r="AA25" s="30" t="s">
        <v>28</v>
      </c>
      <c r="AB25" s="31"/>
      <c r="AC25" s="15">
        <f>SUM(AC12:AC24)</f>
        <v>5905704</v>
      </c>
    </row>
    <row r="26" spans="2:29" ht="14.25" customHeight="1"/>
    <row r="27" spans="2:29" ht="14.25" customHeight="1"/>
    <row r="28" spans="2:29" ht="14.25" customHeight="1"/>
    <row r="29" spans="2:29" ht="14.25" customHeight="1"/>
    <row r="30" spans="2:29" ht="14.25" customHeight="1"/>
    <row r="31" spans="2:29" ht="14.25" customHeight="1"/>
    <row r="32" spans="2:2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7">
    <mergeCell ref="AA25:AB25"/>
    <mergeCell ref="B2:AC2"/>
    <mergeCell ref="B3:AC3"/>
    <mergeCell ref="B4:AC4"/>
    <mergeCell ref="B5:AC5"/>
    <mergeCell ref="B6:AC6"/>
    <mergeCell ref="B10:AC10"/>
  </mergeCells>
  <pageMargins left="0.7" right="0.7" top="0.75" bottom="0.75" header="0" footer="0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3"/>
  <sheetViews>
    <sheetView tabSelected="1" zoomScale="80" zoomScaleNormal="80" workbookViewId="0">
      <selection activeCell="F23" sqref="F23:F24"/>
    </sheetView>
  </sheetViews>
  <sheetFormatPr baseColWidth="10" defaultColWidth="14.453125" defaultRowHeight="15" customHeight="1"/>
  <cols>
    <col min="1" max="1" width="5.54296875" customWidth="1"/>
    <col min="2" max="2" width="10.7265625" customWidth="1"/>
    <col min="3" max="3" width="14" customWidth="1"/>
    <col min="4" max="4" width="12" customWidth="1"/>
    <col min="5" max="5" width="12.453125" customWidth="1"/>
    <col min="6" max="6" width="12.81640625" customWidth="1"/>
    <col min="7" max="7" width="0.453125" hidden="1" customWidth="1"/>
    <col min="8" max="21" width="10.7265625" customWidth="1"/>
  </cols>
  <sheetData>
    <row r="1" spans="1:7" ht="14.25" customHeight="1"/>
    <row r="2" spans="1:7" ht="14.25" customHeight="1"/>
    <row r="3" spans="1:7" ht="14.25" customHeight="1">
      <c r="B3" s="35" t="s">
        <v>39</v>
      </c>
      <c r="C3" s="33"/>
      <c r="D3" s="33"/>
      <c r="E3" s="33"/>
      <c r="F3" s="33"/>
      <c r="G3" s="33"/>
    </row>
    <row r="4" spans="1:7" ht="14.25" customHeight="1">
      <c r="A4" s="16"/>
      <c r="B4" s="35" t="s">
        <v>42</v>
      </c>
      <c r="C4" s="33"/>
      <c r="D4" s="33"/>
      <c r="E4" s="33"/>
      <c r="F4" s="33"/>
      <c r="G4" s="33"/>
    </row>
    <row r="5" spans="1:7" ht="14.25" customHeight="1">
      <c r="A5" s="16"/>
      <c r="B5" s="38" t="s">
        <v>49</v>
      </c>
      <c r="C5" s="33"/>
      <c r="D5" s="33"/>
      <c r="E5" s="33"/>
      <c r="F5" s="33"/>
      <c r="G5" s="33"/>
    </row>
    <row r="6" spans="1:7" ht="14.25" customHeight="1">
      <c r="A6" s="16"/>
      <c r="B6" s="38" t="s">
        <v>29</v>
      </c>
      <c r="C6" s="33"/>
      <c r="D6" s="33"/>
      <c r="E6" s="33"/>
      <c r="F6" s="33"/>
      <c r="G6" s="33"/>
    </row>
    <row r="7" spans="1:7" ht="14.25" customHeight="1">
      <c r="A7" s="16"/>
      <c r="B7" s="38" t="s">
        <v>30</v>
      </c>
      <c r="C7" s="33"/>
      <c r="D7" s="33"/>
      <c r="E7" s="33"/>
      <c r="F7" s="33"/>
      <c r="G7" s="33"/>
    </row>
    <row r="8" spans="1:7" ht="14.25" customHeight="1">
      <c r="A8" s="16"/>
      <c r="B8" s="35" t="s">
        <v>43</v>
      </c>
      <c r="C8" s="33"/>
      <c r="D8" s="33"/>
      <c r="E8" s="33"/>
      <c r="F8" s="33"/>
      <c r="G8" s="33"/>
    </row>
    <row r="9" spans="1:7" ht="14.25" customHeight="1" thickBot="1">
      <c r="A9" s="16"/>
      <c r="B9" s="17"/>
      <c r="C9" s="17"/>
      <c r="D9" s="17"/>
      <c r="E9" s="17"/>
      <c r="F9" s="17"/>
      <c r="G9" s="17"/>
    </row>
    <row r="10" spans="1:7" ht="14.25" customHeight="1" thickBot="1">
      <c r="A10" s="16"/>
      <c r="B10" s="39" t="s">
        <v>46</v>
      </c>
      <c r="C10" s="40"/>
      <c r="D10" s="40"/>
      <c r="E10" s="40"/>
      <c r="F10" s="41"/>
      <c r="G10" s="17"/>
    </row>
    <row r="11" spans="1:7" ht="26.5" thickBot="1">
      <c r="A11" s="16"/>
      <c r="B11" s="45" t="s">
        <v>0</v>
      </c>
      <c r="C11" s="18" t="s">
        <v>31</v>
      </c>
      <c r="D11" s="18" t="s">
        <v>32</v>
      </c>
      <c r="E11" s="46" t="s">
        <v>33</v>
      </c>
      <c r="F11" s="19" t="s">
        <v>34</v>
      </c>
      <c r="G11" s="17"/>
    </row>
    <row r="12" spans="1:7" ht="14.25" customHeight="1">
      <c r="A12" s="16"/>
      <c r="B12" s="52">
        <v>46054</v>
      </c>
      <c r="C12" s="53">
        <f>'Cant. Requeridas Producto 1'!AC12</f>
        <v>196856.8</v>
      </c>
      <c r="D12" s="54"/>
      <c r="E12" s="63">
        <f>+$D$12*C12</f>
        <v>0</v>
      </c>
      <c r="F12" s="55"/>
      <c r="G12" s="17"/>
    </row>
    <row r="13" spans="1:7" ht="14.25" customHeight="1">
      <c r="A13" s="16"/>
      <c r="B13" s="20">
        <v>46082</v>
      </c>
      <c r="C13" s="21">
        <f>'Cant. Requeridas Producto 1'!AC13</f>
        <v>508546.73333333334</v>
      </c>
      <c r="D13" s="43"/>
      <c r="E13" s="64">
        <f t="shared" ref="E13:E22" si="0">+$D$12*C13</f>
        <v>0</v>
      </c>
      <c r="F13" s="44"/>
      <c r="G13" s="17"/>
    </row>
    <row r="14" spans="1:7" ht="14.25" customHeight="1">
      <c r="A14" s="16"/>
      <c r="B14" s="20">
        <v>46113</v>
      </c>
      <c r="C14" s="21">
        <f>'Cant. Requeridas Producto 1'!AC14</f>
        <v>492142</v>
      </c>
      <c r="D14" s="43"/>
      <c r="E14" s="64">
        <f t="shared" si="0"/>
        <v>0</v>
      </c>
      <c r="F14" s="44"/>
      <c r="G14" s="17"/>
    </row>
    <row r="15" spans="1:7" ht="14.25" customHeight="1">
      <c r="A15" s="16"/>
      <c r="B15" s="20">
        <v>46143</v>
      </c>
      <c r="C15" s="21">
        <f>'Cant. Requeridas Producto 1'!AC15</f>
        <v>508546.73333333334</v>
      </c>
      <c r="D15" s="43"/>
      <c r="E15" s="64">
        <f t="shared" si="0"/>
        <v>0</v>
      </c>
      <c r="F15" s="44"/>
      <c r="G15" s="17"/>
    </row>
    <row r="16" spans="1:7" ht="14.25" customHeight="1">
      <c r="A16" s="16"/>
      <c r="B16" s="20">
        <v>46174</v>
      </c>
      <c r="C16" s="21">
        <f>'Cant. Requeridas Producto 1'!AC16</f>
        <v>492142</v>
      </c>
      <c r="D16" s="43"/>
      <c r="E16" s="64">
        <f t="shared" si="0"/>
        <v>0</v>
      </c>
      <c r="F16" s="44"/>
      <c r="G16" s="17"/>
    </row>
    <row r="17" spans="1:7" ht="14.25" customHeight="1">
      <c r="A17" s="16"/>
      <c r="B17" s="20">
        <v>46204</v>
      </c>
      <c r="C17" s="21">
        <f>'Cant. Requeridas Producto 1'!AC17</f>
        <v>508546.73333333334</v>
      </c>
      <c r="D17" s="43"/>
      <c r="E17" s="64">
        <f t="shared" si="0"/>
        <v>0</v>
      </c>
      <c r="F17" s="44"/>
      <c r="G17" s="17"/>
    </row>
    <row r="18" spans="1:7" ht="14.25" customHeight="1">
      <c r="A18" s="16"/>
      <c r="B18" s="20">
        <v>46235</v>
      </c>
      <c r="C18" s="21">
        <f>'Cant. Requeridas Producto 1'!AC18</f>
        <v>508546.73333333334</v>
      </c>
      <c r="D18" s="43"/>
      <c r="E18" s="64">
        <f t="shared" si="0"/>
        <v>0</v>
      </c>
      <c r="F18" s="44"/>
      <c r="G18" s="17"/>
    </row>
    <row r="19" spans="1:7" ht="14.25" customHeight="1">
      <c r="A19" s="16"/>
      <c r="B19" s="20">
        <v>46266</v>
      </c>
      <c r="C19" s="21">
        <f>'Cant. Requeridas Producto 1'!AC19</f>
        <v>492142</v>
      </c>
      <c r="D19" s="43"/>
      <c r="E19" s="64">
        <f t="shared" si="0"/>
        <v>0</v>
      </c>
      <c r="F19" s="44"/>
      <c r="G19" s="17"/>
    </row>
    <row r="20" spans="1:7" ht="14.25" customHeight="1">
      <c r="A20" s="16"/>
      <c r="B20" s="20">
        <v>46296</v>
      </c>
      <c r="C20" s="21">
        <f>'Cant. Requeridas Producto 1'!AC20</f>
        <v>508546.73333333334</v>
      </c>
      <c r="D20" s="43"/>
      <c r="E20" s="64">
        <f t="shared" si="0"/>
        <v>0</v>
      </c>
      <c r="F20" s="44"/>
      <c r="G20" s="17"/>
    </row>
    <row r="21" spans="1:7" ht="14.25" customHeight="1">
      <c r="A21" s="16"/>
      <c r="B21" s="20">
        <v>46327</v>
      </c>
      <c r="C21" s="21">
        <f>'Cant. Requeridas Producto 1'!AC21</f>
        <v>492142</v>
      </c>
      <c r="D21" s="43"/>
      <c r="E21" s="64">
        <f t="shared" si="0"/>
        <v>0</v>
      </c>
      <c r="F21" s="44"/>
      <c r="G21" s="17"/>
    </row>
    <row r="22" spans="1:7" ht="14.25" customHeight="1" thickBot="1">
      <c r="A22" s="16"/>
      <c r="B22" s="56">
        <v>46357</v>
      </c>
      <c r="C22" s="57">
        <f>'Cant. Requeridas Producto 1'!AC22</f>
        <v>508546.73333333334</v>
      </c>
      <c r="D22" s="58"/>
      <c r="E22" s="65">
        <f t="shared" si="0"/>
        <v>0</v>
      </c>
      <c r="F22" s="60"/>
      <c r="G22" s="17"/>
    </row>
    <row r="23" spans="1:7" ht="14.25" customHeight="1">
      <c r="A23" s="16"/>
      <c r="B23" s="47">
        <v>46388</v>
      </c>
      <c r="C23" s="48">
        <f>'Cant. Requeridas Producto 1'!AC23</f>
        <v>508546.73333333334</v>
      </c>
      <c r="D23" s="49"/>
      <c r="E23" s="50">
        <f>+D23*C23</f>
        <v>0</v>
      </c>
      <c r="F23" s="51"/>
      <c r="G23" s="17"/>
    </row>
    <row r="24" spans="1:7" ht="14.25" customHeight="1" thickBot="1">
      <c r="A24" s="16"/>
      <c r="B24" s="56">
        <v>46419</v>
      </c>
      <c r="C24" s="57">
        <f>'Cant. Requeridas Producto 1'!AC24</f>
        <v>180452.06666666668</v>
      </c>
      <c r="D24" s="61"/>
      <c r="E24" s="59">
        <f>+D23*C24</f>
        <v>0</v>
      </c>
      <c r="F24" s="62"/>
      <c r="G24" s="17"/>
    </row>
    <row r="25" spans="1:7" ht="14.25" customHeight="1" thickBot="1">
      <c r="A25" s="16"/>
      <c r="B25" s="22" t="s">
        <v>35</v>
      </c>
      <c r="C25" s="23">
        <f>SUM(C12:C24)</f>
        <v>5905704</v>
      </c>
      <c r="D25" s="24"/>
      <c r="E25" s="25">
        <f>SUM(E12:E24)</f>
        <v>0</v>
      </c>
      <c r="F25" s="26"/>
      <c r="G25" s="17"/>
    </row>
    <row r="26" spans="1:7" ht="14.25" customHeight="1">
      <c r="A26" s="16"/>
      <c r="B26" s="17"/>
      <c r="C26" s="17"/>
      <c r="D26" s="17"/>
      <c r="E26" s="17"/>
      <c r="F26" s="17"/>
      <c r="G26" s="17"/>
    </row>
    <row r="27" spans="1:7" ht="14.25" customHeight="1">
      <c r="E27" s="27"/>
    </row>
    <row r="28" spans="1:7" ht="14.25" customHeight="1">
      <c r="B28" s="42" t="s">
        <v>36</v>
      </c>
      <c r="C28" s="33"/>
      <c r="D28" s="33"/>
      <c r="E28" s="33"/>
      <c r="F28" s="33"/>
      <c r="G28" s="28"/>
    </row>
    <row r="29" spans="1:7" ht="14.5">
      <c r="B29" s="36" t="s">
        <v>47</v>
      </c>
      <c r="C29" s="33"/>
      <c r="D29" s="33"/>
      <c r="E29" s="33"/>
      <c r="F29" s="33"/>
      <c r="G29" s="33"/>
    </row>
    <row r="30" spans="1:7" ht="32.25" customHeight="1">
      <c r="B30" s="36" t="s">
        <v>48</v>
      </c>
      <c r="C30" s="33"/>
      <c r="D30" s="33"/>
      <c r="E30" s="33"/>
      <c r="F30" s="33"/>
      <c r="G30" s="33"/>
    </row>
    <row r="31" spans="1:7" ht="14.25" customHeight="1">
      <c r="B31" s="37"/>
      <c r="C31" s="33"/>
      <c r="D31" s="33"/>
      <c r="E31" s="33"/>
      <c r="F31" s="33"/>
      <c r="G31" s="33"/>
    </row>
    <row r="32" spans="1:7" ht="14.25" customHeight="1"/>
    <row r="33" spans="2:3" ht="14.25" customHeight="1"/>
    <row r="34" spans="2:3" ht="14.25" customHeight="1">
      <c r="B34" s="29"/>
      <c r="C34" s="29"/>
    </row>
    <row r="35" spans="2:3" ht="14.25" customHeight="1">
      <c r="B35" s="4" t="s">
        <v>37</v>
      </c>
    </row>
    <row r="36" spans="2:3" ht="14.25" customHeight="1">
      <c r="B36" s="4" t="s">
        <v>38</v>
      </c>
    </row>
    <row r="37" spans="2:3" ht="14.25" customHeight="1"/>
    <row r="38" spans="2:3" ht="14.25" customHeight="1"/>
    <row r="39" spans="2:3" ht="14.25" customHeight="1"/>
    <row r="40" spans="2:3" ht="14.25" customHeight="1"/>
    <row r="41" spans="2:3" ht="14.25" customHeight="1"/>
    <row r="42" spans="2:3" ht="14.25" customHeight="1"/>
    <row r="43" spans="2:3" ht="14.25" customHeight="1"/>
    <row r="44" spans="2:3" ht="14.25" customHeight="1"/>
    <row r="45" spans="2:3" ht="14.25" customHeight="1"/>
    <row r="46" spans="2:3" ht="14.25" customHeight="1"/>
    <row r="47" spans="2:3" ht="14.25" customHeight="1"/>
    <row r="48" spans="2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mergeCells count="15">
    <mergeCell ref="B31:G31"/>
    <mergeCell ref="B4:G4"/>
    <mergeCell ref="B5:G5"/>
    <mergeCell ref="B6:G6"/>
    <mergeCell ref="B7:G7"/>
    <mergeCell ref="B8:G8"/>
    <mergeCell ref="B10:F10"/>
    <mergeCell ref="B28:F28"/>
    <mergeCell ref="D12:D22"/>
    <mergeCell ref="F12:F22"/>
    <mergeCell ref="B3:G3"/>
    <mergeCell ref="D23:D24"/>
    <mergeCell ref="F23:F24"/>
    <mergeCell ref="B29:G29"/>
    <mergeCell ref="B30:G30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Cant. Requeridas Producto 1</vt:lpstr>
      <vt:lpstr>Oferta Producto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 of trading BIA</dc:creator>
  <cp:lastModifiedBy>SM ENERGY SAS .</cp:lastModifiedBy>
  <dcterms:created xsi:type="dcterms:W3CDTF">2022-08-03T18:43:37Z</dcterms:created>
  <dcterms:modified xsi:type="dcterms:W3CDTF">2026-01-08T00:14:37Z</dcterms:modified>
</cp:coreProperties>
</file>