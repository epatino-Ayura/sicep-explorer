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. Requeridas Producto 1" sheetId="1" r:id="rId4"/>
    <sheet state="visible" name="Oferta Producto 1" sheetId="2" r:id="rId5"/>
    <sheet state="visible" name="Cant. Requeridas Producto 2" sheetId="3" r:id="rId6"/>
    <sheet state="visible" name="Oferta Producto 2" sheetId="4" r:id="rId7"/>
    <sheet state="visible" name="Cant. Requeridas Producto 3" sheetId="5" r:id="rId8"/>
    <sheet state="visible" name="Oferta Producto 3" sheetId="6" r:id="rId9"/>
  </sheets>
  <definedNames/>
  <calcPr/>
  <extLst>
    <ext uri="GoogleSheetsCustomDataVersion2">
      <go:sheetsCustomData xmlns:go="http://customooxmlschemas.google.com/" r:id="rId10" roundtripDataChecksum="6YO/RmNvb2qupubjkLgU+cSS8J1sWWLWSObbKLOOh+g="/>
    </ext>
  </extLst>
</workbook>
</file>

<file path=xl/sharedStrings.xml><?xml version="1.0" encoding="utf-8"?>
<sst xmlns="http://schemas.openxmlformats.org/spreadsheetml/2006/main" count="150" uniqueCount="57">
  <si>
    <t>ANEXO 3 - CANTIDADES DE  ENERGÍA SOLICITADA EN kWh</t>
  </si>
  <si>
    <t>PRODUCTO 1 - PAGUE LO CONTRATADO</t>
  </si>
  <si>
    <t>Periodo: 1 de enero 2026 a 31 diciembre de 2026</t>
  </si>
  <si>
    <t>CONVOCATORIA PÚBLICA N° CP-BIAC2025-004 - BIA ENERGY S.A.S. E.S.P.</t>
  </si>
  <si>
    <t>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</si>
  <si>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</si>
  <si>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</si>
  <si>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</si>
  <si>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</si>
  <si>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</si>
  <si>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</si>
  <si>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</si>
  <si>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</si>
  <si>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</si>
  <si>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</si>
  <si>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</si>
  <si>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</si>
  <si>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</si>
  <si>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</si>
  <si>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</si>
  <si>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</si>
  <si>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</si>
  <si>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</si>
  <si>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</si>
  <si>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</si>
  <si>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</si>
  <si>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</si>
  <si>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</si>
  <si>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</si>
  <si>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DÍA</t>
  </si>
  <si>
    <t>DÍAS</t>
  </si>
  <si>
    <t>TOTAL MES</t>
  </si>
  <si>
    <t>TOTAL</t>
  </si>
  <si>
    <t>ANEXO 4. FORMATO DE OFERTA - PRODUCTO 1</t>
  </si>
  <si>
    <t xml:space="preserve">NOMBRE DEL OFERENTE                                        
</t>
  </si>
  <si>
    <t>Precios y cantidades de la energía ofertada</t>
  </si>
  <si>
    <t>En pesos de abril de 2025</t>
  </si>
  <si>
    <t>OPCIÓN 24 HORAS</t>
  </si>
  <si>
    <t>E. Solicitada
[kWh-mes]</t>
  </si>
  <si>
    <t>% E. Ofertada</t>
  </si>
  <si>
    <t>E. Ofertada
[kWh-mes]</t>
  </si>
  <si>
    <t>$/kWh</t>
  </si>
  <si>
    <t>El oferente debe indicar si acepta adjudicaciones parciales o no</t>
  </si>
  <si>
    <t>• Para el año 2026, se debe presentar oferta con un único porcentaje.</t>
  </si>
  <si>
    <t>• El precio ofertado debe ser único para el año del producto, expresado en $/kWh, con hasta dos (2) decimales.</t>
  </si>
  <si>
    <t>Leonardo Velasquez</t>
  </si>
  <si>
    <t>BIA ENERGY S.A.S. E.S.P.</t>
  </si>
  <si>
    <t>PRODUCTO 2 - PAGUE LO CONTRATADO</t>
  </si>
  <si>
    <t>Total producto</t>
  </si>
  <si>
    <t>ANEXO 4. FORMATO DE OFERTA - PRODUCTO 2</t>
  </si>
  <si>
    <t>• Para el 2026, se puede presentar oferta con diferente porcentaje cada mes.</t>
  </si>
  <si>
    <t>• El precio ofertado podra ser diferente para cada mes del producto, expresado en $/kWh, con hasta dos (2) decimales.</t>
  </si>
  <si>
    <t>PRODUCTO 3 - PAGUE LO CONTRATADO</t>
  </si>
  <si>
    <t>Periodo: 1 de enero 2027 a 31 diciembre de 2027</t>
  </si>
  <si>
    <t>ANEXO 4. FORMATO DE OFERTA - PRODUCTO 3</t>
  </si>
  <si>
    <t>• Se debe presentar oferta con un único porcentaje de energía para el año solicitado</t>
  </si>
  <si>
    <t>• El precio ofertado debe ser único para el año del producto, expresado en $/kWh, con hasta dos (2) decimales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</si>
</sst>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_-* #,##0\ _€_-;\-* #,##0\ _€_-;_-* &quot;-&quot;??\ _€_-;_-@"/>
    <numFmt numFmtId="166" formatCode="_-* #,##0_-;\-* #,##0_-;_-* &quot;-&quot;_-;_-@"/>
    <numFmt numFmtId="167" formatCode="_-* #,##0.00_-;\-* #,##0.00_-;_-* &quot;-&quot;??_-;_-@"/>
  </numFmts>
  <fonts count="15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color theme="1"/>
      <name val="Calibri"/>
    </font>
    <font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Din-regular"/>
    </font>
    <font>
      <b/>
      <sz val="10.0"/>
      <color rgb="FF000000"/>
      <name val="Arial"/>
    </font>
    <font/>
    <font>
      <color theme="1"/>
      <name val="Din-regular"/>
    </font>
    <font>
      <color theme="1"/>
      <name val="Arial"/>
    </font>
    <font>
      <b/>
      <sz val="11.0"/>
      <color theme="1"/>
      <name val="Calibri"/>
    </font>
    <font>
      <b/>
      <color theme="1"/>
      <name val="Din-regular"/>
    </font>
  </fonts>
  <fills count="2">
    <fill>
      <patternFill patternType="none"/>
    </fill>
    <fill>
      <patternFill patternType="lightGray"/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3" numFmtId="17" xfId="0" applyBorder="1" applyFont="1" applyNumberFormat="1"/>
    <xf borderId="1" fillId="0" fontId="3" numFmtId="0" xfId="0" applyBorder="1" applyFont="1"/>
    <xf borderId="1" fillId="0" fontId="3" numFmtId="164" xfId="0" applyBorder="1" applyFont="1" applyNumberFormat="1"/>
    <xf borderId="2" fillId="0" fontId="3" numFmtId="164" xfId="0" applyBorder="1" applyFont="1" applyNumberFormat="1"/>
    <xf borderId="1" fillId="0" fontId="4" numFmtId="0" xfId="0" applyAlignment="1" applyBorder="1" applyFont="1">
      <alignment horizontal="center"/>
    </xf>
    <xf borderId="1" fillId="0" fontId="5" numFmtId="164" xfId="0" applyBorder="1" applyFont="1" applyNumberFormat="1"/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3" fillId="0" fontId="8" numFmtId="0" xfId="0" applyAlignment="1" applyBorder="1" applyFont="1">
      <alignment horizontal="center"/>
    </xf>
    <xf borderId="4" fillId="0" fontId="10" numFmtId="0" xfId="0" applyBorder="1" applyFont="1"/>
    <xf borderId="5" fillId="0" fontId="10" numFmtId="0" xfId="0" applyBorder="1" applyFont="1"/>
    <xf borderId="6" fillId="0" fontId="6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0" fontId="8" numFmtId="17" xfId="0" applyAlignment="1" applyBorder="1" applyFont="1" applyNumberFormat="1">
      <alignment horizontal="center" vertical="center"/>
    </xf>
    <xf borderId="10" fillId="0" fontId="11" numFmtId="165" xfId="0" applyAlignment="1" applyBorder="1" applyFont="1" applyNumberFormat="1">
      <alignment horizontal="center"/>
    </xf>
    <xf borderId="11" fillId="0" fontId="7" numFmtId="10" xfId="0" applyAlignment="1" applyBorder="1" applyFont="1" applyNumberFormat="1">
      <alignment horizontal="center" vertical="center"/>
    </xf>
    <xf borderId="10" fillId="0" fontId="12" numFmtId="165" xfId="0" applyAlignment="1" applyBorder="1" applyFont="1" applyNumberFormat="1">
      <alignment horizontal="center"/>
    </xf>
    <xf borderId="11" fillId="0" fontId="7" numFmtId="0" xfId="0" applyAlignment="1" applyBorder="1" applyFont="1">
      <alignment horizontal="center" vertical="center"/>
    </xf>
    <xf borderId="12" fillId="0" fontId="10" numFmtId="0" xfId="0" applyBorder="1" applyFont="1"/>
    <xf borderId="13" fillId="0" fontId="10" numFmtId="0" xfId="0" applyBorder="1" applyFont="1"/>
    <xf borderId="14" fillId="0" fontId="8" numFmtId="17" xfId="0" applyAlignment="1" applyBorder="1" applyFont="1" applyNumberFormat="1">
      <alignment horizontal="left" vertical="center"/>
    </xf>
    <xf borderId="14" fillId="0" fontId="8" numFmtId="166" xfId="0" applyAlignment="1" applyBorder="1" applyFont="1" applyNumberFormat="1">
      <alignment horizontal="center" vertical="center"/>
    </xf>
    <xf borderId="14" fillId="0" fontId="7" numFmtId="0" xfId="0" applyBorder="1" applyFont="1"/>
    <xf borderId="0" fillId="0" fontId="8" numFmtId="4" xfId="0" applyAlignment="1" applyFont="1" applyNumberFormat="1">
      <alignment horizontal="center"/>
    </xf>
    <xf borderId="0" fillId="0" fontId="5" numFmtId="4" xfId="0" applyFont="1" applyNumberFormat="1"/>
    <xf borderId="0" fillId="0" fontId="3" numFmtId="0" xfId="0" applyAlignment="1" applyFont="1">
      <alignment horizontal="left" shrinkToFit="0" wrapText="1"/>
    </xf>
    <xf borderId="15" fillId="0" fontId="3" numFmtId="0" xfId="0" applyBorder="1" applyFont="1"/>
    <xf borderId="0" fillId="0" fontId="3" numFmtId="0" xfId="0" applyAlignment="1" applyFont="1">
      <alignment shrinkToFit="0" wrapText="1"/>
    </xf>
    <xf borderId="16" fillId="0" fontId="3" numFmtId="0" xfId="0" applyBorder="1" applyFont="1"/>
    <xf borderId="0" fillId="0" fontId="3" numFmtId="0" xfId="0" applyAlignment="1" applyFont="1">
      <alignment vertical="bottom"/>
    </xf>
    <xf borderId="17" fillId="0" fontId="13" numFmtId="0" xfId="0" applyAlignment="1" applyBorder="1" applyFont="1">
      <alignment horizontal="center"/>
    </xf>
    <xf borderId="18" fillId="0" fontId="10" numFmtId="0" xfId="0" applyBorder="1" applyFont="1"/>
    <xf borderId="19" fillId="0" fontId="13" numFmtId="164" xfId="0" applyBorder="1" applyFont="1" applyNumberFormat="1"/>
    <xf borderId="20" fillId="0" fontId="6" numFmtId="0" xfId="0" applyAlignment="1" applyBorder="1" applyFont="1">
      <alignment horizontal="center" shrinkToFit="0" vertical="center" wrapText="1"/>
    </xf>
    <xf borderId="21" fillId="0" fontId="8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2" fillId="0" fontId="14" numFmtId="17" xfId="0" applyAlignment="1" applyBorder="1" applyFont="1" applyNumberFormat="1">
      <alignment horizontal="center"/>
    </xf>
    <xf borderId="23" fillId="0" fontId="11" numFmtId="165" xfId="0" applyAlignment="1" applyBorder="1" applyFont="1" applyNumberFormat="1">
      <alignment horizontal="center"/>
    </xf>
    <xf borderId="24" fillId="0" fontId="12" numFmtId="10" xfId="0" applyAlignment="1" applyBorder="1" applyFont="1" applyNumberFormat="1">
      <alignment horizontal="center"/>
    </xf>
    <xf borderId="0" fillId="0" fontId="3" numFmtId="167" xfId="0" applyFont="1" applyNumberFormat="1"/>
    <xf borderId="25" fillId="0" fontId="14" numFmtId="17" xfId="0" applyAlignment="1" applyBorder="1" applyFont="1" applyNumberFormat="1">
      <alignment horizontal="center"/>
    </xf>
    <xf borderId="18" fillId="0" fontId="11" numFmtId="165" xfId="0" applyAlignment="1" applyBorder="1" applyFont="1" applyNumberFormat="1">
      <alignment horizontal="center"/>
    </xf>
    <xf borderId="26" fillId="0" fontId="12" numFmtId="10" xfId="0" applyAlignment="1" applyBorder="1" applyFont="1" applyNumberFormat="1">
      <alignment horizontal="center"/>
    </xf>
    <xf borderId="9" fillId="0" fontId="14" numFmtId="17" xfId="0" applyAlignment="1" applyBorder="1" applyFont="1" applyNumberFormat="1">
      <alignment horizontal="center"/>
    </xf>
    <xf borderId="26" fillId="0" fontId="12" numFmtId="0" xfId="0" applyAlignment="1" applyBorder="1" applyFont="1">
      <alignment horizontal="center"/>
    </xf>
    <xf borderId="27" fillId="0" fontId="14" numFmtId="17" xfId="0" applyAlignment="1" applyBorder="1" applyFont="1" applyNumberFormat="1">
      <alignment horizontal="center"/>
    </xf>
    <xf borderId="28" fillId="0" fontId="11" numFmtId="165" xfId="0" applyAlignment="1" applyBorder="1" applyFont="1" applyNumberFormat="1">
      <alignment horizontal="center"/>
    </xf>
    <xf borderId="29" fillId="0" fontId="12" numFmtId="10" xfId="0" applyAlignment="1" applyBorder="1" applyFont="1" applyNumberFormat="1">
      <alignment horizontal="center"/>
    </xf>
    <xf borderId="13" fillId="0" fontId="8" numFmtId="17" xfId="0" applyAlignment="1" applyBorder="1" applyFont="1" applyNumberFormat="1">
      <alignment horizontal="left" vertical="center"/>
    </xf>
    <xf borderId="13" fillId="0" fontId="8" numFmtId="166" xfId="0" applyAlignment="1" applyBorder="1" applyFont="1" applyNumberFormat="1">
      <alignment horizontal="center" vertical="center"/>
    </xf>
    <xf borderId="13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7.86"/>
    <col customWidth="1" min="28" max="28" width="18.4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  <c r="Y5" s="4"/>
      <c r="Z5" s="4"/>
      <c r="AA5" s="4"/>
    </row>
    <row r="6" ht="14.25" customHeight="1">
      <c r="A6" s="2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  <c r="W6" s="4"/>
      <c r="X6" s="4"/>
      <c r="Y6" s="4"/>
      <c r="Z6" s="4"/>
      <c r="AA6" s="4"/>
    </row>
    <row r="7" ht="14.25" customHeight="1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</row>
    <row r="10" ht="14.25" customHeight="1">
      <c r="A10" s="7">
        <v>46023.0</v>
      </c>
      <c r="B10" s="8">
        <v>5500.0</v>
      </c>
      <c r="C10" s="8">
        <f t="shared" ref="C10:Y10" si="1">B10</f>
        <v>5500</v>
      </c>
      <c r="D10" s="8">
        <f t="shared" si="1"/>
        <v>5500</v>
      </c>
      <c r="E10" s="8">
        <f t="shared" si="1"/>
        <v>5500</v>
      </c>
      <c r="F10" s="8">
        <f t="shared" si="1"/>
        <v>5500</v>
      </c>
      <c r="G10" s="8">
        <f t="shared" si="1"/>
        <v>5500</v>
      </c>
      <c r="H10" s="8">
        <f t="shared" si="1"/>
        <v>5500</v>
      </c>
      <c r="I10" s="8">
        <f t="shared" si="1"/>
        <v>5500</v>
      </c>
      <c r="J10" s="8">
        <f t="shared" si="1"/>
        <v>5500</v>
      </c>
      <c r="K10" s="8">
        <f t="shared" si="1"/>
        <v>5500</v>
      </c>
      <c r="L10" s="8">
        <f t="shared" si="1"/>
        <v>5500</v>
      </c>
      <c r="M10" s="8">
        <f t="shared" si="1"/>
        <v>5500</v>
      </c>
      <c r="N10" s="8">
        <f t="shared" si="1"/>
        <v>5500</v>
      </c>
      <c r="O10" s="8">
        <f t="shared" si="1"/>
        <v>5500</v>
      </c>
      <c r="P10" s="8">
        <f t="shared" si="1"/>
        <v>5500</v>
      </c>
      <c r="Q10" s="8">
        <f t="shared" si="1"/>
        <v>5500</v>
      </c>
      <c r="R10" s="8">
        <f t="shared" si="1"/>
        <v>5500</v>
      </c>
      <c r="S10" s="8">
        <f t="shared" si="1"/>
        <v>5500</v>
      </c>
      <c r="T10" s="8">
        <f t="shared" si="1"/>
        <v>5500</v>
      </c>
      <c r="U10" s="8">
        <f t="shared" si="1"/>
        <v>5500</v>
      </c>
      <c r="V10" s="8">
        <f t="shared" si="1"/>
        <v>5500</v>
      </c>
      <c r="W10" s="8">
        <f t="shared" si="1"/>
        <v>5500</v>
      </c>
      <c r="X10" s="8">
        <f t="shared" si="1"/>
        <v>5500</v>
      </c>
      <c r="Y10" s="8">
        <f t="shared" si="1"/>
        <v>5500</v>
      </c>
      <c r="Z10" s="9">
        <f>SUM(B10:Y10)</f>
        <v>132000</v>
      </c>
      <c r="AA10" s="10">
        <v>31.0</v>
      </c>
      <c r="AB10" s="9">
        <f t="shared" ref="AB10:AB21" si="3">Z10*AA10</f>
        <v>4092000</v>
      </c>
    </row>
    <row r="11" ht="14.25" customHeight="1">
      <c r="A11" s="7">
        <v>46054.0</v>
      </c>
      <c r="B11" s="8">
        <f t="shared" ref="B11:Z11" si="2">B10</f>
        <v>5500</v>
      </c>
      <c r="C11" s="8">
        <f t="shared" si="2"/>
        <v>5500</v>
      </c>
      <c r="D11" s="8">
        <f t="shared" si="2"/>
        <v>5500</v>
      </c>
      <c r="E11" s="8">
        <f t="shared" si="2"/>
        <v>5500</v>
      </c>
      <c r="F11" s="8">
        <f t="shared" si="2"/>
        <v>5500</v>
      </c>
      <c r="G11" s="8">
        <f t="shared" si="2"/>
        <v>5500</v>
      </c>
      <c r="H11" s="8">
        <f t="shared" si="2"/>
        <v>5500</v>
      </c>
      <c r="I11" s="8">
        <f t="shared" si="2"/>
        <v>5500</v>
      </c>
      <c r="J11" s="8">
        <f t="shared" si="2"/>
        <v>5500</v>
      </c>
      <c r="K11" s="8">
        <f t="shared" si="2"/>
        <v>5500</v>
      </c>
      <c r="L11" s="8">
        <f t="shared" si="2"/>
        <v>5500</v>
      </c>
      <c r="M11" s="8">
        <f t="shared" si="2"/>
        <v>5500</v>
      </c>
      <c r="N11" s="8">
        <f t="shared" si="2"/>
        <v>5500</v>
      </c>
      <c r="O11" s="8">
        <f t="shared" si="2"/>
        <v>5500</v>
      </c>
      <c r="P11" s="8">
        <f t="shared" si="2"/>
        <v>5500</v>
      </c>
      <c r="Q11" s="8">
        <f t="shared" si="2"/>
        <v>5500</v>
      </c>
      <c r="R11" s="8">
        <f t="shared" si="2"/>
        <v>5500</v>
      </c>
      <c r="S11" s="8">
        <f t="shared" si="2"/>
        <v>5500</v>
      </c>
      <c r="T11" s="8">
        <f t="shared" si="2"/>
        <v>5500</v>
      </c>
      <c r="U11" s="8">
        <f t="shared" si="2"/>
        <v>5500</v>
      </c>
      <c r="V11" s="8">
        <f t="shared" si="2"/>
        <v>5500</v>
      </c>
      <c r="W11" s="8">
        <f t="shared" si="2"/>
        <v>5500</v>
      </c>
      <c r="X11" s="8">
        <f t="shared" si="2"/>
        <v>5500</v>
      </c>
      <c r="Y11" s="8">
        <f t="shared" si="2"/>
        <v>5500</v>
      </c>
      <c r="Z11" s="9">
        <f t="shared" si="2"/>
        <v>132000</v>
      </c>
      <c r="AA11" s="9">
        <v>28.0</v>
      </c>
      <c r="AB11" s="9">
        <f t="shared" si="3"/>
        <v>3696000</v>
      </c>
    </row>
    <row r="12" ht="14.25" customHeight="1">
      <c r="A12" s="7">
        <v>46082.0</v>
      </c>
      <c r="B12" s="8">
        <f t="shared" ref="B12:Z12" si="4">B11</f>
        <v>5500</v>
      </c>
      <c r="C12" s="8">
        <f t="shared" si="4"/>
        <v>5500</v>
      </c>
      <c r="D12" s="8">
        <f t="shared" si="4"/>
        <v>5500</v>
      </c>
      <c r="E12" s="8">
        <f t="shared" si="4"/>
        <v>5500</v>
      </c>
      <c r="F12" s="8">
        <f t="shared" si="4"/>
        <v>5500</v>
      </c>
      <c r="G12" s="8">
        <f t="shared" si="4"/>
        <v>5500</v>
      </c>
      <c r="H12" s="8">
        <f t="shared" si="4"/>
        <v>5500</v>
      </c>
      <c r="I12" s="8">
        <f t="shared" si="4"/>
        <v>5500</v>
      </c>
      <c r="J12" s="8">
        <f t="shared" si="4"/>
        <v>5500</v>
      </c>
      <c r="K12" s="8">
        <f t="shared" si="4"/>
        <v>5500</v>
      </c>
      <c r="L12" s="8">
        <f t="shared" si="4"/>
        <v>5500</v>
      </c>
      <c r="M12" s="8">
        <f t="shared" si="4"/>
        <v>5500</v>
      </c>
      <c r="N12" s="8">
        <f t="shared" si="4"/>
        <v>5500</v>
      </c>
      <c r="O12" s="8">
        <f t="shared" si="4"/>
        <v>5500</v>
      </c>
      <c r="P12" s="8">
        <f t="shared" si="4"/>
        <v>5500</v>
      </c>
      <c r="Q12" s="8">
        <f t="shared" si="4"/>
        <v>5500</v>
      </c>
      <c r="R12" s="8">
        <f t="shared" si="4"/>
        <v>5500</v>
      </c>
      <c r="S12" s="8">
        <f t="shared" si="4"/>
        <v>5500</v>
      </c>
      <c r="T12" s="8">
        <f t="shared" si="4"/>
        <v>5500</v>
      </c>
      <c r="U12" s="8">
        <f t="shared" si="4"/>
        <v>5500</v>
      </c>
      <c r="V12" s="8">
        <f t="shared" si="4"/>
        <v>5500</v>
      </c>
      <c r="W12" s="8">
        <f t="shared" si="4"/>
        <v>5500</v>
      </c>
      <c r="X12" s="8">
        <f t="shared" si="4"/>
        <v>5500</v>
      </c>
      <c r="Y12" s="8">
        <f t="shared" si="4"/>
        <v>5500</v>
      </c>
      <c r="Z12" s="9">
        <f t="shared" si="4"/>
        <v>132000</v>
      </c>
      <c r="AA12" s="9">
        <v>31.0</v>
      </c>
      <c r="AB12" s="9">
        <f t="shared" si="3"/>
        <v>4092000</v>
      </c>
    </row>
    <row r="13" ht="14.25" customHeight="1">
      <c r="A13" s="7">
        <v>46113.0</v>
      </c>
      <c r="B13" s="8">
        <f t="shared" ref="B13:Z13" si="5">B12</f>
        <v>5500</v>
      </c>
      <c r="C13" s="8">
        <f t="shared" si="5"/>
        <v>5500</v>
      </c>
      <c r="D13" s="8">
        <f t="shared" si="5"/>
        <v>5500</v>
      </c>
      <c r="E13" s="8">
        <f t="shared" si="5"/>
        <v>5500</v>
      </c>
      <c r="F13" s="8">
        <f t="shared" si="5"/>
        <v>5500</v>
      </c>
      <c r="G13" s="8">
        <f t="shared" si="5"/>
        <v>5500</v>
      </c>
      <c r="H13" s="8">
        <f t="shared" si="5"/>
        <v>5500</v>
      </c>
      <c r="I13" s="8">
        <f t="shared" si="5"/>
        <v>5500</v>
      </c>
      <c r="J13" s="8">
        <f t="shared" si="5"/>
        <v>5500</v>
      </c>
      <c r="K13" s="8">
        <f t="shared" si="5"/>
        <v>5500</v>
      </c>
      <c r="L13" s="8">
        <f t="shared" si="5"/>
        <v>5500</v>
      </c>
      <c r="M13" s="8">
        <f t="shared" si="5"/>
        <v>5500</v>
      </c>
      <c r="N13" s="8">
        <f t="shared" si="5"/>
        <v>5500</v>
      </c>
      <c r="O13" s="8">
        <f t="shared" si="5"/>
        <v>5500</v>
      </c>
      <c r="P13" s="8">
        <f t="shared" si="5"/>
        <v>5500</v>
      </c>
      <c r="Q13" s="8">
        <f t="shared" si="5"/>
        <v>5500</v>
      </c>
      <c r="R13" s="8">
        <f t="shared" si="5"/>
        <v>5500</v>
      </c>
      <c r="S13" s="8">
        <f t="shared" si="5"/>
        <v>5500</v>
      </c>
      <c r="T13" s="8">
        <f t="shared" si="5"/>
        <v>5500</v>
      </c>
      <c r="U13" s="8">
        <f t="shared" si="5"/>
        <v>5500</v>
      </c>
      <c r="V13" s="8">
        <f t="shared" si="5"/>
        <v>5500</v>
      </c>
      <c r="W13" s="8">
        <f t="shared" si="5"/>
        <v>5500</v>
      </c>
      <c r="X13" s="8">
        <f t="shared" si="5"/>
        <v>5500</v>
      </c>
      <c r="Y13" s="8">
        <f t="shared" si="5"/>
        <v>5500</v>
      </c>
      <c r="Z13" s="9">
        <f t="shared" si="5"/>
        <v>132000</v>
      </c>
      <c r="AA13" s="9">
        <v>30.0</v>
      </c>
      <c r="AB13" s="9">
        <f t="shared" si="3"/>
        <v>3960000</v>
      </c>
    </row>
    <row r="14" ht="14.25" customHeight="1">
      <c r="A14" s="7">
        <v>46143.0</v>
      </c>
      <c r="B14" s="8">
        <f t="shared" ref="B14:Z14" si="6">B13</f>
        <v>5500</v>
      </c>
      <c r="C14" s="8">
        <f t="shared" si="6"/>
        <v>5500</v>
      </c>
      <c r="D14" s="8">
        <f t="shared" si="6"/>
        <v>5500</v>
      </c>
      <c r="E14" s="8">
        <f t="shared" si="6"/>
        <v>5500</v>
      </c>
      <c r="F14" s="8">
        <f t="shared" si="6"/>
        <v>5500</v>
      </c>
      <c r="G14" s="8">
        <f t="shared" si="6"/>
        <v>5500</v>
      </c>
      <c r="H14" s="8">
        <f t="shared" si="6"/>
        <v>5500</v>
      </c>
      <c r="I14" s="8">
        <f t="shared" si="6"/>
        <v>5500</v>
      </c>
      <c r="J14" s="8">
        <f t="shared" si="6"/>
        <v>5500</v>
      </c>
      <c r="K14" s="8">
        <f t="shared" si="6"/>
        <v>5500</v>
      </c>
      <c r="L14" s="8">
        <f t="shared" si="6"/>
        <v>5500</v>
      </c>
      <c r="M14" s="8">
        <f t="shared" si="6"/>
        <v>5500</v>
      </c>
      <c r="N14" s="8">
        <f t="shared" si="6"/>
        <v>5500</v>
      </c>
      <c r="O14" s="8">
        <f t="shared" si="6"/>
        <v>5500</v>
      </c>
      <c r="P14" s="8">
        <f t="shared" si="6"/>
        <v>5500</v>
      </c>
      <c r="Q14" s="8">
        <f t="shared" si="6"/>
        <v>5500</v>
      </c>
      <c r="R14" s="8">
        <f t="shared" si="6"/>
        <v>5500</v>
      </c>
      <c r="S14" s="8">
        <f t="shared" si="6"/>
        <v>5500</v>
      </c>
      <c r="T14" s="8">
        <f t="shared" si="6"/>
        <v>5500</v>
      </c>
      <c r="U14" s="8">
        <f t="shared" si="6"/>
        <v>5500</v>
      </c>
      <c r="V14" s="8">
        <f t="shared" si="6"/>
        <v>5500</v>
      </c>
      <c r="W14" s="8">
        <f t="shared" si="6"/>
        <v>5500</v>
      </c>
      <c r="X14" s="8">
        <f t="shared" si="6"/>
        <v>5500</v>
      </c>
      <c r="Y14" s="8">
        <f t="shared" si="6"/>
        <v>5500</v>
      </c>
      <c r="Z14" s="9">
        <f t="shared" si="6"/>
        <v>132000</v>
      </c>
      <c r="AA14" s="9">
        <v>31.0</v>
      </c>
      <c r="AB14" s="9">
        <f t="shared" si="3"/>
        <v>4092000</v>
      </c>
    </row>
    <row r="15" ht="14.25" customHeight="1">
      <c r="A15" s="7">
        <v>46174.0</v>
      </c>
      <c r="B15" s="8">
        <f t="shared" ref="B15:Z15" si="7">B14</f>
        <v>5500</v>
      </c>
      <c r="C15" s="8">
        <f t="shared" si="7"/>
        <v>5500</v>
      </c>
      <c r="D15" s="8">
        <f t="shared" si="7"/>
        <v>5500</v>
      </c>
      <c r="E15" s="8">
        <f t="shared" si="7"/>
        <v>5500</v>
      </c>
      <c r="F15" s="8">
        <f t="shared" si="7"/>
        <v>5500</v>
      </c>
      <c r="G15" s="8">
        <f t="shared" si="7"/>
        <v>5500</v>
      </c>
      <c r="H15" s="8">
        <f t="shared" si="7"/>
        <v>5500</v>
      </c>
      <c r="I15" s="8">
        <f t="shared" si="7"/>
        <v>5500</v>
      </c>
      <c r="J15" s="8">
        <f t="shared" si="7"/>
        <v>5500</v>
      </c>
      <c r="K15" s="8">
        <f t="shared" si="7"/>
        <v>5500</v>
      </c>
      <c r="L15" s="8">
        <f t="shared" si="7"/>
        <v>5500</v>
      </c>
      <c r="M15" s="8">
        <f t="shared" si="7"/>
        <v>5500</v>
      </c>
      <c r="N15" s="8">
        <f t="shared" si="7"/>
        <v>5500</v>
      </c>
      <c r="O15" s="8">
        <f t="shared" si="7"/>
        <v>5500</v>
      </c>
      <c r="P15" s="8">
        <f t="shared" si="7"/>
        <v>5500</v>
      </c>
      <c r="Q15" s="8">
        <f t="shared" si="7"/>
        <v>5500</v>
      </c>
      <c r="R15" s="8">
        <f t="shared" si="7"/>
        <v>5500</v>
      </c>
      <c r="S15" s="8">
        <f t="shared" si="7"/>
        <v>5500</v>
      </c>
      <c r="T15" s="8">
        <f t="shared" si="7"/>
        <v>5500</v>
      </c>
      <c r="U15" s="8">
        <f t="shared" si="7"/>
        <v>5500</v>
      </c>
      <c r="V15" s="8">
        <f t="shared" si="7"/>
        <v>5500</v>
      </c>
      <c r="W15" s="8">
        <f t="shared" si="7"/>
        <v>5500</v>
      </c>
      <c r="X15" s="8">
        <f t="shared" si="7"/>
        <v>5500</v>
      </c>
      <c r="Y15" s="8">
        <f t="shared" si="7"/>
        <v>5500</v>
      </c>
      <c r="Z15" s="9">
        <f t="shared" si="7"/>
        <v>132000</v>
      </c>
      <c r="AA15" s="9">
        <v>30.0</v>
      </c>
      <c r="AB15" s="9">
        <f t="shared" si="3"/>
        <v>3960000</v>
      </c>
    </row>
    <row r="16" ht="14.25" customHeight="1">
      <c r="A16" s="7">
        <v>46204.0</v>
      </c>
      <c r="B16" s="8">
        <f t="shared" ref="B16:Z16" si="8">B15</f>
        <v>5500</v>
      </c>
      <c r="C16" s="8">
        <f t="shared" si="8"/>
        <v>5500</v>
      </c>
      <c r="D16" s="8">
        <f t="shared" si="8"/>
        <v>5500</v>
      </c>
      <c r="E16" s="8">
        <f t="shared" si="8"/>
        <v>5500</v>
      </c>
      <c r="F16" s="8">
        <f t="shared" si="8"/>
        <v>5500</v>
      </c>
      <c r="G16" s="8">
        <f t="shared" si="8"/>
        <v>5500</v>
      </c>
      <c r="H16" s="8">
        <f t="shared" si="8"/>
        <v>5500</v>
      </c>
      <c r="I16" s="8">
        <f t="shared" si="8"/>
        <v>5500</v>
      </c>
      <c r="J16" s="8">
        <f t="shared" si="8"/>
        <v>5500</v>
      </c>
      <c r="K16" s="8">
        <f t="shared" si="8"/>
        <v>5500</v>
      </c>
      <c r="L16" s="8">
        <f t="shared" si="8"/>
        <v>5500</v>
      </c>
      <c r="M16" s="8">
        <f t="shared" si="8"/>
        <v>5500</v>
      </c>
      <c r="N16" s="8">
        <f t="shared" si="8"/>
        <v>5500</v>
      </c>
      <c r="O16" s="8">
        <f t="shared" si="8"/>
        <v>5500</v>
      </c>
      <c r="P16" s="8">
        <f t="shared" si="8"/>
        <v>5500</v>
      </c>
      <c r="Q16" s="8">
        <f t="shared" si="8"/>
        <v>5500</v>
      </c>
      <c r="R16" s="8">
        <f t="shared" si="8"/>
        <v>5500</v>
      </c>
      <c r="S16" s="8">
        <f t="shared" si="8"/>
        <v>5500</v>
      </c>
      <c r="T16" s="8">
        <f t="shared" si="8"/>
        <v>5500</v>
      </c>
      <c r="U16" s="8">
        <f t="shared" si="8"/>
        <v>5500</v>
      </c>
      <c r="V16" s="8">
        <f t="shared" si="8"/>
        <v>5500</v>
      </c>
      <c r="W16" s="8">
        <f t="shared" si="8"/>
        <v>5500</v>
      </c>
      <c r="X16" s="8">
        <f t="shared" si="8"/>
        <v>5500</v>
      </c>
      <c r="Y16" s="8">
        <f t="shared" si="8"/>
        <v>5500</v>
      </c>
      <c r="Z16" s="9">
        <f t="shared" si="8"/>
        <v>132000</v>
      </c>
      <c r="AA16" s="9">
        <v>31.0</v>
      </c>
      <c r="AB16" s="9">
        <f t="shared" si="3"/>
        <v>4092000</v>
      </c>
    </row>
    <row r="17" ht="14.25" customHeight="1">
      <c r="A17" s="7">
        <v>46235.0</v>
      </c>
      <c r="B17" s="8">
        <f t="shared" ref="B17:Z17" si="9">B16</f>
        <v>5500</v>
      </c>
      <c r="C17" s="8">
        <f t="shared" si="9"/>
        <v>5500</v>
      </c>
      <c r="D17" s="8">
        <f t="shared" si="9"/>
        <v>5500</v>
      </c>
      <c r="E17" s="8">
        <f t="shared" si="9"/>
        <v>5500</v>
      </c>
      <c r="F17" s="8">
        <f t="shared" si="9"/>
        <v>5500</v>
      </c>
      <c r="G17" s="8">
        <f t="shared" si="9"/>
        <v>5500</v>
      </c>
      <c r="H17" s="8">
        <f t="shared" si="9"/>
        <v>5500</v>
      </c>
      <c r="I17" s="8">
        <f t="shared" si="9"/>
        <v>5500</v>
      </c>
      <c r="J17" s="8">
        <f t="shared" si="9"/>
        <v>5500</v>
      </c>
      <c r="K17" s="8">
        <f t="shared" si="9"/>
        <v>5500</v>
      </c>
      <c r="L17" s="8">
        <f t="shared" si="9"/>
        <v>5500</v>
      </c>
      <c r="M17" s="8">
        <f t="shared" si="9"/>
        <v>5500</v>
      </c>
      <c r="N17" s="8">
        <f t="shared" si="9"/>
        <v>5500</v>
      </c>
      <c r="O17" s="8">
        <f t="shared" si="9"/>
        <v>5500</v>
      </c>
      <c r="P17" s="8">
        <f t="shared" si="9"/>
        <v>5500</v>
      </c>
      <c r="Q17" s="8">
        <f t="shared" si="9"/>
        <v>5500</v>
      </c>
      <c r="R17" s="8">
        <f t="shared" si="9"/>
        <v>5500</v>
      </c>
      <c r="S17" s="8">
        <f t="shared" si="9"/>
        <v>5500</v>
      </c>
      <c r="T17" s="8">
        <f t="shared" si="9"/>
        <v>5500</v>
      </c>
      <c r="U17" s="8">
        <f t="shared" si="9"/>
        <v>5500</v>
      </c>
      <c r="V17" s="8">
        <f t="shared" si="9"/>
        <v>5500</v>
      </c>
      <c r="W17" s="8">
        <f t="shared" si="9"/>
        <v>5500</v>
      </c>
      <c r="X17" s="8">
        <f t="shared" si="9"/>
        <v>5500</v>
      </c>
      <c r="Y17" s="8">
        <f t="shared" si="9"/>
        <v>5500</v>
      </c>
      <c r="Z17" s="9">
        <f t="shared" si="9"/>
        <v>132000</v>
      </c>
      <c r="AA17" s="9">
        <v>31.0</v>
      </c>
      <c r="AB17" s="9">
        <f t="shared" si="3"/>
        <v>4092000</v>
      </c>
    </row>
    <row r="18" ht="14.25" customHeight="1">
      <c r="A18" s="7">
        <v>46266.0</v>
      </c>
      <c r="B18" s="8">
        <f t="shared" ref="B18:Z18" si="10">B17</f>
        <v>5500</v>
      </c>
      <c r="C18" s="8">
        <f t="shared" si="10"/>
        <v>5500</v>
      </c>
      <c r="D18" s="8">
        <f t="shared" si="10"/>
        <v>5500</v>
      </c>
      <c r="E18" s="8">
        <f t="shared" si="10"/>
        <v>5500</v>
      </c>
      <c r="F18" s="8">
        <f t="shared" si="10"/>
        <v>5500</v>
      </c>
      <c r="G18" s="8">
        <f t="shared" si="10"/>
        <v>5500</v>
      </c>
      <c r="H18" s="8">
        <f t="shared" si="10"/>
        <v>5500</v>
      </c>
      <c r="I18" s="8">
        <f t="shared" si="10"/>
        <v>5500</v>
      </c>
      <c r="J18" s="8">
        <f t="shared" si="10"/>
        <v>5500</v>
      </c>
      <c r="K18" s="8">
        <f t="shared" si="10"/>
        <v>5500</v>
      </c>
      <c r="L18" s="8">
        <f t="shared" si="10"/>
        <v>5500</v>
      </c>
      <c r="M18" s="8">
        <f t="shared" si="10"/>
        <v>5500</v>
      </c>
      <c r="N18" s="8">
        <f t="shared" si="10"/>
        <v>5500</v>
      </c>
      <c r="O18" s="8">
        <f t="shared" si="10"/>
        <v>5500</v>
      </c>
      <c r="P18" s="8">
        <f t="shared" si="10"/>
        <v>5500</v>
      </c>
      <c r="Q18" s="8">
        <f t="shared" si="10"/>
        <v>5500</v>
      </c>
      <c r="R18" s="8">
        <f t="shared" si="10"/>
        <v>5500</v>
      </c>
      <c r="S18" s="8">
        <f t="shared" si="10"/>
        <v>5500</v>
      </c>
      <c r="T18" s="8">
        <f t="shared" si="10"/>
        <v>5500</v>
      </c>
      <c r="U18" s="8">
        <f t="shared" si="10"/>
        <v>5500</v>
      </c>
      <c r="V18" s="8">
        <f t="shared" si="10"/>
        <v>5500</v>
      </c>
      <c r="W18" s="8">
        <f t="shared" si="10"/>
        <v>5500</v>
      </c>
      <c r="X18" s="8">
        <f t="shared" si="10"/>
        <v>5500</v>
      </c>
      <c r="Y18" s="8">
        <f t="shared" si="10"/>
        <v>5500</v>
      </c>
      <c r="Z18" s="9">
        <f t="shared" si="10"/>
        <v>132000</v>
      </c>
      <c r="AA18" s="9">
        <v>30.0</v>
      </c>
      <c r="AB18" s="9">
        <f t="shared" si="3"/>
        <v>3960000</v>
      </c>
    </row>
    <row r="19" ht="14.25" customHeight="1">
      <c r="A19" s="7">
        <v>46296.0</v>
      </c>
      <c r="B19" s="8">
        <f t="shared" ref="B19:Z19" si="11">B18</f>
        <v>5500</v>
      </c>
      <c r="C19" s="8">
        <f t="shared" si="11"/>
        <v>5500</v>
      </c>
      <c r="D19" s="8">
        <f t="shared" si="11"/>
        <v>5500</v>
      </c>
      <c r="E19" s="8">
        <f t="shared" si="11"/>
        <v>5500</v>
      </c>
      <c r="F19" s="8">
        <f t="shared" si="11"/>
        <v>5500</v>
      </c>
      <c r="G19" s="8">
        <f t="shared" si="11"/>
        <v>5500</v>
      </c>
      <c r="H19" s="8">
        <f t="shared" si="11"/>
        <v>5500</v>
      </c>
      <c r="I19" s="8">
        <f t="shared" si="11"/>
        <v>5500</v>
      </c>
      <c r="J19" s="8">
        <f t="shared" si="11"/>
        <v>5500</v>
      </c>
      <c r="K19" s="8">
        <f t="shared" si="11"/>
        <v>5500</v>
      </c>
      <c r="L19" s="8">
        <f t="shared" si="11"/>
        <v>5500</v>
      </c>
      <c r="M19" s="8">
        <f t="shared" si="11"/>
        <v>5500</v>
      </c>
      <c r="N19" s="8">
        <f t="shared" si="11"/>
        <v>5500</v>
      </c>
      <c r="O19" s="8">
        <f t="shared" si="11"/>
        <v>5500</v>
      </c>
      <c r="P19" s="8">
        <f t="shared" si="11"/>
        <v>5500</v>
      </c>
      <c r="Q19" s="8">
        <f t="shared" si="11"/>
        <v>5500</v>
      </c>
      <c r="R19" s="8">
        <f t="shared" si="11"/>
        <v>5500</v>
      </c>
      <c r="S19" s="8">
        <f t="shared" si="11"/>
        <v>5500</v>
      </c>
      <c r="T19" s="8">
        <f t="shared" si="11"/>
        <v>5500</v>
      </c>
      <c r="U19" s="8">
        <f t="shared" si="11"/>
        <v>5500</v>
      </c>
      <c r="V19" s="8">
        <f t="shared" si="11"/>
        <v>5500</v>
      </c>
      <c r="W19" s="8">
        <f t="shared" si="11"/>
        <v>5500</v>
      </c>
      <c r="X19" s="8">
        <f t="shared" si="11"/>
        <v>5500</v>
      </c>
      <c r="Y19" s="8">
        <f t="shared" si="11"/>
        <v>5500</v>
      </c>
      <c r="Z19" s="9">
        <f t="shared" si="11"/>
        <v>132000</v>
      </c>
      <c r="AA19" s="9">
        <v>31.0</v>
      </c>
      <c r="AB19" s="9">
        <f t="shared" si="3"/>
        <v>4092000</v>
      </c>
    </row>
    <row r="20" ht="14.25" customHeight="1">
      <c r="A20" s="7">
        <v>46327.0</v>
      </c>
      <c r="B20" s="8">
        <f t="shared" ref="B20:Z20" si="12">B19</f>
        <v>5500</v>
      </c>
      <c r="C20" s="8">
        <f t="shared" si="12"/>
        <v>5500</v>
      </c>
      <c r="D20" s="8">
        <f t="shared" si="12"/>
        <v>5500</v>
      </c>
      <c r="E20" s="8">
        <f t="shared" si="12"/>
        <v>5500</v>
      </c>
      <c r="F20" s="8">
        <f t="shared" si="12"/>
        <v>5500</v>
      </c>
      <c r="G20" s="8">
        <f t="shared" si="12"/>
        <v>5500</v>
      </c>
      <c r="H20" s="8">
        <f t="shared" si="12"/>
        <v>5500</v>
      </c>
      <c r="I20" s="8">
        <f t="shared" si="12"/>
        <v>5500</v>
      </c>
      <c r="J20" s="8">
        <f t="shared" si="12"/>
        <v>5500</v>
      </c>
      <c r="K20" s="8">
        <f t="shared" si="12"/>
        <v>5500</v>
      </c>
      <c r="L20" s="8">
        <f t="shared" si="12"/>
        <v>5500</v>
      </c>
      <c r="M20" s="8">
        <f t="shared" si="12"/>
        <v>5500</v>
      </c>
      <c r="N20" s="8">
        <f t="shared" si="12"/>
        <v>5500</v>
      </c>
      <c r="O20" s="8">
        <f t="shared" si="12"/>
        <v>5500</v>
      </c>
      <c r="P20" s="8">
        <f t="shared" si="12"/>
        <v>5500</v>
      </c>
      <c r="Q20" s="8">
        <f t="shared" si="12"/>
        <v>5500</v>
      </c>
      <c r="R20" s="8">
        <f t="shared" si="12"/>
        <v>5500</v>
      </c>
      <c r="S20" s="8">
        <f t="shared" si="12"/>
        <v>5500</v>
      </c>
      <c r="T20" s="8">
        <f t="shared" si="12"/>
        <v>5500</v>
      </c>
      <c r="U20" s="8">
        <f t="shared" si="12"/>
        <v>5500</v>
      </c>
      <c r="V20" s="8">
        <f t="shared" si="12"/>
        <v>5500</v>
      </c>
      <c r="W20" s="8">
        <f t="shared" si="12"/>
        <v>5500</v>
      </c>
      <c r="X20" s="8">
        <f t="shared" si="12"/>
        <v>5500</v>
      </c>
      <c r="Y20" s="8">
        <f t="shared" si="12"/>
        <v>5500</v>
      </c>
      <c r="Z20" s="9">
        <f t="shared" si="12"/>
        <v>132000</v>
      </c>
      <c r="AA20" s="9">
        <v>30.0</v>
      </c>
      <c r="AB20" s="9">
        <f t="shared" si="3"/>
        <v>3960000</v>
      </c>
    </row>
    <row r="21" ht="14.25" customHeight="1">
      <c r="A21" s="7">
        <v>46357.0</v>
      </c>
      <c r="B21" s="8">
        <f t="shared" ref="B21:Z21" si="13">B20</f>
        <v>5500</v>
      </c>
      <c r="C21" s="8">
        <f t="shared" si="13"/>
        <v>5500</v>
      </c>
      <c r="D21" s="8">
        <f t="shared" si="13"/>
        <v>5500</v>
      </c>
      <c r="E21" s="8">
        <f t="shared" si="13"/>
        <v>5500</v>
      </c>
      <c r="F21" s="8">
        <f t="shared" si="13"/>
        <v>5500</v>
      </c>
      <c r="G21" s="8">
        <f t="shared" si="13"/>
        <v>5500</v>
      </c>
      <c r="H21" s="8">
        <f t="shared" si="13"/>
        <v>5500</v>
      </c>
      <c r="I21" s="8">
        <f t="shared" si="13"/>
        <v>5500</v>
      </c>
      <c r="J21" s="8">
        <f t="shared" si="13"/>
        <v>5500</v>
      </c>
      <c r="K21" s="8">
        <f t="shared" si="13"/>
        <v>5500</v>
      </c>
      <c r="L21" s="8">
        <f t="shared" si="13"/>
        <v>5500</v>
      </c>
      <c r="M21" s="8">
        <f t="shared" si="13"/>
        <v>5500</v>
      </c>
      <c r="N21" s="8">
        <f t="shared" si="13"/>
        <v>5500</v>
      </c>
      <c r="O21" s="8">
        <f t="shared" si="13"/>
        <v>5500</v>
      </c>
      <c r="P21" s="8">
        <f t="shared" si="13"/>
        <v>5500</v>
      </c>
      <c r="Q21" s="8">
        <f t="shared" si="13"/>
        <v>5500</v>
      </c>
      <c r="R21" s="8">
        <f t="shared" si="13"/>
        <v>5500</v>
      </c>
      <c r="S21" s="8">
        <f t="shared" si="13"/>
        <v>5500</v>
      </c>
      <c r="T21" s="8">
        <f t="shared" si="13"/>
        <v>5500</v>
      </c>
      <c r="U21" s="8">
        <f t="shared" si="13"/>
        <v>5500</v>
      </c>
      <c r="V21" s="8">
        <f t="shared" si="13"/>
        <v>5500</v>
      </c>
      <c r="W21" s="8">
        <f t="shared" si="13"/>
        <v>5500</v>
      </c>
      <c r="X21" s="8">
        <f t="shared" si="13"/>
        <v>5500</v>
      </c>
      <c r="Y21" s="8">
        <f t="shared" si="13"/>
        <v>5500</v>
      </c>
      <c r="Z21" s="9">
        <f t="shared" si="13"/>
        <v>132000</v>
      </c>
      <c r="AA21" s="9">
        <v>31.0</v>
      </c>
      <c r="AB21" s="9">
        <f t="shared" si="3"/>
        <v>4092000</v>
      </c>
    </row>
    <row r="22" ht="14.25" customHeight="1">
      <c r="AA22" s="11" t="s">
        <v>32</v>
      </c>
      <c r="AB22" s="12">
        <f>SUM(AB10:AB21)</f>
        <v>48180000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</sheetData>
  <mergeCells count="4">
    <mergeCell ref="A1:AB1"/>
    <mergeCell ref="A2:AB2"/>
    <mergeCell ref="A3:AB3"/>
    <mergeCell ref="A4:AB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9" width="10.71"/>
  </cols>
  <sheetData>
    <row r="1" ht="14.25" customHeight="1"/>
    <row r="2" ht="14.25" customHeight="1"/>
    <row r="3" ht="14.25" customHeight="1"/>
    <row r="4" ht="14.25" customHeight="1">
      <c r="A4" s="13" t="s">
        <v>3</v>
      </c>
    </row>
    <row r="5" ht="14.25" customHeight="1">
      <c r="A5" s="14"/>
      <c r="B5" s="15" t="s">
        <v>33</v>
      </c>
    </row>
    <row r="6" ht="14.25" customHeight="1">
      <c r="A6" s="14"/>
      <c r="B6" s="13" t="s">
        <v>34</v>
      </c>
    </row>
    <row r="7" ht="14.25" customHeight="1">
      <c r="A7" s="14"/>
      <c r="B7" s="15" t="s">
        <v>35</v>
      </c>
    </row>
    <row r="8" ht="14.25" customHeight="1">
      <c r="A8" s="14"/>
      <c r="B8" s="16" t="s">
        <v>36</v>
      </c>
    </row>
    <row r="9" ht="14.25" customHeight="1">
      <c r="A9" s="14"/>
      <c r="B9" s="15"/>
      <c r="C9" s="15"/>
      <c r="D9" s="15"/>
      <c r="E9" s="15"/>
    </row>
    <row r="10" ht="14.25" customHeight="1">
      <c r="A10" s="14"/>
      <c r="B10" s="17" t="s">
        <v>37</v>
      </c>
      <c r="C10" s="18"/>
      <c r="D10" s="18"/>
      <c r="E10" s="18"/>
      <c r="F10" s="19"/>
    </row>
    <row r="11">
      <c r="A11" s="14"/>
      <c r="B11" s="20" t="s">
        <v>4</v>
      </c>
      <c r="C11" s="21" t="s">
        <v>38</v>
      </c>
      <c r="D11" s="22" t="s">
        <v>39</v>
      </c>
      <c r="E11" s="22" t="s">
        <v>40</v>
      </c>
      <c r="F11" s="23" t="s">
        <v>41</v>
      </c>
    </row>
    <row r="12" ht="14.25" customHeight="1">
      <c r="A12" s="14"/>
      <c r="B12" s="24">
        <v>46023.0</v>
      </c>
      <c r="C12" s="25">
        <f>'Cant. Requeridas Producto 1'!AB10</f>
        <v>4092000</v>
      </c>
      <c r="D12" s="26"/>
      <c r="E12" s="27">
        <f t="shared" ref="E12:E23" si="1">C12*$D$12</f>
        <v>0</v>
      </c>
      <c r="F12" s="28"/>
    </row>
    <row r="13" ht="14.25" customHeight="1">
      <c r="A13" s="14"/>
      <c r="B13" s="24">
        <v>46054.0</v>
      </c>
      <c r="C13" s="25">
        <f>'Cant. Requeridas Producto 1'!AB11</f>
        <v>3696000</v>
      </c>
      <c r="D13" s="29"/>
      <c r="E13" s="27">
        <f t="shared" si="1"/>
        <v>0</v>
      </c>
      <c r="F13" s="29"/>
    </row>
    <row r="14" ht="14.25" customHeight="1">
      <c r="A14" s="14"/>
      <c r="B14" s="24">
        <v>46082.0</v>
      </c>
      <c r="C14" s="25">
        <f>'Cant. Requeridas Producto 1'!AB12</f>
        <v>4092000</v>
      </c>
      <c r="D14" s="29"/>
      <c r="E14" s="27">
        <f t="shared" si="1"/>
        <v>0</v>
      </c>
      <c r="F14" s="29"/>
    </row>
    <row r="15" ht="14.25" customHeight="1">
      <c r="A15" s="14"/>
      <c r="B15" s="24">
        <v>46113.0</v>
      </c>
      <c r="C15" s="25">
        <f>'Cant. Requeridas Producto 1'!AB13</f>
        <v>3960000</v>
      </c>
      <c r="D15" s="29"/>
      <c r="E15" s="27">
        <f t="shared" si="1"/>
        <v>0</v>
      </c>
      <c r="F15" s="29"/>
    </row>
    <row r="16" ht="14.25" customHeight="1">
      <c r="A16" s="14"/>
      <c r="B16" s="24">
        <v>46143.0</v>
      </c>
      <c r="C16" s="25">
        <f>'Cant. Requeridas Producto 1'!AB14</f>
        <v>4092000</v>
      </c>
      <c r="D16" s="29"/>
      <c r="E16" s="27">
        <f t="shared" si="1"/>
        <v>0</v>
      </c>
      <c r="F16" s="29"/>
    </row>
    <row r="17" ht="14.25" customHeight="1">
      <c r="A17" s="14"/>
      <c r="B17" s="24">
        <v>46174.0</v>
      </c>
      <c r="C17" s="25">
        <f>'Cant. Requeridas Producto 1'!AB15</f>
        <v>3960000</v>
      </c>
      <c r="D17" s="29"/>
      <c r="E17" s="27">
        <f t="shared" si="1"/>
        <v>0</v>
      </c>
      <c r="F17" s="29"/>
    </row>
    <row r="18" ht="14.25" customHeight="1">
      <c r="A18" s="14"/>
      <c r="B18" s="24">
        <v>46204.0</v>
      </c>
      <c r="C18" s="25">
        <f>'Cant. Requeridas Producto 1'!AB16</f>
        <v>4092000</v>
      </c>
      <c r="D18" s="29"/>
      <c r="E18" s="27">
        <f t="shared" si="1"/>
        <v>0</v>
      </c>
      <c r="F18" s="29"/>
    </row>
    <row r="19" ht="14.25" customHeight="1">
      <c r="A19" s="14"/>
      <c r="B19" s="24">
        <v>46235.0</v>
      </c>
      <c r="C19" s="25">
        <f>'Cant. Requeridas Producto 1'!AB17</f>
        <v>4092000</v>
      </c>
      <c r="D19" s="29"/>
      <c r="E19" s="27">
        <f t="shared" si="1"/>
        <v>0</v>
      </c>
      <c r="F19" s="29"/>
    </row>
    <row r="20" ht="14.25" customHeight="1">
      <c r="A20" s="14"/>
      <c r="B20" s="24">
        <v>46266.0</v>
      </c>
      <c r="C20" s="25">
        <f>'Cant. Requeridas Producto 1'!AB18</f>
        <v>3960000</v>
      </c>
      <c r="D20" s="29"/>
      <c r="E20" s="27">
        <f t="shared" si="1"/>
        <v>0</v>
      </c>
      <c r="F20" s="29"/>
    </row>
    <row r="21" ht="14.25" customHeight="1">
      <c r="A21" s="14"/>
      <c r="B21" s="24">
        <v>46296.0</v>
      </c>
      <c r="C21" s="25">
        <f>'Cant. Requeridas Producto 1'!AB19</f>
        <v>4092000</v>
      </c>
      <c r="D21" s="29"/>
      <c r="E21" s="27">
        <f t="shared" si="1"/>
        <v>0</v>
      </c>
      <c r="F21" s="29"/>
    </row>
    <row r="22" ht="14.25" customHeight="1">
      <c r="A22" s="14"/>
      <c r="B22" s="24">
        <v>46327.0</v>
      </c>
      <c r="C22" s="25">
        <f>'Cant. Requeridas Producto 1'!AB20</f>
        <v>3960000</v>
      </c>
      <c r="D22" s="29"/>
      <c r="E22" s="27">
        <f t="shared" si="1"/>
        <v>0</v>
      </c>
      <c r="F22" s="29"/>
    </row>
    <row r="23" ht="14.25" customHeight="1">
      <c r="A23" s="14"/>
      <c r="B23" s="24">
        <v>46357.0</v>
      </c>
      <c r="C23" s="25">
        <f>'Cant. Requeridas Producto 1'!AB21</f>
        <v>4092000</v>
      </c>
      <c r="D23" s="30"/>
      <c r="E23" s="27">
        <f t="shared" si="1"/>
        <v>0</v>
      </c>
      <c r="F23" s="30"/>
    </row>
    <row r="24" ht="14.25" customHeight="1">
      <c r="A24" s="14"/>
      <c r="B24" s="31" t="s">
        <v>32</v>
      </c>
      <c r="C24" s="32">
        <f>SUM(C12:C23)</f>
        <v>48180000</v>
      </c>
      <c r="D24" s="33"/>
      <c r="E24" s="32">
        <f>SUM(E12:E23)</f>
        <v>0</v>
      </c>
      <c r="F24" s="33"/>
    </row>
    <row r="25" ht="14.25" customHeight="1">
      <c r="A25" s="14"/>
      <c r="B25" s="15"/>
      <c r="C25" s="34"/>
      <c r="D25" s="15"/>
      <c r="E25" s="15"/>
    </row>
    <row r="26" ht="14.25" customHeight="1">
      <c r="C26" s="35"/>
    </row>
    <row r="27" ht="30.0" customHeight="1">
      <c r="B27" s="36" t="s">
        <v>42</v>
      </c>
      <c r="E27" s="37"/>
    </row>
    <row r="28" ht="38.25" customHeight="1">
      <c r="B28" s="36" t="s">
        <v>43</v>
      </c>
      <c r="I28" s="36"/>
    </row>
    <row r="29" ht="44.25" customHeight="1">
      <c r="B29" s="36" t="s">
        <v>44</v>
      </c>
      <c r="I29" s="36"/>
    </row>
    <row r="30" ht="14.25" customHeight="1">
      <c r="B30" s="38"/>
    </row>
    <row r="31" ht="14.25" customHeight="1"/>
    <row r="32" ht="14.25" customHeight="1"/>
    <row r="33" ht="14.25" customHeight="1">
      <c r="B33" s="39"/>
      <c r="C33" s="39"/>
    </row>
    <row r="34" ht="14.25" customHeight="1">
      <c r="B34" s="40" t="s">
        <v>45</v>
      </c>
    </row>
    <row r="35" ht="14.25" customHeight="1">
      <c r="B35" s="40" t="s">
        <v>46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4">
    <mergeCell ref="D12:D23"/>
    <mergeCell ref="B27:D27"/>
    <mergeCell ref="B28:E28"/>
    <mergeCell ref="I28:N28"/>
    <mergeCell ref="B29:E29"/>
    <mergeCell ref="I29:N29"/>
    <mergeCell ref="B30:E30"/>
    <mergeCell ref="A4:F4"/>
    <mergeCell ref="B5:E5"/>
    <mergeCell ref="B6:E6"/>
    <mergeCell ref="B7:E7"/>
    <mergeCell ref="B8:E8"/>
    <mergeCell ref="B10:F10"/>
    <mergeCell ref="F12:F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5.14"/>
    <col customWidth="1" min="28" max="28" width="12.71"/>
  </cols>
  <sheetData>
    <row r="1" ht="14.25" customHeight="1">
      <c r="A1" s="1" t="s">
        <v>0</v>
      </c>
    </row>
    <row r="2" ht="14.25" customHeight="1">
      <c r="A2" s="1" t="s">
        <v>47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  <c r="Y5" s="4"/>
      <c r="Z5" s="4"/>
      <c r="AA5" s="4"/>
    </row>
    <row r="6" ht="14.25" customHeight="1">
      <c r="A6" s="2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  <c r="W6" s="4"/>
      <c r="X6" s="4"/>
      <c r="Y6" s="4"/>
      <c r="Z6" s="4"/>
      <c r="AA6" s="4"/>
    </row>
    <row r="7" ht="14.25" customHeight="1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</row>
    <row r="10" ht="14.25" customHeight="1">
      <c r="A10" s="7">
        <v>46023.0</v>
      </c>
      <c r="B10" s="8">
        <v>3000.0</v>
      </c>
      <c r="C10" s="8">
        <f t="shared" ref="C10:Y10" si="1">B10</f>
        <v>3000</v>
      </c>
      <c r="D10" s="8">
        <f t="shared" si="1"/>
        <v>3000</v>
      </c>
      <c r="E10" s="8">
        <f t="shared" si="1"/>
        <v>3000</v>
      </c>
      <c r="F10" s="8">
        <f t="shared" si="1"/>
        <v>3000</v>
      </c>
      <c r="G10" s="8">
        <f t="shared" si="1"/>
        <v>3000</v>
      </c>
      <c r="H10" s="8">
        <f t="shared" si="1"/>
        <v>3000</v>
      </c>
      <c r="I10" s="8">
        <f t="shared" si="1"/>
        <v>3000</v>
      </c>
      <c r="J10" s="8">
        <f t="shared" si="1"/>
        <v>3000</v>
      </c>
      <c r="K10" s="8">
        <f t="shared" si="1"/>
        <v>3000</v>
      </c>
      <c r="L10" s="8">
        <f t="shared" si="1"/>
        <v>3000</v>
      </c>
      <c r="M10" s="8">
        <f t="shared" si="1"/>
        <v>3000</v>
      </c>
      <c r="N10" s="8">
        <f t="shared" si="1"/>
        <v>3000</v>
      </c>
      <c r="O10" s="8">
        <f t="shared" si="1"/>
        <v>3000</v>
      </c>
      <c r="P10" s="8">
        <f t="shared" si="1"/>
        <v>3000</v>
      </c>
      <c r="Q10" s="8">
        <f t="shared" si="1"/>
        <v>3000</v>
      </c>
      <c r="R10" s="8">
        <f t="shared" si="1"/>
        <v>3000</v>
      </c>
      <c r="S10" s="8">
        <f t="shared" si="1"/>
        <v>3000</v>
      </c>
      <c r="T10" s="8">
        <f t="shared" si="1"/>
        <v>3000</v>
      </c>
      <c r="U10" s="8">
        <f t="shared" si="1"/>
        <v>3000</v>
      </c>
      <c r="V10" s="8">
        <f t="shared" si="1"/>
        <v>3000</v>
      </c>
      <c r="W10" s="8">
        <f t="shared" si="1"/>
        <v>3000</v>
      </c>
      <c r="X10" s="8">
        <f t="shared" si="1"/>
        <v>3000</v>
      </c>
      <c r="Y10" s="8">
        <f t="shared" si="1"/>
        <v>3000</v>
      </c>
      <c r="Z10" s="9">
        <f t="shared" ref="Z10:Z21" si="3">SUM(B10:Y10)</f>
        <v>72000</v>
      </c>
      <c r="AA10" s="10">
        <v>31.0</v>
      </c>
      <c r="AB10" s="9">
        <f t="shared" ref="AB10:AB21" si="4">Z10*AA10</f>
        <v>2232000</v>
      </c>
    </row>
    <row r="11" ht="14.25" customHeight="1">
      <c r="A11" s="7">
        <v>46054.0</v>
      </c>
      <c r="B11" s="8">
        <f t="shared" ref="B11:B21" si="5">B10</f>
        <v>3000</v>
      </c>
      <c r="C11" s="8">
        <f t="shared" ref="C11:Y11" si="2">B11</f>
        <v>3000</v>
      </c>
      <c r="D11" s="8">
        <f t="shared" si="2"/>
        <v>3000</v>
      </c>
      <c r="E11" s="8">
        <f t="shared" si="2"/>
        <v>3000</v>
      </c>
      <c r="F11" s="8">
        <f t="shared" si="2"/>
        <v>3000</v>
      </c>
      <c r="G11" s="8">
        <f t="shared" si="2"/>
        <v>3000</v>
      </c>
      <c r="H11" s="8">
        <f t="shared" si="2"/>
        <v>3000</v>
      </c>
      <c r="I11" s="8">
        <f t="shared" si="2"/>
        <v>3000</v>
      </c>
      <c r="J11" s="8">
        <f t="shared" si="2"/>
        <v>3000</v>
      </c>
      <c r="K11" s="8">
        <f t="shared" si="2"/>
        <v>3000</v>
      </c>
      <c r="L11" s="8">
        <f t="shared" si="2"/>
        <v>3000</v>
      </c>
      <c r="M11" s="8">
        <f t="shared" si="2"/>
        <v>3000</v>
      </c>
      <c r="N11" s="8">
        <f t="shared" si="2"/>
        <v>3000</v>
      </c>
      <c r="O11" s="8">
        <f t="shared" si="2"/>
        <v>3000</v>
      </c>
      <c r="P11" s="8">
        <f t="shared" si="2"/>
        <v>3000</v>
      </c>
      <c r="Q11" s="8">
        <f t="shared" si="2"/>
        <v>3000</v>
      </c>
      <c r="R11" s="8">
        <f t="shared" si="2"/>
        <v>3000</v>
      </c>
      <c r="S11" s="8">
        <f t="shared" si="2"/>
        <v>3000</v>
      </c>
      <c r="T11" s="8">
        <f t="shared" si="2"/>
        <v>3000</v>
      </c>
      <c r="U11" s="8">
        <f t="shared" si="2"/>
        <v>3000</v>
      </c>
      <c r="V11" s="8">
        <f t="shared" si="2"/>
        <v>3000</v>
      </c>
      <c r="W11" s="8">
        <f t="shared" si="2"/>
        <v>3000</v>
      </c>
      <c r="X11" s="8">
        <f t="shared" si="2"/>
        <v>3000</v>
      </c>
      <c r="Y11" s="8">
        <f t="shared" si="2"/>
        <v>3000</v>
      </c>
      <c r="Z11" s="9">
        <f t="shared" si="3"/>
        <v>72000</v>
      </c>
      <c r="AA11" s="9">
        <v>28.0</v>
      </c>
      <c r="AB11" s="9">
        <f t="shared" si="4"/>
        <v>2016000</v>
      </c>
    </row>
    <row r="12" ht="14.25" customHeight="1">
      <c r="A12" s="7">
        <v>46082.0</v>
      </c>
      <c r="B12" s="8">
        <f t="shared" si="5"/>
        <v>3000</v>
      </c>
      <c r="C12" s="8">
        <f t="shared" ref="C12:Y12" si="6">B12</f>
        <v>3000</v>
      </c>
      <c r="D12" s="8">
        <f t="shared" si="6"/>
        <v>3000</v>
      </c>
      <c r="E12" s="8">
        <f t="shared" si="6"/>
        <v>3000</v>
      </c>
      <c r="F12" s="8">
        <f t="shared" si="6"/>
        <v>3000</v>
      </c>
      <c r="G12" s="8">
        <f t="shared" si="6"/>
        <v>3000</v>
      </c>
      <c r="H12" s="8">
        <f t="shared" si="6"/>
        <v>3000</v>
      </c>
      <c r="I12" s="8">
        <f t="shared" si="6"/>
        <v>3000</v>
      </c>
      <c r="J12" s="8">
        <f t="shared" si="6"/>
        <v>3000</v>
      </c>
      <c r="K12" s="8">
        <f t="shared" si="6"/>
        <v>3000</v>
      </c>
      <c r="L12" s="8">
        <f t="shared" si="6"/>
        <v>3000</v>
      </c>
      <c r="M12" s="8">
        <f t="shared" si="6"/>
        <v>3000</v>
      </c>
      <c r="N12" s="8">
        <f t="shared" si="6"/>
        <v>3000</v>
      </c>
      <c r="O12" s="8">
        <f t="shared" si="6"/>
        <v>3000</v>
      </c>
      <c r="P12" s="8">
        <f t="shared" si="6"/>
        <v>3000</v>
      </c>
      <c r="Q12" s="8">
        <f t="shared" si="6"/>
        <v>3000</v>
      </c>
      <c r="R12" s="8">
        <f t="shared" si="6"/>
        <v>3000</v>
      </c>
      <c r="S12" s="8">
        <f t="shared" si="6"/>
        <v>3000</v>
      </c>
      <c r="T12" s="8">
        <f t="shared" si="6"/>
        <v>3000</v>
      </c>
      <c r="U12" s="8">
        <f t="shared" si="6"/>
        <v>3000</v>
      </c>
      <c r="V12" s="8">
        <f t="shared" si="6"/>
        <v>3000</v>
      </c>
      <c r="W12" s="8">
        <f t="shared" si="6"/>
        <v>3000</v>
      </c>
      <c r="X12" s="8">
        <f t="shared" si="6"/>
        <v>3000</v>
      </c>
      <c r="Y12" s="8">
        <f t="shared" si="6"/>
        <v>3000</v>
      </c>
      <c r="Z12" s="9">
        <f t="shared" si="3"/>
        <v>72000</v>
      </c>
      <c r="AA12" s="9">
        <v>31.0</v>
      </c>
      <c r="AB12" s="9">
        <f t="shared" si="4"/>
        <v>2232000</v>
      </c>
    </row>
    <row r="13" ht="14.25" customHeight="1">
      <c r="A13" s="7">
        <v>46113.0</v>
      </c>
      <c r="B13" s="8">
        <f t="shared" si="5"/>
        <v>3000</v>
      </c>
      <c r="C13" s="8">
        <f t="shared" ref="C13:Y13" si="7">B13</f>
        <v>3000</v>
      </c>
      <c r="D13" s="8">
        <f t="shared" si="7"/>
        <v>3000</v>
      </c>
      <c r="E13" s="8">
        <f t="shared" si="7"/>
        <v>3000</v>
      </c>
      <c r="F13" s="8">
        <f t="shared" si="7"/>
        <v>3000</v>
      </c>
      <c r="G13" s="8">
        <f t="shared" si="7"/>
        <v>3000</v>
      </c>
      <c r="H13" s="8">
        <f t="shared" si="7"/>
        <v>3000</v>
      </c>
      <c r="I13" s="8">
        <f t="shared" si="7"/>
        <v>3000</v>
      </c>
      <c r="J13" s="8">
        <f t="shared" si="7"/>
        <v>3000</v>
      </c>
      <c r="K13" s="8">
        <f t="shared" si="7"/>
        <v>3000</v>
      </c>
      <c r="L13" s="8">
        <f t="shared" si="7"/>
        <v>3000</v>
      </c>
      <c r="M13" s="8">
        <f t="shared" si="7"/>
        <v>3000</v>
      </c>
      <c r="N13" s="8">
        <f t="shared" si="7"/>
        <v>3000</v>
      </c>
      <c r="O13" s="8">
        <f t="shared" si="7"/>
        <v>3000</v>
      </c>
      <c r="P13" s="8">
        <f t="shared" si="7"/>
        <v>3000</v>
      </c>
      <c r="Q13" s="8">
        <f t="shared" si="7"/>
        <v>3000</v>
      </c>
      <c r="R13" s="8">
        <f t="shared" si="7"/>
        <v>3000</v>
      </c>
      <c r="S13" s="8">
        <f t="shared" si="7"/>
        <v>3000</v>
      </c>
      <c r="T13" s="8">
        <f t="shared" si="7"/>
        <v>3000</v>
      </c>
      <c r="U13" s="8">
        <f t="shared" si="7"/>
        <v>3000</v>
      </c>
      <c r="V13" s="8">
        <f t="shared" si="7"/>
        <v>3000</v>
      </c>
      <c r="W13" s="8">
        <f t="shared" si="7"/>
        <v>3000</v>
      </c>
      <c r="X13" s="8">
        <f t="shared" si="7"/>
        <v>3000</v>
      </c>
      <c r="Y13" s="8">
        <f t="shared" si="7"/>
        <v>3000</v>
      </c>
      <c r="Z13" s="9">
        <f t="shared" si="3"/>
        <v>72000</v>
      </c>
      <c r="AA13" s="9">
        <v>30.0</v>
      </c>
      <c r="AB13" s="9">
        <f t="shared" si="4"/>
        <v>2160000</v>
      </c>
    </row>
    <row r="14" ht="14.25" customHeight="1">
      <c r="A14" s="7">
        <v>46143.0</v>
      </c>
      <c r="B14" s="8">
        <f t="shared" si="5"/>
        <v>3000</v>
      </c>
      <c r="C14" s="8">
        <f t="shared" ref="C14:Y14" si="8">B14</f>
        <v>3000</v>
      </c>
      <c r="D14" s="8">
        <f t="shared" si="8"/>
        <v>3000</v>
      </c>
      <c r="E14" s="8">
        <f t="shared" si="8"/>
        <v>3000</v>
      </c>
      <c r="F14" s="8">
        <f t="shared" si="8"/>
        <v>3000</v>
      </c>
      <c r="G14" s="8">
        <f t="shared" si="8"/>
        <v>3000</v>
      </c>
      <c r="H14" s="8">
        <f t="shared" si="8"/>
        <v>3000</v>
      </c>
      <c r="I14" s="8">
        <f t="shared" si="8"/>
        <v>3000</v>
      </c>
      <c r="J14" s="8">
        <f t="shared" si="8"/>
        <v>3000</v>
      </c>
      <c r="K14" s="8">
        <f t="shared" si="8"/>
        <v>3000</v>
      </c>
      <c r="L14" s="8">
        <f t="shared" si="8"/>
        <v>3000</v>
      </c>
      <c r="M14" s="8">
        <f t="shared" si="8"/>
        <v>3000</v>
      </c>
      <c r="N14" s="8">
        <f t="shared" si="8"/>
        <v>3000</v>
      </c>
      <c r="O14" s="8">
        <f t="shared" si="8"/>
        <v>3000</v>
      </c>
      <c r="P14" s="8">
        <f t="shared" si="8"/>
        <v>3000</v>
      </c>
      <c r="Q14" s="8">
        <f t="shared" si="8"/>
        <v>3000</v>
      </c>
      <c r="R14" s="8">
        <f t="shared" si="8"/>
        <v>3000</v>
      </c>
      <c r="S14" s="8">
        <f t="shared" si="8"/>
        <v>3000</v>
      </c>
      <c r="T14" s="8">
        <f t="shared" si="8"/>
        <v>3000</v>
      </c>
      <c r="U14" s="8">
        <f t="shared" si="8"/>
        <v>3000</v>
      </c>
      <c r="V14" s="8">
        <f t="shared" si="8"/>
        <v>3000</v>
      </c>
      <c r="W14" s="8">
        <f t="shared" si="8"/>
        <v>3000</v>
      </c>
      <c r="X14" s="8">
        <f t="shared" si="8"/>
        <v>3000</v>
      </c>
      <c r="Y14" s="8">
        <f t="shared" si="8"/>
        <v>3000</v>
      </c>
      <c r="Z14" s="9">
        <f t="shared" si="3"/>
        <v>72000</v>
      </c>
      <c r="AA14" s="9">
        <v>31.0</v>
      </c>
      <c r="AB14" s="9">
        <f t="shared" si="4"/>
        <v>2232000</v>
      </c>
    </row>
    <row r="15" ht="14.25" customHeight="1">
      <c r="A15" s="7">
        <v>46174.0</v>
      </c>
      <c r="B15" s="8">
        <f t="shared" si="5"/>
        <v>3000</v>
      </c>
      <c r="C15" s="8">
        <f t="shared" ref="C15:Y15" si="9">B15</f>
        <v>3000</v>
      </c>
      <c r="D15" s="8">
        <f t="shared" si="9"/>
        <v>3000</v>
      </c>
      <c r="E15" s="8">
        <f t="shared" si="9"/>
        <v>3000</v>
      </c>
      <c r="F15" s="8">
        <f t="shared" si="9"/>
        <v>3000</v>
      </c>
      <c r="G15" s="8">
        <f t="shared" si="9"/>
        <v>3000</v>
      </c>
      <c r="H15" s="8">
        <f t="shared" si="9"/>
        <v>3000</v>
      </c>
      <c r="I15" s="8">
        <f t="shared" si="9"/>
        <v>3000</v>
      </c>
      <c r="J15" s="8">
        <f t="shared" si="9"/>
        <v>3000</v>
      </c>
      <c r="K15" s="8">
        <f t="shared" si="9"/>
        <v>3000</v>
      </c>
      <c r="L15" s="8">
        <f t="shared" si="9"/>
        <v>3000</v>
      </c>
      <c r="M15" s="8">
        <f t="shared" si="9"/>
        <v>3000</v>
      </c>
      <c r="N15" s="8">
        <f t="shared" si="9"/>
        <v>3000</v>
      </c>
      <c r="O15" s="8">
        <f t="shared" si="9"/>
        <v>3000</v>
      </c>
      <c r="P15" s="8">
        <f t="shared" si="9"/>
        <v>3000</v>
      </c>
      <c r="Q15" s="8">
        <f t="shared" si="9"/>
        <v>3000</v>
      </c>
      <c r="R15" s="8">
        <f t="shared" si="9"/>
        <v>3000</v>
      </c>
      <c r="S15" s="8">
        <f t="shared" si="9"/>
        <v>3000</v>
      </c>
      <c r="T15" s="8">
        <f t="shared" si="9"/>
        <v>3000</v>
      </c>
      <c r="U15" s="8">
        <f t="shared" si="9"/>
        <v>3000</v>
      </c>
      <c r="V15" s="8">
        <f t="shared" si="9"/>
        <v>3000</v>
      </c>
      <c r="W15" s="8">
        <f t="shared" si="9"/>
        <v>3000</v>
      </c>
      <c r="X15" s="8">
        <f t="shared" si="9"/>
        <v>3000</v>
      </c>
      <c r="Y15" s="8">
        <f t="shared" si="9"/>
        <v>3000</v>
      </c>
      <c r="Z15" s="9">
        <f t="shared" si="3"/>
        <v>72000</v>
      </c>
      <c r="AA15" s="9">
        <v>30.0</v>
      </c>
      <c r="AB15" s="9">
        <f t="shared" si="4"/>
        <v>2160000</v>
      </c>
    </row>
    <row r="16" ht="14.25" customHeight="1">
      <c r="A16" s="7">
        <v>46204.0</v>
      </c>
      <c r="B16" s="8">
        <f t="shared" si="5"/>
        <v>3000</v>
      </c>
      <c r="C16" s="8">
        <f t="shared" ref="C16:Y16" si="10">B16</f>
        <v>3000</v>
      </c>
      <c r="D16" s="8">
        <f t="shared" si="10"/>
        <v>3000</v>
      </c>
      <c r="E16" s="8">
        <f t="shared" si="10"/>
        <v>3000</v>
      </c>
      <c r="F16" s="8">
        <f t="shared" si="10"/>
        <v>3000</v>
      </c>
      <c r="G16" s="8">
        <f t="shared" si="10"/>
        <v>3000</v>
      </c>
      <c r="H16" s="8">
        <f t="shared" si="10"/>
        <v>3000</v>
      </c>
      <c r="I16" s="8">
        <f t="shared" si="10"/>
        <v>3000</v>
      </c>
      <c r="J16" s="8">
        <f t="shared" si="10"/>
        <v>3000</v>
      </c>
      <c r="K16" s="8">
        <f t="shared" si="10"/>
        <v>3000</v>
      </c>
      <c r="L16" s="8">
        <f t="shared" si="10"/>
        <v>3000</v>
      </c>
      <c r="M16" s="8">
        <f t="shared" si="10"/>
        <v>3000</v>
      </c>
      <c r="N16" s="8">
        <f t="shared" si="10"/>
        <v>3000</v>
      </c>
      <c r="O16" s="8">
        <f t="shared" si="10"/>
        <v>3000</v>
      </c>
      <c r="P16" s="8">
        <f t="shared" si="10"/>
        <v>3000</v>
      </c>
      <c r="Q16" s="8">
        <f t="shared" si="10"/>
        <v>3000</v>
      </c>
      <c r="R16" s="8">
        <f t="shared" si="10"/>
        <v>3000</v>
      </c>
      <c r="S16" s="8">
        <f t="shared" si="10"/>
        <v>3000</v>
      </c>
      <c r="T16" s="8">
        <f t="shared" si="10"/>
        <v>3000</v>
      </c>
      <c r="U16" s="8">
        <f t="shared" si="10"/>
        <v>3000</v>
      </c>
      <c r="V16" s="8">
        <f t="shared" si="10"/>
        <v>3000</v>
      </c>
      <c r="W16" s="8">
        <f t="shared" si="10"/>
        <v>3000</v>
      </c>
      <c r="X16" s="8">
        <f t="shared" si="10"/>
        <v>3000</v>
      </c>
      <c r="Y16" s="8">
        <f t="shared" si="10"/>
        <v>3000</v>
      </c>
      <c r="Z16" s="9">
        <f t="shared" si="3"/>
        <v>72000</v>
      </c>
      <c r="AA16" s="9">
        <v>31.0</v>
      </c>
      <c r="AB16" s="9">
        <f t="shared" si="4"/>
        <v>2232000</v>
      </c>
    </row>
    <row r="17" ht="14.25" customHeight="1">
      <c r="A17" s="7">
        <v>46235.0</v>
      </c>
      <c r="B17" s="8">
        <f t="shared" si="5"/>
        <v>3000</v>
      </c>
      <c r="C17" s="8">
        <f t="shared" ref="C17:Y17" si="11">B17</f>
        <v>3000</v>
      </c>
      <c r="D17" s="8">
        <f t="shared" si="11"/>
        <v>3000</v>
      </c>
      <c r="E17" s="8">
        <f t="shared" si="11"/>
        <v>3000</v>
      </c>
      <c r="F17" s="8">
        <f t="shared" si="11"/>
        <v>3000</v>
      </c>
      <c r="G17" s="8">
        <f t="shared" si="11"/>
        <v>3000</v>
      </c>
      <c r="H17" s="8">
        <f t="shared" si="11"/>
        <v>3000</v>
      </c>
      <c r="I17" s="8">
        <f t="shared" si="11"/>
        <v>3000</v>
      </c>
      <c r="J17" s="8">
        <f t="shared" si="11"/>
        <v>3000</v>
      </c>
      <c r="K17" s="8">
        <f t="shared" si="11"/>
        <v>3000</v>
      </c>
      <c r="L17" s="8">
        <f t="shared" si="11"/>
        <v>3000</v>
      </c>
      <c r="M17" s="8">
        <f t="shared" si="11"/>
        <v>3000</v>
      </c>
      <c r="N17" s="8">
        <f t="shared" si="11"/>
        <v>3000</v>
      </c>
      <c r="O17" s="8">
        <f t="shared" si="11"/>
        <v>3000</v>
      </c>
      <c r="P17" s="8">
        <f t="shared" si="11"/>
        <v>3000</v>
      </c>
      <c r="Q17" s="8">
        <f t="shared" si="11"/>
        <v>3000</v>
      </c>
      <c r="R17" s="8">
        <f t="shared" si="11"/>
        <v>3000</v>
      </c>
      <c r="S17" s="8">
        <f t="shared" si="11"/>
        <v>3000</v>
      </c>
      <c r="T17" s="8">
        <f t="shared" si="11"/>
        <v>3000</v>
      </c>
      <c r="U17" s="8">
        <f t="shared" si="11"/>
        <v>3000</v>
      </c>
      <c r="V17" s="8">
        <f t="shared" si="11"/>
        <v>3000</v>
      </c>
      <c r="W17" s="8">
        <f t="shared" si="11"/>
        <v>3000</v>
      </c>
      <c r="X17" s="8">
        <f t="shared" si="11"/>
        <v>3000</v>
      </c>
      <c r="Y17" s="8">
        <f t="shared" si="11"/>
        <v>3000</v>
      </c>
      <c r="Z17" s="9">
        <f t="shared" si="3"/>
        <v>72000</v>
      </c>
      <c r="AA17" s="9">
        <v>31.0</v>
      </c>
      <c r="AB17" s="9">
        <f t="shared" si="4"/>
        <v>2232000</v>
      </c>
    </row>
    <row r="18" ht="14.25" customHeight="1">
      <c r="A18" s="7">
        <v>46266.0</v>
      </c>
      <c r="B18" s="8">
        <f t="shared" si="5"/>
        <v>3000</v>
      </c>
      <c r="C18" s="8">
        <f t="shared" ref="C18:Y18" si="12">B18</f>
        <v>3000</v>
      </c>
      <c r="D18" s="8">
        <f t="shared" si="12"/>
        <v>3000</v>
      </c>
      <c r="E18" s="8">
        <f t="shared" si="12"/>
        <v>3000</v>
      </c>
      <c r="F18" s="8">
        <f t="shared" si="12"/>
        <v>3000</v>
      </c>
      <c r="G18" s="8">
        <f t="shared" si="12"/>
        <v>3000</v>
      </c>
      <c r="H18" s="8">
        <f t="shared" si="12"/>
        <v>3000</v>
      </c>
      <c r="I18" s="8">
        <f t="shared" si="12"/>
        <v>3000</v>
      </c>
      <c r="J18" s="8">
        <f t="shared" si="12"/>
        <v>3000</v>
      </c>
      <c r="K18" s="8">
        <f t="shared" si="12"/>
        <v>3000</v>
      </c>
      <c r="L18" s="8">
        <f t="shared" si="12"/>
        <v>3000</v>
      </c>
      <c r="M18" s="8">
        <f t="shared" si="12"/>
        <v>3000</v>
      </c>
      <c r="N18" s="8">
        <f t="shared" si="12"/>
        <v>3000</v>
      </c>
      <c r="O18" s="8">
        <f t="shared" si="12"/>
        <v>3000</v>
      </c>
      <c r="P18" s="8">
        <f t="shared" si="12"/>
        <v>3000</v>
      </c>
      <c r="Q18" s="8">
        <f t="shared" si="12"/>
        <v>3000</v>
      </c>
      <c r="R18" s="8">
        <f t="shared" si="12"/>
        <v>3000</v>
      </c>
      <c r="S18" s="8">
        <f t="shared" si="12"/>
        <v>3000</v>
      </c>
      <c r="T18" s="8">
        <f t="shared" si="12"/>
        <v>3000</v>
      </c>
      <c r="U18" s="8">
        <f t="shared" si="12"/>
        <v>3000</v>
      </c>
      <c r="V18" s="8">
        <f t="shared" si="12"/>
        <v>3000</v>
      </c>
      <c r="W18" s="8">
        <f t="shared" si="12"/>
        <v>3000</v>
      </c>
      <c r="X18" s="8">
        <f t="shared" si="12"/>
        <v>3000</v>
      </c>
      <c r="Y18" s="8">
        <f t="shared" si="12"/>
        <v>3000</v>
      </c>
      <c r="Z18" s="9">
        <f t="shared" si="3"/>
        <v>72000</v>
      </c>
      <c r="AA18" s="9">
        <v>30.0</v>
      </c>
      <c r="AB18" s="9">
        <f t="shared" si="4"/>
        <v>2160000</v>
      </c>
    </row>
    <row r="19" ht="14.25" customHeight="1">
      <c r="A19" s="7">
        <v>46296.0</v>
      </c>
      <c r="B19" s="8">
        <f t="shared" si="5"/>
        <v>3000</v>
      </c>
      <c r="C19" s="8">
        <f t="shared" ref="C19:Y19" si="13">B19</f>
        <v>3000</v>
      </c>
      <c r="D19" s="8">
        <f t="shared" si="13"/>
        <v>3000</v>
      </c>
      <c r="E19" s="8">
        <f t="shared" si="13"/>
        <v>3000</v>
      </c>
      <c r="F19" s="8">
        <f t="shared" si="13"/>
        <v>3000</v>
      </c>
      <c r="G19" s="8">
        <f t="shared" si="13"/>
        <v>3000</v>
      </c>
      <c r="H19" s="8">
        <f t="shared" si="13"/>
        <v>3000</v>
      </c>
      <c r="I19" s="8">
        <f t="shared" si="13"/>
        <v>3000</v>
      </c>
      <c r="J19" s="8">
        <f t="shared" si="13"/>
        <v>3000</v>
      </c>
      <c r="K19" s="8">
        <f t="shared" si="13"/>
        <v>3000</v>
      </c>
      <c r="L19" s="8">
        <f t="shared" si="13"/>
        <v>3000</v>
      </c>
      <c r="M19" s="8">
        <f t="shared" si="13"/>
        <v>3000</v>
      </c>
      <c r="N19" s="8">
        <f t="shared" si="13"/>
        <v>3000</v>
      </c>
      <c r="O19" s="8">
        <f t="shared" si="13"/>
        <v>3000</v>
      </c>
      <c r="P19" s="8">
        <f t="shared" si="13"/>
        <v>3000</v>
      </c>
      <c r="Q19" s="8">
        <f t="shared" si="13"/>
        <v>3000</v>
      </c>
      <c r="R19" s="8">
        <f t="shared" si="13"/>
        <v>3000</v>
      </c>
      <c r="S19" s="8">
        <f t="shared" si="13"/>
        <v>3000</v>
      </c>
      <c r="T19" s="8">
        <f t="shared" si="13"/>
        <v>3000</v>
      </c>
      <c r="U19" s="8">
        <f t="shared" si="13"/>
        <v>3000</v>
      </c>
      <c r="V19" s="8">
        <f t="shared" si="13"/>
        <v>3000</v>
      </c>
      <c r="W19" s="8">
        <f t="shared" si="13"/>
        <v>3000</v>
      </c>
      <c r="X19" s="8">
        <f t="shared" si="13"/>
        <v>3000</v>
      </c>
      <c r="Y19" s="8">
        <f t="shared" si="13"/>
        <v>3000</v>
      </c>
      <c r="Z19" s="9">
        <f t="shared" si="3"/>
        <v>72000</v>
      </c>
      <c r="AA19" s="9">
        <v>31.0</v>
      </c>
      <c r="AB19" s="9">
        <f t="shared" si="4"/>
        <v>2232000</v>
      </c>
    </row>
    <row r="20" ht="14.25" customHeight="1">
      <c r="A20" s="7">
        <v>46327.0</v>
      </c>
      <c r="B20" s="8">
        <f t="shared" si="5"/>
        <v>3000</v>
      </c>
      <c r="C20" s="8">
        <f t="shared" ref="C20:Y20" si="14">B20</f>
        <v>3000</v>
      </c>
      <c r="D20" s="8">
        <f t="shared" si="14"/>
        <v>3000</v>
      </c>
      <c r="E20" s="8">
        <f t="shared" si="14"/>
        <v>3000</v>
      </c>
      <c r="F20" s="8">
        <f t="shared" si="14"/>
        <v>3000</v>
      </c>
      <c r="G20" s="8">
        <f t="shared" si="14"/>
        <v>3000</v>
      </c>
      <c r="H20" s="8">
        <f t="shared" si="14"/>
        <v>3000</v>
      </c>
      <c r="I20" s="8">
        <f t="shared" si="14"/>
        <v>3000</v>
      </c>
      <c r="J20" s="8">
        <f t="shared" si="14"/>
        <v>3000</v>
      </c>
      <c r="K20" s="8">
        <f t="shared" si="14"/>
        <v>3000</v>
      </c>
      <c r="L20" s="8">
        <f t="shared" si="14"/>
        <v>3000</v>
      </c>
      <c r="M20" s="8">
        <f t="shared" si="14"/>
        <v>3000</v>
      </c>
      <c r="N20" s="8">
        <f t="shared" si="14"/>
        <v>3000</v>
      </c>
      <c r="O20" s="8">
        <f t="shared" si="14"/>
        <v>3000</v>
      </c>
      <c r="P20" s="8">
        <f t="shared" si="14"/>
        <v>3000</v>
      </c>
      <c r="Q20" s="8">
        <f t="shared" si="14"/>
        <v>3000</v>
      </c>
      <c r="R20" s="8">
        <f t="shared" si="14"/>
        <v>3000</v>
      </c>
      <c r="S20" s="8">
        <f t="shared" si="14"/>
        <v>3000</v>
      </c>
      <c r="T20" s="8">
        <f t="shared" si="14"/>
        <v>3000</v>
      </c>
      <c r="U20" s="8">
        <f t="shared" si="14"/>
        <v>3000</v>
      </c>
      <c r="V20" s="8">
        <f t="shared" si="14"/>
        <v>3000</v>
      </c>
      <c r="W20" s="8">
        <f t="shared" si="14"/>
        <v>3000</v>
      </c>
      <c r="X20" s="8">
        <f t="shared" si="14"/>
        <v>3000</v>
      </c>
      <c r="Y20" s="8">
        <f t="shared" si="14"/>
        <v>3000</v>
      </c>
      <c r="Z20" s="9">
        <f t="shared" si="3"/>
        <v>72000</v>
      </c>
      <c r="AA20" s="9">
        <v>30.0</v>
      </c>
      <c r="AB20" s="9">
        <f t="shared" si="4"/>
        <v>2160000</v>
      </c>
    </row>
    <row r="21" ht="14.25" customHeight="1">
      <c r="A21" s="7">
        <v>46357.0</v>
      </c>
      <c r="B21" s="8">
        <f t="shared" si="5"/>
        <v>3000</v>
      </c>
      <c r="C21" s="8">
        <f t="shared" ref="C21:Y21" si="15">B21</f>
        <v>3000</v>
      </c>
      <c r="D21" s="8">
        <f t="shared" si="15"/>
        <v>3000</v>
      </c>
      <c r="E21" s="8">
        <f t="shared" si="15"/>
        <v>3000</v>
      </c>
      <c r="F21" s="8">
        <f t="shared" si="15"/>
        <v>3000</v>
      </c>
      <c r="G21" s="8">
        <f t="shared" si="15"/>
        <v>3000</v>
      </c>
      <c r="H21" s="8">
        <f t="shared" si="15"/>
        <v>3000</v>
      </c>
      <c r="I21" s="8">
        <f t="shared" si="15"/>
        <v>3000</v>
      </c>
      <c r="J21" s="8">
        <f t="shared" si="15"/>
        <v>3000</v>
      </c>
      <c r="K21" s="8">
        <f t="shared" si="15"/>
        <v>3000</v>
      </c>
      <c r="L21" s="8">
        <f t="shared" si="15"/>
        <v>3000</v>
      </c>
      <c r="M21" s="8">
        <f t="shared" si="15"/>
        <v>3000</v>
      </c>
      <c r="N21" s="8">
        <f t="shared" si="15"/>
        <v>3000</v>
      </c>
      <c r="O21" s="8">
        <f t="shared" si="15"/>
        <v>3000</v>
      </c>
      <c r="P21" s="8">
        <f t="shared" si="15"/>
        <v>3000</v>
      </c>
      <c r="Q21" s="8">
        <f t="shared" si="15"/>
        <v>3000</v>
      </c>
      <c r="R21" s="8">
        <f t="shared" si="15"/>
        <v>3000</v>
      </c>
      <c r="S21" s="8">
        <f t="shared" si="15"/>
        <v>3000</v>
      </c>
      <c r="T21" s="8">
        <f t="shared" si="15"/>
        <v>3000</v>
      </c>
      <c r="U21" s="8">
        <f t="shared" si="15"/>
        <v>3000</v>
      </c>
      <c r="V21" s="8">
        <f t="shared" si="15"/>
        <v>3000</v>
      </c>
      <c r="W21" s="8">
        <f t="shared" si="15"/>
        <v>3000</v>
      </c>
      <c r="X21" s="8">
        <f t="shared" si="15"/>
        <v>3000</v>
      </c>
      <c r="Y21" s="8">
        <f t="shared" si="15"/>
        <v>3000</v>
      </c>
      <c r="Z21" s="9">
        <f t="shared" si="3"/>
        <v>72000</v>
      </c>
      <c r="AA21" s="9">
        <v>31.0</v>
      </c>
      <c r="AB21" s="9">
        <f t="shared" si="4"/>
        <v>2232000</v>
      </c>
    </row>
    <row r="22" ht="14.25" customHeight="1">
      <c r="Z22" s="41" t="s">
        <v>48</v>
      </c>
      <c r="AA22" s="42"/>
      <c r="AB22" s="43">
        <f>SUM(AB10:AB21)</f>
        <v>26280000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</sheetData>
  <mergeCells count="5">
    <mergeCell ref="A1:AB1"/>
    <mergeCell ref="A2:AB2"/>
    <mergeCell ref="A3:AB3"/>
    <mergeCell ref="A4:AB4"/>
    <mergeCell ref="Z22:AA2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7.0"/>
    <col customWidth="1" min="4" max="4" width="13.0"/>
    <col customWidth="1" min="5" max="5" width="12.43"/>
    <col customWidth="1" min="6" max="19" width="10.71"/>
  </cols>
  <sheetData>
    <row r="1" ht="14.25" customHeight="1"/>
    <row r="2" ht="14.25" customHeight="1"/>
    <row r="3" ht="14.25" customHeight="1"/>
    <row r="4" ht="14.25" customHeight="1">
      <c r="A4" s="13" t="s">
        <v>3</v>
      </c>
    </row>
    <row r="5" ht="14.25" customHeight="1">
      <c r="A5" s="14"/>
      <c r="B5" s="15" t="s">
        <v>49</v>
      </c>
    </row>
    <row r="6" ht="14.25" customHeight="1">
      <c r="A6" s="14"/>
      <c r="B6" s="13" t="s">
        <v>34</v>
      </c>
    </row>
    <row r="7" ht="14.25" customHeight="1">
      <c r="A7" s="14"/>
      <c r="B7" s="15" t="s">
        <v>35</v>
      </c>
    </row>
    <row r="8" ht="14.25" customHeight="1">
      <c r="A8" s="14"/>
      <c r="B8" s="16" t="s">
        <v>36</v>
      </c>
    </row>
    <row r="9" ht="14.25" customHeight="1">
      <c r="A9" s="14"/>
      <c r="B9" s="15"/>
      <c r="C9" s="15"/>
      <c r="D9" s="15"/>
      <c r="E9" s="15"/>
    </row>
    <row r="10" ht="14.25" customHeight="1">
      <c r="A10" s="14"/>
      <c r="B10" s="17" t="s">
        <v>37</v>
      </c>
      <c r="C10" s="18"/>
      <c r="D10" s="19"/>
      <c r="E10" s="15"/>
    </row>
    <row r="11">
      <c r="A11" s="14"/>
      <c r="B11" s="44" t="s">
        <v>4</v>
      </c>
      <c r="C11" s="45" t="s">
        <v>38</v>
      </c>
      <c r="D11" s="46" t="s">
        <v>39</v>
      </c>
      <c r="E11" s="22" t="s">
        <v>40</v>
      </c>
      <c r="F11" s="23" t="s">
        <v>41</v>
      </c>
    </row>
    <row r="12" ht="14.25" customHeight="1">
      <c r="A12" s="14"/>
      <c r="B12" s="47">
        <v>46023.0</v>
      </c>
      <c r="C12" s="48">
        <f>'Cant. Requeridas Producto 2'!AB10</f>
        <v>2232000</v>
      </c>
      <c r="D12" s="49"/>
      <c r="E12" s="27">
        <f t="shared" ref="E12:E23" si="1">C12*D12</f>
        <v>0</v>
      </c>
      <c r="F12" s="28"/>
      <c r="G12" s="50"/>
    </row>
    <row r="13" ht="14.25" customHeight="1">
      <c r="A13" s="14"/>
      <c r="B13" s="51">
        <v>46054.0</v>
      </c>
      <c r="C13" s="52">
        <f>'Cant. Requeridas Producto 2'!AB11</f>
        <v>2016000</v>
      </c>
      <c r="D13" s="53"/>
      <c r="E13" s="27">
        <f t="shared" si="1"/>
        <v>0</v>
      </c>
      <c r="F13" s="29"/>
      <c r="G13" s="50"/>
    </row>
    <row r="14" ht="14.25" customHeight="1">
      <c r="A14" s="14"/>
      <c r="B14" s="54">
        <v>46082.0</v>
      </c>
      <c r="C14" s="52">
        <f>'Cant. Requeridas Producto 2'!AB12</f>
        <v>2232000</v>
      </c>
      <c r="D14" s="53"/>
      <c r="E14" s="27">
        <f t="shared" si="1"/>
        <v>0</v>
      </c>
      <c r="F14" s="29"/>
      <c r="G14" s="50"/>
    </row>
    <row r="15" ht="14.25" customHeight="1">
      <c r="A15" s="14"/>
      <c r="B15" s="51">
        <v>46113.0</v>
      </c>
      <c r="C15" s="52">
        <f>'Cant. Requeridas Producto 2'!AB13</f>
        <v>2160000</v>
      </c>
      <c r="D15" s="53"/>
      <c r="E15" s="27">
        <f t="shared" si="1"/>
        <v>0</v>
      </c>
      <c r="F15" s="29"/>
      <c r="G15" s="50"/>
    </row>
    <row r="16" ht="14.25" customHeight="1">
      <c r="A16" s="14"/>
      <c r="B16" s="54">
        <v>46143.0</v>
      </c>
      <c r="C16" s="52">
        <f>'Cant. Requeridas Producto 2'!AB14</f>
        <v>2232000</v>
      </c>
      <c r="D16" s="55"/>
      <c r="E16" s="27">
        <f t="shared" si="1"/>
        <v>0</v>
      </c>
      <c r="F16" s="29"/>
      <c r="G16" s="50"/>
    </row>
    <row r="17" ht="14.25" customHeight="1">
      <c r="A17" s="14"/>
      <c r="B17" s="51">
        <v>46174.0</v>
      </c>
      <c r="C17" s="52">
        <f>'Cant. Requeridas Producto 2'!AB15</f>
        <v>2160000</v>
      </c>
      <c r="D17" s="53"/>
      <c r="E17" s="27">
        <f t="shared" si="1"/>
        <v>0</v>
      </c>
      <c r="F17" s="29"/>
      <c r="G17" s="50"/>
    </row>
    <row r="18" ht="14.25" customHeight="1">
      <c r="A18" s="14"/>
      <c r="B18" s="54">
        <v>46204.0</v>
      </c>
      <c r="C18" s="52">
        <f>'Cant. Requeridas Producto 2'!AB16</f>
        <v>2232000</v>
      </c>
      <c r="D18" s="53"/>
      <c r="E18" s="27">
        <f t="shared" si="1"/>
        <v>0</v>
      </c>
      <c r="F18" s="29"/>
      <c r="G18" s="50"/>
    </row>
    <row r="19" ht="14.25" customHeight="1">
      <c r="A19" s="14"/>
      <c r="B19" s="51">
        <v>46235.0</v>
      </c>
      <c r="C19" s="52">
        <f>'Cant. Requeridas Producto 2'!AB17</f>
        <v>2232000</v>
      </c>
      <c r="D19" s="53"/>
      <c r="E19" s="27">
        <f t="shared" si="1"/>
        <v>0</v>
      </c>
      <c r="F19" s="29"/>
      <c r="G19" s="50"/>
    </row>
    <row r="20" ht="14.25" customHeight="1">
      <c r="A20" s="14"/>
      <c r="B20" s="54">
        <v>46266.0</v>
      </c>
      <c r="C20" s="52">
        <f>'Cant. Requeridas Producto 2'!AB18</f>
        <v>2160000</v>
      </c>
      <c r="D20" s="53"/>
      <c r="E20" s="27">
        <f t="shared" si="1"/>
        <v>0</v>
      </c>
      <c r="F20" s="29"/>
      <c r="G20" s="50"/>
    </row>
    <row r="21" ht="14.25" customHeight="1">
      <c r="A21" s="14"/>
      <c r="B21" s="51">
        <v>46296.0</v>
      </c>
      <c r="C21" s="52">
        <f>'Cant. Requeridas Producto 2'!AB19</f>
        <v>2232000</v>
      </c>
      <c r="D21" s="53"/>
      <c r="E21" s="27">
        <f t="shared" si="1"/>
        <v>0</v>
      </c>
      <c r="F21" s="29"/>
      <c r="G21" s="50"/>
    </row>
    <row r="22" ht="14.25" customHeight="1">
      <c r="A22" s="14"/>
      <c r="B22" s="54">
        <v>46327.0</v>
      </c>
      <c r="C22" s="52">
        <f>'Cant. Requeridas Producto 2'!AB20</f>
        <v>2160000</v>
      </c>
      <c r="D22" s="53"/>
      <c r="E22" s="27">
        <f t="shared" si="1"/>
        <v>0</v>
      </c>
      <c r="F22" s="29"/>
      <c r="G22" s="50"/>
    </row>
    <row r="23" ht="14.25" customHeight="1">
      <c r="A23" s="14"/>
      <c r="B23" s="56">
        <v>46357.0</v>
      </c>
      <c r="C23" s="57">
        <f>'Cant. Requeridas Producto 2'!AB21</f>
        <v>2232000</v>
      </c>
      <c r="D23" s="58"/>
      <c r="E23" s="27">
        <f t="shared" si="1"/>
        <v>0</v>
      </c>
      <c r="F23" s="30"/>
      <c r="G23" s="50"/>
    </row>
    <row r="24" ht="14.25" customHeight="1">
      <c r="A24" s="14"/>
      <c r="B24" s="59" t="s">
        <v>32</v>
      </c>
      <c r="C24" s="60">
        <f>SUM(C12:C23)</f>
        <v>26280000</v>
      </c>
      <c r="D24" s="61"/>
      <c r="E24" s="32">
        <f>SUM(E12:E23)</f>
        <v>0</v>
      </c>
      <c r="F24" s="33"/>
    </row>
    <row r="25" ht="14.25" customHeight="1">
      <c r="A25" s="14"/>
      <c r="B25" s="15"/>
      <c r="C25" s="34"/>
      <c r="D25" s="15"/>
      <c r="E25" s="15"/>
    </row>
    <row r="26" ht="14.25" customHeight="1">
      <c r="C26" s="35"/>
    </row>
    <row r="27" ht="26.25" customHeight="1">
      <c r="B27" s="36" t="s">
        <v>42</v>
      </c>
      <c r="E27" s="37"/>
    </row>
    <row r="28">
      <c r="B28" s="36" t="s">
        <v>50</v>
      </c>
    </row>
    <row r="29" ht="43.5" customHeight="1">
      <c r="B29" s="36" t="s">
        <v>51</v>
      </c>
    </row>
    <row r="30" ht="14.25" customHeight="1">
      <c r="B30" s="38"/>
    </row>
    <row r="31" ht="14.25" customHeight="1"/>
    <row r="32" ht="14.25" customHeight="1"/>
    <row r="33" ht="14.25" customHeight="1">
      <c r="B33" s="39"/>
      <c r="C33" s="39"/>
    </row>
    <row r="34" ht="14.25" customHeight="1">
      <c r="B34" s="40" t="s">
        <v>45</v>
      </c>
    </row>
    <row r="35" ht="14.25" customHeight="1">
      <c r="B35" s="40" t="s">
        <v>46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1">
    <mergeCell ref="B27:D27"/>
    <mergeCell ref="B28:E28"/>
    <mergeCell ref="B29:E29"/>
    <mergeCell ref="B30:E30"/>
    <mergeCell ref="A4:F4"/>
    <mergeCell ref="B5:E5"/>
    <mergeCell ref="B6:E6"/>
    <mergeCell ref="B7:E7"/>
    <mergeCell ref="B8:E8"/>
    <mergeCell ref="B10:D10"/>
    <mergeCell ref="F12:F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" width="10.71"/>
    <col customWidth="1" min="4" max="4" width="11.29"/>
    <col customWidth="1" min="5" max="25" width="10.71"/>
    <col customWidth="1" min="26" max="26" width="13.43"/>
    <col customWidth="1" min="27" max="27" width="5.14"/>
    <col customWidth="1" min="28" max="28" width="12.71"/>
  </cols>
  <sheetData>
    <row r="1" ht="14.25" customHeight="1">
      <c r="A1" s="1" t="s">
        <v>0</v>
      </c>
    </row>
    <row r="2" ht="14.25" customHeight="1">
      <c r="A2" s="1" t="s">
        <v>52</v>
      </c>
    </row>
    <row r="3" ht="14.25" customHeight="1">
      <c r="A3" s="1" t="s">
        <v>53</v>
      </c>
    </row>
    <row r="4" ht="14.25" customHeight="1">
      <c r="A4" s="1" t="s">
        <v>3</v>
      </c>
    </row>
    <row r="5" ht="14.25" customHeight="1">
      <c r="A5" s="2"/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"/>
      <c r="W5" s="4"/>
      <c r="X5" s="4"/>
      <c r="Y5" s="4"/>
      <c r="Z5" s="4"/>
      <c r="AA5" s="4"/>
    </row>
    <row r="6" ht="14.25" customHeight="1">
      <c r="A6" s="2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4"/>
      <c r="W6" s="4"/>
      <c r="X6" s="4"/>
      <c r="Y6" s="4"/>
      <c r="Z6" s="4"/>
      <c r="AA6" s="4"/>
    </row>
    <row r="7" ht="14.25" customHeight="1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</row>
    <row r="10" ht="14.25" customHeight="1">
      <c r="A10" s="7">
        <v>46388.0</v>
      </c>
      <c r="B10" s="8">
        <v>3500.0</v>
      </c>
      <c r="C10" s="8">
        <f t="shared" ref="C10:Y10" si="1">B10</f>
        <v>3500</v>
      </c>
      <c r="D10" s="8">
        <f t="shared" si="1"/>
        <v>3500</v>
      </c>
      <c r="E10" s="8">
        <f t="shared" si="1"/>
        <v>3500</v>
      </c>
      <c r="F10" s="8">
        <f t="shared" si="1"/>
        <v>3500</v>
      </c>
      <c r="G10" s="8">
        <f t="shared" si="1"/>
        <v>3500</v>
      </c>
      <c r="H10" s="8">
        <f t="shared" si="1"/>
        <v>3500</v>
      </c>
      <c r="I10" s="8">
        <f t="shared" si="1"/>
        <v>3500</v>
      </c>
      <c r="J10" s="8">
        <f t="shared" si="1"/>
        <v>3500</v>
      </c>
      <c r="K10" s="8">
        <f t="shared" si="1"/>
        <v>3500</v>
      </c>
      <c r="L10" s="8">
        <f t="shared" si="1"/>
        <v>3500</v>
      </c>
      <c r="M10" s="8">
        <f t="shared" si="1"/>
        <v>3500</v>
      </c>
      <c r="N10" s="8">
        <f t="shared" si="1"/>
        <v>3500</v>
      </c>
      <c r="O10" s="8">
        <f t="shared" si="1"/>
        <v>3500</v>
      </c>
      <c r="P10" s="8">
        <f t="shared" si="1"/>
        <v>3500</v>
      </c>
      <c r="Q10" s="8">
        <f t="shared" si="1"/>
        <v>3500</v>
      </c>
      <c r="R10" s="8">
        <f t="shared" si="1"/>
        <v>3500</v>
      </c>
      <c r="S10" s="8">
        <f t="shared" si="1"/>
        <v>3500</v>
      </c>
      <c r="T10" s="8">
        <f t="shared" si="1"/>
        <v>3500</v>
      </c>
      <c r="U10" s="8">
        <f t="shared" si="1"/>
        <v>3500</v>
      </c>
      <c r="V10" s="8">
        <f t="shared" si="1"/>
        <v>3500</v>
      </c>
      <c r="W10" s="8">
        <f t="shared" si="1"/>
        <v>3500</v>
      </c>
      <c r="X10" s="8">
        <f t="shared" si="1"/>
        <v>3500</v>
      </c>
      <c r="Y10" s="8">
        <f t="shared" si="1"/>
        <v>3500</v>
      </c>
      <c r="Z10" s="9">
        <f t="shared" ref="Z10:Z21" si="3">SUM(B10:Y10)</f>
        <v>84000</v>
      </c>
      <c r="AA10" s="10">
        <v>31.0</v>
      </c>
      <c r="AB10" s="9">
        <f t="shared" ref="AB10:AB21" si="4">Z10*AA10</f>
        <v>2604000</v>
      </c>
    </row>
    <row r="11" ht="14.25" customHeight="1">
      <c r="A11" s="7">
        <v>46419.0</v>
      </c>
      <c r="B11" s="8">
        <f t="shared" ref="B11:B21" si="5">B10</f>
        <v>3500</v>
      </c>
      <c r="C11" s="8">
        <f t="shared" ref="C11:Y11" si="2">B11</f>
        <v>3500</v>
      </c>
      <c r="D11" s="8">
        <f t="shared" si="2"/>
        <v>3500</v>
      </c>
      <c r="E11" s="8">
        <f t="shared" si="2"/>
        <v>3500</v>
      </c>
      <c r="F11" s="8">
        <f t="shared" si="2"/>
        <v>3500</v>
      </c>
      <c r="G11" s="8">
        <f t="shared" si="2"/>
        <v>3500</v>
      </c>
      <c r="H11" s="8">
        <f t="shared" si="2"/>
        <v>3500</v>
      </c>
      <c r="I11" s="8">
        <f t="shared" si="2"/>
        <v>3500</v>
      </c>
      <c r="J11" s="8">
        <f t="shared" si="2"/>
        <v>3500</v>
      </c>
      <c r="K11" s="8">
        <f t="shared" si="2"/>
        <v>3500</v>
      </c>
      <c r="L11" s="8">
        <f t="shared" si="2"/>
        <v>3500</v>
      </c>
      <c r="M11" s="8">
        <f t="shared" si="2"/>
        <v>3500</v>
      </c>
      <c r="N11" s="8">
        <f t="shared" si="2"/>
        <v>3500</v>
      </c>
      <c r="O11" s="8">
        <f t="shared" si="2"/>
        <v>3500</v>
      </c>
      <c r="P11" s="8">
        <f t="shared" si="2"/>
        <v>3500</v>
      </c>
      <c r="Q11" s="8">
        <f t="shared" si="2"/>
        <v>3500</v>
      </c>
      <c r="R11" s="8">
        <f t="shared" si="2"/>
        <v>3500</v>
      </c>
      <c r="S11" s="8">
        <f t="shared" si="2"/>
        <v>3500</v>
      </c>
      <c r="T11" s="8">
        <f t="shared" si="2"/>
        <v>3500</v>
      </c>
      <c r="U11" s="8">
        <f t="shared" si="2"/>
        <v>3500</v>
      </c>
      <c r="V11" s="8">
        <f t="shared" si="2"/>
        <v>3500</v>
      </c>
      <c r="W11" s="8">
        <f t="shared" si="2"/>
        <v>3500</v>
      </c>
      <c r="X11" s="8">
        <f t="shared" si="2"/>
        <v>3500</v>
      </c>
      <c r="Y11" s="8">
        <f t="shared" si="2"/>
        <v>3500</v>
      </c>
      <c r="Z11" s="9">
        <f t="shared" si="3"/>
        <v>84000</v>
      </c>
      <c r="AA11" s="9">
        <v>28.0</v>
      </c>
      <c r="AB11" s="9">
        <f t="shared" si="4"/>
        <v>2352000</v>
      </c>
    </row>
    <row r="12" ht="14.25" customHeight="1">
      <c r="A12" s="7">
        <v>46447.0</v>
      </c>
      <c r="B12" s="8">
        <f t="shared" si="5"/>
        <v>3500</v>
      </c>
      <c r="C12" s="8">
        <f t="shared" ref="C12:Y12" si="6">B12</f>
        <v>3500</v>
      </c>
      <c r="D12" s="8">
        <f t="shared" si="6"/>
        <v>3500</v>
      </c>
      <c r="E12" s="8">
        <f t="shared" si="6"/>
        <v>3500</v>
      </c>
      <c r="F12" s="8">
        <f t="shared" si="6"/>
        <v>3500</v>
      </c>
      <c r="G12" s="8">
        <f t="shared" si="6"/>
        <v>3500</v>
      </c>
      <c r="H12" s="8">
        <f t="shared" si="6"/>
        <v>3500</v>
      </c>
      <c r="I12" s="8">
        <f t="shared" si="6"/>
        <v>3500</v>
      </c>
      <c r="J12" s="8">
        <f t="shared" si="6"/>
        <v>3500</v>
      </c>
      <c r="K12" s="8">
        <f t="shared" si="6"/>
        <v>3500</v>
      </c>
      <c r="L12" s="8">
        <f t="shared" si="6"/>
        <v>3500</v>
      </c>
      <c r="M12" s="8">
        <f t="shared" si="6"/>
        <v>3500</v>
      </c>
      <c r="N12" s="8">
        <f t="shared" si="6"/>
        <v>3500</v>
      </c>
      <c r="O12" s="8">
        <f t="shared" si="6"/>
        <v>3500</v>
      </c>
      <c r="P12" s="8">
        <f t="shared" si="6"/>
        <v>3500</v>
      </c>
      <c r="Q12" s="8">
        <f t="shared" si="6"/>
        <v>3500</v>
      </c>
      <c r="R12" s="8">
        <f t="shared" si="6"/>
        <v>3500</v>
      </c>
      <c r="S12" s="8">
        <f t="shared" si="6"/>
        <v>3500</v>
      </c>
      <c r="T12" s="8">
        <f t="shared" si="6"/>
        <v>3500</v>
      </c>
      <c r="U12" s="8">
        <f t="shared" si="6"/>
        <v>3500</v>
      </c>
      <c r="V12" s="8">
        <f t="shared" si="6"/>
        <v>3500</v>
      </c>
      <c r="W12" s="8">
        <f t="shared" si="6"/>
        <v>3500</v>
      </c>
      <c r="X12" s="8">
        <f t="shared" si="6"/>
        <v>3500</v>
      </c>
      <c r="Y12" s="8">
        <f t="shared" si="6"/>
        <v>3500</v>
      </c>
      <c r="Z12" s="9">
        <f t="shared" si="3"/>
        <v>84000</v>
      </c>
      <c r="AA12" s="9">
        <v>31.0</v>
      </c>
      <c r="AB12" s="9">
        <f t="shared" si="4"/>
        <v>2604000</v>
      </c>
    </row>
    <row r="13" ht="14.25" customHeight="1">
      <c r="A13" s="7">
        <v>46478.0</v>
      </c>
      <c r="B13" s="8">
        <f t="shared" si="5"/>
        <v>3500</v>
      </c>
      <c r="C13" s="8">
        <f t="shared" ref="C13:Y13" si="7">B13</f>
        <v>3500</v>
      </c>
      <c r="D13" s="8">
        <f t="shared" si="7"/>
        <v>3500</v>
      </c>
      <c r="E13" s="8">
        <f t="shared" si="7"/>
        <v>3500</v>
      </c>
      <c r="F13" s="8">
        <f t="shared" si="7"/>
        <v>3500</v>
      </c>
      <c r="G13" s="8">
        <f t="shared" si="7"/>
        <v>3500</v>
      </c>
      <c r="H13" s="8">
        <f t="shared" si="7"/>
        <v>3500</v>
      </c>
      <c r="I13" s="8">
        <f t="shared" si="7"/>
        <v>3500</v>
      </c>
      <c r="J13" s="8">
        <f t="shared" si="7"/>
        <v>3500</v>
      </c>
      <c r="K13" s="8">
        <f t="shared" si="7"/>
        <v>3500</v>
      </c>
      <c r="L13" s="8">
        <f t="shared" si="7"/>
        <v>3500</v>
      </c>
      <c r="M13" s="8">
        <f t="shared" si="7"/>
        <v>3500</v>
      </c>
      <c r="N13" s="8">
        <f t="shared" si="7"/>
        <v>3500</v>
      </c>
      <c r="O13" s="8">
        <f t="shared" si="7"/>
        <v>3500</v>
      </c>
      <c r="P13" s="8">
        <f t="shared" si="7"/>
        <v>3500</v>
      </c>
      <c r="Q13" s="8">
        <f t="shared" si="7"/>
        <v>3500</v>
      </c>
      <c r="R13" s="8">
        <f t="shared" si="7"/>
        <v>3500</v>
      </c>
      <c r="S13" s="8">
        <f t="shared" si="7"/>
        <v>3500</v>
      </c>
      <c r="T13" s="8">
        <f t="shared" si="7"/>
        <v>3500</v>
      </c>
      <c r="U13" s="8">
        <f t="shared" si="7"/>
        <v>3500</v>
      </c>
      <c r="V13" s="8">
        <f t="shared" si="7"/>
        <v>3500</v>
      </c>
      <c r="W13" s="8">
        <f t="shared" si="7"/>
        <v>3500</v>
      </c>
      <c r="X13" s="8">
        <f t="shared" si="7"/>
        <v>3500</v>
      </c>
      <c r="Y13" s="8">
        <f t="shared" si="7"/>
        <v>3500</v>
      </c>
      <c r="Z13" s="9">
        <f t="shared" si="3"/>
        <v>84000</v>
      </c>
      <c r="AA13" s="9">
        <v>30.0</v>
      </c>
      <c r="AB13" s="9">
        <f t="shared" si="4"/>
        <v>2520000</v>
      </c>
    </row>
    <row r="14" ht="14.25" customHeight="1">
      <c r="A14" s="7">
        <v>46508.0</v>
      </c>
      <c r="B14" s="8">
        <f t="shared" si="5"/>
        <v>3500</v>
      </c>
      <c r="C14" s="8">
        <f t="shared" ref="C14:Y14" si="8">B14</f>
        <v>3500</v>
      </c>
      <c r="D14" s="8">
        <f t="shared" si="8"/>
        <v>3500</v>
      </c>
      <c r="E14" s="8">
        <f t="shared" si="8"/>
        <v>3500</v>
      </c>
      <c r="F14" s="8">
        <f t="shared" si="8"/>
        <v>3500</v>
      </c>
      <c r="G14" s="8">
        <f t="shared" si="8"/>
        <v>3500</v>
      </c>
      <c r="H14" s="8">
        <f t="shared" si="8"/>
        <v>3500</v>
      </c>
      <c r="I14" s="8">
        <f t="shared" si="8"/>
        <v>3500</v>
      </c>
      <c r="J14" s="8">
        <f t="shared" si="8"/>
        <v>3500</v>
      </c>
      <c r="K14" s="8">
        <f t="shared" si="8"/>
        <v>3500</v>
      </c>
      <c r="L14" s="8">
        <f t="shared" si="8"/>
        <v>3500</v>
      </c>
      <c r="M14" s="8">
        <f t="shared" si="8"/>
        <v>3500</v>
      </c>
      <c r="N14" s="8">
        <f t="shared" si="8"/>
        <v>3500</v>
      </c>
      <c r="O14" s="8">
        <f t="shared" si="8"/>
        <v>3500</v>
      </c>
      <c r="P14" s="8">
        <f t="shared" si="8"/>
        <v>3500</v>
      </c>
      <c r="Q14" s="8">
        <f t="shared" si="8"/>
        <v>3500</v>
      </c>
      <c r="R14" s="8">
        <f t="shared" si="8"/>
        <v>3500</v>
      </c>
      <c r="S14" s="8">
        <f t="shared" si="8"/>
        <v>3500</v>
      </c>
      <c r="T14" s="8">
        <f t="shared" si="8"/>
        <v>3500</v>
      </c>
      <c r="U14" s="8">
        <f t="shared" si="8"/>
        <v>3500</v>
      </c>
      <c r="V14" s="8">
        <f t="shared" si="8"/>
        <v>3500</v>
      </c>
      <c r="W14" s="8">
        <f t="shared" si="8"/>
        <v>3500</v>
      </c>
      <c r="X14" s="8">
        <f t="shared" si="8"/>
        <v>3500</v>
      </c>
      <c r="Y14" s="8">
        <f t="shared" si="8"/>
        <v>3500</v>
      </c>
      <c r="Z14" s="9">
        <f t="shared" si="3"/>
        <v>84000</v>
      </c>
      <c r="AA14" s="9">
        <v>31.0</v>
      </c>
      <c r="AB14" s="9">
        <f t="shared" si="4"/>
        <v>2604000</v>
      </c>
    </row>
    <row r="15" ht="14.25" customHeight="1">
      <c r="A15" s="7">
        <v>46539.0</v>
      </c>
      <c r="B15" s="8">
        <f t="shared" si="5"/>
        <v>3500</v>
      </c>
      <c r="C15" s="8">
        <f t="shared" ref="C15:Y15" si="9">B15</f>
        <v>3500</v>
      </c>
      <c r="D15" s="8">
        <f t="shared" si="9"/>
        <v>3500</v>
      </c>
      <c r="E15" s="8">
        <f t="shared" si="9"/>
        <v>3500</v>
      </c>
      <c r="F15" s="8">
        <f t="shared" si="9"/>
        <v>3500</v>
      </c>
      <c r="G15" s="8">
        <f t="shared" si="9"/>
        <v>3500</v>
      </c>
      <c r="H15" s="8">
        <f t="shared" si="9"/>
        <v>3500</v>
      </c>
      <c r="I15" s="8">
        <f t="shared" si="9"/>
        <v>3500</v>
      </c>
      <c r="J15" s="8">
        <f t="shared" si="9"/>
        <v>3500</v>
      </c>
      <c r="K15" s="8">
        <f t="shared" si="9"/>
        <v>3500</v>
      </c>
      <c r="L15" s="8">
        <f t="shared" si="9"/>
        <v>3500</v>
      </c>
      <c r="M15" s="8">
        <f t="shared" si="9"/>
        <v>3500</v>
      </c>
      <c r="N15" s="8">
        <f t="shared" si="9"/>
        <v>3500</v>
      </c>
      <c r="O15" s="8">
        <f t="shared" si="9"/>
        <v>3500</v>
      </c>
      <c r="P15" s="8">
        <f t="shared" si="9"/>
        <v>3500</v>
      </c>
      <c r="Q15" s="8">
        <f t="shared" si="9"/>
        <v>3500</v>
      </c>
      <c r="R15" s="8">
        <f t="shared" si="9"/>
        <v>3500</v>
      </c>
      <c r="S15" s="8">
        <f t="shared" si="9"/>
        <v>3500</v>
      </c>
      <c r="T15" s="8">
        <f t="shared" si="9"/>
        <v>3500</v>
      </c>
      <c r="U15" s="8">
        <f t="shared" si="9"/>
        <v>3500</v>
      </c>
      <c r="V15" s="8">
        <f t="shared" si="9"/>
        <v>3500</v>
      </c>
      <c r="W15" s="8">
        <f t="shared" si="9"/>
        <v>3500</v>
      </c>
      <c r="X15" s="8">
        <f t="shared" si="9"/>
        <v>3500</v>
      </c>
      <c r="Y15" s="8">
        <f t="shared" si="9"/>
        <v>3500</v>
      </c>
      <c r="Z15" s="9">
        <f t="shared" si="3"/>
        <v>84000</v>
      </c>
      <c r="AA15" s="9">
        <v>30.0</v>
      </c>
      <c r="AB15" s="9">
        <f t="shared" si="4"/>
        <v>2520000</v>
      </c>
    </row>
    <row r="16" ht="14.25" customHeight="1">
      <c r="A16" s="7">
        <v>46569.0</v>
      </c>
      <c r="B16" s="8">
        <f t="shared" si="5"/>
        <v>3500</v>
      </c>
      <c r="C16" s="8">
        <f t="shared" ref="C16:Y16" si="10">B16</f>
        <v>3500</v>
      </c>
      <c r="D16" s="8">
        <f t="shared" si="10"/>
        <v>3500</v>
      </c>
      <c r="E16" s="8">
        <f t="shared" si="10"/>
        <v>3500</v>
      </c>
      <c r="F16" s="8">
        <f t="shared" si="10"/>
        <v>3500</v>
      </c>
      <c r="G16" s="8">
        <f t="shared" si="10"/>
        <v>3500</v>
      </c>
      <c r="H16" s="8">
        <f t="shared" si="10"/>
        <v>3500</v>
      </c>
      <c r="I16" s="8">
        <f t="shared" si="10"/>
        <v>3500</v>
      </c>
      <c r="J16" s="8">
        <f t="shared" si="10"/>
        <v>3500</v>
      </c>
      <c r="K16" s="8">
        <f t="shared" si="10"/>
        <v>3500</v>
      </c>
      <c r="L16" s="8">
        <f t="shared" si="10"/>
        <v>3500</v>
      </c>
      <c r="M16" s="8">
        <f t="shared" si="10"/>
        <v>3500</v>
      </c>
      <c r="N16" s="8">
        <f t="shared" si="10"/>
        <v>3500</v>
      </c>
      <c r="O16" s="8">
        <f t="shared" si="10"/>
        <v>3500</v>
      </c>
      <c r="P16" s="8">
        <f t="shared" si="10"/>
        <v>3500</v>
      </c>
      <c r="Q16" s="8">
        <f t="shared" si="10"/>
        <v>3500</v>
      </c>
      <c r="R16" s="8">
        <f t="shared" si="10"/>
        <v>3500</v>
      </c>
      <c r="S16" s="8">
        <f t="shared" si="10"/>
        <v>3500</v>
      </c>
      <c r="T16" s="8">
        <f t="shared" si="10"/>
        <v>3500</v>
      </c>
      <c r="U16" s="8">
        <f t="shared" si="10"/>
        <v>3500</v>
      </c>
      <c r="V16" s="8">
        <f t="shared" si="10"/>
        <v>3500</v>
      </c>
      <c r="W16" s="8">
        <f t="shared" si="10"/>
        <v>3500</v>
      </c>
      <c r="X16" s="8">
        <f t="shared" si="10"/>
        <v>3500</v>
      </c>
      <c r="Y16" s="8">
        <f t="shared" si="10"/>
        <v>3500</v>
      </c>
      <c r="Z16" s="9">
        <f t="shared" si="3"/>
        <v>84000</v>
      </c>
      <c r="AA16" s="9">
        <v>31.0</v>
      </c>
      <c r="AB16" s="9">
        <f t="shared" si="4"/>
        <v>2604000</v>
      </c>
    </row>
    <row r="17" ht="14.25" customHeight="1">
      <c r="A17" s="7">
        <v>46600.0</v>
      </c>
      <c r="B17" s="8">
        <f t="shared" si="5"/>
        <v>3500</v>
      </c>
      <c r="C17" s="8">
        <f t="shared" ref="C17:Y17" si="11">B17</f>
        <v>3500</v>
      </c>
      <c r="D17" s="8">
        <f t="shared" si="11"/>
        <v>3500</v>
      </c>
      <c r="E17" s="8">
        <f t="shared" si="11"/>
        <v>3500</v>
      </c>
      <c r="F17" s="8">
        <f t="shared" si="11"/>
        <v>3500</v>
      </c>
      <c r="G17" s="8">
        <f t="shared" si="11"/>
        <v>3500</v>
      </c>
      <c r="H17" s="8">
        <f t="shared" si="11"/>
        <v>3500</v>
      </c>
      <c r="I17" s="8">
        <f t="shared" si="11"/>
        <v>3500</v>
      </c>
      <c r="J17" s="8">
        <f t="shared" si="11"/>
        <v>3500</v>
      </c>
      <c r="K17" s="8">
        <f t="shared" si="11"/>
        <v>3500</v>
      </c>
      <c r="L17" s="8">
        <f t="shared" si="11"/>
        <v>3500</v>
      </c>
      <c r="M17" s="8">
        <f t="shared" si="11"/>
        <v>3500</v>
      </c>
      <c r="N17" s="8">
        <f t="shared" si="11"/>
        <v>3500</v>
      </c>
      <c r="O17" s="8">
        <f t="shared" si="11"/>
        <v>3500</v>
      </c>
      <c r="P17" s="8">
        <f t="shared" si="11"/>
        <v>3500</v>
      </c>
      <c r="Q17" s="8">
        <f t="shared" si="11"/>
        <v>3500</v>
      </c>
      <c r="R17" s="8">
        <f t="shared" si="11"/>
        <v>3500</v>
      </c>
      <c r="S17" s="8">
        <f t="shared" si="11"/>
        <v>3500</v>
      </c>
      <c r="T17" s="8">
        <f t="shared" si="11"/>
        <v>3500</v>
      </c>
      <c r="U17" s="8">
        <f t="shared" si="11"/>
        <v>3500</v>
      </c>
      <c r="V17" s="8">
        <f t="shared" si="11"/>
        <v>3500</v>
      </c>
      <c r="W17" s="8">
        <f t="shared" si="11"/>
        <v>3500</v>
      </c>
      <c r="X17" s="8">
        <f t="shared" si="11"/>
        <v>3500</v>
      </c>
      <c r="Y17" s="8">
        <f t="shared" si="11"/>
        <v>3500</v>
      </c>
      <c r="Z17" s="9">
        <f t="shared" si="3"/>
        <v>84000</v>
      </c>
      <c r="AA17" s="9">
        <v>31.0</v>
      </c>
      <c r="AB17" s="9">
        <f t="shared" si="4"/>
        <v>2604000</v>
      </c>
    </row>
    <row r="18" ht="14.25" customHeight="1">
      <c r="A18" s="7">
        <v>46631.0</v>
      </c>
      <c r="B18" s="8">
        <f t="shared" si="5"/>
        <v>3500</v>
      </c>
      <c r="C18" s="8">
        <f t="shared" ref="C18:Y18" si="12">B18</f>
        <v>3500</v>
      </c>
      <c r="D18" s="8">
        <f t="shared" si="12"/>
        <v>3500</v>
      </c>
      <c r="E18" s="8">
        <f t="shared" si="12"/>
        <v>3500</v>
      </c>
      <c r="F18" s="8">
        <f t="shared" si="12"/>
        <v>3500</v>
      </c>
      <c r="G18" s="8">
        <f t="shared" si="12"/>
        <v>3500</v>
      </c>
      <c r="H18" s="8">
        <f t="shared" si="12"/>
        <v>3500</v>
      </c>
      <c r="I18" s="8">
        <f t="shared" si="12"/>
        <v>3500</v>
      </c>
      <c r="J18" s="8">
        <f t="shared" si="12"/>
        <v>3500</v>
      </c>
      <c r="K18" s="8">
        <f t="shared" si="12"/>
        <v>3500</v>
      </c>
      <c r="L18" s="8">
        <f t="shared" si="12"/>
        <v>3500</v>
      </c>
      <c r="M18" s="8">
        <f t="shared" si="12"/>
        <v>3500</v>
      </c>
      <c r="N18" s="8">
        <f t="shared" si="12"/>
        <v>3500</v>
      </c>
      <c r="O18" s="8">
        <f t="shared" si="12"/>
        <v>3500</v>
      </c>
      <c r="P18" s="8">
        <f t="shared" si="12"/>
        <v>3500</v>
      </c>
      <c r="Q18" s="8">
        <f t="shared" si="12"/>
        <v>3500</v>
      </c>
      <c r="R18" s="8">
        <f t="shared" si="12"/>
        <v>3500</v>
      </c>
      <c r="S18" s="8">
        <f t="shared" si="12"/>
        <v>3500</v>
      </c>
      <c r="T18" s="8">
        <f t="shared" si="12"/>
        <v>3500</v>
      </c>
      <c r="U18" s="8">
        <f t="shared" si="12"/>
        <v>3500</v>
      </c>
      <c r="V18" s="8">
        <f t="shared" si="12"/>
        <v>3500</v>
      </c>
      <c r="W18" s="8">
        <f t="shared" si="12"/>
        <v>3500</v>
      </c>
      <c r="X18" s="8">
        <f t="shared" si="12"/>
        <v>3500</v>
      </c>
      <c r="Y18" s="8">
        <f t="shared" si="12"/>
        <v>3500</v>
      </c>
      <c r="Z18" s="9">
        <f t="shared" si="3"/>
        <v>84000</v>
      </c>
      <c r="AA18" s="9">
        <v>30.0</v>
      </c>
      <c r="AB18" s="9">
        <f t="shared" si="4"/>
        <v>2520000</v>
      </c>
    </row>
    <row r="19" ht="14.25" customHeight="1">
      <c r="A19" s="7">
        <v>46661.0</v>
      </c>
      <c r="B19" s="8">
        <f t="shared" si="5"/>
        <v>3500</v>
      </c>
      <c r="C19" s="8">
        <f t="shared" ref="C19:Y19" si="13">B19</f>
        <v>3500</v>
      </c>
      <c r="D19" s="8">
        <f t="shared" si="13"/>
        <v>3500</v>
      </c>
      <c r="E19" s="8">
        <f t="shared" si="13"/>
        <v>3500</v>
      </c>
      <c r="F19" s="8">
        <f t="shared" si="13"/>
        <v>3500</v>
      </c>
      <c r="G19" s="8">
        <f t="shared" si="13"/>
        <v>3500</v>
      </c>
      <c r="H19" s="8">
        <f t="shared" si="13"/>
        <v>3500</v>
      </c>
      <c r="I19" s="8">
        <f t="shared" si="13"/>
        <v>3500</v>
      </c>
      <c r="J19" s="8">
        <f t="shared" si="13"/>
        <v>3500</v>
      </c>
      <c r="K19" s="8">
        <f t="shared" si="13"/>
        <v>3500</v>
      </c>
      <c r="L19" s="8">
        <f t="shared" si="13"/>
        <v>3500</v>
      </c>
      <c r="M19" s="8">
        <f t="shared" si="13"/>
        <v>3500</v>
      </c>
      <c r="N19" s="8">
        <f t="shared" si="13"/>
        <v>3500</v>
      </c>
      <c r="O19" s="8">
        <f t="shared" si="13"/>
        <v>3500</v>
      </c>
      <c r="P19" s="8">
        <f t="shared" si="13"/>
        <v>3500</v>
      </c>
      <c r="Q19" s="8">
        <f t="shared" si="13"/>
        <v>3500</v>
      </c>
      <c r="R19" s="8">
        <f t="shared" si="13"/>
        <v>3500</v>
      </c>
      <c r="S19" s="8">
        <f t="shared" si="13"/>
        <v>3500</v>
      </c>
      <c r="T19" s="8">
        <f t="shared" si="13"/>
        <v>3500</v>
      </c>
      <c r="U19" s="8">
        <f t="shared" si="13"/>
        <v>3500</v>
      </c>
      <c r="V19" s="8">
        <f t="shared" si="13"/>
        <v>3500</v>
      </c>
      <c r="W19" s="8">
        <f t="shared" si="13"/>
        <v>3500</v>
      </c>
      <c r="X19" s="8">
        <f t="shared" si="13"/>
        <v>3500</v>
      </c>
      <c r="Y19" s="8">
        <f t="shared" si="13"/>
        <v>3500</v>
      </c>
      <c r="Z19" s="9">
        <f t="shared" si="3"/>
        <v>84000</v>
      </c>
      <c r="AA19" s="9">
        <v>31.0</v>
      </c>
      <c r="AB19" s="9">
        <f t="shared" si="4"/>
        <v>2604000</v>
      </c>
    </row>
    <row r="20" ht="14.25" customHeight="1">
      <c r="A20" s="7">
        <v>46692.0</v>
      </c>
      <c r="B20" s="8">
        <f t="shared" si="5"/>
        <v>3500</v>
      </c>
      <c r="C20" s="8">
        <f t="shared" ref="C20:Y20" si="14">B20</f>
        <v>3500</v>
      </c>
      <c r="D20" s="8">
        <f t="shared" si="14"/>
        <v>3500</v>
      </c>
      <c r="E20" s="8">
        <f t="shared" si="14"/>
        <v>3500</v>
      </c>
      <c r="F20" s="8">
        <f t="shared" si="14"/>
        <v>3500</v>
      </c>
      <c r="G20" s="8">
        <f t="shared" si="14"/>
        <v>3500</v>
      </c>
      <c r="H20" s="8">
        <f t="shared" si="14"/>
        <v>3500</v>
      </c>
      <c r="I20" s="8">
        <f t="shared" si="14"/>
        <v>3500</v>
      </c>
      <c r="J20" s="8">
        <f t="shared" si="14"/>
        <v>3500</v>
      </c>
      <c r="K20" s="8">
        <f t="shared" si="14"/>
        <v>3500</v>
      </c>
      <c r="L20" s="8">
        <f t="shared" si="14"/>
        <v>3500</v>
      </c>
      <c r="M20" s="8">
        <f t="shared" si="14"/>
        <v>3500</v>
      </c>
      <c r="N20" s="8">
        <f t="shared" si="14"/>
        <v>3500</v>
      </c>
      <c r="O20" s="8">
        <f t="shared" si="14"/>
        <v>3500</v>
      </c>
      <c r="P20" s="8">
        <f t="shared" si="14"/>
        <v>3500</v>
      </c>
      <c r="Q20" s="8">
        <f t="shared" si="14"/>
        <v>3500</v>
      </c>
      <c r="R20" s="8">
        <f t="shared" si="14"/>
        <v>3500</v>
      </c>
      <c r="S20" s="8">
        <f t="shared" si="14"/>
        <v>3500</v>
      </c>
      <c r="T20" s="8">
        <f t="shared" si="14"/>
        <v>3500</v>
      </c>
      <c r="U20" s="8">
        <f t="shared" si="14"/>
        <v>3500</v>
      </c>
      <c r="V20" s="8">
        <f t="shared" si="14"/>
        <v>3500</v>
      </c>
      <c r="W20" s="8">
        <f t="shared" si="14"/>
        <v>3500</v>
      </c>
      <c r="X20" s="8">
        <f t="shared" si="14"/>
        <v>3500</v>
      </c>
      <c r="Y20" s="8">
        <f t="shared" si="14"/>
        <v>3500</v>
      </c>
      <c r="Z20" s="9">
        <f t="shared" si="3"/>
        <v>84000</v>
      </c>
      <c r="AA20" s="9">
        <v>30.0</v>
      </c>
      <c r="AB20" s="9">
        <f t="shared" si="4"/>
        <v>2520000</v>
      </c>
    </row>
    <row r="21" ht="14.25" customHeight="1">
      <c r="A21" s="7">
        <v>46722.0</v>
      </c>
      <c r="B21" s="8">
        <f t="shared" si="5"/>
        <v>3500</v>
      </c>
      <c r="C21" s="8">
        <f t="shared" ref="C21:Y21" si="15">B21</f>
        <v>3500</v>
      </c>
      <c r="D21" s="8">
        <f t="shared" si="15"/>
        <v>3500</v>
      </c>
      <c r="E21" s="8">
        <f t="shared" si="15"/>
        <v>3500</v>
      </c>
      <c r="F21" s="8">
        <f t="shared" si="15"/>
        <v>3500</v>
      </c>
      <c r="G21" s="8">
        <f t="shared" si="15"/>
        <v>3500</v>
      </c>
      <c r="H21" s="8">
        <f t="shared" si="15"/>
        <v>3500</v>
      </c>
      <c r="I21" s="8">
        <f t="shared" si="15"/>
        <v>3500</v>
      </c>
      <c r="J21" s="8">
        <f t="shared" si="15"/>
        <v>3500</v>
      </c>
      <c r="K21" s="8">
        <f t="shared" si="15"/>
        <v>3500</v>
      </c>
      <c r="L21" s="8">
        <f t="shared" si="15"/>
        <v>3500</v>
      </c>
      <c r="M21" s="8">
        <f t="shared" si="15"/>
        <v>3500</v>
      </c>
      <c r="N21" s="8">
        <f t="shared" si="15"/>
        <v>3500</v>
      </c>
      <c r="O21" s="8">
        <f t="shared" si="15"/>
        <v>3500</v>
      </c>
      <c r="P21" s="8">
        <f t="shared" si="15"/>
        <v>3500</v>
      </c>
      <c r="Q21" s="8">
        <f t="shared" si="15"/>
        <v>3500</v>
      </c>
      <c r="R21" s="8">
        <f t="shared" si="15"/>
        <v>3500</v>
      </c>
      <c r="S21" s="8">
        <f t="shared" si="15"/>
        <v>3500</v>
      </c>
      <c r="T21" s="8">
        <f t="shared" si="15"/>
        <v>3500</v>
      </c>
      <c r="U21" s="8">
        <f t="shared" si="15"/>
        <v>3500</v>
      </c>
      <c r="V21" s="8">
        <f t="shared" si="15"/>
        <v>3500</v>
      </c>
      <c r="W21" s="8">
        <f t="shared" si="15"/>
        <v>3500</v>
      </c>
      <c r="X21" s="8">
        <f t="shared" si="15"/>
        <v>3500</v>
      </c>
      <c r="Y21" s="8">
        <f t="shared" si="15"/>
        <v>3500</v>
      </c>
      <c r="Z21" s="9">
        <f t="shared" si="3"/>
        <v>84000</v>
      </c>
      <c r="AA21" s="9">
        <v>31.0</v>
      </c>
      <c r="AB21" s="9">
        <f t="shared" si="4"/>
        <v>2604000</v>
      </c>
    </row>
    <row r="22" ht="14.25" customHeight="1">
      <c r="Z22" s="41" t="s">
        <v>48</v>
      </c>
      <c r="AA22" s="42"/>
      <c r="AB22" s="43">
        <f>SUM(AB10:AB21)</f>
        <v>30660000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</sheetData>
  <mergeCells count="5">
    <mergeCell ref="A1:AB1"/>
    <mergeCell ref="A2:AB2"/>
    <mergeCell ref="A3:AB3"/>
    <mergeCell ref="A4:AB4"/>
    <mergeCell ref="Z22:AA2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0.71"/>
    <col customWidth="1" min="3" max="3" width="17.0"/>
    <col customWidth="1" min="4" max="4" width="13.0"/>
    <col customWidth="1" min="5" max="5" width="12.14"/>
    <col customWidth="1" min="6" max="19" width="10.71"/>
  </cols>
  <sheetData>
    <row r="1" ht="14.25" customHeight="1"/>
    <row r="2" ht="14.25" customHeight="1"/>
    <row r="3" ht="14.25" customHeight="1"/>
    <row r="4" ht="14.25" customHeight="1">
      <c r="A4" s="13" t="s">
        <v>3</v>
      </c>
    </row>
    <row r="5" ht="14.25" customHeight="1">
      <c r="A5" s="14"/>
      <c r="B5" s="13" t="s">
        <v>54</v>
      </c>
    </row>
    <row r="6" ht="14.25" customHeight="1">
      <c r="A6" s="14"/>
      <c r="B6" s="13" t="s">
        <v>34</v>
      </c>
    </row>
    <row r="7" ht="14.25" customHeight="1">
      <c r="A7" s="14"/>
      <c r="B7" s="15" t="s">
        <v>35</v>
      </c>
    </row>
    <row r="8" ht="14.25" customHeight="1">
      <c r="A8" s="14"/>
      <c r="B8" s="16" t="s">
        <v>36</v>
      </c>
    </row>
    <row r="9" ht="14.25" customHeight="1">
      <c r="A9" s="14"/>
      <c r="B9" s="15"/>
      <c r="C9" s="15"/>
      <c r="D9" s="15"/>
      <c r="E9" s="15"/>
    </row>
    <row r="10" ht="14.25" customHeight="1">
      <c r="A10" s="14"/>
      <c r="B10" s="17" t="s">
        <v>37</v>
      </c>
      <c r="C10" s="18"/>
      <c r="D10" s="18"/>
      <c r="E10" s="18"/>
      <c r="F10" s="19"/>
    </row>
    <row r="11">
      <c r="A11" s="14"/>
      <c r="B11" s="20" t="s">
        <v>4</v>
      </c>
      <c r="C11" s="21" t="s">
        <v>38</v>
      </c>
      <c r="D11" s="22" t="s">
        <v>39</v>
      </c>
      <c r="E11" s="22" t="s">
        <v>40</v>
      </c>
      <c r="F11" s="23" t="s">
        <v>41</v>
      </c>
    </row>
    <row r="12" ht="14.25" customHeight="1">
      <c r="A12" s="14"/>
      <c r="B12" s="54">
        <v>46388.0</v>
      </c>
      <c r="C12" s="25">
        <f>'Cant. Requeridas Producto 3'!AB10</f>
        <v>2604000</v>
      </c>
      <c r="D12" s="26"/>
      <c r="E12" s="27">
        <f t="shared" ref="E12:E23" si="1">C12*$D$12</f>
        <v>0</v>
      </c>
      <c r="F12" s="28"/>
      <c r="G12" s="50"/>
    </row>
    <row r="13" ht="14.25" customHeight="1">
      <c r="A13" s="14"/>
      <c r="B13" s="51">
        <v>46419.0</v>
      </c>
      <c r="C13" s="25">
        <f>'Cant. Requeridas Producto 3'!AB11</f>
        <v>2352000</v>
      </c>
      <c r="D13" s="29"/>
      <c r="E13" s="27">
        <f t="shared" si="1"/>
        <v>0</v>
      </c>
      <c r="F13" s="29"/>
      <c r="G13" s="50"/>
    </row>
    <row r="14" ht="14.25" customHeight="1">
      <c r="A14" s="14"/>
      <c r="B14" s="54">
        <v>46447.0</v>
      </c>
      <c r="C14" s="25">
        <f>'Cant. Requeridas Producto 3'!AB12</f>
        <v>2604000</v>
      </c>
      <c r="D14" s="29"/>
      <c r="E14" s="27">
        <f t="shared" si="1"/>
        <v>0</v>
      </c>
      <c r="F14" s="29"/>
      <c r="G14" s="50"/>
    </row>
    <row r="15" ht="14.25" customHeight="1">
      <c r="A15" s="14"/>
      <c r="B15" s="51">
        <v>46478.0</v>
      </c>
      <c r="C15" s="25">
        <f>'Cant. Requeridas Producto 3'!AB13</f>
        <v>2520000</v>
      </c>
      <c r="D15" s="29"/>
      <c r="E15" s="27">
        <f t="shared" si="1"/>
        <v>0</v>
      </c>
      <c r="F15" s="29"/>
      <c r="G15" s="50"/>
    </row>
    <row r="16" ht="14.25" customHeight="1">
      <c r="A16" s="14"/>
      <c r="B16" s="54">
        <v>46508.0</v>
      </c>
      <c r="C16" s="25">
        <f>'Cant. Requeridas Producto 3'!AB14</f>
        <v>2604000</v>
      </c>
      <c r="D16" s="29"/>
      <c r="E16" s="27">
        <f t="shared" si="1"/>
        <v>0</v>
      </c>
      <c r="F16" s="29"/>
      <c r="G16" s="50"/>
    </row>
    <row r="17" ht="14.25" customHeight="1">
      <c r="A17" s="14"/>
      <c r="B17" s="51">
        <v>46539.0</v>
      </c>
      <c r="C17" s="25">
        <f>'Cant. Requeridas Producto 3'!AB15</f>
        <v>2520000</v>
      </c>
      <c r="D17" s="29"/>
      <c r="E17" s="27">
        <f t="shared" si="1"/>
        <v>0</v>
      </c>
      <c r="F17" s="29"/>
      <c r="G17" s="50"/>
    </row>
    <row r="18" ht="14.25" customHeight="1">
      <c r="A18" s="14"/>
      <c r="B18" s="54">
        <v>46569.0</v>
      </c>
      <c r="C18" s="25">
        <f>'Cant. Requeridas Producto 3'!AB16</f>
        <v>2604000</v>
      </c>
      <c r="D18" s="29"/>
      <c r="E18" s="27">
        <f t="shared" si="1"/>
        <v>0</v>
      </c>
      <c r="F18" s="29"/>
      <c r="G18" s="50"/>
    </row>
    <row r="19" ht="14.25" customHeight="1">
      <c r="A19" s="14"/>
      <c r="B19" s="51">
        <v>46600.0</v>
      </c>
      <c r="C19" s="25">
        <f>'Cant. Requeridas Producto 3'!AB17</f>
        <v>2604000</v>
      </c>
      <c r="D19" s="29"/>
      <c r="E19" s="27">
        <f t="shared" si="1"/>
        <v>0</v>
      </c>
      <c r="F19" s="29"/>
      <c r="G19" s="50"/>
    </row>
    <row r="20" ht="14.25" customHeight="1">
      <c r="A20" s="14"/>
      <c r="B20" s="54">
        <v>46631.0</v>
      </c>
      <c r="C20" s="25">
        <f>'Cant. Requeridas Producto 3'!AB18</f>
        <v>2520000</v>
      </c>
      <c r="D20" s="29"/>
      <c r="E20" s="27">
        <f t="shared" si="1"/>
        <v>0</v>
      </c>
      <c r="F20" s="29"/>
      <c r="G20" s="50"/>
    </row>
    <row r="21" ht="14.25" customHeight="1">
      <c r="A21" s="14"/>
      <c r="B21" s="51">
        <v>46661.0</v>
      </c>
      <c r="C21" s="25">
        <f>'Cant. Requeridas Producto 3'!AB19</f>
        <v>2604000</v>
      </c>
      <c r="D21" s="29"/>
      <c r="E21" s="27">
        <f t="shared" si="1"/>
        <v>0</v>
      </c>
      <c r="F21" s="29"/>
      <c r="G21" s="50"/>
    </row>
    <row r="22" ht="14.25" customHeight="1">
      <c r="A22" s="14"/>
      <c r="B22" s="54">
        <v>46692.0</v>
      </c>
      <c r="C22" s="25">
        <f>'Cant. Requeridas Producto 3'!AB20</f>
        <v>2520000</v>
      </c>
      <c r="D22" s="29"/>
      <c r="E22" s="27">
        <f t="shared" si="1"/>
        <v>0</v>
      </c>
      <c r="F22" s="29"/>
      <c r="G22" s="50"/>
    </row>
    <row r="23" ht="14.25" customHeight="1">
      <c r="A23" s="14"/>
      <c r="B23" s="51">
        <v>46722.0</v>
      </c>
      <c r="C23" s="25">
        <f>'Cant. Requeridas Producto 3'!AB21</f>
        <v>2604000</v>
      </c>
      <c r="D23" s="30"/>
      <c r="E23" s="27">
        <f t="shared" si="1"/>
        <v>0</v>
      </c>
      <c r="F23" s="30"/>
      <c r="G23" s="50"/>
    </row>
    <row r="24" ht="14.25" customHeight="1">
      <c r="A24" s="14"/>
      <c r="B24" s="31" t="s">
        <v>32</v>
      </c>
      <c r="C24" s="32">
        <f>SUM(C12:C23)</f>
        <v>30660000</v>
      </c>
      <c r="D24" s="33"/>
      <c r="E24" s="32">
        <f>SUM(E12:E23)</f>
        <v>0</v>
      </c>
      <c r="F24" s="33"/>
    </row>
    <row r="25" ht="14.25" customHeight="1">
      <c r="A25" s="14"/>
      <c r="B25" s="15"/>
      <c r="C25" s="34"/>
      <c r="D25" s="15"/>
      <c r="E25" s="15"/>
    </row>
    <row r="26" ht="14.25" customHeight="1">
      <c r="C26" s="35"/>
    </row>
    <row r="27" ht="30.0" customHeight="1">
      <c r="B27" s="36" t="s">
        <v>42</v>
      </c>
      <c r="E27" s="37"/>
    </row>
    <row r="28">
      <c r="B28" s="36" t="s">
        <v>55</v>
      </c>
    </row>
    <row r="29" ht="27.0" customHeight="1">
      <c r="B29" s="36" t="s">
        <v>56</v>
      </c>
    </row>
    <row r="30">
      <c r="B30" s="36"/>
    </row>
    <row r="31" ht="14.25" customHeight="1"/>
    <row r="32" ht="14.25" customHeight="1"/>
    <row r="33" ht="14.25" customHeight="1">
      <c r="B33" s="39"/>
      <c r="C33" s="39"/>
    </row>
    <row r="34" ht="14.25" customHeight="1">
      <c r="B34" s="40" t="s">
        <v>45</v>
      </c>
    </row>
    <row r="35" ht="14.25" customHeight="1">
      <c r="B35" s="40" t="s">
        <v>46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2">
    <mergeCell ref="D12:D23"/>
    <mergeCell ref="B27:D27"/>
    <mergeCell ref="B28:E28"/>
    <mergeCell ref="B29:E29"/>
    <mergeCell ref="B30:E30"/>
    <mergeCell ref="A4:F4"/>
    <mergeCell ref="B5:E5"/>
    <mergeCell ref="B6:E6"/>
    <mergeCell ref="B7:E7"/>
    <mergeCell ref="B8:E8"/>
    <mergeCell ref="B10:F10"/>
    <mergeCell ref="F12:F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2022-08-03T18:43:37Z</dcterms:created>
  <dc:creator>Head of trading BIA</dc:creator>
</cp:coreProperties>
</file>