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W:\ComprasEnergia\Convocatorias - General\CP-CHCC2026-01\02_Pliegos y productos\"/>
    </mc:Choice>
  </mc:AlternateContent>
  <xr:revisionPtr revIDLastSave="0" documentId="13_ncr:1_{1B63D5E0-FAFB-4056-A864-A14906687B4E}" xr6:coauthVersionLast="47" xr6:coauthVersionMax="47" xr10:uidLastSave="{00000000-0000-0000-0000-000000000000}"/>
  <bookViews>
    <workbookView xWindow="-110" yWindow="-110" windowWidth="19420" windowHeight="10300" firstSheet="13" activeTab="15" xr2:uid="{DBCF6EBD-C4B3-4CEE-B16A-4B2AC1F0ECF6}"/>
  </bookViews>
  <sheets>
    <sheet name="Oferta Producto 1" sheetId="12" r:id="rId1"/>
    <sheet name="Oferta Producto 2" sheetId="17" r:id="rId2"/>
    <sheet name="Oferta Producto 3" sheetId="19" r:id="rId3"/>
    <sheet name="Oferta Producto 4" sheetId="20" r:id="rId4"/>
    <sheet name="Oferta Producto 5" sheetId="22" r:id="rId5"/>
    <sheet name="Oferta Producto 6 " sheetId="23" r:id="rId6"/>
    <sheet name="Cantidad Producto 1-2027" sheetId="1" r:id="rId7"/>
    <sheet name="Cantidad Producto 2-2028" sheetId="18" r:id="rId8"/>
    <sheet name="Cantidad Producto3-2029" sheetId="3" r:id="rId9"/>
    <sheet name="Cantidad Producto 4-2030" sheetId="4" r:id="rId10"/>
    <sheet name="Cantidad Producto 5-2031" sheetId="21" r:id="rId11"/>
    <sheet name="Cantidad Producto6-2027" sheetId="24" r:id="rId12"/>
    <sheet name="Cantidad Producto 6-2028 " sheetId="25" r:id="rId13"/>
    <sheet name="Cantidad Producto 6-2029" sheetId="26" r:id="rId14"/>
    <sheet name="Cantidad Producto 6-2030" sheetId="27" r:id="rId15"/>
    <sheet name="Cantidad Producto 6-2031" sheetId="28" r:id="rId16"/>
  </sheets>
  <definedNames>
    <definedName name="_xlnm._FilterDatabase" localSheetId="6" hidden="1">'Cantidad Producto 1-2027'!$B$6:$AC$55</definedName>
    <definedName name="_xlnm._FilterDatabase" localSheetId="11" hidden="1">'Cantidad Producto6-2027'!$B$6:$AC$55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79" i="23" l="1"/>
  <c r="C66" i="23"/>
  <c r="C53" i="23"/>
  <c r="C40" i="23"/>
  <c r="C27" i="23"/>
  <c r="AC51" i="28"/>
  <c r="AE18" i="28" s="1"/>
  <c r="AC47" i="28"/>
  <c r="AE17" i="28" s="1"/>
  <c r="AC43" i="28"/>
  <c r="AE16" i="28" s="1"/>
  <c r="AC39" i="28"/>
  <c r="AE15" i="28" s="1"/>
  <c r="AC35" i="28"/>
  <c r="AE14" i="28" s="1"/>
  <c r="AC31" i="28"/>
  <c r="AE13" i="28" s="1"/>
  <c r="AC27" i="28"/>
  <c r="AE12" i="28" s="1"/>
  <c r="AC23" i="28"/>
  <c r="AE11" i="28" s="1"/>
  <c r="AC19" i="28"/>
  <c r="AC15" i="28"/>
  <c r="AE9" i="28" s="1"/>
  <c r="AC11" i="28"/>
  <c r="AE8" i="28" s="1"/>
  <c r="AE10" i="28"/>
  <c r="AC7" i="28"/>
  <c r="AC51" i="27"/>
  <c r="AE18" i="27" s="1"/>
  <c r="AC47" i="27"/>
  <c r="AE17" i="27" s="1"/>
  <c r="AC43" i="27"/>
  <c r="AC39" i="27"/>
  <c r="AE15" i="27" s="1"/>
  <c r="AC35" i="27"/>
  <c r="AE14" i="27" s="1"/>
  <c r="AC31" i="27"/>
  <c r="AE13" i="27" s="1"/>
  <c r="AC27" i="27"/>
  <c r="AE12" i="27" s="1"/>
  <c r="AC23" i="27"/>
  <c r="AE11" i="27" s="1"/>
  <c r="AC19" i="27"/>
  <c r="AE10" i="27" s="1"/>
  <c r="AE16" i="27"/>
  <c r="AC15" i="27"/>
  <c r="AE9" i="27" s="1"/>
  <c r="AC11" i="27"/>
  <c r="AE8" i="27" s="1"/>
  <c r="AC7" i="27"/>
  <c r="AE7" i="27" s="1"/>
  <c r="AC51" i="26"/>
  <c r="AE18" i="26" s="1"/>
  <c r="AC47" i="26"/>
  <c r="AE17" i="26" s="1"/>
  <c r="AC43" i="26"/>
  <c r="AE16" i="26" s="1"/>
  <c r="AC39" i="26"/>
  <c r="AE15" i="26" s="1"/>
  <c r="AC35" i="26"/>
  <c r="AC31" i="26"/>
  <c r="AE13" i="26" s="1"/>
  <c r="AC27" i="26"/>
  <c r="AE12" i="26" s="1"/>
  <c r="AC23" i="26"/>
  <c r="AE11" i="26" s="1"/>
  <c r="AC19" i="26"/>
  <c r="AE10" i="26" s="1"/>
  <c r="AC15" i="26"/>
  <c r="AE9" i="26" s="1"/>
  <c r="AE14" i="26"/>
  <c r="AC11" i="26"/>
  <c r="AE8" i="26" s="1"/>
  <c r="AC7" i="26"/>
  <c r="AC51" i="25"/>
  <c r="AE18" i="25" s="1"/>
  <c r="AC47" i="25"/>
  <c r="AE17" i="25" s="1"/>
  <c r="AC43" i="25"/>
  <c r="AE16" i="25" s="1"/>
  <c r="AC39" i="25"/>
  <c r="AE15" i="25" s="1"/>
  <c r="AC35" i="25"/>
  <c r="AE14" i="25" s="1"/>
  <c r="AC31" i="25"/>
  <c r="AE13" i="25" s="1"/>
  <c r="AC27" i="25"/>
  <c r="AE12" i="25" s="1"/>
  <c r="AC23" i="25"/>
  <c r="AE11" i="25" s="1"/>
  <c r="AC19" i="25"/>
  <c r="AE10" i="25" s="1"/>
  <c r="AC15" i="25"/>
  <c r="AE9" i="25" s="1"/>
  <c r="AC11" i="25"/>
  <c r="AE8" i="25" s="1"/>
  <c r="AC7" i="25"/>
  <c r="AC7" i="24"/>
  <c r="AC51" i="24"/>
  <c r="AE18" i="24" s="1"/>
  <c r="AC47" i="24"/>
  <c r="AE17" i="24" s="1"/>
  <c r="AC43" i="24"/>
  <c r="AE16" i="24" s="1"/>
  <c r="AC39" i="24"/>
  <c r="AE15" i="24" s="1"/>
  <c r="AC35" i="24"/>
  <c r="AE14" i="24" s="1"/>
  <c r="AC31" i="24"/>
  <c r="AE13" i="24" s="1"/>
  <c r="AC27" i="24"/>
  <c r="AE12" i="24" s="1"/>
  <c r="AC23" i="24"/>
  <c r="AE11" i="24" s="1"/>
  <c r="AC19" i="24"/>
  <c r="AE10" i="24" s="1"/>
  <c r="AC15" i="24"/>
  <c r="AE9" i="24" s="1"/>
  <c r="AC11" i="24"/>
  <c r="AE8" i="24" s="1"/>
  <c r="C9" i="23"/>
  <c r="C5" i="23"/>
  <c r="C16" i="22"/>
  <c r="C17" i="22"/>
  <c r="C18" i="22"/>
  <c r="C19" i="22"/>
  <c r="C20" i="22"/>
  <c r="C21" i="22"/>
  <c r="C22" i="22"/>
  <c r="C23" i="22"/>
  <c r="C24" i="22"/>
  <c r="C25" i="22"/>
  <c r="C26" i="22"/>
  <c r="C15" i="22"/>
  <c r="C9" i="22"/>
  <c r="C5" i="22"/>
  <c r="AC15" i="21"/>
  <c r="AE9" i="21" s="1"/>
  <c r="AC35" i="21"/>
  <c r="AE14" i="21" s="1"/>
  <c r="AC39" i="21"/>
  <c r="AE15" i="21" s="1"/>
  <c r="AC19" i="21"/>
  <c r="AE10" i="21" s="1"/>
  <c r="AC31" i="21"/>
  <c r="AE13" i="21" s="1"/>
  <c r="AC43" i="21"/>
  <c r="AE16" i="21" s="1"/>
  <c r="AC7" i="21"/>
  <c r="AC27" i="18"/>
  <c r="AE12" i="18" s="1"/>
  <c r="AC39" i="18"/>
  <c r="AE15" i="18" s="1"/>
  <c r="AE19" i="1"/>
  <c r="AE18" i="1"/>
  <c r="AE17" i="1"/>
  <c r="AE16" i="1"/>
  <c r="AE15" i="1"/>
  <c r="AE14" i="1"/>
  <c r="AE13" i="1"/>
  <c r="AE12" i="1"/>
  <c r="AE11" i="1"/>
  <c r="AE10" i="1"/>
  <c r="AE9" i="1"/>
  <c r="AE8" i="1"/>
  <c r="AE7" i="1"/>
  <c r="AC11" i="1"/>
  <c r="AC19" i="1"/>
  <c r="AC23" i="1"/>
  <c r="C9" i="20"/>
  <c r="C5" i="20"/>
  <c r="C9" i="19"/>
  <c r="C5" i="19"/>
  <c r="AC55" i="28" l="1"/>
  <c r="AE7" i="28"/>
  <c r="AE19" i="28"/>
  <c r="AE19" i="27"/>
  <c r="AC55" i="27"/>
  <c r="AC55" i="26"/>
  <c r="AE7" i="26"/>
  <c r="AE19" i="26" s="1"/>
  <c r="AC55" i="25"/>
  <c r="AE7" i="25"/>
  <c r="AE19" i="25" s="1"/>
  <c r="AC55" i="24"/>
  <c r="AE7" i="24"/>
  <c r="AE19" i="24" s="1"/>
  <c r="C27" i="22"/>
  <c r="AC51" i="21"/>
  <c r="AE18" i="21" s="1"/>
  <c r="AC27" i="21"/>
  <c r="AE12" i="21" s="1"/>
  <c r="AC47" i="21"/>
  <c r="AE17" i="21" s="1"/>
  <c r="AC11" i="21"/>
  <c r="AE8" i="21" s="1"/>
  <c r="AC23" i="21"/>
  <c r="AE11" i="21" s="1"/>
  <c r="AE7" i="21"/>
  <c r="AC43" i="18"/>
  <c r="AE16" i="18" s="1"/>
  <c r="C24" i="17" s="1"/>
  <c r="C20" i="17"/>
  <c r="AC7" i="1"/>
  <c r="AC43" i="1"/>
  <c r="AC31" i="1"/>
  <c r="AC27" i="1"/>
  <c r="AC51" i="1"/>
  <c r="AC39" i="1"/>
  <c r="AC15" i="1"/>
  <c r="AC35" i="1"/>
  <c r="AC47" i="1"/>
  <c r="AC15" i="18"/>
  <c r="AE9" i="18" s="1"/>
  <c r="C17" i="17" s="1"/>
  <c r="AC23" i="18"/>
  <c r="AC11" i="18"/>
  <c r="C23" i="17"/>
  <c r="AC51" i="18"/>
  <c r="AE18" i="18" s="1"/>
  <c r="AC31" i="18"/>
  <c r="AE13" i="18" s="1"/>
  <c r="AC35" i="18"/>
  <c r="AE14" i="18" s="1"/>
  <c r="AC47" i="18"/>
  <c r="AE17" i="18" s="1"/>
  <c r="AC19" i="18"/>
  <c r="AE10" i="18" s="1"/>
  <c r="AC7" i="18"/>
  <c r="AE7" i="18" s="1"/>
  <c r="AC7" i="4"/>
  <c r="AC11" i="4"/>
  <c r="AC23" i="4"/>
  <c r="AC51" i="4"/>
  <c r="AC19" i="4"/>
  <c r="AC31" i="4"/>
  <c r="AC43" i="4"/>
  <c r="AC7" i="3"/>
  <c r="AC11" i="3"/>
  <c r="AC35" i="3"/>
  <c r="AC51" i="3"/>
  <c r="AC19" i="3"/>
  <c r="AC31" i="3"/>
  <c r="AC43" i="3"/>
  <c r="AE19" i="21" l="1"/>
  <c r="AC55" i="21"/>
  <c r="AE16" i="4"/>
  <c r="C24" i="20" s="1"/>
  <c r="AE11" i="4"/>
  <c r="C19" i="20" s="1"/>
  <c r="AE13" i="4"/>
  <c r="C21" i="20" s="1"/>
  <c r="AE8" i="4"/>
  <c r="C16" i="20" s="1"/>
  <c r="AE10" i="4"/>
  <c r="C18" i="20" s="1"/>
  <c r="AE18" i="4"/>
  <c r="C26" i="20" s="1"/>
  <c r="AE7" i="4"/>
  <c r="C15" i="20" s="1"/>
  <c r="AE18" i="3"/>
  <c r="C26" i="19" s="1"/>
  <c r="AE13" i="3"/>
  <c r="C21" i="19" s="1"/>
  <c r="AE14" i="3"/>
  <c r="C22" i="19" s="1"/>
  <c r="AE16" i="3"/>
  <c r="C24" i="19" s="1"/>
  <c r="AE10" i="3"/>
  <c r="C18" i="19" s="1"/>
  <c r="C16" i="19"/>
  <c r="AE8" i="3"/>
  <c r="AE7" i="3"/>
  <c r="AE11" i="18"/>
  <c r="C19" i="17" s="1"/>
  <c r="AE8" i="18"/>
  <c r="AC55" i="18"/>
  <c r="C18" i="17"/>
  <c r="C22" i="17"/>
  <c r="C26" i="17"/>
  <c r="C25" i="17"/>
  <c r="C21" i="17"/>
  <c r="C17" i="12"/>
  <c r="E17" i="12" s="1"/>
  <c r="C19" i="12"/>
  <c r="E19" i="12" s="1"/>
  <c r="C22" i="12"/>
  <c r="E22" i="12" s="1"/>
  <c r="C21" i="12"/>
  <c r="E21" i="12" s="1"/>
  <c r="C23" i="12"/>
  <c r="E23" i="12" s="1"/>
  <c r="C18" i="12"/>
  <c r="C20" i="12"/>
  <c r="E20" i="12" s="1"/>
  <c r="C24" i="12"/>
  <c r="E24" i="12" s="1"/>
  <c r="C26" i="12"/>
  <c r="E26" i="12" s="1"/>
  <c r="C15" i="12"/>
  <c r="C25" i="12"/>
  <c r="E25" i="12" s="1"/>
  <c r="C16" i="12"/>
  <c r="E16" i="12" s="1"/>
  <c r="AC55" i="1"/>
  <c r="AC15" i="4"/>
  <c r="AC39" i="4"/>
  <c r="AC27" i="4"/>
  <c r="AC47" i="4"/>
  <c r="AC35" i="4"/>
  <c r="AC39" i="3"/>
  <c r="AC27" i="3"/>
  <c r="AC15" i="3"/>
  <c r="AC47" i="3"/>
  <c r="AC23" i="3"/>
  <c r="AE17" i="4" l="1"/>
  <c r="C25" i="20" s="1"/>
  <c r="AE15" i="4"/>
  <c r="C23" i="20" s="1"/>
  <c r="AE12" i="4"/>
  <c r="C20" i="20" s="1"/>
  <c r="AE9" i="4"/>
  <c r="C17" i="20" s="1"/>
  <c r="AE14" i="4"/>
  <c r="C22" i="20" s="1"/>
  <c r="AE9" i="3"/>
  <c r="C17" i="19" s="1"/>
  <c r="AE11" i="3"/>
  <c r="C19" i="19" s="1"/>
  <c r="AE17" i="3"/>
  <c r="C25" i="19" s="1"/>
  <c r="AE12" i="3"/>
  <c r="C20" i="19" s="1"/>
  <c r="AE15" i="3"/>
  <c r="C23" i="19" s="1"/>
  <c r="C15" i="19"/>
  <c r="AE19" i="18"/>
  <c r="C16" i="17"/>
  <c r="E18" i="12"/>
  <c r="C27" i="12"/>
  <c r="C15" i="17"/>
  <c r="C27" i="17" s="1"/>
  <c r="E15" i="12"/>
  <c r="AC55" i="4"/>
  <c r="AC55" i="3"/>
  <c r="C27" i="20" l="1"/>
  <c r="AE19" i="4"/>
  <c r="AE19" i="3"/>
  <c r="C27" i="19"/>
</calcChain>
</file>

<file path=xl/sharedStrings.xml><?xml version="1.0" encoding="utf-8"?>
<sst xmlns="http://schemas.openxmlformats.org/spreadsheetml/2006/main" count="1453" uniqueCount="91">
  <si>
    <t>Mes</t>
  </si>
  <si>
    <t>Tipo Día</t>
  </si>
  <si>
    <t>Días</t>
  </si>
  <si>
    <t>H1</t>
  </si>
  <si>
    <t>H2</t>
  </si>
  <si>
    <t>H3</t>
  </si>
  <si>
    <t>H4</t>
  </si>
  <si>
    <t>H5</t>
  </si>
  <si>
    <t>H6</t>
  </si>
  <si>
    <t>H7</t>
  </si>
  <si>
    <t>H8</t>
  </si>
  <si>
    <t>H9</t>
  </si>
  <si>
    <t>H10</t>
  </si>
  <si>
    <t>H11</t>
  </si>
  <si>
    <t>H12</t>
  </si>
  <si>
    <t>H13</t>
  </si>
  <si>
    <t>H14</t>
  </si>
  <si>
    <t>H15</t>
  </si>
  <si>
    <t>H16</t>
  </si>
  <si>
    <t>H17</t>
  </si>
  <si>
    <t>H18</t>
  </si>
  <si>
    <t>H19</t>
  </si>
  <si>
    <t>H20</t>
  </si>
  <si>
    <t>H21</t>
  </si>
  <si>
    <t>H22</t>
  </si>
  <si>
    <t>H23</t>
  </si>
  <si>
    <t>H24</t>
  </si>
  <si>
    <t>TOTAL MES</t>
  </si>
  <si>
    <t>Ene</t>
  </si>
  <si>
    <t xml:space="preserve"> Ordinario</t>
  </si>
  <si>
    <t xml:space="preserve"> Sábado</t>
  </si>
  <si>
    <t xml:space="preserve"> Domingo</t>
  </si>
  <si>
    <t xml:space="preserve"> Festivo</t>
  </si>
  <si>
    <t>Feb</t>
  </si>
  <si>
    <t>Mar</t>
  </si>
  <si>
    <t>Abr</t>
  </si>
  <si>
    <t>May</t>
  </si>
  <si>
    <t>Jun</t>
  </si>
  <si>
    <t>Jul</t>
  </si>
  <si>
    <t>Ago</t>
  </si>
  <si>
    <t>Sep</t>
  </si>
  <si>
    <t>Oct</t>
  </si>
  <si>
    <t>Nov</t>
  </si>
  <si>
    <t>Dic</t>
  </si>
  <si>
    <t>CENTRAL HIDROELECTRICA DE CALDAS S.A. E.S.P. -BENEFICIO E INTERÉS COLECTIVO</t>
  </si>
  <si>
    <t>CANTIDADES DE ENERGÍA SOLICITADAS (kWh)</t>
  </si>
  <si>
    <t>TOTAL AÑO kWh</t>
  </si>
  <si>
    <t>ANEXO. CANTIDADES DE ENERGÍA Y PRECIO</t>
  </si>
  <si>
    <t>PRODUCTO:</t>
  </si>
  <si>
    <t>OFERENTE:</t>
  </si>
  <si>
    <t>AÑO:</t>
  </si>
  <si>
    <t>CANTIDAD EN:</t>
  </si>
  <si>
    <t>EN PESOS DE</t>
  </si>
  <si>
    <t>INDICADOR:</t>
  </si>
  <si>
    <t>IPP- PROVISIONAL</t>
  </si>
  <si>
    <t>TIPO DE CONTRATO:</t>
  </si>
  <si>
    <t>TIPO DE CARGA:</t>
  </si>
  <si>
    <t>CURVA</t>
  </si>
  <si>
    <t xml:space="preserve">Fecha </t>
  </si>
  <si>
    <t>Energia Solicitada kWh</t>
  </si>
  <si>
    <t>Porcentaje Ofertado %</t>
  </si>
  <si>
    <t>Energia Ofertada kWh</t>
  </si>
  <si>
    <t>Precio $/KWh</t>
  </si>
  <si>
    <t>%</t>
  </si>
  <si>
    <t xml:space="preserve">Notas: </t>
  </si>
  <si>
    <t>Total producto</t>
  </si>
  <si>
    <t>PLC</t>
  </si>
  <si>
    <t>kWh</t>
  </si>
  <si>
    <t>Notas:</t>
  </si>
  <si>
    <t>OFERENTE E.S.P</t>
  </si>
  <si>
    <t>CP-CHCC2026-001</t>
  </si>
  <si>
    <t>OFERTA MERCANTIL No.</t>
  </si>
  <si>
    <t>INVITACIÓN</t>
  </si>
  <si>
    <t>2027-2031</t>
  </si>
  <si>
    <t>1) La energía ofertada debe corresponder a lo establecido en el Anexo 8.1.</t>
  </si>
  <si>
    <t>2) El porcentaje y el precio ofertado deben permanecer iguales para todos los meses del año</t>
  </si>
  <si>
    <t>3) El precio debe ser presentado en $/kWh, expresado en pesos de enero de 2026.</t>
  </si>
  <si>
    <t>4) Solo se evaluarán las ofertas que sigan la curva de carga.</t>
  </si>
  <si>
    <t>5)No se tendrán en cuenta ofertas que incluyan condiciones y/o modificaciones adicionales a los Pliegos definitivos.</t>
  </si>
  <si>
    <t>1) La energía ofertada debe corresponder a lo establecido en el Anexo 8.2</t>
  </si>
  <si>
    <t>1) La energía ofertada debe corresponder a lo establecido en el Anexo 8.3</t>
  </si>
  <si>
    <t>5) No se tendrán en cuenta ofertas que incluyan condiciones y/o modificaciones adicionales a los Pliegos definitivos.</t>
  </si>
  <si>
    <t>1) La energía ofertada debe corresponder a lo establecido en el Anexo 8.4</t>
  </si>
  <si>
    <t>1) La energía ofertada debe corresponder a lo establecido en el Anexo 8.5</t>
  </si>
  <si>
    <t>1) La energía ofertada debe corresponder a lo establecido en los Anexos 8.6, 8.7, 8.8, 8.9 y 8.10.</t>
  </si>
  <si>
    <t>3) El precio ofertado puede variar entre los años; sin embargo, deberá mantenerse igual para todos los meses dentro de un mismo año.</t>
  </si>
  <si>
    <t>4) El precio debe presentarse en $/kWh, expresado en pesos de enero de 2026.</t>
  </si>
  <si>
    <t>6) No se considerarán ofertas que incluyan condiciones y/o modificaciones adicionales a los Pliegos definitivos.</t>
  </si>
  <si>
    <t>5) Solo se evaluarán ofertas planas o curva solar.</t>
  </si>
  <si>
    <t>2)El porcentaje ofertado puede ser diferente para cada uno de los años que conforman el producto; no obstante, deberá mantenerse igual para todos los meses de cada año.</t>
  </si>
  <si>
    <t>Total año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</si>
</sst>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41" formatCode="_-* #,##0_-;\-* #,##0_-;_-* &quot;-&quot;_-;_-@_-"/>
    <numFmt numFmtId="44" formatCode="_-&quot;$&quot;* #,##0.00_-;\-&quot;$&quot;* #,##0.00_-;_-&quot;$&quot;* &quot;-&quot;??_-;_-@_-"/>
    <numFmt numFmtId="43" formatCode="_-* #,##0.00_-;\-* #,##0.00_-;_-* &quot;-&quot;??_-;_-@_-"/>
    <numFmt numFmtId="164" formatCode="_-* #,##0\ _€_-;\-* #,##0\ _€_-;_-* &quot;-&quot;\ _€_-;_-@_-"/>
    <numFmt numFmtId="165" formatCode="_-* #,##0.00\ _€_-;\-* #,##0.00\ _€_-;_-* &quot;-&quot;\ _€_-;_-@_-"/>
    <numFmt numFmtId="166" formatCode="_-* #,##0.00_-;\-* #,##0.00_-;_-* &quot;-&quot;_-;_-@_-"/>
    <numFmt numFmtId="167" formatCode="_-* #,##0_-;\-* #,##0_-;_-* &quot;-&quot;??_-;_-@_-"/>
    <numFmt numFmtId="168" formatCode="_-* #,##0.0_-;\-* #,##0.0_-;_-* &quot;-&quot;??_-;_-@_-"/>
    <numFmt numFmtId="169" formatCode="#,##0;[Red]#,##0"/>
  </numFmts>
  <fonts count="17" x14ac:knownFonts="1">
    <font>
      <sz val="11"/>
      <color theme="1"/>
      <name val="Calibri"/>
      <family val="2"/>
      <scheme val="minor"/>
    </font>
    <font>
      <sz val="12"/>
      <color theme="1"/>
      <name val="Calibri Light"/>
      <family val="2"/>
    </font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2"/>
      <name val="Arial"/>
      <family val="2"/>
    </font>
    <font>
      <b/>
      <sz val="10"/>
      <name val="Arial"/>
      <family val="2"/>
    </font>
    <font>
      <sz val="9"/>
      <name val="Arial"/>
      <family val="2"/>
    </font>
    <font>
      <b/>
      <sz val="9"/>
      <name val="Arial"/>
      <family val="2"/>
    </font>
    <font>
      <sz val="10"/>
      <name val="Times New Roman"/>
      <family val="1"/>
    </font>
    <font>
      <sz val="8"/>
      <name val="Arial"/>
      <family val="2"/>
    </font>
    <font>
      <sz val="11"/>
      <color indexed="8"/>
      <name val="Calibri"/>
      <family val="2"/>
    </font>
    <font>
      <sz val="10"/>
      <name val="Aptos"/>
      <family val="2"/>
    </font>
    <font>
      <sz val="10"/>
      <color theme="1"/>
      <name val="Arial"/>
      <family val="2"/>
    </font>
    <font>
      <b/>
      <sz val="10"/>
      <color indexed="8"/>
      <name val="Arial"/>
      <family val="2"/>
    </font>
    <font>
      <b/>
      <sz val="10"/>
      <color theme="1"/>
      <name val="Arial"/>
      <family val="2"/>
    </font>
    <font>
      <sz val="8"/>
      <name val="Calibri"/>
      <family val="2"/>
      <scheme val="minor"/>
    </font>
    <font>
      <sz val="11"/>
      <color theme="1"/>
      <name val="Segoe UI"/>
      <family val="2"/>
    </font>
  </fonts>
  <fills count="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medium">
        <color indexed="64"/>
      </bottom>
      <diagonal/>
    </border>
  </borders>
  <cellStyleXfs count="10">
    <xf numFmtId="0" fontId="0" fillId="0" borderId="0"/>
    <xf numFmtId="43" fontId="1" fillId="0" borderId="0" applyFont="0" applyFill="0" applyBorder="0" applyAlignment="0" applyProtection="0"/>
    <xf numFmtId="0" fontId="8" fillId="0" borderId="0"/>
    <xf numFmtId="0" fontId="3" fillId="0" borderId="0"/>
    <xf numFmtId="0" fontId="9" fillId="0" borderId="0"/>
    <xf numFmtId="0" fontId="10" fillId="0" borderId="0"/>
    <xf numFmtId="164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44" fontId="2" fillId="0" borderId="0" applyFont="0" applyFill="0" applyBorder="0" applyAlignment="0" applyProtection="0"/>
    <xf numFmtId="41" fontId="2" fillId="0" borderId="0" applyFont="0" applyFill="0" applyBorder="0" applyAlignment="0" applyProtection="0"/>
  </cellStyleXfs>
  <cellXfs count="90">
    <xf numFmtId="0" fontId="0" fillId="0" borderId="0" xfId="0"/>
    <xf numFmtId="0" fontId="3" fillId="0" borderId="0" xfId="0" applyFont="1"/>
    <xf numFmtId="0" fontId="4" fillId="2" borderId="1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vertical="center" wrapText="1"/>
    </xf>
    <xf numFmtId="0" fontId="3" fillId="2" borderId="1" xfId="0" applyFont="1" applyFill="1" applyBorder="1" applyAlignment="1">
      <alignment vertical="center" wrapText="1"/>
    </xf>
    <xf numFmtId="0" fontId="3" fillId="2" borderId="1" xfId="0" applyFont="1" applyFill="1" applyBorder="1" applyAlignment="1">
      <alignment horizontal="center" vertical="center" wrapText="1"/>
    </xf>
    <xf numFmtId="3" fontId="5" fillId="0" borderId="1" xfId="0" applyNumberFormat="1" applyFont="1" applyBorder="1" applyAlignment="1">
      <alignment horizontal="center"/>
    </xf>
    <xf numFmtId="0" fontId="6" fillId="0" borderId="0" xfId="0" applyFont="1"/>
    <xf numFmtId="0" fontId="5" fillId="2" borderId="1" xfId="0" applyFont="1" applyFill="1" applyBorder="1" applyAlignment="1">
      <alignment horizontal="center" vertical="center" wrapText="1"/>
    </xf>
    <xf numFmtId="0" fontId="7" fillId="2" borderId="1" xfId="0" applyFont="1" applyFill="1" applyBorder="1" applyAlignment="1">
      <alignment horizontal="center" vertical="center" wrapText="1"/>
    </xf>
    <xf numFmtId="4" fontId="6" fillId="0" borderId="0" xfId="0" applyNumberFormat="1" applyFont="1"/>
    <xf numFmtId="167" fontId="6" fillId="0" borderId="1" xfId="1" applyNumberFormat="1" applyFont="1" applyBorder="1" applyAlignment="1">
      <alignment horizontal="center" vertical="center" wrapText="1"/>
    </xf>
    <xf numFmtId="167" fontId="6" fillId="0" borderId="0" xfId="1" applyNumberFormat="1" applyFont="1"/>
    <xf numFmtId="167" fontId="7" fillId="0" borderId="1" xfId="1" applyNumberFormat="1" applyFont="1" applyBorder="1" applyAlignment="1">
      <alignment horizontal="center"/>
    </xf>
    <xf numFmtId="168" fontId="6" fillId="0" borderId="1" xfId="1" applyNumberFormat="1" applyFont="1" applyBorder="1" applyAlignment="1">
      <alignment horizontal="center" vertical="center" wrapText="1"/>
    </xf>
    <xf numFmtId="43" fontId="6" fillId="0" borderId="0" xfId="0" applyNumberFormat="1" applyFont="1"/>
    <xf numFmtId="0" fontId="5" fillId="2" borderId="1" xfId="0" applyFont="1" applyFill="1" applyBorder="1" applyAlignment="1">
      <alignment vertical="center" wrapText="1"/>
    </xf>
    <xf numFmtId="43" fontId="3" fillId="0" borderId="0" xfId="1" applyFont="1"/>
    <xf numFmtId="43" fontId="3" fillId="0" borderId="0" xfId="0" applyNumberFormat="1" applyFont="1"/>
    <xf numFmtId="43" fontId="11" fillId="0" borderId="0" xfId="1" applyFont="1"/>
    <xf numFmtId="3" fontId="3" fillId="0" borderId="0" xfId="0" applyNumberFormat="1" applyFont="1"/>
    <xf numFmtId="43" fontId="7" fillId="0" borderId="1" xfId="1" applyFont="1" applyBorder="1" applyAlignment="1">
      <alignment horizontal="center"/>
    </xf>
    <xf numFmtId="167" fontId="3" fillId="0" borderId="1" xfId="1" applyNumberFormat="1" applyFont="1" applyBorder="1" applyAlignment="1">
      <alignment horizontal="center" vertical="center" wrapText="1"/>
    </xf>
    <xf numFmtId="168" fontId="3" fillId="0" borderId="0" xfId="1" applyNumberFormat="1" applyFont="1" applyBorder="1" applyAlignment="1">
      <alignment horizontal="center" vertical="center" wrapText="1"/>
    </xf>
    <xf numFmtId="0" fontId="3" fillId="0" borderId="0" xfId="3"/>
    <xf numFmtId="0" fontId="5" fillId="0" borderId="0" xfId="3" applyFont="1" applyAlignment="1">
      <alignment horizontal="left"/>
    </xf>
    <xf numFmtId="17" fontId="5" fillId="0" borderId="0" xfId="0" applyNumberFormat="1" applyFont="1" applyAlignment="1">
      <alignment horizontal="left"/>
    </xf>
    <xf numFmtId="0" fontId="5" fillId="0" borderId="0" xfId="0" applyFont="1" applyAlignment="1">
      <alignment horizontal="left"/>
    </xf>
    <xf numFmtId="0" fontId="5" fillId="0" borderId="0" xfId="3" applyFont="1" applyAlignment="1">
      <alignment horizontal="center"/>
    </xf>
    <xf numFmtId="17" fontId="5" fillId="0" borderId="1" xfId="0" applyNumberFormat="1" applyFont="1" applyBorder="1" applyAlignment="1">
      <alignment horizontal="center" vertical="center"/>
    </xf>
    <xf numFmtId="10" fontId="3" fillId="4" borderId="1" xfId="7" applyNumberFormat="1" applyFont="1" applyFill="1" applyBorder="1" applyAlignment="1">
      <alignment horizontal="center" vertical="center"/>
    </xf>
    <xf numFmtId="165" fontId="3" fillId="0" borderId="1" xfId="6" applyNumberFormat="1" applyFont="1" applyFill="1" applyBorder="1" applyAlignment="1">
      <alignment horizontal="center" vertical="center"/>
    </xf>
    <xf numFmtId="44" fontId="3" fillId="4" borderId="1" xfId="8" applyFont="1" applyFill="1" applyBorder="1" applyAlignment="1">
      <alignment vertical="center"/>
    </xf>
    <xf numFmtId="166" fontId="3" fillId="0" borderId="0" xfId="3" applyNumberFormat="1"/>
    <xf numFmtId="165" fontId="5" fillId="0" borderId="1" xfId="6" applyNumberFormat="1" applyFont="1" applyFill="1" applyBorder="1" applyAlignment="1">
      <alignment horizontal="center" vertical="center"/>
    </xf>
    <xf numFmtId="9" fontId="3" fillId="4" borderId="1" xfId="7" applyFont="1" applyFill="1" applyBorder="1" applyAlignment="1">
      <alignment horizontal="center" vertical="center"/>
    </xf>
    <xf numFmtId="0" fontId="5" fillId="3" borderId="0" xfId="2" applyFont="1" applyFill="1" applyAlignment="1">
      <alignment horizontal="left" vertical="top"/>
    </xf>
    <xf numFmtId="0" fontId="12" fillId="0" borderId="0" xfId="0" applyFont="1"/>
    <xf numFmtId="0" fontId="5" fillId="0" borderId="0" xfId="4" applyFont="1" applyAlignment="1">
      <alignment horizontal="left"/>
    </xf>
    <xf numFmtId="0" fontId="13" fillId="3" borderId="0" xfId="5" applyFont="1" applyFill="1"/>
    <xf numFmtId="0" fontId="5" fillId="3" borderId="0" xfId="4" applyFont="1" applyFill="1" applyAlignment="1">
      <alignment horizontal="left" wrapText="1"/>
    </xf>
    <xf numFmtId="4" fontId="5" fillId="3" borderId="0" xfId="4" applyNumberFormat="1" applyFont="1" applyFill="1" applyAlignment="1">
      <alignment horizontal="left"/>
    </xf>
    <xf numFmtId="0" fontId="5" fillId="3" borderId="0" xfId="4" applyFont="1" applyFill="1" applyAlignment="1">
      <alignment horizontal="left"/>
    </xf>
    <xf numFmtId="17" fontId="5" fillId="3" borderId="1" xfId="4" applyNumberFormat="1" applyFont="1" applyFill="1" applyBorder="1" applyAlignment="1">
      <alignment horizontal="left" wrapText="1"/>
    </xf>
    <xf numFmtId="17" fontId="5" fillId="0" borderId="1" xfId="4" applyNumberFormat="1" applyFont="1" applyBorder="1" applyAlignment="1">
      <alignment horizontal="left" wrapText="1"/>
    </xf>
    <xf numFmtId="0" fontId="14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12" fillId="0" borderId="0" xfId="0" applyFont="1" applyAlignment="1">
      <alignment horizontal="left" vertical="center" indent="1"/>
    </xf>
    <xf numFmtId="0" fontId="12" fillId="0" borderId="0" xfId="0" applyFont="1" applyAlignment="1">
      <alignment vertical="center"/>
    </xf>
    <xf numFmtId="0" fontId="3" fillId="0" borderId="0" xfId="0" applyFont="1" applyAlignment="1">
      <alignment vertical="center" wrapText="1"/>
    </xf>
    <xf numFmtId="0" fontId="14" fillId="0" borderId="0" xfId="0" applyFont="1" applyAlignment="1">
      <alignment horizontal="left" vertical="center" indent="2"/>
    </xf>
    <xf numFmtId="0" fontId="12" fillId="0" borderId="5" xfId="0" applyFont="1" applyBorder="1" applyAlignment="1">
      <alignment horizontal="left" vertical="center" indent="1"/>
    </xf>
    <xf numFmtId="0" fontId="14" fillId="0" borderId="0" xfId="0" applyFont="1" applyAlignment="1">
      <alignment horizontal="left" vertical="center" indent="1"/>
    </xf>
    <xf numFmtId="41" fontId="3" fillId="0" borderId="0" xfId="9" applyFont="1"/>
    <xf numFmtId="10" fontId="3" fillId="0" borderId="0" xfId="3" applyNumberFormat="1"/>
    <xf numFmtId="43" fontId="3" fillId="0" borderId="0" xfId="3" applyNumberFormat="1"/>
    <xf numFmtId="164" fontId="3" fillId="0" borderId="0" xfId="3" applyNumberFormat="1"/>
    <xf numFmtId="0" fontId="14" fillId="0" borderId="0" xfId="0" applyFont="1"/>
    <xf numFmtId="3" fontId="3" fillId="0" borderId="1" xfId="1" applyNumberFormat="1" applyFont="1" applyFill="1" applyBorder="1" applyAlignment="1">
      <alignment horizontal="center" vertical="center"/>
    </xf>
    <xf numFmtId="3" fontId="5" fillId="0" borderId="1" xfId="1" applyNumberFormat="1" applyFont="1" applyFill="1" applyBorder="1" applyAlignment="1">
      <alignment horizontal="center" vertical="center"/>
    </xf>
    <xf numFmtId="169" fontId="3" fillId="0" borderId="1" xfId="6" applyNumberFormat="1" applyFont="1" applyFill="1" applyBorder="1" applyAlignment="1">
      <alignment horizontal="center" vertical="center"/>
    </xf>
    <xf numFmtId="169" fontId="5" fillId="0" borderId="1" xfId="6" applyNumberFormat="1" applyFont="1" applyFill="1" applyBorder="1" applyAlignment="1">
      <alignment horizontal="center" vertical="center"/>
    </xf>
    <xf numFmtId="17" fontId="5" fillId="0" borderId="0" xfId="0" applyNumberFormat="1" applyFont="1" applyAlignment="1">
      <alignment horizontal="center" vertical="center"/>
    </xf>
    <xf numFmtId="165" fontId="5" fillId="0" borderId="0" xfId="6" applyNumberFormat="1" applyFont="1" applyFill="1" applyBorder="1" applyAlignment="1">
      <alignment horizontal="center" vertical="center"/>
    </xf>
    <xf numFmtId="9" fontId="3" fillId="4" borderId="0" xfId="7" applyFont="1" applyFill="1" applyBorder="1" applyAlignment="1">
      <alignment horizontal="center" vertical="center"/>
    </xf>
    <xf numFmtId="44" fontId="3" fillId="4" borderId="0" xfId="8" applyFont="1" applyFill="1" applyBorder="1" applyAlignment="1">
      <alignment vertical="center"/>
    </xf>
    <xf numFmtId="3" fontId="3" fillId="0" borderId="1" xfId="6" applyNumberFormat="1" applyFont="1" applyFill="1" applyBorder="1" applyAlignment="1">
      <alignment horizontal="center" vertical="center"/>
    </xf>
    <xf numFmtId="3" fontId="5" fillId="0" borderId="1" xfId="6" applyNumberFormat="1" applyFont="1" applyFill="1" applyBorder="1" applyAlignment="1">
      <alignment horizontal="center" vertical="center"/>
    </xf>
    <xf numFmtId="3" fontId="5" fillId="3" borderId="1" xfId="4" applyNumberFormat="1" applyFont="1" applyFill="1" applyBorder="1" applyAlignment="1">
      <alignment horizontal="center" wrapText="1"/>
    </xf>
    <xf numFmtId="0" fontId="16" fillId="0" borderId="0" xfId="0" applyFont="1" applyAlignment="1">
      <alignment vertical="center"/>
    </xf>
    <xf numFmtId="0" fontId="3" fillId="0" borderId="1" xfId="0" applyFont="1" applyBorder="1" applyAlignment="1">
      <alignment horizontal="center" vertical="center" wrapText="1"/>
    </xf>
    <xf numFmtId="0" fontId="5" fillId="0" borderId="0" xfId="0" applyFont="1" applyAlignment="1">
      <alignment horizontal="center"/>
    </xf>
    <xf numFmtId="168" fontId="3" fillId="0" borderId="2" xfId="0" applyNumberFormat="1" applyFont="1" applyBorder="1" applyAlignment="1">
      <alignment horizontal="center" vertical="center" wrapText="1"/>
    </xf>
    <xf numFmtId="168" fontId="3" fillId="0" borderId="3" xfId="0" applyNumberFormat="1" applyFont="1" applyBorder="1" applyAlignment="1">
      <alignment horizontal="center" vertical="center" wrapText="1"/>
    </xf>
    <xf numFmtId="168" fontId="3" fillId="0" borderId="4" xfId="0" applyNumberFormat="1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/>
    </xf>
    <xf numFmtId="167" fontId="6" fillId="0" borderId="2" xfId="1" applyNumberFormat="1" applyFont="1" applyBorder="1" applyAlignment="1">
      <alignment horizontal="center" vertical="center" wrapText="1"/>
    </xf>
    <xf numFmtId="167" fontId="6" fillId="0" borderId="3" xfId="1" applyNumberFormat="1" applyFont="1" applyBorder="1" applyAlignment="1">
      <alignment horizontal="center" vertical="center" wrapText="1"/>
    </xf>
    <xf numFmtId="167" fontId="6" fillId="0" borderId="4" xfId="1" applyNumberFormat="1" applyFont="1" applyBorder="1" applyAlignment="1">
      <alignment horizontal="center" vertical="center" wrapText="1"/>
    </xf>
    <xf numFmtId="0" fontId="7" fillId="0" borderId="0" xfId="0" applyFont="1" applyAlignment="1">
      <alignment horizontal="center"/>
    </xf>
    <xf numFmtId="167" fontId="7" fillId="0" borderId="1" xfId="1" applyNumberFormat="1" applyFont="1" applyBorder="1" applyAlignment="1">
      <alignment horizontal="center"/>
    </xf>
    <xf numFmtId="17" fontId="5" fillId="3" borderId="0" xfId="4" applyNumberFormat="1" applyFont="1" applyFill="1" applyBorder="1" applyAlignment="1">
      <alignment horizontal="left" wrapText="1"/>
    </xf>
    <xf numFmtId="3" fontId="5" fillId="3" borderId="0" xfId="4" applyNumberFormat="1" applyFont="1" applyFill="1" applyBorder="1" applyAlignment="1">
      <alignment horizontal="center" wrapText="1"/>
    </xf>
    <xf numFmtId="17" fontId="5" fillId="4" borderId="1" xfId="4" applyNumberFormat="1" applyFont="1" applyFill="1" applyBorder="1" applyAlignment="1">
      <alignment horizontal="left" wrapText="1"/>
    </xf>
    <xf numFmtId="3" fontId="5" fillId="4" borderId="1" xfId="4" applyNumberFormat="1" applyFont="1" applyFill="1" applyBorder="1" applyAlignment="1">
      <alignment horizontal="center" wrapText="1"/>
    </xf>
    <xf numFmtId="165" fontId="3" fillId="4" borderId="1" xfId="6" applyNumberFormat="1" applyFont="1" applyFill="1" applyBorder="1" applyAlignment="1">
      <alignment horizontal="center" vertical="center"/>
    </xf>
    <xf numFmtId="165" fontId="5" fillId="4" borderId="1" xfId="6" applyNumberFormat="1" applyFont="1" applyFill="1" applyBorder="1" applyAlignment="1">
      <alignment horizontal="center" vertical="center"/>
    </xf>
    <xf numFmtId="9" fontId="3" fillId="3" borderId="0" xfId="7" applyFont="1" applyFill="1" applyBorder="1" applyAlignment="1">
      <alignment horizontal="center" vertical="center"/>
    </xf>
    <xf numFmtId="165" fontId="5" fillId="3" borderId="0" xfId="6" applyNumberFormat="1" applyFont="1" applyFill="1" applyBorder="1" applyAlignment="1">
      <alignment horizontal="center" vertical="center"/>
    </xf>
    <xf numFmtId="44" fontId="3" fillId="3" borderId="0" xfId="8" applyFont="1" applyFill="1" applyBorder="1" applyAlignment="1">
      <alignment vertical="center"/>
    </xf>
  </cellXfs>
  <cellStyles count="10">
    <cellStyle name="Millares" xfId="1" builtinId="3"/>
    <cellStyle name="Millares [0] 2" xfId="6" xr:uid="{0EA07DCC-854A-4F1A-B1E5-0D0296A936D5}"/>
    <cellStyle name="Millares [0] 3" xfId="9" xr:uid="{F0060658-987A-48E1-A5A6-8CCAA327086E}"/>
    <cellStyle name="Moneda 2" xfId="8" xr:uid="{EC3682A8-E881-462C-A8F6-3831E16C7F0E}"/>
    <cellStyle name="Normal" xfId="0" builtinId="0"/>
    <cellStyle name="Normal 3 2" xfId="3" xr:uid="{9E89C3C0-3B7A-42E3-AE86-D2559E2D33CF}"/>
    <cellStyle name="Normal_ENE99" xfId="4" xr:uid="{4912E6F3-3141-4459-B182-28057013CBDA}"/>
    <cellStyle name="Normal_GC00-001" xfId="2" xr:uid="{12C5EDDB-28C3-4989-90A7-3A05677D6917}"/>
    <cellStyle name="Normal_TABLA DE COMO SE ARMA PRECIOS" xfId="5" xr:uid="{E3DFA84D-E2C3-49CD-AB44-1B60CD32F390}"/>
    <cellStyle name="Porcentaje 2" xfId="7" xr:uid="{A293A1C8-D519-442D-AB85-A3E837E68D66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FC37AC-72E1-41DA-96EF-2505A973EFA1}">
  <dimension ref="B2:K39"/>
  <sheetViews>
    <sheetView showGridLines="0" topLeftCell="A7" workbookViewId="0">
      <selection activeCell="B29" sqref="B29:H35"/>
    </sheetView>
  </sheetViews>
  <sheetFormatPr baseColWidth="10" defaultColWidth="10.81640625" defaultRowHeight="12.5" x14ac:dyDescent="0.25"/>
  <cols>
    <col min="1" max="1" width="4.54296875" style="37" customWidth="1"/>
    <col min="2" max="2" width="25.54296875" style="37" customWidth="1"/>
    <col min="3" max="3" width="20.7265625" style="37" bestFit="1" customWidth="1"/>
    <col min="4" max="4" width="12.54296875" style="37" customWidth="1"/>
    <col min="5" max="5" width="15.26953125" style="37" bestFit="1" customWidth="1"/>
    <col min="6" max="6" width="9" style="37" customWidth="1"/>
    <col min="7" max="16384" width="10.81640625" style="37"/>
  </cols>
  <sheetData>
    <row r="2" spans="2:11" ht="13" x14ac:dyDescent="0.25">
      <c r="B2" s="36" t="s">
        <v>47</v>
      </c>
      <c r="C2" s="24"/>
      <c r="D2" s="24"/>
      <c r="E2" s="24"/>
      <c r="F2" s="24"/>
      <c r="G2" s="24"/>
      <c r="H2" s="24"/>
      <c r="I2" s="24"/>
      <c r="J2" s="24"/>
      <c r="K2" s="24"/>
    </row>
    <row r="3" spans="2:11" ht="13" x14ac:dyDescent="0.3">
      <c r="B3" s="38" t="s">
        <v>48</v>
      </c>
      <c r="C3" s="25">
        <v>1</v>
      </c>
      <c r="D3" s="24"/>
      <c r="E3" s="24"/>
      <c r="F3" s="24"/>
      <c r="G3" s="24"/>
      <c r="H3" s="24"/>
      <c r="I3" s="24"/>
      <c r="J3" s="24"/>
      <c r="K3" s="24"/>
    </row>
    <row r="4" spans="2:11" ht="13" x14ac:dyDescent="0.3">
      <c r="B4" s="39" t="s">
        <v>71</v>
      </c>
      <c r="C4" s="25"/>
      <c r="D4" s="24"/>
      <c r="E4" s="24"/>
      <c r="F4" s="24"/>
      <c r="G4" s="24"/>
      <c r="H4" s="24"/>
      <c r="I4" s="24"/>
      <c r="J4" s="24"/>
      <c r="K4" s="24"/>
    </row>
    <row r="5" spans="2:11" ht="13" x14ac:dyDescent="0.3">
      <c r="B5" s="40" t="s">
        <v>72</v>
      </c>
      <c r="C5" s="41" t="s">
        <v>70</v>
      </c>
      <c r="D5" s="24"/>
      <c r="E5" s="24"/>
      <c r="F5" s="24"/>
      <c r="G5" s="24"/>
      <c r="H5" s="24"/>
      <c r="I5" s="24"/>
      <c r="J5" s="24"/>
      <c r="K5" s="24"/>
    </row>
    <row r="6" spans="2:11" ht="13" x14ac:dyDescent="0.3">
      <c r="B6" s="42" t="s">
        <v>49</v>
      </c>
      <c r="C6" s="41"/>
      <c r="D6" s="24"/>
      <c r="E6" s="24"/>
      <c r="F6" s="24"/>
      <c r="G6" s="24"/>
      <c r="H6" s="24"/>
      <c r="I6" s="24"/>
      <c r="J6" s="24"/>
      <c r="K6" s="24"/>
    </row>
    <row r="7" spans="2:11" ht="13" x14ac:dyDescent="0.3">
      <c r="B7" s="42" t="s">
        <v>50</v>
      </c>
      <c r="C7" s="42">
        <v>2027</v>
      </c>
      <c r="D7" s="24"/>
      <c r="E7" s="24"/>
      <c r="F7" s="24"/>
      <c r="G7" s="24"/>
      <c r="H7" s="24"/>
      <c r="I7" s="24"/>
      <c r="J7" s="24"/>
      <c r="K7" s="24"/>
    </row>
    <row r="8" spans="2:11" ht="13" x14ac:dyDescent="0.3">
      <c r="B8" s="42" t="s">
        <v>51</v>
      </c>
      <c r="C8" s="41" t="s">
        <v>67</v>
      </c>
      <c r="D8" s="24"/>
      <c r="E8" s="24"/>
      <c r="F8" s="24"/>
      <c r="G8" s="24"/>
      <c r="H8" s="24"/>
      <c r="I8" s="24"/>
      <c r="J8" s="24"/>
      <c r="K8" s="24"/>
    </row>
    <row r="9" spans="2:11" ht="13" x14ac:dyDescent="0.3">
      <c r="B9" s="42" t="s">
        <v>52</v>
      </c>
      <c r="C9" s="26">
        <v>46023</v>
      </c>
      <c r="D9" s="24"/>
      <c r="E9" s="24"/>
      <c r="F9" s="24"/>
      <c r="G9" s="24"/>
      <c r="H9" s="24"/>
      <c r="I9" s="24"/>
      <c r="J9" s="24"/>
      <c r="K9" s="24"/>
    </row>
    <row r="10" spans="2:11" ht="13" x14ac:dyDescent="0.3">
      <c r="B10" s="40" t="s">
        <v>53</v>
      </c>
      <c r="C10" s="27" t="s">
        <v>54</v>
      </c>
      <c r="D10" s="24"/>
      <c r="E10" s="24"/>
      <c r="F10" s="24"/>
      <c r="G10" s="24"/>
      <c r="H10" s="24"/>
      <c r="I10" s="24"/>
      <c r="J10" s="24"/>
      <c r="K10" s="24"/>
    </row>
    <row r="11" spans="2:11" ht="13" x14ac:dyDescent="0.3">
      <c r="B11" s="42" t="s">
        <v>55</v>
      </c>
      <c r="C11" s="27" t="s">
        <v>66</v>
      </c>
      <c r="D11" s="24"/>
      <c r="E11" s="24"/>
      <c r="F11" s="24"/>
      <c r="G11" s="24"/>
      <c r="H11" s="24"/>
      <c r="I11" s="24"/>
      <c r="J11" s="24"/>
      <c r="K11" s="24"/>
    </row>
    <row r="12" spans="2:11" ht="13" x14ac:dyDescent="0.3">
      <c r="B12" s="42" t="s">
        <v>56</v>
      </c>
      <c r="C12" s="27" t="s">
        <v>57</v>
      </c>
      <c r="D12" s="24"/>
      <c r="E12" s="24"/>
      <c r="F12" s="24"/>
      <c r="G12" s="24"/>
      <c r="H12" s="24"/>
      <c r="I12" s="24"/>
      <c r="J12" s="24"/>
      <c r="K12" s="24"/>
    </row>
    <row r="13" spans="2:11" x14ac:dyDescent="0.25">
      <c r="B13" s="24"/>
      <c r="C13" s="24"/>
      <c r="D13" s="24"/>
      <c r="E13" s="24"/>
      <c r="F13" s="24"/>
      <c r="G13" s="24"/>
      <c r="H13" s="24"/>
      <c r="I13" s="24"/>
      <c r="J13" s="24"/>
      <c r="K13" s="24"/>
    </row>
    <row r="14" spans="2:11" ht="26" x14ac:dyDescent="0.3">
      <c r="B14" s="43" t="s">
        <v>58</v>
      </c>
      <c r="C14" s="43" t="s">
        <v>59</v>
      </c>
      <c r="D14" s="44" t="s">
        <v>60</v>
      </c>
      <c r="E14" s="43" t="s">
        <v>61</v>
      </c>
      <c r="F14" s="43" t="s">
        <v>62</v>
      </c>
      <c r="G14" s="28"/>
      <c r="H14" s="28"/>
      <c r="I14" s="28"/>
      <c r="J14" s="24"/>
      <c r="K14" s="24"/>
    </row>
    <row r="15" spans="2:11" ht="13" x14ac:dyDescent="0.25">
      <c r="B15" s="29">
        <v>46388</v>
      </c>
      <c r="C15" s="58">
        <f>+'Cantidad Producto 1-2027'!AE7</f>
        <v>21160717</v>
      </c>
      <c r="D15" s="30"/>
      <c r="E15" s="31">
        <f>+C15*D15</f>
        <v>0</v>
      </c>
      <c r="F15" s="32"/>
      <c r="G15" s="33"/>
      <c r="H15" s="24"/>
      <c r="I15" s="24"/>
      <c r="J15" s="24"/>
      <c r="K15" s="24"/>
    </row>
    <row r="16" spans="2:11" ht="13" x14ac:dyDescent="0.25">
      <c r="B16" s="29">
        <v>46419</v>
      </c>
      <c r="C16" s="58">
        <f>+'Cantidad Producto 1-2027'!AE8</f>
        <v>19666280</v>
      </c>
      <c r="D16" s="30"/>
      <c r="E16" s="31">
        <f t="shared" ref="E16:E26" si="0">+C16*D16</f>
        <v>0</v>
      </c>
      <c r="F16" s="32"/>
      <c r="G16" s="33"/>
      <c r="H16" s="24"/>
      <c r="I16" s="24"/>
      <c r="J16" s="24"/>
      <c r="K16" s="24"/>
    </row>
    <row r="17" spans="2:11" ht="13" x14ac:dyDescent="0.25">
      <c r="B17" s="29">
        <v>46447</v>
      </c>
      <c r="C17" s="58">
        <f>+'Cantidad Producto 1-2027'!AE9</f>
        <v>20632850</v>
      </c>
      <c r="D17" s="30"/>
      <c r="E17" s="31">
        <f t="shared" si="0"/>
        <v>0</v>
      </c>
      <c r="F17" s="32"/>
      <c r="G17" s="33"/>
      <c r="H17" s="24"/>
      <c r="I17" s="24"/>
      <c r="J17" s="24"/>
      <c r="K17" s="24"/>
    </row>
    <row r="18" spans="2:11" ht="13" x14ac:dyDescent="0.25">
      <c r="B18" s="29">
        <v>46478</v>
      </c>
      <c r="C18" s="58">
        <f>+'Cantidad Producto 1-2027'!AE10</f>
        <v>20862710</v>
      </c>
      <c r="D18" s="30"/>
      <c r="E18" s="31">
        <f t="shared" si="0"/>
        <v>0</v>
      </c>
      <c r="F18" s="32"/>
      <c r="G18" s="33"/>
      <c r="H18" s="24"/>
      <c r="I18" s="24"/>
      <c r="J18" s="24"/>
      <c r="K18" s="24"/>
    </row>
    <row r="19" spans="2:11" ht="13" x14ac:dyDescent="0.25">
      <c r="B19" s="29">
        <v>46508</v>
      </c>
      <c r="C19" s="58">
        <f>+'Cantidad Producto 1-2027'!AE11</f>
        <v>13081884</v>
      </c>
      <c r="D19" s="30"/>
      <c r="E19" s="31">
        <f t="shared" si="0"/>
        <v>0</v>
      </c>
      <c r="F19" s="32"/>
      <c r="G19" s="33"/>
      <c r="H19" s="24"/>
      <c r="I19" s="24"/>
      <c r="J19" s="24"/>
      <c r="K19" s="24"/>
    </row>
    <row r="20" spans="2:11" ht="13" x14ac:dyDescent="0.25">
      <c r="B20" s="29">
        <v>46539</v>
      </c>
      <c r="C20" s="58">
        <f>+'Cantidad Producto 1-2027'!AE12</f>
        <v>13075450</v>
      </c>
      <c r="D20" s="30"/>
      <c r="E20" s="31">
        <f t="shared" si="0"/>
        <v>0</v>
      </c>
      <c r="F20" s="32"/>
      <c r="G20" s="33"/>
      <c r="H20" s="24"/>
      <c r="I20" s="24"/>
      <c r="J20" s="24"/>
      <c r="K20" s="24"/>
    </row>
    <row r="21" spans="2:11" ht="13" x14ac:dyDescent="0.25">
      <c r="B21" s="29">
        <v>46569</v>
      </c>
      <c r="C21" s="58">
        <f>+'Cantidad Producto 1-2027'!AE13</f>
        <v>15106714</v>
      </c>
      <c r="D21" s="30"/>
      <c r="E21" s="31">
        <f t="shared" si="0"/>
        <v>0</v>
      </c>
      <c r="F21" s="32"/>
      <c r="G21" s="33"/>
      <c r="H21" s="24"/>
      <c r="I21" s="24"/>
      <c r="J21" s="24"/>
      <c r="K21" s="24"/>
    </row>
    <row r="22" spans="2:11" ht="13" x14ac:dyDescent="0.25">
      <c r="B22" s="29">
        <v>46600</v>
      </c>
      <c r="C22" s="58">
        <f>+'Cantidad Producto 1-2027'!AE14</f>
        <v>14925358</v>
      </c>
      <c r="D22" s="30"/>
      <c r="E22" s="31">
        <f t="shared" si="0"/>
        <v>0</v>
      </c>
      <c r="F22" s="32"/>
      <c r="G22" s="33"/>
      <c r="H22" s="24"/>
      <c r="I22" s="24"/>
      <c r="J22" s="24"/>
      <c r="K22" s="24"/>
    </row>
    <row r="23" spans="2:11" ht="13" x14ac:dyDescent="0.25">
      <c r="B23" s="29">
        <v>46631</v>
      </c>
      <c r="C23" s="58">
        <f>+'Cantidad Producto 1-2027'!AE15</f>
        <v>16716840</v>
      </c>
      <c r="D23" s="30"/>
      <c r="E23" s="31">
        <f t="shared" si="0"/>
        <v>0</v>
      </c>
      <c r="F23" s="32"/>
      <c r="G23" s="33"/>
      <c r="H23" s="24"/>
      <c r="I23" s="24"/>
      <c r="J23" s="24"/>
      <c r="K23" s="24"/>
    </row>
    <row r="24" spans="2:11" ht="13" x14ac:dyDescent="0.25">
      <c r="B24" s="29">
        <v>46661</v>
      </c>
      <c r="C24" s="58">
        <f>+'Cantidad Producto 1-2027'!AE16</f>
        <v>22181361</v>
      </c>
      <c r="D24" s="30"/>
      <c r="E24" s="31">
        <f t="shared" si="0"/>
        <v>0</v>
      </c>
      <c r="F24" s="32"/>
      <c r="G24" s="33"/>
      <c r="H24" s="24"/>
      <c r="I24" s="24"/>
      <c r="J24" s="24"/>
      <c r="K24" s="24"/>
    </row>
    <row r="25" spans="2:11" ht="13" x14ac:dyDescent="0.25">
      <c r="B25" s="29">
        <v>46692</v>
      </c>
      <c r="C25" s="58">
        <f>+'Cantidad Producto 1-2027'!AE17</f>
        <v>21509490</v>
      </c>
      <c r="D25" s="30"/>
      <c r="E25" s="31">
        <f t="shared" si="0"/>
        <v>0</v>
      </c>
      <c r="F25" s="32"/>
      <c r="G25" s="33"/>
      <c r="H25" s="24"/>
      <c r="I25" s="24"/>
      <c r="J25" s="24"/>
      <c r="K25" s="24"/>
    </row>
    <row r="26" spans="2:11" ht="13" x14ac:dyDescent="0.25">
      <c r="B26" s="29">
        <v>46722</v>
      </c>
      <c r="C26" s="58">
        <f>+'Cantidad Producto 1-2027'!AE18</f>
        <v>22442595</v>
      </c>
      <c r="D26" s="30"/>
      <c r="E26" s="31">
        <f t="shared" si="0"/>
        <v>0</v>
      </c>
      <c r="F26" s="32"/>
      <c r="G26" s="33"/>
      <c r="H26" s="24"/>
      <c r="I26" s="24"/>
      <c r="J26" s="24"/>
      <c r="K26" s="24"/>
    </row>
    <row r="27" spans="2:11" ht="13" x14ac:dyDescent="0.25">
      <c r="B27" s="29" t="s">
        <v>65</v>
      </c>
      <c r="C27" s="59">
        <f>SUM(C15:C26)</f>
        <v>221362249</v>
      </c>
      <c r="D27" s="35" t="s">
        <v>63</v>
      </c>
      <c r="E27" s="34"/>
      <c r="F27" s="32"/>
      <c r="G27" s="24"/>
      <c r="H27" s="24"/>
      <c r="I27" s="24"/>
      <c r="J27" s="24"/>
      <c r="K27" s="24"/>
    </row>
    <row r="28" spans="2:11" ht="13" x14ac:dyDescent="0.25">
      <c r="B28" s="45"/>
      <c r="C28" s="45"/>
      <c r="D28" s="45"/>
      <c r="E28" s="45"/>
      <c r="F28" s="45"/>
      <c r="G28" s="45"/>
      <c r="H28" s="45"/>
      <c r="I28" s="45"/>
      <c r="J28" s="45"/>
      <c r="K28" s="45"/>
    </row>
    <row r="29" spans="2:11" x14ac:dyDescent="0.25">
      <c r="B29" s="37" t="s">
        <v>68</v>
      </c>
      <c r="C29" s="46"/>
      <c r="D29" s="46"/>
      <c r="E29" s="46"/>
      <c r="F29" s="46"/>
      <c r="G29" s="46"/>
      <c r="H29" s="46"/>
      <c r="I29" s="46"/>
      <c r="J29" s="46"/>
      <c r="K29" s="46"/>
    </row>
    <row r="30" spans="2:11" x14ac:dyDescent="0.25">
      <c r="B30" s="47" t="s">
        <v>74</v>
      </c>
      <c r="C30" s="48"/>
      <c r="D30" s="48"/>
      <c r="E30" s="48"/>
      <c r="F30" s="48"/>
      <c r="G30" s="48"/>
      <c r="H30" s="48"/>
      <c r="I30" s="48"/>
      <c r="J30" s="48"/>
      <c r="K30" s="48"/>
    </row>
    <row r="31" spans="2:11" x14ac:dyDescent="0.25">
      <c r="B31" s="47" t="s">
        <v>75</v>
      </c>
      <c r="C31" s="49"/>
      <c r="D31" s="49"/>
      <c r="E31" s="49"/>
      <c r="F31" s="49"/>
      <c r="G31" s="49"/>
      <c r="H31" s="49"/>
      <c r="I31" s="49"/>
      <c r="J31" s="46"/>
      <c r="K31" s="46"/>
    </row>
    <row r="32" spans="2:11" x14ac:dyDescent="0.25">
      <c r="B32" s="47" t="s">
        <v>76</v>
      </c>
      <c r="C32" s="24"/>
      <c r="D32" s="24"/>
      <c r="E32" s="24"/>
      <c r="F32" s="24"/>
      <c r="G32" s="24"/>
      <c r="H32" s="24"/>
      <c r="I32" s="24"/>
      <c r="J32" s="24"/>
      <c r="K32" s="24"/>
    </row>
    <row r="33" spans="2:3" x14ac:dyDescent="0.25">
      <c r="B33" s="47" t="s">
        <v>77</v>
      </c>
    </row>
    <row r="34" spans="2:3" ht="13" x14ac:dyDescent="0.25">
      <c r="B34" s="47" t="s">
        <v>78</v>
      </c>
      <c r="C34" s="50"/>
    </row>
    <row r="35" spans="2:3" x14ac:dyDescent="0.25">
      <c r="B35" s="47"/>
    </row>
    <row r="36" spans="2:3" x14ac:dyDescent="0.25">
      <c r="B36" s="47"/>
    </row>
    <row r="37" spans="2:3" x14ac:dyDescent="0.25">
      <c r="B37" s="47"/>
    </row>
    <row r="38" spans="2:3" ht="13" thickBot="1" x14ac:dyDescent="0.3">
      <c r="B38" s="51"/>
    </row>
    <row r="39" spans="2:3" ht="13" x14ac:dyDescent="0.25">
      <c r="B39" s="52" t="s">
        <v>69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24E15A-FA7D-493A-B6A0-758A70899397}">
  <dimension ref="B2:K43"/>
  <sheetViews>
    <sheetView showGridLines="0" topLeftCell="A3" workbookViewId="0">
      <selection activeCell="B29" sqref="B29:H35"/>
    </sheetView>
  </sheetViews>
  <sheetFormatPr baseColWidth="10" defaultColWidth="10.81640625" defaultRowHeight="12.5" x14ac:dyDescent="0.25"/>
  <cols>
    <col min="1" max="1" width="4.54296875" style="37" customWidth="1"/>
    <col min="2" max="2" width="25.54296875" style="37" customWidth="1"/>
    <col min="3" max="3" width="20.7265625" style="37" bestFit="1" customWidth="1"/>
    <col min="4" max="4" width="12.54296875" style="37" customWidth="1"/>
    <col min="5" max="5" width="15.26953125" style="37" bestFit="1" customWidth="1"/>
    <col min="6" max="6" width="9" style="37" customWidth="1"/>
    <col min="7" max="16384" width="10.81640625" style="37"/>
  </cols>
  <sheetData>
    <row r="2" spans="2:11" ht="13" x14ac:dyDescent="0.25">
      <c r="B2" s="36" t="s">
        <v>47</v>
      </c>
      <c r="C2" s="24"/>
      <c r="D2" s="24"/>
      <c r="E2" s="24"/>
      <c r="F2" s="24"/>
      <c r="G2" s="24"/>
      <c r="H2" s="24"/>
      <c r="I2" s="24"/>
      <c r="J2" s="24"/>
      <c r="K2" s="24"/>
    </row>
    <row r="3" spans="2:11" ht="13" x14ac:dyDescent="0.3">
      <c r="B3" s="38" t="s">
        <v>48</v>
      </c>
      <c r="C3" s="25">
        <v>2</v>
      </c>
      <c r="D3" s="24"/>
      <c r="E3" s="24"/>
      <c r="F3" s="24"/>
      <c r="G3" s="24"/>
      <c r="H3" s="24"/>
      <c r="I3" s="24"/>
      <c r="J3" s="24"/>
      <c r="K3" s="24"/>
    </row>
    <row r="4" spans="2:11" ht="13" x14ac:dyDescent="0.3">
      <c r="B4" s="39" t="s">
        <v>71</v>
      </c>
      <c r="C4" s="25"/>
      <c r="D4" s="24"/>
      <c r="E4" s="24"/>
      <c r="F4" s="24"/>
      <c r="G4" s="24"/>
      <c r="H4" s="24"/>
      <c r="I4" s="24"/>
      <c r="J4" s="24"/>
      <c r="K4" s="24"/>
    </row>
    <row r="5" spans="2:11" ht="13" x14ac:dyDescent="0.3">
      <c r="B5" s="40" t="s">
        <v>72</v>
      </c>
      <c r="C5" s="41" t="s">
        <v>70</v>
      </c>
      <c r="D5" s="24"/>
      <c r="E5" s="24"/>
      <c r="F5" s="24"/>
      <c r="G5" s="24"/>
      <c r="H5" s="24"/>
      <c r="I5" s="24"/>
      <c r="J5" s="24"/>
      <c r="K5" s="24"/>
    </row>
    <row r="6" spans="2:11" ht="13" x14ac:dyDescent="0.3">
      <c r="B6" s="42" t="s">
        <v>49</v>
      </c>
      <c r="C6" s="41"/>
      <c r="D6" s="24"/>
      <c r="E6" s="24"/>
      <c r="F6" s="24"/>
      <c r="G6" s="24"/>
      <c r="H6" s="24"/>
      <c r="I6" s="24"/>
      <c r="J6" s="24"/>
      <c r="K6" s="24"/>
    </row>
    <row r="7" spans="2:11" ht="13" x14ac:dyDescent="0.3">
      <c r="B7" s="42" t="s">
        <v>50</v>
      </c>
      <c r="C7" s="42">
        <v>2028</v>
      </c>
      <c r="D7" s="24"/>
      <c r="E7" s="24"/>
      <c r="F7" s="24"/>
      <c r="G7" s="24"/>
      <c r="H7" s="24"/>
      <c r="I7" s="24"/>
      <c r="J7" s="24"/>
      <c r="K7" s="24"/>
    </row>
    <row r="8" spans="2:11" ht="13" x14ac:dyDescent="0.3">
      <c r="B8" s="42" t="s">
        <v>51</v>
      </c>
      <c r="C8" s="41" t="s">
        <v>67</v>
      </c>
      <c r="D8" s="24"/>
      <c r="E8" s="24"/>
      <c r="F8" s="24"/>
      <c r="G8" s="24"/>
      <c r="H8" s="24"/>
      <c r="I8" s="24"/>
      <c r="J8" s="24"/>
      <c r="K8" s="24"/>
    </row>
    <row r="9" spans="2:11" ht="13" x14ac:dyDescent="0.3">
      <c r="B9" s="42" t="s">
        <v>52</v>
      </c>
      <c r="C9" s="26">
        <v>46023</v>
      </c>
      <c r="D9" s="24"/>
      <c r="E9" s="24"/>
      <c r="F9" s="24"/>
      <c r="G9" s="24"/>
      <c r="H9" s="24"/>
      <c r="I9" s="24"/>
      <c r="J9" s="24"/>
      <c r="K9" s="24"/>
    </row>
    <row r="10" spans="2:11" ht="13" x14ac:dyDescent="0.3">
      <c r="B10" s="40" t="s">
        <v>53</v>
      </c>
      <c r="C10" s="27" t="s">
        <v>54</v>
      </c>
      <c r="D10" s="24"/>
      <c r="E10" s="24"/>
      <c r="F10" s="24"/>
      <c r="G10" s="24"/>
      <c r="H10" s="24"/>
      <c r="I10" s="24"/>
      <c r="J10" s="24"/>
      <c r="K10" s="24"/>
    </row>
    <row r="11" spans="2:11" ht="13" x14ac:dyDescent="0.3">
      <c r="B11" s="42" t="s">
        <v>55</v>
      </c>
      <c r="C11" s="27" t="s">
        <v>66</v>
      </c>
      <c r="D11" s="24"/>
      <c r="E11" s="24"/>
      <c r="F11" s="24"/>
      <c r="G11" s="24"/>
      <c r="H11" s="24"/>
      <c r="I11" s="24"/>
      <c r="J11" s="24"/>
      <c r="K11" s="24"/>
    </row>
    <row r="12" spans="2:11" ht="13" x14ac:dyDescent="0.3">
      <c r="B12" s="42" t="s">
        <v>56</v>
      </c>
      <c r="C12" s="27" t="s">
        <v>57</v>
      </c>
      <c r="D12" s="24"/>
      <c r="E12" s="24"/>
      <c r="F12" s="24"/>
      <c r="G12" s="24"/>
      <c r="H12" s="24"/>
      <c r="I12" s="24"/>
      <c r="J12" s="24"/>
      <c r="K12" s="24"/>
    </row>
    <row r="13" spans="2:11" x14ac:dyDescent="0.25">
      <c r="B13" s="24"/>
      <c r="C13" s="24"/>
      <c r="D13" s="24"/>
      <c r="E13" s="24"/>
      <c r="F13" s="24"/>
      <c r="G13" s="24"/>
      <c r="H13" s="24"/>
      <c r="I13" s="24"/>
      <c r="J13" s="24"/>
      <c r="K13" s="24"/>
    </row>
    <row r="14" spans="2:11" ht="26" x14ac:dyDescent="0.3">
      <c r="B14" s="43" t="s">
        <v>58</v>
      </c>
      <c r="C14" s="43" t="s">
        <v>59</v>
      </c>
      <c r="D14" s="44" t="s">
        <v>60</v>
      </c>
      <c r="E14" s="43" t="s">
        <v>61</v>
      </c>
      <c r="F14" s="43" t="s">
        <v>62</v>
      </c>
      <c r="G14" s="28"/>
      <c r="H14" s="28"/>
      <c r="I14" s="28"/>
      <c r="J14" s="24"/>
      <c r="K14" s="24"/>
    </row>
    <row r="15" spans="2:11" ht="13" x14ac:dyDescent="0.3">
      <c r="B15" s="29">
        <v>46753</v>
      </c>
      <c r="C15" s="58">
        <f>+'Cantidad Producto 2-2028'!AE7</f>
        <v>6104641</v>
      </c>
      <c r="D15" s="30"/>
      <c r="E15" s="31"/>
      <c r="F15" s="32"/>
      <c r="G15" s="28"/>
      <c r="H15" s="28"/>
      <c r="I15" s="28"/>
      <c r="J15" s="24"/>
      <c r="K15" s="24"/>
    </row>
    <row r="16" spans="2:11" ht="13" x14ac:dyDescent="0.3">
      <c r="B16" s="29">
        <v>46784</v>
      </c>
      <c r="C16" s="58">
        <f>+'Cantidad Producto 2-2028'!AE8</f>
        <v>5712690</v>
      </c>
      <c r="D16" s="30"/>
      <c r="E16" s="31"/>
      <c r="F16" s="32"/>
      <c r="G16" s="28"/>
      <c r="H16" s="28"/>
      <c r="I16" s="28"/>
      <c r="J16" s="24"/>
      <c r="K16" s="24"/>
    </row>
    <row r="17" spans="2:11" ht="13" x14ac:dyDescent="0.3">
      <c r="B17" s="29">
        <v>46813</v>
      </c>
      <c r="C17" s="58">
        <f>+'Cantidad Producto 2-2028'!AE9</f>
        <v>5944863</v>
      </c>
      <c r="D17" s="30"/>
      <c r="E17" s="31"/>
      <c r="F17" s="32"/>
      <c r="G17" s="28"/>
      <c r="H17" s="28"/>
      <c r="I17" s="28"/>
      <c r="J17" s="24"/>
      <c r="K17" s="24"/>
    </row>
    <row r="18" spans="2:11" ht="13" x14ac:dyDescent="0.3">
      <c r="B18" s="29">
        <v>46844</v>
      </c>
      <c r="C18" s="58">
        <f>+'Cantidad Producto 2-2028'!AE10</f>
        <v>5945886</v>
      </c>
      <c r="D18" s="30"/>
      <c r="E18" s="31"/>
      <c r="F18" s="32"/>
      <c r="G18" s="28"/>
      <c r="H18" s="28"/>
      <c r="I18" s="28"/>
      <c r="J18" s="24"/>
      <c r="K18" s="24"/>
    </row>
    <row r="19" spans="2:11" ht="13" x14ac:dyDescent="0.3">
      <c r="B19" s="29">
        <v>46874</v>
      </c>
      <c r="C19" s="58">
        <f>+'Cantidad Producto 2-2028'!AE11</f>
        <v>5919594</v>
      </c>
      <c r="D19" s="30"/>
      <c r="E19" s="31"/>
      <c r="F19" s="32"/>
      <c r="G19" s="28"/>
      <c r="H19" s="28"/>
      <c r="I19" s="28"/>
      <c r="J19" s="24"/>
      <c r="K19" s="24"/>
    </row>
    <row r="20" spans="2:11" ht="13" x14ac:dyDescent="0.3">
      <c r="B20" s="29">
        <v>46905</v>
      </c>
      <c r="C20" s="58">
        <f>+'Cantidad Producto 2-2028'!AE12</f>
        <v>6098112</v>
      </c>
      <c r="D20" s="30"/>
      <c r="E20" s="31"/>
      <c r="F20" s="32"/>
      <c r="G20" s="28"/>
      <c r="H20" s="28"/>
      <c r="I20" s="28"/>
      <c r="J20" s="24"/>
      <c r="K20" s="24"/>
    </row>
    <row r="21" spans="2:11" ht="13" x14ac:dyDescent="0.3">
      <c r="B21" s="29">
        <v>46935</v>
      </c>
      <c r="C21" s="58">
        <f>+'Cantidad Producto 2-2028'!AE13</f>
        <v>6557268</v>
      </c>
      <c r="D21" s="30"/>
      <c r="E21" s="31"/>
      <c r="F21" s="32"/>
      <c r="G21" s="28"/>
      <c r="H21" s="28"/>
      <c r="I21" s="28"/>
      <c r="J21" s="24"/>
      <c r="K21" s="24"/>
    </row>
    <row r="22" spans="2:11" ht="13" x14ac:dyDescent="0.3">
      <c r="B22" s="29">
        <v>46966</v>
      </c>
      <c r="C22" s="58">
        <f>+'Cantidad Producto 2-2028'!AE14</f>
        <v>6194133</v>
      </c>
      <c r="D22" s="30"/>
      <c r="E22" s="31"/>
      <c r="F22" s="32"/>
      <c r="G22" s="28"/>
      <c r="H22" s="28"/>
      <c r="I22" s="28"/>
      <c r="J22" s="24"/>
      <c r="K22" s="24"/>
    </row>
    <row r="23" spans="2:11" ht="13" x14ac:dyDescent="0.3">
      <c r="B23" s="29">
        <v>46997</v>
      </c>
      <c r="C23" s="58">
        <f>+'Cantidad Producto 2-2028'!AE15</f>
        <v>5869856</v>
      </c>
      <c r="D23" s="30"/>
      <c r="E23" s="31"/>
      <c r="F23" s="32"/>
      <c r="G23" s="28"/>
      <c r="H23" s="28"/>
      <c r="I23" s="28"/>
      <c r="J23" s="24"/>
      <c r="K23" s="24"/>
    </row>
    <row r="24" spans="2:11" ht="13" x14ac:dyDescent="0.3">
      <c r="B24" s="29">
        <v>47027</v>
      </c>
      <c r="C24" s="58">
        <f>+'Cantidad Producto 2-2028'!AE16</f>
        <v>6068014</v>
      </c>
      <c r="D24" s="30"/>
      <c r="E24" s="31"/>
      <c r="F24" s="32"/>
      <c r="G24" s="28"/>
      <c r="H24" s="28"/>
      <c r="I24" s="28"/>
      <c r="J24" s="24"/>
      <c r="K24" s="24"/>
    </row>
    <row r="25" spans="2:11" ht="13" x14ac:dyDescent="0.3">
      <c r="B25" s="29">
        <v>47058</v>
      </c>
      <c r="C25" s="58">
        <f>+'Cantidad Producto 2-2028'!AE17</f>
        <v>5937618</v>
      </c>
      <c r="D25" s="30"/>
      <c r="E25" s="31"/>
      <c r="F25" s="32"/>
      <c r="G25" s="28"/>
      <c r="H25" s="28"/>
      <c r="I25" s="28"/>
      <c r="J25" s="24"/>
      <c r="K25" s="24"/>
    </row>
    <row r="26" spans="2:11" ht="13" x14ac:dyDescent="0.3">
      <c r="B26" s="29">
        <v>47088</v>
      </c>
      <c r="C26" s="58">
        <f>+'Cantidad Producto 2-2028'!AE18</f>
        <v>6251095</v>
      </c>
      <c r="D26" s="30"/>
      <c r="E26" s="31"/>
      <c r="F26" s="32"/>
      <c r="G26" s="28"/>
      <c r="H26" s="28"/>
      <c r="I26" s="28"/>
      <c r="J26" s="24"/>
      <c r="K26" s="24"/>
    </row>
    <row r="27" spans="2:11" ht="13" x14ac:dyDescent="0.25">
      <c r="B27" s="29" t="s">
        <v>65</v>
      </c>
      <c r="C27" s="59">
        <f>SUM(C15:C26)</f>
        <v>72603770</v>
      </c>
      <c r="D27" s="35" t="s">
        <v>63</v>
      </c>
      <c r="E27" s="34"/>
      <c r="F27" s="32"/>
      <c r="G27" s="33"/>
      <c r="H27" s="24"/>
      <c r="I27" s="24"/>
      <c r="J27" s="24"/>
      <c r="K27" s="24"/>
    </row>
    <row r="28" spans="2:11" x14ac:dyDescent="0.25">
      <c r="B28" s="24"/>
      <c r="C28" s="53"/>
      <c r="D28" s="24"/>
      <c r="E28" s="24"/>
      <c r="F28" s="24"/>
      <c r="G28" s="24"/>
      <c r="H28" s="24"/>
      <c r="I28" s="24"/>
      <c r="J28" s="24"/>
      <c r="K28" s="24"/>
    </row>
    <row r="29" spans="2:11" ht="13" x14ac:dyDescent="0.3">
      <c r="B29" s="57" t="s">
        <v>68</v>
      </c>
      <c r="C29" s="53"/>
      <c r="D29" s="54"/>
      <c r="E29" s="54"/>
      <c r="F29" s="24"/>
      <c r="G29" s="24"/>
      <c r="H29" s="24"/>
      <c r="I29" s="24"/>
      <c r="J29" s="24"/>
      <c r="K29" s="24"/>
    </row>
    <row r="30" spans="2:11" ht="13" x14ac:dyDescent="0.25">
      <c r="B30" s="37" t="s">
        <v>68</v>
      </c>
      <c r="C30" s="46"/>
      <c r="D30" s="46"/>
      <c r="E30" s="46"/>
      <c r="F30" s="46"/>
      <c r="G30" s="46"/>
      <c r="H30" s="46"/>
      <c r="I30" s="45"/>
      <c r="J30" s="45"/>
      <c r="K30" s="45"/>
    </row>
    <row r="31" spans="2:11" ht="13" x14ac:dyDescent="0.25">
      <c r="B31" s="47" t="s">
        <v>79</v>
      </c>
      <c r="C31" s="48"/>
      <c r="D31" s="48"/>
      <c r="E31" s="48"/>
      <c r="F31" s="48"/>
      <c r="G31" s="48"/>
      <c r="H31" s="48"/>
      <c r="I31" s="45"/>
      <c r="J31" s="45"/>
      <c r="K31" s="45"/>
    </row>
    <row r="32" spans="2:11" x14ac:dyDescent="0.25">
      <c r="B32" s="47" t="s">
        <v>75</v>
      </c>
      <c r="C32" s="49"/>
      <c r="D32" s="49"/>
      <c r="E32" s="49"/>
      <c r="F32" s="49"/>
      <c r="G32" s="49"/>
      <c r="H32" s="49"/>
      <c r="I32" s="46"/>
      <c r="J32" s="46"/>
      <c r="K32" s="46"/>
    </row>
    <row r="33" spans="2:11" ht="24" customHeight="1" x14ac:dyDescent="0.25">
      <c r="B33" s="47" t="s">
        <v>76</v>
      </c>
      <c r="C33" s="24"/>
      <c r="D33" s="24"/>
      <c r="E33" s="24"/>
      <c r="F33" s="24"/>
      <c r="G33" s="24"/>
      <c r="H33" s="24"/>
      <c r="I33" s="46"/>
      <c r="J33" s="46"/>
      <c r="K33" s="46"/>
    </row>
    <row r="34" spans="2:11" ht="14.15" customHeight="1" x14ac:dyDescent="0.25">
      <c r="B34" s="47" t="s">
        <v>77</v>
      </c>
      <c r="I34" s="46"/>
      <c r="J34" s="46"/>
      <c r="K34" s="46"/>
    </row>
    <row r="35" spans="2:11" ht="13" x14ac:dyDescent="0.25">
      <c r="B35" s="47" t="s">
        <v>78</v>
      </c>
      <c r="C35" s="50"/>
      <c r="I35" s="46"/>
      <c r="J35" s="46"/>
      <c r="K35" s="46"/>
    </row>
    <row r="36" spans="2:11" x14ac:dyDescent="0.25">
      <c r="B36" s="47"/>
      <c r="I36" s="48"/>
      <c r="J36" s="48"/>
      <c r="K36" s="48"/>
    </row>
    <row r="37" spans="2:11" ht="13" x14ac:dyDescent="0.3">
      <c r="B37" s="57"/>
      <c r="C37" s="49"/>
      <c r="D37" s="49"/>
      <c r="E37" s="49"/>
      <c r="F37" s="49"/>
      <c r="G37" s="49"/>
      <c r="H37" s="49"/>
      <c r="I37" s="46"/>
      <c r="J37" s="46"/>
      <c r="K37" s="46"/>
    </row>
    <row r="38" spans="2:11" x14ac:dyDescent="0.25">
      <c r="B38" s="46"/>
      <c r="C38" s="46"/>
      <c r="D38" s="46"/>
      <c r="E38" s="46"/>
      <c r="F38" s="46"/>
      <c r="G38" s="46"/>
      <c r="H38" s="46"/>
      <c r="I38" s="46"/>
      <c r="J38" s="46"/>
      <c r="K38" s="46"/>
    </row>
    <row r="39" spans="2:11" ht="13" thickBot="1" x14ac:dyDescent="0.3">
      <c r="B39" s="51"/>
      <c r="C39" s="49"/>
      <c r="D39" s="49"/>
      <c r="E39" s="49"/>
      <c r="F39" s="49"/>
      <c r="G39" s="49"/>
      <c r="H39" s="49"/>
      <c r="I39" s="49"/>
      <c r="J39" s="46"/>
      <c r="K39" s="46"/>
    </row>
    <row r="40" spans="2:11" ht="13" x14ac:dyDescent="0.25">
      <c r="B40" s="52" t="s">
        <v>69</v>
      </c>
      <c r="C40" s="24"/>
      <c r="D40" s="55"/>
      <c r="E40" s="24"/>
      <c r="F40" s="24"/>
      <c r="G40" s="24"/>
      <c r="H40" s="24"/>
      <c r="I40" s="24"/>
      <c r="J40" s="24"/>
      <c r="K40" s="24"/>
    </row>
    <row r="41" spans="2:11" x14ac:dyDescent="0.25">
      <c r="B41" s="24"/>
      <c r="C41" s="56"/>
      <c r="D41" s="24"/>
      <c r="E41" s="24"/>
      <c r="F41" s="24"/>
      <c r="G41" s="24"/>
      <c r="H41" s="24"/>
      <c r="I41" s="24"/>
      <c r="J41" s="24"/>
      <c r="K41" s="24"/>
    </row>
    <row r="42" spans="2:11" x14ac:dyDescent="0.25">
      <c r="B42" s="24"/>
      <c r="C42" s="24"/>
      <c r="D42" s="24"/>
      <c r="E42" s="24"/>
      <c r="F42" s="24"/>
      <c r="G42" s="24"/>
      <c r="H42" s="24"/>
      <c r="I42" s="24"/>
      <c r="J42" s="24"/>
      <c r="K42" s="24"/>
    </row>
    <row r="43" spans="2:11" x14ac:dyDescent="0.25">
      <c r="B43" s="24"/>
      <c r="C43" s="24"/>
      <c r="D43" s="24"/>
      <c r="E43" s="24"/>
      <c r="F43" s="24"/>
      <c r="G43" s="24"/>
      <c r="H43" s="24"/>
      <c r="I43" s="24"/>
      <c r="J43" s="24"/>
      <c r="K43" s="24"/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52662E-362D-49FA-BAF7-65A4CD8748FA}">
  <dimension ref="B2:K40"/>
  <sheetViews>
    <sheetView showGridLines="0" workbookViewId="0">
      <selection activeCell="B29" sqref="B29:H34"/>
    </sheetView>
  </sheetViews>
  <sheetFormatPr baseColWidth="10" defaultColWidth="10.81640625" defaultRowHeight="12.5" x14ac:dyDescent="0.25"/>
  <cols>
    <col min="1" max="1" width="4.54296875" style="37" customWidth="1"/>
    <col min="2" max="2" width="25.54296875" style="37" customWidth="1"/>
    <col min="3" max="3" width="20.7265625" style="37" bestFit="1" customWidth="1"/>
    <col min="4" max="4" width="12.54296875" style="37" customWidth="1"/>
    <col min="5" max="5" width="15.26953125" style="37" bestFit="1" customWidth="1"/>
    <col min="6" max="6" width="9" style="37" customWidth="1"/>
    <col min="7" max="16384" width="10.81640625" style="37"/>
  </cols>
  <sheetData>
    <row r="2" spans="2:11" ht="13" x14ac:dyDescent="0.25">
      <c r="B2" s="36" t="s">
        <v>47</v>
      </c>
      <c r="C2" s="24"/>
      <c r="D2" s="24"/>
      <c r="E2" s="24"/>
      <c r="F2" s="24"/>
      <c r="G2" s="24"/>
      <c r="H2" s="24"/>
      <c r="I2" s="24"/>
      <c r="J2" s="24"/>
      <c r="K2" s="24"/>
    </row>
    <row r="3" spans="2:11" ht="13" x14ac:dyDescent="0.3">
      <c r="B3" s="38" t="s">
        <v>48</v>
      </c>
      <c r="C3" s="25">
        <v>3</v>
      </c>
      <c r="D3" s="24"/>
      <c r="E3" s="24"/>
      <c r="F3" s="24"/>
      <c r="G3" s="24"/>
      <c r="H3" s="24"/>
      <c r="I3" s="24"/>
      <c r="J3" s="24"/>
      <c r="K3" s="24"/>
    </row>
    <row r="4" spans="2:11" ht="13" x14ac:dyDescent="0.3">
      <c r="B4" s="39" t="s">
        <v>71</v>
      </c>
      <c r="C4" s="25"/>
      <c r="D4" s="24"/>
      <c r="E4" s="24"/>
      <c r="F4" s="24"/>
      <c r="G4" s="24"/>
      <c r="H4" s="24"/>
      <c r="I4" s="24"/>
      <c r="J4" s="24"/>
      <c r="K4" s="24"/>
    </row>
    <row r="5" spans="2:11" ht="13" x14ac:dyDescent="0.3">
      <c r="B5" s="40" t="s">
        <v>72</v>
      </c>
      <c r="C5" s="41" t="str">
        <f>+'Oferta Producto 1'!C5</f>
        <v>CP-CHCC2026-001</v>
      </c>
      <c r="D5" s="24"/>
      <c r="E5" s="24"/>
      <c r="F5" s="24"/>
      <c r="G5" s="24"/>
      <c r="H5" s="24"/>
      <c r="I5" s="24"/>
      <c r="J5" s="24"/>
      <c r="K5" s="24"/>
    </row>
    <row r="6" spans="2:11" ht="13" x14ac:dyDescent="0.3">
      <c r="B6" s="42" t="s">
        <v>49</v>
      </c>
      <c r="C6" s="41"/>
      <c r="D6" s="24"/>
      <c r="E6" s="24"/>
      <c r="F6" s="24"/>
      <c r="G6" s="24"/>
      <c r="H6" s="24"/>
      <c r="I6" s="24"/>
      <c r="J6" s="24"/>
      <c r="K6" s="24"/>
    </row>
    <row r="7" spans="2:11" ht="13" x14ac:dyDescent="0.3">
      <c r="B7" s="42" t="s">
        <v>50</v>
      </c>
      <c r="C7" s="42">
        <v>2029</v>
      </c>
      <c r="D7" s="24"/>
      <c r="E7" s="24"/>
      <c r="F7" s="24"/>
      <c r="G7" s="24"/>
      <c r="H7" s="24"/>
      <c r="I7" s="24"/>
      <c r="J7" s="24"/>
      <c r="K7" s="24"/>
    </row>
    <row r="8" spans="2:11" ht="13" x14ac:dyDescent="0.3">
      <c r="B8" s="42" t="s">
        <v>51</v>
      </c>
      <c r="C8" s="41" t="s">
        <v>67</v>
      </c>
      <c r="D8" s="24"/>
      <c r="E8" s="24"/>
      <c r="F8" s="24"/>
      <c r="G8" s="24"/>
      <c r="H8" s="24"/>
      <c r="I8" s="24"/>
      <c r="J8" s="24"/>
      <c r="K8" s="24"/>
    </row>
    <row r="9" spans="2:11" ht="13" x14ac:dyDescent="0.3">
      <c r="B9" s="42" t="s">
        <v>52</v>
      </c>
      <c r="C9" s="26">
        <f>+'Oferta Producto 1'!C9</f>
        <v>46023</v>
      </c>
      <c r="D9" s="24"/>
      <c r="E9" s="24"/>
      <c r="F9" s="24"/>
      <c r="G9" s="24"/>
      <c r="H9" s="24"/>
      <c r="I9" s="24"/>
      <c r="J9" s="24"/>
      <c r="K9" s="24"/>
    </row>
    <row r="10" spans="2:11" ht="13" x14ac:dyDescent="0.3">
      <c r="B10" s="40" t="s">
        <v>53</v>
      </c>
      <c r="C10" s="27" t="s">
        <v>54</v>
      </c>
      <c r="D10" s="24"/>
      <c r="E10" s="24"/>
      <c r="F10" s="24"/>
      <c r="G10" s="24"/>
      <c r="H10" s="24"/>
      <c r="I10" s="24"/>
      <c r="J10" s="24"/>
      <c r="K10" s="24"/>
    </row>
    <row r="11" spans="2:11" ht="13" x14ac:dyDescent="0.3">
      <c r="B11" s="42" t="s">
        <v>55</v>
      </c>
      <c r="C11" s="27" t="s">
        <v>66</v>
      </c>
      <c r="D11" s="24"/>
      <c r="E11" s="24"/>
      <c r="F11" s="24"/>
      <c r="G11" s="24"/>
      <c r="H11" s="24"/>
      <c r="I11" s="24"/>
      <c r="J11" s="24"/>
      <c r="K11" s="24"/>
    </row>
    <row r="12" spans="2:11" ht="13" x14ac:dyDescent="0.3">
      <c r="B12" s="42" t="s">
        <v>56</v>
      </c>
      <c r="C12" s="27" t="s">
        <v>57</v>
      </c>
      <c r="D12" s="24"/>
      <c r="E12" s="24"/>
      <c r="F12" s="24"/>
      <c r="G12" s="24"/>
      <c r="H12" s="24"/>
      <c r="I12" s="24"/>
      <c r="J12" s="24"/>
      <c r="K12" s="24"/>
    </row>
    <row r="13" spans="2:11" x14ac:dyDescent="0.25">
      <c r="B13" s="24"/>
      <c r="C13" s="24"/>
      <c r="D13" s="24"/>
      <c r="E13" s="24"/>
      <c r="F13" s="24"/>
      <c r="G13" s="24"/>
      <c r="H13" s="24"/>
      <c r="I13" s="24"/>
      <c r="J13" s="24"/>
      <c r="K13" s="24"/>
    </row>
    <row r="14" spans="2:11" ht="26" x14ac:dyDescent="0.3">
      <c r="B14" s="43" t="s">
        <v>58</v>
      </c>
      <c r="C14" s="43" t="s">
        <v>59</v>
      </c>
      <c r="D14" s="44" t="s">
        <v>60</v>
      </c>
      <c r="E14" s="43" t="s">
        <v>61</v>
      </c>
      <c r="F14" s="43" t="s">
        <v>62</v>
      </c>
      <c r="G14" s="28"/>
      <c r="H14" s="28"/>
      <c r="I14" s="28"/>
      <c r="J14" s="24"/>
      <c r="K14" s="24"/>
    </row>
    <row r="15" spans="2:11" ht="13" x14ac:dyDescent="0.3">
      <c r="B15" s="29">
        <v>47119</v>
      </c>
      <c r="C15" s="60">
        <f>+'Cantidad Producto3-2029'!AE7</f>
        <v>10369193</v>
      </c>
      <c r="D15" s="30"/>
      <c r="E15" s="31"/>
      <c r="F15" s="32"/>
      <c r="G15" s="28"/>
      <c r="H15" s="28"/>
      <c r="I15" s="28"/>
      <c r="J15" s="24"/>
      <c r="K15" s="24"/>
    </row>
    <row r="16" spans="2:11" ht="13" x14ac:dyDescent="0.3">
      <c r="B16" s="29">
        <v>47150</v>
      </c>
      <c r="C16" s="60">
        <f>+'Cantidad Producto3-2029'!AE8</f>
        <v>9610152</v>
      </c>
      <c r="D16" s="30"/>
      <c r="E16" s="31"/>
      <c r="F16" s="32"/>
      <c r="G16" s="28"/>
      <c r="H16" s="28"/>
      <c r="I16" s="28"/>
      <c r="J16" s="24"/>
      <c r="K16" s="24"/>
    </row>
    <row r="17" spans="2:11" ht="13" x14ac:dyDescent="0.3">
      <c r="B17" s="29">
        <v>47178</v>
      </c>
      <c r="C17" s="60">
        <f>+'Cantidad Producto3-2029'!AE9</f>
        <v>10033768</v>
      </c>
      <c r="D17" s="30"/>
      <c r="E17" s="31"/>
      <c r="F17" s="32"/>
      <c r="G17" s="28"/>
      <c r="H17" s="28"/>
      <c r="I17" s="28"/>
      <c r="J17" s="24"/>
      <c r="K17" s="24"/>
    </row>
    <row r="18" spans="2:11" ht="13" x14ac:dyDescent="0.3">
      <c r="B18" s="29">
        <v>47209</v>
      </c>
      <c r="C18" s="60">
        <f>+'Cantidad Producto3-2029'!AE10</f>
        <v>10103775</v>
      </c>
      <c r="D18" s="30"/>
      <c r="E18" s="31"/>
      <c r="F18" s="32"/>
      <c r="G18" s="28"/>
      <c r="H18" s="28"/>
      <c r="I18" s="28"/>
      <c r="J18" s="24"/>
      <c r="K18" s="24"/>
    </row>
    <row r="19" spans="2:11" ht="13" x14ac:dyDescent="0.3">
      <c r="B19" s="29">
        <v>47239</v>
      </c>
      <c r="C19" s="60">
        <f>+'Cantidad Producto3-2029'!AE11</f>
        <v>10080661</v>
      </c>
      <c r="D19" s="30"/>
      <c r="E19" s="31"/>
      <c r="F19" s="32"/>
      <c r="G19" s="28"/>
      <c r="H19" s="28"/>
      <c r="I19" s="28"/>
      <c r="J19" s="24"/>
      <c r="K19" s="24"/>
    </row>
    <row r="20" spans="2:11" ht="13" x14ac:dyDescent="0.3">
      <c r="B20" s="29">
        <v>47270</v>
      </c>
      <c r="C20" s="60">
        <f>+'Cantidad Producto3-2029'!AE12</f>
        <v>10232240</v>
      </c>
      <c r="D20" s="30"/>
      <c r="E20" s="31"/>
      <c r="F20" s="32"/>
      <c r="G20" s="28"/>
      <c r="H20" s="28"/>
      <c r="I20" s="28"/>
      <c r="J20" s="24"/>
      <c r="K20" s="24"/>
    </row>
    <row r="21" spans="2:11" ht="13" x14ac:dyDescent="0.3">
      <c r="B21" s="29">
        <v>47300</v>
      </c>
      <c r="C21" s="60">
        <f>+'Cantidad Producto3-2029'!AE13</f>
        <v>10757818</v>
      </c>
      <c r="D21" s="30"/>
      <c r="E21" s="31"/>
      <c r="F21" s="32"/>
      <c r="G21" s="28"/>
      <c r="H21" s="28"/>
      <c r="I21" s="28"/>
      <c r="J21" s="24"/>
      <c r="K21" s="24"/>
    </row>
    <row r="22" spans="2:11" ht="13" x14ac:dyDescent="0.3">
      <c r="B22" s="29">
        <v>47331</v>
      </c>
      <c r="C22" s="60">
        <f>+'Cantidad Producto3-2029'!AE14</f>
        <v>10593018</v>
      </c>
      <c r="D22" s="30"/>
      <c r="E22" s="31"/>
      <c r="F22" s="32"/>
      <c r="G22" s="28"/>
      <c r="H22" s="28"/>
      <c r="I22" s="28"/>
      <c r="J22" s="24"/>
      <c r="K22" s="24"/>
    </row>
    <row r="23" spans="2:11" ht="13" x14ac:dyDescent="0.3">
      <c r="B23" s="29">
        <v>47362</v>
      </c>
      <c r="C23" s="60">
        <f>+'Cantidad Producto3-2029'!AE15</f>
        <v>10083685</v>
      </c>
      <c r="D23" s="30"/>
      <c r="E23" s="31"/>
      <c r="F23" s="32"/>
      <c r="G23" s="28"/>
      <c r="H23" s="28"/>
      <c r="I23" s="28"/>
      <c r="J23" s="24"/>
      <c r="K23" s="24"/>
    </row>
    <row r="24" spans="2:11" ht="13" x14ac:dyDescent="0.3">
      <c r="B24" s="29">
        <v>47392</v>
      </c>
      <c r="C24" s="60">
        <f>+'Cantidad Producto3-2029'!AE16</f>
        <v>10452286</v>
      </c>
      <c r="D24" s="30"/>
      <c r="E24" s="31"/>
      <c r="F24" s="32"/>
      <c r="G24" s="28"/>
      <c r="H24" s="28"/>
      <c r="I24" s="28"/>
      <c r="J24" s="24"/>
      <c r="K24" s="24"/>
    </row>
    <row r="25" spans="2:11" ht="13" x14ac:dyDescent="0.3">
      <c r="B25" s="29">
        <v>47423</v>
      </c>
      <c r="C25" s="60">
        <f>+'Cantidad Producto3-2029'!AE17</f>
        <v>10239540</v>
      </c>
      <c r="D25" s="30"/>
      <c r="E25" s="31"/>
      <c r="F25" s="32"/>
      <c r="G25" s="28"/>
      <c r="H25" s="28"/>
      <c r="I25" s="28"/>
      <c r="J25" s="24"/>
      <c r="K25" s="24"/>
    </row>
    <row r="26" spans="2:11" ht="13" x14ac:dyDescent="0.3">
      <c r="B26" s="29">
        <v>47453</v>
      </c>
      <c r="C26" s="60">
        <f>+'Cantidad Producto3-2029'!AE18</f>
        <v>10677244</v>
      </c>
      <c r="D26" s="30"/>
      <c r="E26" s="31"/>
      <c r="F26" s="32"/>
      <c r="G26" s="28"/>
      <c r="H26" s="28"/>
      <c r="I26" s="28"/>
      <c r="J26" s="24"/>
      <c r="K26" s="24"/>
    </row>
    <row r="27" spans="2:11" ht="13" x14ac:dyDescent="0.25">
      <c r="B27" s="29" t="s">
        <v>65</v>
      </c>
      <c r="C27" s="61">
        <f>SUM(C15:C26)</f>
        <v>123233380</v>
      </c>
      <c r="D27" s="35" t="s">
        <v>63</v>
      </c>
      <c r="E27" s="34"/>
      <c r="F27" s="32"/>
      <c r="G27" s="33"/>
      <c r="H27" s="24"/>
      <c r="I27" s="24"/>
      <c r="J27" s="24"/>
      <c r="K27" s="24"/>
    </row>
    <row r="28" spans="2:11" ht="13" x14ac:dyDescent="0.25">
      <c r="C28" s="45"/>
      <c r="D28" s="45"/>
      <c r="E28" s="45"/>
      <c r="F28" s="45"/>
      <c r="G28" s="45"/>
      <c r="H28" s="45"/>
      <c r="I28" s="45"/>
      <c r="J28" s="45"/>
      <c r="K28" s="45"/>
    </row>
    <row r="29" spans="2:11" ht="13" x14ac:dyDescent="0.25">
      <c r="B29" s="45" t="s">
        <v>64</v>
      </c>
      <c r="C29" s="46"/>
      <c r="D29" s="48"/>
      <c r="E29" s="45"/>
      <c r="F29" s="45"/>
      <c r="G29" s="45"/>
      <c r="H29" s="45"/>
      <c r="I29" s="45"/>
      <c r="J29" s="45"/>
      <c r="K29" s="45"/>
    </row>
    <row r="30" spans="2:11" x14ac:dyDescent="0.25">
      <c r="B30" s="47" t="s">
        <v>80</v>
      </c>
      <c r="C30" s="48"/>
      <c r="D30" s="48"/>
      <c r="E30" s="48"/>
      <c r="F30" s="48"/>
      <c r="G30" s="48"/>
      <c r="H30" s="48"/>
      <c r="I30" s="46"/>
      <c r="J30" s="46"/>
      <c r="K30" s="46"/>
    </row>
    <row r="31" spans="2:11" x14ac:dyDescent="0.25">
      <c r="B31" s="47" t="s">
        <v>75</v>
      </c>
      <c r="C31" s="49"/>
      <c r="D31" s="49"/>
      <c r="E31" s="49"/>
      <c r="F31" s="49"/>
      <c r="G31" s="49"/>
      <c r="H31" s="49"/>
      <c r="I31" s="46"/>
      <c r="J31" s="46"/>
      <c r="K31" s="46"/>
    </row>
    <row r="32" spans="2:11" x14ac:dyDescent="0.25">
      <c r="B32" s="47" t="s">
        <v>76</v>
      </c>
      <c r="C32" s="24"/>
      <c r="D32" s="24"/>
      <c r="E32" s="24"/>
      <c r="F32" s="24"/>
      <c r="G32" s="24"/>
      <c r="H32" s="24"/>
      <c r="I32" s="46"/>
      <c r="J32" s="46"/>
      <c r="K32" s="46"/>
    </row>
    <row r="33" spans="2:11" x14ac:dyDescent="0.25">
      <c r="B33" s="47" t="s">
        <v>77</v>
      </c>
      <c r="I33" s="48"/>
      <c r="J33" s="48"/>
      <c r="K33" s="48"/>
    </row>
    <row r="34" spans="2:11" ht="13" x14ac:dyDescent="0.25">
      <c r="B34" s="47" t="s">
        <v>81</v>
      </c>
      <c r="C34" s="50"/>
      <c r="I34" s="48"/>
      <c r="J34" s="48"/>
      <c r="K34" s="48"/>
    </row>
    <row r="35" spans="2:11" x14ac:dyDescent="0.25">
      <c r="B35" s="47"/>
      <c r="E35" s="48"/>
      <c r="F35" s="48"/>
      <c r="G35" s="48"/>
      <c r="H35" s="48"/>
      <c r="I35" s="48"/>
      <c r="J35" s="48"/>
      <c r="K35" s="48"/>
    </row>
    <row r="36" spans="2:11" ht="13" x14ac:dyDescent="0.3">
      <c r="B36" s="57"/>
      <c r="C36" s="49"/>
      <c r="D36" s="49"/>
      <c r="E36" s="49"/>
      <c r="F36" s="49"/>
      <c r="G36" s="49"/>
      <c r="H36" s="49"/>
      <c r="I36" s="46"/>
      <c r="J36" s="46"/>
      <c r="K36" s="46"/>
    </row>
    <row r="37" spans="2:11" ht="13" thickBot="1" x14ac:dyDescent="0.3">
      <c r="B37" s="51"/>
      <c r="C37" s="24"/>
      <c r="D37" s="55"/>
      <c r="E37" s="24"/>
      <c r="F37" s="24"/>
      <c r="G37" s="24"/>
      <c r="H37" s="24"/>
      <c r="I37" s="24"/>
      <c r="J37" s="24"/>
      <c r="K37" s="24"/>
    </row>
    <row r="38" spans="2:11" ht="13" x14ac:dyDescent="0.25">
      <c r="B38" s="52" t="s">
        <v>69</v>
      </c>
      <c r="C38" s="56"/>
      <c r="D38" s="24"/>
      <c r="E38" s="24"/>
      <c r="F38" s="24"/>
      <c r="G38" s="24"/>
      <c r="H38" s="24"/>
      <c r="I38" s="24"/>
      <c r="J38" s="24"/>
      <c r="K38" s="24"/>
    </row>
    <row r="39" spans="2:11" x14ac:dyDescent="0.25">
      <c r="B39" s="24"/>
      <c r="C39" s="24"/>
      <c r="D39" s="24"/>
      <c r="E39" s="24"/>
      <c r="F39" s="24"/>
      <c r="G39" s="24"/>
      <c r="H39" s="24"/>
      <c r="I39" s="24"/>
      <c r="J39" s="24"/>
      <c r="K39" s="24"/>
    </row>
    <row r="40" spans="2:11" x14ac:dyDescent="0.25">
      <c r="B40" s="24"/>
      <c r="C40" s="24"/>
      <c r="D40" s="24"/>
      <c r="E40" s="24"/>
      <c r="F40" s="24"/>
      <c r="G40" s="24"/>
      <c r="H40" s="24"/>
      <c r="I40" s="24"/>
      <c r="J40" s="24"/>
      <c r="K40" s="24"/>
    </row>
  </sheetData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49AC6D-70C5-45EA-B1EF-483AD59C4160}">
  <dimension ref="B2:K42"/>
  <sheetViews>
    <sheetView showGridLines="0" zoomScale="84" zoomScaleNormal="84" workbookViewId="0">
      <selection activeCell="B29" sqref="B29:H34"/>
    </sheetView>
  </sheetViews>
  <sheetFormatPr baseColWidth="10" defaultColWidth="10.81640625" defaultRowHeight="12.5" x14ac:dyDescent="0.25"/>
  <cols>
    <col min="1" max="1" width="4.54296875" style="37" customWidth="1"/>
    <col min="2" max="2" width="25.54296875" style="37" customWidth="1"/>
    <col min="3" max="3" width="20.7265625" style="37" bestFit="1" customWidth="1"/>
    <col min="4" max="4" width="12.54296875" style="37" customWidth="1"/>
    <col min="5" max="5" width="15.26953125" style="37" bestFit="1" customWidth="1"/>
    <col min="6" max="6" width="9" style="37" customWidth="1"/>
    <col min="7" max="16384" width="10.81640625" style="37"/>
  </cols>
  <sheetData>
    <row r="2" spans="2:11" ht="13" x14ac:dyDescent="0.25">
      <c r="B2" s="36" t="s">
        <v>47</v>
      </c>
      <c r="C2" s="24"/>
      <c r="D2" s="24"/>
      <c r="E2" s="24"/>
      <c r="F2" s="24"/>
      <c r="G2" s="24"/>
      <c r="H2" s="24"/>
      <c r="I2" s="24"/>
      <c r="J2" s="24"/>
      <c r="K2" s="24"/>
    </row>
    <row r="3" spans="2:11" ht="13" x14ac:dyDescent="0.3">
      <c r="B3" s="38" t="s">
        <v>48</v>
      </c>
      <c r="C3" s="25">
        <v>4</v>
      </c>
      <c r="D3" s="24"/>
      <c r="E3" s="24"/>
      <c r="F3" s="24"/>
      <c r="G3" s="24"/>
      <c r="H3" s="24"/>
      <c r="I3" s="24"/>
      <c r="J3" s="24"/>
      <c r="K3" s="24"/>
    </row>
    <row r="4" spans="2:11" ht="13" x14ac:dyDescent="0.3">
      <c r="B4" s="39" t="s">
        <v>71</v>
      </c>
      <c r="C4" s="25"/>
      <c r="D4" s="24"/>
      <c r="E4" s="24"/>
      <c r="F4" s="24"/>
      <c r="G4" s="24"/>
      <c r="H4" s="24"/>
      <c r="I4" s="24"/>
      <c r="J4" s="24"/>
      <c r="K4" s="24"/>
    </row>
    <row r="5" spans="2:11" ht="13" x14ac:dyDescent="0.3">
      <c r="B5" s="40" t="s">
        <v>72</v>
      </c>
      <c r="C5" s="41" t="str">
        <f>+'Oferta Producto 1'!C5</f>
        <v>CP-CHCC2026-001</v>
      </c>
      <c r="D5" s="24"/>
      <c r="E5" s="24"/>
      <c r="F5" s="24"/>
      <c r="G5" s="24"/>
      <c r="H5" s="24"/>
      <c r="I5" s="24"/>
      <c r="J5" s="24"/>
      <c r="K5" s="24"/>
    </row>
    <row r="6" spans="2:11" ht="13" x14ac:dyDescent="0.3">
      <c r="B6" s="42" t="s">
        <v>49</v>
      </c>
      <c r="C6" s="41"/>
      <c r="D6" s="24"/>
      <c r="E6" s="24"/>
      <c r="F6" s="24"/>
      <c r="G6" s="24"/>
      <c r="H6" s="24"/>
      <c r="I6" s="24"/>
      <c r="J6" s="24"/>
      <c r="K6" s="24"/>
    </row>
    <row r="7" spans="2:11" ht="13" x14ac:dyDescent="0.3">
      <c r="B7" s="42" t="s">
        <v>50</v>
      </c>
      <c r="C7" s="42">
        <v>2030</v>
      </c>
      <c r="D7" s="24"/>
      <c r="E7" s="24"/>
      <c r="F7" s="24"/>
      <c r="G7" s="24"/>
      <c r="H7" s="24"/>
      <c r="I7" s="24"/>
      <c r="J7" s="24"/>
      <c r="K7" s="24"/>
    </row>
    <row r="8" spans="2:11" ht="13" x14ac:dyDescent="0.3">
      <c r="B8" s="42" t="s">
        <v>51</v>
      </c>
      <c r="C8" s="41" t="s">
        <v>67</v>
      </c>
      <c r="D8" s="24"/>
      <c r="E8" s="24"/>
      <c r="F8" s="24"/>
      <c r="G8" s="24"/>
      <c r="H8" s="24"/>
      <c r="I8" s="24"/>
      <c r="J8" s="24"/>
      <c r="K8" s="24"/>
    </row>
    <row r="9" spans="2:11" ht="13" x14ac:dyDescent="0.3">
      <c r="B9" s="42" t="s">
        <v>52</v>
      </c>
      <c r="C9" s="26">
        <f>+'Oferta Producto 1'!C9</f>
        <v>46023</v>
      </c>
      <c r="D9" s="24"/>
      <c r="E9" s="24"/>
      <c r="F9" s="24"/>
      <c r="G9" s="24"/>
      <c r="H9" s="24"/>
      <c r="I9" s="24"/>
      <c r="J9" s="24"/>
      <c r="K9" s="24"/>
    </row>
    <row r="10" spans="2:11" ht="13" x14ac:dyDescent="0.3">
      <c r="B10" s="40" t="s">
        <v>53</v>
      </c>
      <c r="C10" s="27" t="s">
        <v>54</v>
      </c>
      <c r="D10" s="24"/>
      <c r="E10" s="24"/>
      <c r="F10" s="24"/>
      <c r="G10" s="24"/>
      <c r="H10" s="24"/>
      <c r="I10" s="24"/>
      <c r="J10" s="24"/>
      <c r="K10" s="24"/>
    </row>
    <row r="11" spans="2:11" ht="13" x14ac:dyDescent="0.3">
      <c r="B11" s="42" t="s">
        <v>55</v>
      </c>
      <c r="C11" s="27" t="s">
        <v>66</v>
      </c>
      <c r="D11" s="24"/>
      <c r="E11" s="24"/>
      <c r="F11" s="24"/>
      <c r="G11" s="24"/>
      <c r="H11" s="24"/>
      <c r="I11" s="24"/>
      <c r="J11" s="24"/>
      <c r="K11" s="24"/>
    </row>
    <row r="12" spans="2:11" ht="13" x14ac:dyDescent="0.3">
      <c r="B12" s="42" t="s">
        <v>56</v>
      </c>
      <c r="C12" s="27" t="s">
        <v>57</v>
      </c>
      <c r="D12" s="24"/>
      <c r="E12" s="24"/>
      <c r="F12" s="24"/>
      <c r="G12" s="24"/>
      <c r="H12" s="24"/>
      <c r="I12" s="24"/>
      <c r="J12" s="24"/>
      <c r="K12" s="24"/>
    </row>
    <row r="13" spans="2:11" x14ac:dyDescent="0.25">
      <c r="B13" s="24"/>
      <c r="C13" s="24"/>
      <c r="D13" s="24"/>
      <c r="E13" s="24"/>
      <c r="F13" s="24"/>
      <c r="G13" s="24"/>
      <c r="H13" s="24"/>
      <c r="I13" s="24"/>
      <c r="J13" s="24"/>
      <c r="K13" s="24"/>
    </row>
    <row r="14" spans="2:11" ht="26" x14ac:dyDescent="0.3">
      <c r="B14" s="43" t="s">
        <v>58</v>
      </c>
      <c r="C14" s="43" t="s">
        <v>59</v>
      </c>
      <c r="D14" s="44" t="s">
        <v>60</v>
      </c>
      <c r="E14" s="43" t="s">
        <v>61</v>
      </c>
      <c r="F14" s="43" t="s">
        <v>62</v>
      </c>
      <c r="G14" s="28"/>
      <c r="H14" s="28"/>
      <c r="I14" s="28"/>
      <c r="J14" s="24"/>
      <c r="K14" s="24"/>
    </row>
    <row r="15" spans="2:11" ht="13" x14ac:dyDescent="0.3">
      <c r="B15" s="29">
        <v>47484</v>
      </c>
      <c r="C15" s="31">
        <f>+'Cantidad Producto 4-2030'!AE7</f>
        <v>23463619</v>
      </c>
      <c r="D15" s="30"/>
      <c r="E15" s="31"/>
      <c r="F15" s="32"/>
      <c r="G15" s="28"/>
      <c r="H15" s="28"/>
      <c r="I15" s="28"/>
      <c r="J15" s="24"/>
      <c r="K15" s="24"/>
    </row>
    <row r="16" spans="2:11" ht="13" x14ac:dyDescent="0.3">
      <c r="B16" s="29">
        <v>47515</v>
      </c>
      <c r="C16" s="31">
        <f>+'Cantidad Producto 4-2030'!AE8</f>
        <v>21983264</v>
      </c>
      <c r="D16" s="30"/>
      <c r="E16" s="31"/>
      <c r="F16" s="32"/>
      <c r="G16" s="28"/>
      <c r="H16" s="28"/>
      <c r="I16" s="28"/>
      <c r="J16" s="24"/>
      <c r="K16" s="24"/>
    </row>
    <row r="17" spans="2:11" ht="13" x14ac:dyDescent="0.3">
      <c r="B17" s="29">
        <v>47543</v>
      </c>
      <c r="C17" s="31">
        <f>+'Cantidad Producto 4-2030'!AE9</f>
        <v>22930560</v>
      </c>
      <c r="D17" s="30"/>
      <c r="E17" s="31"/>
      <c r="F17" s="32"/>
      <c r="G17" s="28"/>
      <c r="H17" s="28"/>
      <c r="I17" s="28"/>
      <c r="J17" s="24"/>
      <c r="K17" s="24"/>
    </row>
    <row r="18" spans="2:11" ht="13" x14ac:dyDescent="0.3">
      <c r="B18" s="29">
        <v>47574</v>
      </c>
      <c r="C18" s="31">
        <f>+'Cantidad Producto 4-2030'!AE10</f>
        <v>23011184</v>
      </c>
      <c r="D18" s="30"/>
      <c r="E18" s="31"/>
      <c r="F18" s="32"/>
      <c r="G18" s="28"/>
      <c r="H18" s="28"/>
      <c r="I18" s="28"/>
      <c r="J18" s="24"/>
      <c r="K18" s="24"/>
    </row>
    <row r="19" spans="2:11" ht="13" x14ac:dyDescent="0.3">
      <c r="B19" s="29">
        <v>47604</v>
      </c>
      <c r="C19" s="31">
        <f>+'Cantidad Producto 4-2030'!AE11</f>
        <v>22947941</v>
      </c>
      <c r="D19" s="30"/>
      <c r="E19" s="31"/>
      <c r="F19" s="32"/>
      <c r="G19" s="28"/>
      <c r="H19" s="28"/>
      <c r="I19" s="28"/>
      <c r="J19" s="24"/>
      <c r="K19" s="24"/>
    </row>
    <row r="20" spans="2:11" ht="13" x14ac:dyDescent="0.3">
      <c r="B20" s="29">
        <v>47635</v>
      </c>
      <c r="C20" s="31">
        <f>+'Cantidad Producto 4-2030'!AE12</f>
        <v>23112949</v>
      </c>
      <c r="D20" s="30"/>
      <c r="E20" s="31"/>
      <c r="F20" s="32"/>
      <c r="G20" s="28"/>
      <c r="H20" s="28"/>
      <c r="I20" s="28"/>
      <c r="J20" s="24"/>
      <c r="K20" s="24"/>
    </row>
    <row r="21" spans="2:11" ht="13" x14ac:dyDescent="0.3">
      <c r="B21" s="29">
        <v>47665</v>
      </c>
      <c r="C21" s="31">
        <f>+'Cantidad Producto 4-2030'!AE13</f>
        <v>23935549</v>
      </c>
      <c r="D21" s="30"/>
      <c r="E21" s="31"/>
      <c r="F21" s="32"/>
      <c r="G21" s="28"/>
      <c r="H21" s="28"/>
      <c r="I21" s="28"/>
      <c r="J21" s="24"/>
      <c r="K21" s="24"/>
    </row>
    <row r="22" spans="2:11" ht="13" x14ac:dyDescent="0.3">
      <c r="B22" s="29">
        <v>47696</v>
      </c>
      <c r="C22" s="31">
        <f>+'Cantidad Producto 4-2030'!AE14</f>
        <v>23893234</v>
      </c>
      <c r="D22" s="30"/>
      <c r="E22" s="31"/>
      <c r="F22" s="32"/>
      <c r="G22" s="28"/>
      <c r="H22" s="28"/>
      <c r="I22" s="28"/>
      <c r="J22" s="24"/>
      <c r="K22" s="24"/>
    </row>
    <row r="23" spans="2:11" ht="13" x14ac:dyDescent="0.3">
      <c r="B23" s="29">
        <v>47727</v>
      </c>
      <c r="C23" s="31">
        <f>+'Cantidad Producto 4-2030'!AE15</f>
        <v>22902751</v>
      </c>
      <c r="D23" s="30"/>
      <c r="E23" s="31"/>
      <c r="F23" s="32"/>
      <c r="G23" s="28"/>
      <c r="H23" s="28"/>
      <c r="I23" s="28"/>
      <c r="J23" s="24"/>
      <c r="K23" s="24"/>
    </row>
    <row r="24" spans="2:11" ht="13" x14ac:dyDescent="0.3">
      <c r="B24" s="29">
        <v>47757</v>
      </c>
      <c r="C24" s="31">
        <f>+'Cantidad Producto 4-2030'!AE16</f>
        <v>23690538</v>
      </c>
      <c r="D24" s="30"/>
      <c r="E24" s="31"/>
      <c r="F24" s="32"/>
      <c r="G24" s="28"/>
      <c r="H24" s="28"/>
      <c r="I24" s="28"/>
      <c r="J24" s="24"/>
      <c r="K24" s="24"/>
    </row>
    <row r="25" spans="2:11" ht="13" x14ac:dyDescent="0.3">
      <c r="B25" s="29">
        <v>47788</v>
      </c>
      <c r="C25" s="31">
        <f>+'Cantidad Producto 4-2030'!AE17</f>
        <v>23238819</v>
      </c>
      <c r="D25" s="30"/>
      <c r="E25" s="31"/>
      <c r="F25" s="32"/>
      <c r="G25" s="28"/>
      <c r="H25" s="28"/>
      <c r="I25" s="28"/>
      <c r="J25" s="24"/>
      <c r="K25" s="24"/>
    </row>
    <row r="26" spans="2:11" ht="13" x14ac:dyDescent="0.3">
      <c r="B26" s="29">
        <v>47818</v>
      </c>
      <c r="C26" s="31">
        <f>+'Cantidad Producto 4-2030'!AE18</f>
        <v>24027837</v>
      </c>
      <c r="D26" s="30"/>
      <c r="E26" s="31"/>
      <c r="F26" s="32"/>
      <c r="G26" s="28"/>
      <c r="H26" s="28"/>
      <c r="I26" s="28"/>
      <c r="J26" s="24"/>
      <c r="K26" s="24"/>
    </row>
    <row r="27" spans="2:11" ht="13" x14ac:dyDescent="0.25">
      <c r="B27" s="29" t="s">
        <v>65</v>
      </c>
      <c r="C27" s="34">
        <f>SUM(C15:C26)</f>
        <v>279138245</v>
      </c>
      <c r="D27" s="35" t="s">
        <v>63</v>
      </c>
      <c r="E27" s="34"/>
      <c r="F27" s="32"/>
      <c r="G27" s="33"/>
      <c r="H27" s="24"/>
      <c r="I27" s="24"/>
      <c r="J27" s="24"/>
      <c r="K27" s="24"/>
    </row>
    <row r="28" spans="2:11" ht="13" x14ac:dyDescent="0.25">
      <c r="B28" s="62"/>
      <c r="C28" s="63"/>
      <c r="D28" s="64"/>
      <c r="E28" s="63"/>
      <c r="F28" s="65"/>
      <c r="G28" s="33"/>
      <c r="H28" s="24"/>
      <c r="I28" s="24"/>
      <c r="J28" s="24"/>
      <c r="K28" s="24"/>
    </row>
    <row r="29" spans="2:11" ht="13" x14ac:dyDescent="0.25">
      <c r="B29" s="45" t="s">
        <v>64</v>
      </c>
      <c r="C29" s="46"/>
      <c r="D29" s="48"/>
      <c r="E29" s="45"/>
      <c r="F29" s="45"/>
      <c r="G29" s="45"/>
      <c r="H29" s="45"/>
      <c r="I29" s="45"/>
      <c r="J29" s="45"/>
      <c r="K29" s="45"/>
    </row>
    <row r="30" spans="2:11" ht="13" x14ac:dyDescent="0.25">
      <c r="B30" s="47" t="s">
        <v>82</v>
      </c>
      <c r="C30" s="48"/>
      <c r="D30" s="48"/>
      <c r="E30" s="48"/>
      <c r="F30" s="48"/>
      <c r="G30" s="48"/>
      <c r="H30" s="48"/>
      <c r="I30" s="45"/>
      <c r="J30" s="45"/>
      <c r="K30" s="45"/>
    </row>
    <row r="31" spans="2:11" ht="13" x14ac:dyDescent="0.25">
      <c r="B31" s="47" t="s">
        <v>75</v>
      </c>
      <c r="C31" s="49"/>
      <c r="D31" s="49"/>
      <c r="E31" s="49"/>
      <c r="F31" s="49"/>
      <c r="G31" s="49"/>
      <c r="H31" s="49"/>
      <c r="I31" s="45"/>
      <c r="J31" s="45"/>
      <c r="K31" s="45"/>
    </row>
    <row r="32" spans="2:11" x14ac:dyDescent="0.25">
      <c r="B32" s="47" t="s">
        <v>76</v>
      </c>
      <c r="C32" s="24"/>
      <c r="D32" s="24"/>
      <c r="E32" s="24"/>
      <c r="F32" s="24"/>
      <c r="G32" s="24"/>
      <c r="H32" s="24"/>
      <c r="I32" s="46"/>
      <c r="J32" s="46"/>
      <c r="K32" s="46"/>
    </row>
    <row r="33" spans="2:11" x14ac:dyDescent="0.25">
      <c r="B33" s="47" t="s">
        <v>77</v>
      </c>
      <c r="I33" s="46"/>
      <c r="J33" s="46"/>
      <c r="K33" s="46"/>
    </row>
    <row r="34" spans="2:11" ht="13" x14ac:dyDescent="0.25">
      <c r="B34" s="47" t="s">
        <v>81</v>
      </c>
      <c r="C34" s="50"/>
      <c r="I34" s="46"/>
      <c r="J34" s="46"/>
      <c r="K34" s="46"/>
    </row>
    <row r="35" spans="2:11" x14ac:dyDescent="0.25">
      <c r="B35" s="47"/>
      <c r="C35" s="24"/>
      <c r="D35" s="24"/>
      <c r="E35" s="46"/>
      <c r="F35" s="46"/>
      <c r="G35" s="46"/>
      <c r="H35" s="46"/>
      <c r="I35" s="46"/>
      <c r="J35" s="46"/>
      <c r="K35" s="46"/>
    </row>
    <row r="36" spans="2:11" x14ac:dyDescent="0.25">
      <c r="B36" s="47"/>
      <c r="E36" s="48"/>
      <c r="F36" s="48"/>
      <c r="G36" s="48"/>
      <c r="H36" s="48"/>
      <c r="I36" s="48"/>
      <c r="J36" s="48"/>
      <c r="K36" s="48"/>
    </row>
    <row r="37" spans="2:11" ht="13" x14ac:dyDescent="0.3">
      <c r="B37" s="57"/>
      <c r="C37" s="49"/>
      <c r="D37" s="49"/>
      <c r="E37" s="49"/>
      <c r="F37" s="49"/>
      <c r="G37" s="49"/>
      <c r="H37" s="49"/>
      <c r="I37" s="46"/>
      <c r="J37" s="46"/>
      <c r="K37" s="46"/>
    </row>
    <row r="38" spans="2:11" ht="13" thickBot="1" x14ac:dyDescent="0.3">
      <c r="B38" s="51"/>
      <c r="C38" s="49"/>
      <c r="D38" s="49"/>
      <c r="E38" s="49"/>
      <c r="F38" s="49"/>
      <c r="G38" s="49"/>
      <c r="H38" s="49"/>
      <c r="I38" s="49"/>
      <c r="J38" s="46"/>
      <c r="K38" s="46"/>
    </row>
    <row r="39" spans="2:11" ht="13" x14ac:dyDescent="0.25">
      <c r="B39" s="52" t="s">
        <v>69</v>
      </c>
      <c r="C39" s="24"/>
      <c r="D39" s="55"/>
      <c r="E39" s="24"/>
      <c r="F39" s="24"/>
      <c r="G39" s="24"/>
      <c r="H39" s="24"/>
      <c r="I39" s="24"/>
      <c r="J39" s="24"/>
      <c r="K39" s="24"/>
    </row>
    <row r="40" spans="2:11" x14ac:dyDescent="0.25">
      <c r="B40" s="24"/>
      <c r="C40" s="56"/>
      <c r="D40" s="24"/>
      <c r="E40" s="24"/>
      <c r="F40" s="24"/>
      <c r="G40" s="24"/>
      <c r="H40" s="24"/>
      <c r="I40" s="24"/>
      <c r="J40" s="24"/>
      <c r="K40" s="24"/>
    </row>
    <row r="41" spans="2:11" x14ac:dyDescent="0.25">
      <c r="B41" s="24"/>
      <c r="C41" s="24"/>
      <c r="D41" s="24"/>
      <c r="E41" s="24"/>
      <c r="F41" s="24"/>
      <c r="G41" s="24"/>
      <c r="H41" s="24"/>
      <c r="I41" s="24"/>
      <c r="J41" s="24"/>
      <c r="K41" s="24"/>
    </row>
    <row r="42" spans="2:11" x14ac:dyDescent="0.25">
      <c r="B42" s="24"/>
      <c r="C42" s="24"/>
      <c r="D42" s="24"/>
      <c r="E42" s="24"/>
      <c r="F42" s="24"/>
      <c r="G42" s="24"/>
      <c r="H42" s="24"/>
      <c r="I42" s="24"/>
      <c r="J42" s="24"/>
      <c r="K42" s="24"/>
    </row>
  </sheetData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B29BC0-8E0A-407E-8D94-69DEF005676A}">
  <dimension ref="B2:K42"/>
  <sheetViews>
    <sheetView showGridLines="0" zoomScale="84" zoomScaleNormal="84" workbookViewId="0">
      <selection activeCell="B29" sqref="B29:H34"/>
    </sheetView>
  </sheetViews>
  <sheetFormatPr baseColWidth="10" defaultColWidth="10.81640625" defaultRowHeight="12.5" x14ac:dyDescent="0.25"/>
  <cols>
    <col min="1" max="1" width="4.54296875" style="37" customWidth="1"/>
    <col min="2" max="2" width="25.54296875" style="37" customWidth="1"/>
    <col min="3" max="3" width="20.7265625" style="37" bestFit="1" customWidth="1"/>
    <col min="4" max="4" width="12.54296875" style="37" customWidth="1"/>
    <col min="5" max="5" width="15.26953125" style="37" bestFit="1" customWidth="1"/>
    <col min="6" max="6" width="9" style="37" customWidth="1"/>
    <col min="7" max="16384" width="10.81640625" style="37"/>
  </cols>
  <sheetData>
    <row r="2" spans="2:11" ht="13" x14ac:dyDescent="0.25">
      <c r="B2" s="36" t="s">
        <v>47</v>
      </c>
      <c r="C2" s="24"/>
      <c r="D2" s="24"/>
      <c r="E2" s="24"/>
      <c r="F2" s="24"/>
      <c r="G2" s="24"/>
      <c r="H2" s="24"/>
      <c r="I2" s="24"/>
      <c r="J2" s="24"/>
      <c r="K2" s="24"/>
    </row>
    <row r="3" spans="2:11" ht="13" x14ac:dyDescent="0.3">
      <c r="B3" s="38" t="s">
        <v>48</v>
      </c>
      <c r="C3" s="25">
        <v>5</v>
      </c>
      <c r="D3" s="24"/>
      <c r="E3" s="24"/>
      <c r="F3" s="24"/>
      <c r="G3" s="24"/>
      <c r="H3" s="24"/>
      <c r="I3" s="24"/>
      <c r="J3" s="24"/>
      <c r="K3" s="24"/>
    </row>
    <row r="4" spans="2:11" ht="13" x14ac:dyDescent="0.3">
      <c r="B4" s="39" t="s">
        <v>71</v>
      </c>
      <c r="C4" s="25"/>
      <c r="D4" s="24"/>
      <c r="E4" s="24"/>
      <c r="F4" s="24"/>
      <c r="G4" s="24"/>
      <c r="H4" s="24"/>
      <c r="I4" s="24"/>
      <c r="J4" s="24"/>
      <c r="K4" s="24"/>
    </row>
    <row r="5" spans="2:11" ht="13" x14ac:dyDescent="0.3">
      <c r="B5" s="40" t="s">
        <v>72</v>
      </c>
      <c r="C5" s="41" t="str">
        <f>+'Oferta Producto 1'!C5</f>
        <v>CP-CHCC2026-001</v>
      </c>
      <c r="D5" s="24"/>
      <c r="E5" s="24"/>
      <c r="F5" s="24"/>
      <c r="G5" s="24"/>
      <c r="H5" s="24"/>
      <c r="I5" s="24"/>
      <c r="J5" s="24"/>
      <c r="K5" s="24"/>
    </row>
    <row r="6" spans="2:11" ht="13" x14ac:dyDescent="0.3">
      <c r="B6" s="42" t="s">
        <v>49</v>
      </c>
      <c r="C6" s="41"/>
      <c r="D6" s="24"/>
      <c r="E6" s="24"/>
      <c r="F6" s="24"/>
      <c r="G6" s="24"/>
      <c r="H6" s="24"/>
      <c r="I6" s="24"/>
      <c r="J6" s="24"/>
      <c r="K6" s="24"/>
    </row>
    <row r="7" spans="2:11" ht="13" x14ac:dyDescent="0.3">
      <c r="B7" s="42" t="s">
        <v>50</v>
      </c>
      <c r="C7" s="42">
        <v>2031</v>
      </c>
      <c r="D7" s="24"/>
      <c r="E7" s="24"/>
      <c r="F7" s="24"/>
      <c r="G7" s="24"/>
      <c r="H7" s="24"/>
      <c r="I7" s="24"/>
      <c r="J7" s="24"/>
      <c r="K7" s="24"/>
    </row>
    <row r="8" spans="2:11" ht="13" x14ac:dyDescent="0.3">
      <c r="B8" s="42" t="s">
        <v>51</v>
      </c>
      <c r="C8" s="41" t="s">
        <v>67</v>
      </c>
      <c r="D8" s="24"/>
      <c r="E8" s="24"/>
      <c r="F8" s="24"/>
      <c r="G8" s="24"/>
      <c r="H8" s="24"/>
      <c r="I8" s="24"/>
      <c r="J8" s="24"/>
      <c r="K8" s="24"/>
    </row>
    <row r="9" spans="2:11" ht="13" x14ac:dyDescent="0.3">
      <c r="B9" s="42" t="s">
        <v>52</v>
      </c>
      <c r="C9" s="26">
        <f>+'Oferta Producto 1'!C9</f>
        <v>46023</v>
      </c>
      <c r="D9" s="24"/>
      <c r="E9" s="24"/>
      <c r="F9" s="24"/>
      <c r="G9" s="24"/>
      <c r="H9" s="24"/>
      <c r="I9" s="24"/>
      <c r="J9" s="24"/>
      <c r="K9" s="24"/>
    </row>
    <row r="10" spans="2:11" ht="13" x14ac:dyDescent="0.3">
      <c r="B10" s="40" t="s">
        <v>53</v>
      </c>
      <c r="C10" s="27" t="s">
        <v>54</v>
      </c>
      <c r="D10" s="24"/>
      <c r="E10" s="24"/>
      <c r="F10" s="24"/>
      <c r="G10" s="24"/>
      <c r="H10" s="24"/>
      <c r="I10" s="24"/>
      <c r="J10" s="24"/>
      <c r="K10" s="24"/>
    </row>
    <row r="11" spans="2:11" ht="13" x14ac:dyDescent="0.3">
      <c r="B11" s="42" t="s">
        <v>55</v>
      </c>
      <c r="C11" s="27" t="s">
        <v>66</v>
      </c>
      <c r="D11" s="24"/>
      <c r="E11" s="24"/>
      <c r="F11" s="24"/>
      <c r="G11" s="24"/>
      <c r="H11" s="24"/>
      <c r="I11" s="24"/>
      <c r="J11" s="24"/>
      <c r="K11" s="24"/>
    </row>
    <row r="12" spans="2:11" ht="13" x14ac:dyDescent="0.3">
      <c r="B12" s="42" t="s">
        <v>56</v>
      </c>
      <c r="C12" s="27" t="s">
        <v>57</v>
      </c>
      <c r="D12" s="24"/>
      <c r="E12" s="24"/>
      <c r="F12" s="24"/>
      <c r="G12" s="24"/>
      <c r="H12" s="24"/>
      <c r="I12" s="24"/>
      <c r="J12" s="24"/>
      <c r="K12" s="24"/>
    </row>
    <row r="13" spans="2:11" x14ac:dyDescent="0.25">
      <c r="B13" s="24"/>
      <c r="C13" s="24"/>
      <c r="D13" s="24"/>
      <c r="E13" s="24"/>
      <c r="F13" s="24"/>
      <c r="G13" s="24"/>
      <c r="H13" s="24"/>
      <c r="I13" s="24"/>
      <c r="J13" s="24"/>
      <c r="K13" s="24"/>
    </row>
    <row r="14" spans="2:11" ht="26" x14ac:dyDescent="0.3">
      <c r="B14" s="43" t="s">
        <v>58</v>
      </c>
      <c r="C14" s="43" t="s">
        <v>59</v>
      </c>
      <c r="D14" s="44" t="s">
        <v>60</v>
      </c>
      <c r="E14" s="43" t="s">
        <v>61</v>
      </c>
      <c r="F14" s="43" t="s">
        <v>62</v>
      </c>
      <c r="G14" s="28"/>
      <c r="H14" s="28"/>
      <c r="I14" s="28"/>
      <c r="J14" s="24"/>
      <c r="K14" s="24"/>
    </row>
    <row r="15" spans="2:11" ht="13" x14ac:dyDescent="0.3">
      <c r="B15" s="29">
        <v>47484</v>
      </c>
      <c r="C15" s="66">
        <f>+'Cantidad Producto 5-2031'!AE7</f>
        <v>25540072</v>
      </c>
      <c r="D15" s="30"/>
      <c r="E15" s="31"/>
      <c r="F15" s="32"/>
      <c r="G15" s="28"/>
      <c r="H15" s="28"/>
      <c r="I15" s="28"/>
      <c r="J15" s="24"/>
      <c r="K15" s="24"/>
    </row>
    <row r="16" spans="2:11" ht="13" x14ac:dyDescent="0.3">
      <c r="B16" s="29">
        <v>47515</v>
      </c>
      <c r="C16" s="66">
        <f>+'Cantidad Producto 5-2031'!AE8</f>
        <v>23863988</v>
      </c>
      <c r="D16" s="30"/>
      <c r="E16" s="31"/>
      <c r="F16" s="32"/>
      <c r="G16" s="28"/>
      <c r="H16" s="28"/>
      <c r="I16" s="28"/>
      <c r="J16" s="24"/>
      <c r="K16" s="24"/>
    </row>
    <row r="17" spans="2:11" ht="13" x14ac:dyDescent="0.3">
      <c r="B17" s="29">
        <v>47543</v>
      </c>
      <c r="C17" s="66">
        <f>+'Cantidad Producto 5-2031'!AE9</f>
        <v>25133146</v>
      </c>
      <c r="D17" s="30"/>
      <c r="E17" s="31"/>
      <c r="F17" s="32"/>
      <c r="G17" s="28"/>
      <c r="H17" s="28"/>
      <c r="I17" s="28"/>
      <c r="J17" s="24"/>
      <c r="K17" s="24"/>
    </row>
    <row r="18" spans="2:11" ht="13" x14ac:dyDescent="0.3">
      <c r="B18" s="29">
        <v>47574</v>
      </c>
      <c r="C18" s="66">
        <f>+'Cantidad Producto 5-2031'!AE10</f>
        <v>25175078</v>
      </c>
      <c r="D18" s="30"/>
      <c r="E18" s="31"/>
      <c r="F18" s="32"/>
      <c r="G18" s="28"/>
      <c r="H18" s="28"/>
      <c r="I18" s="28"/>
      <c r="J18" s="24"/>
      <c r="K18" s="24"/>
    </row>
    <row r="19" spans="2:11" ht="13" x14ac:dyDescent="0.3">
      <c r="B19" s="29">
        <v>47604</v>
      </c>
      <c r="C19" s="66">
        <f>+'Cantidad Producto 5-2031'!AE11</f>
        <v>25029031</v>
      </c>
      <c r="D19" s="30"/>
      <c r="E19" s="31"/>
      <c r="F19" s="32"/>
      <c r="G19" s="28"/>
      <c r="H19" s="28"/>
      <c r="I19" s="28"/>
      <c r="J19" s="24"/>
      <c r="K19" s="24"/>
    </row>
    <row r="20" spans="2:11" ht="13" x14ac:dyDescent="0.3">
      <c r="B20" s="29">
        <v>47635</v>
      </c>
      <c r="C20" s="66">
        <f>+'Cantidad Producto 5-2031'!AE12</f>
        <v>25005430</v>
      </c>
      <c r="D20" s="30"/>
      <c r="E20" s="31"/>
      <c r="F20" s="32"/>
      <c r="G20" s="28"/>
      <c r="H20" s="28"/>
      <c r="I20" s="28"/>
      <c r="J20" s="24"/>
      <c r="K20" s="24"/>
    </row>
    <row r="21" spans="2:11" ht="13" x14ac:dyDescent="0.3">
      <c r="B21" s="29">
        <v>47665</v>
      </c>
      <c r="C21" s="66">
        <f>+'Cantidad Producto 5-2031'!AE13</f>
        <v>25526198</v>
      </c>
      <c r="D21" s="30"/>
      <c r="E21" s="31"/>
      <c r="F21" s="32"/>
      <c r="G21" s="28"/>
      <c r="H21" s="28"/>
      <c r="I21" s="28"/>
      <c r="J21" s="24"/>
      <c r="K21" s="24"/>
    </row>
    <row r="22" spans="2:11" ht="13" x14ac:dyDescent="0.3">
      <c r="B22" s="29">
        <v>47696</v>
      </c>
      <c r="C22" s="66">
        <f>+'Cantidad Producto 5-2031'!AE14</f>
        <v>26065129</v>
      </c>
      <c r="D22" s="30"/>
      <c r="E22" s="31"/>
      <c r="F22" s="32"/>
      <c r="G22" s="28"/>
      <c r="H22" s="28"/>
      <c r="I22" s="28"/>
      <c r="J22" s="24"/>
      <c r="K22" s="24"/>
    </row>
    <row r="23" spans="2:11" ht="13" x14ac:dyDescent="0.3">
      <c r="B23" s="29">
        <v>47727</v>
      </c>
      <c r="C23" s="66">
        <f>+'Cantidad Producto 5-2031'!AE15</f>
        <v>24899520</v>
      </c>
      <c r="D23" s="30"/>
      <c r="E23" s="31"/>
      <c r="F23" s="32"/>
      <c r="G23" s="28"/>
      <c r="H23" s="28"/>
      <c r="I23" s="28"/>
      <c r="J23" s="24"/>
      <c r="K23" s="24"/>
    </row>
    <row r="24" spans="2:11" ht="13" x14ac:dyDescent="0.3">
      <c r="B24" s="29">
        <v>47757</v>
      </c>
      <c r="C24" s="66">
        <f>+'Cantidad Producto 5-2031'!AE16</f>
        <v>25960421</v>
      </c>
      <c r="D24" s="30"/>
      <c r="E24" s="31"/>
      <c r="F24" s="32"/>
      <c r="G24" s="28"/>
      <c r="H24" s="28"/>
      <c r="I24" s="28"/>
      <c r="J24" s="24"/>
      <c r="K24" s="24"/>
    </row>
    <row r="25" spans="2:11" ht="13" x14ac:dyDescent="0.3">
      <c r="B25" s="29">
        <v>47788</v>
      </c>
      <c r="C25" s="66">
        <f>+'Cantidad Producto 5-2031'!AE17</f>
        <v>25357228</v>
      </c>
      <c r="D25" s="30"/>
      <c r="E25" s="31"/>
      <c r="F25" s="32"/>
      <c r="G25" s="28"/>
      <c r="H25" s="28"/>
      <c r="I25" s="28"/>
      <c r="J25" s="24"/>
      <c r="K25" s="24"/>
    </row>
    <row r="26" spans="2:11" ht="13" x14ac:dyDescent="0.3">
      <c r="B26" s="29">
        <v>47818</v>
      </c>
      <c r="C26" s="66">
        <f>+'Cantidad Producto 5-2031'!AE18</f>
        <v>26212931</v>
      </c>
      <c r="D26" s="30"/>
      <c r="E26" s="31"/>
      <c r="F26" s="32"/>
      <c r="G26" s="28"/>
      <c r="H26" s="28"/>
      <c r="I26" s="28"/>
      <c r="J26" s="24"/>
      <c r="K26" s="24"/>
    </row>
    <row r="27" spans="2:11" ht="13" x14ac:dyDescent="0.25">
      <c r="B27" s="29" t="s">
        <v>65</v>
      </c>
      <c r="C27" s="67">
        <f>SUM(C15:C26)</f>
        <v>303768172</v>
      </c>
      <c r="D27" s="35" t="s">
        <v>63</v>
      </c>
      <c r="E27" s="34"/>
      <c r="F27" s="32"/>
      <c r="G27" s="33"/>
      <c r="H27" s="24"/>
      <c r="I27" s="24"/>
      <c r="J27" s="24"/>
      <c r="K27" s="24"/>
    </row>
    <row r="28" spans="2:11" ht="13" x14ac:dyDescent="0.25">
      <c r="B28" s="62"/>
      <c r="C28" s="63"/>
      <c r="D28" s="64"/>
      <c r="E28" s="63"/>
      <c r="F28" s="65"/>
      <c r="G28" s="33"/>
      <c r="H28" s="24"/>
      <c r="I28" s="24"/>
      <c r="J28" s="24"/>
      <c r="K28" s="24"/>
    </row>
    <row r="29" spans="2:11" ht="13" x14ac:dyDescent="0.25">
      <c r="B29" s="45" t="s">
        <v>64</v>
      </c>
      <c r="C29" s="46"/>
      <c r="D29" s="48"/>
      <c r="E29" s="45"/>
      <c r="F29" s="45"/>
      <c r="G29" s="45"/>
      <c r="H29" s="45"/>
      <c r="I29" s="45"/>
      <c r="J29" s="45"/>
      <c r="K29" s="45"/>
    </row>
    <row r="30" spans="2:11" ht="13" x14ac:dyDescent="0.25">
      <c r="B30" s="47" t="s">
        <v>83</v>
      </c>
      <c r="C30" s="48"/>
      <c r="D30" s="48"/>
      <c r="E30" s="48"/>
      <c r="F30" s="48"/>
      <c r="G30" s="48"/>
      <c r="H30" s="48"/>
      <c r="I30" s="45"/>
      <c r="J30" s="45"/>
      <c r="K30" s="45"/>
    </row>
    <row r="31" spans="2:11" ht="13" x14ac:dyDescent="0.25">
      <c r="B31" s="47" t="s">
        <v>75</v>
      </c>
      <c r="C31" s="49"/>
      <c r="D31" s="49"/>
      <c r="E31" s="49"/>
      <c r="F31" s="49"/>
      <c r="G31" s="49"/>
      <c r="H31" s="49"/>
      <c r="I31" s="45"/>
      <c r="J31" s="45"/>
      <c r="K31" s="45"/>
    </row>
    <row r="32" spans="2:11" x14ac:dyDescent="0.25">
      <c r="B32" s="47" t="s">
        <v>76</v>
      </c>
      <c r="C32" s="24"/>
      <c r="D32" s="24"/>
      <c r="E32" s="24"/>
      <c r="F32" s="24"/>
      <c r="G32" s="24"/>
      <c r="H32" s="24"/>
      <c r="I32" s="46"/>
      <c r="J32" s="46"/>
      <c r="K32" s="46"/>
    </row>
    <row r="33" spans="2:11" x14ac:dyDescent="0.25">
      <c r="B33" s="47" t="s">
        <v>77</v>
      </c>
      <c r="I33" s="46"/>
      <c r="J33" s="46"/>
      <c r="K33" s="46"/>
    </row>
    <row r="34" spans="2:11" ht="13" x14ac:dyDescent="0.25">
      <c r="B34" s="47" t="s">
        <v>81</v>
      </c>
      <c r="C34" s="50"/>
      <c r="I34" s="46"/>
      <c r="J34" s="46"/>
      <c r="K34" s="46"/>
    </row>
    <row r="35" spans="2:11" x14ac:dyDescent="0.25">
      <c r="B35" s="47"/>
      <c r="C35" s="24"/>
      <c r="D35" s="24"/>
      <c r="E35" s="46"/>
      <c r="F35" s="46"/>
      <c r="G35" s="46"/>
      <c r="H35" s="46"/>
      <c r="I35" s="46"/>
      <c r="J35" s="46"/>
      <c r="K35" s="46"/>
    </row>
    <row r="36" spans="2:11" x14ac:dyDescent="0.25">
      <c r="B36" s="47"/>
      <c r="E36" s="48"/>
      <c r="F36" s="48"/>
      <c r="G36" s="48"/>
      <c r="H36" s="48"/>
      <c r="I36" s="48"/>
      <c r="J36" s="48"/>
      <c r="K36" s="48"/>
    </row>
    <row r="37" spans="2:11" ht="13" x14ac:dyDescent="0.3">
      <c r="B37" s="57"/>
      <c r="C37" s="49"/>
      <c r="D37" s="49"/>
      <c r="E37" s="49"/>
      <c r="F37" s="49"/>
      <c r="G37" s="49"/>
      <c r="H37" s="49"/>
      <c r="I37" s="46"/>
      <c r="J37" s="46"/>
      <c r="K37" s="46"/>
    </row>
    <row r="38" spans="2:11" ht="13" thickBot="1" x14ac:dyDescent="0.3">
      <c r="B38" s="51"/>
      <c r="C38" s="49"/>
      <c r="D38" s="49"/>
      <c r="E38" s="49"/>
      <c r="F38" s="49"/>
      <c r="G38" s="49"/>
      <c r="H38" s="49"/>
      <c r="I38" s="49"/>
      <c r="J38" s="46"/>
      <c r="K38" s="46"/>
    </row>
    <row r="39" spans="2:11" ht="13" x14ac:dyDescent="0.25">
      <c r="B39" s="52" t="s">
        <v>69</v>
      </c>
      <c r="C39" s="24"/>
      <c r="D39" s="55"/>
      <c r="E39" s="24"/>
      <c r="F39" s="24"/>
      <c r="G39" s="24"/>
      <c r="H39" s="24"/>
      <c r="I39" s="24"/>
      <c r="J39" s="24"/>
      <c r="K39" s="24"/>
    </row>
    <row r="40" spans="2:11" x14ac:dyDescent="0.25">
      <c r="B40" s="24"/>
      <c r="C40" s="56"/>
      <c r="D40" s="24"/>
      <c r="E40" s="24"/>
      <c r="F40" s="24"/>
      <c r="G40" s="24"/>
      <c r="H40" s="24"/>
      <c r="I40" s="24"/>
      <c r="J40" s="24"/>
      <c r="K40" s="24"/>
    </row>
    <row r="41" spans="2:11" x14ac:dyDescent="0.25">
      <c r="B41" s="24"/>
      <c r="C41" s="24"/>
      <c r="D41" s="24"/>
      <c r="E41" s="24"/>
      <c r="F41" s="24"/>
      <c r="G41" s="24"/>
      <c r="H41" s="24"/>
      <c r="I41" s="24"/>
      <c r="J41" s="24"/>
      <c r="K41" s="24"/>
    </row>
    <row r="42" spans="2:11" x14ac:dyDescent="0.25">
      <c r="B42" s="24"/>
      <c r="C42" s="24"/>
      <c r="D42" s="24"/>
      <c r="E42" s="24"/>
      <c r="F42" s="24"/>
      <c r="G42" s="24"/>
      <c r="H42" s="24"/>
      <c r="I42" s="24"/>
      <c r="J42" s="24"/>
      <c r="K42" s="24"/>
    </row>
  </sheetData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0E6D19-EF4D-4987-BB64-465184A3B829}">
  <dimension ref="B2:K97"/>
  <sheetViews>
    <sheetView showGridLines="0" topLeftCell="A76" zoomScale="84" zoomScaleNormal="84" workbookViewId="0">
      <selection sqref="A1:N95"/>
    </sheetView>
  </sheetViews>
  <sheetFormatPr baseColWidth="10" defaultColWidth="10.81640625" defaultRowHeight="12.5" x14ac:dyDescent="0.25"/>
  <cols>
    <col min="1" max="1" width="4.54296875" style="37" customWidth="1"/>
    <col min="2" max="2" width="20.453125" style="37" customWidth="1"/>
    <col min="3" max="3" width="20.7265625" style="37" bestFit="1" customWidth="1"/>
    <col min="4" max="4" width="12.54296875" style="37" customWidth="1"/>
    <col min="5" max="5" width="15.26953125" style="37" bestFit="1" customWidth="1"/>
    <col min="6" max="6" width="9" style="37" customWidth="1"/>
    <col min="7" max="7" width="6.453125" style="37" customWidth="1"/>
    <col min="8" max="16384" width="10.81640625" style="37"/>
  </cols>
  <sheetData>
    <row r="2" spans="2:11" ht="13" x14ac:dyDescent="0.25">
      <c r="B2" s="36" t="s">
        <v>47</v>
      </c>
      <c r="C2" s="24"/>
      <c r="D2" s="24"/>
      <c r="E2" s="24"/>
      <c r="F2" s="24"/>
      <c r="G2" s="24"/>
      <c r="H2" s="24"/>
      <c r="I2" s="24"/>
      <c r="J2" s="24"/>
      <c r="K2" s="24"/>
    </row>
    <row r="3" spans="2:11" ht="13" x14ac:dyDescent="0.3">
      <c r="B3" s="38" t="s">
        <v>48</v>
      </c>
      <c r="C3" s="25">
        <v>6</v>
      </c>
      <c r="D3" s="24"/>
      <c r="E3" s="24"/>
      <c r="F3" s="24"/>
      <c r="G3" s="24"/>
      <c r="H3" s="24"/>
      <c r="I3" s="24"/>
      <c r="J3" s="24"/>
      <c r="K3" s="24"/>
    </row>
    <row r="4" spans="2:11" ht="13" x14ac:dyDescent="0.3">
      <c r="B4" s="39" t="s">
        <v>71</v>
      </c>
      <c r="C4" s="25"/>
      <c r="D4" s="24"/>
      <c r="E4" s="24"/>
      <c r="F4" s="24"/>
      <c r="G4" s="24"/>
      <c r="H4" s="24"/>
      <c r="I4" s="24"/>
      <c r="J4" s="24"/>
      <c r="K4" s="24"/>
    </row>
    <row r="5" spans="2:11" ht="13" x14ac:dyDescent="0.3">
      <c r="B5" s="40" t="s">
        <v>72</v>
      </c>
      <c r="C5" s="41" t="str">
        <f>+'Oferta Producto 1'!C5</f>
        <v>CP-CHCC2026-001</v>
      </c>
      <c r="D5" s="24"/>
      <c r="E5" s="24"/>
      <c r="F5" s="24"/>
      <c r="G5" s="24"/>
      <c r="H5" s="24"/>
      <c r="I5" s="24"/>
      <c r="J5" s="24"/>
      <c r="K5" s="24"/>
    </row>
    <row r="6" spans="2:11" ht="13" x14ac:dyDescent="0.3">
      <c r="B6" s="42" t="s">
        <v>49</v>
      </c>
      <c r="C6" s="41"/>
      <c r="D6" s="24"/>
      <c r="E6" s="24"/>
      <c r="F6" s="24"/>
      <c r="G6" s="24"/>
      <c r="H6" s="24"/>
      <c r="I6" s="24"/>
      <c r="J6" s="24"/>
      <c r="K6" s="24"/>
    </row>
    <row r="7" spans="2:11" ht="13" x14ac:dyDescent="0.3">
      <c r="B7" s="42" t="s">
        <v>50</v>
      </c>
      <c r="C7" s="42" t="s">
        <v>73</v>
      </c>
      <c r="D7" s="24"/>
      <c r="E7" s="24"/>
      <c r="F7" s="24"/>
      <c r="G7" s="24"/>
      <c r="H7" s="24"/>
      <c r="I7" s="24"/>
      <c r="J7" s="24"/>
      <c r="K7" s="24"/>
    </row>
    <row r="8" spans="2:11" ht="13" x14ac:dyDescent="0.3">
      <c r="B8" s="42" t="s">
        <v>51</v>
      </c>
      <c r="C8" s="41" t="s">
        <v>67</v>
      </c>
      <c r="D8" s="24"/>
      <c r="E8" s="24"/>
      <c r="F8" s="24"/>
      <c r="G8" s="24"/>
      <c r="H8" s="24"/>
      <c r="I8" s="24"/>
      <c r="J8" s="24"/>
      <c r="K8" s="24"/>
    </row>
    <row r="9" spans="2:11" ht="13" x14ac:dyDescent="0.3">
      <c r="B9" s="42" t="s">
        <v>52</v>
      </c>
      <c r="C9" s="26">
        <f>+'Oferta Producto 1'!C9</f>
        <v>46023</v>
      </c>
      <c r="D9" s="24"/>
      <c r="E9" s="24"/>
      <c r="F9" s="24"/>
      <c r="G9" s="24"/>
      <c r="H9" s="24"/>
      <c r="I9" s="24"/>
      <c r="J9" s="24"/>
      <c r="K9" s="24"/>
    </row>
    <row r="10" spans="2:11" ht="13" x14ac:dyDescent="0.3">
      <c r="B10" s="40" t="s">
        <v>53</v>
      </c>
      <c r="C10" s="27" t="s">
        <v>54</v>
      </c>
      <c r="D10" s="24"/>
      <c r="E10" s="24"/>
      <c r="F10" s="24"/>
      <c r="G10" s="24"/>
      <c r="H10" s="24"/>
      <c r="I10" s="24"/>
      <c r="J10" s="24"/>
      <c r="K10" s="24"/>
    </row>
    <row r="11" spans="2:11" ht="13" x14ac:dyDescent="0.3">
      <c r="B11" s="42" t="s">
        <v>55</v>
      </c>
      <c r="C11" s="27" t="s">
        <v>66</v>
      </c>
      <c r="D11" s="24"/>
      <c r="E11" s="24"/>
      <c r="F11" s="24"/>
      <c r="G11" s="24"/>
      <c r="H11" s="24"/>
      <c r="I11" s="24"/>
      <c r="J11" s="24"/>
      <c r="K11" s="24"/>
    </row>
    <row r="12" spans="2:11" ht="13" x14ac:dyDescent="0.3">
      <c r="B12" s="42" t="s">
        <v>56</v>
      </c>
      <c r="C12" s="27" t="s">
        <v>57</v>
      </c>
      <c r="D12" s="24"/>
      <c r="E12" s="24"/>
      <c r="F12" s="24"/>
      <c r="G12" s="24"/>
      <c r="H12" s="24"/>
      <c r="I12" s="24"/>
      <c r="J12" s="24"/>
      <c r="K12" s="24"/>
    </row>
    <row r="13" spans="2:11" x14ac:dyDescent="0.25">
      <c r="B13" s="24"/>
      <c r="C13" s="24"/>
      <c r="D13" s="24"/>
      <c r="E13" s="24"/>
      <c r="F13" s="24"/>
      <c r="G13" s="24"/>
      <c r="H13" s="24"/>
      <c r="I13" s="24"/>
      <c r="J13" s="24"/>
      <c r="K13" s="24"/>
    </row>
    <row r="14" spans="2:11" ht="26" x14ac:dyDescent="0.3">
      <c r="B14" s="43" t="s">
        <v>58</v>
      </c>
      <c r="C14" s="43" t="s">
        <v>59</v>
      </c>
      <c r="D14" s="44" t="s">
        <v>60</v>
      </c>
      <c r="E14" s="43" t="s">
        <v>61</v>
      </c>
      <c r="F14" s="43" t="s">
        <v>62</v>
      </c>
      <c r="G14" s="28"/>
      <c r="H14" s="28"/>
      <c r="I14" s="28"/>
      <c r="J14" s="24"/>
      <c r="K14" s="24"/>
    </row>
    <row r="15" spans="2:11" ht="13" x14ac:dyDescent="0.3">
      <c r="B15" s="43">
        <v>46388</v>
      </c>
      <c r="C15" s="68">
        <v>3720000</v>
      </c>
      <c r="D15" s="30"/>
      <c r="E15" s="31"/>
      <c r="F15" s="32"/>
      <c r="G15" s="28"/>
      <c r="H15" s="28"/>
      <c r="I15" s="28"/>
      <c r="J15" s="24"/>
      <c r="K15" s="24"/>
    </row>
    <row r="16" spans="2:11" ht="13" x14ac:dyDescent="0.3">
      <c r="B16" s="43">
        <v>46419</v>
      </c>
      <c r="C16" s="68">
        <v>3360000</v>
      </c>
      <c r="D16" s="30"/>
      <c r="E16" s="31"/>
      <c r="F16" s="32"/>
      <c r="G16" s="28"/>
      <c r="H16" s="28"/>
      <c r="I16" s="28"/>
      <c r="J16" s="24"/>
      <c r="K16" s="24"/>
    </row>
    <row r="17" spans="2:11" ht="13" x14ac:dyDescent="0.3">
      <c r="B17" s="43">
        <v>46447</v>
      </c>
      <c r="C17" s="68">
        <v>3720000</v>
      </c>
      <c r="D17" s="30"/>
      <c r="E17" s="31"/>
      <c r="F17" s="32"/>
      <c r="G17" s="28"/>
      <c r="H17" s="28"/>
      <c r="I17" s="28"/>
      <c r="J17" s="24"/>
      <c r="K17" s="24"/>
    </row>
    <row r="18" spans="2:11" ht="13" x14ac:dyDescent="0.3">
      <c r="B18" s="43">
        <v>46478</v>
      </c>
      <c r="C18" s="68">
        <v>3600000</v>
      </c>
      <c r="D18" s="30"/>
      <c r="E18" s="31"/>
      <c r="F18" s="32"/>
      <c r="G18" s="28"/>
      <c r="H18" s="28"/>
      <c r="I18" s="28"/>
      <c r="J18" s="24"/>
      <c r="K18" s="24"/>
    </row>
    <row r="19" spans="2:11" ht="13" x14ac:dyDescent="0.3">
      <c r="B19" s="43">
        <v>46508</v>
      </c>
      <c r="C19" s="68">
        <v>3720000</v>
      </c>
      <c r="D19" s="30"/>
      <c r="E19" s="31"/>
      <c r="F19" s="32"/>
      <c r="G19" s="28"/>
      <c r="H19" s="28"/>
      <c r="I19" s="28"/>
      <c r="J19" s="24"/>
      <c r="K19" s="24"/>
    </row>
    <row r="20" spans="2:11" ht="13" x14ac:dyDescent="0.3">
      <c r="B20" s="43">
        <v>46539</v>
      </c>
      <c r="C20" s="68">
        <v>3600000</v>
      </c>
      <c r="D20" s="30"/>
      <c r="E20" s="31"/>
      <c r="F20" s="32"/>
      <c r="G20" s="28"/>
      <c r="H20" s="28"/>
      <c r="I20" s="28"/>
      <c r="J20" s="24"/>
      <c r="K20" s="24"/>
    </row>
    <row r="21" spans="2:11" ht="13" x14ac:dyDescent="0.3">
      <c r="B21" s="43">
        <v>46569</v>
      </c>
      <c r="C21" s="68">
        <v>3720000</v>
      </c>
      <c r="D21" s="30"/>
      <c r="E21" s="31"/>
      <c r="F21" s="32"/>
      <c r="G21" s="28"/>
      <c r="H21" s="28"/>
      <c r="I21" s="28"/>
      <c r="J21" s="24"/>
      <c r="K21" s="24"/>
    </row>
    <row r="22" spans="2:11" ht="13" x14ac:dyDescent="0.3">
      <c r="B22" s="43">
        <v>46600</v>
      </c>
      <c r="C22" s="68">
        <v>3720000</v>
      </c>
      <c r="D22" s="30"/>
      <c r="E22" s="31"/>
      <c r="F22" s="32"/>
      <c r="G22" s="28"/>
      <c r="H22" s="28"/>
      <c r="I22" s="28"/>
      <c r="J22" s="24"/>
      <c r="K22" s="24"/>
    </row>
    <row r="23" spans="2:11" ht="13" x14ac:dyDescent="0.3">
      <c r="B23" s="43">
        <v>46631</v>
      </c>
      <c r="C23" s="68">
        <v>3600000</v>
      </c>
      <c r="D23" s="30"/>
      <c r="E23" s="31"/>
      <c r="F23" s="32"/>
      <c r="G23" s="28"/>
      <c r="H23" s="28"/>
      <c r="I23" s="28"/>
      <c r="J23" s="24"/>
      <c r="K23" s="24"/>
    </row>
    <row r="24" spans="2:11" ht="13" x14ac:dyDescent="0.3">
      <c r="B24" s="43">
        <v>46661</v>
      </c>
      <c r="C24" s="68">
        <v>3720000</v>
      </c>
      <c r="D24" s="30"/>
      <c r="E24" s="31"/>
      <c r="F24" s="32"/>
      <c r="G24" s="28"/>
      <c r="H24" s="28"/>
      <c r="I24" s="28"/>
      <c r="J24" s="24"/>
      <c r="K24" s="24"/>
    </row>
    <row r="25" spans="2:11" ht="13" x14ac:dyDescent="0.3">
      <c r="B25" s="43">
        <v>46692</v>
      </c>
      <c r="C25" s="68">
        <v>3600000</v>
      </c>
      <c r="D25" s="30"/>
      <c r="E25" s="31"/>
      <c r="F25" s="32"/>
      <c r="G25" s="28"/>
      <c r="H25" s="28"/>
      <c r="I25" s="28"/>
      <c r="J25" s="24"/>
      <c r="K25" s="24"/>
    </row>
    <row r="26" spans="2:11" ht="13" x14ac:dyDescent="0.3">
      <c r="B26" s="43">
        <v>46722</v>
      </c>
      <c r="C26" s="68">
        <v>3720000</v>
      </c>
      <c r="D26" s="30"/>
      <c r="E26" s="31"/>
      <c r="F26" s="32"/>
      <c r="G26" s="28"/>
      <c r="H26" s="28"/>
      <c r="I26" s="28"/>
      <c r="J26" s="24"/>
      <c r="K26" s="24"/>
    </row>
    <row r="27" spans="2:11" ht="13" x14ac:dyDescent="0.3">
      <c r="B27" s="83" t="s">
        <v>90</v>
      </c>
      <c r="C27" s="84">
        <f>SUM(C15:C26)</f>
        <v>43800000</v>
      </c>
      <c r="D27" s="30"/>
      <c r="E27" s="85"/>
      <c r="F27" s="32"/>
      <c r="G27" s="28"/>
      <c r="H27" s="28"/>
      <c r="I27" s="28"/>
      <c r="J27" s="24"/>
      <c r="K27" s="24"/>
    </row>
    <row r="28" spans="2:11" ht="13" x14ac:dyDescent="0.3">
      <c r="B28" s="43">
        <v>46753</v>
      </c>
      <c r="C28" s="68">
        <v>3720000</v>
      </c>
      <c r="D28" s="30"/>
      <c r="E28" s="31"/>
      <c r="F28" s="32"/>
      <c r="G28" s="28"/>
      <c r="H28" s="28"/>
      <c r="I28" s="28"/>
      <c r="J28" s="24"/>
      <c r="K28" s="24"/>
    </row>
    <row r="29" spans="2:11" ht="13" x14ac:dyDescent="0.3">
      <c r="B29" s="43">
        <v>46784</v>
      </c>
      <c r="C29" s="68">
        <v>3480000</v>
      </c>
      <c r="D29" s="30"/>
      <c r="E29" s="31"/>
      <c r="F29" s="32"/>
      <c r="G29" s="28"/>
      <c r="H29" s="28"/>
      <c r="I29" s="28"/>
      <c r="J29" s="24"/>
      <c r="K29" s="24"/>
    </row>
    <row r="30" spans="2:11" ht="13" x14ac:dyDescent="0.3">
      <c r="B30" s="43">
        <v>46813</v>
      </c>
      <c r="C30" s="68">
        <v>3720000</v>
      </c>
      <c r="D30" s="30"/>
      <c r="E30" s="31"/>
      <c r="F30" s="32"/>
      <c r="G30" s="28"/>
      <c r="H30" s="28"/>
      <c r="I30" s="28"/>
      <c r="J30" s="24"/>
      <c r="K30" s="24"/>
    </row>
    <row r="31" spans="2:11" ht="13" x14ac:dyDescent="0.3">
      <c r="B31" s="43">
        <v>46844</v>
      </c>
      <c r="C31" s="68">
        <v>3600000</v>
      </c>
      <c r="D31" s="30"/>
      <c r="E31" s="31"/>
      <c r="F31" s="32"/>
      <c r="G31" s="28"/>
      <c r="H31" s="28"/>
      <c r="I31" s="28"/>
      <c r="J31" s="24"/>
      <c r="K31" s="24"/>
    </row>
    <row r="32" spans="2:11" ht="13" x14ac:dyDescent="0.3">
      <c r="B32" s="43">
        <v>46874</v>
      </c>
      <c r="C32" s="68">
        <v>3720000</v>
      </c>
      <c r="D32" s="30"/>
      <c r="E32" s="31"/>
      <c r="F32" s="32"/>
      <c r="G32" s="28"/>
      <c r="H32" s="28"/>
      <c r="I32" s="28"/>
      <c r="J32" s="24"/>
      <c r="K32" s="24"/>
    </row>
    <row r="33" spans="2:11" ht="13" x14ac:dyDescent="0.3">
      <c r="B33" s="43">
        <v>46905</v>
      </c>
      <c r="C33" s="68">
        <v>3600000</v>
      </c>
      <c r="D33" s="30"/>
      <c r="E33" s="31"/>
      <c r="F33" s="32"/>
      <c r="G33" s="28"/>
      <c r="H33" s="28"/>
      <c r="I33" s="28"/>
      <c r="J33" s="24"/>
      <c r="K33" s="24"/>
    </row>
    <row r="34" spans="2:11" ht="13" x14ac:dyDescent="0.3">
      <c r="B34" s="43">
        <v>46935</v>
      </c>
      <c r="C34" s="68">
        <v>3720000</v>
      </c>
      <c r="D34" s="30"/>
      <c r="E34" s="31"/>
      <c r="F34" s="32"/>
      <c r="G34" s="28"/>
      <c r="H34" s="28"/>
      <c r="I34" s="28"/>
      <c r="J34" s="24"/>
      <c r="K34" s="24"/>
    </row>
    <row r="35" spans="2:11" ht="13" x14ac:dyDescent="0.3">
      <c r="B35" s="43">
        <v>46966</v>
      </c>
      <c r="C35" s="68">
        <v>3720000</v>
      </c>
      <c r="D35" s="30"/>
      <c r="E35" s="31"/>
      <c r="F35" s="32"/>
      <c r="G35" s="28"/>
      <c r="H35" s="28"/>
      <c r="I35" s="28"/>
      <c r="J35" s="24"/>
      <c r="K35" s="24"/>
    </row>
    <row r="36" spans="2:11" ht="13" x14ac:dyDescent="0.3">
      <c r="B36" s="43">
        <v>46997</v>
      </c>
      <c r="C36" s="68">
        <v>3600000</v>
      </c>
      <c r="D36" s="30"/>
      <c r="E36" s="31"/>
      <c r="F36" s="32"/>
      <c r="G36" s="28"/>
      <c r="H36" s="28"/>
      <c r="I36" s="28"/>
      <c r="J36" s="24"/>
      <c r="K36" s="24"/>
    </row>
    <row r="37" spans="2:11" ht="13" x14ac:dyDescent="0.3">
      <c r="B37" s="43">
        <v>47027</v>
      </c>
      <c r="C37" s="68">
        <v>3720000</v>
      </c>
      <c r="D37" s="30"/>
      <c r="E37" s="31"/>
      <c r="F37" s="32"/>
      <c r="G37" s="28"/>
      <c r="H37" s="28"/>
      <c r="I37" s="28"/>
      <c r="J37" s="24"/>
      <c r="K37" s="24"/>
    </row>
    <row r="38" spans="2:11" ht="13" x14ac:dyDescent="0.3">
      <c r="B38" s="43">
        <v>47058</v>
      </c>
      <c r="C38" s="68">
        <v>3600000</v>
      </c>
      <c r="D38" s="35"/>
      <c r="E38" s="34"/>
      <c r="F38" s="32"/>
      <c r="G38" s="28"/>
      <c r="H38" s="28"/>
      <c r="I38" s="28"/>
      <c r="J38" s="24"/>
      <c r="K38" s="24"/>
    </row>
    <row r="39" spans="2:11" ht="13" x14ac:dyDescent="0.3">
      <c r="B39" s="43">
        <v>47088</v>
      </c>
      <c r="C39" s="68">
        <v>3720000</v>
      </c>
      <c r="D39" s="64"/>
      <c r="E39" s="63"/>
      <c r="F39" s="65"/>
      <c r="G39" s="28"/>
      <c r="H39" s="28"/>
      <c r="I39" s="28"/>
      <c r="J39" s="24"/>
      <c r="K39" s="24"/>
    </row>
    <row r="40" spans="2:11" ht="13" x14ac:dyDescent="0.3">
      <c r="B40" s="83" t="s">
        <v>90</v>
      </c>
      <c r="C40" s="84">
        <f>SUM(C28:C39)</f>
        <v>43920000</v>
      </c>
      <c r="D40" s="30"/>
      <c r="E40" s="85"/>
      <c r="F40" s="32"/>
      <c r="G40" s="28"/>
      <c r="H40" s="28"/>
      <c r="I40" s="28"/>
      <c r="J40" s="24"/>
      <c r="K40" s="24"/>
    </row>
    <row r="41" spans="2:11" ht="13" x14ac:dyDescent="0.3">
      <c r="B41" s="43">
        <v>47119</v>
      </c>
      <c r="C41" s="68">
        <v>3720000</v>
      </c>
      <c r="D41" s="30"/>
      <c r="E41" s="31"/>
      <c r="F41" s="32"/>
      <c r="G41" s="28"/>
      <c r="H41" s="28"/>
      <c r="I41" s="28"/>
      <c r="J41" s="24"/>
      <c r="K41" s="24"/>
    </row>
    <row r="42" spans="2:11" ht="13" x14ac:dyDescent="0.3">
      <c r="B42" s="43">
        <v>47150</v>
      </c>
      <c r="C42" s="68">
        <v>3360000</v>
      </c>
      <c r="D42" s="30"/>
      <c r="E42" s="31"/>
      <c r="F42" s="32"/>
      <c r="G42" s="28"/>
      <c r="H42" s="28"/>
      <c r="I42" s="28"/>
      <c r="J42" s="24"/>
      <c r="K42" s="24"/>
    </row>
    <row r="43" spans="2:11" ht="13" x14ac:dyDescent="0.3">
      <c r="B43" s="43">
        <v>47178</v>
      </c>
      <c r="C43" s="68">
        <v>3720000</v>
      </c>
      <c r="D43" s="30"/>
      <c r="E43" s="31"/>
      <c r="F43" s="32"/>
      <c r="G43" s="28"/>
      <c r="H43" s="28"/>
      <c r="I43" s="28"/>
      <c r="J43" s="24"/>
      <c r="K43" s="24"/>
    </row>
    <row r="44" spans="2:11" ht="13" x14ac:dyDescent="0.3">
      <c r="B44" s="43">
        <v>47209</v>
      </c>
      <c r="C44" s="68">
        <v>3600000</v>
      </c>
      <c r="D44" s="30"/>
      <c r="E44" s="31"/>
      <c r="F44" s="32"/>
      <c r="G44" s="28"/>
      <c r="H44" s="28"/>
      <c r="I44" s="28"/>
      <c r="J44" s="24"/>
      <c r="K44" s="24"/>
    </row>
    <row r="45" spans="2:11" ht="13" x14ac:dyDescent="0.3">
      <c r="B45" s="43">
        <v>47239</v>
      </c>
      <c r="C45" s="68">
        <v>3720000</v>
      </c>
      <c r="D45" s="30"/>
      <c r="E45" s="31"/>
      <c r="F45" s="32"/>
      <c r="G45" s="28"/>
      <c r="H45" s="28"/>
      <c r="I45" s="28"/>
      <c r="J45" s="24"/>
      <c r="K45" s="24"/>
    </row>
    <row r="46" spans="2:11" ht="13" x14ac:dyDescent="0.3">
      <c r="B46" s="43">
        <v>47270</v>
      </c>
      <c r="C46" s="68">
        <v>3600000</v>
      </c>
      <c r="D46" s="30"/>
      <c r="E46" s="31"/>
      <c r="F46" s="32"/>
      <c r="G46" s="28"/>
      <c r="H46" s="28"/>
      <c r="I46" s="28"/>
      <c r="J46" s="24"/>
      <c r="K46" s="24"/>
    </row>
    <row r="47" spans="2:11" ht="13" x14ac:dyDescent="0.3">
      <c r="B47" s="43">
        <v>47300</v>
      </c>
      <c r="C47" s="68">
        <v>3720000</v>
      </c>
      <c r="D47" s="30"/>
      <c r="E47" s="31"/>
      <c r="F47" s="32"/>
      <c r="G47" s="28"/>
      <c r="H47" s="28"/>
      <c r="I47" s="28"/>
      <c r="J47" s="24"/>
      <c r="K47" s="24"/>
    </row>
    <row r="48" spans="2:11" ht="13" x14ac:dyDescent="0.3">
      <c r="B48" s="43">
        <v>47331</v>
      </c>
      <c r="C48" s="68">
        <v>3720000</v>
      </c>
      <c r="D48" s="30"/>
      <c r="E48" s="31"/>
      <c r="F48" s="32"/>
      <c r="G48" s="28"/>
      <c r="H48" s="28"/>
      <c r="I48" s="28"/>
      <c r="J48" s="24"/>
      <c r="K48" s="24"/>
    </row>
    <row r="49" spans="2:11" ht="13" x14ac:dyDescent="0.3">
      <c r="B49" s="43">
        <v>47362</v>
      </c>
      <c r="C49" s="68">
        <v>3600000</v>
      </c>
      <c r="D49" s="30"/>
      <c r="E49" s="31"/>
      <c r="F49" s="32"/>
      <c r="G49" s="28"/>
      <c r="H49" s="28"/>
      <c r="I49" s="28"/>
      <c r="J49" s="24"/>
      <c r="K49" s="24"/>
    </row>
    <row r="50" spans="2:11" ht="13" x14ac:dyDescent="0.3">
      <c r="B50" s="43">
        <v>47392</v>
      </c>
      <c r="C50" s="68">
        <v>3720000</v>
      </c>
      <c r="D50" s="30"/>
      <c r="E50" s="31"/>
      <c r="F50" s="32"/>
      <c r="G50" s="28"/>
      <c r="H50" s="28"/>
      <c r="I50" s="28"/>
      <c r="J50" s="24"/>
      <c r="K50" s="24"/>
    </row>
    <row r="51" spans="2:11" ht="13" x14ac:dyDescent="0.3">
      <c r="B51" s="43">
        <v>47423</v>
      </c>
      <c r="C51" s="68">
        <v>3600000</v>
      </c>
      <c r="D51" s="30"/>
      <c r="E51" s="31"/>
      <c r="F51" s="32"/>
      <c r="G51" s="28"/>
      <c r="H51" s="28"/>
      <c r="I51" s="28"/>
      <c r="J51" s="24"/>
      <c r="K51" s="24"/>
    </row>
    <row r="52" spans="2:11" ht="13" x14ac:dyDescent="0.3">
      <c r="B52" s="43">
        <v>47453</v>
      </c>
      <c r="C52" s="68">
        <v>3720000</v>
      </c>
      <c r="D52" s="30"/>
      <c r="E52" s="31"/>
      <c r="F52" s="32"/>
      <c r="G52" s="28"/>
      <c r="H52" s="28"/>
      <c r="I52" s="28"/>
      <c r="J52" s="24"/>
      <c r="K52" s="24"/>
    </row>
    <row r="53" spans="2:11" ht="13" x14ac:dyDescent="0.3">
      <c r="B53" s="83" t="s">
        <v>90</v>
      </c>
      <c r="C53" s="84">
        <f>SUM(C41:C52)</f>
        <v>43800000</v>
      </c>
      <c r="D53" s="30"/>
      <c r="E53" s="85"/>
      <c r="F53" s="32"/>
      <c r="G53" s="28"/>
      <c r="H53" s="28"/>
      <c r="I53" s="28"/>
      <c r="J53" s="24"/>
      <c r="K53" s="24"/>
    </row>
    <row r="54" spans="2:11" ht="13" x14ac:dyDescent="0.3">
      <c r="B54" s="43">
        <v>47484</v>
      </c>
      <c r="C54" s="68">
        <v>3720000</v>
      </c>
      <c r="D54" s="30"/>
      <c r="E54" s="31"/>
      <c r="F54" s="32"/>
      <c r="G54" s="28"/>
      <c r="H54" s="28"/>
      <c r="I54" s="28"/>
      <c r="J54" s="24"/>
      <c r="K54" s="24"/>
    </row>
    <row r="55" spans="2:11" ht="13" x14ac:dyDescent="0.3">
      <c r="B55" s="43">
        <v>47515</v>
      </c>
      <c r="C55" s="68">
        <v>3360000</v>
      </c>
      <c r="D55" s="30"/>
      <c r="E55" s="31"/>
      <c r="F55" s="32"/>
      <c r="G55" s="28"/>
      <c r="H55" s="28"/>
      <c r="I55" s="28"/>
      <c r="J55" s="24"/>
      <c r="K55" s="24"/>
    </row>
    <row r="56" spans="2:11" ht="13" x14ac:dyDescent="0.3">
      <c r="B56" s="43">
        <v>47543</v>
      </c>
      <c r="C56" s="68">
        <v>3720000</v>
      </c>
      <c r="D56" s="30"/>
      <c r="E56" s="31"/>
      <c r="F56" s="32"/>
      <c r="G56" s="28"/>
      <c r="H56" s="28"/>
      <c r="I56" s="28"/>
      <c r="J56" s="24"/>
      <c r="K56" s="24"/>
    </row>
    <row r="57" spans="2:11" ht="13" x14ac:dyDescent="0.3">
      <c r="B57" s="43">
        <v>47574</v>
      </c>
      <c r="C57" s="68">
        <v>3600000</v>
      </c>
      <c r="D57" s="30"/>
      <c r="E57" s="31"/>
      <c r="F57" s="32"/>
      <c r="G57" s="28"/>
      <c r="H57" s="28"/>
      <c r="I57" s="28"/>
      <c r="J57" s="24"/>
      <c r="K57" s="24"/>
    </row>
    <row r="58" spans="2:11" ht="13" x14ac:dyDescent="0.3">
      <c r="B58" s="43">
        <v>47604</v>
      </c>
      <c r="C58" s="68">
        <v>3720000</v>
      </c>
      <c r="D58" s="30"/>
      <c r="E58" s="31"/>
      <c r="F58" s="32"/>
      <c r="G58" s="28"/>
      <c r="H58" s="28"/>
      <c r="I58" s="28"/>
      <c r="J58" s="24"/>
      <c r="K58" s="24"/>
    </row>
    <row r="59" spans="2:11" ht="13" x14ac:dyDescent="0.3">
      <c r="B59" s="43">
        <v>47635</v>
      </c>
      <c r="C59" s="68">
        <v>3600000</v>
      </c>
      <c r="D59" s="30"/>
      <c r="E59" s="31"/>
      <c r="F59" s="32"/>
      <c r="G59" s="28"/>
      <c r="H59" s="28"/>
      <c r="I59" s="28"/>
      <c r="J59" s="24"/>
      <c r="K59" s="24"/>
    </row>
    <row r="60" spans="2:11" ht="13" x14ac:dyDescent="0.3">
      <c r="B60" s="43">
        <v>47665</v>
      </c>
      <c r="C60" s="68">
        <v>3720000</v>
      </c>
      <c r="D60" s="30"/>
      <c r="E60" s="31"/>
      <c r="F60" s="32"/>
      <c r="G60" s="28"/>
      <c r="H60" s="28"/>
      <c r="I60" s="28"/>
      <c r="J60" s="24"/>
      <c r="K60" s="24"/>
    </row>
    <row r="61" spans="2:11" ht="13" x14ac:dyDescent="0.3">
      <c r="B61" s="43">
        <v>47696</v>
      </c>
      <c r="C61" s="68">
        <v>3720000</v>
      </c>
      <c r="D61" s="30"/>
      <c r="E61" s="31"/>
      <c r="F61" s="32"/>
      <c r="G61" s="28"/>
      <c r="H61" s="28"/>
      <c r="I61" s="28"/>
      <c r="J61" s="24"/>
      <c r="K61" s="24"/>
    </row>
    <row r="62" spans="2:11" ht="13" x14ac:dyDescent="0.3">
      <c r="B62" s="43">
        <v>47727</v>
      </c>
      <c r="C62" s="68">
        <v>3600000</v>
      </c>
      <c r="D62" s="30"/>
      <c r="E62" s="31"/>
      <c r="F62" s="32"/>
      <c r="G62" s="28"/>
      <c r="H62" s="28"/>
      <c r="I62" s="28"/>
      <c r="J62" s="24"/>
      <c r="K62" s="24"/>
    </row>
    <row r="63" spans="2:11" ht="13" x14ac:dyDescent="0.3">
      <c r="B63" s="43">
        <v>47757</v>
      </c>
      <c r="C63" s="68">
        <v>3720000</v>
      </c>
      <c r="D63" s="30"/>
      <c r="E63" s="31"/>
      <c r="F63" s="32"/>
      <c r="G63" s="28"/>
      <c r="H63" s="28"/>
      <c r="I63" s="28"/>
      <c r="J63" s="24"/>
      <c r="K63" s="24"/>
    </row>
    <row r="64" spans="2:11" ht="13" x14ac:dyDescent="0.3">
      <c r="B64" s="43">
        <v>47788</v>
      </c>
      <c r="C64" s="68">
        <v>3600000</v>
      </c>
      <c r="D64" s="30"/>
      <c r="E64" s="31"/>
      <c r="F64" s="32"/>
      <c r="G64" s="28"/>
      <c r="H64" s="28"/>
      <c r="I64" s="28"/>
      <c r="J64" s="24"/>
      <c r="K64" s="24"/>
    </row>
    <row r="65" spans="2:11" ht="13" x14ac:dyDescent="0.3">
      <c r="B65" s="43">
        <v>47818</v>
      </c>
      <c r="C65" s="68">
        <v>3720000</v>
      </c>
      <c r="D65" s="30"/>
      <c r="E65" s="31"/>
      <c r="F65" s="32"/>
      <c r="G65" s="28"/>
      <c r="H65" s="28"/>
      <c r="I65" s="28"/>
      <c r="J65" s="24"/>
      <c r="K65" s="24"/>
    </row>
    <row r="66" spans="2:11" ht="13" x14ac:dyDescent="0.3">
      <c r="B66" s="83" t="s">
        <v>90</v>
      </c>
      <c r="C66" s="84">
        <f>SUM(C54:C65)</f>
        <v>43800000</v>
      </c>
      <c r="D66" s="30"/>
      <c r="E66" s="85"/>
      <c r="F66" s="32"/>
      <c r="G66" s="28"/>
      <c r="H66" s="28"/>
      <c r="I66" s="28"/>
      <c r="J66" s="24"/>
      <c r="K66" s="24"/>
    </row>
    <row r="67" spans="2:11" ht="13" x14ac:dyDescent="0.3">
      <c r="B67" s="43">
        <v>47849</v>
      </c>
      <c r="C67" s="68">
        <v>3720000</v>
      </c>
      <c r="D67" s="30"/>
      <c r="E67" s="31"/>
      <c r="F67" s="32"/>
      <c r="G67" s="28"/>
      <c r="H67" s="28"/>
      <c r="I67" s="28"/>
      <c r="J67" s="24"/>
      <c r="K67" s="24"/>
    </row>
    <row r="68" spans="2:11" ht="13" x14ac:dyDescent="0.3">
      <c r="B68" s="43">
        <v>47880</v>
      </c>
      <c r="C68" s="68">
        <v>3360000</v>
      </c>
      <c r="D68" s="30"/>
      <c r="E68" s="31"/>
      <c r="F68" s="32"/>
      <c r="G68" s="28"/>
      <c r="H68" s="28"/>
      <c r="I68" s="28"/>
      <c r="J68" s="24"/>
      <c r="K68" s="24"/>
    </row>
    <row r="69" spans="2:11" ht="13" x14ac:dyDescent="0.3">
      <c r="B69" s="43">
        <v>47908</v>
      </c>
      <c r="C69" s="68">
        <v>3720000</v>
      </c>
      <c r="D69" s="30"/>
      <c r="E69" s="31"/>
      <c r="F69" s="32"/>
      <c r="G69" s="28"/>
      <c r="H69" s="28"/>
      <c r="I69" s="28"/>
      <c r="J69" s="24"/>
      <c r="K69" s="24"/>
    </row>
    <row r="70" spans="2:11" ht="13" x14ac:dyDescent="0.3">
      <c r="B70" s="43">
        <v>47939</v>
      </c>
      <c r="C70" s="68">
        <v>3600000</v>
      </c>
      <c r="D70" s="30"/>
      <c r="E70" s="31"/>
      <c r="F70" s="32"/>
      <c r="G70" s="28"/>
      <c r="H70" s="28"/>
      <c r="I70" s="28"/>
      <c r="J70" s="24"/>
      <c r="K70" s="24"/>
    </row>
    <row r="71" spans="2:11" ht="13" x14ac:dyDescent="0.3">
      <c r="B71" s="43">
        <v>47969</v>
      </c>
      <c r="C71" s="68">
        <v>3720000</v>
      </c>
      <c r="D71" s="30"/>
      <c r="E71" s="31"/>
      <c r="F71" s="32"/>
      <c r="G71" s="28"/>
      <c r="H71" s="28"/>
      <c r="I71" s="28"/>
      <c r="J71" s="24"/>
      <c r="K71" s="24"/>
    </row>
    <row r="72" spans="2:11" ht="13" x14ac:dyDescent="0.3">
      <c r="B72" s="43">
        <v>48000</v>
      </c>
      <c r="C72" s="68">
        <v>3600000</v>
      </c>
      <c r="D72" s="30"/>
      <c r="E72" s="31"/>
      <c r="F72" s="32"/>
      <c r="G72" s="28"/>
      <c r="H72" s="28"/>
      <c r="I72" s="28"/>
      <c r="J72" s="24"/>
      <c r="K72" s="24"/>
    </row>
    <row r="73" spans="2:11" ht="13" x14ac:dyDescent="0.3">
      <c r="B73" s="43">
        <v>48030</v>
      </c>
      <c r="C73" s="68">
        <v>3720000</v>
      </c>
      <c r="D73" s="30"/>
      <c r="E73" s="31"/>
      <c r="F73" s="32"/>
      <c r="G73" s="28"/>
      <c r="H73" s="28"/>
      <c r="I73" s="28"/>
      <c r="J73" s="24"/>
      <c r="K73" s="24"/>
    </row>
    <row r="74" spans="2:11" ht="13" x14ac:dyDescent="0.3">
      <c r="B74" s="43">
        <v>48061</v>
      </c>
      <c r="C74" s="68">
        <v>3720000</v>
      </c>
      <c r="D74" s="30"/>
      <c r="E74" s="31"/>
      <c r="F74" s="32"/>
      <c r="G74" s="28"/>
      <c r="H74" s="28"/>
      <c r="I74" s="28"/>
      <c r="J74" s="24"/>
      <c r="K74" s="24"/>
    </row>
    <row r="75" spans="2:11" ht="13" x14ac:dyDescent="0.3">
      <c r="B75" s="43">
        <v>48092</v>
      </c>
      <c r="C75" s="68">
        <v>3600000</v>
      </c>
      <c r="D75" s="30"/>
      <c r="E75" s="31"/>
      <c r="F75" s="32"/>
      <c r="G75" s="28"/>
      <c r="H75" s="28"/>
      <c r="I75" s="28"/>
      <c r="J75" s="24"/>
      <c r="K75" s="24"/>
    </row>
    <row r="76" spans="2:11" ht="13" x14ac:dyDescent="0.3">
      <c r="B76" s="43">
        <v>48122</v>
      </c>
      <c r="C76" s="68">
        <v>3720000</v>
      </c>
      <c r="D76" s="30"/>
      <c r="E76" s="31"/>
      <c r="F76" s="32"/>
      <c r="G76" s="33"/>
      <c r="H76" s="24"/>
      <c r="I76" s="24"/>
      <c r="J76" s="24"/>
      <c r="K76" s="24"/>
    </row>
    <row r="77" spans="2:11" ht="13" x14ac:dyDescent="0.3">
      <c r="B77" s="43">
        <v>48153</v>
      </c>
      <c r="C77" s="68">
        <v>3600000</v>
      </c>
      <c r="D77" s="35"/>
      <c r="E77" s="34"/>
      <c r="F77" s="32"/>
      <c r="G77" s="33"/>
      <c r="H77" s="24"/>
      <c r="I77" s="24"/>
      <c r="J77" s="24"/>
      <c r="K77" s="24"/>
    </row>
    <row r="78" spans="2:11" ht="13" x14ac:dyDescent="0.3">
      <c r="B78" s="43">
        <v>48183</v>
      </c>
      <c r="C78" s="68">
        <v>3720000</v>
      </c>
      <c r="D78" s="35"/>
      <c r="E78" s="34"/>
      <c r="F78" s="32"/>
      <c r="G78" s="45"/>
      <c r="H78" s="45"/>
      <c r="I78" s="45"/>
      <c r="J78" s="45"/>
      <c r="K78" s="45"/>
    </row>
    <row r="79" spans="2:11" ht="13" x14ac:dyDescent="0.3">
      <c r="B79" s="83" t="s">
        <v>90</v>
      </c>
      <c r="C79" s="84">
        <f>SUM(C67:C78)</f>
        <v>43800000</v>
      </c>
      <c r="D79" s="35" t="s">
        <v>63</v>
      </c>
      <c r="E79" s="86"/>
      <c r="F79" s="32"/>
      <c r="G79" s="48"/>
      <c r="H79" s="48"/>
      <c r="I79" s="45"/>
      <c r="J79" s="45"/>
      <c r="K79" s="45"/>
    </row>
    <row r="80" spans="2:11" ht="13" x14ac:dyDescent="0.3">
      <c r="B80" s="81"/>
      <c r="C80" s="82"/>
      <c r="D80" s="87"/>
      <c r="E80" s="88"/>
      <c r="F80" s="89"/>
      <c r="G80" s="48"/>
      <c r="H80" s="48"/>
      <c r="I80" s="45"/>
      <c r="J80" s="45"/>
      <c r="K80" s="45"/>
    </row>
    <row r="81" spans="2:11" ht="13" x14ac:dyDescent="0.25">
      <c r="B81" s="62"/>
      <c r="C81" s="63"/>
      <c r="D81" s="48"/>
      <c r="E81" s="48"/>
      <c r="F81" s="48"/>
      <c r="G81" s="49"/>
      <c r="H81" s="49"/>
      <c r="I81" s="45"/>
      <c r="J81" s="45"/>
      <c r="K81" s="45"/>
    </row>
    <row r="82" spans="2:11" ht="13" x14ac:dyDescent="0.25">
      <c r="B82" s="45" t="s">
        <v>64</v>
      </c>
      <c r="C82" s="46"/>
      <c r="D82" s="49"/>
      <c r="E82" s="49"/>
      <c r="F82" s="49"/>
      <c r="G82" s="49"/>
      <c r="H82" s="49"/>
      <c r="I82" s="45"/>
      <c r="J82" s="45"/>
      <c r="K82" s="45"/>
    </row>
    <row r="83" spans="2:11" ht="16.5" x14ac:dyDescent="0.25">
      <c r="B83" s="69" t="s">
        <v>84</v>
      </c>
      <c r="C83" s="48"/>
      <c r="D83" s="49"/>
      <c r="E83" s="49"/>
      <c r="F83" s="49"/>
      <c r="G83" s="24"/>
      <c r="H83" s="24"/>
      <c r="I83" s="46"/>
      <c r="J83" s="46"/>
      <c r="K83" s="46"/>
    </row>
    <row r="84" spans="2:11" ht="16.5" x14ac:dyDescent="0.25">
      <c r="B84" s="69" t="s">
        <v>89</v>
      </c>
      <c r="C84" s="49"/>
      <c r="D84" s="24"/>
      <c r="E84" s="24"/>
      <c r="F84" s="24"/>
      <c r="I84" s="46"/>
      <c r="J84" s="46"/>
      <c r="K84" s="46"/>
    </row>
    <row r="85" spans="2:11" ht="16.5" x14ac:dyDescent="0.25">
      <c r="B85" s="69" t="s">
        <v>85</v>
      </c>
      <c r="C85" s="49"/>
      <c r="I85" s="46"/>
      <c r="J85" s="46"/>
      <c r="K85" s="46"/>
    </row>
    <row r="86" spans="2:11" ht="16.5" x14ac:dyDescent="0.25">
      <c r="B86" s="69" t="s">
        <v>86</v>
      </c>
      <c r="C86" s="24"/>
      <c r="G86" s="46"/>
      <c r="H86" s="46"/>
      <c r="I86" s="46"/>
      <c r="J86" s="46"/>
      <c r="K86" s="46"/>
    </row>
    <row r="87" spans="2:11" ht="16.5" x14ac:dyDescent="0.25">
      <c r="B87" s="69" t="s">
        <v>88</v>
      </c>
      <c r="D87" s="49"/>
      <c r="E87" s="46"/>
      <c r="F87" s="46"/>
      <c r="G87" s="46"/>
      <c r="H87" s="46"/>
      <c r="I87" s="46"/>
      <c r="J87" s="46"/>
      <c r="K87" s="46"/>
    </row>
    <row r="88" spans="2:11" ht="16.5" x14ac:dyDescent="0.25">
      <c r="B88" s="69" t="s">
        <v>87</v>
      </c>
      <c r="C88" s="50"/>
      <c r="D88" s="24"/>
      <c r="E88" s="46"/>
      <c r="F88" s="46"/>
      <c r="G88" s="48"/>
      <c r="H88" s="48"/>
      <c r="I88" s="48"/>
      <c r="J88" s="48"/>
      <c r="K88" s="48"/>
    </row>
    <row r="89" spans="2:11" x14ac:dyDescent="0.25">
      <c r="B89" s="47"/>
      <c r="C89" s="24"/>
      <c r="E89" s="48"/>
      <c r="F89" s="48"/>
      <c r="G89" s="49"/>
      <c r="H89" s="49"/>
      <c r="I89" s="46"/>
      <c r="J89" s="46"/>
      <c r="K89" s="46"/>
    </row>
    <row r="90" spans="2:11" x14ac:dyDescent="0.25">
      <c r="B90" s="47"/>
      <c r="C90" s="24"/>
      <c r="D90" s="49"/>
      <c r="E90" s="49"/>
      <c r="F90" s="49"/>
      <c r="G90" s="49"/>
      <c r="H90" s="49"/>
      <c r="I90" s="49"/>
      <c r="J90" s="46"/>
      <c r="K90" s="46"/>
    </row>
    <row r="91" spans="2:11" x14ac:dyDescent="0.25">
      <c r="B91" s="47"/>
      <c r="D91" s="49"/>
      <c r="E91" s="49"/>
      <c r="F91" s="49"/>
      <c r="G91" s="24"/>
      <c r="H91" s="24"/>
      <c r="I91" s="24"/>
      <c r="J91" s="24"/>
      <c r="K91" s="24"/>
    </row>
    <row r="92" spans="2:11" ht="13" x14ac:dyDescent="0.3">
      <c r="B92" s="57"/>
      <c r="C92" s="49"/>
      <c r="D92" s="55"/>
      <c r="E92" s="24"/>
      <c r="F92" s="24"/>
      <c r="G92" s="24"/>
      <c r="H92" s="24"/>
      <c r="I92" s="24"/>
      <c r="J92" s="24"/>
      <c r="K92" s="24"/>
    </row>
    <row r="93" spans="2:11" ht="13" thickBot="1" x14ac:dyDescent="0.3">
      <c r="B93" s="51"/>
      <c r="C93" s="49"/>
      <c r="D93" s="24"/>
      <c r="E93" s="24"/>
      <c r="F93" s="24"/>
      <c r="G93" s="24"/>
      <c r="H93" s="24"/>
      <c r="I93" s="24"/>
      <c r="J93" s="24"/>
      <c r="K93" s="24"/>
    </row>
    <row r="94" spans="2:11" ht="13" x14ac:dyDescent="0.25">
      <c r="B94" s="52" t="s">
        <v>69</v>
      </c>
      <c r="C94" s="24"/>
      <c r="D94" s="24"/>
      <c r="E94" s="24"/>
      <c r="F94" s="24"/>
      <c r="G94" s="24"/>
      <c r="H94" s="24"/>
      <c r="I94" s="24"/>
      <c r="J94" s="24"/>
      <c r="K94" s="24"/>
    </row>
    <row r="95" spans="2:11" x14ac:dyDescent="0.25">
      <c r="B95" s="24"/>
      <c r="C95" s="56"/>
      <c r="D95" s="24"/>
      <c r="E95" s="24"/>
      <c r="F95" s="24"/>
    </row>
    <row r="96" spans="2:11" x14ac:dyDescent="0.25">
      <c r="B96" s="24"/>
      <c r="C96" s="24"/>
    </row>
    <row r="97" spans="2:3" x14ac:dyDescent="0.25">
      <c r="B97" s="24"/>
      <c r="C97" s="24"/>
    </row>
  </sheetData>
  <phoneticPr fontId="15" type="noConversion"/>
  <pageMargins left="0.7" right="0.7" top="0.75" bottom="0.75" header="0.3" footer="0.3"/>
  <pageSetup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0831E6-6327-4476-8FBA-8E7DDB215757}">
  <dimension ref="B1:BF62"/>
  <sheetViews>
    <sheetView showGridLines="0" topLeftCell="J18" zoomScale="70" zoomScaleNormal="70" workbookViewId="0">
      <selection activeCell="A5" sqref="A5:AD56"/>
    </sheetView>
  </sheetViews>
  <sheetFormatPr baseColWidth="10" defaultColWidth="11.453125" defaultRowHeight="12.5" x14ac:dyDescent="0.25"/>
  <cols>
    <col min="1" max="1" width="3" style="1" customWidth="1"/>
    <col min="2" max="2" width="4.7265625" style="1" bestFit="1" customWidth="1"/>
    <col min="3" max="3" width="9.1796875" style="1" bestFit="1" customWidth="1"/>
    <col min="4" max="4" width="4.7265625" style="1" bestFit="1" customWidth="1"/>
    <col min="5" max="28" width="10.26953125" style="1" bestFit="1" customWidth="1"/>
    <col min="29" max="29" width="17" style="1" customWidth="1"/>
    <col min="30" max="30" width="2.26953125" style="1" customWidth="1"/>
    <col min="31" max="31" width="14.7265625" style="1" bestFit="1" customWidth="1"/>
    <col min="32" max="257" width="11.453125" style="1"/>
    <col min="258" max="258" width="7" style="1" customWidth="1"/>
    <col min="259" max="259" width="10.7265625" style="1" customWidth="1"/>
    <col min="260" max="260" width="9.26953125" style="1" customWidth="1"/>
    <col min="261" max="284" width="7.26953125" style="1" customWidth="1"/>
    <col min="285" max="285" width="11.26953125" style="1" bestFit="1" customWidth="1"/>
    <col min="286" max="513" width="11.453125" style="1"/>
    <col min="514" max="514" width="7" style="1" customWidth="1"/>
    <col min="515" max="515" width="10.7265625" style="1" customWidth="1"/>
    <col min="516" max="516" width="9.26953125" style="1" customWidth="1"/>
    <col min="517" max="540" width="7.26953125" style="1" customWidth="1"/>
    <col min="541" max="541" width="11.26953125" style="1" bestFit="1" customWidth="1"/>
    <col min="542" max="769" width="11.453125" style="1"/>
    <col min="770" max="770" width="7" style="1" customWidth="1"/>
    <col min="771" max="771" width="10.7265625" style="1" customWidth="1"/>
    <col min="772" max="772" width="9.26953125" style="1" customWidth="1"/>
    <col min="773" max="796" width="7.26953125" style="1" customWidth="1"/>
    <col min="797" max="797" width="11.26953125" style="1" bestFit="1" customWidth="1"/>
    <col min="798" max="1025" width="11.453125" style="1"/>
    <col min="1026" max="1026" width="7" style="1" customWidth="1"/>
    <col min="1027" max="1027" width="10.7265625" style="1" customWidth="1"/>
    <col min="1028" max="1028" width="9.26953125" style="1" customWidth="1"/>
    <col min="1029" max="1052" width="7.26953125" style="1" customWidth="1"/>
    <col min="1053" max="1053" width="11.26953125" style="1" bestFit="1" customWidth="1"/>
    <col min="1054" max="1281" width="11.453125" style="1"/>
    <col min="1282" max="1282" width="7" style="1" customWidth="1"/>
    <col min="1283" max="1283" width="10.7265625" style="1" customWidth="1"/>
    <col min="1284" max="1284" width="9.26953125" style="1" customWidth="1"/>
    <col min="1285" max="1308" width="7.26953125" style="1" customWidth="1"/>
    <col min="1309" max="1309" width="11.26953125" style="1" bestFit="1" customWidth="1"/>
    <col min="1310" max="1537" width="11.453125" style="1"/>
    <col min="1538" max="1538" width="7" style="1" customWidth="1"/>
    <col min="1539" max="1539" width="10.7265625" style="1" customWidth="1"/>
    <col min="1540" max="1540" width="9.26953125" style="1" customWidth="1"/>
    <col min="1541" max="1564" width="7.26953125" style="1" customWidth="1"/>
    <col min="1565" max="1565" width="11.26953125" style="1" bestFit="1" customWidth="1"/>
    <col min="1566" max="1793" width="11.453125" style="1"/>
    <col min="1794" max="1794" width="7" style="1" customWidth="1"/>
    <col min="1795" max="1795" width="10.7265625" style="1" customWidth="1"/>
    <col min="1796" max="1796" width="9.26953125" style="1" customWidth="1"/>
    <col min="1797" max="1820" width="7.26953125" style="1" customWidth="1"/>
    <col min="1821" max="1821" width="11.26953125" style="1" bestFit="1" customWidth="1"/>
    <col min="1822" max="2049" width="11.453125" style="1"/>
    <col min="2050" max="2050" width="7" style="1" customWidth="1"/>
    <col min="2051" max="2051" width="10.7265625" style="1" customWidth="1"/>
    <col min="2052" max="2052" width="9.26953125" style="1" customWidth="1"/>
    <col min="2053" max="2076" width="7.26953125" style="1" customWidth="1"/>
    <col min="2077" max="2077" width="11.26953125" style="1" bestFit="1" customWidth="1"/>
    <col min="2078" max="2305" width="11.453125" style="1"/>
    <col min="2306" max="2306" width="7" style="1" customWidth="1"/>
    <col min="2307" max="2307" width="10.7265625" style="1" customWidth="1"/>
    <col min="2308" max="2308" width="9.26953125" style="1" customWidth="1"/>
    <col min="2309" max="2332" width="7.26953125" style="1" customWidth="1"/>
    <col min="2333" max="2333" width="11.26953125" style="1" bestFit="1" customWidth="1"/>
    <col min="2334" max="2561" width="11.453125" style="1"/>
    <col min="2562" max="2562" width="7" style="1" customWidth="1"/>
    <col min="2563" max="2563" width="10.7265625" style="1" customWidth="1"/>
    <col min="2564" max="2564" width="9.26953125" style="1" customWidth="1"/>
    <col min="2565" max="2588" width="7.26953125" style="1" customWidth="1"/>
    <col min="2589" max="2589" width="11.26953125" style="1" bestFit="1" customWidth="1"/>
    <col min="2590" max="2817" width="11.453125" style="1"/>
    <col min="2818" max="2818" width="7" style="1" customWidth="1"/>
    <col min="2819" max="2819" width="10.7265625" style="1" customWidth="1"/>
    <col min="2820" max="2820" width="9.26953125" style="1" customWidth="1"/>
    <col min="2821" max="2844" width="7.26953125" style="1" customWidth="1"/>
    <col min="2845" max="2845" width="11.26953125" style="1" bestFit="1" customWidth="1"/>
    <col min="2846" max="3073" width="11.453125" style="1"/>
    <col min="3074" max="3074" width="7" style="1" customWidth="1"/>
    <col min="3075" max="3075" width="10.7265625" style="1" customWidth="1"/>
    <col min="3076" max="3076" width="9.26953125" style="1" customWidth="1"/>
    <col min="3077" max="3100" width="7.26953125" style="1" customWidth="1"/>
    <col min="3101" max="3101" width="11.26953125" style="1" bestFit="1" customWidth="1"/>
    <col min="3102" max="3329" width="11.453125" style="1"/>
    <col min="3330" max="3330" width="7" style="1" customWidth="1"/>
    <col min="3331" max="3331" width="10.7265625" style="1" customWidth="1"/>
    <col min="3332" max="3332" width="9.26953125" style="1" customWidth="1"/>
    <col min="3333" max="3356" width="7.26953125" style="1" customWidth="1"/>
    <col min="3357" max="3357" width="11.26953125" style="1" bestFit="1" customWidth="1"/>
    <col min="3358" max="3585" width="11.453125" style="1"/>
    <col min="3586" max="3586" width="7" style="1" customWidth="1"/>
    <col min="3587" max="3587" width="10.7265625" style="1" customWidth="1"/>
    <col min="3588" max="3588" width="9.26953125" style="1" customWidth="1"/>
    <col min="3589" max="3612" width="7.26953125" style="1" customWidth="1"/>
    <col min="3613" max="3613" width="11.26953125" style="1" bestFit="1" customWidth="1"/>
    <col min="3614" max="3841" width="11.453125" style="1"/>
    <col min="3842" max="3842" width="7" style="1" customWidth="1"/>
    <col min="3843" max="3843" width="10.7265625" style="1" customWidth="1"/>
    <col min="3844" max="3844" width="9.26953125" style="1" customWidth="1"/>
    <col min="3845" max="3868" width="7.26953125" style="1" customWidth="1"/>
    <col min="3869" max="3869" width="11.26953125" style="1" bestFit="1" customWidth="1"/>
    <col min="3870" max="4097" width="11.453125" style="1"/>
    <col min="4098" max="4098" width="7" style="1" customWidth="1"/>
    <col min="4099" max="4099" width="10.7265625" style="1" customWidth="1"/>
    <col min="4100" max="4100" width="9.26953125" style="1" customWidth="1"/>
    <col min="4101" max="4124" width="7.26953125" style="1" customWidth="1"/>
    <col min="4125" max="4125" width="11.26953125" style="1" bestFit="1" customWidth="1"/>
    <col min="4126" max="4353" width="11.453125" style="1"/>
    <col min="4354" max="4354" width="7" style="1" customWidth="1"/>
    <col min="4355" max="4355" width="10.7265625" style="1" customWidth="1"/>
    <col min="4356" max="4356" width="9.26953125" style="1" customWidth="1"/>
    <col min="4357" max="4380" width="7.26953125" style="1" customWidth="1"/>
    <col min="4381" max="4381" width="11.26953125" style="1" bestFit="1" customWidth="1"/>
    <col min="4382" max="4609" width="11.453125" style="1"/>
    <col min="4610" max="4610" width="7" style="1" customWidth="1"/>
    <col min="4611" max="4611" width="10.7265625" style="1" customWidth="1"/>
    <col min="4612" max="4612" width="9.26953125" style="1" customWidth="1"/>
    <col min="4613" max="4636" width="7.26953125" style="1" customWidth="1"/>
    <col min="4637" max="4637" width="11.26953125" style="1" bestFit="1" customWidth="1"/>
    <col min="4638" max="4865" width="11.453125" style="1"/>
    <col min="4866" max="4866" width="7" style="1" customWidth="1"/>
    <col min="4867" max="4867" width="10.7265625" style="1" customWidth="1"/>
    <col min="4868" max="4868" width="9.26953125" style="1" customWidth="1"/>
    <col min="4869" max="4892" width="7.26953125" style="1" customWidth="1"/>
    <col min="4893" max="4893" width="11.26953125" style="1" bestFit="1" customWidth="1"/>
    <col min="4894" max="5121" width="11.453125" style="1"/>
    <col min="5122" max="5122" width="7" style="1" customWidth="1"/>
    <col min="5123" max="5123" width="10.7265625" style="1" customWidth="1"/>
    <col min="5124" max="5124" width="9.26953125" style="1" customWidth="1"/>
    <col min="5125" max="5148" width="7.26953125" style="1" customWidth="1"/>
    <col min="5149" max="5149" width="11.26953125" style="1" bestFit="1" customWidth="1"/>
    <col min="5150" max="5377" width="11.453125" style="1"/>
    <col min="5378" max="5378" width="7" style="1" customWidth="1"/>
    <col min="5379" max="5379" width="10.7265625" style="1" customWidth="1"/>
    <col min="5380" max="5380" width="9.26953125" style="1" customWidth="1"/>
    <col min="5381" max="5404" width="7.26953125" style="1" customWidth="1"/>
    <col min="5405" max="5405" width="11.26953125" style="1" bestFit="1" customWidth="1"/>
    <col min="5406" max="5633" width="11.453125" style="1"/>
    <col min="5634" max="5634" width="7" style="1" customWidth="1"/>
    <col min="5635" max="5635" width="10.7265625" style="1" customWidth="1"/>
    <col min="5636" max="5636" width="9.26953125" style="1" customWidth="1"/>
    <col min="5637" max="5660" width="7.26953125" style="1" customWidth="1"/>
    <col min="5661" max="5661" width="11.26953125" style="1" bestFit="1" customWidth="1"/>
    <col min="5662" max="5889" width="11.453125" style="1"/>
    <col min="5890" max="5890" width="7" style="1" customWidth="1"/>
    <col min="5891" max="5891" width="10.7265625" style="1" customWidth="1"/>
    <col min="5892" max="5892" width="9.26953125" style="1" customWidth="1"/>
    <col min="5893" max="5916" width="7.26953125" style="1" customWidth="1"/>
    <col min="5917" max="5917" width="11.26953125" style="1" bestFit="1" customWidth="1"/>
    <col min="5918" max="6145" width="11.453125" style="1"/>
    <col min="6146" max="6146" width="7" style="1" customWidth="1"/>
    <col min="6147" max="6147" width="10.7265625" style="1" customWidth="1"/>
    <col min="6148" max="6148" width="9.26953125" style="1" customWidth="1"/>
    <col min="6149" max="6172" width="7.26953125" style="1" customWidth="1"/>
    <col min="6173" max="6173" width="11.26953125" style="1" bestFit="1" customWidth="1"/>
    <col min="6174" max="6401" width="11.453125" style="1"/>
    <col min="6402" max="6402" width="7" style="1" customWidth="1"/>
    <col min="6403" max="6403" width="10.7265625" style="1" customWidth="1"/>
    <col min="6404" max="6404" width="9.26953125" style="1" customWidth="1"/>
    <col min="6405" max="6428" width="7.26953125" style="1" customWidth="1"/>
    <col min="6429" max="6429" width="11.26953125" style="1" bestFit="1" customWidth="1"/>
    <col min="6430" max="6657" width="11.453125" style="1"/>
    <col min="6658" max="6658" width="7" style="1" customWidth="1"/>
    <col min="6659" max="6659" width="10.7265625" style="1" customWidth="1"/>
    <col min="6660" max="6660" width="9.26953125" style="1" customWidth="1"/>
    <col min="6661" max="6684" width="7.26953125" style="1" customWidth="1"/>
    <col min="6685" max="6685" width="11.26953125" style="1" bestFit="1" customWidth="1"/>
    <col min="6686" max="6913" width="11.453125" style="1"/>
    <col min="6914" max="6914" width="7" style="1" customWidth="1"/>
    <col min="6915" max="6915" width="10.7265625" style="1" customWidth="1"/>
    <col min="6916" max="6916" width="9.26953125" style="1" customWidth="1"/>
    <col min="6917" max="6940" width="7.26953125" style="1" customWidth="1"/>
    <col min="6941" max="6941" width="11.26953125" style="1" bestFit="1" customWidth="1"/>
    <col min="6942" max="7169" width="11.453125" style="1"/>
    <col min="7170" max="7170" width="7" style="1" customWidth="1"/>
    <col min="7171" max="7171" width="10.7265625" style="1" customWidth="1"/>
    <col min="7172" max="7172" width="9.26953125" style="1" customWidth="1"/>
    <col min="7173" max="7196" width="7.26953125" style="1" customWidth="1"/>
    <col min="7197" max="7197" width="11.26953125" style="1" bestFit="1" customWidth="1"/>
    <col min="7198" max="7425" width="11.453125" style="1"/>
    <col min="7426" max="7426" width="7" style="1" customWidth="1"/>
    <col min="7427" max="7427" width="10.7265625" style="1" customWidth="1"/>
    <col min="7428" max="7428" width="9.26953125" style="1" customWidth="1"/>
    <col min="7429" max="7452" width="7.26953125" style="1" customWidth="1"/>
    <col min="7453" max="7453" width="11.26953125" style="1" bestFit="1" customWidth="1"/>
    <col min="7454" max="7681" width="11.453125" style="1"/>
    <col min="7682" max="7682" width="7" style="1" customWidth="1"/>
    <col min="7683" max="7683" width="10.7265625" style="1" customWidth="1"/>
    <col min="7684" max="7684" width="9.26953125" style="1" customWidth="1"/>
    <col min="7685" max="7708" width="7.26953125" style="1" customWidth="1"/>
    <col min="7709" max="7709" width="11.26953125" style="1" bestFit="1" customWidth="1"/>
    <col min="7710" max="7937" width="11.453125" style="1"/>
    <col min="7938" max="7938" width="7" style="1" customWidth="1"/>
    <col min="7939" max="7939" width="10.7265625" style="1" customWidth="1"/>
    <col min="7940" max="7940" width="9.26953125" style="1" customWidth="1"/>
    <col min="7941" max="7964" width="7.26953125" style="1" customWidth="1"/>
    <col min="7965" max="7965" width="11.26953125" style="1" bestFit="1" customWidth="1"/>
    <col min="7966" max="8193" width="11.453125" style="1"/>
    <col min="8194" max="8194" width="7" style="1" customWidth="1"/>
    <col min="8195" max="8195" width="10.7265625" style="1" customWidth="1"/>
    <col min="8196" max="8196" width="9.26953125" style="1" customWidth="1"/>
    <col min="8197" max="8220" width="7.26953125" style="1" customWidth="1"/>
    <col min="8221" max="8221" width="11.26953125" style="1" bestFit="1" customWidth="1"/>
    <col min="8222" max="8449" width="11.453125" style="1"/>
    <col min="8450" max="8450" width="7" style="1" customWidth="1"/>
    <col min="8451" max="8451" width="10.7265625" style="1" customWidth="1"/>
    <col min="8452" max="8452" width="9.26953125" style="1" customWidth="1"/>
    <col min="8453" max="8476" width="7.26953125" style="1" customWidth="1"/>
    <col min="8477" max="8477" width="11.26953125" style="1" bestFit="1" customWidth="1"/>
    <col min="8478" max="8705" width="11.453125" style="1"/>
    <col min="8706" max="8706" width="7" style="1" customWidth="1"/>
    <col min="8707" max="8707" width="10.7265625" style="1" customWidth="1"/>
    <col min="8708" max="8708" width="9.26953125" style="1" customWidth="1"/>
    <col min="8709" max="8732" width="7.26953125" style="1" customWidth="1"/>
    <col min="8733" max="8733" width="11.26953125" style="1" bestFit="1" customWidth="1"/>
    <col min="8734" max="8961" width="11.453125" style="1"/>
    <col min="8962" max="8962" width="7" style="1" customWidth="1"/>
    <col min="8963" max="8963" width="10.7265625" style="1" customWidth="1"/>
    <col min="8964" max="8964" width="9.26953125" style="1" customWidth="1"/>
    <col min="8965" max="8988" width="7.26953125" style="1" customWidth="1"/>
    <col min="8989" max="8989" width="11.26953125" style="1" bestFit="1" customWidth="1"/>
    <col min="8990" max="9217" width="11.453125" style="1"/>
    <col min="9218" max="9218" width="7" style="1" customWidth="1"/>
    <col min="9219" max="9219" width="10.7265625" style="1" customWidth="1"/>
    <col min="9220" max="9220" width="9.26953125" style="1" customWidth="1"/>
    <col min="9221" max="9244" width="7.26953125" style="1" customWidth="1"/>
    <col min="9245" max="9245" width="11.26953125" style="1" bestFit="1" customWidth="1"/>
    <col min="9246" max="9473" width="11.453125" style="1"/>
    <col min="9474" max="9474" width="7" style="1" customWidth="1"/>
    <col min="9475" max="9475" width="10.7265625" style="1" customWidth="1"/>
    <col min="9476" max="9476" width="9.26953125" style="1" customWidth="1"/>
    <col min="9477" max="9500" width="7.26953125" style="1" customWidth="1"/>
    <col min="9501" max="9501" width="11.26953125" style="1" bestFit="1" customWidth="1"/>
    <col min="9502" max="9729" width="11.453125" style="1"/>
    <col min="9730" max="9730" width="7" style="1" customWidth="1"/>
    <col min="9731" max="9731" width="10.7265625" style="1" customWidth="1"/>
    <col min="9732" max="9732" width="9.26953125" style="1" customWidth="1"/>
    <col min="9733" max="9756" width="7.26953125" style="1" customWidth="1"/>
    <col min="9757" max="9757" width="11.26953125" style="1" bestFit="1" customWidth="1"/>
    <col min="9758" max="9985" width="11.453125" style="1"/>
    <col min="9986" max="9986" width="7" style="1" customWidth="1"/>
    <col min="9987" max="9987" width="10.7265625" style="1" customWidth="1"/>
    <col min="9988" max="9988" width="9.26953125" style="1" customWidth="1"/>
    <col min="9989" max="10012" width="7.26953125" style="1" customWidth="1"/>
    <col min="10013" max="10013" width="11.26953125" style="1" bestFit="1" customWidth="1"/>
    <col min="10014" max="10241" width="11.453125" style="1"/>
    <col min="10242" max="10242" width="7" style="1" customWidth="1"/>
    <col min="10243" max="10243" width="10.7265625" style="1" customWidth="1"/>
    <col min="10244" max="10244" width="9.26953125" style="1" customWidth="1"/>
    <col min="10245" max="10268" width="7.26953125" style="1" customWidth="1"/>
    <col min="10269" max="10269" width="11.26953125" style="1" bestFit="1" customWidth="1"/>
    <col min="10270" max="10497" width="11.453125" style="1"/>
    <col min="10498" max="10498" width="7" style="1" customWidth="1"/>
    <col min="10499" max="10499" width="10.7265625" style="1" customWidth="1"/>
    <col min="10500" max="10500" width="9.26953125" style="1" customWidth="1"/>
    <col min="10501" max="10524" width="7.26953125" style="1" customWidth="1"/>
    <col min="10525" max="10525" width="11.26953125" style="1" bestFit="1" customWidth="1"/>
    <col min="10526" max="10753" width="11.453125" style="1"/>
    <col min="10754" max="10754" width="7" style="1" customWidth="1"/>
    <col min="10755" max="10755" width="10.7265625" style="1" customWidth="1"/>
    <col min="10756" max="10756" width="9.26953125" style="1" customWidth="1"/>
    <col min="10757" max="10780" width="7.26953125" style="1" customWidth="1"/>
    <col min="10781" max="10781" width="11.26953125" style="1" bestFit="1" customWidth="1"/>
    <col min="10782" max="11009" width="11.453125" style="1"/>
    <col min="11010" max="11010" width="7" style="1" customWidth="1"/>
    <col min="11011" max="11011" width="10.7265625" style="1" customWidth="1"/>
    <col min="11012" max="11012" width="9.26953125" style="1" customWidth="1"/>
    <col min="11013" max="11036" width="7.26953125" style="1" customWidth="1"/>
    <col min="11037" max="11037" width="11.26953125" style="1" bestFit="1" customWidth="1"/>
    <col min="11038" max="11265" width="11.453125" style="1"/>
    <col min="11266" max="11266" width="7" style="1" customWidth="1"/>
    <col min="11267" max="11267" width="10.7265625" style="1" customWidth="1"/>
    <col min="11268" max="11268" width="9.26953125" style="1" customWidth="1"/>
    <col min="11269" max="11292" width="7.26953125" style="1" customWidth="1"/>
    <col min="11293" max="11293" width="11.26953125" style="1" bestFit="1" customWidth="1"/>
    <col min="11294" max="11521" width="11.453125" style="1"/>
    <col min="11522" max="11522" width="7" style="1" customWidth="1"/>
    <col min="11523" max="11523" width="10.7265625" style="1" customWidth="1"/>
    <col min="11524" max="11524" width="9.26953125" style="1" customWidth="1"/>
    <col min="11525" max="11548" width="7.26953125" style="1" customWidth="1"/>
    <col min="11549" max="11549" width="11.26953125" style="1" bestFit="1" customWidth="1"/>
    <col min="11550" max="11777" width="11.453125" style="1"/>
    <col min="11778" max="11778" width="7" style="1" customWidth="1"/>
    <col min="11779" max="11779" width="10.7265625" style="1" customWidth="1"/>
    <col min="11780" max="11780" width="9.26953125" style="1" customWidth="1"/>
    <col min="11781" max="11804" width="7.26953125" style="1" customWidth="1"/>
    <col min="11805" max="11805" width="11.26953125" style="1" bestFit="1" customWidth="1"/>
    <col min="11806" max="12033" width="11.453125" style="1"/>
    <col min="12034" max="12034" width="7" style="1" customWidth="1"/>
    <col min="12035" max="12035" width="10.7265625" style="1" customWidth="1"/>
    <col min="12036" max="12036" width="9.26953125" style="1" customWidth="1"/>
    <col min="12037" max="12060" width="7.26953125" style="1" customWidth="1"/>
    <col min="12061" max="12061" width="11.26953125" style="1" bestFit="1" customWidth="1"/>
    <col min="12062" max="12289" width="11.453125" style="1"/>
    <col min="12290" max="12290" width="7" style="1" customWidth="1"/>
    <col min="12291" max="12291" width="10.7265625" style="1" customWidth="1"/>
    <col min="12292" max="12292" width="9.26953125" style="1" customWidth="1"/>
    <col min="12293" max="12316" width="7.26953125" style="1" customWidth="1"/>
    <col min="12317" max="12317" width="11.26953125" style="1" bestFit="1" customWidth="1"/>
    <col min="12318" max="12545" width="11.453125" style="1"/>
    <col min="12546" max="12546" width="7" style="1" customWidth="1"/>
    <col min="12547" max="12547" width="10.7265625" style="1" customWidth="1"/>
    <col min="12548" max="12548" width="9.26953125" style="1" customWidth="1"/>
    <col min="12549" max="12572" width="7.26953125" style="1" customWidth="1"/>
    <col min="12573" max="12573" width="11.26953125" style="1" bestFit="1" customWidth="1"/>
    <col min="12574" max="12801" width="11.453125" style="1"/>
    <col min="12802" max="12802" width="7" style="1" customWidth="1"/>
    <col min="12803" max="12803" width="10.7265625" style="1" customWidth="1"/>
    <col min="12804" max="12804" width="9.26953125" style="1" customWidth="1"/>
    <col min="12805" max="12828" width="7.26953125" style="1" customWidth="1"/>
    <col min="12829" max="12829" width="11.26953125" style="1" bestFit="1" customWidth="1"/>
    <col min="12830" max="13057" width="11.453125" style="1"/>
    <col min="13058" max="13058" width="7" style="1" customWidth="1"/>
    <col min="13059" max="13059" width="10.7265625" style="1" customWidth="1"/>
    <col min="13060" max="13060" width="9.26953125" style="1" customWidth="1"/>
    <col min="13061" max="13084" width="7.26953125" style="1" customWidth="1"/>
    <col min="13085" max="13085" width="11.26953125" style="1" bestFit="1" customWidth="1"/>
    <col min="13086" max="13313" width="11.453125" style="1"/>
    <col min="13314" max="13314" width="7" style="1" customWidth="1"/>
    <col min="13315" max="13315" width="10.7265625" style="1" customWidth="1"/>
    <col min="13316" max="13316" width="9.26953125" style="1" customWidth="1"/>
    <col min="13317" max="13340" width="7.26953125" style="1" customWidth="1"/>
    <col min="13341" max="13341" width="11.26953125" style="1" bestFit="1" customWidth="1"/>
    <col min="13342" max="13569" width="11.453125" style="1"/>
    <col min="13570" max="13570" width="7" style="1" customWidth="1"/>
    <col min="13571" max="13571" width="10.7265625" style="1" customWidth="1"/>
    <col min="13572" max="13572" width="9.26953125" style="1" customWidth="1"/>
    <col min="13573" max="13596" width="7.26953125" style="1" customWidth="1"/>
    <col min="13597" max="13597" width="11.26953125" style="1" bestFit="1" customWidth="1"/>
    <col min="13598" max="13825" width="11.453125" style="1"/>
    <col min="13826" max="13826" width="7" style="1" customWidth="1"/>
    <col min="13827" max="13827" width="10.7265625" style="1" customWidth="1"/>
    <col min="13828" max="13828" width="9.26953125" style="1" customWidth="1"/>
    <col min="13829" max="13852" width="7.26953125" style="1" customWidth="1"/>
    <col min="13853" max="13853" width="11.26953125" style="1" bestFit="1" customWidth="1"/>
    <col min="13854" max="14081" width="11.453125" style="1"/>
    <col min="14082" max="14082" width="7" style="1" customWidth="1"/>
    <col min="14083" max="14083" width="10.7265625" style="1" customWidth="1"/>
    <col min="14084" max="14084" width="9.26953125" style="1" customWidth="1"/>
    <col min="14085" max="14108" width="7.26953125" style="1" customWidth="1"/>
    <col min="14109" max="14109" width="11.26953125" style="1" bestFit="1" customWidth="1"/>
    <col min="14110" max="14337" width="11.453125" style="1"/>
    <col min="14338" max="14338" width="7" style="1" customWidth="1"/>
    <col min="14339" max="14339" width="10.7265625" style="1" customWidth="1"/>
    <col min="14340" max="14340" width="9.26953125" style="1" customWidth="1"/>
    <col min="14341" max="14364" width="7.26953125" style="1" customWidth="1"/>
    <col min="14365" max="14365" width="11.26953125" style="1" bestFit="1" customWidth="1"/>
    <col min="14366" max="14593" width="11.453125" style="1"/>
    <col min="14594" max="14594" width="7" style="1" customWidth="1"/>
    <col min="14595" max="14595" width="10.7265625" style="1" customWidth="1"/>
    <col min="14596" max="14596" width="9.26953125" style="1" customWidth="1"/>
    <col min="14597" max="14620" width="7.26953125" style="1" customWidth="1"/>
    <col min="14621" max="14621" width="11.26953125" style="1" bestFit="1" customWidth="1"/>
    <col min="14622" max="14849" width="11.453125" style="1"/>
    <col min="14850" max="14850" width="7" style="1" customWidth="1"/>
    <col min="14851" max="14851" width="10.7265625" style="1" customWidth="1"/>
    <col min="14852" max="14852" width="9.26953125" style="1" customWidth="1"/>
    <col min="14853" max="14876" width="7.26953125" style="1" customWidth="1"/>
    <col min="14877" max="14877" width="11.26953125" style="1" bestFit="1" customWidth="1"/>
    <col min="14878" max="15105" width="11.453125" style="1"/>
    <col min="15106" max="15106" width="7" style="1" customWidth="1"/>
    <col min="15107" max="15107" width="10.7265625" style="1" customWidth="1"/>
    <col min="15108" max="15108" width="9.26953125" style="1" customWidth="1"/>
    <col min="15109" max="15132" width="7.26953125" style="1" customWidth="1"/>
    <col min="15133" max="15133" width="11.26953125" style="1" bestFit="1" customWidth="1"/>
    <col min="15134" max="15361" width="11.453125" style="1"/>
    <col min="15362" max="15362" width="7" style="1" customWidth="1"/>
    <col min="15363" max="15363" width="10.7265625" style="1" customWidth="1"/>
    <col min="15364" max="15364" width="9.26953125" style="1" customWidth="1"/>
    <col min="15365" max="15388" width="7.26953125" style="1" customWidth="1"/>
    <col min="15389" max="15389" width="11.26953125" style="1" bestFit="1" customWidth="1"/>
    <col min="15390" max="15617" width="11.453125" style="1"/>
    <col min="15618" max="15618" width="7" style="1" customWidth="1"/>
    <col min="15619" max="15619" width="10.7265625" style="1" customWidth="1"/>
    <col min="15620" max="15620" width="9.26953125" style="1" customWidth="1"/>
    <col min="15621" max="15644" width="7.26953125" style="1" customWidth="1"/>
    <col min="15645" max="15645" width="11.26953125" style="1" bestFit="1" customWidth="1"/>
    <col min="15646" max="15873" width="11.453125" style="1"/>
    <col min="15874" max="15874" width="7" style="1" customWidth="1"/>
    <col min="15875" max="15875" width="10.7265625" style="1" customWidth="1"/>
    <col min="15876" max="15876" width="9.26953125" style="1" customWidth="1"/>
    <col min="15877" max="15900" width="7.26953125" style="1" customWidth="1"/>
    <col min="15901" max="15901" width="11.26953125" style="1" bestFit="1" customWidth="1"/>
    <col min="15902" max="16129" width="11.453125" style="1"/>
    <col min="16130" max="16130" width="7" style="1" customWidth="1"/>
    <col min="16131" max="16131" width="10.7265625" style="1" customWidth="1"/>
    <col min="16132" max="16132" width="9.26953125" style="1" customWidth="1"/>
    <col min="16133" max="16156" width="7.26953125" style="1" customWidth="1"/>
    <col min="16157" max="16157" width="11.26953125" style="1" bestFit="1" customWidth="1"/>
    <col min="16158" max="16384" width="11.453125" style="1"/>
  </cols>
  <sheetData>
    <row r="1" spans="2:58" ht="18.649999999999999" customHeight="1" x14ac:dyDescent="0.25"/>
    <row r="2" spans="2:58" ht="18.649999999999999" customHeight="1" x14ac:dyDescent="0.3">
      <c r="B2" s="71" t="s">
        <v>45</v>
      </c>
      <c r="C2" s="71"/>
      <c r="D2" s="71"/>
      <c r="E2" s="71"/>
      <c r="F2" s="71"/>
      <c r="G2" s="71"/>
      <c r="H2" s="71"/>
      <c r="I2" s="71"/>
      <c r="J2" s="71"/>
      <c r="K2" s="71"/>
      <c r="L2" s="71"/>
      <c r="M2" s="71"/>
      <c r="N2" s="71"/>
      <c r="O2" s="71"/>
      <c r="P2" s="71"/>
      <c r="Q2" s="71"/>
      <c r="R2" s="71"/>
      <c r="S2" s="71"/>
      <c r="T2" s="71"/>
      <c r="U2" s="71"/>
      <c r="V2" s="71"/>
      <c r="W2" s="71"/>
      <c r="X2" s="71"/>
      <c r="Y2" s="71"/>
      <c r="Z2" s="71"/>
      <c r="AA2" s="71"/>
      <c r="AB2" s="71"/>
      <c r="AC2" s="71"/>
    </row>
    <row r="3" spans="2:58" ht="18.649999999999999" customHeight="1" x14ac:dyDescent="0.3">
      <c r="B3" s="71" t="s">
        <v>44</v>
      </c>
      <c r="C3" s="71"/>
      <c r="D3" s="71"/>
      <c r="E3" s="71"/>
      <c r="F3" s="71"/>
      <c r="G3" s="71"/>
      <c r="H3" s="71"/>
      <c r="I3" s="71"/>
      <c r="J3" s="71"/>
      <c r="K3" s="71"/>
      <c r="L3" s="71"/>
      <c r="M3" s="71"/>
      <c r="N3" s="71"/>
      <c r="O3" s="71"/>
      <c r="P3" s="71"/>
      <c r="Q3" s="71"/>
      <c r="R3" s="71"/>
      <c r="S3" s="71"/>
      <c r="T3" s="71"/>
      <c r="U3" s="71"/>
      <c r="V3" s="71"/>
      <c r="W3" s="71"/>
      <c r="X3" s="71"/>
      <c r="Y3" s="71"/>
      <c r="Z3" s="71"/>
      <c r="AA3" s="71"/>
      <c r="AB3" s="71"/>
      <c r="AC3" s="71"/>
    </row>
    <row r="4" spans="2:58" ht="18.649999999999999" customHeight="1" x14ac:dyDescent="0.3">
      <c r="B4" s="71">
        <v>2027</v>
      </c>
      <c r="C4" s="71"/>
      <c r="D4" s="71"/>
      <c r="E4" s="71"/>
      <c r="F4" s="71"/>
      <c r="G4" s="71"/>
      <c r="H4" s="71"/>
      <c r="I4" s="71"/>
      <c r="J4" s="71"/>
      <c r="K4" s="71"/>
      <c r="L4" s="71"/>
      <c r="M4" s="71"/>
      <c r="N4" s="71"/>
      <c r="O4" s="71"/>
      <c r="P4" s="71"/>
      <c r="Q4" s="71"/>
      <c r="R4" s="71"/>
      <c r="S4" s="71"/>
      <c r="T4" s="71"/>
      <c r="U4" s="71"/>
      <c r="V4" s="71"/>
      <c r="W4" s="71"/>
      <c r="X4" s="71"/>
      <c r="Y4" s="71"/>
      <c r="Z4" s="71"/>
      <c r="AA4" s="71"/>
      <c r="AB4" s="71"/>
      <c r="AC4" s="71"/>
    </row>
    <row r="5" spans="2:58" ht="18.649999999999999" customHeight="1" x14ac:dyDescent="0.25"/>
    <row r="6" spans="2:58" ht="30" customHeight="1" x14ac:dyDescent="0.25">
      <c r="B6" s="8" t="s">
        <v>0</v>
      </c>
      <c r="C6" s="16" t="s">
        <v>1</v>
      </c>
      <c r="D6" s="8" t="s">
        <v>2</v>
      </c>
      <c r="E6" s="8" t="s">
        <v>3</v>
      </c>
      <c r="F6" s="8" t="s">
        <v>4</v>
      </c>
      <c r="G6" s="8" t="s">
        <v>5</v>
      </c>
      <c r="H6" s="8" t="s">
        <v>6</v>
      </c>
      <c r="I6" s="8" t="s">
        <v>7</v>
      </c>
      <c r="J6" s="8" t="s">
        <v>8</v>
      </c>
      <c r="K6" s="8" t="s">
        <v>9</v>
      </c>
      <c r="L6" s="8" t="s">
        <v>10</v>
      </c>
      <c r="M6" s="8" t="s">
        <v>11</v>
      </c>
      <c r="N6" s="8" t="s">
        <v>12</v>
      </c>
      <c r="O6" s="8" t="s">
        <v>13</v>
      </c>
      <c r="P6" s="8" t="s">
        <v>14</v>
      </c>
      <c r="Q6" s="8" t="s">
        <v>15</v>
      </c>
      <c r="R6" s="8" t="s">
        <v>16</v>
      </c>
      <c r="S6" s="8" t="s">
        <v>17</v>
      </c>
      <c r="T6" s="8" t="s">
        <v>18</v>
      </c>
      <c r="U6" s="8" t="s">
        <v>19</v>
      </c>
      <c r="V6" s="8" t="s">
        <v>20</v>
      </c>
      <c r="W6" s="8" t="s">
        <v>21</v>
      </c>
      <c r="X6" s="8" t="s">
        <v>22</v>
      </c>
      <c r="Y6" s="8" t="s">
        <v>23</v>
      </c>
      <c r="Z6" s="8" t="s">
        <v>24</v>
      </c>
      <c r="AA6" s="8" t="s">
        <v>25</v>
      </c>
      <c r="AB6" s="8" t="s">
        <v>26</v>
      </c>
      <c r="AC6" s="8" t="s">
        <v>27</v>
      </c>
    </row>
    <row r="7" spans="2:58" x14ac:dyDescent="0.25">
      <c r="B7" s="70" t="s">
        <v>28</v>
      </c>
      <c r="C7" s="4" t="s">
        <v>29</v>
      </c>
      <c r="D7" s="5">
        <v>19</v>
      </c>
      <c r="E7" s="22">
        <v>16613</v>
      </c>
      <c r="F7" s="22">
        <v>15788</v>
      </c>
      <c r="G7" s="22">
        <v>15218</v>
      </c>
      <c r="H7" s="22">
        <v>15006</v>
      </c>
      <c r="I7" s="22">
        <v>16235</v>
      </c>
      <c r="J7" s="22">
        <v>19814</v>
      </c>
      <c r="K7" s="22">
        <v>22646</v>
      </c>
      <c r="L7" s="22">
        <v>34328</v>
      </c>
      <c r="M7" s="22">
        <v>34359</v>
      </c>
      <c r="N7" s="22">
        <v>34611</v>
      </c>
      <c r="O7" s="22">
        <v>35680</v>
      </c>
      <c r="P7" s="22">
        <v>37670</v>
      </c>
      <c r="Q7" s="22">
        <v>35855</v>
      </c>
      <c r="R7" s="22">
        <v>35042</v>
      </c>
      <c r="S7" s="22">
        <v>36101</v>
      </c>
      <c r="T7" s="22">
        <v>37129</v>
      </c>
      <c r="U7" s="22">
        <v>37319</v>
      </c>
      <c r="V7" s="22">
        <v>32112</v>
      </c>
      <c r="W7" s="22">
        <v>35239</v>
      </c>
      <c r="X7" s="22">
        <v>35827</v>
      </c>
      <c r="Y7" s="22">
        <v>34099</v>
      </c>
      <c r="Z7" s="22">
        <v>31078</v>
      </c>
      <c r="AA7" s="22">
        <v>25657</v>
      </c>
      <c r="AB7" s="22">
        <v>22570</v>
      </c>
      <c r="AC7" s="72">
        <f>+SUM(E7:AB7)*D7+SUM(E8:AB8)*D8+SUM(E9:AB9)*D9+SUM(E10:AB10)*D10</f>
        <v>21160717</v>
      </c>
      <c r="AE7" s="17">
        <f>+AC7</f>
        <v>21160717</v>
      </c>
      <c r="AG7" s="18"/>
      <c r="AH7" s="18"/>
      <c r="AI7" s="23"/>
      <c r="AJ7" s="23"/>
      <c r="AK7" s="23"/>
      <c r="AL7" s="23"/>
      <c r="AM7" s="23"/>
      <c r="AN7" s="23"/>
      <c r="AO7" s="23"/>
      <c r="AP7" s="23"/>
      <c r="AQ7" s="23"/>
      <c r="AR7" s="23"/>
      <c r="AS7" s="23"/>
      <c r="AT7" s="23"/>
      <c r="AU7" s="23"/>
      <c r="AV7" s="23"/>
      <c r="AW7" s="23"/>
      <c r="AX7" s="23"/>
      <c r="AY7" s="23"/>
      <c r="AZ7" s="23"/>
      <c r="BA7" s="23"/>
      <c r="BB7" s="23"/>
      <c r="BC7" s="23"/>
      <c r="BD7" s="23"/>
      <c r="BE7" s="23"/>
      <c r="BF7" s="23"/>
    </row>
    <row r="8" spans="2:58" ht="18.649999999999999" customHeight="1" x14ac:dyDescent="0.25">
      <c r="B8" s="70" t="s">
        <v>28</v>
      </c>
      <c r="C8" s="4" t="s">
        <v>30</v>
      </c>
      <c r="D8" s="5">
        <v>5</v>
      </c>
      <c r="E8" s="22">
        <v>17810</v>
      </c>
      <c r="F8" s="22">
        <v>16343</v>
      </c>
      <c r="G8" s="22">
        <v>15740</v>
      </c>
      <c r="H8" s="22">
        <v>15403</v>
      </c>
      <c r="I8" s="22">
        <v>15731</v>
      </c>
      <c r="J8" s="22">
        <v>16786</v>
      </c>
      <c r="K8" s="22">
        <v>18311</v>
      </c>
      <c r="L8" s="22">
        <v>31812</v>
      </c>
      <c r="M8" s="22">
        <v>34034</v>
      </c>
      <c r="N8" s="22">
        <v>35200</v>
      </c>
      <c r="O8" s="22">
        <v>35858</v>
      </c>
      <c r="P8" s="22">
        <v>37090</v>
      </c>
      <c r="Q8" s="22">
        <v>37728</v>
      </c>
      <c r="R8" s="22">
        <v>37069</v>
      </c>
      <c r="S8" s="22">
        <v>36942</v>
      </c>
      <c r="T8" s="22">
        <v>36823</v>
      </c>
      <c r="U8" s="22">
        <v>37115</v>
      </c>
      <c r="V8" s="22">
        <v>32003</v>
      </c>
      <c r="W8" s="22">
        <v>35782</v>
      </c>
      <c r="X8" s="22">
        <v>36129</v>
      </c>
      <c r="Y8" s="22">
        <v>34448</v>
      </c>
      <c r="Z8" s="22">
        <v>32224</v>
      </c>
      <c r="AA8" s="22">
        <v>28459</v>
      </c>
      <c r="AB8" s="22">
        <v>25645</v>
      </c>
      <c r="AC8" s="73"/>
      <c r="AE8" s="17">
        <f>+AC11</f>
        <v>19666280</v>
      </c>
      <c r="AG8" s="18"/>
      <c r="AH8" s="18"/>
      <c r="AI8" s="23"/>
      <c r="AJ8" s="23"/>
      <c r="AK8" s="23"/>
      <c r="AL8" s="23"/>
      <c r="AM8" s="23"/>
      <c r="AN8" s="23"/>
      <c r="AO8" s="23"/>
      <c r="AP8" s="23"/>
      <c r="AQ8" s="23"/>
      <c r="AR8" s="23"/>
      <c r="AS8" s="23"/>
      <c r="AT8" s="23"/>
      <c r="AU8" s="23"/>
      <c r="AV8" s="23"/>
      <c r="AW8" s="23"/>
      <c r="AX8" s="23"/>
      <c r="AY8" s="23"/>
      <c r="AZ8" s="23"/>
      <c r="BA8" s="23"/>
      <c r="BB8" s="23"/>
      <c r="BC8" s="23"/>
      <c r="BD8" s="23"/>
      <c r="BE8" s="23"/>
      <c r="BF8" s="23"/>
    </row>
    <row r="9" spans="2:58" x14ac:dyDescent="0.25">
      <c r="B9" s="70" t="s">
        <v>28</v>
      </c>
      <c r="C9" s="4" t="s">
        <v>31</v>
      </c>
      <c r="D9" s="5">
        <v>5</v>
      </c>
      <c r="E9" s="22">
        <v>19399</v>
      </c>
      <c r="F9" s="22">
        <v>17931</v>
      </c>
      <c r="G9" s="22">
        <v>16978</v>
      </c>
      <c r="H9" s="22">
        <v>16258</v>
      </c>
      <c r="I9" s="22">
        <v>15955</v>
      </c>
      <c r="J9" s="22">
        <v>15556</v>
      </c>
      <c r="K9" s="22">
        <v>15455</v>
      </c>
      <c r="L9" s="22">
        <v>26478</v>
      </c>
      <c r="M9" s="22">
        <v>28564</v>
      </c>
      <c r="N9" s="22">
        <v>29670</v>
      </c>
      <c r="O9" s="22">
        <v>31225</v>
      </c>
      <c r="P9" s="22">
        <v>32965</v>
      </c>
      <c r="Q9" s="22">
        <v>33600</v>
      </c>
      <c r="R9" s="22">
        <v>32941</v>
      </c>
      <c r="S9" s="22">
        <v>33689</v>
      </c>
      <c r="T9" s="22">
        <v>34608</v>
      </c>
      <c r="U9" s="22">
        <v>34706</v>
      </c>
      <c r="V9" s="22">
        <v>30557</v>
      </c>
      <c r="W9" s="22">
        <v>34005</v>
      </c>
      <c r="X9" s="22">
        <v>34138</v>
      </c>
      <c r="Y9" s="22">
        <v>32343</v>
      </c>
      <c r="Z9" s="22">
        <v>29643</v>
      </c>
      <c r="AA9" s="22">
        <v>25223</v>
      </c>
      <c r="AB9" s="22">
        <v>22003</v>
      </c>
      <c r="AC9" s="73"/>
      <c r="AE9" s="17">
        <f>+AC15</f>
        <v>20632850</v>
      </c>
      <c r="AG9" s="18"/>
      <c r="AH9" s="18"/>
      <c r="AI9" s="23"/>
      <c r="AJ9" s="23"/>
      <c r="AK9" s="23"/>
      <c r="AL9" s="23"/>
      <c r="AM9" s="23"/>
      <c r="AN9" s="23"/>
      <c r="AO9" s="23"/>
      <c r="AP9" s="23"/>
      <c r="AQ9" s="23"/>
      <c r="AR9" s="23"/>
      <c r="AS9" s="23"/>
      <c r="AT9" s="23"/>
      <c r="AU9" s="23"/>
      <c r="AV9" s="23"/>
      <c r="AW9" s="23"/>
      <c r="AX9" s="23"/>
      <c r="AY9" s="23"/>
      <c r="AZ9" s="23"/>
      <c r="BA9" s="23"/>
      <c r="BB9" s="23"/>
      <c r="BC9" s="23"/>
      <c r="BD9" s="23"/>
      <c r="BE9" s="23"/>
      <c r="BF9" s="23"/>
    </row>
    <row r="10" spans="2:58" ht="18.649999999999999" customHeight="1" x14ac:dyDescent="0.25">
      <c r="B10" s="70" t="s">
        <v>28</v>
      </c>
      <c r="C10" s="4" t="s">
        <v>32</v>
      </c>
      <c r="D10" s="5">
        <v>2</v>
      </c>
      <c r="E10" s="22">
        <v>18999</v>
      </c>
      <c r="F10" s="22">
        <v>18005</v>
      </c>
      <c r="G10" s="22">
        <v>16742</v>
      </c>
      <c r="H10" s="22">
        <v>16402</v>
      </c>
      <c r="I10" s="22">
        <v>15773</v>
      </c>
      <c r="J10" s="22">
        <v>15517</v>
      </c>
      <c r="K10" s="22">
        <v>13995</v>
      </c>
      <c r="L10" s="22">
        <v>23782</v>
      </c>
      <c r="M10" s="22">
        <v>24903</v>
      </c>
      <c r="N10" s="22">
        <v>26389</v>
      </c>
      <c r="O10" s="22">
        <v>28449</v>
      </c>
      <c r="P10" s="22">
        <v>29265</v>
      </c>
      <c r="Q10" s="22">
        <v>30766</v>
      </c>
      <c r="R10" s="22">
        <v>31396</v>
      </c>
      <c r="S10" s="22">
        <v>32072</v>
      </c>
      <c r="T10" s="22">
        <v>31986</v>
      </c>
      <c r="U10" s="22">
        <v>32154</v>
      </c>
      <c r="V10" s="22">
        <v>28901</v>
      </c>
      <c r="W10" s="22">
        <v>32255</v>
      </c>
      <c r="X10" s="22">
        <v>32918</v>
      </c>
      <c r="Y10" s="22">
        <v>32046</v>
      </c>
      <c r="Z10" s="22">
        <v>28752</v>
      </c>
      <c r="AA10" s="22">
        <v>24507</v>
      </c>
      <c r="AB10" s="22">
        <v>21485</v>
      </c>
      <c r="AC10" s="74"/>
      <c r="AE10" s="17">
        <f>+AC19</f>
        <v>20862710</v>
      </c>
      <c r="AG10" s="18"/>
      <c r="AH10" s="18"/>
      <c r="AI10" s="23"/>
      <c r="AJ10" s="23"/>
      <c r="AK10" s="23"/>
      <c r="AL10" s="23"/>
      <c r="AM10" s="23"/>
      <c r="AN10" s="23"/>
      <c r="AO10" s="23"/>
      <c r="AP10" s="23"/>
      <c r="AQ10" s="23"/>
      <c r="AR10" s="23"/>
      <c r="AS10" s="23"/>
      <c r="AT10" s="23"/>
      <c r="AU10" s="23"/>
      <c r="AV10" s="23"/>
      <c r="AW10" s="23"/>
      <c r="AX10" s="23"/>
      <c r="AY10" s="23"/>
      <c r="AZ10" s="23"/>
      <c r="BA10" s="23"/>
      <c r="BB10" s="23"/>
      <c r="BC10" s="23"/>
      <c r="BD10" s="23"/>
      <c r="BE10" s="23"/>
      <c r="BF10" s="23"/>
    </row>
    <row r="11" spans="2:58" x14ac:dyDescent="0.25">
      <c r="B11" s="70" t="s">
        <v>33</v>
      </c>
      <c r="C11" s="4" t="s">
        <v>29</v>
      </c>
      <c r="D11" s="5">
        <v>20</v>
      </c>
      <c r="E11" s="22">
        <v>16036</v>
      </c>
      <c r="F11" s="22">
        <v>15811</v>
      </c>
      <c r="G11" s="22">
        <v>15158</v>
      </c>
      <c r="H11" s="22">
        <v>15641</v>
      </c>
      <c r="I11" s="22">
        <v>16056</v>
      </c>
      <c r="J11" s="22">
        <v>22297</v>
      </c>
      <c r="K11" s="22">
        <v>25144</v>
      </c>
      <c r="L11" s="22">
        <v>36712</v>
      </c>
      <c r="M11" s="22">
        <v>36098</v>
      </c>
      <c r="N11" s="22">
        <v>36038</v>
      </c>
      <c r="O11" s="22">
        <v>37091</v>
      </c>
      <c r="P11" s="22">
        <v>38203</v>
      </c>
      <c r="Q11" s="22">
        <v>37307</v>
      </c>
      <c r="R11" s="22">
        <v>37314</v>
      </c>
      <c r="S11" s="22">
        <v>38245</v>
      </c>
      <c r="T11" s="22">
        <v>38808</v>
      </c>
      <c r="U11" s="22">
        <v>38434</v>
      </c>
      <c r="V11" s="22">
        <v>31633</v>
      </c>
      <c r="W11" s="22">
        <v>35096</v>
      </c>
      <c r="X11" s="22">
        <v>35744</v>
      </c>
      <c r="Y11" s="22">
        <v>34176</v>
      </c>
      <c r="Z11" s="22">
        <v>31092</v>
      </c>
      <c r="AA11" s="22">
        <v>26374</v>
      </c>
      <c r="AB11" s="22">
        <v>22384</v>
      </c>
      <c r="AC11" s="72">
        <f>+SUM(E11:AB11)*D11+SUM(E12:AB12)*D12+SUM(E13:AB13)*D13+SUM(E14:AB14)*D14</f>
        <v>19666280</v>
      </c>
      <c r="AE11" s="17">
        <f>+AC23</f>
        <v>13081884</v>
      </c>
      <c r="AG11" s="18"/>
      <c r="AH11" s="18"/>
      <c r="AI11" s="23"/>
      <c r="AJ11" s="23"/>
      <c r="AK11" s="23"/>
      <c r="AL11" s="23"/>
      <c r="AM11" s="23"/>
      <c r="AN11" s="23"/>
      <c r="AO11" s="23"/>
      <c r="AP11" s="23"/>
      <c r="AQ11" s="23"/>
      <c r="AR11" s="23"/>
      <c r="AS11" s="23"/>
      <c r="AT11" s="23"/>
      <c r="AU11" s="23"/>
      <c r="AV11" s="23"/>
      <c r="AW11" s="23"/>
      <c r="AX11" s="23"/>
      <c r="AY11" s="23"/>
      <c r="AZ11" s="23"/>
      <c r="BA11" s="23"/>
      <c r="BB11" s="23"/>
      <c r="BC11" s="23"/>
      <c r="BD11" s="23"/>
      <c r="BE11" s="23"/>
      <c r="BF11" s="23"/>
    </row>
    <row r="12" spans="2:58" ht="18.649999999999999" customHeight="1" x14ac:dyDescent="0.25">
      <c r="B12" s="70" t="s">
        <v>33</v>
      </c>
      <c r="C12" s="4" t="s">
        <v>30</v>
      </c>
      <c r="D12" s="5">
        <v>4</v>
      </c>
      <c r="E12" s="22">
        <v>17596</v>
      </c>
      <c r="F12" s="22">
        <v>16513</v>
      </c>
      <c r="G12" s="22">
        <v>15873</v>
      </c>
      <c r="H12" s="22">
        <v>15457</v>
      </c>
      <c r="I12" s="22">
        <v>15824</v>
      </c>
      <c r="J12" s="22">
        <v>16772</v>
      </c>
      <c r="K12" s="22">
        <v>18925</v>
      </c>
      <c r="L12" s="22">
        <v>33793</v>
      </c>
      <c r="M12" s="22">
        <v>35567</v>
      </c>
      <c r="N12" s="22">
        <v>36217</v>
      </c>
      <c r="O12" s="22">
        <v>37196</v>
      </c>
      <c r="P12" s="22">
        <v>38173</v>
      </c>
      <c r="Q12" s="22">
        <v>37619</v>
      </c>
      <c r="R12" s="22">
        <v>36780</v>
      </c>
      <c r="S12" s="22">
        <v>36663</v>
      </c>
      <c r="T12" s="22">
        <v>36477</v>
      </c>
      <c r="U12" s="22">
        <v>36843</v>
      </c>
      <c r="V12" s="22">
        <v>31236</v>
      </c>
      <c r="W12" s="22">
        <v>34118</v>
      </c>
      <c r="X12" s="22">
        <v>35169</v>
      </c>
      <c r="Y12" s="22">
        <v>33623</v>
      </c>
      <c r="Z12" s="22">
        <v>30207</v>
      </c>
      <c r="AA12" s="22">
        <v>26449</v>
      </c>
      <c r="AB12" s="22">
        <v>22956</v>
      </c>
      <c r="AC12" s="73"/>
      <c r="AE12" s="17">
        <f>+AC27</f>
        <v>13075450</v>
      </c>
      <c r="AG12" s="18"/>
      <c r="AH12" s="18"/>
      <c r="AI12" s="23"/>
      <c r="AJ12" s="23"/>
      <c r="AK12" s="23"/>
      <c r="AL12" s="23"/>
      <c r="AM12" s="23"/>
      <c r="AN12" s="23"/>
      <c r="AO12" s="23"/>
      <c r="AP12" s="23"/>
      <c r="AQ12" s="23"/>
      <c r="AR12" s="23"/>
      <c r="AS12" s="23"/>
      <c r="AT12" s="23"/>
      <c r="AU12" s="23"/>
      <c r="AV12" s="23"/>
      <c r="AW12" s="23"/>
      <c r="AX12" s="23"/>
      <c r="AY12" s="23"/>
      <c r="AZ12" s="23"/>
      <c r="BA12" s="23"/>
      <c r="BB12" s="23"/>
      <c r="BC12" s="23"/>
      <c r="BD12" s="23"/>
      <c r="BE12" s="23"/>
      <c r="BF12" s="23"/>
    </row>
    <row r="13" spans="2:58" ht="18.649999999999999" customHeight="1" x14ac:dyDescent="0.25">
      <c r="B13" s="70" t="s">
        <v>33</v>
      </c>
      <c r="C13" s="4" t="s">
        <v>31</v>
      </c>
      <c r="D13" s="5">
        <v>4</v>
      </c>
      <c r="E13" s="22">
        <v>17964</v>
      </c>
      <c r="F13" s="22">
        <v>16654</v>
      </c>
      <c r="G13" s="22">
        <v>15633</v>
      </c>
      <c r="H13" s="22">
        <v>15126</v>
      </c>
      <c r="I13" s="22">
        <v>14917</v>
      </c>
      <c r="J13" s="22">
        <v>14820</v>
      </c>
      <c r="K13" s="22">
        <v>14905</v>
      </c>
      <c r="L13" s="22">
        <v>27432</v>
      </c>
      <c r="M13" s="22">
        <v>29922</v>
      </c>
      <c r="N13" s="22">
        <v>31788</v>
      </c>
      <c r="O13" s="22">
        <v>32030</v>
      </c>
      <c r="P13" s="22">
        <v>33620</v>
      </c>
      <c r="Q13" s="22">
        <v>35185</v>
      </c>
      <c r="R13" s="22">
        <v>35406</v>
      </c>
      <c r="S13" s="22">
        <v>34541</v>
      </c>
      <c r="T13" s="22">
        <v>36031</v>
      </c>
      <c r="U13" s="22">
        <v>32694</v>
      </c>
      <c r="V13" s="22">
        <v>28116</v>
      </c>
      <c r="W13" s="22">
        <v>33566</v>
      </c>
      <c r="X13" s="22">
        <v>31788</v>
      </c>
      <c r="Y13" s="22">
        <v>31201</v>
      </c>
      <c r="Z13" s="22">
        <v>28321</v>
      </c>
      <c r="AA13" s="22">
        <v>23965</v>
      </c>
      <c r="AB13" s="22">
        <v>20439</v>
      </c>
      <c r="AC13" s="73"/>
      <c r="AE13" s="17">
        <f>+AC31</f>
        <v>15106714</v>
      </c>
      <c r="AG13" s="18"/>
      <c r="AH13" s="18"/>
      <c r="AI13" s="23"/>
      <c r="AJ13" s="23"/>
      <c r="AK13" s="23"/>
      <c r="AL13" s="23"/>
      <c r="AM13" s="23"/>
      <c r="AN13" s="23"/>
      <c r="AO13" s="23"/>
      <c r="AP13" s="23"/>
      <c r="AQ13" s="23"/>
      <c r="AR13" s="23"/>
      <c r="AS13" s="23"/>
      <c r="AT13" s="23"/>
      <c r="AU13" s="23"/>
      <c r="AV13" s="23"/>
      <c r="AW13" s="23"/>
      <c r="AX13" s="23"/>
      <c r="AY13" s="23"/>
      <c r="AZ13" s="23"/>
      <c r="BA13" s="23"/>
      <c r="BB13" s="23"/>
      <c r="BC13" s="23"/>
      <c r="BD13" s="23"/>
      <c r="BE13" s="23"/>
      <c r="BF13" s="23"/>
    </row>
    <row r="14" spans="2:58" ht="18.649999999999999" customHeight="1" x14ac:dyDescent="0.25">
      <c r="B14" s="70" t="s">
        <v>33</v>
      </c>
      <c r="C14" s="4" t="s">
        <v>32</v>
      </c>
      <c r="D14" s="5">
        <v>0</v>
      </c>
      <c r="E14" s="22">
        <v>0</v>
      </c>
      <c r="F14" s="22">
        <v>0</v>
      </c>
      <c r="G14" s="22">
        <v>0</v>
      </c>
      <c r="H14" s="22">
        <v>0</v>
      </c>
      <c r="I14" s="22">
        <v>0</v>
      </c>
      <c r="J14" s="22">
        <v>0</v>
      </c>
      <c r="K14" s="22">
        <v>0</v>
      </c>
      <c r="L14" s="22">
        <v>0</v>
      </c>
      <c r="M14" s="22">
        <v>0</v>
      </c>
      <c r="N14" s="22">
        <v>0</v>
      </c>
      <c r="O14" s="22">
        <v>0</v>
      </c>
      <c r="P14" s="22">
        <v>0</v>
      </c>
      <c r="Q14" s="22">
        <v>0</v>
      </c>
      <c r="R14" s="22">
        <v>0</v>
      </c>
      <c r="S14" s="22">
        <v>0</v>
      </c>
      <c r="T14" s="22">
        <v>0</v>
      </c>
      <c r="U14" s="22">
        <v>0</v>
      </c>
      <c r="V14" s="22">
        <v>0</v>
      </c>
      <c r="W14" s="22">
        <v>0</v>
      </c>
      <c r="X14" s="22">
        <v>0</v>
      </c>
      <c r="Y14" s="22">
        <v>0</v>
      </c>
      <c r="Z14" s="22">
        <v>0</v>
      </c>
      <c r="AA14" s="22">
        <v>0</v>
      </c>
      <c r="AB14" s="22">
        <v>0</v>
      </c>
      <c r="AC14" s="74"/>
      <c r="AE14" s="17">
        <f>+AC35</f>
        <v>14925358</v>
      </c>
      <c r="AG14" s="18"/>
      <c r="AH14" s="18"/>
      <c r="AI14" s="23"/>
      <c r="AJ14" s="23"/>
      <c r="AK14" s="23"/>
      <c r="AL14" s="23"/>
      <c r="AM14" s="23"/>
      <c r="AN14" s="23"/>
      <c r="AO14" s="23"/>
      <c r="AP14" s="23"/>
      <c r="AQ14" s="23"/>
      <c r="AR14" s="23"/>
      <c r="AS14" s="23"/>
      <c r="AT14" s="23"/>
      <c r="AU14" s="23"/>
      <c r="AV14" s="23"/>
      <c r="AW14" s="23"/>
      <c r="AX14" s="23"/>
      <c r="AY14" s="23"/>
      <c r="AZ14" s="23"/>
      <c r="BA14" s="23"/>
      <c r="BB14" s="23"/>
      <c r="BC14" s="23"/>
      <c r="BD14" s="23"/>
      <c r="BE14" s="23"/>
      <c r="BF14" s="23"/>
    </row>
    <row r="15" spans="2:58" ht="18.649999999999999" customHeight="1" x14ac:dyDescent="0.25">
      <c r="B15" s="70" t="s">
        <v>34</v>
      </c>
      <c r="C15" s="4" t="s">
        <v>29</v>
      </c>
      <c r="D15" s="5">
        <v>20</v>
      </c>
      <c r="E15" s="22">
        <v>15379</v>
      </c>
      <c r="F15" s="22">
        <v>14594</v>
      </c>
      <c r="G15" s="22">
        <v>14352</v>
      </c>
      <c r="H15" s="22">
        <v>14293</v>
      </c>
      <c r="I15" s="22">
        <v>15915</v>
      </c>
      <c r="J15" s="22">
        <v>20872</v>
      </c>
      <c r="K15" s="22">
        <v>23166</v>
      </c>
      <c r="L15" s="22">
        <v>33627</v>
      </c>
      <c r="M15" s="22">
        <v>33077</v>
      </c>
      <c r="N15" s="22">
        <v>33258</v>
      </c>
      <c r="O15" s="22">
        <v>33651</v>
      </c>
      <c r="P15" s="22">
        <v>35750</v>
      </c>
      <c r="Q15" s="22">
        <v>35255</v>
      </c>
      <c r="R15" s="22">
        <v>35068</v>
      </c>
      <c r="S15" s="22">
        <v>36093</v>
      </c>
      <c r="T15" s="22">
        <v>36409</v>
      </c>
      <c r="U15" s="22">
        <v>35500</v>
      </c>
      <c r="V15" s="22">
        <v>30470</v>
      </c>
      <c r="W15" s="22">
        <v>33649</v>
      </c>
      <c r="X15" s="22">
        <v>34937</v>
      </c>
      <c r="Y15" s="22">
        <v>33655</v>
      </c>
      <c r="Z15" s="22">
        <v>29551</v>
      </c>
      <c r="AA15" s="22">
        <v>25435</v>
      </c>
      <c r="AB15" s="22">
        <v>21568</v>
      </c>
      <c r="AC15" s="72">
        <f>+SUM(E15:AB15)*D15+SUM(E16:AB16)*D16+SUM(E17:AB17)*D17+SUM(E18:AB18)*D18</f>
        <v>20632850</v>
      </c>
      <c r="AE15" s="17">
        <f>+AC39</f>
        <v>16716840</v>
      </c>
      <c r="AG15" s="18"/>
      <c r="AH15" s="18"/>
      <c r="AI15" s="23"/>
      <c r="AJ15" s="23"/>
      <c r="AK15" s="23"/>
      <c r="AL15" s="23"/>
      <c r="AM15" s="23"/>
      <c r="AN15" s="23"/>
      <c r="AO15" s="23"/>
      <c r="AP15" s="23"/>
      <c r="AQ15" s="23"/>
      <c r="AR15" s="23"/>
      <c r="AS15" s="23"/>
      <c r="AT15" s="23"/>
      <c r="AU15" s="23"/>
      <c r="AV15" s="23"/>
      <c r="AW15" s="23"/>
      <c r="AX15" s="23"/>
      <c r="AY15" s="23"/>
      <c r="AZ15" s="23"/>
      <c r="BA15" s="23"/>
      <c r="BB15" s="23"/>
      <c r="BC15" s="23"/>
      <c r="BD15" s="23"/>
      <c r="BE15" s="23"/>
      <c r="BF15" s="23"/>
    </row>
    <row r="16" spans="2:58" ht="18.649999999999999" customHeight="1" x14ac:dyDescent="0.25">
      <c r="B16" s="70" t="s">
        <v>34</v>
      </c>
      <c r="C16" s="4" t="s">
        <v>30</v>
      </c>
      <c r="D16" s="5">
        <v>4</v>
      </c>
      <c r="E16" s="22">
        <v>14939</v>
      </c>
      <c r="F16" s="22">
        <v>15376</v>
      </c>
      <c r="G16" s="22">
        <v>14923</v>
      </c>
      <c r="H16" s="22">
        <v>14670</v>
      </c>
      <c r="I16" s="22">
        <v>15189</v>
      </c>
      <c r="J16" s="22">
        <v>16627</v>
      </c>
      <c r="K16" s="22">
        <v>18775</v>
      </c>
      <c r="L16" s="22">
        <v>32583</v>
      </c>
      <c r="M16" s="22">
        <v>34187</v>
      </c>
      <c r="N16" s="22">
        <v>35280</v>
      </c>
      <c r="O16" s="22">
        <v>35612</v>
      </c>
      <c r="P16" s="22">
        <v>35611</v>
      </c>
      <c r="Q16" s="22">
        <v>35850</v>
      </c>
      <c r="R16" s="22">
        <v>35268</v>
      </c>
      <c r="S16" s="22">
        <v>35330</v>
      </c>
      <c r="T16" s="22">
        <v>35510</v>
      </c>
      <c r="U16" s="22">
        <v>35041</v>
      </c>
      <c r="V16" s="22">
        <v>30083</v>
      </c>
      <c r="W16" s="22">
        <v>32133</v>
      </c>
      <c r="X16" s="22">
        <v>34251</v>
      </c>
      <c r="Y16" s="22">
        <v>32901</v>
      </c>
      <c r="Z16" s="22">
        <v>30299</v>
      </c>
      <c r="AA16" s="22">
        <v>26800</v>
      </c>
      <c r="AB16" s="22">
        <v>23451</v>
      </c>
      <c r="AC16" s="73"/>
      <c r="AE16" s="17">
        <f>+AC43</f>
        <v>22181361</v>
      </c>
      <c r="AG16" s="18"/>
      <c r="AH16" s="18"/>
      <c r="AI16" s="23"/>
      <c r="AJ16" s="23"/>
      <c r="AK16" s="23"/>
      <c r="AL16" s="23"/>
      <c r="AM16" s="23"/>
      <c r="AN16" s="23"/>
      <c r="AO16" s="23"/>
      <c r="AP16" s="23"/>
      <c r="AQ16" s="23"/>
      <c r="AR16" s="23"/>
      <c r="AS16" s="23"/>
      <c r="AT16" s="23"/>
      <c r="AU16" s="23"/>
      <c r="AV16" s="23"/>
      <c r="AW16" s="23"/>
      <c r="AX16" s="23"/>
      <c r="AY16" s="23"/>
      <c r="AZ16" s="23"/>
      <c r="BA16" s="23"/>
      <c r="BB16" s="23"/>
      <c r="BC16" s="23"/>
      <c r="BD16" s="23"/>
      <c r="BE16" s="23"/>
      <c r="BF16" s="23"/>
    </row>
    <row r="17" spans="2:58" ht="18.649999999999999" customHeight="1" x14ac:dyDescent="0.25">
      <c r="B17" s="70" t="s">
        <v>34</v>
      </c>
      <c r="C17" s="4" t="s">
        <v>31</v>
      </c>
      <c r="D17" s="5">
        <v>4</v>
      </c>
      <c r="E17" s="22">
        <v>17360</v>
      </c>
      <c r="F17" s="22">
        <v>16392</v>
      </c>
      <c r="G17" s="22">
        <v>15184</v>
      </c>
      <c r="H17" s="22">
        <v>15384</v>
      </c>
      <c r="I17" s="22">
        <v>15311</v>
      </c>
      <c r="J17" s="22">
        <v>12918</v>
      </c>
      <c r="K17" s="22">
        <v>14438</v>
      </c>
      <c r="L17" s="22">
        <v>26259</v>
      </c>
      <c r="M17" s="22">
        <v>28532</v>
      </c>
      <c r="N17" s="22">
        <v>29371</v>
      </c>
      <c r="O17" s="22">
        <v>30700</v>
      </c>
      <c r="P17" s="22">
        <v>32343</v>
      </c>
      <c r="Q17" s="22">
        <v>32216</v>
      </c>
      <c r="R17" s="22">
        <v>32934</v>
      </c>
      <c r="S17" s="22">
        <v>32493</v>
      </c>
      <c r="T17" s="22">
        <v>32361</v>
      </c>
      <c r="U17" s="22">
        <v>31821</v>
      </c>
      <c r="V17" s="22">
        <v>27630</v>
      </c>
      <c r="W17" s="22">
        <v>30436</v>
      </c>
      <c r="X17" s="22">
        <v>32479</v>
      </c>
      <c r="Y17" s="22">
        <v>32827</v>
      </c>
      <c r="Z17" s="22">
        <v>29586</v>
      </c>
      <c r="AA17" s="22">
        <v>25620</v>
      </c>
      <c r="AB17" s="22">
        <v>21483</v>
      </c>
      <c r="AC17" s="73"/>
      <c r="AE17" s="17">
        <f>+AC47</f>
        <v>21509490</v>
      </c>
      <c r="AG17" s="18"/>
      <c r="AH17" s="18"/>
      <c r="AI17" s="23"/>
      <c r="AJ17" s="23"/>
      <c r="AK17" s="23"/>
      <c r="AL17" s="23"/>
      <c r="AM17" s="23"/>
      <c r="AN17" s="23"/>
      <c r="AO17" s="23"/>
      <c r="AP17" s="23"/>
      <c r="AQ17" s="23"/>
      <c r="AR17" s="23"/>
      <c r="AS17" s="23"/>
      <c r="AT17" s="23"/>
      <c r="AU17" s="23"/>
      <c r="AV17" s="23"/>
      <c r="AW17" s="23"/>
      <c r="AX17" s="23"/>
      <c r="AY17" s="23"/>
      <c r="AZ17" s="23"/>
      <c r="BA17" s="23"/>
      <c r="BB17" s="23"/>
      <c r="BC17" s="23"/>
      <c r="BD17" s="23"/>
      <c r="BE17" s="23"/>
      <c r="BF17" s="23"/>
    </row>
    <row r="18" spans="2:58" ht="18.649999999999999" customHeight="1" x14ac:dyDescent="0.25">
      <c r="B18" s="70" t="s">
        <v>34</v>
      </c>
      <c r="C18" s="4" t="s">
        <v>32</v>
      </c>
      <c r="D18" s="5">
        <v>3</v>
      </c>
      <c r="E18" s="22">
        <v>18043</v>
      </c>
      <c r="F18" s="22">
        <v>17422</v>
      </c>
      <c r="G18" s="22">
        <v>16376</v>
      </c>
      <c r="H18" s="22">
        <v>16290</v>
      </c>
      <c r="I18" s="22">
        <v>16383</v>
      </c>
      <c r="J18" s="22">
        <v>15885</v>
      </c>
      <c r="K18" s="22">
        <v>16197</v>
      </c>
      <c r="L18" s="22">
        <v>27876</v>
      </c>
      <c r="M18" s="22">
        <v>29610</v>
      </c>
      <c r="N18" s="22">
        <v>30725</v>
      </c>
      <c r="O18" s="22">
        <v>32673</v>
      </c>
      <c r="P18" s="22">
        <v>33830</v>
      </c>
      <c r="Q18" s="22">
        <v>34901</v>
      </c>
      <c r="R18" s="22">
        <v>34386</v>
      </c>
      <c r="S18" s="22">
        <v>34780</v>
      </c>
      <c r="T18" s="22">
        <v>34604</v>
      </c>
      <c r="U18" s="22">
        <v>34199</v>
      </c>
      <c r="V18" s="22">
        <v>30083</v>
      </c>
      <c r="W18" s="22">
        <v>34422</v>
      </c>
      <c r="X18" s="22">
        <v>35467</v>
      </c>
      <c r="Y18" s="22">
        <v>34225</v>
      </c>
      <c r="Z18" s="22">
        <v>31695</v>
      </c>
      <c r="AA18" s="22">
        <v>26071</v>
      </c>
      <c r="AB18" s="22">
        <v>22291</v>
      </c>
      <c r="AC18" s="74"/>
      <c r="AE18" s="17">
        <f>+AC51</f>
        <v>22442595</v>
      </c>
      <c r="AG18" s="18"/>
      <c r="AH18" s="18"/>
      <c r="AI18" s="23"/>
      <c r="AJ18" s="23"/>
      <c r="AK18" s="23"/>
      <c r="AL18" s="23"/>
      <c r="AM18" s="23"/>
      <c r="AN18" s="23"/>
      <c r="AO18" s="23"/>
      <c r="AP18" s="23"/>
      <c r="AQ18" s="23"/>
      <c r="AR18" s="23"/>
      <c r="AS18" s="23"/>
      <c r="AT18" s="23"/>
      <c r="AU18" s="23"/>
      <c r="AV18" s="23"/>
      <c r="AW18" s="23"/>
      <c r="AX18" s="23"/>
      <c r="AY18" s="23"/>
      <c r="AZ18" s="23"/>
      <c r="BA18" s="23"/>
      <c r="BB18" s="23"/>
      <c r="BC18" s="23"/>
      <c r="BD18" s="23"/>
      <c r="BE18" s="23"/>
      <c r="BF18" s="23"/>
    </row>
    <row r="19" spans="2:58" ht="18.649999999999999" customHeight="1" x14ac:dyDescent="0.3">
      <c r="B19" s="70" t="s">
        <v>35</v>
      </c>
      <c r="C19" s="4" t="s">
        <v>29</v>
      </c>
      <c r="D19" s="5">
        <v>22</v>
      </c>
      <c r="E19" s="22">
        <v>16050</v>
      </c>
      <c r="F19" s="22">
        <v>15337</v>
      </c>
      <c r="G19" s="22">
        <v>15312</v>
      </c>
      <c r="H19" s="22">
        <v>14986</v>
      </c>
      <c r="I19" s="22">
        <v>16377</v>
      </c>
      <c r="J19" s="22">
        <v>20734</v>
      </c>
      <c r="K19" s="22">
        <v>23551</v>
      </c>
      <c r="L19" s="22">
        <v>34691</v>
      </c>
      <c r="M19" s="22">
        <v>34244</v>
      </c>
      <c r="N19" s="22">
        <v>34068</v>
      </c>
      <c r="O19" s="22">
        <v>35745</v>
      </c>
      <c r="P19" s="22">
        <v>36974</v>
      </c>
      <c r="Q19" s="22">
        <v>36770</v>
      </c>
      <c r="R19" s="22">
        <v>36817</v>
      </c>
      <c r="S19" s="22">
        <v>38231</v>
      </c>
      <c r="T19" s="22">
        <v>38187</v>
      </c>
      <c r="U19" s="22">
        <v>37955</v>
      </c>
      <c r="V19" s="22">
        <v>31953</v>
      </c>
      <c r="W19" s="22">
        <v>35060</v>
      </c>
      <c r="X19" s="22">
        <v>35860</v>
      </c>
      <c r="Y19" s="22">
        <v>34736</v>
      </c>
      <c r="Z19" s="22">
        <v>31536</v>
      </c>
      <c r="AA19" s="22">
        <v>26732</v>
      </c>
      <c r="AB19" s="22">
        <v>22689</v>
      </c>
      <c r="AC19" s="72">
        <f>+SUM(E19:AB19)*D19+SUM(E20:AB20)*D20+SUM(E21:AB21)*D21+SUM(E22:AB22)*D22</f>
        <v>20862710</v>
      </c>
      <c r="AE19" s="19">
        <f>SUM(AE7:AE18)</f>
        <v>221362249</v>
      </c>
      <c r="AG19" s="18"/>
      <c r="AH19" s="18"/>
      <c r="AI19" s="23"/>
      <c r="AJ19" s="23"/>
      <c r="AK19" s="23"/>
      <c r="AL19" s="23"/>
      <c r="AM19" s="23"/>
      <c r="AN19" s="23"/>
      <c r="AO19" s="23"/>
      <c r="AP19" s="23"/>
      <c r="AQ19" s="23"/>
      <c r="AR19" s="23"/>
      <c r="AS19" s="23"/>
      <c r="AT19" s="23"/>
      <c r="AU19" s="23"/>
      <c r="AV19" s="23"/>
      <c r="AW19" s="23"/>
      <c r="AX19" s="23"/>
      <c r="AY19" s="23"/>
      <c r="AZ19" s="23"/>
      <c r="BA19" s="23"/>
      <c r="BB19" s="23"/>
      <c r="BC19" s="23"/>
      <c r="BD19" s="23"/>
      <c r="BE19" s="23"/>
      <c r="BF19" s="23"/>
    </row>
    <row r="20" spans="2:58" ht="18.649999999999999" customHeight="1" x14ac:dyDescent="0.25">
      <c r="B20" s="70" t="s">
        <v>35</v>
      </c>
      <c r="C20" s="4" t="s">
        <v>30</v>
      </c>
      <c r="D20" s="5">
        <v>4</v>
      </c>
      <c r="E20" s="22">
        <v>17509</v>
      </c>
      <c r="F20" s="22">
        <v>16513</v>
      </c>
      <c r="G20" s="22">
        <v>15927</v>
      </c>
      <c r="H20" s="22">
        <v>15777</v>
      </c>
      <c r="I20" s="22">
        <v>16322</v>
      </c>
      <c r="J20" s="22">
        <v>17099</v>
      </c>
      <c r="K20" s="22">
        <v>17702</v>
      </c>
      <c r="L20" s="22">
        <v>32680</v>
      </c>
      <c r="M20" s="22">
        <v>33626</v>
      </c>
      <c r="N20" s="22">
        <v>34372</v>
      </c>
      <c r="O20" s="22">
        <v>35906</v>
      </c>
      <c r="P20" s="22">
        <v>36047</v>
      </c>
      <c r="Q20" s="22">
        <v>37367</v>
      </c>
      <c r="R20" s="22">
        <v>36392</v>
      </c>
      <c r="S20" s="22">
        <v>36979</v>
      </c>
      <c r="T20" s="22">
        <v>37295</v>
      </c>
      <c r="U20" s="22">
        <v>37549</v>
      </c>
      <c r="V20" s="22">
        <v>30907</v>
      </c>
      <c r="W20" s="22">
        <v>36164</v>
      </c>
      <c r="X20" s="22">
        <v>34431</v>
      </c>
      <c r="Y20" s="22">
        <v>32873</v>
      </c>
      <c r="Z20" s="22">
        <v>30949</v>
      </c>
      <c r="AA20" s="22">
        <v>27774</v>
      </c>
      <c r="AB20" s="22">
        <v>26768</v>
      </c>
      <c r="AC20" s="73"/>
      <c r="AE20" s="20"/>
      <c r="AG20" s="18"/>
      <c r="AH20" s="18"/>
      <c r="AI20" s="23"/>
      <c r="AJ20" s="23"/>
      <c r="AK20" s="23"/>
      <c r="AL20" s="23"/>
      <c r="AM20" s="23"/>
      <c r="AN20" s="23"/>
      <c r="AO20" s="23"/>
      <c r="AP20" s="23"/>
      <c r="AQ20" s="23"/>
      <c r="AR20" s="23"/>
      <c r="AS20" s="23"/>
      <c r="AT20" s="23"/>
      <c r="AU20" s="23"/>
      <c r="AV20" s="23"/>
      <c r="AW20" s="23"/>
      <c r="AX20" s="23"/>
      <c r="AY20" s="23"/>
      <c r="AZ20" s="23"/>
      <c r="BA20" s="23"/>
      <c r="BB20" s="23"/>
      <c r="BC20" s="23"/>
      <c r="BD20" s="23"/>
      <c r="BE20" s="23"/>
      <c r="BF20" s="23"/>
    </row>
    <row r="21" spans="2:58" ht="18.649999999999999" customHeight="1" x14ac:dyDescent="0.25">
      <c r="B21" s="70" t="s">
        <v>35</v>
      </c>
      <c r="C21" s="4" t="s">
        <v>31</v>
      </c>
      <c r="D21" s="5">
        <v>4</v>
      </c>
      <c r="E21" s="22">
        <v>18704</v>
      </c>
      <c r="F21" s="22">
        <v>17231</v>
      </c>
      <c r="G21" s="22">
        <v>16177</v>
      </c>
      <c r="H21" s="22">
        <v>15940</v>
      </c>
      <c r="I21" s="22">
        <v>15113</v>
      </c>
      <c r="J21" s="22">
        <v>15052</v>
      </c>
      <c r="K21" s="22">
        <v>15591</v>
      </c>
      <c r="L21" s="22">
        <v>27052</v>
      </c>
      <c r="M21" s="22">
        <v>29875</v>
      </c>
      <c r="N21" s="22">
        <v>30699</v>
      </c>
      <c r="O21" s="22">
        <v>32037</v>
      </c>
      <c r="P21" s="22">
        <v>32533</v>
      </c>
      <c r="Q21" s="22">
        <v>34009</v>
      </c>
      <c r="R21" s="22">
        <v>34033</v>
      </c>
      <c r="S21" s="22">
        <v>33867</v>
      </c>
      <c r="T21" s="22">
        <v>33460</v>
      </c>
      <c r="U21" s="22">
        <v>34298</v>
      </c>
      <c r="V21" s="22">
        <v>29613</v>
      </c>
      <c r="W21" s="22">
        <v>33038</v>
      </c>
      <c r="X21" s="22">
        <v>33682</v>
      </c>
      <c r="Y21" s="22">
        <v>33208</v>
      </c>
      <c r="Z21" s="22">
        <v>30860</v>
      </c>
      <c r="AA21" s="22">
        <v>27485</v>
      </c>
      <c r="AB21" s="22">
        <v>21920</v>
      </c>
      <c r="AC21" s="73"/>
      <c r="AE21" s="20"/>
      <c r="AG21" s="18"/>
      <c r="AH21" s="18"/>
      <c r="AI21" s="23"/>
      <c r="AJ21" s="23"/>
      <c r="AK21" s="23"/>
      <c r="AL21" s="23"/>
      <c r="AM21" s="23"/>
      <c r="AN21" s="23"/>
      <c r="AO21" s="23"/>
      <c r="AP21" s="23"/>
      <c r="AQ21" s="23"/>
      <c r="AR21" s="23"/>
      <c r="AS21" s="23"/>
      <c r="AT21" s="23"/>
      <c r="AU21" s="23"/>
      <c r="AV21" s="23"/>
      <c r="AW21" s="23"/>
      <c r="AX21" s="23"/>
      <c r="AY21" s="23"/>
      <c r="AZ21" s="23"/>
      <c r="BA21" s="23"/>
      <c r="BB21" s="23"/>
      <c r="BC21" s="23"/>
      <c r="BD21" s="23"/>
      <c r="BE21" s="23"/>
      <c r="BF21" s="23"/>
    </row>
    <row r="22" spans="2:58" ht="18.649999999999999" customHeight="1" x14ac:dyDescent="0.25">
      <c r="B22" s="70" t="s">
        <v>35</v>
      </c>
      <c r="C22" s="4" t="s">
        <v>32</v>
      </c>
      <c r="D22" s="5">
        <v>0</v>
      </c>
      <c r="E22" s="22">
        <v>27608</v>
      </c>
      <c r="F22" s="22">
        <v>24521</v>
      </c>
      <c r="G22" s="22">
        <v>23220</v>
      </c>
      <c r="H22" s="22">
        <v>22148</v>
      </c>
      <c r="I22" s="22">
        <v>22363</v>
      </c>
      <c r="J22" s="22">
        <v>23052</v>
      </c>
      <c r="K22" s="22">
        <v>24962</v>
      </c>
      <c r="L22" s="22">
        <v>33253</v>
      </c>
      <c r="M22" s="22">
        <v>36755</v>
      </c>
      <c r="N22" s="22">
        <v>38703</v>
      </c>
      <c r="O22" s="22">
        <v>40076</v>
      </c>
      <c r="P22" s="22">
        <v>43733</v>
      </c>
      <c r="Q22" s="22">
        <v>44907</v>
      </c>
      <c r="R22" s="22">
        <v>43706</v>
      </c>
      <c r="S22" s="22">
        <v>43103</v>
      </c>
      <c r="T22" s="22">
        <v>42394</v>
      </c>
      <c r="U22" s="22">
        <v>42032</v>
      </c>
      <c r="V22" s="22">
        <v>47439</v>
      </c>
      <c r="W22" s="22">
        <v>52553</v>
      </c>
      <c r="X22" s="22">
        <v>54267</v>
      </c>
      <c r="Y22" s="22">
        <v>52319</v>
      </c>
      <c r="Z22" s="22">
        <v>49543</v>
      </c>
      <c r="AA22" s="22">
        <v>44673</v>
      </c>
      <c r="AB22" s="22">
        <v>38580</v>
      </c>
      <c r="AC22" s="74"/>
      <c r="AG22" s="18"/>
      <c r="AH22" s="18"/>
      <c r="AI22" s="23"/>
      <c r="AJ22" s="23"/>
      <c r="AK22" s="23"/>
      <c r="AL22" s="23"/>
      <c r="AM22" s="23"/>
      <c r="AN22" s="23"/>
      <c r="AO22" s="23"/>
      <c r="AP22" s="23"/>
      <c r="AQ22" s="23"/>
      <c r="AR22" s="23"/>
      <c r="AS22" s="23"/>
      <c r="AT22" s="23"/>
      <c r="AU22" s="23"/>
      <c r="AV22" s="23"/>
      <c r="AW22" s="23"/>
      <c r="AX22" s="23"/>
      <c r="AY22" s="23"/>
      <c r="AZ22" s="23"/>
      <c r="BA22" s="23"/>
      <c r="BB22" s="23"/>
      <c r="BC22" s="23"/>
      <c r="BD22" s="23"/>
      <c r="BE22" s="23"/>
      <c r="BF22" s="23"/>
    </row>
    <row r="23" spans="2:58" ht="18.649999999999999" customHeight="1" x14ac:dyDescent="0.25">
      <c r="B23" s="70" t="s">
        <v>36</v>
      </c>
      <c r="C23" s="4" t="s">
        <v>29</v>
      </c>
      <c r="D23" s="5">
        <v>19</v>
      </c>
      <c r="E23" s="22">
        <v>9410</v>
      </c>
      <c r="F23" s="22">
        <v>8966</v>
      </c>
      <c r="G23" s="22">
        <v>8652</v>
      </c>
      <c r="H23" s="22">
        <v>8751</v>
      </c>
      <c r="I23" s="22">
        <v>9664</v>
      </c>
      <c r="J23" s="22">
        <v>12577</v>
      </c>
      <c r="K23" s="22">
        <v>14195</v>
      </c>
      <c r="L23" s="22">
        <v>21312</v>
      </c>
      <c r="M23" s="22">
        <v>20973</v>
      </c>
      <c r="N23" s="22">
        <v>20498</v>
      </c>
      <c r="O23" s="22">
        <v>21165</v>
      </c>
      <c r="P23" s="22">
        <v>22611</v>
      </c>
      <c r="Q23" s="22">
        <v>22234</v>
      </c>
      <c r="R23" s="22">
        <v>22506</v>
      </c>
      <c r="S23" s="22">
        <v>23371</v>
      </c>
      <c r="T23" s="22">
        <v>23442</v>
      </c>
      <c r="U23" s="22">
        <v>23134</v>
      </c>
      <c r="V23" s="22">
        <v>20243</v>
      </c>
      <c r="W23" s="22">
        <v>22106</v>
      </c>
      <c r="X23" s="22">
        <v>22648</v>
      </c>
      <c r="Y23" s="22">
        <v>21690</v>
      </c>
      <c r="Z23" s="22">
        <v>19717</v>
      </c>
      <c r="AA23" s="22">
        <v>16937</v>
      </c>
      <c r="AB23" s="22">
        <v>14379</v>
      </c>
      <c r="AC23" s="72">
        <f>+SUM(E23:AB23)*D23+SUM(E24:AB24)*D24+SUM(E25:AB25)*D25+SUM(E26:AB26)*D26</f>
        <v>13081884</v>
      </c>
      <c r="AG23" s="18"/>
      <c r="AH23" s="18"/>
      <c r="AI23" s="23"/>
      <c r="AJ23" s="23"/>
      <c r="AK23" s="23"/>
      <c r="AL23" s="23"/>
      <c r="AM23" s="23"/>
      <c r="AN23" s="23"/>
      <c r="AO23" s="23"/>
      <c r="AP23" s="23"/>
      <c r="AQ23" s="23"/>
      <c r="AR23" s="23"/>
      <c r="AS23" s="23"/>
      <c r="AT23" s="23"/>
      <c r="AU23" s="23"/>
      <c r="AV23" s="23"/>
      <c r="AW23" s="23"/>
      <c r="AX23" s="23"/>
      <c r="AY23" s="23"/>
      <c r="AZ23" s="23"/>
      <c r="BA23" s="23"/>
      <c r="BB23" s="23"/>
      <c r="BC23" s="23"/>
      <c r="BD23" s="23"/>
      <c r="BE23" s="23"/>
      <c r="BF23" s="23"/>
    </row>
    <row r="24" spans="2:58" ht="18.649999999999999" customHeight="1" x14ac:dyDescent="0.25">
      <c r="B24" s="70" t="s">
        <v>36</v>
      </c>
      <c r="C24" s="4" t="s">
        <v>30</v>
      </c>
      <c r="D24" s="5">
        <v>4</v>
      </c>
      <c r="E24" s="22">
        <v>10389</v>
      </c>
      <c r="F24" s="22">
        <v>9317</v>
      </c>
      <c r="G24" s="22">
        <v>9151</v>
      </c>
      <c r="H24" s="22">
        <v>9022</v>
      </c>
      <c r="I24" s="22">
        <v>9310</v>
      </c>
      <c r="J24" s="22">
        <v>9643</v>
      </c>
      <c r="K24" s="22">
        <v>10953</v>
      </c>
      <c r="L24" s="22">
        <v>19965</v>
      </c>
      <c r="M24" s="22">
        <v>21232</v>
      </c>
      <c r="N24" s="22">
        <v>21846</v>
      </c>
      <c r="O24" s="22">
        <v>22048</v>
      </c>
      <c r="P24" s="22">
        <v>22213</v>
      </c>
      <c r="Q24" s="22">
        <v>22446</v>
      </c>
      <c r="R24" s="22">
        <v>21785</v>
      </c>
      <c r="S24" s="22">
        <v>21700</v>
      </c>
      <c r="T24" s="22">
        <v>21729</v>
      </c>
      <c r="U24" s="22">
        <v>21649</v>
      </c>
      <c r="V24" s="22">
        <v>19181</v>
      </c>
      <c r="W24" s="22">
        <v>21152</v>
      </c>
      <c r="X24" s="22">
        <v>22158</v>
      </c>
      <c r="Y24" s="22">
        <v>21139</v>
      </c>
      <c r="Z24" s="22">
        <v>19726</v>
      </c>
      <c r="AA24" s="22">
        <v>17437</v>
      </c>
      <c r="AB24" s="22">
        <v>15149</v>
      </c>
      <c r="AC24" s="73"/>
      <c r="AG24" s="18"/>
      <c r="AH24" s="18"/>
      <c r="AI24" s="23"/>
      <c r="AJ24" s="23"/>
      <c r="AK24" s="23"/>
      <c r="AL24" s="23"/>
      <c r="AM24" s="23"/>
      <c r="AN24" s="23"/>
      <c r="AO24" s="23"/>
      <c r="AP24" s="23"/>
      <c r="AQ24" s="23"/>
      <c r="AR24" s="23"/>
      <c r="AS24" s="23"/>
      <c r="AT24" s="23"/>
      <c r="AU24" s="23"/>
      <c r="AV24" s="23"/>
      <c r="AW24" s="23"/>
      <c r="AX24" s="23"/>
      <c r="AY24" s="23"/>
      <c r="AZ24" s="23"/>
      <c r="BA24" s="23"/>
      <c r="BB24" s="23"/>
      <c r="BC24" s="23"/>
      <c r="BD24" s="23"/>
      <c r="BE24" s="23"/>
      <c r="BF24" s="23"/>
    </row>
    <row r="25" spans="2:58" ht="18.649999999999999" customHeight="1" x14ac:dyDescent="0.25">
      <c r="B25" s="70" t="s">
        <v>36</v>
      </c>
      <c r="C25" s="4" t="s">
        <v>31</v>
      </c>
      <c r="D25" s="5">
        <v>5</v>
      </c>
      <c r="E25" s="22">
        <v>10516</v>
      </c>
      <c r="F25" s="22">
        <v>9849</v>
      </c>
      <c r="G25" s="22">
        <v>8928</v>
      </c>
      <c r="H25" s="22">
        <v>8722</v>
      </c>
      <c r="I25" s="22">
        <v>8343</v>
      </c>
      <c r="J25" s="22">
        <v>8371</v>
      </c>
      <c r="K25" s="22">
        <v>8728</v>
      </c>
      <c r="L25" s="22">
        <v>16761</v>
      </c>
      <c r="M25" s="22">
        <v>18300</v>
      </c>
      <c r="N25" s="22">
        <v>19131</v>
      </c>
      <c r="O25" s="22">
        <v>19765</v>
      </c>
      <c r="P25" s="22">
        <v>20034</v>
      </c>
      <c r="Q25" s="22">
        <v>20386</v>
      </c>
      <c r="R25" s="22">
        <v>19898</v>
      </c>
      <c r="S25" s="22">
        <v>19580</v>
      </c>
      <c r="T25" s="22">
        <v>19909</v>
      </c>
      <c r="U25" s="22">
        <v>20856</v>
      </c>
      <c r="V25" s="22">
        <v>16615</v>
      </c>
      <c r="W25" s="22">
        <v>20314</v>
      </c>
      <c r="X25" s="22">
        <v>21001</v>
      </c>
      <c r="Y25" s="22">
        <v>20406</v>
      </c>
      <c r="Z25" s="22">
        <v>18620</v>
      </c>
      <c r="AA25" s="22">
        <v>15795</v>
      </c>
      <c r="AB25" s="22">
        <v>13074</v>
      </c>
      <c r="AC25" s="73"/>
      <c r="AG25" s="18"/>
      <c r="AH25" s="18"/>
      <c r="AI25" s="23"/>
      <c r="AJ25" s="23"/>
      <c r="AK25" s="23"/>
      <c r="AL25" s="23"/>
      <c r="AM25" s="23"/>
      <c r="AN25" s="23"/>
      <c r="AO25" s="23"/>
      <c r="AP25" s="23"/>
      <c r="AQ25" s="23"/>
      <c r="AR25" s="23"/>
      <c r="AS25" s="23"/>
      <c r="AT25" s="23"/>
      <c r="AU25" s="23"/>
      <c r="AV25" s="23"/>
      <c r="AW25" s="23"/>
      <c r="AX25" s="23"/>
      <c r="AY25" s="23"/>
      <c r="AZ25" s="23"/>
      <c r="BA25" s="23"/>
      <c r="BB25" s="23"/>
      <c r="BC25" s="23"/>
      <c r="BD25" s="23"/>
      <c r="BE25" s="23"/>
      <c r="BF25" s="23"/>
    </row>
    <row r="26" spans="2:58" ht="18.649999999999999" customHeight="1" x14ac:dyDescent="0.25">
      <c r="B26" s="70" t="s">
        <v>36</v>
      </c>
      <c r="C26" s="4" t="s">
        <v>32</v>
      </c>
      <c r="D26" s="5">
        <v>3</v>
      </c>
      <c r="E26" s="22">
        <v>9053</v>
      </c>
      <c r="F26" s="22">
        <v>9846</v>
      </c>
      <c r="G26" s="22">
        <v>9805</v>
      </c>
      <c r="H26" s="22">
        <v>9178</v>
      </c>
      <c r="I26" s="22">
        <v>9955</v>
      </c>
      <c r="J26" s="22">
        <v>10279</v>
      </c>
      <c r="K26" s="22">
        <v>10932</v>
      </c>
      <c r="L26" s="22">
        <v>19315</v>
      </c>
      <c r="M26" s="22">
        <v>20014</v>
      </c>
      <c r="N26" s="22">
        <v>21460</v>
      </c>
      <c r="O26" s="22">
        <v>22593</v>
      </c>
      <c r="P26" s="22">
        <v>23712</v>
      </c>
      <c r="Q26" s="22">
        <v>24533</v>
      </c>
      <c r="R26" s="22">
        <v>24350</v>
      </c>
      <c r="S26" s="22">
        <v>23179</v>
      </c>
      <c r="T26" s="22">
        <v>23016</v>
      </c>
      <c r="U26" s="22">
        <v>22124</v>
      </c>
      <c r="V26" s="22">
        <v>19674</v>
      </c>
      <c r="W26" s="22">
        <v>22218</v>
      </c>
      <c r="X26" s="22">
        <v>21946</v>
      </c>
      <c r="Y26" s="22">
        <v>20970</v>
      </c>
      <c r="Z26" s="22">
        <v>19662</v>
      </c>
      <c r="AA26" s="22">
        <v>17108</v>
      </c>
      <c r="AB26" s="22">
        <v>14603</v>
      </c>
      <c r="AC26" s="74"/>
      <c r="AG26" s="18"/>
      <c r="AH26" s="18"/>
      <c r="AI26" s="23"/>
      <c r="AJ26" s="23"/>
      <c r="AK26" s="23"/>
      <c r="AL26" s="23"/>
      <c r="AM26" s="23"/>
      <c r="AN26" s="23"/>
      <c r="AO26" s="23"/>
      <c r="AP26" s="23"/>
      <c r="AQ26" s="23"/>
      <c r="AR26" s="23"/>
      <c r="AS26" s="23"/>
      <c r="AT26" s="23"/>
      <c r="AU26" s="23"/>
      <c r="AV26" s="23"/>
      <c r="AW26" s="23"/>
      <c r="AX26" s="23"/>
      <c r="AY26" s="23"/>
      <c r="AZ26" s="23"/>
      <c r="BA26" s="23"/>
      <c r="BB26" s="23"/>
      <c r="BC26" s="23"/>
      <c r="BD26" s="23"/>
      <c r="BE26" s="23"/>
      <c r="BF26" s="23"/>
    </row>
    <row r="27" spans="2:58" ht="18.649999999999999" customHeight="1" x14ac:dyDescent="0.25">
      <c r="B27" s="70" t="s">
        <v>37</v>
      </c>
      <c r="C27" s="4" t="s">
        <v>29</v>
      </c>
      <c r="D27" s="5">
        <v>21</v>
      </c>
      <c r="E27" s="22">
        <v>9029</v>
      </c>
      <c r="F27" s="22">
        <v>8400</v>
      </c>
      <c r="G27" s="22">
        <v>8212</v>
      </c>
      <c r="H27" s="22">
        <v>8105</v>
      </c>
      <c r="I27" s="22">
        <v>9141</v>
      </c>
      <c r="J27" s="22">
        <v>11764</v>
      </c>
      <c r="K27" s="22">
        <v>13616</v>
      </c>
      <c r="L27" s="22">
        <v>22440</v>
      </c>
      <c r="M27" s="22">
        <v>22214</v>
      </c>
      <c r="N27" s="22">
        <v>22588</v>
      </c>
      <c r="O27" s="22">
        <v>23428</v>
      </c>
      <c r="P27" s="22">
        <v>24253</v>
      </c>
      <c r="Q27" s="22">
        <v>24084</v>
      </c>
      <c r="R27" s="22">
        <v>24046</v>
      </c>
      <c r="S27" s="22">
        <v>24835</v>
      </c>
      <c r="T27" s="22">
        <v>24825</v>
      </c>
      <c r="U27" s="22">
        <v>24804</v>
      </c>
      <c r="V27" s="22">
        <v>20893</v>
      </c>
      <c r="W27" s="22">
        <v>23384</v>
      </c>
      <c r="X27" s="22">
        <v>23716</v>
      </c>
      <c r="Y27" s="22">
        <v>22282</v>
      </c>
      <c r="Z27" s="22">
        <v>19889</v>
      </c>
      <c r="AA27" s="22">
        <v>16743</v>
      </c>
      <c r="AB27" s="22">
        <v>14134</v>
      </c>
      <c r="AC27" s="72">
        <f>+SUM(E27:AB27)*D27+SUM(E28:AB28)*D28+SUM(E29:AB29)*D29+SUM(E30:AB30)*D30</f>
        <v>13075450</v>
      </c>
      <c r="AG27" s="18"/>
      <c r="AH27" s="18"/>
      <c r="AI27" s="23"/>
      <c r="AJ27" s="23"/>
      <c r="AK27" s="23"/>
      <c r="AL27" s="23"/>
      <c r="AM27" s="23"/>
      <c r="AN27" s="23"/>
      <c r="AO27" s="23"/>
      <c r="AP27" s="23"/>
      <c r="AQ27" s="23"/>
      <c r="AR27" s="23"/>
      <c r="AS27" s="23"/>
      <c r="AT27" s="23"/>
      <c r="AU27" s="23"/>
      <c r="AV27" s="23"/>
      <c r="AW27" s="23"/>
      <c r="AX27" s="23"/>
      <c r="AY27" s="23"/>
      <c r="AZ27" s="23"/>
      <c r="BA27" s="23"/>
      <c r="BB27" s="23"/>
      <c r="BC27" s="23"/>
      <c r="BD27" s="23"/>
      <c r="BE27" s="23"/>
      <c r="BF27" s="23"/>
    </row>
    <row r="28" spans="2:58" ht="18.649999999999999" customHeight="1" x14ac:dyDescent="0.25">
      <c r="B28" s="70" t="s">
        <v>37</v>
      </c>
      <c r="C28" s="4" t="s">
        <v>30</v>
      </c>
      <c r="D28" s="5">
        <v>4</v>
      </c>
      <c r="E28" s="22">
        <v>9591</v>
      </c>
      <c r="F28" s="22">
        <v>8782</v>
      </c>
      <c r="G28" s="22">
        <v>8404</v>
      </c>
      <c r="H28" s="22">
        <v>8141</v>
      </c>
      <c r="I28" s="22">
        <v>8535</v>
      </c>
      <c r="J28" s="22">
        <v>9263</v>
      </c>
      <c r="K28" s="22">
        <v>10409</v>
      </c>
      <c r="L28" s="22">
        <v>21032</v>
      </c>
      <c r="M28" s="22">
        <v>21997</v>
      </c>
      <c r="N28" s="22">
        <v>22563</v>
      </c>
      <c r="O28" s="22">
        <v>23214</v>
      </c>
      <c r="P28" s="22">
        <v>23524</v>
      </c>
      <c r="Q28" s="22">
        <v>23602</v>
      </c>
      <c r="R28" s="22">
        <v>23084</v>
      </c>
      <c r="S28" s="22">
        <v>22613</v>
      </c>
      <c r="T28" s="22">
        <v>22603</v>
      </c>
      <c r="U28" s="22">
        <v>22484</v>
      </c>
      <c r="V28" s="22">
        <v>19394</v>
      </c>
      <c r="W28" s="22">
        <v>21632</v>
      </c>
      <c r="X28" s="22">
        <v>22735</v>
      </c>
      <c r="Y28" s="22">
        <v>21617</v>
      </c>
      <c r="Z28" s="22">
        <v>19794</v>
      </c>
      <c r="AA28" s="22">
        <v>17697</v>
      </c>
      <c r="AB28" s="22">
        <v>15274</v>
      </c>
      <c r="AC28" s="73"/>
      <c r="AG28" s="18"/>
      <c r="AH28" s="18"/>
      <c r="AI28" s="23"/>
      <c r="AJ28" s="23"/>
      <c r="AK28" s="23"/>
      <c r="AL28" s="23"/>
      <c r="AM28" s="23"/>
      <c r="AN28" s="23"/>
      <c r="AO28" s="23"/>
      <c r="AP28" s="23"/>
      <c r="AQ28" s="23"/>
      <c r="AR28" s="23"/>
      <c r="AS28" s="23"/>
      <c r="AT28" s="23"/>
      <c r="AU28" s="23"/>
      <c r="AV28" s="23"/>
      <c r="AW28" s="23"/>
      <c r="AX28" s="23"/>
      <c r="AY28" s="23"/>
      <c r="AZ28" s="23"/>
      <c r="BA28" s="23"/>
      <c r="BB28" s="23"/>
      <c r="BC28" s="23"/>
      <c r="BD28" s="23"/>
      <c r="BE28" s="23"/>
      <c r="BF28" s="23"/>
    </row>
    <row r="29" spans="2:58" ht="18.649999999999999" customHeight="1" x14ac:dyDescent="0.25">
      <c r="B29" s="70" t="s">
        <v>37</v>
      </c>
      <c r="C29" s="4" t="s">
        <v>31</v>
      </c>
      <c r="D29" s="5">
        <v>4</v>
      </c>
      <c r="E29" s="22">
        <v>10872</v>
      </c>
      <c r="F29" s="22">
        <v>9760</v>
      </c>
      <c r="G29" s="22">
        <v>9135</v>
      </c>
      <c r="H29" s="22">
        <v>8868</v>
      </c>
      <c r="I29" s="22">
        <v>8591</v>
      </c>
      <c r="J29" s="22">
        <v>8351</v>
      </c>
      <c r="K29" s="22">
        <v>8310</v>
      </c>
      <c r="L29" s="22">
        <v>17366</v>
      </c>
      <c r="M29" s="22">
        <v>18782</v>
      </c>
      <c r="N29" s="22">
        <v>19913</v>
      </c>
      <c r="O29" s="22">
        <v>20438</v>
      </c>
      <c r="P29" s="22">
        <v>20861</v>
      </c>
      <c r="Q29" s="22">
        <v>21067</v>
      </c>
      <c r="R29" s="22">
        <v>21012</v>
      </c>
      <c r="S29" s="22">
        <v>20555</v>
      </c>
      <c r="T29" s="22">
        <v>20734</v>
      </c>
      <c r="U29" s="22">
        <v>20939</v>
      </c>
      <c r="V29" s="22">
        <v>18202</v>
      </c>
      <c r="W29" s="22">
        <v>20291</v>
      </c>
      <c r="X29" s="22">
        <v>21437</v>
      </c>
      <c r="Y29" s="22">
        <v>20645</v>
      </c>
      <c r="Z29" s="22">
        <v>19097</v>
      </c>
      <c r="AA29" s="22">
        <v>16834</v>
      </c>
      <c r="AB29" s="22">
        <v>14270</v>
      </c>
      <c r="AC29" s="73"/>
      <c r="AG29" s="18"/>
      <c r="AH29" s="18"/>
      <c r="AI29" s="23"/>
      <c r="AJ29" s="23"/>
      <c r="AK29" s="23"/>
      <c r="AL29" s="23"/>
      <c r="AM29" s="23"/>
      <c r="AN29" s="23"/>
      <c r="AO29" s="23"/>
      <c r="AP29" s="23"/>
      <c r="AQ29" s="23"/>
      <c r="AR29" s="23"/>
      <c r="AS29" s="23"/>
      <c r="AT29" s="23"/>
      <c r="AU29" s="23"/>
      <c r="AV29" s="23"/>
      <c r="AW29" s="23"/>
      <c r="AX29" s="23"/>
      <c r="AY29" s="23"/>
      <c r="AZ29" s="23"/>
      <c r="BA29" s="23"/>
      <c r="BB29" s="23"/>
      <c r="BC29" s="23"/>
      <c r="BD29" s="23"/>
      <c r="BE29" s="23"/>
      <c r="BF29" s="23"/>
    </row>
    <row r="30" spans="2:58" ht="18.649999999999999" customHeight="1" x14ac:dyDescent="0.25">
      <c r="B30" s="70" t="s">
        <v>37</v>
      </c>
      <c r="C30" s="4" t="s">
        <v>32</v>
      </c>
      <c r="D30" s="5">
        <v>1</v>
      </c>
      <c r="E30" s="22">
        <v>9542</v>
      </c>
      <c r="F30" s="22">
        <v>8859</v>
      </c>
      <c r="G30" s="22">
        <v>8346</v>
      </c>
      <c r="H30" s="22">
        <v>8135</v>
      </c>
      <c r="I30" s="22">
        <v>8200</v>
      </c>
      <c r="J30" s="22">
        <v>8208</v>
      </c>
      <c r="K30" s="22">
        <v>7924</v>
      </c>
      <c r="L30" s="22">
        <v>16805</v>
      </c>
      <c r="M30" s="22">
        <v>17451</v>
      </c>
      <c r="N30" s="22">
        <v>17991</v>
      </c>
      <c r="O30" s="22">
        <v>20147</v>
      </c>
      <c r="P30" s="22">
        <v>21111</v>
      </c>
      <c r="Q30" s="22">
        <v>22314</v>
      </c>
      <c r="R30" s="22">
        <v>22110</v>
      </c>
      <c r="S30" s="22">
        <v>21949</v>
      </c>
      <c r="T30" s="22">
        <v>21927</v>
      </c>
      <c r="U30" s="22">
        <v>21460</v>
      </c>
      <c r="V30" s="22">
        <v>18523</v>
      </c>
      <c r="W30" s="22">
        <v>21134</v>
      </c>
      <c r="X30" s="22">
        <v>21869</v>
      </c>
      <c r="Y30" s="22">
        <v>21064</v>
      </c>
      <c r="Z30" s="22">
        <v>19366</v>
      </c>
      <c r="AA30" s="22">
        <v>16518</v>
      </c>
      <c r="AB30" s="22">
        <v>13916</v>
      </c>
      <c r="AC30" s="74"/>
      <c r="AG30" s="18"/>
      <c r="AH30" s="18"/>
      <c r="AI30" s="23"/>
      <c r="AJ30" s="23"/>
      <c r="AK30" s="23"/>
      <c r="AL30" s="23"/>
      <c r="AM30" s="23"/>
      <c r="AN30" s="23"/>
      <c r="AO30" s="23"/>
      <c r="AP30" s="23"/>
      <c r="AQ30" s="23"/>
      <c r="AR30" s="23"/>
      <c r="AS30" s="23"/>
      <c r="AT30" s="23"/>
      <c r="AU30" s="23"/>
      <c r="AV30" s="23"/>
      <c r="AW30" s="23"/>
      <c r="AX30" s="23"/>
      <c r="AY30" s="23"/>
      <c r="AZ30" s="23"/>
      <c r="BA30" s="23"/>
      <c r="BB30" s="23"/>
      <c r="BC30" s="23"/>
      <c r="BD30" s="23"/>
      <c r="BE30" s="23"/>
      <c r="BF30" s="23"/>
    </row>
    <row r="31" spans="2:58" ht="18.649999999999999" customHeight="1" x14ac:dyDescent="0.25">
      <c r="B31" s="70" t="s">
        <v>38</v>
      </c>
      <c r="C31" s="4" t="s">
        <v>29</v>
      </c>
      <c r="D31" s="5">
        <v>20</v>
      </c>
      <c r="E31" s="22">
        <v>12378</v>
      </c>
      <c r="F31" s="22">
        <v>11772</v>
      </c>
      <c r="G31" s="22">
        <v>11453</v>
      </c>
      <c r="H31" s="22">
        <v>11472</v>
      </c>
      <c r="I31" s="22">
        <v>12453</v>
      </c>
      <c r="J31" s="22">
        <v>15409</v>
      </c>
      <c r="K31" s="22">
        <v>17178</v>
      </c>
      <c r="L31" s="22">
        <v>24858</v>
      </c>
      <c r="M31" s="22">
        <v>24662</v>
      </c>
      <c r="N31" s="22">
        <v>24945</v>
      </c>
      <c r="O31" s="22">
        <v>25376</v>
      </c>
      <c r="P31" s="22">
        <v>26964</v>
      </c>
      <c r="Q31" s="22">
        <v>26401</v>
      </c>
      <c r="R31" s="22">
        <v>26498</v>
      </c>
      <c r="S31" s="22">
        <v>27225</v>
      </c>
      <c r="T31" s="22">
        <v>27305</v>
      </c>
      <c r="U31" s="22">
        <v>26913</v>
      </c>
      <c r="V31" s="22">
        <v>22009</v>
      </c>
      <c r="W31" s="22">
        <v>23846</v>
      </c>
      <c r="X31" s="22">
        <v>25286</v>
      </c>
      <c r="Y31" s="22">
        <v>24131</v>
      </c>
      <c r="Z31" s="22">
        <v>21709</v>
      </c>
      <c r="AA31" s="22">
        <v>18286</v>
      </c>
      <c r="AB31" s="22">
        <v>15839</v>
      </c>
      <c r="AC31" s="72">
        <f>+SUM(E31:AB31)*D31+SUM(E32:AB32)*D32+SUM(E33:AB33)*D33+SUM(E34:AB34)*D34</f>
        <v>15106714</v>
      </c>
      <c r="AG31" s="18"/>
      <c r="AH31" s="18"/>
      <c r="AI31" s="23"/>
      <c r="AJ31" s="23"/>
      <c r="AK31" s="23"/>
      <c r="AL31" s="23"/>
      <c r="AM31" s="23"/>
      <c r="AN31" s="23"/>
      <c r="AO31" s="23"/>
      <c r="AP31" s="23"/>
      <c r="AQ31" s="23"/>
      <c r="AR31" s="23"/>
      <c r="AS31" s="23"/>
      <c r="AT31" s="23"/>
      <c r="AU31" s="23"/>
      <c r="AV31" s="23"/>
      <c r="AW31" s="23"/>
      <c r="AX31" s="23"/>
      <c r="AY31" s="23"/>
      <c r="AZ31" s="23"/>
      <c r="BA31" s="23"/>
      <c r="BB31" s="23"/>
      <c r="BC31" s="23"/>
      <c r="BD31" s="23"/>
      <c r="BE31" s="23"/>
      <c r="BF31" s="23"/>
    </row>
    <row r="32" spans="2:58" ht="18.649999999999999" customHeight="1" x14ac:dyDescent="0.25">
      <c r="B32" s="70" t="s">
        <v>38</v>
      </c>
      <c r="C32" s="4" t="s">
        <v>30</v>
      </c>
      <c r="D32" s="5">
        <v>5</v>
      </c>
      <c r="E32" s="22">
        <v>13271</v>
      </c>
      <c r="F32" s="22">
        <v>12518</v>
      </c>
      <c r="G32" s="22">
        <v>11942</v>
      </c>
      <c r="H32" s="22">
        <v>11801</v>
      </c>
      <c r="I32" s="22">
        <v>12018</v>
      </c>
      <c r="J32" s="22">
        <v>12443</v>
      </c>
      <c r="K32" s="22">
        <v>13538</v>
      </c>
      <c r="L32" s="22">
        <v>23494</v>
      </c>
      <c r="M32" s="22">
        <v>24522</v>
      </c>
      <c r="N32" s="22">
        <v>25106</v>
      </c>
      <c r="O32" s="22">
        <v>25327</v>
      </c>
      <c r="P32" s="22">
        <v>26200</v>
      </c>
      <c r="Q32" s="22">
        <v>26490</v>
      </c>
      <c r="R32" s="22">
        <v>26135</v>
      </c>
      <c r="S32" s="22">
        <v>25772</v>
      </c>
      <c r="T32" s="22">
        <v>25392</v>
      </c>
      <c r="U32" s="22">
        <v>24961</v>
      </c>
      <c r="V32" s="22">
        <v>20746</v>
      </c>
      <c r="W32" s="22">
        <v>22122</v>
      </c>
      <c r="X32" s="22">
        <v>23605</v>
      </c>
      <c r="Y32" s="22">
        <v>22316</v>
      </c>
      <c r="Z32" s="22">
        <v>20430</v>
      </c>
      <c r="AA32" s="22">
        <v>18108</v>
      </c>
      <c r="AB32" s="22">
        <v>15923</v>
      </c>
      <c r="AC32" s="73"/>
      <c r="AG32" s="18"/>
      <c r="AH32" s="18"/>
      <c r="AI32" s="23"/>
      <c r="AJ32" s="23"/>
      <c r="AK32" s="23"/>
      <c r="AL32" s="23"/>
      <c r="AM32" s="23"/>
      <c r="AN32" s="23"/>
      <c r="AO32" s="23"/>
      <c r="AP32" s="23"/>
      <c r="AQ32" s="23"/>
      <c r="AR32" s="23"/>
      <c r="AS32" s="23"/>
      <c r="AT32" s="23"/>
      <c r="AU32" s="23"/>
      <c r="AV32" s="23"/>
      <c r="AW32" s="23"/>
      <c r="AX32" s="23"/>
      <c r="AY32" s="23"/>
      <c r="AZ32" s="23"/>
      <c r="BA32" s="23"/>
      <c r="BB32" s="23"/>
      <c r="BC32" s="23"/>
      <c r="BD32" s="23"/>
      <c r="BE32" s="23"/>
      <c r="BF32" s="23"/>
    </row>
    <row r="33" spans="2:58" ht="18.649999999999999" customHeight="1" x14ac:dyDescent="0.25">
      <c r="B33" s="70" t="s">
        <v>38</v>
      </c>
      <c r="C33" s="4" t="s">
        <v>31</v>
      </c>
      <c r="D33" s="5">
        <v>4</v>
      </c>
      <c r="E33" s="22">
        <v>12427</v>
      </c>
      <c r="F33" s="22">
        <v>11620</v>
      </c>
      <c r="G33" s="22">
        <v>11142</v>
      </c>
      <c r="H33" s="22">
        <v>10896</v>
      </c>
      <c r="I33" s="22">
        <v>10697</v>
      </c>
      <c r="J33" s="22">
        <v>10328</v>
      </c>
      <c r="K33" s="22">
        <v>10655</v>
      </c>
      <c r="L33" s="22">
        <v>18868</v>
      </c>
      <c r="M33" s="22">
        <v>20363</v>
      </c>
      <c r="N33" s="22">
        <v>20995</v>
      </c>
      <c r="O33" s="22">
        <v>21519</v>
      </c>
      <c r="P33" s="22">
        <v>22855</v>
      </c>
      <c r="Q33" s="22">
        <v>23149</v>
      </c>
      <c r="R33" s="22">
        <v>23322</v>
      </c>
      <c r="S33" s="22">
        <v>23180</v>
      </c>
      <c r="T33" s="22">
        <v>23051</v>
      </c>
      <c r="U33" s="22">
        <v>22944</v>
      </c>
      <c r="V33" s="22">
        <v>18895</v>
      </c>
      <c r="W33" s="22">
        <v>21124</v>
      </c>
      <c r="X33" s="22">
        <v>23084</v>
      </c>
      <c r="Y33" s="22">
        <v>22376</v>
      </c>
      <c r="Z33" s="22">
        <v>20059</v>
      </c>
      <c r="AA33" s="22">
        <v>16873</v>
      </c>
      <c r="AB33" s="22">
        <v>14402</v>
      </c>
      <c r="AC33" s="73"/>
      <c r="AG33" s="18"/>
      <c r="AH33" s="18"/>
      <c r="AI33" s="23"/>
      <c r="AJ33" s="23"/>
      <c r="AK33" s="23"/>
      <c r="AL33" s="23"/>
      <c r="AM33" s="23"/>
      <c r="AN33" s="23"/>
      <c r="AO33" s="23"/>
      <c r="AP33" s="23"/>
      <c r="AQ33" s="23"/>
      <c r="AR33" s="23"/>
      <c r="AS33" s="23"/>
      <c r="AT33" s="23"/>
      <c r="AU33" s="23"/>
      <c r="AV33" s="23"/>
      <c r="AW33" s="23"/>
      <c r="AX33" s="23"/>
      <c r="AY33" s="23"/>
      <c r="AZ33" s="23"/>
      <c r="BA33" s="23"/>
      <c r="BB33" s="23"/>
      <c r="BC33" s="23"/>
      <c r="BD33" s="23"/>
      <c r="BE33" s="23"/>
      <c r="BF33" s="23"/>
    </row>
    <row r="34" spans="2:58" ht="18.649999999999999" customHeight="1" x14ac:dyDescent="0.25">
      <c r="B34" s="70" t="s">
        <v>38</v>
      </c>
      <c r="C34" s="4" t="s">
        <v>32</v>
      </c>
      <c r="D34" s="5">
        <v>2</v>
      </c>
      <c r="E34" s="22">
        <v>14560</v>
      </c>
      <c r="F34" s="22">
        <v>13567</v>
      </c>
      <c r="G34" s="22">
        <v>12580</v>
      </c>
      <c r="H34" s="22">
        <v>11710</v>
      </c>
      <c r="I34" s="22">
        <v>11496</v>
      </c>
      <c r="J34" s="22">
        <v>10479</v>
      </c>
      <c r="K34" s="22">
        <v>10704</v>
      </c>
      <c r="L34" s="22">
        <v>18890</v>
      </c>
      <c r="M34" s="22">
        <v>20935</v>
      </c>
      <c r="N34" s="22">
        <v>20789</v>
      </c>
      <c r="O34" s="22">
        <v>20183</v>
      </c>
      <c r="P34" s="22">
        <v>21597</v>
      </c>
      <c r="Q34" s="22">
        <v>22273</v>
      </c>
      <c r="R34" s="22">
        <v>22759</v>
      </c>
      <c r="S34" s="22">
        <v>21480</v>
      </c>
      <c r="T34" s="22">
        <v>21571</v>
      </c>
      <c r="U34" s="22">
        <v>21720</v>
      </c>
      <c r="V34" s="22">
        <v>17565</v>
      </c>
      <c r="W34" s="22">
        <v>19183</v>
      </c>
      <c r="X34" s="22">
        <v>21592</v>
      </c>
      <c r="Y34" s="22">
        <v>21732</v>
      </c>
      <c r="Z34" s="22">
        <v>19787</v>
      </c>
      <c r="AA34" s="22">
        <v>17204</v>
      </c>
      <c r="AB34" s="22">
        <v>15223</v>
      </c>
      <c r="AC34" s="74"/>
      <c r="AG34" s="18"/>
      <c r="AH34" s="18"/>
      <c r="AI34" s="23"/>
      <c r="AJ34" s="23"/>
      <c r="AK34" s="23"/>
      <c r="AL34" s="23"/>
      <c r="AM34" s="23"/>
      <c r="AN34" s="23"/>
      <c r="AO34" s="23"/>
      <c r="AP34" s="23"/>
      <c r="AQ34" s="23"/>
      <c r="AR34" s="23"/>
      <c r="AS34" s="23"/>
      <c r="AT34" s="23"/>
      <c r="AU34" s="23"/>
      <c r="AV34" s="23"/>
      <c r="AW34" s="23"/>
      <c r="AX34" s="23"/>
      <c r="AY34" s="23"/>
      <c r="AZ34" s="23"/>
      <c r="BA34" s="23"/>
      <c r="BB34" s="23"/>
      <c r="BC34" s="23"/>
      <c r="BD34" s="23"/>
      <c r="BE34" s="23"/>
      <c r="BF34" s="23"/>
    </row>
    <row r="35" spans="2:58" ht="18.649999999999999" customHeight="1" x14ac:dyDescent="0.25">
      <c r="B35" s="70" t="s">
        <v>39</v>
      </c>
      <c r="C35" s="4" t="s">
        <v>29</v>
      </c>
      <c r="D35" s="5">
        <v>21</v>
      </c>
      <c r="E35" s="22">
        <v>11687</v>
      </c>
      <c r="F35" s="22">
        <v>10833</v>
      </c>
      <c r="G35" s="22">
        <v>10515</v>
      </c>
      <c r="H35" s="22">
        <v>10457</v>
      </c>
      <c r="I35" s="22">
        <v>11843</v>
      </c>
      <c r="J35" s="22">
        <v>15894</v>
      </c>
      <c r="K35" s="22">
        <v>19235</v>
      </c>
      <c r="L35" s="22">
        <v>26240</v>
      </c>
      <c r="M35" s="22">
        <v>25034</v>
      </c>
      <c r="N35" s="22">
        <v>24756</v>
      </c>
      <c r="O35" s="22">
        <v>25163</v>
      </c>
      <c r="P35" s="22">
        <v>26103</v>
      </c>
      <c r="Q35" s="22">
        <v>25792</v>
      </c>
      <c r="R35" s="22">
        <v>25975</v>
      </c>
      <c r="S35" s="22">
        <v>27133</v>
      </c>
      <c r="T35" s="22">
        <v>27552</v>
      </c>
      <c r="U35" s="22">
        <v>27492</v>
      </c>
      <c r="V35" s="22">
        <v>23478</v>
      </c>
      <c r="W35" s="22">
        <v>25092</v>
      </c>
      <c r="X35" s="22">
        <v>26466</v>
      </c>
      <c r="Y35" s="22">
        <v>24954</v>
      </c>
      <c r="Z35" s="22">
        <v>22044</v>
      </c>
      <c r="AA35" s="22">
        <v>18357</v>
      </c>
      <c r="AB35" s="22">
        <v>15872</v>
      </c>
      <c r="AC35" s="72">
        <f>+SUM(E35:AB35)*D35+SUM(E36:AB36)*D36+SUM(E37:AB37)*D37+SUM(E38:AB38)*D38</f>
        <v>14925358</v>
      </c>
      <c r="AG35" s="18"/>
      <c r="AH35" s="18"/>
      <c r="AI35" s="23"/>
      <c r="AJ35" s="23"/>
      <c r="AK35" s="23"/>
      <c r="AL35" s="23"/>
      <c r="AM35" s="23"/>
      <c r="AN35" s="23"/>
      <c r="AO35" s="23"/>
      <c r="AP35" s="23"/>
      <c r="AQ35" s="23"/>
      <c r="AR35" s="23"/>
      <c r="AS35" s="23"/>
      <c r="AT35" s="23"/>
      <c r="AU35" s="23"/>
      <c r="AV35" s="23"/>
      <c r="AW35" s="23"/>
      <c r="AX35" s="23"/>
      <c r="AY35" s="23"/>
      <c r="AZ35" s="23"/>
      <c r="BA35" s="23"/>
      <c r="BB35" s="23"/>
      <c r="BC35" s="23"/>
      <c r="BD35" s="23"/>
      <c r="BE35" s="23"/>
      <c r="BF35" s="23"/>
    </row>
    <row r="36" spans="2:58" ht="18.649999999999999" customHeight="1" x14ac:dyDescent="0.25">
      <c r="B36" s="70" t="s">
        <v>39</v>
      </c>
      <c r="C36" s="4" t="s">
        <v>30</v>
      </c>
      <c r="D36" s="5">
        <v>3</v>
      </c>
      <c r="E36" s="22">
        <v>12925</v>
      </c>
      <c r="F36" s="22">
        <v>11953</v>
      </c>
      <c r="G36" s="22">
        <v>11237</v>
      </c>
      <c r="H36" s="22">
        <v>10799</v>
      </c>
      <c r="I36" s="22">
        <v>10435</v>
      </c>
      <c r="J36" s="22">
        <v>8937</v>
      </c>
      <c r="K36" s="22">
        <v>10655</v>
      </c>
      <c r="L36" s="22">
        <v>22031</v>
      </c>
      <c r="M36" s="22">
        <v>24437</v>
      </c>
      <c r="N36" s="22">
        <v>24537</v>
      </c>
      <c r="O36" s="22">
        <v>24114</v>
      </c>
      <c r="P36" s="22">
        <v>24275</v>
      </c>
      <c r="Q36" s="22">
        <v>25183</v>
      </c>
      <c r="R36" s="22">
        <v>25775</v>
      </c>
      <c r="S36" s="22">
        <v>24166</v>
      </c>
      <c r="T36" s="22">
        <v>24081</v>
      </c>
      <c r="U36" s="22">
        <v>23881</v>
      </c>
      <c r="V36" s="22">
        <v>21227</v>
      </c>
      <c r="W36" s="22">
        <v>22375</v>
      </c>
      <c r="X36" s="22">
        <v>23123</v>
      </c>
      <c r="Y36" s="22">
        <v>21406</v>
      </c>
      <c r="Z36" s="22">
        <v>19500</v>
      </c>
      <c r="AA36" s="22">
        <v>16991</v>
      </c>
      <c r="AB36" s="22">
        <v>15545</v>
      </c>
      <c r="AC36" s="73"/>
      <c r="AG36" s="18"/>
      <c r="AH36" s="18"/>
      <c r="AI36" s="23"/>
      <c r="AJ36" s="23"/>
      <c r="AK36" s="23"/>
      <c r="AL36" s="23"/>
      <c r="AM36" s="23"/>
      <c r="AN36" s="23"/>
      <c r="AO36" s="23"/>
      <c r="AP36" s="23"/>
      <c r="AQ36" s="23"/>
      <c r="AR36" s="23"/>
      <c r="AS36" s="23"/>
      <c r="AT36" s="23"/>
      <c r="AU36" s="23"/>
      <c r="AV36" s="23"/>
      <c r="AW36" s="23"/>
      <c r="AX36" s="23"/>
      <c r="AY36" s="23"/>
      <c r="AZ36" s="23"/>
      <c r="BA36" s="23"/>
      <c r="BB36" s="23"/>
      <c r="BC36" s="23"/>
      <c r="BD36" s="23"/>
      <c r="BE36" s="23"/>
      <c r="BF36" s="23"/>
    </row>
    <row r="37" spans="2:58" ht="18.649999999999999" customHeight="1" x14ac:dyDescent="0.25">
      <c r="B37" s="70" t="s">
        <v>39</v>
      </c>
      <c r="C37" s="4" t="s">
        <v>31</v>
      </c>
      <c r="D37" s="5">
        <v>5</v>
      </c>
      <c r="E37" s="22">
        <v>12022</v>
      </c>
      <c r="F37" s="22">
        <v>11168</v>
      </c>
      <c r="G37" s="22">
        <v>10316</v>
      </c>
      <c r="H37" s="22">
        <v>9852</v>
      </c>
      <c r="I37" s="22">
        <v>9157</v>
      </c>
      <c r="J37" s="22">
        <v>8456</v>
      </c>
      <c r="K37" s="22">
        <v>7753</v>
      </c>
      <c r="L37" s="22">
        <v>15645</v>
      </c>
      <c r="M37" s="22">
        <v>16992</v>
      </c>
      <c r="N37" s="22">
        <v>17944</v>
      </c>
      <c r="O37" s="22">
        <v>18511</v>
      </c>
      <c r="P37" s="22">
        <v>19684</v>
      </c>
      <c r="Q37" s="22">
        <v>21021</v>
      </c>
      <c r="R37" s="22">
        <v>21259</v>
      </c>
      <c r="S37" s="22">
        <v>20781</v>
      </c>
      <c r="T37" s="22">
        <v>21142</v>
      </c>
      <c r="U37" s="22">
        <v>21592</v>
      </c>
      <c r="V37" s="22">
        <v>18686</v>
      </c>
      <c r="W37" s="22">
        <v>20760</v>
      </c>
      <c r="X37" s="22">
        <v>22438</v>
      </c>
      <c r="Y37" s="22">
        <v>21680</v>
      </c>
      <c r="Z37" s="22">
        <v>18802</v>
      </c>
      <c r="AA37" s="22">
        <v>15600</v>
      </c>
      <c r="AB37" s="22">
        <v>13400</v>
      </c>
      <c r="AC37" s="73"/>
      <c r="AG37" s="18"/>
      <c r="AH37" s="18"/>
      <c r="AI37" s="23"/>
      <c r="AJ37" s="23"/>
      <c r="AK37" s="23"/>
      <c r="AL37" s="23"/>
      <c r="AM37" s="23"/>
      <c r="AN37" s="23"/>
      <c r="AO37" s="23"/>
      <c r="AP37" s="23"/>
      <c r="AQ37" s="23"/>
      <c r="AR37" s="23"/>
      <c r="AS37" s="23"/>
      <c r="AT37" s="23"/>
      <c r="AU37" s="23"/>
      <c r="AV37" s="23"/>
      <c r="AW37" s="23"/>
      <c r="AX37" s="23"/>
      <c r="AY37" s="23"/>
      <c r="AZ37" s="23"/>
      <c r="BA37" s="23"/>
      <c r="BB37" s="23"/>
      <c r="BC37" s="23"/>
      <c r="BD37" s="23"/>
      <c r="BE37" s="23"/>
      <c r="BF37" s="23"/>
    </row>
    <row r="38" spans="2:58" ht="18.649999999999999" customHeight="1" x14ac:dyDescent="0.25">
      <c r="B38" s="70" t="s">
        <v>39</v>
      </c>
      <c r="C38" s="4" t="s">
        <v>32</v>
      </c>
      <c r="D38" s="5">
        <v>2</v>
      </c>
      <c r="E38" s="22">
        <v>11698</v>
      </c>
      <c r="F38" s="22">
        <v>10553</v>
      </c>
      <c r="G38" s="22">
        <v>10462</v>
      </c>
      <c r="H38" s="22">
        <v>10535</v>
      </c>
      <c r="I38" s="22">
        <v>10865</v>
      </c>
      <c r="J38" s="22">
        <v>11070</v>
      </c>
      <c r="K38" s="22">
        <v>11858</v>
      </c>
      <c r="L38" s="22">
        <v>20200</v>
      </c>
      <c r="M38" s="22">
        <v>21032</v>
      </c>
      <c r="N38" s="22">
        <v>21304</v>
      </c>
      <c r="O38" s="22">
        <v>22788</v>
      </c>
      <c r="P38" s="22">
        <v>22861</v>
      </c>
      <c r="Q38" s="22">
        <v>23126</v>
      </c>
      <c r="R38" s="22">
        <v>24909</v>
      </c>
      <c r="S38" s="22">
        <v>25004</v>
      </c>
      <c r="T38" s="22">
        <v>24333</v>
      </c>
      <c r="U38" s="22">
        <v>25202</v>
      </c>
      <c r="V38" s="22">
        <v>22883</v>
      </c>
      <c r="W38" s="22">
        <v>24530</v>
      </c>
      <c r="X38" s="22">
        <v>24620</v>
      </c>
      <c r="Y38" s="22">
        <v>22742</v>
      </c>
      <c r="Z38" s="22">
        <v>19835</v>
      </c>
      <c r="AA38" s="22">
        <v>16632</v>
      </c>
      <c r="AB38" s="22">
        <v>13949</v>
      </c>
      <c r="AC38" s="74"/>
      <c r="AG38" s="18"/>
      <c r="AH38" s="18"/>
      <c r="AI38" s="23"/>
      <c r="AJ38" s="23"/>
      <c r="AK38" s="23"/>
      <c r="AL38" s="23"/>
      <c r="AM38" s="23"/>
      <c r="AN38" s="23"/>
      <c r="AO38" s="23"/>
      <c r="AP38" s="23"/>
      <c r="AQ38" s="23"/>
      <c r="AR38" s="23"/>
      <c r="AS38" s="23"/>
      <c r="AT38" s="23"/>
      <c r="AU38" s="23"/>
      <c r="AV38" s="23"/>
      <c r="AW38" s="23"/>
      <c r="AX38" s="23"/>
      <c r="AY38" s="23"/>
      <c r="AZ38" s="23"/>
      <c r="BA38" s="23"/>
      <c r="BB38" s="23"/>
      <c r="BC38" s="23"/>
      <c r="BD38" s="23"/>
      <c r="BE38" s="23"/>
      <c r="BF38" s="23"/>
    </row>
    <row r="39" spans="2:58" ht="18.649999999999999" customHeight="1" x14ac:dyDescent="0.25">
      <c r="B39" s="70" t="s">
        <v>40</v>
      </c>
      <c r="C39" s="4" t="s">
        <v>29</v>
      </c>
      <c r="D39" s="5">
        <v>22</v>
      </c>
      <c r="E39" s="22">
        <v>13275</v>
      </c>
      <c r="F39" s="22">
        <v>12472</v>
      </c>
      <c r="G39" s="22">
        <v>12175</v>
      </c>
      <c r="H39" s="22">
        <v>11936</v>
      </c>
      <c r="I39" s="22">
        <v>13278</v>
      </c>
      <c r="J39" s="22">
        <v>17030</v>
      </c>
      <c r="K39" s="22">
        <v>19905</v>
      </c>
      <c r="L39" s="22">
        <v>28817</v>
      </c>
      <c r="M39" s="22">
        <v>27851</v>
      </c>
      <c r="N39" s="22">
        <v>27929</v>
      </c>
      <c r="O39" s="22">
        <v>28651</v>
      </c>
      <c r="P39" s="22">
        <v>30232</v>
      </c>
      <c r="Q39" s="22">
        <v>29700</v>
      </c>
      <c r="R39" s="22">
        <v>29437</v>
      </c>
      <c r="S39" s="22">
        <v>30588</v>
      </c>
      <c r="T39" s="22">
        <v>31151</v>
      </c>
      <c r="U39" s="22">
        <v>30822</v>
      </c>
      <c r="V39" s="22">
        <v>25965</v>
      </c>
      <c r="W39" s="22">
        <v>28677</v>
      </c>
      <c r="X39" s="22">
        <v>29326</v>
      </c>
      <c r="Y39" s="22">
        <v>27759</v>
      </c>
      <c r="Z39" s="22">
        <v>25124</v>
      </c>
      <c r="AA39" s="22">
        <v>20757</v>
      </c>
      <c r="AB39" s="22">
        <v>17435</v>
      </c>
      <c r="AC39" s="72">
        <f>+SUM(E39:AB39)*D39+SUM(E40:AB40)*D40+SUM(E41:AB41)*D41+SUM(E42:AB42)*D42</f>
        <v>16716840</v>
      </c>
      <c r="AG39" s="18"/>
      <c r="AH39" s="18"/>
      <c r="AI39" s="23"/>
      <c r="AJ39" s="23"/>
      <c r="AK39" s="23"/>
      <c r="AL39" s="23"/>
      <c r="AM39" s="23"/>
      <c r="AN39" s="23"/>
      <c r="AO39" s="23"/>
      <c r="AP39" s="23"/>
      <c r="AQ39" s="23"/>
      <c r="AR39" s="23"/>
      <c r="AS39" s="23"/>
      <c r="AT39" s="23"/>
      <c r="AU39" s="23"/>
      <c r="AV39" s="23"/>
      <c r="AW39" s="23"/>
      <c r="AX39" s="23"/>
      <c r="AY39" s="23"/>
      <c r="AZ39" s="23"/>
      <c r="BA39" s="23"/>
      <c r="BB39" s="23"/>
      <c r="BC39" s="23"/>
      <c r="BD39" s="23"/>
      <c r="BE39" s="23"/>
      <c r="BF39" s="23"/>
    </row>
    <row r="40" spans="2:58" ht="18.649999999999999" customHeight="1" x14ac:dyDescent="0.25">
      <c r="B40" s="70" t="s">
        <v>40</v>
      </c>
      <c r="C40" s="4" t="s">
        <v>30</v>
      </c>
      <c r="D40" s="5">
        <v>4</v>
      </c>
      <c r="E40" s="22">
        <v>13554</v>
      </c>
      <c r="F40" s="22">
        <v>12518</v>
      </c>
      <c r="G40" s="22">
        <v>12150</v>
      </c>
      <c r="H40" s="22">
        <v>11926</v>
      </c>
      <c r="I40" s="22">
        <v>12199</v>
      </c>
      <c r="J40" s="22">
        <v>13488</v>
      </c>
      <c r="K40" s="22">
        <v>14947</v>
      </c>
      <c r="L40" s="22">
        <v>26752</v>
      </c>
      <c r="M40" s="22">
        <v>27711</v>
      </c>
      <c r="N40" s="22">
        <v>28177</v>
      </c>
      <c r="O40" s="22">
        <v>29076</v>
      </c>
      <c r="P40" s="22">
        <v>29484</v>
      </c>
      <c r="Q40" s="22">
        <v>29470</v>
      </c>
      <c r="R40" s="22">
        <v>29532</v>
      </c>
      <c r="S40" s="22">
        <v>29072</v>
      </c>
      <c r="T40" s="22">
        <v>29142</v>
      </c>
      <c r="U40" s="22">
        <v>29906</v>
      </c>
      <c r="V40" s="22">
        <v>24782</v>
      </c>
      <c r="W40" s="22">
        <v>27282</v>
      </c>
      <c r="X40" s="22">
        <v>27672</v>
      </c>
      <c r="Y40" s="22">
        <v>26033</v>
      </c>
      <c r="Z40" s="22">
        <v>23290</v>
      </c>
      <c r="AA40" s="22">
        <v>20877</v>
      </c>
      <c r="AB40" s="22">
        <v>17927</v>
      </c>
      <c r="AC40" s="73"/>
      <c r="AG40" s="18"/>
      <c r="AH40" s="18"/>
      <c r="AI40" s="23"/>
      <c r="AJ40" s="23"/>
      <c r="AK40" s="23"/>
      <c r="AL40" s="23"/>
      <c r="AM40" s="23"/>
      <c r="AN40" s="23"/>
      <c r="AO40" s="23"/>
      <c r="AP40" s="23"/>
      <c r="AQ40" s="23"/>
      <c r="AR40" s="23"/>
      <c r="AS40" s="23"/>
      <c r="AT40" s="23"/>
      <c r="AU40" s="23"/>
      <c r="AV40" s="23"/>
      <c r="AW40" s="23"/>
      <c r="AX40" s="23"/>
      <c r="AY40" s="23"/>
      <c r="AZ40" s="23"/>
      <c r="BA40" s="23"/>
      <c r="BB40" s="23"/>
      <c r="BC40" s="23"/>
      <c r="BD40" s="23"/>
      <c r="BE40" s="23"/>
      <c r="BF40" s="23"/>
    </row>
    <row r="41" spans="2:58" ht="18.649999999999999" customHeight="1" x14ac:dyDescent="0.25">
      <c r="B41" s="70" t="s">
        <v>40</v>
      </c>
      <c r="C41" s="4" t="s">
        <v>31</v>
      </c>
      <c r="D41" s="5">
        <v>4</v>
      </c>
      <c r="E41" s="22">
        <v>14205</v>
      </c>
      <c r="F41" s="22">
        <v>13074</v>
      </c>
      <c r="G41" s="22">
        <v>12142</v>
      </c>
      <c r="H41" s="22">
        <v>11926</v>
      </c>
      <c r="I41" s="22">
        <v>11452</v>
      </c>
      <c r="J41" s="22">
        <v>11012</v>
      </c>
      <c r="K41" s="22">
        <v>11760</v>
      </c>
      <c r="L41" s="22">
        <v>21616</v>
      </c>
      <c r="M41" s="22">
        <v>22357</v>
      </c>
      <c r="N41" s="22">
        <v>23162</v>
      </c>
      <c r="O41" s="22">
        <v>24355</v>
      </c>
      <c r="P41" s="22">
        <v>25774</v>
      </c>
      <c r="Q41" s="22">
        <v>27020</v>
      </c>
      <c r="R41" s="22">
        <v>27361</v>
      </c>
      <c r="S41" s="22">
        <v>26741</v>
      </c>
      <c r="T41" s="22">
        <v>26517</v>
      </c>
      <c r="U41" s="22">
        <v>26660</v>
      </c>
      <c r="V41" s="22">
        <v>23469</v>
      </c>
      <c r="W41" s="22">
        <v>25483</v>
      </c>
      <c r="X41" s="22">
        <v>26805</v>
      </c>
      <c r="Y41" s="22">
        <v>24830</v>
      </c>
      <c r="Z41" s="22">
        <v>22765</v>
      </c>
      <c r="AA41" s="22">
        <v>18925</v>
      </c>
      <c r="AB41" s="22">
        <v>16226</v>
      </c>
      <c r="AC41" s="73"/>
      <c r="AG41" s="18"/>
      <c r="AH41" s="18"/>
      <c r="AI41" s="23"/>
      <c r="AJ41" s="23"/>
      <c r="AK41" s="23"/>
      <c r="AL41" s="23"/>
      <c r="AM41" s="23"/>
      <c r="AN41" s="23"/>
      <c r="AO41" s="23"/>
      <c r="AP41" s="23"/>
      <c r="AQ41" s="23"/>
      <c r="AR41" s="23"/>
      <c r="AS41" s="23"/>
      <c r="AT41" s="23"/>
      <c r="AU41" s="23"/>
      <c r="AV41" s="23"/>
      <c r="AW41" s="23"/>
      <c r="AX41" s="23"/>
      <c r="AY41" s="23"/>
      <c r="AZ41" s="23"/>
      <c r="BA41" s="23"/>
      <c r="BB41" s="23"/>
      <c r="BC41" s="23"/>
      <c r="BD41" s="23"/>
      <c r="BE41" s="23"/>
      <c r="BF41" s="23"/>
    </row>
    <row r="42" spans="2:58" ht="18.649999999999999" customHeight="1" x14ac:dyDescent="0.25">
      <c r="B42" s="70" t="s">
        <v>40</v>
      </c>
      <c r="C42" s="4" t="s">
        <v>32</v>
      </c>
      <c r="D42" s="5">
        <v>0</v>
      </c>
      <c r="E42" s="22">
        <v>0</v>
      </c>
      <c r="F42" s="22">
        <v>0</v>
      </c>
      <c r="G42" s="22">
        <v>0</v>
      </c>
      <c r="H42" s="22">
        <v>0</v>
      </c>
      <c r="I42" s="22">
        <v>0</v>
      </c>
      <c r="J42" s="22">
        <v>0</v>
      </c>
      <c r="K42" s="22">
        <v>0</v>
      </c>
      <c r="L42" s="22">
        <v>0</v>
      </c>
      <c r="M42" s="22">
        <v>0</v>
      </c>
      <c r="N42" s="22">
        <v>0</v>
      </c>
      <c r="O42" s="22">
        <v>0</v>
      </c>
      <c r="P42" s="22">
        <v>0</v>
      </c>
      <c r="Q42" s="22">
        <v>0</v>
      </c>
      <c r="R42" s="22">
        <v>0</v>
      </c>
      <c r="S42" s="22">
        <v>0</v>
      </c>
      <c r="T42" s="22">
        <v>0</v>
      </c>
      <c r="U42" s="22">
        <v>0</v>
      </c>
      <c r="V42" s="22">
        <v>0</v>
      </c>
      <c r="W42" s="22">
        <v>0</v>
      </c>
      <c r="X42" s="22">
        <v>0</v>
      </c>
      <c r="Y42" s="22">
        <v>0</v>
      </c>
      <c r="Z42" s="22">
        <v>0</v>
      </c>
      <c r="AA42" s="22">
        <v>0</v>
      </c>
      <c r="AB42" s="22">
        <v>0</v>
      </c>
      <c r="AC42" s="74"/>
      <c r="AG42" s="18"/>
      <c r="AH42" s="18"/>
      <c r="AI42" s="23"/>
      <c r="AJ42" s="23"/>
      <c r="AK42" s="23"/>
      <c r="AL42" s="23"/>
      <c r="AM42" s="23"/>
      <c r="AN42" s="23"/>
      <c r="AO42" s="23"/>
      <c r="AP42" s="23"/>
      <c r="AQ42" s="23"/>
      <c r="AR42" s="23"/>
      <c r="AS42" s="23"/>
      <c r="AT42" s="23"/>
      <c r="AU42" s="23"/>
      <c r="AV42" s="23"/>
      <c r="AW42" s="23"/>
      <c r="AX42" s="23"/>
      <c r="AY42" s="23"/>
      <c r="AZ42" s="23"/>
      <c r="BA42" s="23"/>
      <c r="BB42" s="23"/>
      <c r="BC42" s="23"/>
      <c r="BD42" s="23"/>
      <c r="BE42" s="23"/>
      <c r="BF42" s="23"/>
    </row>
    <row r="43" spans="2:58" ht="18.649999999999999" customHeight="1" x14ac:dyDescent="0.25">
      <c r="B43" s="70" t="s">
        <v>41</v>
      </c>
      <c r="C43" s="4" t="s">
        <v>29</v>
      </c>
      <c r="D43" s="5">
        <v>20</v>
      </c>
      <c r="E43" s="22">
        <v>18197</v>
      </c>
      <c r="F43" s="22">
        <v>17223</v>
      </c>
      <c r="G43" s="22">
        <v>16796</v>
      </c>
      <c r="H43" s="22">
        <v>16708</v>
      </c>
      <c r="I43" s="22">
        <v>18185</v>
      </c>
      <c r="J43" s="22">
        <v>22431</v>
      </c>
      <c r="K43" s="22">
        <v>24957</v>
      </c>
      <c r="L43" s="22">
        <v>35530</v>
      </c>
      <c r="M43" s="22">
        <v>34883</v>
      </c>
      <c r="N43" s="22">
        <v>34984</v>
      </c>
      <c r="O43" s="22">
        <v>36055</v>
      </c>
      <c r="P43" s="22">
        <v>37834</v>
      </c>
      <c r="Q43" s="22">
        <v>37186</v>
      </c>
      <c r="R43" s="22">
        <v>37268</v>
      </c>
      <c r="S43" s="22">
        <v>38461</v>
      </c>
      <c r="T43" s="22">
        <v>39221</v>
      </c>
      <c r="U43" s="22">
        <v>39114</v>
      </c>
      <c r="V43" s="22">
        <v>33882</v>
      </c>
      <c r="W43" s="22">
        <v>37353</v>
      </c>
      <c r="X43" s="22">
        <v>37292</v>
      </c>
      <c r="Y43" s="22">
        <v>35383</v>
      </c>
      <c r="Z43" s="22">
        <v>32657</v>
      </c>
      <c r="AA43" s="22">
        <v>27477</v>
      </c>
      <c r="AB43" s="22">
        <v>23628</v>
      </c>
      <c r="AC43" s="72">
        <f>+SUM(E43:AB43)*D43+SUM(E44:AB44)*D44+SUM(E45:AB45)*D45+SUM(E46:AB46)*D46</f>
        <v>22181361</v>
      </c>
      <c r="AG43" s="18"/>
      <c r="AH43" s="18"/>
      <c r="AI43" s="23"/>
      <c r="AJ43" s="23"/>
      <c r="AK43" s="23"/>
      <c r="AL43" s="23"/>
      <c r="AM43" s="23"/>
      <c r="AN43" s="23"/>
      <c r="AO43" s="23"/>
      <c r="AP43" s="23"/>
      <c r="AQ43" s="23"/>
      <c r="AR43" s="23"/>
      <c r="AS43" s="23"/>
      <c r="AT43" s="23"/>
      <c r="AU43" s="23"/>
      <c r="AV43" s="23"/>
      <c r="AW43" s="23"/>
      <c r="AX43" s="23"/>
      <c r="AY43" s="23"/>
      <c r="AZ43" s="23"/>
      <c r="BA43" s="23"/>
      <c r="BB43" s="23"/>
      <c r="BC43" s="23"/>
      <c r="BD43" s="23"/>
      <c r="BE43" s="23"/>
      <c r="BF43" s="23"/>
    </row>
    <row r="44" spans="2:58" ht="18.649999999999999" customHeight="1" x14ac:dyDescent="0.25">
      <c r="B44" s="70" t="s">
        <v>41</v>
      </c>
      <c r="C44" s="4" t="s">
        <v>30</v>
      </c>
      <c r="D44" s="5">
        <v>5</v>
      </c>
      <c r="E44" s="22">
        <v>19147</v>
      </c>
      <c r="F44" s="22">
        <v>17921</v>
      </c>
      <c r="G44" s="22">
        <v>17316</v>
      </c>
      <c r="H44" s="22">
        <v>16974</v>
      </c>
      <c r="I44" s="22">
        <v>17135</v>
      </c>
      <c r="J44" s="22">
        <v>17899</v>
      </c>
      <c r="K44" s="22">
        <v>19470</v>
      </c>
      <c r="L44" s="22">
        <v>33106</v>
      </c>
      <c r="M44" s="22">
        <v>34312</v>
      </c>
      <c r="N44" s="22">
        <v>35287</v>
      </c>
      <c r="O44" s="22">
        <v>35795</v>
      </c>
      <c r="P44" s="22">
        <v>36960</v>
      </c>
      <c r="Q44" s="22">
        <v>37630</v>
      </c>
      <c r="R44" s="22">
        <v>37163</v>
      </c>
      <c r="S44" s="22">
        <v>37644</v>
      </c>
      <c r="T44" s="22">
        <v>37673</v>
      </c>
      <c r="U44" s="22">
        <v>37829</v>
      </c>
      <c r="V44" s="22">
        <v>32527</v>
      </c>
      <c r="W44" s="22">
        <v>36630</v>
      </c>
      <c r="X44" s="22">
        <v>36572</v>
      </c>
      <c r="Y44" s="22">
        <v>34823</v>
      </c>
      <c r="Z44" s="22">
        <v>32134</v>
      </c>
      <c r="AA44" s="22">
        <v>28642</v>
      </c>
      <c r="AB44" s="22">
        <v>25344</v>
      </c>
      <c r="AC44" s="73"/>
      <c r="AG44" s="18"/>
      <c r="AH44" s="18"/>
      <c r="AI44" s="23"/>
      <c r="AJ44" s="23"/>
      <c r="AK44" s="23"/>
      <c r="AL44" s="23"/>
      <c r="AM44" s="23"/>
      <c r="AN44" s="23"/>
      <c r="AO44" s="23"/>
      <c r="AP44" s="23"/>
      <c r="AQ44" s="23"/>
      <c r="AR44" s="23"/>
      <c r="AS44" s="23"/>
      <c r="AT44" s="23"/>
      <c r="AU44" s="23"/>
      <c r="AV44" s="23"/>
      <c r="AW44" s="23"/>
      <c r="AX44" s="23"/>
      <c r="AY44" s="23"/>
      <c r="AZ44" s="23"/>
      <c r="BA44" s="23"/>
      <c r="BB44" s="23"/>
      <c r="BC44" s="23"/>
      <c r="BD44" s="23"/>
      <c r="BE44" s="23"/>
      <c r="BF44" s="23"/>
    </row>
    <row r="45" spans="2:58" ht="18.649999999999999" customHeight="1" x14ac:dyDescent="0.25">
      <c r="B45" s="70" t="s">
        <v>41</v>
      </c>
      <c r="C45" s="4" t="s">
        <v>31</v>
      </c>
      <c r="D45" s="5">
        <v>5</v>
      </c>
      <c r="E45" s="22">
        <v>19773</v>
      </c>
      <c r="F45" s="22">
        <v>18202</v>
      </c>
      <c r="G45" s="22">
        <v>17200</v>
      </c>
      <c r="H45" s="22">
        <v>16799</v>
      </c>
      <c r="I45" s="22">
        <v>16918</v>
      </c>
      <c r="J45" s="22">
        <v>16227</v>
      </c>
      <c r="K45" s="22">
        <v>15875</v>
      </c>
      <c r="L45" s="22">
        <v>26584</v>
      </c>
      <c r="M45" s="22">
        <v>28778</v>
      </c>
      <c r="N45" s="22">
        <v>30197</v>
      </c>
      <c r="O45" s="22">
        <v>32114</v>
      </c>
      <c r="P45" s="22">
        <v>33677</v>
      </c>
      <c r="Q45" s="22">
        <v>34624</v>
      </c>
      <c r="R45" s="22">
        <v>34649</v>
      </c>
      <c r="S45" s="22">
        <v>33672</v>
      </c>
      <c r="T45" s="22">
        <v>34214</v>
      </c>
      <c r="U45" s="22">
        <v>34165</v>
      </c>
      <c r="V45" s="22">
        <v>30607</v>
      </c>
      <c r="W45" s="22">
        <v>34748</v>
      </c>
      <c r="X45" s="22">
        <v>35194</v>
      </c>
      <c r="Y45" s="22">
        <v>33530</v>
      </c>
      <c r="Z45" s="22">
        <v>30382</v>
      </c>
      <c r="AA45" s="22">
        <v>26270</v>
      </c>
      <c r="AB45" s="22">
        <v>23061</v>
      </c>
      <c r="AC45" s="73"/>
      <c r="AG45" s="18"/>
      <c r="AH45" s="18"/>
      <c r="AI45" s="23"/>
      <c r="AJ45" s="23"/>
      <c r="AK45" s="23"/>
      <c r="AL45" s="23"/>
      <c r="AM45" s="23"/>
      <c r="AN45" s="23"/>
      <c r="AO45" s="23"/>
      <c r="AP45" s="23"/>
      <c r="AQ45" s="23"/>
      <c r="AR45" s="23"/>
      <c r="AS45" s="23"/>
      <c r="AT45" s="23"/>
      <c r="AU45" s="23"/>
      <c r="AV45" s="23"/>
      <c r="AW45" s="23"/>
      <c r="AX45" s="23"/>
      <c r="AY45" s="23"/>
      <c r="AZ45" s="23"/>
      <c r="BA45" s="23"/>
      <c r="BB45" s="23"/>
      <c r="BC45" s="23"/>
      <c r="BD45" s="23"/>
      <c r="BE45" s="23"/>
      <c r="BF45" s="23"/>
    </row>
    <row r="46" spans="2:58" ht="18.649999999999999" customHeight="1" x14ac:dyDescent="0.25">
      <c r="B46" s="70" t="s">
        <v>41</v>
      </c>
      <c r="C46" s="4" t="s">
        <v>32</v>
      </c>
      <c r="D46" s="5">
        <v>1</v>
      </c>
      <c r="E46" s="22">
        <v>17781</v>
      </c>
      <c r="F46" s="22">
        <v>16865</v>
      </c>
      <c r="G46" s="22">
        <v>16211</v>
      </c>
      <c r="H46" s="22">
        <v>16204</v>
      </c>
      <c r="I46" s="22">
        <v>16619</v>
      </c>
      <c r="J46" s="22">
        <v>16129</v>
      </c>
      <c r="K46" s="22">
        <v>15812</v>
      </c>
      <c r="L46" s="22">
        <v>27057</v>
      </c>
      <c r="M46" s="22">
        <v>28631</v>
      </c>
      <c r="N46" s="22">
        <v>31026</v>
      </c>
      <c r="O46" s="22">
        <v>32537</v>
      </c>
      <c r="P46" s="22">
        <v>33734</v>
      </c>
      <c r="Q46" s="22">
        <v>35427</v>
      </c>
      <c r="R46" s="22">
        <v>35280</v>
      </c>
      <c r="S46" s="22">
        <v>35182</v>
      </c>
      <c r="T46" s="22">
        <v>34567</v>
      </c>
      <c r="U46" s="22">
        <v>34793</v>
      </c>
      <c r="V46" s="22">
        <v>31615</v>
      </c>
      <c r="W46" s="22">
        <v>36384</v>
      </c>
      <c r="X46" s="22">
        <v>35069</v>
      </c>
      <c r="Y46" s="22">
        <v>34099</v>
      </c>
      <c r="Z46" s="22">
        <v>30924</v>
      </c>
      <c r="AA46" s="22">
        <v>26060</v>
      </c>
      <c r="AB46" s="22">
        <v>22290</v>
      </c>
      <c r="AC46" s="74"/>
      <c r="AG46" s="18"/>
      <c r="AH46" s="18"/>
      <c r="AI46" s="23"/>
      <c r="AJ46" s="23"/>
      <c r="AK46" s="23"/>
      <c r="AL46" s="23"/>
      <c r="AM46" s="23"/>
      <c r="AN46" s="23"/>
      <c r="AO46" s="23"/>
      <c r="AP46" s="23"/>
      <c r="AQ46" s="23"/>
      <c r="AR46" s="23"/>
      <c r="AS46" s="23"/>
      <c r="AT46" s="23"/>
      <c r="AU46" s="23"/>
      <c r="AV46" s="23"/>
      <c r="AW46" s="23"/>
      <c r="AX46" s="23"/>
      <c r="AY46" s="23"/>
      <c r="AZ46" s="23"/>
      <c r="BA46" s="23"/>
      <c r="BB46" s="23"/>
      <c r="BC46" s="23"/>
      <c r="BD46" s="23"/>
      <c r="BE46" s="23"/>
      <c r="BF46" s="23"/>
    </row>
    <row r="47" spans="2:58" ht="18.649999999999999" customHeight="1" x14ac:dyDescent="0.25">
      <c r="B47" s="70" t="s">
        <v>42</v>
      </c>
      <c r="C47" s="4" t="s">
        <v>29</v>
      </c>
      <c r="D47" s="5">
        <v>20</v>
      </c>
      <c r="E47" s="22">
        <v>17843</v>
      </c>
      <c r="F47" s="22">
        <v>16842</v>
      </c>
      <c r="G47" s="22">
        <v>16931</v>
      </c>
      <c r="H47" s="22">
        <v>16771</v>
      </c>
      <c r="I47" s="22">
        <v>18339</v>
      </c>
      <c r="J47" s="22">
        <v>22555</v>
      </c>
      <c r="K47" s="22">
        <v>25646</v>
      </c>
      <c r="L47" s="22">
        <v>36004</v>
      </c>
      <c r="M47" s="22">
        <v>35139</v>
      </c>
      <c r="N47" s="22">
        <v>34920</v>
      </c>
      <c r="O47" s="22">
        <v>36448</v>
      </c>
      <c r="P47" s="22">
        <v>37761</v>
      </c>
      <c r="Q47" s="22">
        <v>37161</v>
      </c>
      <c r="R47" s="22">
        <v>37240</v>
      </c>
      <c r="S47" s="22">
        <v>38892</v>
      </c>
      <c r="T47" s="22">
        <v>39942</v>
      </c>
      <c r="U47" s="22">
        <v>39684</v>
      </c>
      <c r="V47" s="22">
        <v>34311</v>
      </c>
      <c r="W47" s="22">
        <v>37450</v>
      </c>
      <c r="X47" s="22">
        <v>36784</v>
      </c>
      <c r="Y47" s="22">
        <v>35410</v>
      </c>
      <c r="Z47" s="22">
        <v>32470</v>
      </c>
      <c r="AA47" s="22">
        <v>27417</v>
      </c>
      <c r="AB47" s="22">
        <v>24071</v>
      </c>
      <c r="AC47" s="72">
        <f>+SUM(E47:AB47)*D47+SUM(E48:AB48)*D48+SUM(E49:AB49)*D49+SUM(E50:AB50)*D50</f>
        <v>21509490</v>
      </c>
      <c r="AG47" s="18"/>
      <c r="AH47" s="18"/>
      <c r="AI47" s="23"/>
      <c r="AJ47" s="23"/>
      <c r="AK47" s="23"/>
      <c r="AL47" s="23"/>
      <c r="AM47" s="23"/>
      <c r="AN47" s="23"/>
      <c r="AO47" s="23"/>
      <c r="AP47" s="23"/>
      <c r="AQ47" s="23"/>
      <c r="AR47" s="23"/>
      <c r="AS47" s="23"/>
      <c r="AT47" s="23"/>
      <c r="AU47" s="23"/>
      <c r="AV47" s="23"/>
      <c r="AW47" s="23"/>
      <c r="AX47" s="23"/>
      <c r="AY47" s="23"/>
      <c r="AZ47" s="23"/>
      <c r="BA47" s="23"/>
      <c r="BB47" s="23"/>
      <c r="BC47" s="23"/>
      <c r="BD47" s="23"/>
      <c r="BE47" s="23"/>
      <c r="BF47" s="23"/>
    </row>
    <row r="48" spans="2:58" ht="18.649999999999999" customHeight="1" x14ac:dyDescent="0.25">
      <c r="B48" s="70" t="s">
        <v>42</v>
      </c>
      <c r="C48" s="4" t="s">
        <v>30</v>
      </c>
      <c r="D48" s="5">
        <v>4</v>
      </c>
      <c r="E48" s="22">
        <v>19041</v>
      </c>
      <c r="F48" s="22">
        <v>17927</v>
      </c>
      <c r="G48" s="22">
        <v>17101</v>
      </c>
      <c r="H48" s="22">
        <v>17080</v>
      </c>
      <c r="I48" s="22">
        <v>17571</v>
      </c>
      <c r="J48" s="22">
        <v>18368</v>
      </c>
      <c r="K48" s="22">
        <v>20360</v>
      </c>
      <c r="L48" s="22">
        <v>33530</v>
      </c>
      <c r="M48" s="22">
        <v>34669</v>
      </c>
      <c r="N48" s="22">
        <v>35176</v>
      </c>
      <c r="O48" s="22">
        <v>35868</v>
      </c>
      <c r="P48" s="22">
        <v>36798</v>
      </c>
      <c r="Q48" s="22">
        <v>36812</v>
      </c>
      <c r="R48" s="22">
        <v>36606</v>
      </c>
      <c r="S48" s="22">
        <v>36814</v>
      </c>
      <c r="T48" s="22">
        <v>37097</v>
      </c>
      <c r="U48" s="22">
        <v>37320</v>
      </c>
      <c r="V48" s="22">
        <v>32842</v>
      </c>
      <c r="W48" s="22">
        <v>36272</v>
      </c>
      <c r="X48" s="22">
        <v>36224</v>
      </c>
      <c r="Y48" s="22">
        <v>34355</v>
      </c>
      <c r="Z48" s="22">
        <v>31412</v>
      </c>
      <c r="AA48" s="22">
        <v>28369</v>
      </c>
      <c r="AB48" s="22">
        <v>25216</v>
      </c>
      <c r="AC48" s="73"/>
      <c r="AG48" s="18"/>
      <c r="AH48" s="18"/>
      <c r="AI48" s="23"/>
      <c r="AJ48" s="23"/>
      <c r="AK48" s="23"/>
      <c r="AL48" s="23"/>
      <c r="AM48" s="23"/>
      <c r="AN48" s="23"/>
      <c r="AO48" s="23"/>
      <c r="AP48" s="23"/>
      <c r="AQ48" s="23"/>
      <c r="AR48" s="23"/>
      <c r="AS48" s="23"/>
      <c r="AT48" s="23"/>
      <c r="AU48" s="23"/>
      <c r="AV48" s="23"/>
      <c r="AW48" s="23"/>
      <c r="AX48" s="23"/>
      <c r="AY48" s="23"/>
      <c r="AZ48" s="23"/>
      <c r="BA48" s="23"/>
      <c r="BB48" s="23"/>
      <c r="BC48" s="23"/>
      <c r="BD48" s="23"/>
      <c r="BE48" s="23"/>
      <c r="BF48" s="23"/>
    </row>
    <row r="49" spans="2:58" ht="18.649999999999999" customHeight="1" x14ac:dyDescent="0.25">
      <c r="B49" s="70" t="s">
        <v>42</v>
      </c>
      <c r="C49" s="4" t="s">
        <v>31</v>
      </c>
      <c r="D49" s="5">
        <v>4</v>
      </c>
      <c r="E49" s="22">
        <v>19993</v>
      </c>
      <c r="F49" s="22">
        <v>18848</v>
      </c>
      <c r="G49" s="22">
        <v>17813</v>
      </c>
      <c r="H49" s="22">
        <v>17461</v>
      </c>
      <c r="I49" s="22">
        <v>17030</v>
      </c>
      <c r="J49" s="22">
        <v>17043</v>
      </c>
      <c r="K49" s="22">
        <v>16276</v>
      </c>
      <c r="L49" s="22">
        <v>27584</v>
      </c>
      <c r="M49" s="22">
        <v>29807</v>
      </c>
      <c r="N49" s="22">
        <v>30739</v>
      </c>
      <c r="O49" s="22">
        <v>31403</v>
      </c>
      <c r="P49" s="22">
        <v>32516</v>
      </c>
      <c r="Q49" s="22">
        <v>33621</v>
      </c>
      <c r="R49" s="22">
        <v>33775</v>
      </c>
      <c r="S49" s="22">
        <v>34067</v>
      </c>
      <c r="T49" s="22">
        <v>34283</v>
      </c>
      <c r="U49" s="22">
        <v>35197</v>
      </c>
      <c r="V49" s="22">
        <v>30346</v>
      </c>
      <c r="W49" s="22">
        <v>34111</v>
      </c>
      <c r="X49" s="22">
        <v>34291</v>
      </c>
      <c r="Y49" s="22">
        <v>32682</v>
      </c>
      <c r="Z49" s="22">
        <v>30111</v>
      </c>
      <c r="AA49" s="22">
        <v>25708</v>
      </c>
      <c r="AB49" s="22">
        <v>22930</v>
      </c>
      <c r="AC49" s="73"/>
      <c r="AG49" s="18"/>
      <c r="AH49" s="18"/>
      <c r="AI49" s="23"/>
      <c r="AJ49" s="23"/>
      <c r="AK49" s="23"/>
      <c r="AL49" s="23"/>
      <c r="AM49" s="23"/>
      <c r="AN49" s="23"/>
      <c r="AO49" s="23"/>
      <c r="AP49" s="23"/>
      <c r="AQ49" s="23"/>
      <c r="AR49" s="23"/>
      <c r="AS49" s="23"/>
      <c r="AT49" s="23"/>
      <c r="AU49" s="23"/>
      <c r="AV49" s="23"/>
      <c r="AW49" s="23"/>
      <c r="AX49" s="23"/>
      <c r="AY49" s="23"/>
      <c r="AZ49" s="23"/>
      <c r="BA49" s="23"/>
      <c r="BB49" s="23"/>
      <c r="BC49" s="23"/>
      <c r="BD49" s="23"/>
      <c r="BE49" s="23"/>
      <c r="BF49" s="23"/>
    </row>
    <row r="50" spans="2:58" ht="18.649999999999999" customHeight="1" x14ac:dyDescent="0.25">
      <c r="B50" s="70" t="s">
        <v>42</v>
      </c>
      <c r="C50" s="4" t="s">
        <v>32</v>
      </c>
      <c r="D50" s="5">
        <v>2</v>
      </c>
      <c r="E50" s="22">
        <v>18358</v>
      </c>
      <c r="F50" s="22">
        <v>17270</v>
      </c>
      <c r="G50" s="22">
        <v>16875</v>
      </c>
      <c r="H50" s="22">
        <v>16282</v>
      </c>
      <c r="I50" s="22">
        <v>16150</v>
      </c>
      <c r="J50" s="22">
        <v>16637</v>
      </c>
      <c r="K50" s="22">
        <v>16136</v>
      </c>
      <c r="L50" s="22">
        <v>27130</v>
      </c>
      <c r="M50" s="22">
        <v>28474</v>
      </c>
      <c r="N50" s="22">
        <v>29500</v>
      </c>
      <c r="O50" s="22">
        <v>31401</v>
      </c>
      <c r="P50" s="22">
        <v>33147</v>
      </c>
      <c r="Q50" s="22">
        <v>33918</v>
      </c>
      <c r="R50" s="22">
        <v>34202</v>
      </c>
      <c r="S50" s="22">
        <v>34730</v>
      </c>
      <c r="T50" s="22">
        <v>35288</v>
      </c>
      <c r="U50" s="22">
        <v>36024</v>
      </c>
      <c r="V50" s="22">
        <v>31638</v>
      </c>
      <c r="W50" s="22">
        <v>35113</v>
      </c>
      <c r="X50" s="22">
        <v>35149</v>
      </c>
      <c r="Y50" s="22">
        <v>33217</v>
      </c>
      <c r="Z50" s="22">
        <v>29649</v>
      </c>
      <c r="AA50" s="22">
        <v>24757</v>
      </c>
      <c r="AB50" s="22">
        <v>22464</v>
      </c>
      <c r="AC50" s="74"/>
      <c r="AG50" s="18"/>
      <c r="AH50" s="18"/>
      <c r="AI50" s="23"/>
      <c r="AJ50" s="23"/>
      <c r="AK50" s="23"/>
      <c r="AL50" s="23"/>
      <c r="AM50" s="23"/>
      <c r="AN50" s="23"/>
      <c r="AO50" s="23"/>
      <c r="AP50" s="23"/>
      <c r="AQ50" s="23"/>
      <c r="AR50" s="23"/>
      <c r="AS50" s="23"/>
      <c r="AT50" s="23"/>
      <c r="AU50" s="23"/>
      <c r="AV50" s="23"/>
      <c r="AW50" s="23"/>
      <c r="AX50" s="23"/>
      <c r="AY50" s="23"/>
      <c r="AZ50" s="23"/>
      <c r="BA50" s="23"/>
      <c r="BB50" s="23"/>
      <c r="BC50" s="23"/>
      <c r="BD50" s="23"/>
      <c r="BE50" s="23"/>
      <c r="BF50" s="23"/>
    </row>
    <row r="51" spans="2:58" ht="18.649999999999999" customHeight="1" x14ac:dyDescent="0.25">
      <c r="B51" s="70" t="s">
        <v>43</v>
      </c>
      <c r="C51" s="4" t="s">
        <v>29</v>
      </c>
      <c r="D51" s="5">
        <v>22</v>
      </c>
      <c r="E51" s="22">
        <v>19670</v>
      </c>
      <c r="F51" s="22">
        <v>18292</v>
      </c>
      <c r="G51" s="22">
        <v>17674</v>
      </c>
      <c r="H51" s="22">
        <v>17441</v>
      </c>
      <c r="I51" s="22">
        <v>18371</v>
      </c>
      <c r="J51" s="22">
        <v>20666</v>
      </c>
      <c r="K51" s="22">
        <v>22427</v>
      </c>
      <c r="L51" s="22">
        <v>34872</v>
      </c>
      <c r="M51" s="22">
        <v>35612</v>
      </c>
      <c r="N51" s="22">
        <v>35968</v>
      </c>
      <c r="O51" s="22">
        <v>36945</v>
      </c>
      <c r="P51" s="22">
        <v>38636</v>
      </c>
      <c r="Q51" s="22">
        <v>38234</v>
      </c>
      <c r="R51" s="22">
        <v>36977</v>
      </c>
      <c r="S51" s="22">
        <v>38907</v>
      </c>
      <c r="T51" s="22">
        <v>39549</v>
      </c>
      <c r="U51" s="22">
        <v>39407</v>
      </c>
      <c r="V51" s="22">
        <v>33678</v>
      </c>
      <c r="W51" s="22">
        <v>37966</v>
      </c>
      <c r="X51" s="22">
        <v>37985</v>
      </c>
      <c r="Y51" s="22">
        <v>36131</v>
      </c>
      <c r="Z51" s="22">
        <v>33248</v>
      </c>
      <c r="AA51" s="22">
        <v>28636</v>
      </c>
      <c r="AB51" s="22">
        <v>25394</v>
      </c>
      <c r="AC51" s="72">
        <f>+SUM(E51:AB51)*D51+SUM(E52:AB52)*D52+SUM(E53:AB53)*D53+SUM(E54:AB54)*D54</f>
        <v>22442595</v>
      </c>
      <c r="AG51" s="18"/>
      <c r="AH51" s="18"/>
      <c r="AI51" s="23"/>
      <c r="AJ51" s="23"/>
      <c r="AK51" s="23"/>
      <c r="AL51" s="23"/>
      <c r="AM51" s="23"/>
      <c r="AN51" s="23"/>
      <c r="AO51" s="23"/>
      <c r="AP51" s="23"/>
      <c r="AQ51" s="23"/>
      <c r="AR51" s="23"/>
      <c r="AS51" s="23"/>
      <c r="AT51" s="23"/>
      <c r="AU51" s="23"/>
      <c r="AV51" s="23"/>
      <c r="AW51" s="23"/>
      <c r="AX51" s="23"/>
      <c r="AY51" s="23"/>
      <c r="AZ51" s="23"/>
      <c r="BA51" s="23"/>
      <c r="BB51" s="23"/>
      <c r="BC51" s="23"/>
      <c r="BD51" s="23"/>
      <c r="BE51" s="23"/>
      <c r="BF51" s="23"/>
    </row>
    <row r="52" spans="2:58" ht="18.649999999999999" customHeight="1" x14ac:dyDescent="0.25">
      <c r="B52" s="70" t="s">
        <v>43</v>
      </c>
      <c r="C52" s="4" t="s">
        <v>30</v>
      </c>
      <c r="D52" s="5">
        <v>3</v>
      </c>
      <c r="E52" s="22">
        <v>19868</v>
      </c>
      <c r="F52" s="22">
        <v>18665</v>
      </c>
      <c r="G52" s="22">
        <v>17921</v>
      </c>
      <c r="H52" s="22">
        <v>17277</v>
      </c>
      <c r="I52" s="22">
        <v>18006</v>
      </c>
      <c r="J52" s="22">
        <v>18788</v>
      </c>
      <c r="K52" s="22">
        <v>19871</v>
      </c>
      <c r="L52" s="22">
        <v>33089</v>
      </c>
      <c r="M52" s="22">
        <v>34753</v>
      </c>
      <c r="N52" s="22">
        <v>35455</v>
      </c>
      <c r="O52" s="22">
        <v>35988</v>
      </c>
      <c r="P52" s="22">
        <v>36824</v>
      </c>
      <c r="Q52" s="22">
        <v>37142</v>
      </c>
      <c r="R52" s="22">
        <v>36898</v>
      </c>
      <c r="S52" s="22">
        <v>37074</v>
      </c>
      <c r="T52" s="22">
        <v>36700</v>
      </c>
      <c r="U52" s="22">
        <v>36985</v>
      </c>
      <c r="V52" s="22">
        <v>31246</v>
      </c>
      <c r="W52" s="22">
        <v>36475</v>
      </c>
      <c r="X52" s="22">
        <v>36933</v>
      </c>
      <c r="Y52" s="22">
        <v>35526</v>
      </c>
      <c r="Z52" s="22">
        <v>33170</v>
      </c>
      <c r="AA52" s="22">
        <v>29444</v>
      </c>
      <c r="AB52" s="22">
        <v>26317</v>
      </c>
      <c r="AC52" s="73"/>
      <c r="AG52" s="18"/>
      <c r="AH52" s="18"/>
      <c r="AI52" s="23"/>
      <c r="AJ52" s="23"/>
      <c r="AK52" s="23"/>
      <c r="AL52" s="23"/>
      <c r="AM52" s="23"/>
      <c r="AN52" s="23"/>
      <c r="AO52" s="23"/>
      <c r="AP52" s="23"/>
      <c r="AQ52" s="23"/>
      <c r="AR52" s="23"/>
      <c r="AS52" s="23"/>
      <c r="AT52" s="23"/>
      <c r="AU52" s="23"/>
      <c r="AV52" s="23"/>
      <c r="AW52" s="23"/>
      <c r="AX52" s="23"/>
      <c r="AY52" s="23"/>
      <c r="AZ52" s="23"/>
      <c r="BA52" s="23"/>
      <c r="BB52" s="23"/>
      <c r="BC52" s="23"/>
      <c r="BD52" s="23"/>
      <c r="BE52" s="23"/>
      <c r="BF52" s="23"/>
    </row>
    <row r="53" spans="2:58" ht="18.649999999999999" customHeight="1" x14ac:dyDescent="0.25">
      <c r="B53" s="70" t="s">
        <v>43</v>
      </c>
      <c r="C53" s="4" t="s">
        <v>31</v>
      </c>
      <c r="D53" s="5">
        <v>4</v>
      </c>
      <c r="E53" s="22">
        <v>21439</v>
      </c>
      <c r="F53" s="22">
        <v>19795</v>
      </c>
      <c r="G53" s="22">
        <v>18537</v>
      </c>
      <c r="H53" s="22">
        <v>17937</v>
      </c>
      <c r="I53" s="22">
        <v>17319</v>
      </c>
      <c r="J53" s="22">
        <v>17218</v>
      </c>
      <c r="K53" s="22">
        <v>16451</v>
      </c>
      <c r="L53" s="22">
        <v>28840</v>
      </c>
      <c r="M53" s="22">
        <v>31188</v>
      </c>
      <c r="N53" s="22">
        <v>31690</v>
      </c>
      <c r="O53" s="22">
        <v>32763</v>
      </c>
      <c r="P53" s="22">
        <v>34115</v>
      </c>
      <c r="Q53" s="22">
        <v>35770</v>
      </c>
      <c r="R53" s="22">
        <v>34941</v>
      </c>
      <c r="S53" s="22">
        <v>33391</v>
      </c>
      <c r="T53" s="22">
        <v>34775</v>
      </c>
      <c r="U53" s="22">
        <v>34672</v>
      </c>
      <c r="V53" s="22">
        <v>30282</v>
      </c>
      <c r="W53" s="22">
        <v>33876</v>
      </c>
      <c r="X53" s="22">
        <v>34209</v>
      </c>
      <c r="Y53" s="22">
        <v>33188</v>
      </c>
      <c r="Z53" s="22">
        <v>31755</v>
      </c>
      <c r="AA53" s="22">
        <v>27754</v>
      </c>
      <c r="AB53" s="22">
        <v>25163</v>
      </c>
      <c r="AC53" s="73"/>
      <c r="AG53" s="18"/>
      <c r="AH53" s="18"/>
      <c r="AI53" s="23"/>
      <c r="AJ53" s="23"/>
      <c r="AK53" s="23"/>
      <c r="AL53" s="23"/>
      <c r="AM53" s="23"/>
      <c r="AN53" s="23"/>
      <c r="AO53" s="23"/>
      <c r="AP53" s="23"/>
      <c r="AQ53" s="23"/>
      <c r="AR53" s="23"/>
      <c r="AS53" s="23"/>
      <c r="AT53" s="23"/>
      <c r="AU53" s="23"/>
      <c r="AV53" s="23"/>
      <c r="AW53" s="23"/>
      <c r="AX53" s="23"/>
      <c r="AY53" s="23"/>
      <c r="AZ53" s="23"/>
      <c r="BA53" s="23"/>
      <c r="BB53" s="23"/>
      <c r="BC53" s="23"/>
      <c r="BD53" s="23"/>
      <c r="BE53" s="23"/>
      <c r="BF53" s="23"/>
    </row>
    <row r="54" spans="2:58" ht="18.649999999999999" customHeight="1" x14ac:dyDescent="0.25">
      <c r="B54" s="70" t="s">
        <v>43</v>
      </c>
      <c r="C54" s="4" t="s">
        <v>32</v>
      </c>
      <c r="D54" s="5">
        <v>2</v>
      </c>
      <c r="E54" s="22">
        <v>20768</v>
      </c>
      <c r="F54" s="22">
        <v>19669</v>
      </c>
      <c r="G54" s="22">
        <v>18490</v>
      </c>
      <c r="H54" s="22">
        <v>17878</v>
      </c>
      <c r="I54" s="22">
        <v>16858</v>
      </c>
      <c r="J54" s="22">
        <v>16187</v>
      </c>
      <c r="K54" s="22">
        <v>14869</v>
      </c>
      <c r="L54" s="22">
        <v>24249</v>
      </c>
      <c r="M54" s="22">
        <v>24728</v>
      </c>
      <c r="N54" s="22">
        <v>25761</v>
      </c>
      <c r="O54" s="22">
        <v>27975</v>
      </c>
      <c r="P54" s="22">
        <v>29807</v>
      </c>
      <c r="Q54" s="22">
        <v>31604</v>
      </c>
      <c r="R54" s="22">
        <v>32350</v>
      </c>
      <c r="S54" s="22">
        <v>31697</v>
      </c>
      <c r="T54" s="22">
        <v>32309</v>
      </c>
      <c r="U54" s="22">
        <v>32669</v>
      </c>
      <c r="V54" s="22">
        <v>28529</v>
      </c>
      <c r="W54" s="22">
        <v>31847</v>
      </c>
      <c r="X54" s="22">
        <v>32705</v>
      </c>
      <c r="Y54" s="22">
        <v>30958</v>
      </c>
      <c r="Z54" s="22">
        <v>28765</v>
      </c>
      <c r="AA54" s="22">
        <v>24751</v>
      </c>
      <c r="AB54" s="22">
        <v>21570</v>
      </c>
      <c r="AC54" s="74"/>
      <c r="AG54" s="18"/>
      <c r="AH54" s="18"/>
      <c r="AI54" s="23"/>
      <c r="AJ54" s="23"/>
      <c r="AK54" s="23"/>
      <c r="AL54" s="23"/>
      <c r="AM54" s="23"/>
      <c r="AN54" s="23"/>
      <c r="AO54" s="23"/>
      <c r="AP54" s="23"/>
      <c r="AQ54" s="23"/>
      <c r="AR54" s="23"/>
      <c r="AS54" s="23"/>
      <c r="AT54" s="23"/>
      <c r="AU54" s="23"/>
      <c r="AV54" s="23"/>
      <c r="AW54" s="23"/>
      <c r="AX54" s="23"/>
      <c r="AY54" s="23"/>
      <c r="AZ54" s="23"/>
      <c r="BA54" s="23"/>
      <c r="BB54" s="23"/>
      <c r="BC54" s="23"/>
      <c r="BD54" s="23"/>
      <c r="BE54" s="23"/>
      <c r="BF54" s="23"/>
    </row>
    <row r="55" spans="2:58" ht="18.649999999999999" customHeight="1" x14ac:dyDescent="0.3">
      <c r="Z55" s="75" t="s">
        <v>46</v>
      </c>
      <c r="AA55" s="75"/>
      <c r="AB55" s="75"/>
      <c r="AC55" s="6">
        <f>SUM(AC7:AC54)</f>
        <v>221362249</v>
      </c>
    </row>
    <row r="56" spans="2:58" ht="18.649999999999999" customHeight="1" x14ac:dyDescent="0.25">
      <c r="AC56" s="20"/>
    </row>
    <row r="62" spans="2:58" x14ac:dyDescent="0.25">
      <c r="E62" s="1">
        <v>1000</v>
      </c>
    </row>
  </sheetData>
  <mergeCells count="28">
    <mergeCell ref="AC35:AC38"/>
    <mergeCell ref="AC39:AC42"/>
    <mergeCell ref="AC43:AC46"/>
    <mergeCell ref="AC47:AC50"/>
    <mergeCell ref="AC51:AC54"/>
    <mergeCell ref="AC15:AC18"/>
    <mergeCell ref="AC19:AC22"/>
    <mergeCell ref="AC23:AC26"/>
    <mergeCell ref="AC27:AC30"/>
    <mergeCell ref="AC31:AC34"/>
    <mergeCell ref="B35:B38"/>
    <mergeCell ref="B51:B54"/>
    <mergeCell ref="Z55:AB55"/>
    <mergeCell ref="B39:B42"/>
    <mergeCell ref="B43:B46"/>
    <mergeCell ref="B47:B50"/>
    <mergeCell ref="B15:B18"/>
    <mergeCell ref="B19:B22"/>
    <mergeCell ref="B23:B26"/>
    <mergeCell ref="B27:B30"/>
    <mergeCell ref="B31:B34"/>
    <mergeCell ref="B11:B14"/>
    <mergeCell ref="B2:AC2"/>
    <mergeCell ref="B3:AC3"/>
    <mergeCell ref="B4:AC4"/>
    <mergeCell ref="B7:B10"/>
    <mergeCell ref="AC7:AC10"/>
    <mergeCell ref="AC11:AC14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148F13-9E1B-473E-ACBE-FA4A8E59A5B0}">
  <dimension ref="B1:BD61"/>
  <sheetViews>
    <sheetView showGridLines="0" topLeftCell="G21" zoomScale="70" zoomScaleNormal="70" workbookViewId="0">
      <selection activeCell="A5" sqref="A5:AD57"/>
    </sheetView>
  </sheetViews>
  <sheetFormatPr baseColWidth="10" defaultColWidth="11.453125" defaultRowHeight="11.5" x14ac:dyDescent="0.25"/>
  <cols>
    <col min="1" max="1" width="6.54296875" style="7" customWidth="1"/>
    <col min="2" max="2" width="6.26953125" style="7" bestFit="1" customWidth="1"/>
    <col min="3" max="3" width="10.1796875" style="7" bestFit="1" customWidth="1"/>
    <col min="4" max="4" width="6" style="7" bestFit="1" customWidth="1"/>
    <col min="5" max="11" width="9.453125" style="7" bestFit="1" customWidth="1"/>
    <col min="12" max="28" width="9.7265625" style="7" bestFit="1" customWidth="1"/>
    <col min="29" max="29" width="17.26953125" style="7" bestFit="1" customWidth="1"/>
    <col min="30" max="30" width="5.81640625" style="7" customWidth="1"/>
    <col min="31" max="31" width="14" style="7" bestFit="1" customWidth="1"/>
    <col min="32" max="257" width="11.453125" style="7"/>
    <col min="258" max="258" width="7" style="7" customWidth="1"/>
    <col min="259" max="259" width="10.7265625" style="7" customWidth="1"/>
    <col min="260" max="260" width="9.26953125" style="7" customWidth="1"/>
    <col min="261" max="284" width="7.26953125" style="7" customWidth="1"/>
    <col min="285" max="285" width="11.26953125" style="7" bestFit="1" customWidth="1"/>
    <col min="286" max="513" width="11.453125" style="7"/>
    <col min="514" max="514" width="7" style="7" customWidth="1"/>
    <col min="515" max="515" width="10.7265625" style="7" customWidth="1"/>
    <col min="516" max="516" width="9.26953125" style="7" customWidth="1"/>
    <col min="517" max="540" width="7.26953125" style="7" customWidth="1"/>
    <col min="541" max="541" width="11.26953125" style="7" bestFit="1" customWidth="1"/>
    <col min="542" max="769" width="11.453125" style="7"/>
    <col min="770" max="770" width="7" style="7" customWidth="1"/>
    <col min="771" max="771" width="10.7265625" style="7" customWidth="1"/>
    <col min="772" max="772" width="9.26953125" style="7" customWidth="1"/>
    <col min="773" max="796" width="7.26953125" style="7" customWidth="1"/>
    <col min="797" max="797" width="11.26953125" style="7" bestFit="1" customWidth="1"/>
    <col min="798" max="1025" width="11.453125" style="7"/>
    <col min="1026" max="1026" width="7" style="7" customWidth="1"/>
    <col min="1027" max="1027" width="10.7265625" style="7" customWidth="1"/>
    <col min="1028" max="1028" width="9.26953125" style="7" customWidth="1"/>
    <col min="1029" max="1052" width="7.26953125" style="7" customWidth="1"/>
    <col min="1053" max="1053" width="11.26953125" style="7" bestFit="1" customWidth="1"/>
    <col min="1054" max="1281" width="11.453125" style="7"/>
    <col min="1282" max="1282" width="7" style="7" customWidth="1"/>
    <col min="1283" max="1283" width="10.7265625" style="7" customWidth="1"/>
    <col min="1284" max="1284" width="9.26953125" style="7" customWidth="1"/>
    <col min="1285" max="1308" width="7.26953125" style="7" customWidth="1"/>
    <col min="1309" max="1309" width="11.26953125" style="7" bestFit="1" customWidth="1"/>
    <col min="1310" max="1537" width="11.453125" style="7"/>
    <col min="1538" max="1538" width="7" style="7" customWidth="1"/>
    <col min="1539" max="1539" width="10.7265625" style="7" customWidth="1"/>
    <col min="1540" max="1540" width="9.26953125" style="7" customWidth="1"/>
    <col min="1541" max="1564" width="7.26953125" style="7" customWidth="1"/>
    <col min="1565" max="1565" width="11.26953125" style="7" bestFit="1" customWidth="1"/>
    <col min="1566" max="1793" width="11.453125" style="7"/>
    <col min="1794" max="1794" width="7" style="7" customWidth="1"/>
    <col min="1795" max="1795" width="10.7265625" style="7" customWidth="1"/>
    <col min="1796" max="1796" width="9.26953125" style="7" customWidth="1"/>
    <col min="1797" max="1820" width="7.26953125" style="7" customWidth="1"/>
    <col min="1821" max="1821" width="11.26953125" style="7" bestFit="1" customWidth="1"/>
    <col min="1822" max="2049" width="11.453125" style="7"/>
    <col min="2050" max="2050" width="7" style="7" customWidth="1"/>
    <col min="2051" max="2051" width="10.7265625" style="7" customWidth="1"/>
    <col min="2052" max="2052" width="9.26953125" style="7" customWidth="1"/>
    <col min="2053" max="2076" width="7.26953125" style="7" customWidth="1"/>
    <col min="2077" max="2077" width="11.26953125" style="7" bestFit="1" customWidth="1"/>
    <col min="2078" max="2305" width="11.453125" style="7"/>
    <col min="2306" max="2306" width="7" style="7" customWidth="1"/>
    <col min="2307" max="2307" width="10.7265625" style="7" customWidth="1"/>
    <col min="2308" max="2308" width="9.26953125" style="7" customWidth="1"/>
    <col min="2309" max="2332" width="7.26953125" style="7" customWidth="1"/>
    <col min="2333" max="2333" width="11.26953125" style="7" bestFit="1" customWidth="1"/>
    <col min="2334" max="2561" width="11.453125" style="7"/>
    <col min="2562" max="2562" width="7" style="7" customWidth="1"/>
    <col min="2563" max="2563" width="10.7265625" style="7" customWidth="1"/>
    <col min="2564" max="2564" width="9.26953125" style="7" customWidth="1"/>
    <col min="2565" max="2588" width="7.26953125" style="7" customWidth="1"/>
    <col min="2589" max="2589" width="11.26953125" style="7" bestFit="1" customWidth="1"/>
    <col min="2590" max="2817" width="11.453125" style="7"/>
    <col min="2818" max="2818" width="7" style="7" customWidth="1"/>
    <col min="2819" max="2819" width="10.7265625" style="7" customWidth="1"/>
    <col min="2820" max="2820" width="9.26953125" style="7" customWidth="1"/>
    <col min="2821" max="2844" width="7.26953125" style="7" customWidth="1"/>
    <col min="2845" max="2845" width="11.26953125" style="7" bestFit="1" customWidth="1"/>
    <col min="2846" max="3073" width="11.453125" style="7"/>
    <col min="3074" max="3074" width="7" style="7" customWidth="1"/>
    <col min="3075" max="3075" width="10.7265625" style="7" customWidth="1"/>
    <col min="3076" max="3076" width="9.26953125" style="7" customWidth="1"/>
    <col min="3077" max="3100" width="7.26953125" style="7" customWidth="1"/>
    <col min="3101" max="3101" width="11.26953125" style="7" bestFit="1" customWidth="1"/>
    <col min="3102" max="3329" width="11.453125" style="7"/>
    <col min="3330" max="3330" width="7" style="7" customWidth="1"/>
    <col min="3331" max="3331" width="10.7265625" style="7" customWidth="1"/>
    <col min="3332" max="3332" width="9.26953125" style="7" customWidth="1"/>
    <col min="3333" max="3356" width="7.26953125" style="7" customWidth="1"/>
    <col min="3357" max="3357" width="11.26953125" style="7" bestFit="1" customWidth="1"/>
    <col min="3358" max="3585" width="11.453125" style="7"/>
    <col min="3586" max="3586" width="7" style="7" customWidth="1"/>
    <col min="3587" max="3587" width="10.7265625" style="7" customWidth="1"/>
    <col min="3588" max="3588" width="9.26953125" style="7" customWidth="1"/>
    <col min="3589" max="3612" width="7.26953125" style="7" customWidth="1"/>
    <col min="3613" max="3613" width="11.26953125" style="7" bestFit="1" customWidth="1"/>
    <col min="3614" max="3841" width="11.453125" style="7"/>
    <col min="3842" max="3842" width="7" style="7" customWidth="1"/>
    <col min="3843" max="3843" width="10.7265625" style="7" customWidth="1"/>
    <col min="3844" max="3844" width="9.26953125" style="7" customWidth="1"/>
    <col min="3845" max="3868" width="7.26953125" style="7" customWidth="1"/>
    <col min="3869" max="3869" width="11.26953125" style="7" bestFit="1" customWidth="1"/>
    <col min="3870" max="4097" width="11.453125" style="7"/>
    <col min="4098" max="4098" width="7" style="7" customWidth="1"/>
    <col min="4099" max="4099" width="10.7265625" style="7" customWidth="1"/>
    <col min="4100" max="4100" width="9.26953125" style="7" customWidth="1"/>
    <col min="4101" max="4124" width="7.26953125" style="7" customWidth="1"/>
    <col min="4125" max="4125" width="11.26953125" style="7" bestFit="1" customWidth="1"/>
    <col min="4126" max="4353" width="11.453125" style="7"/>
    <col min="4354" max="4354" width="7" style="7" customWidth="1"/>
    <col min="4355" max="4355" width="10.7265625" style="7" customWidth="1"/>
    <col min="4356" max="4356" width="9.26953125" style="7" customWidth="1"/>
    <col min="4357" max="4380" width="7.26953125" style="7" customWidth="1"/>
    <col min="4381" max="4381" width="11.26953125" style="7" bestFit="1" customWidth="1"/>
    <col min="4382" max="4609" width="11.453125" style="7"/>
    <col min="4610" max="4610" width="7" style="7" customWidth="1"/>
    <col min="4611" max="4611" width="10.7265625" style="7" customWidth="1"/>
    <col min="4612" max="4612" width="9.26953125" style="7" customWidth="1"/>
    <col min="4613" max="4636" width="7.26953125" style="7" customWidth="1"/>
    <col min="4637" max="4637" width="11.26953125" style="7" bestFit="1" customWidth="1"/>
    <col min="4638" max="4865" width="11.453125" style="7"/>
    <col min="4866" max="4866" width="7" style="7" customWidth="1"/>
    <col min="4867" max="4867" width="10.7265625" style="7" customWidth="1"/>
    <col min="4868" max="4868" width="9.26953125" style="7" customWidth="1"/>
    <col min="4869" max="4892" width="7.26953125" style="7" customWidth="1"/>
    <col min="4893" max="4893" width="11.26953125" style="7" bestFit="1" customWidth="1"/>
    <col min="4894" max="5121" width="11.453125" style="7"/>
    <col min="5122" max="5122" width="7" style="7" customWidth="1"/>
    <col min="5123" max="5123" width="10.7265625" style="7" customWidth="1"/>
    <col min="5124" max="5124" width="9.26953125" style="7" customWidth="1"/>
    <col min="5125" max="5148" width="7.26953125" style="7" customWidth="1"/>
    <col min="5149" max="5149" width="11.26953125" style="7" bestFit="1" customWidth="1"/>
    <col min="5150" max="5377" width="11.453125" style="7"/>
    <col min="5378" max="5378" width="7" style="7" customWidth="1"/>
    <col min="5379" max="5379" width="10.7265625" style="7" customWidth="1"/>
    <col min="5380" max="5380" width="9.26953125" style="7" customWidth="1"/>
    <col min="5381" max="5404" width="7.26953125" style="7" customWidth="1"/>
    <col min="5405" max="5405" width="11.26953125" style="7" bestFit="1" customWidth="1"/>
    <col min="5406" max="5633" width="11.453125" style="7"/>
    <col min="5634" max="5634" width="7" style="7" customWidth="1"/>
    <col min="5635" max="5635" width="10.7265625" style="7" customWidth="1"/>
    <col min="5636" max="5636" width="9.26953125" style="7" customWidth="1"/>
    <col min="5637" max="5660" width="7.26953125" style="7" customWidth="1"/>
    <col min="5661" max="5661" width="11.26953125" style="7" bestFit="1" customWidth="1"/>
    <col min="5662" max="5889" width="11.453125" style="7"/>
    <col min="5890" max="5890" width="7" style="7" customWidth="1"/>
    <col min="5891" max="5891" width="10.7265625" style="7" customWidth="1"/>
    <col min="5892" max="5892" width="9.26953125" style="7" customWidth="1"/>
    <col min="5893" max="5916" width="7.26953125" style="7" customWidth="1"/>
    <col min="5917" max="5917" width="11.26953125" style="7" bestFit="1" customWidth="1"/>
    <col min="5918" max="6145" width="11.453125" style="7"/>
    <col min="6146" max="6146" width="7" style="7" customWidth="1"/>
    <col min="6147" max="6147" width="10.7265625" style="7" customWidth="1"/>
    <col min="6148" max="6148" width="9.26953125" style="7" customWidth="1"/>
    <col min="6149" max="6172" width="7.26953125" style="7" customWidth="1"/>
    <col min="6173" max="6173" width="11.26953125" style="7" bestFit="1" customWidth="1"/>
    <col min="6174" max="6401" width="11.453125" style="7"/>
    <col min="6402" max="6402" width="7" style="7" customWidth="1"/>
    <col min="6403" max="6403" width="10.7265625" style="7" customWidth="1"/>
    <col min="6404" max="6404" width="9.26953125" style="7" customWidth="1"/>
    <col min="6405" max="6428" width="7.26953125" style="7" customWidth="1"/>
    <col min="6429" max="6429" width="11.26953125" style="7" bestFit="1" customWidth="1"/>
    <col min="6430" max="6657" width="11.453125" style="7"/>
    <col min="6658" max="6658" width="7" style="7" customWidth="1"/>
    <col min="6659" max="6659" width="10.7265625" style="7" customWidth="1"/>
    <col min="6660" max="6660" width="9.26953125" style="7" customWidth="1"/>
    <col min="6661" max="6684" width="7.26953125" style="7" customWidth="1"/>
    <col min="6685" max="6685" width="11.26953125" style="7" bestFit="1" customWidth="1"/>
    <col min="6686" max="6913" width="11.453125" style="7"/>
    <col min="6914" max="6914" width="7" style="7" customWidth="1"/>
    <col min="6915" max="6915" width="10.7265625" style="7" customWidth="1"/>
    <col min="6916" max="6916" width="9.26953125" style="7" customWidth="1"/>
    <col min="6917" max="6940" width="7.26953125" style="7" customWidth="1"/>
    <col min="6941" max="6941" width="11.26953125" style="7" bestFit="1" customWidth="1"/>
    <col min="6942" max="7169" width="11.453125" style="7"/>
    <col min="7170" max="7170" width="7" style="7" customWidth="1"/>
    <col min="7171" max="7171" width="10.7265625" style="7" customWidth="1"/>
    <col min="7172" max="7172" width="9.26953125" style="7" customWidth="1"/>
    <col min="7173" max="7196" width="7.26953125" style="7" customWidth="1"/>
    <col min="7197" max="7197" width="11.26953125" style="7" bestFit="1" customWidth="1"/>
    <col min="7198" max="7425" width="11.453125" style="7"/>
    <col min="7426" max="7426" width="7" style="7" customWidth="1"/>
    <col min="7427" max="7427" width="10.7265625" style="7" customWidth="1"/>
    <col min="7428" max="7428" width="9.26953125" style="7" customWidth="1"/>
    <col min="7429" max="7452" width="7.26953125" style="7" customWidth="1"/>
    <col min="7453" max="7453" width="11.26953125" style="7" bestFit="1" customWidth="1"/>
    <col min="7454" max="7681" width="11.453125" style="7"/>
    <col min="7682" max="7682" width="7" style="7" customWidth="1"/>
    <col min="7683" max="7683" width="10.7265625" style="7" customWidth="1"/>
    <col min="7684" max="7684" width="9.26953125" style="7" customWidth="1"/>
    <col min="7685" max="7708" width="7.26953125" style="7" customWidth="1"/>
    <col min="7709" max="7709" width="11.26953125" style="7" bestFit="1" customWidth="1"/>
    <col min="7710" max="7937" width="11.453125" style="7"/>
    <col min="7938" max="7938" width="7" style="7" customWidth="1"/>
    <col min="7939" max="7939" width="10.7265625" style="7" customWidth="1"/>
    <col min="7940" max="7940" width="9.26953125" style="7" customWidth="1"/>
    <col min="7941" max="7964" width="7.26953125" style="7" customWidth="1"/>
    <col min="7965" max="7965" width="11.26953125" style="7" bestFit="1" customWidth="1"/>
    <col min="7966" max="8193" width="11.453125" style="7"/>
    <col min="8194" max="8194" width="7" style="7" customWidth="1"/>
    <col min="8195" max="8195" width="10.7265625" style="7" customWidth="1"/>
    <col min="8196" max="8196" width="9.26953125" style="7" customWidth="1"/>
    <col min="8197" max="8220" width="7.26953125" style="7" customWidth="1"/>
    <col min="8221" max="8221" width="11.26953125" style="7" bestFit="1" customWidth="1"/>
    <col min="8222" max="8449" width="11.453125" style="7"/>
    <col min="8450" max="8450" width="7" style="7" customWidth="1"/>
    <col min="8451" max="8451" width="10.7265625" style="7" customWidth="1"/>
    <col min="8452" max="8452" width="9.26953125" style="7" customWidth="1"/>
    <col min="8453" max="8476" width="7.26953125" style="7" customWidth="1"/>
    <col min="8477" max="8477" width="11.26953125" style="7" bestFit="1" customWidth="1"/>
    <col min="8478" max="8705" width="11.453125" style="7"/>
    <col min="8706" max="8706" width="7" style="7" customWidth="1"/>
    <col min="8707" max="8707" width="10.7265625" style="7" customWidth="1"/>
    <col min="8708" max="8708" width="9.26953125" style="7" customWidth="1"/>
    <col min="8709" max="8732" width="7.26953125" style="7" customWidth="1"/>
    <col min="8733" max="8733" width="11.26953125" style="7" bestFit="1" customWidth="1"/>
    <col min="8734" max="8961" width="11.453125" style="7"/>
    <col min="8962" max="8962" width="7" style="7" customWidth="1"/>
    <col min="8963" max="8963" width="10.7265625" style="7" customWidth="1"/>
    <col min="8964" max="8964" width="9.26953125" style="7" customWidth="1"/>
    <col min="8965" max="8988" width="7.26953125" style="7" customWidth="1"/>
    <col min="8989" max="8989" width="11.26953125" style="7" bestFit="1" customWidth="1"/>
    <col min="8990" max="9217" width="11.453125" style="7"/>
    <col min="9218" max="9218" width="7" style="7" customWidth="1"/>
    <col min="9219" max="9219" width="10.7265625" style="7" customWidth="1"/>
    <col min="9220" max="9220" width="9.26953125" style="7" customWidth="1"/>
    <col min="9221" max="9244" width="7.26953125" style="7" customWidth="1"/>
    <col min="9245" max="9245" width="11.26953125" style="7" bestFit="1" customWidth="1"/>
    <col min="9246" max="9473" width="11.453125" style="7"/>
    <col min="9474" max="9474" width="7" style="7" customWidth="1"/>
    <col min="9475" max="9475" width="10.7265625" style="7" customWidth="1"/>
    <col min="9476" max="9476" width="9.26953125" style="7" customWidth="1"/>
    <col min="9477" max="9500" width="7.26953125" style="7" customWidth="1"/>
    <col min="9501" max="9501" width="11.26953125" style="7" bestFit="1" customWidth="1"/>
    <col min="9502" max="9729" width="11.453125" style="7"/>
    <col min="9730" max="9730" width="7" style="7" customWidth="1"/>
    <col min="9731" max="9731" width="10.7265625" style="7" customWidth="1"/>
    <col min="9732" max="9732" width="9.26953125" style="7" customWidth="1"/>
    <col min="9733" max="9756" width="7.26953125" style="7" customWidth="1"/>
    <col min="9757" max="9757" width="11.26953125" style="7" bestFit="1" customWidth="1"/>
    <col min="9758" max="9985" width="11.453125" style="7"/>
    <col min="9986" max="9986" width="7" style="7" customWidth="1"/>
    <col min="9987" max="9987" width="10.7265625" style="7" customWidth="1"/>
    <col min="9988" max="9988" width="9.26953125" style="7" customWidth="1"/>
    <col min="9989" max="10012" width="7.26953125" style="7" customWidth="1"/>
    <col min="10013" max="10013" width="11.26953125" style="7" bestFit="1" customWidth="1"/>
    <col min="10014" max="10241" width="11.453125" style="7"/>
    <col min="10242" max="10242" width="7" style="7" customWidth="1"/>
    <col min="10243" max="10243" width="10.7265625" style="7" customWidth="1"/>
    <col min="10244" max="10244" width="9.26953125" style="7" customWidth="1"/>
    <col min="10245" max="10268" width="7.26953125" style="7" customWidth="1"/>
    <col min="10269" max="10269" width="11.26953125" style="7" bestFit="1" customWidth="1"/>
    <col min="10270" max="10497" width="11.453125" style="7"/>
    <col min="10498" max="10498" width="7" style="7" customWidth="1"/>
    <col min="10499" max="10499" width="10.7265625" style="7" customWidth="1"/>
    <col min="10500" max="10500" width="9.26953125" style="7" customWidth="1"/>
    <col min="10501" max="10524" width="7.26953125" style="7" customWidth="1"/>
    <col min="10525" max="10525" width="11.26953125" style="7" bestFit="1" customWidth="1"/>
    <col min="10526" max="10753" width="11.453125" style="7"/>
    <col min="10754" max="10754" width="7" style="7" customWidth="1"/>
    <col min="10755" max="10755" width="10.7265625" style="7" customWidth="1"/>
    <col min="10756" max="10756" width="9.26953125" style="7" customWidth="1"/>
    <col min="10757" max="10780" width="7.26953125" style="7" customWidth="1"/>
    <col min="10781" max="10781" width="11.26953125" style="7" bestFit="1" customWidth="1"/>
    <col min="10782" max="11009" width="11.453125" style="7"/>
    <col min="11010" max="11010" width="7" style="7" customWidth="1"/>
    <col min="11011" max="11011" width="10.7265625" style="7" customWidth="1"/>
    <col min="11012" max="11012" width="9.26953125" style="7" customWidth="1"/>
    <col min="11013" max="11036" width="7.26953125" style="7" customWidth="1"/>
    <col min="11037" max="11037" width="11.26953125" style="7" bestFit="1" customWidth="1"/>
    <col min="11038" max="11265" width="11.453125" style="7"/>
    <col min="11266" max="11266" width="7" style="7" customWidth="1"/>
    <col min="11267" max="11267" width="10.7265625" style="7" customWidth="1"/>
    <col min="11268" max="11268" width="9.26953125" style="7" customWidth="1"/>
    <col min="11269" max="11292" width="7.26953125" style="7" customWidth="1"/>
    <col min="11293" max="11293" width="11.26953125" style="7" bestFit="1" customWidth="1"/>
    <col min="11294" max="11521" width="11.453125" style="7"/>
    <col min="11522" max="11522" width="7" style="7" customWidth="1"/>
    <col min="11523" max="11523" width="10.7265625" style="7" customWidth="1"/>
    <col min="11524" max="11524" width="9.26953125" style="7" customWidth="1"/>
    <col min="11525" max="11548" width="7.26953125" style="7" customWidth="1"/>
    <col min="11549" max="11549" width="11.26953125" style="7" bestFit="1" customWidth="1"/>
    <col min="11550" max="11777" width="11.453125" style="7"/>
    <col min="11778" max="11778" width="7" style="7" customWidth="1"/>
    <col min="11779" max="11779" width="10.7265625" style="7" customWidth="1"/>
    <col min="11780" max="11780" width="9.26953125" style="7" customWidth="1"/>
    <col min="11781" max="11804" width="7.26953125" style="7" customWidth="1"/>
    <col min="11805" max="11805" width="11.26953125" style="7" bestFit="1" customWidth="1"/>
    <col min="11806" max="12033" width="11.453125" style="7"/>
    <col min="12034" max="12034" width="7" style="7" customWidth="1"/>
    <col min="12035" max="12035" width="10.7265625" style="7" customWidth="1"/>
    <col min="12036" max="12036" width="9.26953125" style="7" customWidth="1"/>
    <col min="12037" max="12060" width="7.26953125" style="7" customWidth="1"/>
    <col min="12061" max="12061" width="11.26953125" style="7" bestFit="1" customWidth="1"/>
    <col min="12062" max="12289" width="11.453125" style="7"/>
    <col min="12290" max="12290" width="7" style="7" customWidth="1"/>
    <col min="12291" max="12291" width="10.7265625" style="7" customWidth="1"/>
    <col min="12292" max="12292" width="9.26953125" style="7" customWidth="1"/>
    <col min="12293" max="12316" width="7.26953125" style="7" customWidth="1"/>
    <col min="12317" max="12317" width="11.26953125" style="7" bestFit="1" customWidth="1"/>
    <col min="12318" max="12545" width="11.453125" style="7"/>
    <col min="12546" max="12546" width="7" style="7" customWidth="1"/>
    <col min="12547" max="12547" width="10.7265625" style="7" customWidth="1"/>
    <col min="12548" max="12548" width="9.26953125" style="7" customWidth="1"/>
    <col min="12549" max="12572" width="7.26953125" style="7" customWidth="1"/>
    <col min="12573" max="12573" width="11.26953125" style="7" bestFit="1" customWidth="1"/>
    <col min="12574" max="12801" width="11.453125" style="7"/>
    <col min="12802" max="12802" width="7" style="7" customWidth="1"/>
    <col min="12803" max="12803" width="10.7265625" style="7" customWidth="1"/>
    <col min="12804" max="12804" width="9.26953125" style="7" customWidth="1"/>
    <col min="12805" max="12828" width="7.26953125" style="7" customWidth="1"/>
    <col min="12829" max="12829" width="11.26953125" style="7" bestFit="1" customWidth="1"/>
    <col min="12830" max="13057" width="11.453125" style="7"/>
    <col min="13058" max="13058" width="7" style="7" customWidth="1"/>
    <col min="13059" max="13059" width="10.7265625" style="7" customWidth="1"/>
    <col min="13060" max="13060" width="9.26953125" style="7" customWidth="1"/>
    <col min="13061" max="13084" width="7.26953125" style="7" customWidth="1"/>
    <col min="13085" max="13085" width="11.26953125" style="7" bestFit="1" customWidth="1"/>
    <col min="13086" max="13313" width="11.453125" style="7"/>
    <col min="13314" max="13314" width="7" style="7" customWidth="1"/>
    <col min="13315" max="13315" width="10.7265625" style="7" customWidth="1"/>
    <col min="13316" max="13316" width="9.26953125" style="7" customWidth="1"/>
    <col min="13317" max="13340" width="7.26953125" style="7" customWidth="1"/>
    <col min="13341" max="13341" width="11.26953125" style="7" bestFit="1" customWidth="1"/>
    <col min="13342" max="13569" width="11.453125" style="7"/>
    <col min="13570" max="13570" width="7" style="7" customWidth="1"/>
    <col min="13571" max="13571" width="10.7265625" style="7" customWidth="1"/>
    <col min="13572" max="13572" width="9.26953125" style="7" customWidth="1"/>
    <col min="13573" max="13596" width="7.26953125" style="7" customWidth="1"/>
    <col min="13597" max="13597" width="11.26953125" style="7" bestFit="1" customWidth="1"/>
    <col min="13598" max="13825" width="11.453125" style="7"/>
    <col min="13826" max="13826" width="7" style="7" customWidth="1"/>
    <col min="13827" max="13827" width="10.7265625" style="7" customWidth="1"/>
    <col min="13828" max="13828" width="9.26953125" style="7" customWidth="1"/>
    <col min="13829" max="13852" width="7.26953125" style="7" customWidth="1"/>
    <col min="13853" max="13853" width="11.26953125" style="7" bestFit="1" customWidth="1"/>
    <col min="13854" max="14081" width="11.453125" style="7"/>
    <col min="14082" max="14082" width="7" style="7" customWidth="1"/>
    <col min="14083" max="14083" width="10.7265625" style="7" customWidth="1"/>
    <col min="14084" max="14084" width="9.26953125" style="7" customWidth="1"/>
    <col min="14085" max="14108" width="7.26953125" style="7" customWidth="1"/>
    <col min="14109" max="14109" width="11.26953125" style="7" bestFit="1" customWidth="1"/>
    <col min="14110" max="14337" width="11.453125" style="7"/>
    <col min="14338" max="14338" width="7" style="7" customWidth="1"/>
    <col min="14339" max="14339" width="10.7265625" style="7" customWidth="1"/>
    <col min="14340" max="14340" width="9.26953125" style="7" customWidth="1"/>
    <col min="14341" max="14364" width="7.26953125" style="7" customWidth="1"/>
    <col min="14365" max="14365" width="11.26953125" style="7" bestFit="1" customWidth="1"/>
    <col min="14366" max="14593" width="11.453125" style="7"/>
    <col min="14594" max="14594" width="7" style="7" customWidth="1"/>
    <col min="14595" max="14595" width="10.7265625" style="7" customWidth="1"/>
    <col min="14596" max="14596" width="9.26953125" style="7" customWidth="1"/>
    <col min="14597" max="14620" width="7.26953125" style="7" customWidth="1"/>
    <col min="14621" max="14621" width="11.26953125" style="7" bestFit="1" customWidth="1"/>
    <col min="14622" max="14849" width="11.453125" style="7"/>
    <col min="14850" max="14850" width="7" style="7" customWidth="1"/>
    <col min="14851" max="14851" width="10.7265625" style="7" customWidth="1"/>
    <col min="14852" max="14852" width="9.26953125" style="7" customWidth="1"/>
    <col min="14853" max="14876" width="7.26953125" style="7" customWidth="1"/>
    <col min="14877" max="14877" width="11.26953125" style="7" bestFit="1" customWidth="1"/>
    <col min="14878" max="15105" width="11.453125" style="7"/>
    <col min="15106" max="15106" width="7" style="7" customWidth="1"/>
    <col min="15107" max="15107" width="10.7265625" style="7" customWidth="1"/>
    <col min="15108" max="15108" width="9.26953125" style="7" customWidth="1"/>
    <col min="15109" max="15132" width="7.26953125" style="7" customWidth="1"/>
    <col min="15133" max="15133" width="11.26953125" style="7" bestFit="1" customWidth="1"/>
    <col min="15134" max="15361" width="11.453125" style="7"/>
    <col min="15362" max="15362" width="7" style="7" customWidth="1"/>
    <col min="15363" max="15363" width="10.7265625" style="7" customWidth="1"/>
    <col min="15364" max="15364" width="9.26953125" style="7" customWidth="1"/>
    <col min="15365" max="15388" width="7.26953125" style="7" customWidth="1"/>
    <col min="15389" max="15389" width="11.26953125" style="7" bestFit="1" customWidth="1"/>
    <col min="15390" max="15617" width="11.453125" style="7"/>
    <col min="15618" max="15618" width="7" style="7" customWidth="1"/>
    <col min="15619" max="15619" width="10.7265625" style="7" customWidth="1"/>
    <col min="15620" max="15620" width="9.26953125" style="7" customWidth="1"/>
    <col min="15621" max="15644" width="7.26953125" style="7" customWidth="1"/>
    <col min="15645" max="15645" width="11.26953125" style="7" bestFit="1" customWidth="1"/>
    <col min="15646" max="15873" width="11.453125" style="7"/>
    <col min="15874" max="15874" width="7" style="7" customWidth="1"/>
    <col min="15875" max="15875" width="10.7265625" style="7" customWidth="1"/>
    <col min="15876" max="15876" width="9.26953125" style="7" customWidth="1"/>
    <col min="15877" max="15900" width="7.26953125" style="7" customWidth="1"/>
    <col min="15901" max="15901" width="11.26953125" style="7" bestFit="1" customWidth="1"/>
    <col min="15902" max="16129" width="11.453125" style="7"/>
    <col min="16130" max="16130" width="7" style="7" customWidth="1"/>
    <col min="16131" max="16131" width="10.7265625" style="7" customWidth="1"/>
    <col min="16132" max="16132" width="9.26953125" style="7" customWidth="1"/>
    <col min="16133" max="16156" width="7.26953125" style="7" customWidth="1"/>
    <col min="16157" max="16157" width="11.26953125" style="7" bestFit="1" customWidth="1"/>
    <col min="16158" max="16384" width="11.453125" style="7"/>
  </cols>
  <sheetData>
    <row r="1" spans="2:56" ht="18.649999999999999" customHeight="1" x14ac:dyDescent="0.25"/>
    <row r="2" spans="2:56" ht="18.649999999999999" customHeight="1" x14ac:dyDescent="0.25">
      <c r="B2" s="79" t="s">
        <v>45</v>
      </c>
      <c r="C2" s="79"/>
      <c r="D2" s="79"/>
      <c r="E2" s="79"/>
      <c r="F2" s="79"/>
      <c r="G2" s="79"/>
      <c r="H2" s="79"/>
      <c r="I2" s="79"/>
      <c r="J2" s="79"/>
      <c r="K2" s="79"/>
      <c r="L2" s="79"/>
      <c r="M2" s="79"/>
      <c r="N2" s="79"/>
      <c r="O2" s="79"/>
      <c r="P2" s="79"/>
      <c r="Q2" s="79"/>
      <c r="R2" s="79"/>
      <c r="S2" s="79"/>
      <c r="T2" s="79"/>
      <c r="U2" s="79"/>
      <c r="V2" s="79"/>
      <c r="W2" s="79"/>
      <c r="X2" s="79"/>
      <c r="Y2" s="79"/>
      <c r="Z2" s="79"/>
      <c r="AA2" s="79"/>
      <c r="AB2" s="79"/>
      <c r="AC2" s="79"/>
    </row>
    <row r="3" spans="2:56" ht="18.649999999999999" customHeight="1" x14ac:dyDescent="0.25">
      <c r="B3" s="79" t="s">
        <v>44</v>
      </c>
      <c r="C3" s="79"/>
      <c r="D3" s="79"/>
      <c r="E3" s="79"/>
      <c r="F3" s="79"/>
      <c r="G3" s="79"/>
      <c r="H3" s="79"/>
      <c r="I3" s="79"/>
      <c r="J3" s="79"/>
      <c r="K3" s="79"/>
      <c r="L3" s="79"/>
      <c r="M3" s="79"/>
      <c r="N3" s="79"/>
      <c r="O3" s="79"/>
      <c r="P3" s="79"/>
      <c r="Q3" s="79"/>
      <c r="R3" s="79"/>
      <c r="S3" s="79"/>
      <c r="T3" s="79"/>
      <c r="U3" s="79"/>
      <c r="V3" s="79"/>
      <c r="W3" s="79"/>
      <c r="X3" s="79"/>
      <c r="Y3" s="79"/>
      <c r="Z3" s="79"/>
      <c r="AA3" s="79"/>
      <c r="AB3" s="79"/>
      <c r="AC3" s="79"/>
    </row>
    <row r="4" spans="2:56" ht="18.649999999999999" customHeight="1" x14ac:dyDescent="0.25">
      <c r="B4" s="79">
        <v>2028</v>
      </c>
      <c r="C4" s="79"/>
      <c r="D4" s="79"/>
      <c r="E4" s="79"/>
      <c r="F4" s="79"/>
      <c r="G4" s="79"/>
      <c r="H4" s="79"/>
      <c r="I4" s="79"/>
      <c r="J4" s="79"/>
      <c r="K4" s="79"/>
      <c r="L4" s="79"/>
      <c r="M4" s="79"/>
      <c r="N4" s="79"/>
      <c r="O4" s="79"/>
      <c r="P4" s="79"/>
      <c r="Q4" s="79"/>
      <c r="R4" s="79"/>
      <c r="S4" s="79"/>
      <c r="T4" s="79"/>
      <c r="U4" s="79"/>
      <c r="V4" s="79"/>
      <c r="W4" s="79"/>
      <c r="X4" s="79"/>
      <c r="Y4" s="79"/>
      <c r="Z4" s="79"/>
      <c r="AA4" s="79"/>
      <c r="AB4" s="79"/>
      <c r="AC4" s="79"/>
    </row>
    <row r="5" spans="2:56" ht="18.649999999999999" customHeight="1" x14ac:dyDescent="0.25"/>
    <row r="6" spans="2:56" ht="15.5" x14ac:dyDescent="0.25">
      <c r="B6" s="2" t="s">
        <v>0</v>
      </c>
      <c r="C6" s="3" t="s">
        <v>1</v>
      </c>
      <c r="D6" s="2" t="s">
        <v>2</v>
      </c>
      <c r="E6" s="9" t="s">
        <v>3</v>
      </c>
      <c r="F6" s="9" t="s">
        <v>4</v>
      </c>
      <c r="G6" s="9" t="s">
        <v>5</v>
      </c>
      <c r="H6" s="9" t="s">
        <v>6</v>
      </c>
      <c r="I6" s="9" t="s">
        <v>7</v>
      </c>
      <c r="J6" s="9" t="s">
        <v>8</v>
      </c>
      <c r="K6" s="9" t="s">
        <v>9</v>
      </c>
      <c r="L6" s="9" t="s">
        <v>10</v>
      </c>
      <c r="M6" s="9" t="s">
        <v>11</v>
      </c>
      <c r="N6" s="9" t="s">
        <v>12</v>
      </c>
      <c r="O6" s="9" t="s">
        <v>13</v>
      </c>
      <c r="P6" s="9" t="s">
        <v>14</v>
      </c>
      <c r="Q6" s="9" t="s">
        <v>15</v>
      </c>
      <c r="R6" s="9" t="s">
        <v>16</v>
      </c>
      <c r="S6" s="9" t="s">
        <v>17</v>
      </c>
      <c r="T6" s="9" t="s">
        <v>18</v>
      </c>
      <c r="U6" s="9" t="s">
        <v>19</v>
      </c>
      <c r="V6" s="9" t="s">
        <v>20</v>
      </c>
      <c r="W6" s="9" t="s">
        <v>21</v>
      </c>
      <c r="X6" s="9" t="s">
        <v>22</v>
      </c>
      <c r="Y6" s="9" t="s">
        <v>23</v>
      </c>
      <c r="Z6" s="9" t="s">
        <v>24</v>
      </c>
      <c r="AA6" s="9" t="s">
        <v>25</v>
      </c>
      <c r="AB6" s="9" t="s">
        <v>26</v>
      </c>
      <c r="AC6" s="9" t="s">
        <v>27</v>
      </c>
    </row>
    <row r="7" spans="2:56" ht="18.649999999999999" customHeight="1" x14ac:dyDescent="0.25">
      <c r="B7" s="70" t="s">
        <v>28</v>
      </c>
      <c r="C7" s="4" t="s">
        <v>29</v>
      </c>
      <c r="D7" s="5">
        <v>20</v>
      </c>
      <c r="E7" s="14">
        <v>5509</v>
      </c>
      <c r="F7" s="14">
        <v>5433</v>
      </c>
      <c r="G7" s="14">
        <v>5282</v>
      </c>
      <c r="H7" s="14">
        <v>5282</v>
      </c>
      <c r="I7" s="14">
        <v>5809</v>
      </c>
      <c r="J7" s="14">
        <v>7163</v>
      </c>
      <c r="K7" s="14">
        <v>9143</v>
      </c>
      <c r="L7" s="14">
        <v>12506</v>
      </c>
      <c r="M7" s="14">
        <v>12299</v>
      </c>
      <c r="N7" s="14">
        <v>12131</v>
      </c>
      <c r="O7" s="14">
        <v>12396</v>
      </c>
      <c r="P7" s="14">
        <v>13004</v>
      </c>
      <c r="Q7" s="14">
        <v>11712</v>
      </c>
      <c r="R7" s="14">
        <v>11341</v>
      </c>
      <c r="S7" s="14">
        <v>11782</v>
      </c>
      <c r="T7" s="14">
        <v>12310</v>
      </c>
      <c r="U7" s="14">
        <v>12781</v>
      </c>
      <c r="V7" s="14">
        <v>6187</v>
      </c>
      <c r="W7" s="14">
        <v>6576</v>
      </c>
      <c r="X7" s="14">
        <v>5985</v>
      </c>
      <c r="Y7" s="14">
        <v>5452</v>
      </c>
      <c r="Z7" s="14">
        <v>4717</v>
      </c>
      <c r="AA7" s="14">
        <v>3279</v>
      </c>
      <c r="AB7" s="14">
        <v>2758</v>
      </c>
      <c r="AC7" s="76">
        <f>+SUM(E7:AB7)*D7+SUM(E8:AB8)*D8+SUM(E9:AB9)*D9+SUM(E10:AB10)*D10</f>
        <v>6104641</v>
      </c>
      <c r="AE7" s="17">
        <f>+AC7</f>
        <v>6104641</v>
      </c>
      <c r="AG7" s="15"/>
      <c r="AH7" s="15"/>
      <c r="AI7" s="15"/>
      <c r="AJ7" s="15"/>
      <c r="AK7" s="15"/>
      <c r="AL7" s="15"/>
      <c r="AM7" s="15"/>
      <c r="AN7" s="15"/>
      <c r="AO7" s="15"/>
      <c r="AP7" s="15"/>
      <c r="AQ7" s="15"/>
      <c r="AR7" s="15"/>
      <c r="AS7" s="15"/>
      <c r="AT7" s="15"/>
      <c r="AU7" s="15"/>
      <c r="AV7" s="15"/>
      <c r="AW7" s="15"/>
      <c r="AX7" s="15"/>
      <c r="AY7" s="15"/>
      <c r="AZ7" s="15"/>
      <c r="BA7" s="15"/>
      <c r="BB7" s="15"/>
      <c r="BC7" s="15"/>
      <c r="BD7" s="15"/>
    </row>
    <row r="8" spans="2:56" ht="18.649999999999999" customHeight="1" x14ac:dyDescent="0.25">
      <c r="B8" s="70" t="s">
        <v>28</v>
      </c>
      <c r="C8" s="4" t="s">
        <v>30</v>
      </c>
      <c r="D8" s="5">
        <v>4</v>
      </c>
      <c r="E8" s="14">
        <v>6395</v>
      </c>
      <c r="F8" s="14">
        <v>5907</v>
      </c>
      <c r="G8" s="14">
        <v>5721</v>
      </c>
      <c r="H8" s="14">
        <v>5584</v>
      </c>
      <c r="I8" s="14">
        <v>5677</v>
      </c>
      <c r="J8" s="14">
        <v>5832</v>
      </c>
      <c r="K8" s="14">
        <v>6999</v>
      </c>
      <c r="L8" s="14">
        <v>11319</v>
      </c>
      <c r="M8" s="14">
        <v>12064</v>
      </c>
      <c r="N8" s="14">
        <v>12416</v>
      </c>
      <c r="O8" s="14">
        <v>12585</v>
      </c>
      <c r="P8" s="14">
        <v>12852</v>
      </c>
      <c r="Q8" s="14">
        <v>13057</v>
      </c>
      <c r="R8" s="14">
        <v>12800</v>
      </c>
      <c r="S8" s="14">
        <v>12660</v>
      </c>
      <c r="T8" s="14">
        <v>12626</v>
      </c>
      <c r="U8" s="14">
        <v>13045</v>
      </c>
      <c r="V8" s="14">
        <v>6369</v>
      </c>
      <c r="W8" s="14">
        <v>6954</v>
      </c>
      <c r="X8" s="14">
        <v>6295</v>
      </c>
      <c r="Y8" s="14">
        <v>5942</v>
      </c>
      <c r="Z8" s="14">
        <v>5659</v>
      </c>
      <c r="AA8" s="14">
        <v>4881</v>
      </c>
      <c r="AB8" s="14">
        <v>4445</v>
      </c>
      <c r="AC8" s="77"/>
      <c r="AE8" s="17">
        <f>+AC11</f>
        <v>5712690</v>
      </c>
      <c r="AG8" s="15"/>
      <c r="AH8" s="15"/>
      <c r="AI8" s="15"/>
      <c r="AJ8" s="15"/>
      <c r="AK8" s="15"/>
      <c r="AL8" s="15"/>
      <c r="AM8" s="15"/>
      <c r="AN8" s="15"/>
      <c r="AO8" s="15"/>
      <c r="AP8" s="15"/>
      <c r="AQ8" s="15"/>
      <c r="AR8" s="15"/>
      <c r="AS8" s="15"/>
      <c r="AT8" s="15"/>
      <c r="AU8" s="15"/>
      <c r="AV8" s="15"/>
      <c r="AW8" s="15"/>
      <c r="AX8" s="15"/>
      <c r="AY8" s="15"/>
      <c r="AZ8" s="15"/>
      <c r="BA8" s="15"/>
      <c r="BB8" s="15"/>
      <c r="BC8" s="15"/>
      <c r="BD8" s="15"/>
    </row>
    <row r="9" spans="2:56" ht="18.649999999999999" customHeight="1" x14ac:dyDescent="0.25">
      <c r="B9" s="70" t="s">
        <v>28</v>
      </c>
      <c r="C9" s="4" t="s">
        <v>31</v>
      </c>
      <c r="D9" s="5">
        <v>5</v>
      </c>
      <c r="E9" s="14">
        <v>6996</v>
      </c>
      <c r="F9" s="14">
        <v>6603</v>
      </c>
      <c r="G9" s="14">
        <v>6209</v>
      </c>
      <c r="H9" s="14">
        <v>5881</v>
      </c>
      <c r="I9" s="14">
        <v>5697</v>
      </c>
      <c r="J9" s="14">
        <v>5197</v>
      </c>
      <c r="K9" s="14">
        <v>5485</v>
      </c>
      <c r="L9" s="14">
        <v>8890</v>
      </c>
      <c r="M9" s="14">
        <v>9561</v>
      </c>
      <c r="N9" s="14">
        <v>9795</v>
      </c>
      <c r="O9" s="14">
        <v>10375</v>
      </c>
      <c r="P9" s="14">
        <v>10936</v>
      </c>
      <c r="Q9" s="14">
        <v>11024</v>
      </c>
      <c r="R9" s="14">
        <v>10716</v>
      </c>
      <c r="S9" s="14">
        <v>11164</v>
      </c>
      <c r="T9" s="14">
        <v>11724</v>
      </c>
      <c r="U9" s="14">
        <v>12110</v>
      </c>
      <c r="V9" s="14">
        <v>5760</v>
      </c>
      <c r="W9" s="14">
        <v>6203</v>
      </c>
      <c r="X9" s="14">
        <v>5401</v>
      </c>
      <c r="Y9" s="14">
        <v>4772</v>
      </c>
      <c r="Z9" s="14">
        <v>4068</v>
      </c>
      <c r="AA9" s="14">
        <v>3206</v>
      </c>
      <c r="AB9" s="14">
        <v>2478</v>
      </c>
      <c r="AC9" s="77"/>
      <c r="AE9" s="17">
        <f>+AC15</f>
        <v>5944863</v>
      </c>
      <c r="AG9" s="15"/>
      <c r="AH9" s="15"/>
      <c r="AI9" s="15"/>
      <c r="AJ9" s="15"/>
      <c r="AK9" s="15"/>
      <c r="AL9" s="15"/>
      <c r="AM9" s="15"/>
      <c r="AN9" s="15"/>
      <c r="AO9" s="15"/>
      <c r="AP9" s="15"/>
      <c r="AQ9" s="15"/>
      <c r="AR9" s="15"/>
      <c r="AS9" s="15"/>
      <c r="AT9" s="15"/>
      <c r="AU9" s="15"/>
      <c r="AV9" s="15"/>
      <c r="AW9" s="15"/>
      <c r="AX9" s="15"/>
      <c r="AY9" s="15"/>
      <c r="AZ9" s="15"/>
      <c r="BA9" s="15"/>
      <c r="BB9" s="15"/>
      <c r="BC9" s="15"/>
      <c r="BD9" s="15"/>
    </row>
    <row r="10" spans="2:56" ht="18.649999999999999" customHeight="1" x14ac:dyDescent="0.25">
      <c r="B10" s="70" t="s">
        <v>28</v>
      </c>
      <c r="C10" s="4" t="s">
        <v>32</v>
      </c>
      <c r="D10" s="5">
        <v>2</v>
      </c>
      <c r="E10" s="14">
        <v>6391</v>
      </c>
      <c r="F10" s="14">
        <v>6108</v>
      </c>
      <c r="G10" s="14">
        <v>5663</v>
      </c>
      <c r="H10" s="14">
        <v>5835</v>
      </c>
      <c r="I10" s="14">
        <v>5648</v>
      </c>
      <c r="J10" s="14">
        <v>5642</v>
      </c>
      <c r="K10" s="14">
        <v>5698</v>
      </c>
      <c r="L10" s="14">
        <v>8868</v>
      </c>
      <c r="M10" s="14">
        <v>8978</v>
      </c>
      <c r="N10" s="14">
        <v>9271</v>
      </c>
      <c r="O10" s="14">
        <v>10062</v>
      </c>
      <c r="P10" s="14">
        <v>10178</v>
      </c>
      <c r="Q10" s="14">
        <v>10521</v>
      </c>
      <c r="R10" s="14">
        <v>10912</v>
      </c>
      <c r="S10" s="14">
        <v>11339</v>
      </c>
      <c r="T10" s="14">
        <v>11426</v>
      </c>
      <c r="U10" s="14">
        <v>11809</v>
      </c>
      <c r="V10" s="14">
        <v>6058</v>
      </c>
      <c r="W10" s="14">
        <v>5953</v>
      </c>
      <c r="X10" s="14">
        <v>5572</v>
      </c>
      <c r="Y10" s="14">
        <v>5343</v>
      </c>
      <c r="Z10" s="14">
        <v>4213</v>
      </c>
      <c r="AA10" s="14">
        <v>3117</v>
      </c>
      <c r="AB10" s="14">
        <v>2550</v>
      </c>
      <c r="AC10" s="78"/>
      <c r="AE10" s="17">
        <f>+AC19</f>
        <v>5945886</v>
      </c>
      <c r="AG10" s="15"/>
      <c r="AH10" s="15"/>
      <c r="AI10" s="15"/>
      <c r="AJ10" s="15"/>
      <c r="AK10" s="15"/>
      <c r="AL10" s="15"/>
      <c r="AM10" s="15"/>
      <c r="AN10" s="15"/>
      <c r="AO10" s="15"/>
      <c r="AP10" s="15"/>
      <c r="AQ10" s="15"/>
      <c r="AR10" s="15"/>
      <c r="AS10" s="15"/>
      <c r="AT10" s="15"/>
      <c r="AU10" s="15"/>
      <c r="AV10" s="15"/>
      <c r="AW10" s="15"/>
      <c r="AX10" s="15"/>
      <c r="AY10" s="15"/>
      <c r="AZ10" s="15"/>
      <c r="BA10" s="15"/>
      <c r="BB10" s="15"/>
      <c r="BC10" s="15"/>
      <c r="BD10" s="15"/>
    </row>
    <row r="11" spans="2:56" ht="18.649999999999999" customHeight="1" x14ac:dyDescent="0.25">
      <c r="B11" s="70" t="s">
        <v>33</v>
      </c>
      <c r="C11" s="4" t="s">
        <v>29</v>
      </c>
      <c r="D11" s="5">
        <v>21</v>
      </c>
      <c r="E11" s="14">
        <v>5445</v>
      </c>
      <c r="F11" s="14">
        <v>5567</v>
      </c>
      <c r="G11" s="14">
        <v>5321</v>
      </c>
      <c r="H11" s="14">
        <v>5573</v>
      </c>
      <c r="I11" s="14">
        <v>5468</v>
      </c>
      <c r="J11" s="14">
        <v>7296</v>
      </c>
      <c r="K11" s="14">
        <v>8885</v>
      </c>
      <c r="L11" s="14">
        <v>12486</v>
      </c>
      <c r="M11" s="14">
        <v>12273</v>
      </c>
      <c r="N11" s="14">
        <v>12177</v>
      </c>
      <c r="O11" s="14">
        <v>12368</v>
      </c>
      <c r="P11" s="14">
        <v>12576</v>
      </c>
      <c r="Q11" s="14">
        <v>12253</v>
      </c>
      <c r="R11" s="14">
        <v>12166</v>
      </c>
      <c r="S11" s="14">
        <v>12375</v>
      </c>
      <c r="T11" s="14">
        <v>12551</v>
      </c>
      <c r="U11" s="14">
        <v>12629</v>
      </c>
      <c r="V11" s="14">
        <v>5250</v>
      </c>
      <c r="W11" s="14">
        <v>5739</v>
      </c>
      <c r="X11" s="14">
        <v>5232</v>
      </c>
      <c r="Y11" s="14">
        <v>4866</v>
      </c>
      <c r="Z11" s="14">
        <v>4456</v>
      </c>
      <c r="AA11" s="14">
        <v>3601</v>
      </c>
      <c r="AB11" s="14">
        <v>2773</v>
      </c>
      <c r="AC11" s="76">
        <f>+SUM(E11:AB11)*D11+SUM(E12:AB12)*D12+SUM(E13:AB13)*D13+SUM(E14:AB14)*D14</f>
        <v>5712690</v>
      </c>
      <c r="AE11" s="17">
        <f>+AC23</f>
        <v>5919594</v>
      </c>
      <c r="AG11" s="15"/>
      <c r="AH11" s="15"/>
      <c r="AI11" s="15"/>
      <c r="AJ11" s="15"/>
      <c r="AK11" s="15"/>
      <c r="AL11" s="15"/>
      <c r="AM11" s="15"/>
      <c r="AN11" s="15"/>
      <c r="AO11" s="15"/>
      <c r="AP11" s="15"/>
      <c r="AQ11" s="15"/>
      <c r="AR11" s="15"/>
      <c r="AS11" s="15"/>
      <c r="AT11" s="15"/>
      <c r="AU11" s="15"/>
      <c r="AV11" s="15"/>
      <c r="AW11" s="15"/>
      <c r="AX11" s="15"/>
      <c r="AY11" s="15"/>
      <c r="AZ11" s="15"/>
      <c r="BA11" s="15"/>
      <c r="BB11" s="15"/>
      <c r="BC11" s="15"/>
      <c r="BD11" s="15"/>
    </row>
    <row r="12" spans="2:56" ht="18.649999999999999" customHeight="1" x14ac:dyDescent="0.25">
      <c r="B12" s="70" t="s">
        <v>33</v>
      </c>
      <c r="C12" s="4" t="s">
        <v>30</v>
      </c>
      <c r="D12" s="5">
        <v>4</v>
      </c>
      <c r="E12" s="14">
        <v>6141</v>
      </c>
      <c r="F12" s="14">
        <v>5964</v>
      </c>
      <c r="G12" s="14">
        <v>5889</v>
      </c>
      <c r="H12" s="14">
        <v>5723</v>
      </c>
      <c r="I12" s="14">
        <v>5811</v>
      </c>
      <c r="J12" s="14">
        <v>6084</v>
      </c>
      <c r="K12" s="14">
        <v>7428</v>
      </c>
      <c r="L12" s="14">
        <v>11831</v>
      </c>
      <c r="M12" s="14">
        <v>12221</v>
      </c>
      <c r="N12" s="14">
        <v>12401</v>
      </c>
      <c r="O12" s="14">
        <v>12464</v>
      </c>
      <c r="P12" s="14">
        <v>12655</v>
      </c>
      <c r="Q12" s="14">
        <v>12241</v>
      </c>
      <c r="R12" s="14">
        <v>12090</v>
      </c>
      <c r="S12" s="14">
        <v>12135</v>
      </c>
      <c r="T12" s="14">
        <v>12119</v>
      </c>
      <c r="U12" s="14">
        <v>12457</v>
      </c>
      <c r="V12" s="14">
        <v>5470</v>
      </c>
      <c r="W12" s="14">
        <v>5613</v>
      </c>
      <c r="X12" s="14">
        <v>5319</v>
      </c>
      <c r="Y12" s="14">
        <v>5082</v>
      </c>
      <c r="Z12" s="14">
        <v>4280</v>
      </c>
      <c r="AA12" s="14">
        <v>3518</v>
      </c>
      <c r="AB12" s="14">
        <v>2760</v>
      </c>
      <c r="AC12" s="77"/>
      <c r="AE12" s="17">
        <f>+AC27</f>
        <v>6098112</v>
      </c>
      <c r="AG12" s="15"/>
      <c r="AH12" s="15"/>
      <c r="AI12" s="15"/>
      <c r="AJ12" s="15"/>
      <c r="AK12" s="15"/>
      <c r="AL12" s="15"/>
      <c r="AM12" s="15"/>
      <c r="AN12" s="15"/>
      <c r="AO12" s="15"/>
      <c r="AP12" s="15"/>
      <c r="AQ12" s="15"/>
      <c r="AR12" s="15"/>
      <c r="AS12" s="15"/>
      <c r="AT12" s="15"/>
      <c r="AU12" s="15"/>
      <c r="AV12" s="15"/>
      <c r="AW12" s="15"/>
      <c r="AX12" s="15"/>
      <c r="AY12" s="15"/>
      <c r="AZ12" s="15"/>
      <c r="BA12" s="15"/>
      <c r="BB12" s="15"/>
      <c r="BC12" s="15"/>
      <c r="BD12" s="15"/>
    </row>
    <row r="13" spans="2:56" ht="18.649999999999999" customHeight="1" x14ac:dyDescent="0.25">
      <c r="B13" s="70" t="s">
        <v>33</v>
      </c>
      <c r="C13" s="4" t="s">
        <v>31</v>
      </c>
      <c r="D13" s="5">
        <v>4</v>
      </c>
      <c r="E13" s="14">
        <v>5995</v>
      </c>
      <c r="F13" s="14">
        <v>5799</v>
      </c>
      <c r="G13" s="14">
        <v>5555</v>
      </c>
      <c r="H13" s="14">
        <v>5461</v>
      </c>
      <c r="I13" s="14">
        <v>5564</v>
      </c>
      <c r="J13" s="14">
        <v>5574</v>
      </c>
      <c r="K13" s="14">
        <v>6161</v>
      </c>
      <c r="L13" s="14">
        <v>10193</v>
      </c>
      <c r="M13" s="14">
        <v>10868</v>
      </c>
      <c r="N13" s="14">
        <v>11243</v>
      </c>
      <c r="O13" s="14">
        <v>11128</v>
      </c>
      <c r="P13" s="14">
        <v>11689</v>
      </c>
      <c r="Q13" s="14">
        <v>12070</v>
      </c>
      <c r="R13" s="14">
        <v>12214</v>
      </c>
      <c r="S13" s="14">
        <v>11932</v>
      </c>
      <c r="T13" s="14">
        <v>12703</v>
      </c>
      <c r="U13" s="14">
        <v>11523</v>
      </c>
      <c r="V13" s="14">
        <v>4641</v>
      </c>
      <c r="W13" s="14">
        <v>6024</v>
      </c>
      <c r="X13" s="14">
        <v>4366</v>
      </c>
      <c r="Y13" s="14">
        <v>4287</v>
      </c>
      <c r="Z13" s="14">
        <v>3743</v>
      </c>
      <c r="AA13" s="14">
        <v>2876</v>
      </c>
      <c r="AB13" s="14">
        <v>2406</v>
      </c>
      <c r="AC13" s="77"/>
      <c r="AE13" s="17">
        <f>+AC31</f>
        <v>6557268</v>
      </c>
      <c r="AG13" s="15"/>
      <c r="AH13" s="15"/>
      <c r="AI13" s="15"/>
      <c r="AJ13" s="15"/>
      <c r="AK13" s="15"/>
      <c r="AL13" s="15"/>
      <c r="AM13" s="15"/>
      <c r="AN13" s="15"/>
      <c r="AO13" s="15"/>
      <c r="AP13" s="15"/>
      <c r="AQ13" s="15"/>
      <c r="AR13" s="15"/>
      <c r="AS13" s="15"/>
      <c r="AT13" s="15"/>
      <c r="AU13" s="15"/>
      <c r="AV13" s="15"/>
      <c r="AW13" s="15"/>
      <c r="AX13" s="15"/>
      <c r="AY13" s="15"/>
      <c r="AZ13" s="15"/>
      <c r="BA13" s="15"/>
      <c r="BB13" s="15"/>
      <c r="BC13" s="15"/>
      <c r="BD13" s="15"/>
    </row>
    <row r="14" spans="2:56" ht="18.649999999999999" customHeight="1" x14ac:dyDescent="0.25">
      <c r="B14" s="70" t="s">
        <v>33</v>
      </c>
      <c r="C14" s="4" t="s">
        <v>32</v>
      </c>
      <c r="D14" s="5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>
        <v>0</v>
      </c>
      <c r="L14" s="14">
        <v>0</v>
      </c>
      <c r="M14" s="14">
        <v>0</v>
      </c>
      <c r="N14" s="14">
        <v>0</v>
      </c>
      <c r="O14" s="14">
        <v>0</v>
      </c>
      <c r="P14" s="14">
        <v>0</v>
      </c>
      <c r="Q14" s="14">
        <v>0</v>
      </c>
      <c r="R14" s="14">
        <v>0</v>
      </c>
      <c r="S14" s="14">
        <v>0</v>
      </c>
      <c r="T14" s="14">
        <v>0</v>
      </c>
      <c r="U14" s="14">
        <v>0</v>
      </c>
      <c r="V14" s="14">
        <v>0</v>
      </c>
      <c r="W14" s="14">
        <v>0</v>
      </c>
      <c r="X14" s="14">
        <v>0</v>
      </c>
      <c r="Y14" s="14">
        <v>0</v>
      </c>
      <c r="Z14" s="14">
        <v>0</v>
      </c>
      <c r="AA14" s="14">
        <v>0</v>
      </c>
      <c r="AB14" s="14">
        <v>0</v>
      </c>
      <c r="AC14" s="78"/>
      <c r="AE14" s="17">
        <f>+AC35</f>
        <v>6194133</v>
      </c>
      <c r="AG14" s="15"/>
      <c r="AH14" s="15"/>
      <c r="AI14" s="15"/>
      <c r="AJ14" s="15"/>
      <c r="AK14" s="15"/>
      <c r="AL14" s="15"/>
      <c r="AM14" s="15"/>
      <c r="AN14" s="15"/>
      <c r="AO14" s="15"/>
      <c r="AP14" s="15"/>
      <c r="AQ14" s="15"/>
      <c r="AR14" s="15"/>
      <c r="AS14" s="15"/>
      <c r="AT14" s="15"/>
      <c r="AU14" s="15"/>
      <c r="AV14" s="15"/>
      <c r="AW14" s="15"/>
      <c r="AX14" s="15"/>
      <c r="AY14" s="15"/>
      <c r="AZ14" s="15"/>
      <c r="BA14" s="15"/>
      <c r="BB14" s="15"/>
      <c r="BC14" s="15"/>
      <c r="BD14" s="15"/>
    </row>
    <row r="15" spans="2:56" ht="18.649999999999999" customHeight="1" x14ac:dyDescent="0.25">
      <c r="B15" s="70" t="s">
        <v>34</v>
      </c>
      <c r="C15" s="4" t="s">
        <v>29</v>
      </c>
      <c r="D15" s="5">
        <v>22</v>
      </c>
      <c r="E15" s="14">
        <v>5732</v>
      </c>
      <c r="F15" s="14">
        <v>5561</v>
      </c>
      <c r="G15" s="14">
        <v>5521</v>
      </c>
      <c r="H15" s="14">
        <v>5522</v>
      </c>
      <c r="I15" s="14">
        <v>6002</v>
      </c>
      <c r="J15" s="14">
        <v>7288</v>
      </c>
      <c r="K15" s="14">
        <v>8243</v>
      </c>
      <c r="L15" s="14">
        <v>11404</v>
      </c>
      <c r="M15" s="14">
        <v>11176</v>
      </c>
      <c r="N15" s="14">
        <v>11140</v>
      </c>
      <c r="O15" s="14">
        <v>11067</v>
      </c>
      <c r="P15" s="14">
        <v>11820</v>
      </c>
      <c r="Q15" s="14">
        <v>11737</v>
      </c>
      <c r="R15" s="14">
        <v>11615</v>
      </c>
      <c r="S15" s="14">
        <v>11876</v>
      </c>
      <c r="T15" s="14">
        <v>11977</v>
      </c>
      <c r="U15" s="14">
        <v>11737</v>
      </c>
      <c r="V15" s="14">
        <v>4867</v>
      </c>
      <c r="W15" s="14">
        <v>5477</v>
      </c>
      <c r="X15" s="14">
        <v>5450</v>
      </c>
      <c r="Y15" s="14">
        <v>5337</v>
      </c>
      <c r="Z15" s="14">
        <v>4402</v>
      </c>
      <c r="AA15" s="14">
        <v>3807</v>
      </c>
      <c r="AB15" s="14">
        <v>2923</v>
      </c>
      <c r="AC15" s="76">
        <f>+SUM(E15:AB15)*D15+SUM(E16:AB16)*D16+SUM(E17:AB17)*D17+SUM(E18:AB18)*D18</f>
        <v>5944863</v>
      </c>
      <c r="AE15" s="17">
        <f>+AC39</f>
        <v>5869856</v>
      </c>
      <c r="AG15" s="15"/>
      <c r="AH15" s="15"/>
      <c r="AI15" s="15"/>
      <c r="AJ15" s="15"/>
      <c r="AK15" s="15"/>
      <c r="AL15" s="15"/>
      <c r="AM15" s="15"/>
      <c r="AN15" s="15"/>
      <c r="AO15" s="15"/>
      <c r="AP15" s="15"/>
      <c r="AQ15" s="15"/>
      <c r="AR15" s="15"/>
      <c r="AS15" s="15"/>
      <c r="AT15" s="15"/>
      <c r="AU15" s="15"/>
      <c r="AV15" s="15"/>
      <c r="AW15" s="15"/>
      <c r="AX15" s="15"/>
      <c r="AY15" s="15"/>
      <c r="AZ15" s="15"/>
      <c r="BA15" s="15"/>
      <c r="BB15" s="15"/>
      <c r="BC15" s="15"/>
      <c r="BD15" s="15"/>
    </row>
    <row r="16" spans="2:56" ht="18.649999999999999" customHeight="1" x14ac:dyDescent="0.25">
      <c r="B16" s="70" t="s">
        <v>34</v>
      </c>
      <c r="C16" s="4" t="s">
        <v>30</v>
      </c>
      <c r="D16" s="5">
        <v>4</v>
      </c>
      <c r="E16" s="14">
        <v>5302</v>
      </c>
      <c r="F16" s="14">
        <v>5823</v>
      </c>
      <c r="G16" s="14">
        <v>5733</v>
      </c>
      <c r="H16" s="14">
        <v>5675</v>
      </c>
      <c r="I16" s="14">
        <v>5860</v>
      </c>
      <c r="J16" s="14">
        <v>6312</v>
      </c>
      <c r="K16" s="14">
        <v>7347</v>
      </c>
      <c r="L16" s="14">
        <v>11556</v>
      </c>
      <c r="M16" s="14">
        <v>11862</v>
      </c>
      <c r="N16" s="14">
        <v>12124</v>
      </c>
      <c r="O16" s="14">
        <v>12128</v>
      </c>
      <c r="P16" s="14">
        <v>11931</v>
      </c>
      <c r="Q16" s="14">
        <v>12037</v>
      </c>
      <c r="R16" s="14">
        <v>11919</v>
      </c>
      <c r="S16" s="14">
        <v>12063</v>
      </c>
      <c r="T16" s="14">
        <v>12229</v>
      </c>
      <c r="U16" s="14">
        <v>12229</v>
      </c>
      <c r="V16" s="14">
        <v>5208</v>
      </c>
      <c r="W16" s="14">
        <v>5146</v>
      </c>
      <c r="X16" s="14">
        <v>5585</v>
      </c>
      <c r="Y16" s="14">
        <v>5460</v>
      </c>
      <c r="Z16" s="14">
        <v>4935</v>
      </c>
      <c r="AA16" s="14">
        <v>4326</v>
      </c>
      <c r="AB16" s="14">
        <v>3557</v>
      </c>
      <c r="AC16" s="77"/>
      <c r="AE16" s="17">
        <f>+AC43</f>
        <v>6068014</v>
      </c>
      <c r="AG16" s="15"/>
      <c r="AH16" s="15"/>
      <c r="AI16" s="15"/>
      <c r="AJ16" s="15"/>
      <c r="AK16" s="15"/>
      <c r="AL16" s="15"/>
      <c r="AM16" s="15"/>
      <c r="AN16" s="15"/>
      <c r="AO16" s="15"/>
      <c r="AP16" s="15"/>
      <c r="AQ16" s="15"/>
      <c r="AR16" s="15"/>
      <c r="AS16" s="15"/>
      <c r="AT16" s="15"/>
      <c r="AU16" s="15"/>
      <c r="AV16" s="15"/>
      <c r="AW16" s="15"/>
      <c r="AX16" s="15"/>
      <c r="AY16" s="15"/>
      <c r="AZ16" s="15"/>
      <c r="BA16" s="15"/>
      <c r="BB16" s="15"/>
      <c r="BC16" s="15"/>
      <c r="BD16" s="15"/>
    </row>
    <row r="17" spans="2:56" ht="18.649999999999999" customHeight="1" x14ac:dyDescent="0.25">
      <c r="B17" s="70" t="s">
        <v>34</v>
      </c>
      <c r="C17" s="4" t="s">
        <v>31</v>
      </c>
      <c r="D17" s="5">
        <v>4</v>
      </c>
      <c r="E17" s="14">
        <v>6351</v>
      </c>
      <c r="F17" s="14">
        <v>6228</v>
      </c>
      <c r="G17" s="14">
        <v>5823</v>
      </c>
      <c r="H17" s="14">
        <v>6063</v>
      </c>
      <c r="I17" s="14">
        <v>6105</v>
      </c>
      <c r="J17" s="14">
        <v>5045</v>
      </c>
      <c r="K17" s="14">
        <v>6163</v>
      </c>
      <c r="L17" s="14">
        <v>9943</v>
      </c>
      <c r="M17" s="14">
        <v>10377</v>
      </c>
      <c r="N17" s="14">
        <v>10289</v>
      </c>
      <c r="O17" s="14">
        <v>10755</v>
      </c>
      <c r="P17" s="14">
        <v>11373</v>
      </c>
      <c r="Q17" s="14">
        <v>11117</v>
      </c>
      <c r="R17" s="14">
        <v>11383</v>
      </c>
      <c r="S17" s="14">
        <v>11324</v>
      </c>
      <c r="T17" s="14">
        <v>11318</v>
      </c>
      <c r="U17" s="14">
        <v>11302</v>
      </c>
      <c r="V17" s="14">
        <v>4791</v>
      </c>
      <c r="W17" s="14">
        <v>5071</v>
      </c>
      <c r="X17" s="14">
        <v>5180</v>
      </c>
      <c r="Y17" s="14">
        <v>5634</v>
      </c>
      <c r="Z17" s="14">
        <v>4837</v>
      </c>
      <c r="AA17" s="14">
        <v>4179</v>
      </c>
      <c r="AB17" s="14">
        <v>3189</v>
      </c>
      <c r="AC17" s="77"/>
      <c r="AE17" s="17">
        <f>+AC47</f>
        <v>5937618</v>
      </c>
      <c r="AG17" s="15"/>
      <c r="AH17" s="15"/>
      <c r="AI17" s="15"/>
      <c r="AJ17" s="15"/>
      <c r="AK17" s="15"/>
      <c r="AL17" s="15"/>
      <c r="AM17" s="15"/>
      <c r="AN17" s="15"/>
      <c r="AO17" s="15"/>
      <c r="AP17" s="15"/>
      <c r="AQ17" s="15"/>
      <c r="AR17" s="15"/>
      <c r="AS17" s="15"/>
      <c r="AT17" s="15"/>
      <c r="AU17" s="15"/>
      <c r="AV17" s="15"/>
      <c r="AW17" s="15"/>
      <c r="AX17" s="15"/>
      <c r="AY17" s="15"/>
      <c r="AZ17" s="15"/>
      <c r="BA17" s="15"/>
      <c r="BB17" s="15"/>
      <c r="BC17" s="15"/>
      <c r="BD17" s="15"/>
    </row>
    <row r="18" spans="2:56" ht="18.649999999999999" customHeight="1" x14ac:dyDescent="0.25">
      <c r="B18" s="70" t="s">
        <v>34</v>
      </c>
      <c r="C18" s="4" t="s">
        <v>32</v>
      </c>
      <c r="D18" s="5">
        <v>1</v>
      </c>
      <c r="E18" s="14">
        <v>6961</v>
      </c>
      <c r="F18" s="14">
        <v>6980</v>
      </c>
      <c r="G18" s="14">
        <v>6621</v>
      </c>
      <c r="H18" s="14">
        <v>6664</v>
      </c>
      <c r="I18" s="14">
        <v>6733</v>
      </c>
      <c r="J18" s="14">
        <v>6460</v>
      </c>
      <c r="K18" s="14">
        <v>6915</v>
      </c>
      <c r="L18" s="14">
        <v>10499</v>
      </c>
      <c r="M18" s="14">
        <v>10778</v>
      </c>
      <c r="N18" s="14">
        <v>11069</v>
      </c>
      <c r="O18" s="14">
        <v>11808</v>
      </c>
      <c r="P18" s="14">
        <v>12052</v>
      </c>
      <c r="Q18" s="14">
        <v>12295</v>
      </c>
      <c r="R18" s="14">
        <v>12136</v>
      </c>
      <c r="S18" s="14">
        <v>12595</v>
      </c>
      <c r="T18" s="14">
        <v>12588</v>
      </c>
      <c r="U18" s="14">
        <v>12622</v>
      </c>
      <c r="V18" s="14">
        <v>6258</v>
      </c>
      <c r="W18" s="14">
        <v>7251</v>
      </c>
      <c r="X18" s="14">
        <v>6890</v>
      </c>
      <c r="Y18" s="14">
        <v>6769</v>
      </c>
      <c r="Z18" s="14">
        <v>6365</v>
      </c>
      <c r="AA18" s="14">
        <v>4388</v>
      </c>
      <c r="AB18" s="14">
        <v>3436</v>
      </c>
      <c r="AC18" s="78"/>
      <c r="AE18" s="17">
        <f>+AC51</f>
        <v>6251095</v>
      </c>
      <c r="AG18" s="15"/>
      <c r="AH18" s="15"/>
      <c r="AI18" s="15"/>
      <c r="AJ18" s="15"/>
      <c r="AK18" s="15"/>
      <c r="AL18" s="15"/>
      <c r="AM18" s="15"/>
      <c r="AN18" s="15"/>
      <c r="AO18" s="15"/>
      <c r="AP18" s="15"/>
      <c r="AQ18" s="15"/>
      <c r="AR18" s="15"/>
      <c r="AS18" s="15"/>
      <c r="AT18" s="15"/>
      <c r="AU18" s="15"/>
      <c r="AV18" s="15"/>
      <c r="AW18" s="15"/>
      <c r="AX18" s="15"/>
      <c r="AY18" s="15"/>
      <c r="AZ18" s="15"/>
      <c r="BA18" s="15"/>
      <c r="BB18" s="15"/>
      <c r="BC18" s="15"/>
      <c r="BD18" s="15"/>
    </row>
    <row r="19" spans="2:56" ht="18.649999999999999" customHeight="1" x14ac:dyDescent="0.3">
      <c r="B19" s="70" t="s">
        <v>35</v>
      </c>
      <c r="C19" s="4" t="s">
        <v>29</v>
      </c>
      <c r="D19" s="5">
        <v>18</v>
      </c>
      <c r="E19" s="14">
        <v>5943</v>
      </c>
      <c r="F19" s="14">
        <v>5833</v>
      </c>
      <c r="G19" s="14">
        <v>5900</v>
      </c>
      <c r="H19" s="14">
        <v>5743</v>
      </c>
      <c r="I19" s="14">
        <v>6035</v>
      </c>
      <c r="J19" s="14">
        <v>6838</v>
      </c>
      <c r="K19" s="14">
        <v>7884</v>
      </c>
      <c r="L19" s="14">
        <v>11496</v>
      </c>
      <c r="M19" s="14">
        <v>11537</v>
      </c>
      <c r="N19" s="14">
        <v>11386</v>
      </c>
      <c r="O19" s="14">
        <v>11919</v>
      </c>
      <c r="P19" s="14">
        <v>12468</v>
      </c>
      <c r="Q19" s="14">
        <v>12411</v>
      </c>
      <c r="R19" s="14">
        <v>12333</v>
      </c>
      <c r="S19" s="14">
        <v>12756</v>
      </c>
      <c r="T19" s="14">
        <v>12615</v>
      </c>
      <c r="U19" s="14">
        <v>12624</v>
      </c>
      <c r="V19" s="14">
        <v>5240</v>
      </c>
      <c r="W19" s="14">
        <v>5548</v>
      </c>
      <c r="X19" s="14">
        <v>5510</v>
      </c>
      <c r="Y19" s="14">
        <v>5494</v>
      </c>
      <c r="Z19" s="14">
        <v>4951</v>
      </c>
      <c r="AA19" s="14">
        <v>4199</v>
      </c>
      <c r="AB19" s="14">
        <v>3425</v>
      </c>
      <c r="AC19" s="76">
        <f>+SUM(E19:AB19)*D19+SUM(E20:AB20)*D20+SUM(E21:AB21)*D21+SUM(E22:AB22)*D22</f>
        <v>5945886</v>
      </c>
      <c r="AE19" s="19">
        <f>SUM(AE7:AE18)</f>
        <v>72603770</v>
      </c>
      <c r="AG19" s="15"/>
      <c r="AH19" s="15"/>
      <c r="AI19" s="15"/>
      <c r="AJ19" s="15"/>
      <c r="AK19" s="15"/>
      <c r="AL19" s="15"/>
      <c r="AM19" s="15"/>
      <c r="AN19" s="15"/>
      <c r="AO19" s="15"/>
      <c r="AP19" s="15"/>
      <c r="AQ19" s="15"/>
      <c r="AR19" s="15"/>
      <c r="AS19" s="15"/>
      <c r="AT19" s="15"/>
      <c r="AU19" s="15"/>
      <c r="AV19" s="15"/>
      <c r="AW19" s="15"/>
      <c r="AX19" s="15"/>
      <c r="AY19" s="15"/>
      <c r="AZ19" s="15"/>
      <c r="BA19" s="15"/>
      <c r="BB19" s="15"/>
      <c r="BC19" s="15"/>
      <c r="BD19" s="15"/>
    </row>
    <row r="20" spans="2:56" ht="18.649999999999999" customHeight="1" x14ac:dyDescent="0.25">
      <c r="B20" s="70" t="s">
        <v>35</v>
      </c>
      <c r="C20" s="4" t="s">
        <v>30</v>
      </c>
      <c r="D20" s="5">
        <v>5</v>
      </c>
      <c r="E20" s="14">
        <v>6344</v>
      </c>
      <c r="F20" s="14">
        <v>6119</v>
      </c>
      <c r="G20" s="14">
        <v>6061</v>
      </c>
      <c r="H20" s="14">
        <v>6028</v>
      </c>
      <c r="I20" s="14">
        <v>6159</v>
      </c>
      <c r="J20" s="14">
        <v>6252</v>
      </c>
      <c r="K20" s="14">
        <v>6733</v>
      </c>
      <c r="L20" s="14">
        <v>11035</v>
      </c>
      <c r="M20" s="14">
        <v>10896</v>
      </c>
      <c r="N20" s="14">
        <v>10994</v>
      </c>
      <c r="O20" s="14">
        <v>11587</v>
      </c>
      <c r="P20" s="14">
        <v>11524</v>
      </c>
      <c r="Q20" s="14">
        <v>11908</v>
      </c>
      <c r="R20" s="14">
        <v>11935</v>
      </c>
      <c r="S20" s="14">
        <v>12367</v>
      </c>
      <c r="T20" s="14">
        <v>12540</v>
      </c>
      <c r="U20" s="14">
        <v>12866</v>
      </c>
      <c r="V20" s="14">
        <v>6178</v>
      </c>
      <c r="W20" s="14">
        <v>6648</v>
      </c>
      <c r="X20" s="14">
        <v>5401</v>
      </c>
      <c r="Y20" s="14">
        <v>5189</v>
      </c>
      <c r="Z20" s="14">
        <v>4986</v>
      </c>
      <c r="AA20" s="14">
        <v>4584</v>
      </c>
      <c r="AB20" s="14">
        <v>4164</v>
      </c>
      <c r="AC20" s="77"/>
      <c r="AG20" s="15"/>
      <c r="AH20" s="15"/>
      <c r="AI20" s="15"/>
      <c r="AJ20" s="15"/>
      <c r="AK20" s="15"/>
      <c r="AL20" s="15"/>
      <c r="AM20" s="15"/>
      <c r="AN20" s="15"/>
      <c r="AO20" s="15"/>
      <c r="AP20" s="15"/>
      <c r="AQ20" s="15"/>
      <c r="AR20" s="15"/>
      <c r="AS20" s="15"/>
      <c r="AT20" s="15"/>
      <c r="AU20" s="15"/>
      <c r="AV20" s="15"/>
      <c r="AW20" s="15"/>
      <c r="AX20" s="15"/>
      <c r="AY20" s="15"/>
      <c r="AZ20" s="15"/>
      <c r="BA20" s="15"/>
      <c r="BB20" s="15"/>
      <c r="BC20" s="15"/>
      <c r="BD20" s="15"/>
    </row>
    <row r="21" spans="2:56" ht="18.649999999999999" customHeight="1" x14ac:dyDescent="0.25">
      <c r="B21" s="70" t="s">
        <v>35</v>
      </c>
      <c r="C21" s="4" t="s">
        <v>31</v>
      </c>
      <c r="D21" s="5">
        <v>5</v>
      </c>
      <c r="E21" s="14">
        <v>6701</v>
      </c>
      <c r="F21" s="14">
        <v>6319</v>
      </c>
      <c r="G21" s="14">
        <v>6024</v>
      </c>
      <c r="H21" s="14">
        <v>6075</v>
      </c>
      <c r="I21" s="14">
        <v>5807</v>
      </c>
      <c r="J21" s="14">
        <v>5841</v>
      </c>
      <c r="K21" s="14">
        <v>6368</v>
      </c>
      <c r="L21" s="14">
        <v>9883</v>
      </c>
      <c r="M21" s="14">
        <v>10586</v>
      </c>
      <c r="N21" s="14">
        <v>10580</v>
      </c>
      <c r="O21" s="14">
        <v>10973</v>
      </c>
      <c r="P21" s="14">
        <v>11016</v>
      </c>
      <c r="Q21" s="14">
        <v>11389</v>
      </c>
      <c r="R21" s="14">
        <v>11307</v>
      </c>
      <c r="S21" s="14">
        <v>11507</v>
      </c>
      <c r="T21" s="14">
        <v>11451</v>
      </c>
      <c r="U21" s="14">
        <v>12088</v>
      </c>
      <c r="V21" s="14">
        <v>5168</v>
      </c>
      <c r="W21" s="14">
        <v>5694</v>
      </c>
      <c r="X21" s="14">
        <v>5491</v>
      </c>
      <c r="Y21" s="14">
        <v>5563</v>
      </c>
      <c r="Z21" s="14">
        <v>5351</v>
      </c>
      <c r="AA21" s="14">
        <v>4997</v>
      </c>
      <c r="AB21" s="14">
        <v>3427</v>
      </c>
      <c r="AC21" s="77"/>
      <c r="AG21" s="15"/>
      <c r="AH21" s="15"/>
      <c r="AI21" s="15"/>
      <c r="AJ21" s="15"/>
      <c r="AK21" s="15"/>
      <c r="AL21" s="15"/>
      <c r="AM21" s="15"/>
      <c r="AN21" s="15"/>
      <c r="AO21" s="15"/>
      <c r="AP21" s="15"/>
      <c r="AQ21" s="15"/>
      <c r="AR21" s="15"/>
      <c r="AS21" s="15"/>
      <c r="AT21" s="15"/>
      <c r="AU21" s="15"/>
      <c r="AV21" s="15"/>
      <c r="AW21" s="15"/>
      <c r="AX21" s="15"/>
      <c r="AY21" s="15"/>
      <c r="AZ21" s="15"/>
      <c r="BA21" s="15"/>
      <c r="BB21" s="15"/>
      <c r="BC21" s="15"/>
      <c r="BD21" s="15"/>
    </row>
    <row r="22" spans="2:56" ht="18.649999999999999" customHeight="1" x14ac:dyDescent="0.25">
      <c r="B22" s="70" t="s">
        <v>35</v>
      </c>
      <c r="C22" s="4" t="s">
        <v>32</v>
      </c>
      <c r="D22" s="5">
        <v>2</v>
      </c>
      <c r="E22" s="14">
        <v>7370</v>
      </c>
      <c r="F22" s="14">
        <v>6894</v>
      </c>
      <c r="G22" s="14">
        <v>6856</v>
      </c>
      <c r="H22" s="14">
        <v>6676</v>
      </c>
      <c r="I22" s="14">
        <v>6795</v>
      </c>
      <c r="J22" s="14">
        <v>6814</v>
      </c>
      <c r="K22" s="14">
        <v>7251</v>
      </c>
      <c r="L22" s="14">
        <v>11337</v>
      </c>
      <c r="M22" s="14">
        <v>11434</v>
      </c>
      <c r="N22" s="14">
        <v>11115</v>
      </c>
      <c r="O22" s="14">
        <v>10781</v>
      </c>
      <c r="P22" s="14">
        <v>11633</v>
      </c>
      <c r="Q22" s="14">
        <v>11695</v>
      </c>
      <c r="R22" s="14">
        <v>11376</v>
      </c>
      <c r="S22" s="14">
        <v>11778</v>
      </c>
      <c r="T22" s="14">
        <v>11862</v>
      </c>
      <c r="U22" s="14">
        <v>12116</v>
      </c>
      <c r="V22" s="14">
        <v>5496</v>
      </c>
      <c r="W22" s="14">
        <v>5703</v>
      </c>
      <c r="X22" s="14">
        <v>5457</v>
      </c>
      <c r="Y22" s="14">
        <v>5300</v>
      </c>
      <c r="Z22" s="14">
        <v>5651</v>
      </c>
      <c r="AA22" s="14">
        <v>5645</v>
      </c>
      <c r="AB22" s="14">
        <v>4856</v>
      </c>
      <c r="AC22" s="78"/>
      <c r="AG22" s="15"/>
      <c r="AH22" s="15"/>
      <c r="AI22" s="15"/>
      <c r="AJ22" s="15"/>
      <c r="AK22" s="15"/>
      <c r="AL22" s="15"/>
      <c r="AM22" s="15"/>
      <c r="AN22" s="15"/>
      <c r="AO22" s="15"/>
      <c r="AP22" s="15"/>
      <c r="AQ22" s="15"/>
      <c r="AR22" s="15"/>
      <c r="AS22" s="15"/>
      <c r="AT22" s="15"/>
      <c r="AU22" s="15"/>
      <c r="AV22" s="15"/>
      <c r="AW22" s="15"/>
      <c r="AX22" s="15"/>
      <c r="AY22" s="15"/>
      <c r="AZ22" s="15"/>
      <c r="BA22" s="15"/>
      <c r="BB22" s="15"/>
      <c r="BC22" s="15"/>
      <c r="BD22" s="15"/>
    </row>
    <row r="23" spans="2:56" ht="18.649999999999999" customHeight="1" x14ac:dyDescent="0.25">
      <c r="B23" s="70" t="s">
        <v>36</v>
      </c>
      <c r="C23" s="4" t="s">
        <v>29</v>
      </c>
      <c r="D23" s="5">
        <v>21</v>
      </c>
      <c r="E23" s="14">
        <v>5918</v>
      </c>
      <c r="F23" s="14">
        <v>5770</v>
      </c>
      <c r="G23" s="14">
        <v>5616</v>
      </c>
      <c r="H23" s="14">
        <v>5677</v>
      </c>
      <c r="I23" s="14">
        <v>5980</v>
      </c>
      <c r="J23" s="14">
        <v>6898</v>
      </c>
      <c r="K23" s="14">
        <v>7778</v>
      </c>
      <c r="L23" s="14">
        <v>11211</v>
      </c>
      <c r="M23" s="14">
        <v>11094</v>
      </c>
      <c r="N23" s="14">
        <v>10688</v>
      </c>
      <c r="O23" s="14">
        <v>10862</v>
      </c>
      <c r="P23" s="14">
        <v>11629</v>
      </c>
      <c r="Q23" s="14">
        <v>11553</v>
      </c>
      <c r="R23" s="14">
        <v>11769</v>
      </c>
      <c r="S23" s="14">
        <v>12224</v>
      </c>
      <c r="T23" s="14">
        <v>12218</v>
      </c>
      <c r="U23" s="14">
        <v>12194</v>
      </c>
      <c r="V23" s="14">
        <v>5167</v>
      </c>
      <c r="W23" s="14">
        <v>5391</v>
      </c>
      <c r="X23" s="14">
        <v>5430</v>
      </c>
      <c r="Y23" s="14">
        <v>5252</v>
      </c>
      <c r="Z23" s="14">
        <v>4756</v>
      </c>
      <c r="AA23" s="14">
        <v>4156</v>
      </c>
      <c r="AB23" s="14">
        <v>3415</v>
      </c>
      <c r="AC23" s="76">
        <f>+SUM(E23:AB23)*D23+SUM(E24:AB24)*D24+SUM(E25:AB25)*D25+SUM(E26:AB26)*D26</f>
        <v>5919594</v>
      </c>
      <c r="AG23" s="15"/>
      <c r="AH23" s="15"/>
      <c r="AI23" s="15"/>
      <c r="AJ23" s="15"/>
      <c r="AK23" s="15"/>
      <c r="AL23" s="15"/>
      <c r="AM23" s="15"/>
      <c r="AN23" s="15"/>
      <c r="AO23" s="15"/>
      <c r="AP23" s="15"/>
      <c r="AQ23" s="15"/>
      <c r="AR23" s="15"/>
      <c r="AS23" s="15"/>
      <c r="AT23" s="15"/>
      <c r="AU23" s="15"/>
      <c r="AV23" s="15"/>
      <c r="AW23" s="15"/>
      <c r="AX23" s="15"/>
      <c r="AY23" s="15"/>
      <c r="AZ23" s="15"/>
      <c r="BA23" s="15"/>
      <c r="BB23" s="15"/>
      <c r="BC23" s="15"/>
      <c r="BD23" s="15"/>
    </row>
    <row r="24" spans="2:56" ht="18.649999999999999" customHeight="1" x14ac:dyDescent="0.25">
      <c r="B24" s="70" t="s">
        <v>36</v>
      </c>
      <c r="C24" s="4" t="s">
        <v>30</v>
      </c>
      <c r="D24" s="5">
        <v>4</v>
      </c>
      <c r="E24" s="14">
        <v>6301</v>
      </c>
      <c r="F24" s="14">
        <v>5749</v>
      </c>
      <c r="G24" s="14">
        <v>5772</v>
      </c>
      <c r="H24" s="14">
        <v>5739</v>
      </c>
      <c r="I24" s="14">
        <v>5832</v>
      </c>
      <c r="J24" s="14">
        <v>5884</v>
      </c>
      <c r="K24" s="14">
        <v>6618</v>
      </c>
      <c r="L24" s="14">
        <v>10666</v>
      </c>
      <c r="M24" s="14">
        <v>11146</v>
      </c>
      <c r="N24" s="14">
        <v>11335</v>
      </c>
      <c r="O24" s="14">
        <v>11287</v>
      </c>
      <c r="P24" s="14">
        <v>11246</v>
      </c>
      <c r="Q24" s="14">
        <v>11438</v>
      </c>
      <c r="R24" s="14">
        <v>11203</v>
      </c>
      <c r="S24" s="14">
        <v>11300</v>
      </c>
      <c r="T24" s="14">
        <v>11392</v>
      </c>
      <c r="U24" s="14">
        <v>11515</v>
      </c>
      <c r="V24" s="14">
        <v>4825</v>
      </c>
      <c r="W24" s="14">
        <v>5181</v>
      </c>
      <c r="X24" s="14">
        <v>5460</v>
      </c>
      <c r="Y24" s="14">
        <v>5214</v>
      </c>
      <c r="Z24" s="14">
        <v>4898</v>
      </c>
      <c r="AA24" s="14">
        <v>4272</v>
      </c>
      <c r="AB24" s="14">
        <v>3590</v>
      </c>
      <c r="AC24" s="77"/>
      <c r="AG24" s="15"/>
      <c r="AH24" s="15"/>
      <c r="AI24" s="15"/>
      <c r="AJ24" s="15"/>
      <c r="AK24" s="15"/>
      <c r="AL24" s="15"/>
      <c r="AM24" s="15"/>
      <c r="AN24" s="15"/>
      <c r="AO24" s="15"/>
      <c r="AP24" s="15"/>
      <c r="AQ24" s="15"/>
      <c r="AR24" s="15"/>
      <c r="AS24" s="15"/>
      <c r="AT24" s="15"/>
      <c r="AU24" s="15"/>
      <c r="AV24" s="15"/>
      <c r="AW24" s="15"/>
      <c r="AX24" s="15"/>
      <c r="AY24" s="15"/>
      <c r="AZ24" s="15"/>
      <c r="BA24" s="15"/>
      <c r="BB24" s="15"/>
      <c r="BC24" s="15"/>
      <c r="BD24" s="15"/>
    </row>
    <row r="25" spans="2:56" ht="18.649999999999999" customHeight="1" x14ac:dyDescent="0.25">
      <c r="B25" s="70" t="s">
        <v>36</v>
      </c>
      <c r="C25" s="4" t="s">
        <v>31</v>
      </c>
      <c r="D25" s="5">
        <v>4</v>
      </c>
      <c r="E25" s="14">
        <v>6250</v>
      </c>
      <c r="F25" s="14">
        <v>6048</v>
      </c>
      <c r="G25" s="14">
        <v>5568</v>
      </c>
      <c r="H25" s="14">
        <v>5568</v>
      </c>
      <c r="I25" s="14">
        <v>5356</v>
      </c>
      <c r="J25" s="14">
        <v>5552</v>
      </c>
      <c r="K25" s="14">
        <v>5990</v>
      </c>
      <c r="L25" s="14">
        <v>9851</v>
      </c>
      <c r="M25" s="14">
        <v>10349</v>
      </c>
      <c r="N25" s="14">
        <v>10497</v>
      </c>
      <c r="O25" s="14">
        <v>10665</v>
      </c>
      <c r="P25" s="14">
        <v>10656</v>
      </c>
      <c r="Q25" s="14">
        <v>10892</v>
      </c>
      <c r="R25" s="14">
        <v>10680</v>
      </c>
      <c r="S25" s="14">
        <v>10657</v>
      </c>
      <c r="T25" s="14">
        <v>10955</v>
      </c>
      <c r="U25" s="14">
        <v>11789</v>
      </c>
      <c r="V25" s="14">
        <v>3821</v>
      </c>
      <c r="W25" s="14">
        <v>5320</v>
      </c>
      <c r="X25" s="14">
        <v>5251</v>
      </c>
      <c r="Y25" s="14">
        <v>5018</v>
      </c>
      <c r="Z25" s="14">
        <v>4467</v>
      </c>
      <c r="AA25" s="14">
        <v>3556</v>
      </c>
      <c r="AB25" s="14">
        <v>2619</v>
      </c>
      <c r="AC25" s="77"/>
      <c r="AG25" s="15"/>
      <c r="AH25" s="15"/>
      <c r="AI25" s="15"/>
      <c r="AJ25" s="15"/>
      <c r="AK25" s="15"/>
      <c r="AL25" s="15"/>
      <c r="AM25" s="15"/>
      <c r="AN25" s="15"/>
      <c r="AO25" s="15"/>
      <c r="AP25" s="15"/>
      <c r="AQ25" s="15"/>
      <c r="AR25" s="15"/>
      <c r="AS25" s="15"/>
      <c r="AT25" s="15"/>
      <c r="AU25" s="15"/>
      <c r="AV25" s="15"/>
      <c r="AW25" s="15"/>
      <c r="AX25" s="15"/>
      <c r="AY25" s="15"/>
      <c r="AZ25" s="15"/>
      <c r="BA25" s="15"/>
      <c r="BB25" s="15"/>
      <c r="BC25" s="15"/>
      <c r="BD25" s="15"/>
    </row>
    <row r="26" spans="2:56" ht="18.649999999999999" customHeight="1" x14ac:dyDescent="0.25">
      <c r="B26" s="70" t="s">
        <v>36</v>
      </c>
      <c r="C26" s="4" t="s">
        <v>32</v>
      </c>
      <c r="D26" s="5">
        <v>2</v>
      </c>
      <c r="E26" s="14">
        <v>5561</v>
      </c>
      <c r="F26" s="14">
        <v>6386</v>
      </c>
      <c r="G26" s="14">
        <v>6460</v>
      </c>
      <c r="H26" s="14">
        <v>6099</v>
      </c>
      <c r="I26" s="14">
        <v>6627</v>
      </c>
      <c r="J26" s="14">
        <v>6924</v>
      </c>
      <c r="K26" s="14">
        <v>7572</v>
      </c>
      <c r="L26" s="14">
        <v>11656</v>
      </c>
      <c r="M26" s="14">
        <v>11623</v>
      </c>
      <c r="N26" s="14">
        <v>12210</v>
      </c>
      <c r="O26" s="14">
        <v>12566</v>
      </c>
      <c r="P26" s="14">
        <v>12949</v>
      </c>
      <c r="Q26" s="14">
        <v>13328</v>
      </c>
      <c r="R26" s="14">
        <v>13352</v>
      </c>
      <c r="S26" s="14">
        <v>12732</v>
      </c>
      <c r="T26" s="14">
        <v>12720</v>
      </c>
      <c r="U26" s="14">
        <v>12285</v>
      </c>
      <c r="V26" s="14">
        <v>5645</v>
      </c>
      <c r="W26" s="14">
        <v>6215</v>
      </c>
      <c r="X26" s="14">
        <v>5328</v>
      </c>
      <c r="Y26" s="14">
        <v>5010</v>
      </c>
      <c r="Z26" s="14">
        <v>4977</v>
      </c>
      <c r="AA26" s="14">
        <v>4495</v>
      </c>
      <c r="AB26" s="14">
        <v>3818</v>
      </c>
      <c r="AC26" s="78"/>
      <c r="AG26" s="15"/>
      <c r="AH26" s="15"/>
      <c r="AI26" s="15"/>
      <c r="AJ26" s="15"/>
      <c r="AK26" s="15"/>
      <c r="AL26" s="15"/>
      <c r="AM26" s="15"/>
      <c r="AN26" s="15"/>
      <c r="AO26" s="15"/>
      <c r="AP26" s="15"/>
      <c r="AQ26" s="15"/>
      <c r="AR26" s="15"/>
      <c r="AS26" s="15"/>
      <c r="AT26" s="15"/>
      <c r="AU26" s="15"/>
      <c r="AV26" s="15"/>
      <c r="AW26" s="15"/>
      <c r="AX26" s="15"/>
      <c r="AY26" s="15"/>
      <c r="AZ26" s="15"/>
      <c r="BA26" s="15"/>
      <c r="BB26" s="15"/>
      <c r="BC26" s="15"/>
      <c r="BD26" s="15"/>
    </row>
    <row r="27" spans="2:56" ht="18.649999999999999" customHeight="1" x14ac:dyDescent="0.25">
      <c r="B27" s="70" t="s">
        <v>37</v>
      </c>
      <c r="C27" s="4" t="s">
        <v>29</v>
      </c>
      <c r="D27" s="5">
        <v>20</v>
      </c>
      <c r="E27" s="14">
        <v>6444</v>
      </c>
      <c r="F27" s="14">
        <v>6244</v>
      </c>
      <c r="G27" s="14">
        <v>6199</v>
      </c>
      <c r="H27" s="14">
        <v>6120</v>
      </c>
      <c r="I27" s="14">
        <v>6518</v>
      </c>
      <c r="J27" s="14">
        <v>7438</v>
      </c>
      <c r="K27" s="14">
        <v>8304</v>
      </c>
      <c r="L27" s="14">
        <v>12067</v>
      </c>
      <c r="M27" s="14">
        <v>11890</v>
      </c>
      <c r="N27" s="14">
        <v>11981</v>
      </c>
      <c r="O27" s="14">
        <v>12203</v>
      </c>
      <c r="P27" s="14">
        <v>12359</v>
      </c>
      <c r="Q27" s="14">
        <v>12449</v>
      </c>
      <c r="R27" s="14">
        <v>12496</v>
      </c>
      <c r="S27" s="14">
        <v>12858</v>
      </c>
      <c r="T27" s="14">
        <v>12862</v>
      </c>
      <c r="U27" s="14">
        <v>13071</v>
      </c>
      <c r="V27" s="14">
        <v>5598</v>
      </c>
      <c r="W27" s="14">
        <v>6142</v>
      </c>
      <c r="X27" s="14">
        <v>5881</v>
      </c>
      <c r="Y27" s="14">
        <v>5496</v>
      </c>
      <c r="Z27" s="14">
        <v>4843</v>
      </c>
      <c r="AA27" s="14">
        <v>4199</v>
      </c>
      <c r="AB27" s="14">
        <v>3602</v>
      </c>
      <c r="AC27" s="76">
        <f>+SUM(E27:AB27)*D27+SUM(E28:AB28)*D28+SUM(E29:AB29)*D29+SUM(E30:AB30)*D30</f>
        <v>6098112</v>
      </c>
      <c r="AG27" s="15"/>
      <c r="AH27" s="15"/>
      <c r="AI27" s="15"/>
      <c r="AJ27" s="15"/>
      <c r="AK27" s="15"/>
      <c r="AL27" s="15"/>
      <c r="AM27" s="15"/>
      <c r="AN27" s="15"/>
      <c r="AO27" s="15"/>
      <c r="AP27" s="15"/>
      <c r="AQ27" s="15"/>
      <c r="AR27" s="15"/>
      <c r="AS27" s="15"/>
      <c r="AT27" s="15"/>
      <c r="AU27" s="15"/>
      <c r="AV27" s="15"/>
      <c r="AW27" s="15"/>
      <c r="AX27" s="15"/>
      <c r="AY27" s="15"/>
      <c r="AZ27" s="15"/>
      <c r="BA27" s="15"/>
      <c r="BB27" s="15"/>
      <c r="BC27" s="15"/>
      <c r="BD27" s="15"/>
    </row>
    <row r="28" spans="2:56" ht="18.649999999999999" customHeight="1" x14ac:dyDescent="0.25">
      <c r="B28" s="70" t="s">
        <v>37</v>
      </c>
      <c r="C28" s="4" t="s">
        <v>30</v>
      </c>
      <c r="D28" s="5">
        <v>4</v>
      </c>
      <c r="E28" s="14">
        <v>6496</v>
      </c>
      <c r="F28" s="14">
        <v>6241</v>
      </c>
      <c r="G28" s="14">
        <v>6115</v>
      </c>
      <c r="H28" s="14">
        <v>6028</v>
      </c>
      <c r="I28" s="14">
        <v>6149</v>
      </c>
      <c r="J28" s="14">
        <v>6475</v>
      </c>
      <c r="K28" s="14">
        <v>6995</v>
      </c>
      <c r="L28" s="14">
        <v>11516</v>
      </c>
      <c r="M28" s="14">
        <v>11704</v>
      </c>
      <c r="N28" s="14">
        <v>11840</v>
      </c>
      <c r="O28" s="14">
        <v>12085</v>
      </c>
      <c r="P28" s="14">
        <v>12047</v>
      </c>
      <c r="Q28" s="14">
        <v>12109</v>
      </c>
      <c r="R28" s="14">
        <v>11954</v>
      </c>
      <c r="S28" s="14">
        <v>11741</v>
      </c>
      <c r="T28" s="14">
        <v>11797</v>
      </c>
      <c r="U28" s="14">
        <v>11966</v>
      </c>
      <c r="V28" s="14">
        <v>4988</v>
      </c>
      <c r="W28" s="14">
        <v>5327</v>
      </c>
      <c r="X28" s="14">
        <v>5592</v>
      </c>
      <c r="Y28" s="14">
        <v>5400</v>
      </c>
      <c r="Z28" s="14">
        <v>5021</v>
      </c>
      <c r="AA28" s="14">
        <v>4651</v>
      </c>
      <c r="AB28" s="14">
        <v>4043</v>
      </c>
      <c r="AC28" s="77"/>
      <c r="AG28" s="15"/>
      <c r="AH28" s="15"/>
      <c r="AI28" s="15"/>
      <c r="AJ28" s="15"/>
      <c r="AK28" s="15"/>
      <c r="AL28" s="15"/>
      <c r="AM28" s="15"/>
      <c r="AN28" s="15"/>
      <c r="AO28" s="15"/>
      <c r="AP28" s="15"/>
      <c r="AQ28" s="15"/>
      <c r="AR28" s="15"/>
      <c r="AS28" s="15"/>
      <c r="AT28" s="15"/>
      <c r="AU28" s="15"/>
      <c r="AV28" s="15"/>
      <c r="AW28" s="15"/>
      <c r="AX28" s="15"/>
      <c r="AY28" s="15"/>
      <c r="AZ28" s="15"/>
      <c r="BA28" s="15"/>
      <c r="BB28" s="15"/>
      <c r="BC28" s="15"/>
      <c r="BD28" s="15"/>
    </row>
    <row r="29" spans="2:56" ht="18.649999999999999" customHeight="1" x14ac:dyDescent="0.25">
      <c r="B29" s="70" t="s">
        <v>37</v>
      </c>
      <c r="C29" s="4" t="s">
        <v>31</v>
      </c>
      <c r="D29" s="5">
        <v>4</v>
      </c>
      <c r="E29" s="14">
        <v>7213</v>
      </c>
      <c r="F29" s="14">
        <v>6709</v>
      </c>
      <c r="G29" s="14">
        <v>6532</v>
      </c>
      <c r="H29" s="14">
        <v>6474</v>
      </c>
      <c r="I29" s="14">
        <v>6361</v>
      </c>
      <c r="J29" s="14">
        <v>6392</v>
      </c>
      <c r="K29" s="14">
        <v>6602</v>
      </c>
      <c r="L29" s="14">
        <v>10599</v>
      </c>
      <c r="M29" s="14">
        <v>10907</v>
      </c>
      <c r="N29" s="14">
        <v>11282</v>
      </c>
      <c r="O29" s="14">
        <v>11414</v>
      </c>
      <c r="P29" s="14">
        <v>11433</v>
      </c>
      <c r="Q29" s="14">
        <v>11372</v>
      </c>
      <c r="R29" s="14">
        <v>11463</v>
      </c>
      <c r="S29" s="14">
        <v>11341</v>
      </c>
      <c r="T29" s="14">
        <v>11541</v>
      </c>
      <c r="U29" s="14">
        <v>11911</v>
      </c>
      <c r="V29" s="14">
        <v>5196</v>
      </c>
      <c r="W29" s="14">
        <v>5465</v>
      </c>
      <c r="X29" s="14">
        <v>5581</v>
      </c>
      <c r="Y29" s="14">
        <v>5349</v>
      </c>
      <c r="Z29" s="14">
        <v>5072</v>
      </c>
      <c r="AA29" s="14">
        <v>4621</v>
      </c>
      <c r="AB29" s="14">
        <v>3900</v>
      </c>
      <c r="AC29" s="77"/>
      <c r="AG29" s="15"/>
      <c r="AH29" s="15"/>
      <c r="AI29" s="15"/>
      <c r="AJ29" s="15"/>
      <c r="AK29" s="15"/>
      <c r="AL29" s="15"/>
      <c r="AM29" s="15"/>
      <c r="AN29" s="15"/>
      <c r="AO29" s="15"/>
      <c r="AP29" s="15"/>
      <c r="AQ29" s="15"/>
      <c r="AR29" s="15"/>
      <c r="AS29" s="15"/>
      <c r="AT29" s="15"/>
      <c r="AU29" s="15"/>
      <c r="AV29" s="15"/>
      <c r="AW29" s="15"/>
      <c r="AX29" s="15"/>
      <c r="AY29" s="15"/>
      <c r="AZ29" s="15"/>
      <c r="BA29" s="15"/>
      <c r="BB29" s="15"/>
      <c r="BC29" s="15"/>
      <c r="BD29" s="15"/>
    </row>
    <row r="30" spans="2:56" ht="18.649999999999999" customHeight="1" x14ac:dyDescent="0.25">
      <c r="B30" s="70" t="s">
        <v>37</v>
      </c>
      <c r="C30" s="4" t="s">
        <v>32</v>
      </c>
      <c r="D30" s="5">
        <v>2</v>
      </c>
      <c r="E30" s="14">
        <v>6471</v>
      </c>
      <c r="F30" s="14">
        <v>6285</v>
      </c>
      <c r="G30" s="14">
        <v>6110</v>
      </c>
      <c r="H30" s="14">
        <v>6092</v>
      </c>
      <c r="I30" s="14">
        <v>6099</v>
      </c>
      <c r="J30" s="14">
        <v>6222</v>
      </c>
      <c r="K30" s="14">
        <v>6295</v>
      </c>
      <c r="L30" s="14">
        <v>10289</v>
      </c>
      <c r="M30" s="14">
        <v>10156</v>
      </c>
      <c r="N30" s="14">
        <v>10169</v>
      </c>
      <c r="O30" s="14">
        <v>11086</v>
      </c>
      <c r="P30" s="14">
        <v>11265</v>
      </c>
      <c r="Q30" s="14">
        <v>11889</v>
      </c>
      <c r="R30" s="14">
        <v>12040</v>
      </c>
      <c r="S30" s="14">
        <v>12081</v>
      </c>
      <c r="T30" s="14">
        <v>12218</v>
      </c>
      <c r="U30" s="14">
        <v>12181</v>
      </c>
      <c r="V30" s="14">
        <v>4875</v>
      </c>
      <c r="W30" s="14">
        <v>5303</v>
      </c>
      <c r="X30" s="14">
        <v>5126</v>
      </c>
      <c r="Y30" s="14">
        <v>5096</v>
      </c>
      <c r="Z30" s="14">
        <v>4941</v>
      </c>
      <c r="AA30" s="14">
        <v>4359</v>
      </c>
      <c r="AB30" s="14">
        <v>3748</v>
      </c>
      <c r="AC30" s="78"/>
      <c r="AG30" s="15"/>
      <c r="AH30" s="15"/>
      <c r="AI30" s="15"/>
      <c r="AJ30" s="15"/>
      <c r="AK30" s="15"/>
      <c r="AL30" s="15"/>
      <c r="AM30" s="15"/>
      <c r="AN30" s="15"/>
      <c r="AO30" s="15"/>
      <c r="AP30" s="15"/>
      <c r="AQ30" s="15"/>
      <c r="AR30" s="15"/>
      <c r="AS30" s="15"/>
      <c r="AT30" s="15"/>
      <c r="AU30" s="15"/>
      <c r="AV30" s="15"/>
      <c r="AW30" s="15"/>
      <c r="AX30" s="15"/>
      <c r="AY30" s="15"/>
      <c r="AZ30" s="15"/>
      <c r="BA30" s="15"/>
      <c r="BB30" s="15"/>
      <c r="BC30" s="15"/>
      <c r="BD30" s="15"/>
    </row>
    <row r="31" spans="2:56" ht="18.649999999999999" customHeight="1" x14ac:dyDescent="0.25">
      <c r="B31" s="70" t="s">
        <v>38</v>
      </c>
      <c r="C31" s="4" t="s">
        <v>29</v>
      </c>
      <c r="D31" s="5">
        <v>19</v>
      </c>
      <c r="E31" s="14">
        <v>7007</v>
      </c>
      <c r="F31" s="14">
        <v>6821</v>
      </c>
      <c r="G31" s="14">
        <v>6681</v>
      </c>
      <c r="H31" s="14">
        <v>6721</v>
      </c>
      <c r="I31" s="14">
        <v>7086</v>
      </c>
      <c r="J31" s="14">
        <v>8080</v>
      </c>
      <c r="K31" s="14">
        <v>9143</v>
      </c>
      <c r="L31" s="14">
        <v>12403</v>
      </c>
      <c r="M31" s="14">
        <v>12338</v>
      </c>
      <c r="N31" s="14">
        <v>12400</v>
      </c>
      <c r="O31" s="14">
        <v>12350</v>
      </c>
      <c r="P31" s="14">
        <v>13018</v>
      </c>
      <c r="Q31" s="14">
        <v>12887</v>
      </c>
      <c r="R31" s="14">
        <v>12981</v>
      </c>
      <c r="S31" s="14">
        <v>13222</v>
      </c>
      <c r="T31" s="14">
        <v>13257</v>
      </c>
      <c r="U31" s="14">
        <v>13251</v>
      </c>
      <c r="V31" s="14">
        <v>6101</v>
      </c>
      <c r="W31" s="14">
        <v>6336</v>
      </c>
      <c r="X31" s="14">
        <v>6618</v>
      </c>
      <c r="Y31" s="14">
        <v>6361</v>
      </c>
      <c r="Z31" s="14">
        <v>5647</v>
      </c>
      <c r="AA31" s="14">
        <v>4791</v>
      </c>
      <c r="AB31" s="14">
        <v>4349</v>
      </c>
      <c r="AC31" s="76">
        <f>+SUM(E31:AB31)*D31+SUM(E32:AB32)*D32+SUM(E33:AB33)*D33+SUM(E34:AB34)*D34</f>
        <v>6557268</v>
      </c>
      <c r="AG31" s="15"/>
      <c r="AH31" s="15"/>
      <c r="AI31" s="15"/>
      <c r="AJ31" s="15"/>
      <c r="AK31" s="15"/>
      <c r="AL31" s="15"/>
      <c r="AM31" s="15"/>
      <c r="AN31" s="15"/>
      <c r="AO31" s="15"/>
      <c r="AP31" s="15"/>
      <c r="AQ31" s="15"/>
      <c r="AR31" s="15"/>
      <c r="AS31" s="15"/>
      <c r="AT31" s="15"/>
      <c r="AU31" s="15"/>
      <c r="AV31" s="15"/>
      <c r="AW31" s="15"/>
      <c r="AX31" s="15"/>
      <c r="AY31" s="15"/>
      <c r="AZ31" s="15"/>
      <c r="BA31" s="15"/>
      <c r="BB31" s="15"/>
      <c r="BC31" s="15"/>
      <c r="BD31" s="15"/>
    </row>
    <row r="32" spans="2:56" ht="18.649999999999999" customHeight="1" x14ac:dyDescent="0.25">
      <c r="B32" s="70" t="s">
        <v>38</v>
      </c>
      <c r="C32" s="4" t="s">
        <v>30</v>
      </c>
      <c r="D32" s="5">
        <v>5</v>
      </c>
      <c r="E32" s="14">
        <v>7672</v>
      </c>
      <c r="F32" s="14">
        <v>7366</v>
      </c>
      <c r="G32" s="14">
        <v>7122</v>
      </c>
      <c r="H32" s="14">
        <v>7022</v>
      </c>
      <c r="I32" s="14">
        <v>7101</v>
      </c>
      <c r="J32" s="14">
        <v>7208</v>
      </c>
      <c r="K32" s="14">
        <v>7771</v>
      </c>
      <c r="L32" s="14">
        <v>11995</v>
      </c>
      <c r="M32" s="14">
        <v>12203</v>
      </c>
      <c r="N32" s="14">
        <v>12311</v>
      </c>
      <c r="O32" s="14">
        <v>12289</v>
      </c>
      <c r="P32" s="14">
        <v>12661</v>
      </c>
      <c r="Q32" s="14">
        <v>12898</v>
      </c>
      <c r="R32" s="14">
        <v>12839</v>
      </c>
      <c r="S32" s="14">
        <v>12731</v>
      </c>
      <c r="T32" s="14">
        <v>12559</v>
      </c>
      <c r="U32" s="14">
        <v>12456</v>
      </c>
      <c r="V32" s="14">
        <v>5667</v>
      </c>
      <c r="W32" s="14">
        <v>5560</v>
      </c>
      <c r="X32" s="14">
        <v>5924</v>
      </c>
      <c r="Y32" s="14">
        <v>5552</v>
      </c>
      <c r="Z32" s="14">
        <v>4988</v>
      </c>
      <c r="AA32" s="14">
        <v>4496</v>
      </c>
      <c r="AB32" s="14">
        <v>4008</v>
      </c>
      <c r="AC32" s="77"/>
      <c r="AG32" s="15"/>
      <c r="AH32" s="15"/>
      <c r="AI32" s="15"/>
      <c r="AJ32" s="15"/>
      <c r="AK32" s="15"/>
      <c r="AL32" s="15"/>
      <c r="AM32" s="15"/>
      <c r="AN32" s="15"/>
      <c r="AO32" s="15"/>
      <c r="AP32" s="15"/>
      <c r="AQ32" s="15"/>
      <c r="AR32" s="15"/>
      <c r="AS32" s="15"/>
      <c r="AT32" s="15"/>
      <c r="AU32" s="15"/>
      <c r="AV32" s="15"/>
      <c r="AW32" s="15"/>
      <c r="AX32" s="15"/>
      <c r="AY32" s="15"/>
      <c r="AZ32" s="15"/>
      <c r="BA32" s="15"/>
      <c r="BB32" s="15"/>
      <c r="BC32" s="15"/>
      <c r="BD32" s="15"/>
    </row>
    <row r="33" spans="2:56" ht="18.649999999999999" customHeight="1" x14ac:dyDescent="0.25">
      <c r="B33" s="70" t="s">
        <v>38</v>
      </c>
      <c r="C33" s="4" t="s">
        <v>31</v>
      </c>
      <c r="D33" s="5">
        <v>5</v>
      </c>
      <c r="E33" s="14">
        <v>6711</v>
      </c>
      <c r="F33" s="14">
        <v>6402</v>
      </c>
      <c r="G33" s="14">
        <v>6348</v>
      </c>
      <c r="H33" s="14">
        <v>6276</v>
      </c>
      <c r="I33" s="14">
        <v>6209</v>
      </c>
      <c r="J33" s="14">
        <v>6078</v>
      </c>
      <c r="K33" s="14">
        <v>6612</v>
      </c>
      <c r="L33" s="14">
        <v>10190</v>
      </c>
      <c r="M33" s="14">
        <v>10619</v>
      </c>
      <c r="N33" s="14">
        <v>10598</v>
      </c>
      <c r="O33" s="14">
        <v>10653</v>
      </c>
      <c r="P33" s="14">
        <v>11216</v>
      </c>
      <c r="Q33" s="14">
        <v>11267</v>
      </c>
      <c r="R33" s="14">
        <v>11450</v>
      </c>
      <c r="S33" s="14">
        <v>11528</v>
      </c>
      <c r="T33" s="14">
        <v>11510</v>
      </c>
      <c r="U33" s="14">
        <v>11646</v>
      </c>
      <c r="V33" s="14">
        <v>5002</v>
      </c>
      <c r="W33" s="14">
        <v>5400</v>
      </c>
      <c r="X33" s="14">
        <v>5968</v>
      </c>
      <c r="Y33" s="14">
        <v>5840</v>
      </c>
      <c r="Z33" s="14">
        <v>5037</v>
      </c>
      <c r="AA33" s="14">
        <v>3957</v>
      </c>
      <c r="AB33" s="14">
        <v>3263</v>
      </c>
      <c r="AC33" s="77"/>
      <c r="AG33" s="15"/>
      <c r="AH33" s="15"/>
      <c r="AI33" s="15"/>
      <c r="AJ33" s="15"/>
      <c r="AK33" s="15"/>
      <c r="AL33" s="15"/>
      <c r="AM33" s="15"/>
      <c r="AN33" s="15"/>
      <c r="AO33" s="15"/>
      <c r="AP33" s="15"/>
      <c r="AQ33" s="15"/>
      <c r="AR33" s="15"/>
      <c r="AS33" s="15"/>
      <c r="AT33" s="15"/>
      <c r="AU33" s="15"/>
      <c r="AV33" s="15"/>
      <c r="AW33" s="15"/>
      <c r="AX33" s="15"/>
      <c r="AY33" s="15"/>
      <c r="AZ33" s="15"/>
      <c r="BA33" s="15"/>
      <c r="BB33" s="15"/>
      <c r="BC33" s="15"/>
      <c r="BD33" s="15"/>
    </row>
    <row r="34" spans="2:56" ht="18.649999999999999" customHeight="1" x14ac:dyDescent="0.25">
      <c r="B34" s="70" t="s">
        <v>38</v>
      </c>
      <c r="C34" s="4" t="s">
        <v>32</v>
      </c>
      <c r="D34" s="5">
        <v>2</v>
      </c>
      <c r="E34" s="14">
        <v>8386</v>
      </c>
      <c r="F34" s="14">
        <v>7977</v>
      </c>
      <c r="G34" s="14">
        <v>7460</v>
      </c>
      <c r="H34" s="14">
        <v>6865</v>
      </c>
      <c r="I34" s="14">
        <v>6807</v>
      </c>
      <c r="J34" s="14">
        <v>6104</v>
      </c>
      <c r="K34" s="14">
        <v>6454</v>
      </c>
      <c r="L34" s="14">
        <v>9865</v>
      </c>
      <c r="M34" s="14">
        <v>10766</v>
      </c>
      <c r="N34" s="14">
        <v>10346</v>
      </c>
      <c r="O34" s="14">
        <v>9516</v>
      </c>
      <c r="P34" s="14">
        <v>10165</v>
      </c>
      <c r="Q34" s="14">
        <v>10456</v>
      </c>
      <c r="R34" s="14">
        <v>10898</v>
      </c>
      <c r="S34" s="14">
        <v>10137</v>
      </c>
      <c r="T34" s="14">
        <v>10268</v>
      </c>
      <c r="U34" s="14">
        <v>10729</v>
      </c>
      <c r="V34" s="14">
        <v>4027</v>
      </c>
      <c r="W34" s="14">
        <v>4006</v>
      </c>
      <c r="X34" s="14">
        <v>4931</v>
      </c>
      <c r="Y34" s="14">
        <v>5403</v>
      </c>
      <c r="Z34" s="14">
        <v>4905</v>
      </c>
      <c r="AA34" s="14">
        <v>4266</v>
      </c>
      <c r="AB34" s="14">
        <v>3884</v>
      </c>
      <c r="AC34" s="78"/>
      <c r="AG34" s="15"/>
      <c r="AH34" s="15"/>
      <c r="AI34" s="15"/>
      <c r="AJ34" s="15"/>
      <c r="AK34" s="15"/>
      <c r="AL34" s="15"/>
      <c r="AM34" s="15"/>
      <c r="AN34" s="15"/>
      <c r="AO34" s="15"/>
      <c r="AP34" s="15"/>
      <c r="AQ34" s="15"/>
      <c r="AR34" s="15"/>
      <c r="AS34" s="15"/>
      <c r="AT34" s="15"/>
      <c r="AU34" s="15"/>
      <c r="AV34" s="15"/>
      <c r="AW34" s="15"/>
      <c r="AX34" s="15"/>
      <c r="AY34" s="15"/>
      <c r="AZ34" s="15"/>
      <c r="BA34" s="15"/>
      <c r="BB34" s="15"/>
      <c r="BC34" s="15"/>
      <c r="BD34" s="15"/>
    </row>
    <row r="35" spans="2:56" ht="18.649999999999999" customHeight="1" x14ac:dyDescent="0.25">
      <c r="B35" s="70" t="s">
        <v>39</v>
      </c>
      <c r="C35" s="4" t="s">
        <v>29</v>
      </c>
      <c r="D35" s="5">
        <v>21</v>
      </c>
      <c r="E35" s="14">
        <v>6421</v>
      </c>
      <c r="F35" s="14">
        <v>6086</v>
      </c>
      <c r="G35" s="14">
        <v>5932</v>
      </c>
      <c r="H35" s="14">
        <v>5882</v>
      </c>
      <c r="I35" s="14">
        <v>6341</v>
      </c>
      <c r="J35" s="14">
        <v>7647</v>
      </c>
      <c r="K35" s="14">
        <v>9213</v>
      </c>
      <c r="L35" s="14">
        <v>12253</v>
      </c>
      <c r="M35" s="14">
        <v>11725</v>
      </c>
      <c r="N35" s="14">
        <v>11544</v>
      </c>
      <c r="O35" s="14">
        <v>11547</v>
      </c>
      <c r="P35" s="14">
        <v>11860</v>
      </c>
      <c r="Q35" s="14">
        <v>11898</v>
      </c>
      <c r="R35" s="14">
        <v>11988</v>
      </c>
      <c r="S35" s="14">
        <v>12383</v>
      </c>
      <c r="T35" s="14">
        <v>12589</v>
      </c>
      <c r="U35" s="14">
        <v>12755</v>
      </c>
      <c r="V35" s="14">
        <v>6205</v>
      </c>
      <c r="W35" s="14">
        <v>6384</v>
      </c>
      <c r="X35" s="14">
        <v>6670</v>
      </c>
      <c r="Y35" s="14">
        <v>6221</v>
      </c>
      <c r="Z35" s="14">
        <v>5293</v>
      </c>
      <c r="AA35" s="14">
        <v>4463</v>
      </c>
      <c r="AB35" s="14">
        <v>3957</v>
      </c>
      <c r="AC35" s="76">
        <f>+SUM(E35:AB35)*D35+SUM(E36:AB36)*D36+SUM(E37:AB37)*D37+SUM(E38:AB38)*D38</f>
        <v>6194133</v>
      </c>
      <c r="AG35" s="15"/>
      <c r="AH35" s="15"/>
      <c r="AI35" s="15"/>
      <c r="AJ35" s="15"/>
      <c r="AK35" s="15"/>
      <c r="AL35" s="15"/>
      <c r="AM35" s="15"/>
      <c r="AN35" s="15"/>
      <c r="AO35" s="15"/>
      <c r="AP35" s="15"/>
      <c r="AQ35" s="15"/>
      <c r="AR35" s="15"/>
      <c r="AS35" s="15"/>
      <c r="AT35" s="15"/>
      <c r="AU35" s="15"/>
      <c r="AV35" s="15"/>
      <c r="AW35" s="15"/>
      <c r="AX35" s="15"/>
      <c r="AY35" s="15"/>
      <c r="AZ35" s="15"/>
      <c r="BA35" s="15"/>
      <c r="BB35" s="15"/>
      <c r="BC35" s="15"/>
      <c r="BD35" s="15"/>
    </row>
    <row r="36" spans="2:56" ht="18.649999999999999" customHeight="1" x14ac:dyDescent="0.25">
      <c r="B36" s="70" t="s">
        <v>39</v>
      </c>
      <c r="C36" s="4" t="s">
        <v>30</v>
      </c>
      <c r="D36" s="5">
        <v>4</v>
      </c>
      <c r="E36" s="14">
        <v>6768</v>
      </c>
      <c r="F36" s="14">
        <v>6434</v>
      </c>
      <c r="G36" s="14">
        <v>6151</v>
      </c>
      <c r="H36" s="14">
        <v>5982</v>
      </c>
      <c r="I36" s="14">
        <v>5843</v>
      </c>
      <c r="J36" s="14">
        <v>5298</v>
      </c>
      <c r="K36" s="14">
        <v>6210</v>
      </c>
      <c r="L36" s="14">
        <v>10788</v>
      </c>
      <c r="M36" s="14">
        <v>11605</v>
      </c>
      <c r="N36" s="14">
        <v>11409</v>
      </c>
      <c r="O36" s="14">
        <v>11061</v>
      </c>
      <c r="P36" s="14">
        <v>11019</v>
      </c>
      <c r="Q36" s="14">
        <v>11502</v>
      </c>
      <c r="R36" s="14">
        <v>12112</v>
      </c>
      <c r="S36" s="14">
        <v>11584</v>
      </c>
      <c r="T36" s="14">
        <v>11632</v>
      </c>
      <c r="U36" s="14">
        <v>11611</v>
      </c>
      <c r="V36" s="14">
        <v>5756</v>
      </c>
      <c r="W36" s="14">
        <v>5553</v>
      </c>
      <c r="X36" s="14">
        <v>5587</v>
      </c>
      <c r="Y36" s="14">
        <v>5025</v>
      </c>
      <c r="Z36" s="14">
        <v>4517</v>
      </c>
      <c r="AA36" s="14">
        <v>3880</v>
      </c>
      <c r="AB36" s="14">
        <v>3685</v>
      </c>
      <c r="AC36" s="77"/>
      <c r="AG36" s="15"/>
      <c r="AH36" s="15"/>
      <c r="AI36" s="15"/>
      <c r="AJ36" s="15"/>
      <c r="AK36" s="15"/>
      <c r="AL36" s="15"/>
      <c r="AM36" s="15"/>
      <c r="AN36" s="15"/>
      <c r="AO36" s="15"/>
      <c r="AP36" s="15"/>
      <c r="AQ36" s="15"/>
      <c r="AR36" s="15"/>
      <c r="AS36" s="15"/>
      <c r="AT36" s="15"/>
      <c r="AU36" s="15"/>
      <c r="AV36" s="15"/>
      <c r="AW36" s="15"/>
      <c r="AX36" s="15"/>
      <c r="AY36" s="15"/>
      <c r="AZ36" s="15"/>
      <c r="BA36" s="15"/>
      <c r="BB36" s="15"/>
      <c r="BC36" s="15"/>
      <c r="BD36" s="15"/>
    </row>
    <row r="37" spans="2:56" ht="18.649999999999999" customHeight="1" x14ac:dyDescent="0.25">
      <c r="B37" s="70" t="s">
        <v>39</v>
      </c>
      <c r="C37" s="4" t="s">
        <v>31</v>
      </c>
      <c r="D37" s="5">
        <v>4</v>
      </c>
      <c r="E37" s="14">
        <v>6335</v>
      </c>
      <c r="F37" s="14">
        <v>6002</v>
      </c>
      <c r="G37" s="14">
        <v>5692</v>
      </c>
      <c r="H37" s="14">
        <v>5592</v>
      </c>
      <c r="I37" s="14">
        <v>5360</v>
      </c>
      <c r="J37" s="14">
        <v>5146</v>
      </c>
      <c r="K37" s="14">
        <v>5258</v>
      </c>
      <c r="L37" s="14">
        <v>8864</v>
      </c>
      <c r="M37" s="14">
        <v>9106</v>
      </c>
      <c r="N37" s="14">
        <v>9428</v>
      </c>
      <c r="O37" s="14">
        <v>9533</v>
      </c>
      <c r="P37" s="14">
        <v>10048</v>
      </c>
      <c r="Q37" s="14">
        <v>10538</v>
      </c>
      <c r="R37" s="14">
        <v>10460</v>
      </c>
      <c r="S37" s="14">
        <v>10298</v>
      </c>
      <c r="T37" s="14">
        <v>10618</v>
      </c>
      <c r="U37" s="14">
        <v>11055</v>
      </c>
      <c r="V37" s="14">
        <v>5123</v>
      </c>
      <c r="W37" s="14">
        <v>5554</v>
      </c>
      <c r="X37" s="14">
        <v>5880</v>
      </c>
      <c r="Y37" s="14">
        <v>5564</v>
      </c>
      <c r="Z37" s="14">
        <v>4560</v>
      </c>
      <c r="AA37" s="14">
        <v>3897</v>
      </c>
      <c r="AB37" s="14">
        <v>3373</v>
      </c>
      <c r="AC37" s="77"/>
      <c r="AG37" s="15"/>
      <c r="AH37" s="15"/>
      <c r="AI37" s="15"/>
      <c r="AJ37" s="15"/>
      <c r="AK37" s="15"/>
      <c r="AL37" s="15"/>
      <c r="AM37" s="15"/>
      <c r="AN37" s="15"/>
      <c r="AO37" s="15"/>
      <c r="AP37" s="15"/>
      <c r="AQ37" s="15"/>
      <c r="AR37" s="15"/>
      <c r="AS37" s="15"/>
      <c r="AT37" s="15"/>
      <c r="AU37" s="15"/>
      <c r="AV37" s="15"/>
      <c r="AW37" s="15"/>
      <c r="AX37" s="15"/>
      <c r="AY37" s="15"/>
      <c r="AZ37" s="15"/>
      <c r="BA37" s="15"/>
      <c r="BB37" s="15"/>
      <c r="BC37" s="15"/>
      <c r="BD37" s="15"/>
    </row>
    <row r="38" spans="2:56" ht="18.649999999999999" customHeight="1" x14ac:dyDescent="0.25">
      <c r="B38" s="70" t="s">
        <v>39</v>
      </c>
      <c r="C38" s="4" t="s">
        <v>32</v>
      </c>
      <c r="D38" s="5">
        <v>2</v>
      </c>
      <c r="E38" s="14">
        <v>6505</v>
      </c>
      <c r="F38" s="14">
        <v>5959</v>
      </c>
      <c r="G38" s="14">
        <v>6011</v>
      </c>
      <c r="H38" s="14">
        <v>6048</v>
      </c>
      <c r="I38" s="14">
        <v>6225</v>
      </c>
      <c r="J38" s="14">
        <v>6321</v>
      </c>
      <c r="K38" s="14">
        <v>6933</v>
      </c>
      <c r="L38" s="14">
        <v>10535</v>
      </c>
      <c r="M38" s="14">
        <v>10682</v>
      </c>
      <c r="N38" s="14">
        <v>10451</v>
      </c>
      <c r="O38" s="14">
        <v>10821</v>
      </c>
      <c r="P38" s="14">
        <v>10485</v>
      </c>
      <c r="Q38" s="14">
        <v>10509</v>
      </c>
      <c r="R38" s="14">
        <v>11665</v>
      </c>
      <c r="S38" s="14">
        <v>11939</v>
      </c>
      <c r="T38" s="14">
        <v>11636</v>
      </c>
      <c r="U38" s="14">
        <v>12288</v>
      </c>
      <c r="V38" s="14">
        <v>6476</v>
      </c>
      <c r="W38" s="14">
        <v>6649</v>
      </c>
      <c r="X38" s="14">
        <v>6186</v>
      </c>
      <c r="Y38" s="14">
        <v>5544</v>
      </c>
      <c r="Z38" s="14">
        <v>4765</v>
      </c>
      <c r="AA38" s="14">
        <v>4156</v>
      </c>
      <c r="AB38" s="14">
        <v>3487</v>
      </c>
      <c r="AC38" s="78"/>
      <c r="AG38" s="15"/>
      <c r="AH38" s="15"/>
      <c r="AI38" s="15"/>
      <c r="AJ38" s="15"/>
      <c r="AK38" s="15"/>
      <c r="AL38" s="15"/>
      <c r="AM38" s="15"/>
      <c r="AN38" s="15"/>
      <c r="AO38" s="15"/>
      <c r="AP38" s="15"/>
      <c r="AQ38" s="15"/>
      <c r="AR38" s="15"/>
      <c r="AS38" s="15"/>
      <c r="AT38" s="15"/>
      <c r="AU38" s="15"/>
      <c r="AV38" s="15"/>
      <c r="AW38" s="15"/>
      <c r="AX38" s="15"/>
      <c r="AY38" s="15"/>
      <c r="AZ38" s="15"/>
      <c r="BA38" s="15"/>
      <c r="BB38" s="15"/>
      <c r="BC38" s="15"/>
      <c r="BD38" s="15"/>
    </row>
    <row r="39" spans="2:56" ht="18.649999999999999" customHeight="1" x14ac:dyDescent="0.25">
      <c r="B39" s="70" t="s">
        <v>40</v>
      </c>
      <c r="C39" s="4" t="s">
        <v>29</v>
      </c>
      <c r="D39" s="5">
        <v>21</v>
      </c>
      <c r="E39" s="14">
        <v>6131</v>
      </c>
      <c r="F39" s="14">
        <v>5847</v>
      </c>
      <c r="G39" s="14">
        <v>5741</v>
      </c>
      <c r="H39" s="14">
        <v>5627</v>
      </c>
      <c r="I39" s="14">
        <v>6032</v>
      </c>
      <c r="J39" s="14">
        <v>7089</v>
      </c>
      <c r="K39" s="14">
        <v>8537</v>
      </c>
      <c r="L39" s="14">
        <v>11714</v>
      </c>
      <c r="M39" s="14">
        <v>11313</v>
      </c>
      <c r="N39" s="14">
        <v>11274</v>
      </c>
      <c r="O39" s="14">
        <v>11391</v>
      </c>
      <c r="P39" s="14">
        <v>12004</v>
      </c>
      <c r="Q39" s="14">
        <v>11854</v>
      </c>
      <c r="R39" s="14">
        <v>11610</v>
      </c>
      <c r="S39" s="14">
        <v>11979</v>
      </c>
      <c r="T39" s="14">
        <v>12210</v>
      </c>
      <c r="U39" s="14">
        <v>12244</v>
      </c>
      <c r="V39" s="14">
        <v>5810</v>
      </c>
      <c r="W39" s="14">
        <v>6001</v>
      </c>
      <c r="X39" s="14">
        <v>6117</v>
      </c>
      <c r="Y39" s="14">
        <v>5775</v>
      </c>
      <c r="Z39" s="14">
        <v>5270</v>
      </c>
      <c r="AA39" s="14">
        <v>4270</v>
      </c>
      <c r="AB39" s="14">
        <v>3474</v>
      </c>
      <c r="AC39" s="76">
        <f>+SUM(E39:AB39)*D39+SUM(E40:AB40)*D40+SUM(E41:AB41)*D41+SUM(E42:AB42)*D42</f>
        <v>5869856</v>
      </c>
      <c r="AG39" s="15"/>
      <c r="AH39" s="15"/>
      <c r="AI39" s="15"/>
      <c r="AJ39" s="15"/>
      <c r="AK39" s="15"/>
      <c r="AL39" s="15"/>
      <c r="AM39" s="15"/>
      <c r="AN39" s="15"/>
      <c r="AO39" s="15"/>
      <c r="AP39" s="15"/>
      <c r="AQ39" s="15"/>
      <c r="AR39" s="15"/>
      <c r="AS39" s="15"/>
      <c r="AT39" s="15"/>
      <c r="AU39" s="15"/>
      <c r="AV39" s="15"/>
      <c r="AW39" s="15"/>
      <c r="AX39" s="15"/>
      <c r="AY39" s="15"/>
      <c r="AZ39" s="15"/>
      <c r="BA39" s="15"/>
      <c r="BB39" s="15"/>
      <c r="BC39" s="15"/>
      <c r="BD39" s="15"/>
    </row>
    <row r="40" spans="2:56" ht="18.649999999999999" customHeight="1" x14ac:dyDescent="0.25">
      <c r="B40" s="70" t="s">
        <v>40</v>
      </c>
      <c r="C40" s="4" t="s">
        <v>30</v>
      </c>
      <c r="D40" s="5">
        <v>5</v>
      </c>
      <c r="E40" s="14">
        <v>5896</v>
      </c>
      <c r="F40" s="14">
        <v>5657</v>
      </c>
      <c r="G40" s="14">
        <v>5579</v>
      </c>
      <c r="H40" s="14">
        <v>5530</v>
      </c>
      <c r="I40" s="14">
        <v>5570</v>
      </c>
      <c r="J40" s="14">
        <v>6140</v>
      </c>
      <c r="K40" s="14">
        <v>6807</v>
      </c>
      <c r="L40" s="14">
        <v>11041</v>
      </c>
      <c r="M40" s="14">
        <v>11122</v>
      </c>
      <c r="N40" s="14">
        <v>11177</v>
      </c>
      <c r="O40" s="14">
        <v>11539</v>
      </c>
      <c r="P40" s="14">
        <v>11705</v>
      </c>
      <c r="Q40" s="14">
        <v>11723</v>
      </c>
      <c r="R40" s="14">
        <v>11889</v>
      </c>
      <c r="S40" s="14">
        <v>11716</v>
      </c>
      <c r="T40" s="14">
        <v>11769</v>
      </c>
      <c r="U40" s="14">
        <v>12288</v>
      </c>
      <c r="V40" s="14">
        <v>5544</v>
      </c>
      <c r="W40" s="14">
        <v>5726</v>
      </c>
      <c r="X40" s="14">
        <v>5941</v>
      </c>
      <c r="Y40" s="14">
        <v>5469</v>
      </c>
      <c r="Z40" s="14">
        <v>4766</v>
      </c>
      <c r="AA40" s="14">
        <v>4466</v>
      </c>
      <c r="AB40" s="14">
        <v>3626</v>
      </c>
      <c r="AC40" s="77"/>
      <c r="AG40" s="15"/>
      <c r="AH40" s="15"/>
      <c r="AI40" s="15"/>
      <c r="AJ40" s="15"/>
      <c r="AK40" s="15"/>
      <c r="AL40" s="15"/>
      <c r="AM40" s="15"/>
      <c r="AN40" s="15"/>
      <c r="AO40" s="15"/>
      <c r="AP40" s="15"/>
      <c r="AQ40" s="15"/>
      <c r="AR40" s="15"/>
      <c r="AS40" s="15"/>
      <c r="AT40" s="15"/>
      <c r="AU40" s="15"/>
      <c r="AV40" s="15"/>
      <c r="AW40" s="15"/>
      <c r="AX40" s="15"/>
      <c r="AY40" s="15"/>
      <c r="AZ40" s="15"/>
      <c r="BA40" s="15"/>
      <c r="BB40" s="15"/>
      <c r="BC40" s="15"/>
      <c r="BD40" s="15"/>
    </row>
    <row r="41" spans="2:56" ht="18.649999999999999" customHeight="1" x14ac:dyDescent="0.25">
      <c r="B41" s="70" t="s">
        <v>40</v>
      </c>
      <c r="C41" s="4" t="s">
        <v>31</v>
      </c>
      <c r="D41" s="5">
        <v>4</v>
      </c>
      <c r="E41" s="14">
        <v>6346</v>
      </c>
      <c r="F41" s="14">
        <v>5952</v>
      </c>
      <c r="G41" s="14">
        <v>5577</v>
      </c>
      <c r="H41" s="14">
        <v>5598</v>
      </c>
      <c r="I41" s="14">
        <v>5465</v>
      </c>
      <c r="J41" s="14">
        <v>5353</v>
      </c>
      <c r="K41" s="14">
        <v>6090</v>
      </c>
      <c r="L41" s="14">
        <v>9702</v>
      </c>
      <c r="M41" s="14">
        <v>9527</v>
      </c>
      <c r="N41" s="14">
        <v>9701</v>
      </c>
      <c r="O41" s="14">
        <v>10151</v>
      </c>
      <c r="P41" s="14">
        <v>10770</v>
      </c>
      <c r="Q41" s="14">
        <v>11293</v>
      </c>
      <c r="R41" s="14">
        <v>11545</v>
      </c>
      <c r="S41" s="14">
        <v>11198</v>
      </c>
      <c r="T41" s="14">
        <v>11047</v>
      </c>
      <c r="U41" s="14">
        <v>11294</v>
      </c>
      <c r="V41" s="14">
        <v>5565</v>
      </c>
      <c r="W41" s="14">
        <v>5295</v>
      </c>
      <c r="X41" s="14">
        <v>5751</v>
      </c>
      <c r="Y41" s="14">
        <v>4973</v>
      </c>
      <c r="Z41" s="14">
        <v>4785</v>
      </c>
      <c r="AA41" s="14">
        <v>3923</v>
      </c>
      <c r="AB41" s="14">
        <v>3307</v>
      </c>
      <c r="AC41" s="77"/>
      <c r="AG41" s="15"/>
      <c r="AH41" s="15"/>
      <c r="AI41" s="15"/>
      <c r="AJ41" s="15"/>
      <c r="AK41" s="15"/>
      <c r="AL41" s="15"/>
      <c r="AM41" s="15"/>
      <c r="AN41" s="15"/>
      <c r="AO41" s="15"/>
      <c r="AP41" s="15"/>
      <c r="AQ41" s="15"/>
      <c r="AR41" s="15"/>
      <c r="AS41" s="15"/>
      <c r="AT41" s="15"/>
      <c r="AU41" s="15"/>
      <c r="AV41" s="15"/>
      <c r="AW41" s="15"/>
      <c r="AX41" s="15"/>
      <c r="AY41" s="15"/>
      <c r="AZ41" s="15"/>
      <c r="BA41" s="15"/>
      <c r="BB41" s="15"/>
      <c r="BC41" s="15"/>
      <c r="BD41" s="15"/>
    </row>
    <row r="42" spans="2:56" ht="18.649999999999999" customHeight="1" x14ac:dyDescent="0.25">
      <c r="B42" s="70" t="s">
        <v>40</v>
      </c>
      <c r="C42" s="4" t="s">
        <v>32</v>
      </c>
      <c r="D42" s="5">
        <v>0</v>
      </c>
      <c r="E42" s="14">
        <v>0</v>
      </c>
      <c r="F42" s="14">
        <v>0</v>
      </c>
      <c r="G42" s="14">
        <v>0</v>
      </c>
      <c r="H42" s="14">
        <v>0</v>
      </c>
      <c r="I42" s="14">
        <v>0</v>
      </c>
      <c r="J42" s="14">
        <v>0</v>
      </c>
      <c r="K42" s="14">
        <v>0</v>
      </c>
      <c r="L42" s="14">
        <v>0</v>
      </c>
      <c r="M42" s="14">
        <v>0</v>
      </c>
      <c r="N42" s="14">
        <v>0</v>
      </c>
      <c r="O42" s="14">
        <v>0</v>
      </c>
      <c r="P42" s="14">
        <v>0</v>
      </c>
      <c r="Q42" s="14">
        <v>0</v>
      </c>
      <c r="R42" s="14">
        <v>0</v>
      </c>
      <c r="S42" s="14">
        <v>0</v>
      </c>
      <c r="T42" s="14">
        <v>0</v>
      </c>
      <c r="U42" s="14">
        <v>0</v>
      </c>
      <c r="V42" s="14">
        <v>0</v>
      </c>
      <c r="W42" s="14">
        <v>0</v>
      </c>
      <c r="X42" s="14">
        <v>0</v>
      </c>
      <c r="Y42" s="14">
        <v>0</v>
      </c>
      <c r="Z42" s="14">
        <v>0</v>
      </c>
      <c r="AA42" s="14">
        <v>0</v>
      </c>
      <c r="AB42" s="14">
        <v>0</v>
      </c>
      <c r="AC42" s="78"/>
      <c r="AG42" s="15"/>
      <c r="AH42" s="15"/>
      <c r="AI42" s="15"/>
      <c r="AJ42" s="15"/>
      <c r="AK42" s="15"/>
      <c r="AL42" s="15"/>
      <c r="AM42" s="15"/>
      <c r="AN42" s="15"/>
      <c r="AO42" s="15"/>
      <c r="AP42" s="15"/>
      <c r="AQ42" s="15"/>
      <c r="AR42" s="15"/>
      <c r="AS42" s="15"/>
      <c r="AT42" s="15"/>
      <c r="AU42" s="15"/>
      <c r="AV42" s="15"/>
      <c r="AW42" s="15"/>
      <c r="AX42" s="15"/>
      <c r="AY42" s="15"/>
      <c r="AZ42" s="15"/>
      <c r="BA42" s="15"/>
      <c r="BB42" s="15"/>
      <c r="BC42" s="15"/>
      <c r="BD42" s="15"/>
    </row>
    <row r="43" spans="2:56" ht="18.649999999999999" customHeight="1" x14ac:dyDescent="0.25">
      <c r="B43" s="70" t="s">
        <v>41</v>
      </c>
      <c r="C43" s="4" t="s">
        <v>29</v>
      </c>
      <c r="D43" s="5">
        <v>21</v>
      </c>
      <c r="E43" s="14">
        <v>6598</v>
      </c>
      <c r="F43" s="14">
        <v>6259</v>
      </c>
      <c r="G43" s="14">
        <v>6074</v>
      </c>
      <c r="H43" s="14">
        <v>6013</v>
      </c>
      <c r="I43" s="14">
        <v>6310</v>
      </c>
      <c r="J43" s="14">
        <v>7274</v>
      </c>
      <c r="K43" s="14">
        <v>7883</v>
      </c>
      <c r="L43" s="14">
        <v>10966</v>
      </c>
      <c r="M43" s="14">
        <v>10786</v>
      </c>
      <c r="N43" s="14">
        <v>10730</v>
      </c>
      <c r="O43" s="14">
        <v>10952</v>
      </c>
      <c r="P43" s="14">
        <v>11492</v>
      </c>
      <c r="Q43" s="14">
        <v>11281</v>
      </c>
      <c r="R43" s="14">
        <v>11327</v>
      </c>
      <c r="S43" s="14">
        <v>11773</v>
      </c>
      <c r="T43" s="14">
        <v>12164</v>
      </c>
      <c r="U43" s="14">
        <v>12340</v>
      </c>
      <c r="V43" s="14">
        <v>5729</v>
      </c>
      <c r="W43" s="14">
        <v>6156</v>
      </c>
      <c r="X43" s="14">
        <v>6216</v>
      </c>
      <c r="Y43" s="14">
        <v>5985</v>
      </c>
      <c r="Z43" s="14">
        <v>5758</v>
      </c>
      <c r="AA43" s="14">
        <v>4745</v>
      </c>
      <c r="AB43" s="14">
        <v>4051</v>
      </c>
      <c r="AC43" s="76">
        <f>+SUM(E43:AB43)*D43+SUM(E44:AB44)*D44+SUM(E45:AB45)*D45+SUM(E46:AB46)*D46</f>
        <v>6068014</v>
      </c>
      <c r="AG43" s="15"/>
      <c r="AH43" s="15"/>
      <c r="AI43" s="15"/>
      <c r="AJ43" s="15"/>
      <c r="AK43" s="15"/>
      <c r="AL43" s="15"/>
      <c r="AM43" s="15"/>
      <c r="AN43" s="15"/>
      <c r="AO43" s="15"/>
      <c r="AP43" s="15"/>
      <c r="AQ43" s="15"/>
      <c r="AR43" s="15"/>
      <c r="AS43" s="15"/>
      <c r="AT43" s="15"/>
      <c r="AU43" s="15"/>
      <c r="AV43" s="15"/>
      <c r="AW43" s="15"/>
      <c r="AX43" s="15"/>
      <c r="AY43" s="15"/>
      <c r="AZ43" s="15"/>
      <c r="BA43" s="15"/>
      <c r="BB43" s="15"/>
      <c r="BC43" s="15"/>
      <c r="BD43" s="15"/>
    </row>
    <row r="44" spans="2:56" ht="18.649999999999999" customHeight="1" x14ac:dyDescent="0.25">
      <c r="B44" s="70" t="s">
        <v>41</v>
      </c>
      <c r="C44" s="4" t="s">
        <v>30</v>
      </c>
      <c r="D44" s="5">
        <v>4</v>
      </c>
      <c r="E44" s="14">
        <v>6725</v>
      </c>
      <c r="F44" s="14">
        <v>6334</v>
      </c>
      <c r="G44" s="14">
        <v>6196</v>
      </c>
      <c r="H44" s="14">
        <v>6060</v>
      </c>
      <c r="I44" s="14">
        <v>5972</v>
      </c>
      <c r="J44" s="14">
        <v>6045</v>
      </c>
      <c r="K44" s="14">
        <v>6331</v>
      </c>
      <c r="L44" s="14">
        <v>10312</v>
      </c>
      <c r="M44" s="14">
        <v>10453</v>
      </c>
      <c r="N44" s="14">
        <v>10624</v>
      </c>
      <c r="O44" s="14">
        <v>10599</v>
      </c>
      <c r="P44" s="14">
        <v>10947</v>
      </c>
      <c r="Q44" s="14">
        <v>11335</v>
      </c>
      <c r="R44" s="14">
        <v>11327</v>
      </c>
      <c r="S44" s="14">
        <v>11859</v>
      </c>
      <c r="T44" s="14">
        <v>12064</v>
      </c>
      <c r="U44" s="14">
        <v>12372</v>
      </c>
      <c r="V44" s="14">
        <v>5504</v>
      </c>
      <c r="W44" s="14">
        <v>6369</v>
      </c>
      <c r="X44" s="14">
        <v>6477</v>
      </c>
      <c r="Y44" s="14">
        <v>6254</v>
      </c>
      <c r="Z44" s="14">
        <v>5825</v>
      </c>
      <c r="AA44" s="14">
        <v>5300</v>
      </c>
      <c r="AB44" s="14">
        <v>4637</v>
      </c>
      <c r="AC44" s="77"/>
      <c r="AG44" s="15"/>
      <c r="AH44" s="15"/>
      <c r="AI44" s="15"/>
      <c r="AJ44" s="15"/>
      <c r="AK44" s="15"/>
      <c r="AL44" s="15"/>
      <c r="AM44" s="15"/>
      <c r="AN44" s="15"/>
      <c r="AO44" s="15"/>
      <c r="AP44" s="15"/>
      <c r="AQ44" s="15"/>
      <c r="AR44" s="15"/>
      <c r="AS44" s="15"/>
      <c r="AT44" s="15"/>
      <c r="AU44" s="15"/>
      <c r="AV44" s="15"/>
      <c r="AW44" s="15"/>
      <c r="AX44" s="15"/>
      <c r="AY44" s="15"/>
      <c r="AZ44" s="15"/>
      <c r="BA44" s="15"/>
      <c r="BB44" s="15"/>
      <c r="BC44" s="15"/>
      <c r="BD44" s="15"/>
    </row>
    <row r="45" spans="2:56" ht="18.649999999999999" customHeight="1" x14ac:dyDescent="0.25">
      <c r="B45" s="70" t="s">
        <v>41</v>
      </c>
      <c r="C45" s="4" t="s">
        <v>31</v>
      </c>
      <c r="D45" s="5">
        <v>5</v>
      </c>
      <c r="E45" s="14">
        <v>6854</v>
      </c>
      <c r="F45" s="14">
        <v>6294</v>
      </c>
      <c r="G45" s="14">
        <v>6007</v>
      </c>
      <c r="H45" s="14">
        <v>5951</v>
      </c>
      <c r="I45" s="14">
        <v>6130</v>
      </c>
      <c r="J45" s="14">
        <v>5802</v>
      </c>
      <c r="K45" s="14">
        <v>5500</v>
      </c>
      <c r="L45" s="14">
        <v>8692</v>
      </c>
      <c r="M45" s="14">
        <v>9189</v>
      </c>
      <c r="N45" s="14">
        <v>9422</v>
      </c>
      <c r="O45" s="14">
        <v>10315</v>
      </c>
      <c r="P45" s="14">
        <v>10828</v>
      </c>
      <c r="Q45" s="14">
        <v>11105</v>
      </c>
      <c r="R45" s="14">
        <v>11209</v>
      </c>
      <c r="S45" s="14">
        <v>10831</v>
      </c>
      <c r="T45" s="14">
        <v>11311</v>
      </c>
      <c r="U45" s="14">
        <v>11530</v>
      </c>
      <c r="V45" s="14">
        <v>5585</v>
      </c>
      <c r="W45" s="14">
        <v>6315</v>
      </c>
      <c r="X45" s="14">
        <v>6275</v>
      </c>
      <c r="Y45" s="14">
        <v>5943</v>
      </c>
      <c r="Z45" s="14">
        <v>5362</v>
      </c>
      <c r="AA45" s="14">
        <v>4671</v>
      </c>
      <c r="AB45" s="14">
        <v>4213</v>
      </c>
      <c r="AC45" s="77"/>
      <c r="AG45" s="15"/>
      <c r="AH45" s="15"/>
      <c r="AI45" s="15"/>
      <c r="AJ45" s="15"/>
      <c r="AK45" s="15"/>
      <c r="AL45" s="15"/>
      <c r="AM45" s="15"/>
      <c r="AN45" s="15"/>
      <c r="AO45" s="15"/>
      <c r="AP45" s="15"/>
      <c r="AQ45" s="15"/>
      <c r="AR45" s="15"/>
      <c r="AS45" s="15"/>
      <c r="AT45" s="15"/>
      <c r="AU45" s="15"/>
      <c r="AV45" s="15"/>
      <c r="AW45" s="15"/>
      <c r="AX45" s="15"/>
      <c r="AY45" s="15"/>
      <c r="AZ45" s="15"/>
      <c r="BA45" s="15"/>
      <c r="BB45" s="15"/>
      <c r="BC45" s="15"/>
      <c r="BD45" s="15"/>
    </row>
    <row r="46" spans="2:56" ht="18.649999999999999" customHeight="1" x14ac:dyDescent="0.25">
      <c r="B46" s="70" t="s">
        <v>41</v>
      </c>
      <c r="C46" s="4" t="s">
        <v>32</v>
      </c>
      <c r="D46" s="5">
        <v>1</v>
      </c>
      <c r="E46" s="14">
        <v>5955</v>
      </c>
      <c r="F46" s="14">
        <v>5772</v>
      </c>
      <c r="G46" s="14">
        <v>5608</v>
      </c>
      <c r="H46" s="14">
        <v>5710</v>
      </c>
      <c r="I46" s="14">
        <v>5902</v>
      </c>
      <c r="J46" s="14">
        <v>5707</v>
      </c>
      <c r="K46" s="14">
        <v>5457</v>
      </c>
      <c r="L46" s="14">
        <v>8933</v>
      </c>
      <c r="M46" s="14">
        <v>9131</v>
      </c>
      <c r="N46" s="14">
        <v>9833</v>
      </c>
      <c r="O46" s="14">
        <v>10128</v>
      </c>
      <c r="P46" s="14">
        <v>10119</v>
      </c>
      <c r="Q46" s="14">
        <v>10820</v>
      </c>
      <c r="R46" s="14">
        <v>10874</v>
      </c>
      <c r="S46" s="14">
        <v>11341</v>
      </c>
      <c r="T46" s="14">
        <v>11056</v>
      </c>
      <c r="U46" s="14">
        <v>11599</v>
      </c>
      <c r="V46" s="14">
        <v>5366</v>
      </c>
      <c r="W46" s="14">
        <v>6496</v>
      </c>
      <c r="X46" s="14">
        <v>5784</v>
      </c>
      <c r="Y46" s="14">
        <v>5972</v>
      </c>
      <c r="Z46" s="14">
        <v>5601</v>
      </c>
      <c r="AA46" s="14">
        <v>4618</v>
      </c>
      <c r="AB46" s="14">
        <v>3776</v>
      </c>
      <c r="AC46" s="78"/>
      <c r="AG46" s="15"/>
      <c r="AH46" s="15"/>
      <c r="AI46" s="15"/>
      <c r="AJ46" s="15"/>
      <c r="AK46" s="15"/>
      <c r="AL46" s="15"/>
      <c r="AM46" s="15"/>
      <c r="AN46" s="15"/>
      <c r="AO46" s="15"/>
      <c r="AP46" s="15"/>
      <c r="AQ46" s="15"/>
      <c r="AR46" s="15"/>
      <c r="AS46" s="15"/>
      <c r="AT46" s="15"/>
      <c r="AU46" s="15"/>
      <c r="AV46" s="15"/>
      <c r="AW46" s="15"/>
      <c r="AX46" s="15"/>
      <c r="AY46" s="15"/>
      <c r="AZ46" s="15"/>
      <c r="BA46" s="15"/>
      <c r="BB46" s="15"/>
      <c r="BC46" s="15"/>
      <c r="BD46" s="15"/>
    </row>
    <row r="47" spans="2:56" ht="18.649999999999999" customHeight="1" x14ac:dyDescent="0.25">
      <c r="B47" s="70" t="s">
        <v>42</v>
      </c>
      <c r="C47" s="4" t="s">
        <v>29</v>
      </c>
      <c r="D47" s="5">
        <v>20</v>
      </c>
      <c r="E47" s="14">
        <v>6143</v>
      </c>
      <c r="F47" s="14">
        <v>5869</v>
      </c>
      <c r="G47" s="14">
        <v>6039</v>
      </c>
      <c r="H47" s="14">
        <v>5958</v>
      </c>
      <c r="I47" s="14">
        <v>6418</v>
      </c>
      <c r="J47" s="14">
        <v>7592</v>
      </c>
      <c r="K47" s="14">
        <v>8604</v>
      </c>
      <c r="L47" s="14">
        <v>11513</v>
      </c>
      <c r="M47" s="14">
        <v>11244</v>
      </c>
      <c r="N47" s="14">
        <v>10916</v>
      </c>
      <c r="O47" s="14">
        <v>11491</v>
      </c>
      <c r="P47" s="14">
        <v>11829</v>
      </c>
      <c r="Q47" s="14">
        <v>11445</v>
      </c>
      <c r="R47" s="14">
        <v>11518</v>
      </c>
      <c r="S47" s="14">
        <v>12029</v>
      </c>
      <c r="T47" s="14">
        <v>12524</v>
      </c>
      <c r="U47" s="14">
        <v>12552</v>
      </c>
      <c r="V47" s="14">
        <v>5984</v>
      </c>
      <c r="W47" s="14">
        <v>6337</v>
      </c>
      <c r="X47" s="14">
        <v>5965</v>
      </c>
      <c r="Y47" s="14">
        <v>5847</v>
      </c>
      <c r="Z47" s="14">
        <v>5362</v>
      </c>
      <c r="AA47" s="14">
        <v>4349</v>
      </c>
      <c r="AB47" s="14">
        <v>3846</v>
      </c>
      <c r="AC47" s="76">
        <f>+SUM(E47:AB47)*D47+SUM(E48:AB48)*D48+SUM(E49:AB49)*D49+SUM(E50:AB50)*D50</f>
        <v>5937618</v>
      </c>
      <c r="AG47" s="15"/>
      <c r="AH47" s="15"/>
      <c r="AI47" s="15"/>
      <c r="AJ47" s="15"/>
      <c r="AK47" s="15"/>
      <c r="AL47" s="15"/>
      <c r="AM47" s="15"/>
      <c r="AN47" s="15"/>
      <c r="AO47" s="15"/>
      <c r="AP47" s="15"/>
      <c r="AQ47" s="15"/>
      <c r="AR47" s="15"/>
      <c r="AS47" s="15"/>
      <c r="AT47" s="15"/>
      <c r="AU47" s="15"/>
      <c r="AV47" s="15"/>
      <c r="AW47" s="15"/>
      <c r="AX47" s="15"/>
      <c r="AY47" s="15"/>
      <c r="AZ47" s="15"/>
      <c r="BA47" s="15"/>
      <c r="BB47" s="15"/>
      <c r="BC47" s="15"/>
      <c r="BD47" s="15"/>
    </row>
    <row r="48" spans="2:56" ht="18.649999999999999" customHeight="1" x14ac:dyDescent="0.25">
      <c r="B48" s="70" t="s">
        <v>42</v>
      </c>
      <c r="C48" s="4" t="s">
        <v>30</v>
      </c>
      <c r="D48" s="5">
        <v>4</v>
      </c>
      <c r="E48" s="14">
        <v>6735</v>
      </c>
      <c r="F48" s="14">
        <v>6469</v>
      </c>
      <c r="G48" s="14">
        <v>6105</v>
      </c>
      <c r="H48" s="14">
        <v>6173</v>
      </c>
      <c r="I48" s="14">
        <v>6175</v>
      </c>
      <c r="J48" s="14">
        <v>6263</v>
      </c>
      <c r="K48" s="14">
        <v>7162</v>
      </c>
      <c r="L48" s="14">
        <v>10948</v>
      </c>
      <c r="M48" s="14">
        <v>11105</v>
      </c>
      <c r="N48" s="14">
        <v>11000</v>
      </c>
      <c r="O48" s="14">
        <v>11218</v>
      </c>
      <c r="P48" s="14">
        <v>11554</v>
      </c>
      <c r="Q48" s="14">
        <v>11341</v>
      </c>
      <c r="R48" s="14">
        <v>11425</v>
      </c>
      <c r="S48" s="14">
        <v>11612</v>
      </c>
      <c r="T48" s="14">
        <v>11779</v>
      </c>
      <c r="U48" s="14">
        <v>12174</v>
      </c>
      <c r="V48" s="14">
        <v>6028</v>
      </c>
      <c r="W48" s="14">
        <v>6287</v>
      </c>
      <c r="X48" s="14">
        <v>6364</v>
      </c>
      <c r="Y48" s="14">
        <v>6021</v>
      </c>
      <c r="Z48" s="14">
        <v>5330</v>
      </c>
      <c r="AA48" s="14">
        <v>4887</v>
      </c>
      <c r="AB48" s="14">
        <v>4294</v>
      </c>
      <c r="AC48" s="77"/>
      <c r="AG48" s="15"/>
      <c r="AH48" s="15"/>
      <c r="AI48" s="15"/>
      <c r="AJ48" s="15"/>
      <c r="AK48" s="15"/>
      <c r="AL48" s="15"/>
      <c r="AM48" s="15"/>
      <c r="AN48" s="15"/>
      <c r="AO48" s="15"/>
      <c r="AP48" s="15"/>
      <c r="AQ48" s="15"/>
      <c r="AR48" s="15"/>
      <c r="AS48" s="15"/>
      <c r="AT48" s="15"/>
      <c r="AU48" s="15"/>
      <c r="AV48" s="15"/>
      <c r="AW48" s="15"/>
      <c r="AX48" s="15"/>
      <c r="AY48" s="15"/>
      <c r="AZ48" s="15"/>
      <c r="BA48" s="15"/>
      <c r="BB48" s="15"/>
      <c r="BC48" s="15"/>
      <c r="BD48" s="15"/>
    </row>
    <row r="49" spans="2:56" ht="18.649999999999999" customHeight="1" x14ac:dyDescent="0.25">
      <c r="B49" s="70" t="s">
        <v>42</v>
      </c>
      <c r="C49" s="4" t="s">
        <v>31</v>
      </c>
      <c r="D49" s="5">
        <v>4</v>
      </c>
      <c r="E49" s="14">
        <v>7029</v>
      </c>
      <c r="F49" s="14">
        <v>6717</v>
      </c>
      <c r="G49" s="14">
        <v>6358</v>
      </c>
      <c r="H49" s="14">
        <v>6382</v>
      </c>
      <c r="I49" s="14">
        <v>6136</v>
      </c>
      <c r="J49" s="14">
        <v>6203</v>
      </c>
      <c r="K49" s="14">
        <v>5966</v>
      </c>
      <c r="L49" s="14">
        <v>9347</v>
      </c>
      <c r="M49" s="14">
        <v>10074</v>
      </c>
      <c r="N49" s="14">
        <v>10207</v>
      </c>
      <c r="O49" s="14">
        <v>10315</v>
      </c>
      <c r="P49" s="14">
        <v>10694</v>
      </c>
      <c r="Q49" s="14">
        <v>10991</v>
      </c>
      <c r="R49" s="14">
        <v>10827</v>
      </c>
      <c r="S49" s="14">
        <v>11053</v>
      </c>
      <c r="T49" s="14">
        <v>11126</v>
      </c>
      <c r="U49" s="14">
        <v>12102</v>
      </c>
      <c r="V49" s="14">
        <v>5582</v>
      </c>
      <c r="W49" s="14">
        <v>6081</v>
      </c>
      <c r="X49" s="14">
        <v>6100</v>
      </c>
      <c r="Y49" s="14">
        <v>5615</v>
      </c>
      <c r="Z49" s="14">
        <v>5160</v>
      </c>
      <c r="AA49" s="14">
        <v>4003</v>
      </c>
      <c r="AB49" s="14">
        <v>3733</v>
      </c>
      <c r="AC49" s="77"/>
      <c r="AG49" s="15"/>
      <c r="AH49" s="15"/>
      <c r="AI49" s="15"/>
      <c r="AJ49" s="15"/>
      <c r="AK49" s="15"/>
      <c r="AL49" s="15"/>
      <c r="AM49" s="15"/>
      <c r="AN49" s="15"/>
      <c r="AO49" s="15"/>
      <c r="AP49" s="15"/>
      <c r="AQ49" s="15"/>
      <c r="AR49" s="15"/>
      <c r="AS49" s="15"/>
      <c r="AT49" s="15"/>
      <c r="AU49" s="15"/>
      <c r="AV49" s="15"/>
      <c r="AW49" s="15"/>
      <c r="AX49" s="15"/>
      <c r="AY49" s="15"/>
      <c r="AZ49" s="15"/>
      <c r="BA49" s="15"/>
      <c r="BB49" s="15"/>
      <c r="BC49" s="15"/>
      <c r="BD49" s="15"/>
    </row>
    <row r="50" spans="2:56" ht="18.649999999999999" customHeight="1" x14ac:dyDescent="0.25">
      <c r="B50" s="70" t="s">
        <v>42</v>
      </c>
      <c r="C50" s="4" t="s">
        <v>32</v>
      </c>
      <c r="D50" s="5">
        <v>2</v>
      </c>
      <c r="E50" s="14">
        <v>6601</v>
      </c>
      <c r="F50" s="14">
        <v>6338</v>
      </c>
      <c r="G50" s="14">
        <v>6232</v>
      </c>
      <c r="H50" s="14">
        <v>5904</v>
      </c>
      <c r="I50" s="14">
        <v>5932</v>
      </c>
      <c r="J50" s="14">
        <v>6020</v>
      </c>
      <c r="K50" s="14">
        <v>5942</v>
      </c>
      <c r="L50" s="14">
        <v>9100</v>
      </c>
      <c r="M50" s="14">
        <v>9468</v>
      </c>
      <c r="N50" s="14">
        <v>9431</v>
      </c>
      <c r="O50" s="14">
        <v>9984</v>
      </c>
      <c r="P50" s="14">
        <v>10394</v>
      </c>
      <c r="Q50" s="14">
        <v>10401</v>
      </c>
      <c r="R50" s="14">
        <v>10567</v>
      </c>
      <c r="S50" s="14">
        <v>10916</v>
      </c>
      <c r="T50" s="14">
        <v>11294</v>
      </c>
      <c r="U50" s="14">
        <v>12347</v>
      </c>
      <c r="V50" s="14">
        <v>6003</v>
      </c>
      <c r="W50" s="14">
        <v>6157</v>
      </c>
      <c r="X50" s="14">
        <v>6005</v>
      </c>
      <c r="Y50" s="14">
        <v>5484</v>
      </c>
      <c r="Z50" s="14">
        <v>4793</v>
      </c>
      <c r="AA50" s="14">
        <v>3617</v>
      </c>
      <c r="AB50" s="14">
        <v>3639</v>
      </c>
      <c r="AC50" s="78"/>
      <c r="AG50" s="15"/>
      <c r="AH50" s="15"/>
      <c r="AI50" s="15"/>
      <c r="AJ50" s="15"/>
      <c r="AK50" s="15"/>
      <c r="AL50" s="15"/>
      <c r="AM50" s="15"/>
      <c r="AN50" s="15"/>
      <c r="AO50" s="15"/>
      <c r="AP50" s="15"/>
      <c r="AQ50" s="15"/>
      <c r="AR50" s="15"/>
      <c r="AS50" s="15"/>
      <c r="AT50" s="15"/>
      <c r="AU50" s="15"/>
      <c r="AV50" s="15"/>
      <c r="AW50" s="15"/>
      <c r="AX50" s="15"/>
      <c r="AY50" s="15"/>
      <c r="AZ50" s="15"/>
      <c r="BA50" s="15"/>
      <c r="BB50" s="15"/>
      <c r="BC50" s="15"/>
      <c r="BD50" s="15"/>
    </row>
    <row r="51" spans="2:56" ht="18.649999999999999" customHeight="1" x14ac:dyDescent="0.25">
      <c r="B51" s="70" t="s">
        <v>43</v>
      </c>
      <c r="C51" s="4" t="s">
        <v>29</v>
      </c>
      <c r="D51" s="5">
        <v>19</v>
      </c>
      <c r="E51" s="14">
        <v>7031</v>
      </c>
      <c r="F51" s="14">
        <v>6634</v>
      </c>
      <c r="G51" s="14">
        <v>6455</v>
      </c>
      <c r="H51" s="14">
        <v>6365</v>
      </c>
      <c r="I51" s="14">
        <v>6608</v>
      </c>
      <c r="J51" s="14">
        <v>7311</v>
      </c>
      <c r="K51" s="14">
        <v>7797</v>
      </c>
      <c r="L51" s="14">
        <v>11434</v>
      </c>
      <c r="M51" s="14">
        <v>11572</v>
      </c>
      <c r="N51" s="14">
        <v>11390</v>
      </c>
      <c r="O51" s="14">
        <v>11503</v>
      </c>
      <c r="P51" s="14">
        <v>12135</v>
      </c>
      <c r="Q51" s="14">
        <v>11868</v>
      </c>
      <c r="R51" s="14">
        <v>11301</v>
      </c>
      <c r="S51" s="14">
        <v>12275</v>
      </c>
      <c r="T51" s="14">
        <v>12694</v>
      </c>
      <c r="U51" s="14">
        <v>12906</v>
      </c>
      <c r="V51" s="14">
        <v>5993</v>
      </c>
      <c r="W51" s="14">
        <v>6890</v>
      </c>
      <c r="X51" s="14">
        <v>6670</v>
      </c>
      <c r="Y51" s="14">
        <v>6270</v>
      </c>
      <c r="Z51" s="14">
        <v>5794</v>
      </c>
      <c r="AA51" s="14">
        <v>4945</v>
      </c>
      <c r="AB51" s="14">
        <v>4648</v>
      </c>
      <c r="AC51" s="76">
        <f>+SUM(E51:AB51)*D51+SUM(E52:AB52)*D52+SUM(E53:AB53)*D53+SUM(E54:AB54)*D54</f>
        <v>6251095</v>
      </c>
      <c r="AG51" s="15"/>
      <c r="AH51" s="15"/>
      <c r="AI51" s="15"/>
      <c r="AJ51" s="15"/>
      <c r="AK51" s="15"/>
      <c r="AL51" s="15"/>
      <c r="AM51" s="15"/>
      <c r="AN51" s="15"/>
      <c r="AO51" s="15"/>
      <c r="AP51" s="15"/>
      <c r="AQ51" s="15"/>
      <c r="AR51" s="15"/>
      <c r="AS51" s="15"/>
      <c r="AT51" s="15"/>
      <c r="AU51" s="15"/>
      <c r="AV51" s="15"/>
      <c r="AW51" s="15"/>
      <c r="AX51" s="15"/>
      <c r="AY51" s="15"/>
      <c r="AZ51" s="15"/>
      <c r="BA51" s="15"/>
      <c r="BB51" s="15"/>
      <c r="BC51" s="15"/>
      <c r="BD51" s="15"/>
    </row>
    <row r="52" spans="2:56" ht="18.649999999999999" customHeight="1" x14ac:dyDescent="0.25">
      <c r="B52" s="70" t="s">
        <v>43</v>
      </c>
      <c r="C52" s="4" t="s">
        <v>30</v>
      </c>
      <c r="D52" s="5">
        <v>5</v>
      </c>
      <c r="E52" s="14">
        <v>7069</v>
      </c>
      <c r="F52" s="14">
        <v>6837</v>
      </c>
      <c r="G52" s="14">
        <v>6605</v>
      </c>
      <c r="H52" s="14">
        <v>6277</v>
      </c>
      <c r="I52" s="14">
        <v>6460</v>
      </c>
      <c r="J52" s="14">
        <v>6416</v>
      </c>
      <c r="K52" s="14">
        <v>6540</v>
      </c>
      <c r="L52" s="14">
        <v>10616</v>
      </c>
      <c r="M52" s="14">
        <v>11136</v>
      </c>
      <c r="N52" s="14">
        <v>11211</v>
      </c>
      <c r="O52" s="14">
        <v>11219</v>
      </c>
      <c r="P52" s="14">
        <v>11406</v>
      </c>
      <c r="Q52" s="14">
        <v>11618</v>
      </c>
      <c r="R52" s="14">
        <v>11510</v>
      </c>
      <c r="S52" s="14">
        <v>11657</v>
      </c>
      <c r="T52" s="14">
        <v>11477</v>
      </c>
      <c r="U52" s="14">
        <v>11941</v>
      </c>
      <c r="V52" s="14">
        <v>5001</v>
      </c>
      <c r="W52" s="14">
        <v>6329</v>
      </c>
      <c r="X52" s="14">
        <v>6541</v>
      </c>
      <c r="Y52" s="14">
        <v>6295</v>
      </c>
      <c r="Z52" s="14">
        <v>5904</v>
      </c>
      <c r="AA52" s="14">
        <v>5291</v>
      </c>
      <c r="AB52" s="14">
        <v>4923</v>
      </c>
      <c r="AC52" s="77"/>
      <c r="AG52" s="15"/>
      <c r="AH52" s="15"/>
      <c r="AI52" s="15"/>
      <c r="AJ52" s="15"/>
      <c r="AK52" s="15"/>
      <c r="AL52" s="15"/>
      <c r="AM52" s="15"/>
      <c r="AN52" s="15"/>
      <c r="AO52" s="15"/>
      <c r="AP52" s="15"/>
      <c r="AQ52" s="15"/>
      <c r="AR52" s="15"/>
      <c r="AS52" s="15"/>
      <c r="AT52" s="15"/>
      <c r="AU52" s="15"/>
      <c r="AV52" s="15"/>
      <c r="AW52" s="15"/>
      <c r="AX52" s="15"/>
      <c r="AY52" s="15"/>
      <c r="AZ52" s="15"/>
      <c r="BA52" s="15"/>
      <c r="BB52" s="15"/>
      <c r="BC52" s="15"/>
      <c r="BD52" s="15"/>
    </row>
    <row r="53" spans="2:56" ht="18.649999999999999" customHeight="1" x14ac:dyDescent="0.25">
      <c r="B53" s="70" t="s">
        <v>43</v>
      </c>
      <c r="C53" s="4" t="s">
        <v>31</v>
      </c>
      <c r="D53" s="5">
        <v>5</v>
      </c>
      <c r="E53" s="14">
        <v>7570</v>
      </c>
      <c r="F53" s="14">
        <v>7123</v>
      </c>
      <c r="G53" s="14">
        <v>6687</v>
      </c>
      <c r="H53" s="14">
        <v>6600</v>
      </c>
      <c r="I53" s="14">
        <v>6257</v>
      </c>
      <c r="J53" s="14">
        <v>6093</v>
      </c>
      <c r="K53" s="14">
        <v>5466</v>
      </c>
      <c r="L53" s="14">
        <v>9419</v>
      </c>
      <c r="M53" s="14">
        <v>10103</v>
      </c>
      <c r="N53" s="14">
        <v>9941</v>
      </c>
      <c r="O53" s="14">
        <v>10327</v>
      </c>
      <c r="P53" s="14">
        <v>10929</v>
      </c>
      <c r="Q53" s="14">
        <v>11623</v>
      </c>
      <c r="R53" s="14">
        <v>11309</v>
      </c>
      <c r="S53" s="14">
        <v>10491</v>
      </c>
      <c r="T53" s="14">
        <v>11235</v>
      </c>
      <c r="U53" s="14">
        <v>11494</v>
      </c>
      <c r="V53" s="14">
        <v>5123</v>
      </c>
      <c r="W53" s="14">
        <v>5423</v>
      </c>
      <c r="X53" s="14">
        <v>5543</v>
      </c>
      <c r="Y53" s="14">
        <v>5659</v>
      </c>
      <c r="Z53" s="14">
        <v>5768</v>
      </c>
      <c r="AA53" s="14">
        <v>4604</v>
      </c>
      <c r="AB53" s="14">
        <v>4140</v>
      </c>
      <c r="AC53" s="77"/>
      <c r="AG53" s="15"/>
      <c r="AH53" s="15"/>
      <c r="AI53" s="15"/>
      <c r="AJ53" s="15"/>
      <c r="AK53" s="15"/>
      <c r="AL53" s="15"/>
      <c r="AM53" s="15"/>
      <c r="AN53" s="15"/>
      <c r="AO53" s="15"/>
      <c r="AP53" s="15"/>
      <c r="AQ53" s="15"/>
      <c r="AR53" s="15"/>
      <c r="AS53" s="15"/>
      <c r="AT53" s="15"/>
      <c r="AU53" s="15"/>
      <c r="AV53" s="15"/>
      <c r="AW53" s="15"/>
      <c r="AX53" s="15"/>
      <c r="AY53" s="15"/>
      <c r="AZ53" s="15"/>
      <c r="BA53" s="15"/>
      <c r="BB53" s="15"/>
      <c r="BC53" s="15"/>
      <c r="BD53" s="15"/>
    </row>
    <row r="54" spans="2:56" ht="18.649999999999999" customHeight="1" x14ac:dyDescent="0.25">
      <c r="B54" s="70" t="s">
        <v>43</v>
      </c>
      <c r="C54" s="4" t="s">
        <v>32</v>
      </c>
      <c r="D54" s="5">
        <v>2</v>
      </c>
      <c r="E54" s="14">
        <v>7142</v>
      </c>
      <c r="F54" s="14">
        <v>6813</v>
      </c>
      <c r="G54" s="14">
        <v>6460</v>
      </c>
      <c r="H54" s="14">
        <v>6382</v>
      </c>
      <c r="I54" s="14">
        <v>6047</v>
      </c>
      <c r="J54" s="14">
        <v>5841</v>
      </c>
      <c r="K54" s="14">
        <v>5580</v>
      </c>
      <c r="L54" s="14">
        <v>8187</v>
      </c>
      <c r="M54" s="14">
        <v>8054</v>
      </c>
      <c r="N54" s="14">
        <v>8116</v>
      </c>
      <c r="O54" s="14">
        <v>8972</v>
      </c>
      <c r="P54" s="14">
        <v>9511</v>
      </c>
      <c r="Q54" s="14">
        <v>10045</v>
      </c>
      <c r="R54" s="14">
        <v>10340</v>
      </c>
      <c r="S54" s="14">
        <v>10146</v>
      </c>
      <c r="T54" s="14">
        <v>10635</v>
      </c>
      <c r="U54" s="14">
        <v>10974</v>
      </c>
      <c r="V54" s="14">
        <v>4943</v>
      </c>
      <c r="W54" s="14">
        <v>5174</v>
      </c>
      <c r="X54" s="14">
        <v>5511</v>
      </c>
      <c r="Y54" s="14">
        <v>5093</v>
      </c>
      <c r="Z54" s="14">
        <v>4812</v>
      </c>
      <c r="AA54" s="14">
        <v>3869</v>
      </c>
      <c r="AB54" s="14">
        <v>3240</v>
      </c>
      <c r="AC54" s="78"/>
      <c r="AG54" s="15"/>
      <c r="AH54" s="15"/>
      <c r="AI54" s="15"/>
      <c r="AJ54" s="15"/>
      <c r="AK54" s="15"/>
      <c r="AL54" s="15"/>
      <c r="AM54" s="15"/>
      <c r="AN54" s="15"/>
      <c r="AO54" s="15"/>
      <c r="AP54" s="15"/>
      <c r="AQ54" s="15"/>
      <c r="AR54" s="15"/>
      <c r="AS54" s="15"/>
      <c r="AT54" s="15"/>
      <c r="AU54" s="15"/>
      <c r="AV54" s="15"/>
      <c r="AW54" s="15"/>
      <c r="AX54" s="15"/>
      <c r="AY54" s="15"/>
      <c r="AZ54" s="15"/>
      <c r="BA54" s="15"/>
      <c r="BB54" s="15"/>
      <c r="BC54" s="15"/>
      <c r="BD54" s="15"/>
    </row>
    <row r="55" spans="2:56" ht="18.649999999999999" customHeight="1" x14ac:dyDescent="0.25">
      <c r="E55" s="12"/>
      <c r="F55" s="12"/>
      <c r="G55" s="12"/>
      <c r="H55" s="12"/>
      <c r="I55" s="12"/>
      <c r="J55" s="12"/>
      <c r="K55" s="12"/>
      <c r="L55" s="12"/>
      <c r="M55" s="12"/>
      <c r="N55" s="12"/>
      <c r="O55" s="12"/>
      <c r="P55" s="12"/>
      <c r="Q55" s="12"/>
      <c r="R55" s="12"/>
      <c r="S55" s="12"/>
      <c r="T55" s="12"/>
      <c r="U55" s="12"/>
      <c r="V55" s="12"/>
      <c r="W55" s="12"/>
      <c r="X55" s="12"/>
      <c r="Y55" s="12"/>
      <c r="Z55" s="80" t="s">
        <v>46</v>
      </c>
      <c r="AA55" s="80"/>
      <c r="AB55" s="80"/>
      <c r="AC55" s="21">
        <f>SUM(AC7:AC54)</f>
        <v>72603770</v>
      </c>
    </row>
    <row r="56" spans="2:56" x14ac:dyDescent="0.25">
      <c r="AC56" s="10"/>
    </row>
    <row r="61" spans="2:56" x14ac:dyDescent="0.25">
      <c r="G61" s="7">
        <v>1000</v>
      </c>
    </row>
  </sheetData>
  <mergeCells count="28">
    <mergeCell ref="B51:B54"/>
    <mergeCell ref="AC51:AC54"/>
    <mergeCell ref="Z55:AB55"/>
    <mergeCell ref="B39:B42"/>
    <mergeCell ref="AC39:AC42"/>
    <mergeCell ref="B43:B46"/>
    <mergeCell ref="AC43:AC46"/>
    <mergeCell ref="B47:B50"/>
    <mergeCell ref="AC47:AC50"/>
    <mergeCell ref="B27:B30"/>
    <mergeCell ref="AC27:AC30"/>
    <mergeCell ref="B31:B34"/>
    <mergeCell ref="AC31:AC34"/>
    <mergeCell ref="B35:B38"/>
    <mergeCell ref="AC35:AC38"/>
    <mergeCell ref="B15:B18"/>
    <mergeCell ref="AC15:AC18"/>
    <mergeCell ref="B19:B22"/>
    <mergeCell ref="AC19:AC22"/>
    <mergeCell ref="B23:B26"/>
    <mergeCell ref="AC23:AC26"/>
    <mergeCell ref="B11:B14"/>
    <mergeCell ref="AC11:AC14"/>
    <mergeCell ref="B2:AC2"/>
    <mergeCell ref="B3:AC3"/>
    <mergeCell ref="B4:AC4"/>
    <mergeCell ref="B7:B10"/>
    <mergeCell ref="AC7:AC10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D0A76D-5B63-4C5A-88E3-208EAE805E69}">
  <dimension ref="B1:BD61"/>
  <sheetViews>
    <sheetView showGridLines="0" topLeftCell="J17" zoomScale="70" zoomScaleNormal="70" workbookViewId="0">
      <selection activeCell="A5" sqref="A5:AD56"/>
    </sheetView>
  </sheetViews>
  <sheetFormatPr baseColWidth="10" defaultColWidth="11.453125" defaultRowHeight="11.5" x14ac:dyDescent="0.25"/>
  <cols>
    <col min="1" max="1" width="6.54296875" style="7" customWidth="1"/>
    <col min="2" max="2" width="6.26953125" style="7" bestFit="1" customWidth="1"/>
    <col min="3" max="3" width="10.1796875" style="7" bestFit="1" customWidth="1"/>
    <col min="4" max="4" width="6" style="7" bestFit="1" customWidth="1"/>
    <col min="5" max="11" width="9.7265625" style="7" bestFit="1" customWidth="1"/>
    <col min="12" max="14" width="9.81640625" style="7" bestFit="1" customWidth="1"/>
    <col min="15" max="16" width="10" style="7" bestFit="1" customWidth="1"/>
    <col min="17" max="17" width="9.81640625" style="7" bestFit="1" customWidth="1"/>
    <col min="18" max="18" width="10" style="7" bestFit="1" customWidth="1"/>
    <col min="19" max="21" width="10.1796875" style="7" bestFit="1" customWidth="1"/>
    <col min="22" max="22" width="9.81640625" style="7" bestFit="1" customWidth="1"/>
    <col min="23" max="25" width="10.1796875" style="7" bestFit="1" customWidth="1"/>
    <col min="26" max="26" width="9.81640625" style="7" bestFit="1" customWidth="1"/>
    <col min="27" max="27" width="10" style="7" bestFit="1" customWidth="1"/>
    <col min="28" max="28" width="10.1796875" style="7" bestFit="1" customWidth="1"/>
    <col min="29" max="29" width="18.1796875" style="7" customWidth="1"/>
    <col min="30" max="30" width="2.81640625" style="7" customWidth="1"/>
    <col min="31" max="31" width="20.1796875" style="7" customWidth="1"/>
    <col min="32" max="257" width="11.453125" style="7"/>
    <col min="258" max="258" width="7" style="7" customWidth="1"/>
    <col min="259" max="259" width="10.7265625" style="7" customWidth="1"/>
    <col min="260" max="260" width="9.26953125" style="7" customWidth="1"/>
    <col min="261" max="284" width="7.26953125" style="7" customWidth="1"/>
    <col min="285" max="285" width="11.26953125" style="7" bestFit="1" customWidth="1"/>
    <col min="286" max="513" width="11.453125" style="7"/>
    <col min="514" max="514" width="7" style="7" customWidth="1"/>
    <col min="515" max="515" width="10.7265625" style="7" customWidth="1"/>
    <col min="516" max="516" width="9.26953125" style="7" customWidth="1"/>
    <col min="517" max="540" width="7.26953125" style="7" customWidth="1"/>
    <col min="541" max="541" width="11.26953125" style="7" bestFit="1" customWidth="1"/>
    <col min="542" max="769" width="11.453125" style="7"/>
    <col min="770" max="770" width="7" style="7" customWidth="1"/>
    <col min="771" max="771" width="10.7265625" style="7" customWidth="1"/>
    <col min="772" max="772" width="9.26953125" style="7" customWidth="1"/>
    <col min="773" max="796" width="7.26953125" style="7" customWidth="1"/>
    <col min="797" max="797" width="11.26953125" style="7" bestFit="1" customWidth="1"/>
    <col min="798" max="1025" width="11.453125" style="7"/>
    <col min="1026" max="1026" width="7" style="7" customWidth="1"/>
    <col min="1027" max="1027" width="10.7265625" style="7" customWidth="1"/>
    <col min="1028" max="1028" width="9.26953125" style="7" customWidth="1"/>
    <col min="1029" max="1052" width="7.26953125" style="7" customWidth="1"/>
    <col min="1053" max="1053" width="11.26953125" style="7" bestFit="1" customWidth="1"/>
    <col min="1054" max="1281" width="11.453125" style="7"/>
    <col min="1282" max="1282" width="7" style="7" customWidth="1"/>
    <col min="1283" max="1283" width="10.7265625" style="7" customWidth="1"/>
    <col min="1284" max="1284" width="9.26953125" style="7" customWidth="1"/>
    <col min="1285" max="1308" width="7.26953125" style="7" customWidth="1"/>
    <col min="1309" max="1309" width="11.26953125" style="7" bestFit="1" customWidth="1"/>
    <col min="1310" max="1537" width="11.453125" style="7"/>
    <col min="1538" max="1538" width="7" style="7" customWidth="1"/>
    <col min="1539" max="1539" width="10.7265625" style="7" customWidth="1"/>
    <col min="1540" max="1540" width="9.26953125" style="7" customWidth="1"/>
    <col min="1541" max="1564" width="7.26953125" style="7" customWidth="1"/>
    <col min="1565" max="1565" width="11.26953125" style="7" bestFit="1" customWidth="1"/>
    <col min="1566" max="1793" width="11.453125" style="7"/>
    <col min="1794" max="1794" width="7" style="7" customWidth="1"/>
    <col min="1795" max="1795" width="10.7265625" style="7" customWidth="1"/>
    <col min="1796" max="1796" width="9.26953125" style="7" customWidth="1"/>
    <col min="1797" max="1820" width="7.26953125" style="7" customWidth="1"/>
    <col min="1821" max="1821" width="11.26953125" style="7" bestFit="1" customWidth="1"/>
    <col min="1822" max="2049" width="11.453125" style="7"/>
    <col min="2050" max="2050" width="7" style="7" customWidth="1"/>
    <col min="2051" max="2051" width="10.7265625" style="7" customWidth="1"/>
    <col min="2052" max="2052" width="9.26953125" style="7" customWidth="1"/>
    <col min="2053" max="2076" width="7.26953125" style="7" customWidth="1"/>
    <col min="2077" max="2077" width="11.26953125" style="7" bestFit="1" customWidth="1"/>
    <col min="2078" max="2305" width="11.453125" style="7"/>
    <col min="2306" max="2306" width="7" style="7" customWidth="1"/>
    <col min="2307" max="2307" width="10.7265625" style="7" customWidth="1"/>
    <col min="2308" max="2308" width="9.26953125" style="7" customWidth="1"/>
    <col min="2309" max="2332" width="7.26953125" style="7" customWidth="1"/>
    <col min="2333" max="2333" width="11.26953125" style="7" bestFit="1" customWidth="1"/>
    <col min="2334" max="2561" width="11.453125" style="7"/>
    <col min="2562" max="2562" width="7" style="7" customWidth="1"/>
    <col min="2563" max="2563" width="10.7265625" style="7" customWidth="1"/>
    <col min="2564" max="2564" width="9.26953125" style="7" customWidth="1"/>
    <col min="2565" max="2588" width="7.26953125" style="7" customWidth="1"/>
    <col min="2589" max="2589" width="11.26953125" style="7" bestFit="1" customWidth="1"/>
    <col min="2590" max="2817" width="11.453125" style="7"/>
    <col min="2818" max="2818" width="7" style="7" customWidth="1"/>
    <col min="2819" max="2819" width="10.7265625" style="7" customWidth="1"/>
    <col min="2820" max="2820" width="9.26953125" style="7" customWidth="1"/>
    <col min="2821" max="2844" width="7.26953125" style="7" customWidth="1"/>
    <col min="2845" max="2845" width="11.26953125" style="7" bestFit="1" customWidth="1"/>
    <col min="2846" max="3073" width="11.453125" style="7"/>
    <col min="3074" max="3074" width="7" style="7" customWidth="1"/>
    <col min="3075" max="3075" width="10.7265625" style="7" customWidth="1"/>
    <col min="3076" max="3076" width="9.26953125" style="7" customWidth="1"/>
    <col min="3077" max="3100" width="7.26953125" style="7" customWidth="1"/>
    <col min="3101" max="3101" width="11.26953125" style="7" bestFit="1" customWidth="1"/>
    <col min="3102" max="3329" width="11.453125" style="7"/>
    <col min="3330" max="3330" width="7" style="7" customWidth="1"/>
    <col min="3331" max="3331" width="10.7265625" style="7" customWidth="1"/>
    <col min="3332" max="3332" width="9.26953125" style="7" customWidth="1"/>
    <col min="3333" max="3356" width="7.26953125" style="7" customWidth="1"/>
    <col min="3357" max="3357" width="11.26953125" style="7" bestFit="1" customWidth="1"/>
    <col min="3358" max="3585" width="11.453125" style="7"/>
    <col min="3586" max="3586" width="7" style="7" customWidth="1"/>
    <col min="3587" max="3587" width="10.7265625" style="7" customWidth="1"/>
    <col min="3588" max="3588" width="9.26953125" style="7" customWidth="1"/>
    <col min="3589" max="3612" width="7.26953125" style="7" customWidth="1"/>
    <col min="3613" max="3613" width="11.26953125" style="7" bestFit="1" customWidth="1"/>
    <col min="3614" max="3841" width="11.453125" style="7"/>
    <col min="3842" max="3842" width="7" style="7" customWidth="1"/>
    <col min="3843" max="3843" width="10.7265625" style="7" customWidth="1"/>
    <col min="3844" max="3844" width="9.26953125" style="7" customWidth="1"/>
    <col min="3845" max="3868" width="7.26953125" style="7" customWidth="1"/>
    <col min="3869" max="3869" width="11.26953125" style="7" bestFit="1" customWidth="1"/>
    <col min="3870" max="4097" width="11.453125" style="7"/>
    <col min="4098" max="4098" width="7" style="7" customWidth="1"/>
    <col min="4099" max="4099" width="10.7265625" style="7" customWidth="1"/>
    <col min="4100" max="4100" width="9.26953125" style="7" customWidth="1"/>
    <col min="4101" max="4124" width="7.26953125" style="7" customWidth="1"/>
    <col min="4125" max="4125" width="11.26953125" style="7" bestFit="1" customWidth="1"/>
    <col min="4126" max="4353" width="11.453125" style="7"/>
    <col min="4354" max="4354" width="7" style="7" customWidth="1"/>
    <col min="4355" max="4355" width="10.7265625" style="7" customWidth="1"/>
    <col min="4356" max="4356" width="9.26953125" style="7" customWidth="1"/>
    <col min="4357" max="4380" width="7.26953125" style="7" customWidth="1"/>
    <col min="4381" max="4381" width="11.26953125" style="7" bestFit="1" customWidth="1"/>
    <col min="4382" max="4609" width="11.453125" style="7"/>
    <col min="4610" max="4610" width="7" style="7" customWidth="1"/>
    <col min="4611" max="4611" width="10.7265625" style="7" customWidth="1"/>
    <col min="4612" max="4612" width="9.26953125" style="7" customWidth="1"/>
    <col min="4613" max="4636" width="7.26953125" style="7" customWidth="1"/>
    <col min="4637" max="4637" width="11.26953125" style="7" bestFit="1" customWidth="1"/>
    <col min="4638" max="4865" width="11.453125" style="7"/>
    <col min="4866" max="4866" width="7" style="7" customWidth="1"/>
    <col min="4867" max="4867" width="10.7265625" style="7" customWidth="1"/>
    <col min="4868" max="4868" width="9.26953125" style="7" customWidth="1"/>
    <col min="4869" max="4892" width="7.26953125" style="7" customWidth="1"/>
    <col min="4893" max="4893" width="11.26953125" style="7" bestFit="1" customWidth="1"/>
    <col min="4894" max="5121" width="11.453125" style="7"/>
    <col min="5122" max="5122" width="7" style="7" customWidth="1"/>
    <col min="5123" max="5123" width="10.7265625" style="7" customWidth="1"/>
    <col min="5124" max="5124" width="9.26953125" style="7" customWidth="1"/>
    <col min="5125" max="5148" width="7.26953125" style="7" customWidth="1"/>
    <col min="5149" max="5149" width="11.26953125" style="7" bestFit="1" customWidth="1"/>
    <col min="5150" max="5377" width="11.453125" style="7"/>
    <col min="5378" max="5378" width="7" style="7" customWidth="1"/>
    <col min="5379" max="5379" width="10.7265625" style="7" customWidth="1"/>
    <col min="5380" max="5380" width="9.26953125" style="7" customWidth="1"/>
    <col min="5381" max="5404" width="7.26953125" style="7" customWidth="1"/>
    <col min="5405" max="5405" width="11.26953125" style="7" bestFit="1" customWidth="1"/>
    <col min="5406" max="5633" width="11.453125" style="7"/>
    <col min="5634" max="5634" width="7" style="7" customWidth="1"/>
    <col min="5635" max="5635" width="10.7265625" style="7" customWidth="1"/>
    <col min="5636" max="5636" width="9.26953125" style="7" customWidth="1"/>
    <col min="5637" max="5660" width="7.26953125" style="7" customWidth="1"/>
    <col min="5661" max="5661" width="11.26953125" style="7" bestFit="1" customWidth="1"/>
    <col min="5662" max="5889" width="11.453125" style="7"/>
    <col min="5890" max="5890" width="7" style="7" customWidth="1"/>
    <col min="5891" max="5891" width="10.7265625" style="7" customWidth="1"/>
    <col min="5892" max="5892" width="9.26953125" style="7" customWidth="1"/>
    <col min="5893" max="5916" width="7.26953125" style="7" customWidth="1"/>
    <col min="5917" max="5917" width="11.26953125" style="7" bestFit="1" customWidth="1"/>
    <col min="5918" max="6145" width="11.453125" style="7"/>
    <col min="6146" max="6146" width="7" style="7" customWidth="1"/>
    <col min="6147" max="6147" width="10.7265625" style="7" customWidth="1"/>
    <col min="6148" max="6148" width="9.26953125" style="7" customWidth="1"/>
    <col min="6149" max="6172" width="7.26953125" style="7" customWidth="1"/>
    <col min="6173" max="6173" width="11.26953125" style="7" bestFit="1" customWidth="1"/>
    <col min="6174" max="6401" width="11.453125" style="7"/>
    <col min="6402" max="6402" width="7" style="7" customWidth="1"/>
    <col min="6403" max="6403" width="10.7265625" style="7" customWidth="1"/>
    <col min="6404" max="6404" width="9.26953125" style="7" customWidth="1"/>
    <col min="6405" max="6428" width="7.26953125" style="7" customWidth="1"/>
    <col min="6429" max="6429" width="11.26953125" style="7" bestFit="1" customWidth="1"/>
    <col min="6430" max="6657" width="11.453125" style="7"/>
    <col min="6658" max="6658" width="7" style="7" customWidth="1"/>
    <col min="6659" max="6659" width="10.7265625" style="7" customWidth="1"/>
    <col min="6660" max="6660" width="9.26953125" style="7" customWidth="1"/>
    <col min="6661" max="6684" width="7.26953125" style="7" customWidth="1"/>
    <col min="6685" max="6685" width="11.26953125" style="7" bestFit="1" customWidth="1"/>
    <col min="6686" max="6913" width="11.453125" style="7"/>
    <col min="6914" max="6914" width="7" style="7" customWidth="1"/>
    <col min="6915" max="6915" width="10.7265625" style="7" customWidth="1"/>
    <col min="6916" max="6916" width="9.26953125" style="7" customWidth="1"/>
    <col min="6917" max="6940" width="7.26953125" style="7" customWidth="1"/>
    <col min="6941" max="6941" width="11.26953125" style="7" bestFit="1" customWidth="1"/>
    <col min="6942" max="7169" width="11.453125" style="7"/>
    <col min="7170" max="7170" width="7" style="7" customWidth="1"/>
    <col min="7171" max="7171" width="10.7265625" style="7" customWidth="1"/>
    <col min="7172" max="7172" width="9.26953125" style="7" customWidth="1"/>
    <col min="7173" max="7196" width="7.26953125" style="7" customWidth="1"/>
    <col min="7197" max="7197" width="11.26953125" style="7" bestFit="1" customWidth="1"/>
    <col min="7198" max="7425" width="11.453125" style="7"/>
    <col min="7426" max="7426" width="7" style="7" customWidth="1"/>
    <col min="7427" max="7427" width="10.7265625" style="7" customWidth="1"/>
    <col min="7428" max="7428" width="9.26953125" style="7" customWidth="1"/>
    <col min="7429" max="7452" width="7.26953125" style="7" customWidth="1"/>
    <col min="7453" max="7453" width="11.26953125" style="7" bestFit="1" customWidth="1"/>
    <col min="7454" max="7681" width="11.453125" style="7"/>
    <col min="7682" max="7682" width="7" style="7" customWidth="1"/>
    <col min="7683" max="7683" width="10.7265625" style="7" customWidth="1"/>
    <col min="7684" max="7684" width="9.26953125" style="7" customWidth="1"/>
    <col min="7685" max="7708" width="7.26953125" style="7" customWidth="1"/>
    <col min="7709" max="7709" width="11.26953125" style="7" bestFit="1" customWidth="1"/>
    <col min="7710" max="7937" width="11.453125" style="7"/>
    <col min="7938" max="7938" width="7" style="7" customWidth="1"/>
    <col min="7939" max="7939" width="10.7265625" style="7" customWidth="1"/>
    <col min="7940" max="7940" width="9.26953125" style="7" customWidth="1"/>
    <col min="7941" max="7964" width="7.26953125" style="7" customWidth="1"/>
    <col min="7965" max="7965" width="11.26953125" style="7" bestFit="1" customWidth="1"/>
    <col min="7966" max="8193" width="11.453125" style="7"/>
    <col min="8194" max="8194" width="7" style="7" customWidth="1"/>
    <col min="8195" max="8195" width="10.7265625" style="7" customWidth="1"/>
    <col min="8196" max="8196" width="9.26953125" style="7" customWidth="1"/>
    <col min="8197" max="8220" width="7.26953125" style="7" customWidth="1"/>
    <col min="8221" max="8221" width="11.26953125" style="7" bestFit="1" customWidth="1"/>
    <col min="8222" max="8449" width="11.453125" style="7"/>
    <col min="8450" max="8450" width="7" style="7" customWidth="1"/>
    <col min="8451" max="8451" width="10.7265625" style="7" customWidth="1"/>
    <col min="8452" max="8452" width="9.26953125" style="7" customWidth="1"/>
    <col min="8453" max="8476" width="7.26953125" style="7" customWidth="1"/>
    <col min="8477" max="8477" width="11.26953125" style="7" bestFit="1" customWidth="1"/>
    <col min="8478" max="8705" width="11.453125" style="7"/>
    <col min="8706" max="8706" width="7" style="7" customWidth="1"/>
    <col min="8707" max="8707" width="10.7265625" style="7" customWidth="1"/>
    <col min="8708" max="8708" width="9.26953125" style="7" customWidth="1"/>
    <col min="8709" max="8732" width="7.26953125" style="7" customWidth="1"/>
    <col min="8733" max="8733" width="11.26953125" style="7" bestFit="1" customWidth="1"/>
    <col min="8734" max="8961" width="11.453125" style="7"/>
    <col min="8962" max="8962" width="7" style="7" customWidth="1"/>
    <col min="8963" max="8963" width="10.7265625" style="7" customWidth="1"/>
    <col min="8964" max="8964" width="9.26953125" style="7" customWidth="1"/>
    <col min="8965" max="8988" width="7.26953125" style="7" customWidth="1"/>
    <col min="8989" max="8989" width="11.26953125" style="7" bestFit="1" customWidth="1"/>
    <col min="8990" max="9217" width="11.453125" style="7"/>
    <col min="9218" max="9218" width="7" style="7" customWidth="1"/>
    <col min="9219" max="9219" width="10.7265625" style="7" customWidth="1"/>
    <col min="9220" max="9220" width="9.26953125" style="7" customWidth="1"/>
    <col min="9221" max="9244" width="7.26953125" style="7" customWidth="1"/>
    <col min="9245" max="9245" width="11.26953125" style="7" bestFit="1" customWidth="1"/>
    <col min="9246" max="9473" width="11.453125" style="7"/>
    <col min="9474" max="9474" width="7" style="7" customWidth="1"/>
    <col min="9475" max="9475" width="10.7265625" style="7" customWidth="1"/>
    <col min="9476" max="9476" width="9.26953125" style="7" customWidth="1"/>
    <col min="9477" max="9500" width="7.26953125" style="7" customWidth="1"/>
    <col min="9501" max="9501" width="11.26953125" style="7" bestFit="1" customWidth="1"/>
    <col min="9502" max="9729" width="11.453125" style="7"/>
    <col min="9730" max="9730" width="7" style="7" customWidth="1"/>
    <col min="9731" max="9731" width="10.7265625" style="7" customWidth="1"/>
    <col min="9732" max="9732" width="9.26953125" style="7" customWidth="1"/>
    <col min="9733" max="9756" width="7.26953125" style="7" customWidth="1"/>
    <col min="9757" max="9757" width="11.26953125" style="7" bestFit="1" customWidth="1"/>
    <col min="9758" max="9985" width="11.453125" style="7"/>
    <col min="9986" max="9986" width="7" style="7" customWidth="1"/>
    <col min="9987" max="9987" width="10.7265625" style="7" customWidth="1"/>
    <col min="9988" max="9988" width="9.26953125" style="7" customWidth="1"/>
    <col min="9989" max="10012" width="7.26953125" style="7" customWidth="1"/>
    <col min="10013" max="10013" width="11.26953125" style="7" bestFit="1" customWidth="1"/>
    <col min="10014" max="10241" width="11.453125" style="7"/>
    <col min="10242" max="10242" width="7" style="7" customWidth="1"/>
    <col min="10243" max="10243" width="10.7265625" style="7" customWidth="1"/>
    <col min="10244" max="10244" width="9.26953125" style="7" customWidth="1"/>
    <col min="10245" max="10268" width="7.26953125" style="7" customWidth="1"/>
    <col min="10269" max="10269" width="11.26953125" style="7" bestFit="1" customWidth="1"/>
    <col min="10270" max="10497" width="11.453125" style="7"/>
    <col min="10498" max="10498" width="7" style="7" customWidth="1"/>
    <col min="10499" max="10499" width="10.7265625" style="7" customWidth="1"/>
    <col min="10500" max="10500" width="9.26953125" style="7" customWidth="1"/>
    <col min="10501" max="10524" width="7.26953125" style="7" customWidth="1"/>
    <col min="10525" max="10525" width="11.26953125" style="7" bestFit="1" customWidth="1"/>
    <col min="10526" max="10753" width="11.453125" style="7"/>
    <col min="10754" max="10754" width="7" style="7" customWidth="1"/>
    <col min="10755" max="10755" width="10.7265625" style="7" customWidth="1"/>
    <col min="10756" max="10756" width="9.26953125" style="7" customWidth="1"/>
    <col min="10757" max="10780" width="7.26953125" style="7" customWidth="1"/>
    <col min="10781" max="10781" width="11.26953125" style="7" bestFit="1" customWidth="1"/>
    <col min="10782" max="11009" width="11.453125" style="7"/>
    <col min="11010" max="11010" width="7" style="7" customWidth="1"/>
    <col min="11011" max="11011" width="10.7265625" style="7" customWidth="1"/>
    <col min="11012" max="11012" width="9.26953125" style="7" customWidth="1"/>
    <col min="11013" max="11036" width="7.26953125" style="7" customWidth="1"/>
    <col min="11037" max="11037" width="11.26953125" style="7" bestFit="1" customWidth="1"/>
    <col min="11038" max="11265" width="11.453125" style="7"/>
    <col min="11266" max="11266" width="7" style="7" customWidth="1"/>
    <col min="11267" max="11267" width="10.7265625" style="7" customWidth="1"/>
    <col min="11268" max="11268" width="9.26953125" style="7" customWidth="1"/>
    <col min="11269" max="11292" width="7.26953125" style="7" customWidth="1"/>
    <col min="11293" max="11293" width="11.26953125" style="7" bestFit="1" customWidth="1"/>
    <col min="11294" max="11521" width="11.453125" style="7"/>
    <col min="11522" max="11522" width="7" style="7" customWidth="1"/>
    <col min="11523" max="11523" width="10.7265625" style="7" customWidth="1"/>
    <col min="11524" max="11524" width="9.26953125" style="7" customWidth="1"/>
    <col min="11525" max="11548" width="7.26953125" style="7" customWidth="1"/>
    <col min="11549" max="11549" width="11.26953125" style="7" bestFit="1" customWidth="1"/>
    <col min="11550" max="11777" width="11.453125" style="7"/>
    <col min="11778" max="11778" width="7" style="7" customWidth="1"/>
    <col min="11779" max="11779" width="10.7265625" style="7" customWidth="1"/>
    <col min="11780" max="11780" width="9.26953125" style="7" customWidth="1"/>
    <col min="11781" max="11804" width="7.26953125" style="7" customWidth="1"/>
    <col min="11805" max="11805" width="11.26953125" style="7" bestFit="1" customWidth="1"/>
    <col min="11806" max="12033" width="11.453125" style="7"/>
    <col min="12034" max="12034" width="7" style="7" customWidth="1"/>
    <col min="12035" max="12035" width="10.7265625" style="7" customWidth="1"/>
    <col min="12036" max="12036" width="9.26953125" style="7" customWidth="1"/>
    <col min="12037" max="12060" width="7.26953125" style="7" customWidth="1"/>
    <col min="12061" max="12061" width="11.26953125" style="7" bestFit="1" customWidth="1"/>
    <col min="12062" max="12289" width="11.453125" style="7"/>
    <col min="12290" max="12290" width="7" style="7" customWidth="1"/>
    <col min="12291" max="12291" width="10.7265625" style="7" customWidth="1"/>
    <col min="12292" max="12292" width="9.26953125" style="7" customWidth="1"/>
    <col min="12293" max="12316" width="7.26953125" style="7" customWidth="1"/>
    <col min="12317" max="12317" width="11.26953125" style="7" bestFit="1" customWidth="1"/>
    <col min="12318" max="12545" width="11.453125" style="7"/>
    <col min="12546" max="12546" width="7" style="7" customWidth="1"/>
    <col min="12547" max="12547" width="10.7265625" style="7" customWidth="1"/>
    <col min="12548" max="12548" width="9.26953125" style="7" customWidth="1"/>
    <col min="12549" max="12572" width="7.26953125" style="7" customWidth="1"/>
    <col min="12573" max="12573" width="11.26953125" style="7" bestFit="1" customWidth="1"/>
    <col min="12574" max="12801" width="11.453125" style="7"/>
    <col min="12802" max="12802" width="7" style="7" customWidth="1"/>
    <col min="12803" max="12803" width="10.7265625" style="7" customWidth="1"/>
    <col min="12804" max="12804" width="9.26953125" style="7" customWidth="1"/>
    <col min="12805" max="12828" width="7.26953125" style="7" customWidth="1"/>
    <col min="12829" max="12829" width="11.26953125" style="7" bestFit="1" customWidth="1"/>
    <col min="12830" max="13057" width="11.453125" style="7"/>
    <col min="13058" max="13058" width="7" style="7" customWidth="1"/>
    <col min="13059" max="13059" width="10.7265625" style="7" customWidth="1"/>
    <col min="13060" max="13060" width="9.26953125" style="7" customWidth="1"/>
    <col min="13061" max="13084" width="7.26953125" style="7" customWidth="1"/>
    <col min="13085" max="13085" width="11.26953125" style="7" bestFit="1" customWidth="1"/>
    <col min="13086" max="13313" width="11.453125" style="7"/>
    <col min="13314" max="13314" width="7" style="7" customWidth="1"/>
    <col min="13315" max="13315" width="10.7265625" style="7" customWidth="1"/>
    <col min="13316" max="13316" width="9.26953125" style="7" customWidth="1"/>
    <col min="13317" max="13340" width="7.26953125" style="7" customWidth="1"/>
    <col min="13341" max="13341" width="11.26953125" style="7" bestFit="1" customWidth="1"/>
    <col min="13342" max="13569" width="11.453125" style="7"/>
    <col min="13570" max="13570" width="7" style="7" customWidth="1"/>
    <col min="13571" max="13571" width="10.7265625" style="7" customWidth="1"/>
    <col min="13572" max="13572" width="9.26953125" style="7" customWidth="1"/>
    <col min="13573" max="13596" width="7.26953125" style="7" customWidth="1"/>
    <col min="13597" max="13597" width="11.26953125" style="7" bestFit="1" customWidth="1"/>
    <col min="13598" max="13825" width="11.453125" style="7"/>
    <col min="13826" max="13826" width="7" style="7" customWidth="1"/>
    <col min="13827" max="13827" width="10.7265625" style="7" customWidth="1"/>
    <col min="13828" max="13828" width="9.26953125" style="7" customWidth="1"/>
    <col min="13829" max="13852" width="7.26953125" style="7" customWidth="1"/>
    <col min="13853" max="13853" width="11.26953125" style="7" bestFit="1" customWidth="1"/>
    <col min="13854" max="14081" width="11.453125" style="7"/>
    <col min="14082" max="14082" width="7" style="7" customWidth="1"/>
    <col min="14083" max="14083" width="10.7265625" style="7" customWidth="1"/>
    <col min="14084" max="14084" width="9.26953125" style="7" customWidth="1"/>
    <col min="14085" max="14108" width="7.26953125" style="7" customWidth="1"/>
    <col min="14109" max="14109" width="11.26953125" style="7" bestFit="1" customWidth="1"/>
    <col min="14110" max="14337" width="11.453125" style="7"/>
    <col min="14338" max="14338" width="7" style="7" customWidth="1"/>
    <col min="14339" max="14339" width="10.7265625" style="7" customWidth="1"/>
    <col min="14340" max="14340" width="9.26953125" style="7" customWidth="1"/>
    <col min="14341" max="14364" width="7.26953125" style="7" customWidth="1"/>
    <col min="14365" max="14365" width="11.26953125" style="7" bestFit="1" customWidth="1"/>
    <col min="14366" max="14593" width="11.453125" style="7"/>
    <col min="14594" max="14594" width="7" style="7" customWidth="1"/>
    <col min="14595" max="14595" width="10.7265625" style="7" customWidth="1"/>
    <col min="14596" max="14596" width="9.26953125" style="7" customWidth="1"/>
    <col min="14597" max="14620" width="7.26953125" style="7" customWidth="1"/>
    <col min="14621" max="14621" width="11.26953125" style="7" bestFit="1" customWidth="1"/>
    <col min="14622" max="14849" width="11.453125" style="7"/>
    <col min="14850" max="14850" width="7" style="7" customWidth="1"/>
    <col min="14851" max="14851" width="10.7265625" style="7" customWidth="1"/>
    <col min="14852" max="14852" width="9.26953125" style="7" customWidth="1"/>
    <col min="14853" max="14876" width="7.26953125" style="7" customWidth="1"/>
    <col min="14877" max="14877" width="11.26953125" style="7" bestFit="1" customWidth="1"/>
    <col min="14878" max="15105" width="11.453125" style="7"/>
    <col min="15106" max="15106" width="7" style="7" customWidth="1"/>
    <col min="15107" max="15107" width="10.7265625" style="7" customWidth="1"/>
    <col min="15108" max="15108" width="9.26953125" style="7" customWidth="1"/>
    <col min="15109" max="15132" width="7.26953125" style="7" customWidth="1"/>
    <col min="15133" max="15133" width="11.26953125" style="7" bestFit="1" customWidth="1"/>
    <col min="15134" max="15361" width="11.453125" style="7"/>
    <col min="15362" max="15362" width="7" style="7" customWidth="1"/>
    <col min="15363" max="15363" width="10.7265625" style="7" customWidth="1"/>
    <col min="15364" max="15364" width="9.26953125" style="7" customWidth="1"/>
    <col min="15365" max="15388" width="7.26953125" style="7" customWidth="1"/>
    <col min="15389" max="15389" width="11.26953125" style="7" bestFit="1" customWidth="1"/>
    <col min="15390" max="15617" width="11.453125" style="7"/>
    <col min="15618" max="15618" width="7" style="7" customWidth="1"/>
    <col min="15619" max="15619" width="10.7265625" style="7" customWidth="1"/>
    <col min="15620" max="15620" width="9.26953125" style="7" customWidth="1"/>
    <col min="15621" max="15644" width="7.26953125" style="7" customWidth="1"/>
    <col min="15645" max="15645" width="11.26953125" style="7" bestFit="1" customWidth="1"/>
    <col min="15646" max="15873" width="11.453125" style="7"/>
    <col min="15874" max="15874" width="7" style="7" customWidth="1"/>
    <col min="15875" max="15875" width="10.7265625" style="7" customWidth="1"/>
    <col min="15876" max="15876" width="9.26953125" style="7" customWidth="1"/>
    <col min="15877" max="15900" width="7.26953125" style="7" customWidth="1"/>
    <col min="15901" max="15901" width="11.26953125" style="7" bestFit="1" customWidth="1"/>
    <col min="15902" max="16129" width="11.453125" style="7"/>
    <col min="16130" max="16130" width="7" style="7" customWidth="1"/>
    <col min="16131" max="16131" width="10.7265625" style="7" customWidth="1"/>
    <col min="16132" max="16132" width="9.26953125" style="7" customWidth="1"/>
    <col min="16133" max="16156" width="7.26953125" style="7" customWidth="1"/>
    <col min="16157" max="16157" width="11.26953125" style="7" bestFit="1" customWidth="1"/>
    <col min="16158" max="16384" width="11.453125" style="7"/>
  </cols>
  <sheetData>
    <row r="1" spans="2:56" ht="18.649999999999999" customHeight="1" x14ac:dyDescent="0.25"/>
    <row r="2" spans="2:56" ht="18.649999999999999" customHeight="1" x14ac:dyDescent="0.25">
      <c r="B2" s="79" t="s">
        <v>45</v>
      </c>
      <c r="C2" s="79"/>
      <c r="D2" s="79"/>
      <c r="E2" s="79"/>
      <c r="F2" s="79"/>
      <c r="G2" s="79"/>
      <c r="H2" s="79"/>
      <c r="I2" s="79"/>
      <c r="J2" s="79"/>
      <c r="K2" s="79"/>
      <c r="L2" s="79"/>
      <c r="M2" s="79"/>
      <c r="N2" s="79"/>
      <c r="O2" s="79"/>
      <c r="P2" s="79"/>
      <c r="Q2" s="79"/>
      <c r="R2" s="79"/>
      <c r="S2" s="79"/>
      <c r="T2" s="79"/>
      <c r="U2" s="79"/>
      <c r="V2" s="79"/>
      <c r="W2" s="79"/>
      <c r="X2" s="79"/>
      <c r="Y2" s="79"/>
      <c r="Z2" s="79"/>
      <c r="AA2" s="79"/>
      <c r="AB2" s="79"/>
      <c r="AC2" s="79"/>
    </row>
    <row r="3" spans="2:56" ht="18.649999999999999" customHeight="1" x14ac:dyDescent="0.25">
      <c r="B3" s="79" t="s">
        <v>44</v>
      </c>
      <c r="C3" s="79"/>
      <c r="D3" s="79"/>
      <c r="E3" s="79"/>
      <c r="F3" s="79"/>
      <c r="G3" s="79"/>
      <c r="H3" s="79"/>
      <c r="I3" s="79"/>
      <c r="J3" s="79"/>
      <c r="K3" s="79"/>
      <c r="L3" s="79"/>
      <c r="M3" s="79"/>
      <c r="N3" s="79"/>
      <c r="O3" s="79"/>
      <c r="P3" s="79"/>
      <c r="Q3" s="79"/>
      <c r="R3" s="79"/>
      <c r="S3" s="79"/>
      <c r="T3" s="79"/>
      <c r="U3" s="79"/>
      <c r="V3" s="79"/>
      <c r="W3" s="79"/>
      <c r="X3" s="79"/>
      <c r="Y3" s="79"/>
      <c r="Z3" s="79"/>
      <c r="AA3" s="79"/>
      <c r="AB3" s="79"/>
      <c r="AC3" s="79"/>
    </row>
    <row r="4" spans="2:56" ht="18.649999999999999" customHeight="1" x14ac:dyDescent="0.25">
      <c r="B4" s="79">
        <v>2029</v>
      </c>
      <c r="C4" s="79"/>
      <c r="D4" s="79"/>
      <c r="E4" s="79"/>
      <c r="F4" s="79"/>
      <c r="G4" s="79"/>
      <c r="H4" s="79"/>
      <c r="I4" s="79"/>
      <c r="J4" s="79"/>
      <c r="K4" s="79"/>
      <c r="L4" s="79"/>
      <c r="M4" s="79"/>
      <c r="N4" s="79"/>
      <c r="O4" s="79"/>
      <c r="P4" s="79"/>
      <c r="Q4" s="79"/>
      <c r="R4" s="79"/>
      <c r="S4" s="79"/>
      <c r="T4" s="79"/>
      <c r="U4" s="79"/>
      <c r="V4" s="79"/>
      <c r="W4" s="79"/>
      <c r="X4" s="79"/>
      <c r="Y4" s="79"/>
      <c r="Z4" s="79"/>
      <c r="AA4" s="79"/>
      <c r="AB4" s="79"/>
      <c r="AC4" s="79"/>
    </row>
    <row r="5" spans="2:56" ht="18.649999999999999" customHeight="1" x14ac:dyDescent="0.25"/>
    <row r="6" spans="2:56" ht="15.5" x14ac:dyDescent="0.25">
      <c r="B6" s="2" t="s">
        <v>0</v>
      </c>
      <c r="C6" s="3" t="s">
        <v>1</v>
      </c>
      <c r="D6" s="2" t="s">
        <v>2</v>
      </c>
      <c r="E6" s="9" t="s">
        <v>3</v>
      </c>
      <c r="F6" s="9" t="s">
        <v>4</v>
      </c>
      <c r="G6" s="9" t="s">
        <v>5</v>
      </c>
      <c r="H6" s="9" t="s">
        <v>6</v>
      </c>
      <c r="I6" s="9" t="s">
        <v>7</v>
      </c>
      <c r="J6" s="9" t="s">
        <v>8</v>
      </c>
      <c r="K6" s="9" t="s">
        <v>9</v>
      </c>
      <c r="L6" s="9" t="s">
        <v>10</v>
      </c>
      <c r="M6" s="9" t="s">
        <v>11</v>
      </c>
      <c r="N6" s="9" t="s">
        <v>12</v>
      </c>
      <c r="O6" s="9" t="s">
        <v>13</v>
      </c>
      <c r="P6" s="9" t="s">
        <v>14</v>
      </c>
      <c r="Q6" s="9" t="s">
        <v>15</v>
      </c>
      <c r="R6" s="9" t="s">
        <v>16</v>
      </c>
      <c r="S6" s="9" t="s">
        <v>17</v>
      </c>
      <c r="T6" s="9" t="s">
        <v>18</v>
      </c>
      <c r="U6" s="9" t="s">
        <v>19</v>
      </c>
      <c r="V6" s="9" t="s">
        <v>20</v>
      </c>
      <c r="W6" s="9" t="s">
        <v>21</v>
      </c>
      <c r="X6" s="9" t="s">
        <v>22</v>
      </c>
      <c r="Y6" s="9" t="s">
        <v>23</v>
      </c>
      <c r="Z6" s="9" t="s">
        <v>24</v>
      </c>
      <c r="AA6" s="9" t="s">
        <v>25</v>
      </c>
      <c r="AB6" s="9" t="s">
        <v>26</v>
      </c>
      <c r="AC6" s="9" t="s">
        <v>27</v>
      </c>
    </row>
    <row r="7" spans="2:56" ht="18.649999999999999" customHeight="1" x14ac:dyDescent="0.25">
      <c r="B7" s="70" t="s">
        <v>28</v>
      </c>
      <c r="C7" s="4" t="s">
        <v>29</v>
      </c>
      <c r="D7" s="5">
        <v>21</v>
      </c>
      <c r="E7" s="11">
        <v>7540</v>
      </c>
      <c r="F7" s="11">
        <v>7278</v>
      </c>
      <c r="G7" s="11">
        <v>7004</v>
      </c>
      <c r="H7" s="11">
        <v>6953</v>
      </c>
      <c r="I7" s="11">
        <v>7694</v>
      </c>
      <c r="J7" s="11">
        <v>9668</v>
      </c>
      <c r="K7" s="11">
        <v>12131</v>
      </c>
      <c r="L7" s="11">
        <v>18441</v>
      </c>
      <c r="M7" s="11">
        <v>18304</v>
      </c>
      <c r="N7" s="11">
        <v>18215</v>
      </c>
      <c r="O7" s="11">
        <v>18684</v>
      </c>
      <c r="P7" s="11">
        <v>19669</v>
      </c>
      <c r="Q7" s="11">
        <v>18051</v>
      </c>
      <c r="R7" s="11">
        <v>17521</v>
      </c>
      <c r="S7" s="11">
        <v>18132</v>
      </c>
      <c r="T7" s="11">
        <v>18842</v>
      </c>
      <c r="U7" s="11">
        <v>19435</v>
      </c>
      <c r="V7" s="11">
        <v>14951</v>
      </c>
      <c r="W7" s="11">
        <v>16182</v>
      </c>
      <c r="X7" s="11">
        <v>15882</v>
      </c>
      <c r="Y7" s="11">
        <v>14851</v>
      </c>
      <c r="Z7" s="11">
        <v>13237</v>
      </c>
      <c r="AA7" s="11">
        <v>10323</v>
      </c>
      <c r="AB7" s="11">
        <v>8799</v>
      </c>
      <c r="AC7" s="76">
        <f>+SUM(E7:AB7)*D7+SUM(E8:AB8)*D8+SUM(E9:AB9)*D9+SUM(E10:AB10)*D10</f>
        <v>10369193</v>
      </c>
      <c r="AE7" s="17">
        <f>+AC7</f>
        <v>10369193</v>
      </c>
      <c r="AG7" s="15"/>
      <c r="AH7" s="15"/>
      <c r="AI7" s="15"/>
      <c r="AJ7" s="15"/>
      <c r="AK7" s="15"/>
      <c r="AL7" s="15"/>
      <c r="AM7" s="15"/>
      <c r="AN7" s="15"/>
      <c r="AO7" s="15"/>
      <c r="AP7" s="15"/>
      <c r="AQ7" s="15"/>
      <c r="AR7" s="15"/>
      <c r="AS7" s="15"/>
      <c r="AT7" s="15"/>
      <c r="AU7" s="15"/>
      <c r="AV7" s="15"/>
      <c r="AW7" s="15"/>
      <c r="AX7" s="15"/>
      <c r="AY7" s="15"/>
      <c r="AZ7" s="15"/>
      <c r="BA7" s="15"/>
      <c r="BB7" s="15"/>
      <c r="BC7" s="15"/>
      <c r="BD7" s="15"/>
    </row>
    <row r="8" spans="2:56" ht="18.649999999999999" customHeight="1" x14ac:dyDescent="0.25">
      <c r="B8" s="70" t="s">
        <v>28</v>
      </c>
      <c r="C8" s="4" t="s">
        <v>30</v>
      </c>
      <c r="D8" s="5">
        <v>4</v>
      </c>
      <c r="E8" s="11">
        <v>8558</v>
      </c>
      <c r="F8" s="11">
        <v>7791</v>
      </c>
      <c r="G8" s="11">
        <v>7509</v>
      </c>
      <c r="H8" s="11">
        <v>7308</v>
      </c>
      <c r="I8" s="11">
        <v>7542</v>
      </c>
      <c r="J8" s="11">
        <v>8185</v>
      </c>
      <c r="K8" s="11">
        <v>9786</v>
      </c>
      <c r="L8" s="11">
        <v>17266</v>
      </c>
      <c r="M8" s="11">
        <v>18265</v>
      </c>
      <c r="N8" s="11">
        <v>18847</v>
      </c>
      <c r="O8" s="11">
        <v>19213</v>
      </c>
      <c r="P8" s="11">
        <v>19847</v>
      </c>
      <c r="Q8" s="11">
        <v>20102</v>
      </c>
      <c r="R8" s="11">
        <v>19784</v>
      </c>
      <c r="S8" s="11">
        <v>19726</v>
      </c>
      <c r="T8" s="11">
        <v>19726</v>
      </c>
      <c r="U8" s="11">
        <v>20267</v>
      </c>
      <c r="V8" s="11">
        <v>15502</v>
      </c>
      <c r="W8" s="11">
        <v>17022</v>
      </c>
      <c r="X8" s="11">
        <v>16612</v>
      </c>
      <c r="Y8" s="11">
        <v>15747</v>
      </c>
      <c r="Z8" s="11">
        <v>14743</v>
      </c>
      <c r="AA8" s="11">
        <v>12672</v>
      </c>
      <c r="AB8" s="11">
        <v>11064</v>
      </c>
      <c r="AC8" s="77"/>
      <c r="AE8" s="17">
        <f>+AC11</f>
        <v>9610152</v>
      </c>
      <c r="AG8" s="15"/>
      <c r="AH8" s="15"/>
      <c r="AI8" s="15"/>
      <c r="AJ8" s="15"/>
      <c r="AK8" s="15"/>
      <c r="AL8" s="15"/>
      <c r="AM8" s="15"/>
      <c r="AN8" s="15"/>
      <c r="AO8" s="15"/>
      <c r="AP8" s="15"/>
      <c r="AQ8" s="15"/>
      <c r="AR8" s="15"/>
      <c r="AS8" s="15"/>
      <c r="AT8" s="15"/>
      <c r="AU8" s="15"/>
      <c r="AV8" s="15"/>
      <c r="AW8" s="15"/>
      <c r="AX8" s="15"/>
      <c r="AY8" s="15"/>
      <c r="AZ8" s="15"/>
      <c r="BA8" s="15"/>
      <c r="BB8" s="15"/>
      <c r="BC8" s="15"/>
      <c r="BD8" s="15"/>
    </row>
    <row r="9" spans="2:56" ht="18.649999999999999" customHeight="1" x14ac:dyDescent="0.25">
      <c r="B9" s="70" t="s">
        <v>28</v>
      </c>
      <c r="C9" s="4" t="s">
        <v>31</v>
      </c>
      <c r="D9" s="5">
        <v>4</v>
      </c>
      <c r="E9" s="11">
        <v>9367</v>
      </c>
      <c r="F9" s="11">
        <v>8744</v>
      </c>
      <c r="G9" s="11">
        <v>8172</v>
      </c>
      <c r="H9" s="11">
        <v>7743</v>
      </c>
      <c r="I9" s="11">
        <v>7645</v>
      </c>
      <c r="J9" s="11">
        <v>7469</v>
      </c>
      <c r="K9" s="11">
        <v>8126</v>
      </c>
      <c r="L9" s="11">
        <v>14339</v>
      </c>
      <c r="M9" s="11">
        <v>15263</v>
      </c>
      <c r="N9" s="11">
        <v>15650</v>
      </c>
      <c r="O9" s="11">
        <v>16573</v>
      </c>
      <c r="P9" s="11">
        <v>17637</v>
      </c>
      <c r="Q9" s="11">
        <v>17630</v>
      </c>
      <c r="R9" s="11">
        <v>17124</v>
      </c>
      <c r="S9" s="11">
        <v>17855</v>
      </c>
      <c r="T9" s="11">
        <v>18645</v>
      </c>
      <c r="U9" s="11">
        <v>19111</v>
      </c>
      <c r="V9" s="11">
        <v>14722</v>
      </c>
      <c r="W9" s="11">
        <v>16048</v>
      </c>
      <c r="X9" s="11">
        <v>15302</v>
      </c>
      <c r="Y9" s="11">
        <v>14092</v>
      </c>
      <c r="Z9" s="11">
        <v>12472</v>
      </c>
      <c r="AA9" s="11">
        <v>10325</v>
      </c>
      <c r="AB9" s="11">
        <v>8479</v>
      </c>
      <c r="AC9" s="77"/>
      <c r="AE9" s="17">
        <f>+AC15</f>
        <v>10033768</v>
      </c>
      <c r="AG9" s="15"/>
      <c r="AH9" s="15"/>
      <c r="AI9" s="15"/>
      <c r="AJ9" s="15"/>
      <c r="AK9" s="15"/>
      <c r="AL9" s="15"/>
      <c r="AM9" s="15"/>
      <c r="AN9" s="15"/>
      <c r="AO9" s="15"/>
      <c r="AP9" s="15"/>
      <c r="AQ9" s="15"/>
      <c r="AR9" s="15"/>
      <c r="AS9" s="15"/>
      <c r="AT9" s="15"/>
      <c r="AU9" s="15"/>
      <c r="AV9" s="15"/>
      <c r="AW9" s="15"/>
      <c r="AX9" s="15"/>
      <c r="AY9" s="15"/>
      <c r="AZ9" s="15"/>
      <c r="BA9" s="15"/>
      <c r="BB9" s="15"/>
      <c r="BC9" s="15"/>
      <c r="BD9" s="15"/>
    </row>
    <row r="10" spans="2:56" ht="18.649999999999999" customHeight="1" x14ac:dyDescent="0.25">
      <c r="B10" s="70" t="s">
        <v>28</v>
      </c>
      <c r="C10" s="4" t="s">
        <v>32</v>
      </c>
      <c r="D10" s="5">
        <v>2</v>
      </c>
      <c r="E10" s="11">
        <v>8696</v>
      </c>
      <c r="F10" s="11">
        <v>8226</v>
      </c>
      <c r="G10" s="11">
        <v>7507</v>
      </c>
      <c r="H10" s="11">
        <v>7639</v>
      </c>
      <c r="I10" s="11">
        <v>7335</v>
      </c>
      <c r="J10" s="11">
        <v>7290</v>
      </c>
      <c r="K10" s="11">
        <v>7137</v>
      </c>
      <c r="L10" s="11">
        <v>12838</v>
      </c>
      <c r="M10" s="11">
        <v>13195</v>
      </c>
      <c r="N10" s="11">
        <v>13751</v>
      </c>
      <c r="O10" s="11">
        <v>14967</v>
      </c>
      <c r="P10" s="11">
        <v>15212</v>
      </c>
      <c r="Q10" s="11">
        <v>15865</v>
      </c>
      <c r="R10" s="11">
        <v>16369</v>
      </c>
      <c r="S10" s="11">
        <v>16933</v>
      </c>
      <c r="T10" s="11">
        <v>17010</v>
      </c>
      <c r="U10" s="11">
        <v>17508</v>
      </c>
      <c r="V10" s="11">
        <v>13882</v>
      </c>
      <c r="W10" s="11">
        <v>14719</v>
      </c>
      <c r="X10" s="11">
        <v>14643</v>
      </c>
      <c r="Y10" s="11">
        <v>14007</v>
      </c>
      <c r="Z10" s="11">
        <v>11924</v>
      </c>
      <c r="AA10" s="11">
        <v>9741</v>
      </c>
      <c r="AB10" s="11">
        <v>8205</v>
      </c>
      <c r="AC10" s="78"/>
      <c r="AE10" s="17">
        <f>+AC19</f>
        <v>10103775</v>
      </c>
      <c r="AG10" s="15"/>
      <c r="AH10" s="15"/>
      <c r="AI10" s="15"/>
      <c r="AJ10" s="15"/>
      <c r="AK10" s="15"/>
      <c r="AL10" s="15"/>
      <c r="AM10" s="15"/>
      <c r="AN10" s="15"/>
      <c r="AO10" s="15"/>
      <c r="AP10" s="15"/>
      <c r="AQ10" s="15"/>
      <c r="AR10" s="15"/>
      <c r="AS10" s="15"/>
      <c r="AT10" s="15"/>
      <c r="AU10" s="15"/>
      <c r="AV10" s="15"/>
      <c r="AW10" s="15"/>
      <c r="AX10" s="15"/>
      <c r="AY10" s="15"/>
      <c r="AZ10" s="15"/>
      <c r="BA10" s="15"/>
      <c r="BB10" s="15"/>
      <c r="BC10" s="15"/>
      <c r="BD10" s="15"/>
    </row>
    <row r="11" spans="2:56" ht="18.649999999999999" customHeight="1" x14ac:dyDescent="0.25">
      <c r="B11" s="70" t="s">
        <v>33</v>
      </c>
      <c r="C11" s="4" t="s">
        <v>29</v>
      </c>
      <c r="D11" s="5">
        <v>20</v>
      </c>
      <c r="E11" s="11">
        <v>7195</v>
      </c>
      <c r="F11" s="11">
        <v>7344</v>
      </c>
      <c r="G11" s="11">
        <v>6929</v>
      </c>
      <c r="H11" s="11">
        <v>7343</v>
      </c>
      <c r="I11" s="11">
        <v>7272</v>
      </c>
      <c r="J11" s="11">
        <v>10666</v>
      </c>
      <c r="K11" s="11">
        <v>13169</v>
      </c>
      <c r="L11" s="11">
        <v>19740</v>
      </c>
      <c r="M11" s="11">
        <v>19312</v>
      </c>
      <c r="N11" s="11">
        <v>19143</v>
      </c>
      <c r="O11" s="11">
        <v>19529</v>
      </c>
      <c r="P11" s="11">
        <v>19953</v>
      </c>
      <c r="Q11" s="11">
        <v>19388</v>
      </c>
      <c r="R11" s="11">
        <v>19283</v>
      </c>
      <c r="S11" s="11">
        <v>19728</v>
      </c>
      <c r="T11" s="11">
        <v>20063</v>
      </c>
      <c r="U11" s="11">
        <v>20180</v>
      </c>
      <c r="V11" s="11">
        <v>14407</v>
      </c>
      <c r="W11" s="11">
        <v>15748</v>
      </c>
      <c r="X11" s="11">
        <v>15450</v>
      </c>
      <c r="Y11" s="11">
        <v>14511</v>
      </c>
      <c r="Z11" s="11">
        <v>13133</v>
      </c>
      <c r="AA11" s="11">
        <v>10748</v>
      </c>
      <c r="AB11" s="11">
        <v>8650</v>
      </c>
      <c r="AC11" s="76">
        <f>+SUM(E11:AB11)*D11+SUM(E12:AB12)*D12+SUM(E13:AB13)*D13+SUM(E14:AB14)*D14</f>
        <v>9610152</v>
      </c>
      <c r="AE11" s="17">
        <f>+AC23</f>
        <v>10080661</v>
      </c>
      <c r="AG11" s="15"/>
      <c r="AH11" s="15"/>
      <c r="AI11" s="15"/>
      <c r="AJ11" s="15"/>
      <c r="AK11" s="15"/>
      <c r="AL11" s="15"/>
      <c r="AM11" s="15"/>
      <c r="AN11" s="15"/>
      <c r="AO11" s="15"/>
      <c r="AP11" s="15"/>
      <c r="AQ11" s="15"/>
      <c r="AR11" s="15"/>
      <c r="AS11" s="15"/>
      <c r="AT11" s="15"/>
      <c r="AU11" s="15"/>
      <c r="AV11" s="15"/>
      <c r="AW11" s="15"/>
      <c r="AX11" s="15"/>
      <c r="AY11" s="15"/>
      <c r="AZ11" s="15"/>
      <c r="BA11" s="15"/>
      <c r="BB11" s="15"/>
      <c r="BC11" s="15"/>
      <c r="BD11" s="15"/>
    </row>
    <row r="12" spans="2:56" ht="18.649999999999999" customHeight="1" x14ac:dyDescent="0.25">
      <c r="B12" s="70" t="s">
        <v>33</v>
      </c>
      <c r="C12" s="4" t="s">
        <v>30</v>
      </c>
      <c r="D12" s="5">
        <v>4</v>
      </c>
      <c r="E12" s="11">
        <v>8382</v>
      </c>
      <c r="F12" s="11">
        <v>8005</v>
      </c>
      <c r="G12" s="11">
        <v>7820</v>
      </c>
      <c r="H12" s="11">
        <v>7541</v>
      </c>
      <c r="I12" s="11">
        <v>7709</v>
      </c>
      <c r="J12" s="11">
        <v>8202</v>
      </c>
      <c r="K12" s="11">
        <v>10285</v>
      </c>
      <c r="L12" s="11">
        <v>18415</v>
      </c>
      <c r="M12" s="11">
        <v>19173</v>
      </c>
      <c r="N12" s="11">
        <v>19480</v>
      </c>
      <c r="O12" s="11">
        <v>19679</v>
      </c>
      <c r="P12" s="11">
        <v>20053</v>
      </c>
      <c r="Q12" s="11">
        <v>19424</v>
      </c>
      <c r="R12" s="11">
        <v>19103</v>
      </c>
      <c r="S12" s="11">
        <v>19149</v>
      </c>
      <c r="T12" s="11">
        <v>19117</v>
      </c>
      <c r="U12" s="11">
        <v>19688</v>
      </c>
      <c r="V12" s="11">
        <v>14530</v>
      </c>
      <c r="W12" s="11">
        <v>15290</v>
      </c>
      <c r="X12" s="11">
        <v>15315</v>
      </c>
      <c r="Y12" s="11">
        <v>14564</v>
      </c>
      <c r="Z12" s="11">
        <v>12748</v>
      </c>
      <c r="AA12" s="11">
        <v>10820</v>
      </c>
      <c r="AB12" s="11">
        <v>8889</v>
      </c>
      <c r="AC12" s="77"/>
      <c r="AE12" s="17">
        <f>+AC27</f>
        <v>10232240</v>
      </c>
      <c r="AG12" s="15"/>
      <c r="AH12" s="15"/>
      <c r="AI12" s="15"/>
      <c r="AJ12" s="15"/>
      <c r="AK12" s="15"/>
      <c r="AL12" s="15"/>
      <c r="AM12" s="15"/>
      <c r="AN12" s="15"/>
      <c r="AO12" s="15"/>
      <c r="AP12" s="15"/>
      <c r="AQ12" s="15"/>
      <c r="AR12" s="15"/>
      <c r="AS12" s="15"/>
      <c r="AT12" s="15"/>
      <c r="AU12" s="15"/>
      <c r="AV12" s="15"/>
      <c r="AW12" s="15"/>
      <c r="AX12" s="15"/>
      <c r="AY12" s="15"/>
      <c r="AZ12" s="15"/>
      <c r="BA12" s="15"/>
      <c r="BB12" s="15"/>
      <c r="BC12" s="15"/>
      <c r="BD12" s="15"/>
    </row>
    <row r="13" spans="2:56" ht="18.649999999999999" customHeight="1" x14ac:dyDescent="0.25">
      <c r="B13" s="70" t="s">
        <v>33</v>
      </c>
      <c r="C13" s="4" t="s">
        <v>31</v>
      </c>
      <c r="D13" s="5">
        <v>4</v>
      </c>
      <c r="E13" s="11">
        <v>8236</v>
      </c>
      <c r="F13" s="11">
        <v>7799</v>
      </c>
      <c r="G13" s="11">
        <v>7336</v>
      </c>
      <c r="H13" s="11">
        <v>7138</v>
      </c>
      <c r="I13" s="11">
        <v>7233</v>
      </c>
      <c r="J13" s="11">
        <v>7208</v>
      </c>
      <c r="K13" s="11">
        <v>7967</v>
      </c>
      <c r="L13" s="11">
        <v>15206</v>
      </c>
      <c r="M13" s="11">
        <v>16474</v>
      </c>
      <c r="N13" s="11">
        <v>17227</v>
      </c>
      <c r="O13" s="11">
        <v>17084</v>
      </c>
      <c r="P13" s="11">
        <v>18061</v>
      </c>
      <c r="Q13" s="11">
        <v>18811</v>
      </c>
      <c r="R13" s="11">
        <v>19048</v>
      </c>
      <c r="S13" s="11">
        <v>18551</v>
      </c>
      <c r="T13" s="11">
        <v>19808</v>
      </c>
      <c r="U13" s="11">
        <v>17794</v>
      </c>
      <c r="V13" s="11">
        <v>12755</v>
      </c>
      <c r="W13" s="11">
        <v>15590</v>
      </c>
      <c r="X13" s="11">
        <v>13426</v>
      </c>
      <c r="Y13" s="11">
        <v>13101</v>
      </c>
      <c r="Z13" s="11">
        <v>11653</v>
      </c>
      <c r="AA13" s="11">
        <v>9398</v>
      </c>
      <c r="AB13" s="11">
        <v>7833</v>
      </c>
      <c r="AC13" s="77"/>
      <c r="AE13" s="17">
        <f>+AC31</f>
        <v>10757818</v>
      </c>
      <c r="AG13" s="15"/>
      <c r="AH13" s="15"/>
      <c r="AI13" s="15"/>
      <c r="AJ13" s="15"/>
      <c r="AK13" s="15"/>
      <c r="AL13" s="15"/>
      <c r="AM13" s="15"/>
      <c r="AN13" s="15"/>
      <c r="AO13" s="15"/>
      <c r="AP13" s="15"/>
      <c r="AQ13" s="15"/>
      <c r="AR13" s="15"/>
      <c r="AS13" s="15"/>
      <c r="AT13" s="15"/>
      <c r="AU13" s="15"/>
      <c r="AV13" s="15"/>
      <c r="AW13" s="15"/>
      <c r="AX13" s="15"/>
      <c r="AY13" s="15"/>
      <c r="AZ13" s="15"/>
      <c r="BA13" s="15"/>
      <c r="BB13" s="15"/>
      <c r="BC13" s="15"/>
      <c r="BD13" s="15"/>
    </row>
    <row r="14" spans="2:56" ht="18.649999999999999" customHeight="1" x14ac:dyDescent="0.25">
      <c r="B14" s="70" t="s">
        <v>33</v>
      </c>
      <c r="C14" s="4" t="s">
        <v>32</v>
      </c>
      <c r="D14" s="5">
        <v>0</v>
      </c>
      <c r="E14" s="11">
        <v>0</v>
      </c>
      <c r="F14" s="11">
        <v>0</v>
      </c>
      <c r="G14" s="11">
        <v>0</v>
      </c>
      <c r="H14" s="11">
        <v>0</v>
      </c>
      <c r="I14" s="11">
        <v>0</v>
      </c>
      <c r="J14" s="11">
        <v>0</v>
      </c>
      <c r="K14" s="11">
        <v>0</v>
      </c>
      <c r="L14" s="11">
        <v>0</v>
      </c>
      <c r="M14" s="11">
        <v>0</v>
      </c>
      <c r="N14" s="11">
        <v>0</v>
      </c>
      <c r="O14" s="11">
        <v>0</v>
      </c>
      <c r="P14" s="11">
        <v>0</v>
      </c>
      <c r="Q14" s="11">
        <v>0</v>
      </c>
      <c r="R14" s="11">
        <v>0</v>
      </c>
      <c r="S14" s="11">
        <v>0</v>
      </c>
      <c r="T14" s="11">
        <v>0</v>
      </c>
      <c r="U14" s="11">
        <v>0</v>
      </c>
      <c r="V14" s="11">
        <v>0</v>
      </c>
      <c r="W14" s="11">
        <v>0</v>
      </c>
      <c r="X14" s="11">
        <v>0</v>
      </c>
      <c r="Y14" s="11">
        <v>0</v>
      </c>
      <c r="Z14" s="11">
        <v>0</v>
      </c>
      <c r="AA14" s="11">
        <v>0</v>
      </c>
      <c r="AB14" s="11">
        <v>0</v>
      </c>
      <c r="AC14" s="78"/>
      <c r="AE14" s="17">
        <f>+AC35</f>
        <v>10593018</v>
      </c>
      <c r="AG14" s="15"/>
      <c r="AH14" s="15"/>
      <c r="AI14" s="15"/>
      <c r="AJ14" s="15"/>
      <c r="AK14" s="15"/>
      <c r="AL14" s="15"/>
      <c r="AM14" s="15"/>
      <c r="AN14" s="15"/>
      <c r="AO14" s="15"/>
      <c r="AP14" s="15"/>
      <c r="AQ14" s="15"/>
      <c r="AR14" s="15"/>
      <c r="AS14" s="15"/>
      <c r="AT14" s="15"/>
      <c r="AU14" s="15"/>
      <c r="AV14" s="15"/>
      <c r="AW14" s="15"/>
      <c r="AX14" s="15"/>
      <c r="AY14" s="15"/>
      <c r="AZ14" s="15"/>
      <c r="BA14" s="15"/>
      <c r="BB14" s="15"/>
      <c r="BC14" s="15"/>
      <c r="BD14" s="15"/>
    </row>
    <row r="15" spans="2:56" ht="18.649999999999999" customHeight="1" x14ac:dyDescent="0.25">
      <c r="B15" s="70" t="s">
        <v>34</v>
      </c>
      <c r="C15" s="4" t="s">
        <v>29</v>
      </c>
      <c r="D15" s="5">
        <v>19</v>
      </c>
      <c r="E15" s="11">
        <v>6729</v>
      </c>
      <c r="F15" s="11">
        <v>6445</v>
      </c>
      <c r="G15" s="11">
        <v>6378</v>
      </c>
      <c r="H15" s="11">
        <v>6430</v>
      </c>
      <c r="I15" s="11">
        <v>7418</v>
      </c>
      <c r="J15" s="11">
        <v>10164</v>
      </c>
      <c r="K15" s="11">
        <v>12233</v>
      </c>
      <c r="L15" s="11">
        <v>17882</v>
      </c>
      <c r="M15" s="11">
        <v>17358</v>
      </c>
      <c r="N15" s="11">
        <v>17282</v>
      </c>
      <c r="O15" s="11">
        <v>17248</v>
      </c>
      <c r="P15" s="11">
        <v>18490</v>
      </c>
      <c r="Q15" s="11">
        <v>18151</v>
      </c>
      <c r="R15" s="11">
        <v>17901</v>
      </c>
      <c r="S15" s="11">
        <v>18381</v>
      </c>
      <c r="T15" s="11">
        <v>18597</v>
      </c>
      <c r="U15" s="11">
        <v>18265</v>
      </c>
      <c r="V15" s="11">
        <v>13507</v>
      </c>
      <c r="W15" s="11">
        <v>14916</v>
      </c>
      <c r="X15" s="11">
        <v>15016</v>
      </c>
      <c r="Y15" s="11">
        <v>14317</v>
      </c>
      <c r="Z15" s="11">
        <v>12087</v>
      </c>
      <c r="AA15" s="11">
        <v>10179</v>
      </c>
      <c r="AB15" s="11">
        <v>7910</v>
      </c>
      <c r="AC15" s="76">
        <f>+SUM(E15:AB15)*D15+SUM(E16:AB16)*D16+SUM(E17:AB17)*D17+SUM(E18:AB18)*D18</f>
        <v>10033768</v>
      </c>
      <c r="AE15" s="17">
        <f>+AC39</f>
        <v>10083685</v>
      </c>
      <c r="AG15" s="15"/>
      <c r="AH15" s="15"/>
      <c r="AI15" s="15"/>
      <c r="AJ15" s="15"/>
      <c r="AK15" s="15"/>
      <c r="AL15" s="15"/>
      <c r="AM15" s="15"/>
      <c r="AN15" s="15"/>
      <c r="AO15" s="15"/>
      <c r="AP15" s="15"/>
      <c r="AQ15" s="15"/>
      <c r="AR15" s="15"/>
      <c r="AS15" s="15"/>
      <c r="AT15" s="15"/>
      <c r="AU15" s="15"/>
      <c r="AV15" s="15"/>
      <c r="AW15" s="15"/>
      <c r="AX15" s="15"/>
      <c r="AY15" s="15"/>
      <c r="AZ15" s="15"/>
      <c r="BA15" s="15"/>
      <c r="BB15" s="15"/>
      <c r="BC15" s="15"/>
      <c r="BD15" s="15"/>
    </row>
    <row r="16" spans="2:56" ht="18.649999999999999" customHeight="1" x14ac:dyDescent="0.25">
      <c r="B16" s="70" t="s">
        <v>34</v>
      </c>
      <c r="C16" s="4" t="s">
        <v>30</v>
      </c>
      <c r="D16" s="5">
        <v>5</v>
      </c>
      <c r="E16" s="11">
        <v>6220</v>
      </c>
      <c r="F16" s="11">
        <v>7027</v>
      </c>
      <c r="G16" s="11">
        <v>6885</v>
      </c>
      <c r="H16" s="11">
        <v>6785</v>
      </c>
      <c r="I16" s="11">
        <v>7197</v>
      </c>
      <c r="J16" s="11">
        <v>8064</v>
      </c>
      <c r="K16" s="11">
        <v>10299</v>
      </c>
      <c r="L16" s="11">
        <v>17951</v>
      </c>
      <c r="M16" s="11">
        <v>18560</v>
      </c>
      <c r="N16" s="11">
        <v>19001</v>
      </c>
      <c r="O16" s="11">
        <v>19056</v>
      </c>
      <c r="P16" s="11">
        <v>18838</v>
      </c>
      <c r="Q16" s="11">
        <v>18965</v>
      </c>
      <c r="R16" s="11">
        <v>18545</v>
      </c>
      <c r="S16" s="11">
        <v>18663</v>
      </c>
      <c r="T16" s="11">
        <v>18877</v>
      </c>
      <c r="U16" s="11">
        <v>18893</v>
      </c>
      <c r="V16" s="11">
        <v>13856</v>
      </c>
      <c r="W16" s="11">
        <v>14108</v>
      </c>
      <c r="X16" s="11">
        <v>15205</v>
      </c>
      <c r="Y16" s="11">
        <v>14603</v>
      </c>
      <c r="Z16" s="11">
        <v>13121</v>
      </c>
      <c r="AA16" s="11">
        <v>11261</v>
      </c>
      <c r="AB16" s="11">
        <v>9302</v>
      </c>
      <c r="AC16" s="77"/>
      <c r="AE16" s="17">
        <f>+AC43</f>
        <v>10452286</v>
      </c>
      <c r="AG16" s="15"/>
      <c r="AH16" s="15"/>
      <c r="AI16" s="15"/>
      <c r="AJ16" s="15"/>
      <c r="AK16" s="15"/>
      <c r="AL16" s="15"/>
      <c r="AM16" s="15"/>
      <c r="AN16" s="15"/>
      <c r="AO16" s="15"/>
      <c r="AP16" s="15"/>
      <c r="AQ16" s="15"/>
      <c r="AR16" s="15"/>
      <c r="AS16" s="15"/>
      <c r="AT16" s="15"/>
      <c r="AU16" s="15"/>
      <c r="AV16" s="15"/>
      <c r="AW16" s="15"/>
      <c r="AX16" s="15"/>
      <c r="AY16" s="15"/>
      <c r="AZ16" s="15"/>
      <c r="BA16" s="15"/>
      <c r="BB16" s="15"/>
      <c r="BC16" s="15"/>
      <c r="BD16" s="15"/>
    </row>
    <row r="17" spans="2:56" ht="18.649999999999999" customHeight="1" x14ac:dyDescent="0.25">
      <c r="B17" s="70" t="s">
        <v>34</v>
      </c>
      <c r="C17" s="4" t="s">
        <v>31</v>
      </c>
      <c r="D17" s="5">
        <v>4</v>
      </c>
      <c r="E17" s="11">
        <v>7943</v>
      </c>
      <c r="F17" s="11">
        <v>7683</v>
      </c>
      <c r="G17" s="11">
        <v>7007</v>
      </c>
      <c r="H17" s="11">
        <v>7364</v>
      </c>
      <c r="I17" s="11">
        <v>7429</v>
      </c>
      <c r="J17" s="11">
        <v>5667</v>
      </c>
      <c r="K17" s="11">
        <v>7691</v>
      </c>
      <c r="L17" s="11">
        <v>14476</v>
      </c>
      <c r="M17" s="11">
        <v>15455</v>
      </c>
      <c r="N17" s="11">
        <v>15466</v>
      </c>
      <c r="O17" s="11">
        <v>16370</v>
      </c>
      <c r="P17" s="11">
        <v>17512</v>
      </c>
      <c r="Q17" s="11">
        <v>17223</v>
      </c>
      <c r="R17" s="11">
        <v>17499</v>
      </c>
      <c r="S17" s="11">
        <v>17289</v>
      </c>
      <c r="T17" s="11">
        <v>17167</v>
      </c>
      <c r="U17" s="11">
        <v>17109</v>
      </c>
      <c r="V17" s="11">
        <v>12697</v>
      </c>
      <c r="W17" s="11">
        <v>13655</v>
      </c>
      <c r="X17" s="11">
        <v>14112</v>
      </c>
      <c r="Y17" s="11">
        <v>14469</v>
      </c>
      <c r="Z17" s="11">
        <v>12594</v>
      </c>
      <c r="AA17" s="11">
        <v>10629</v>
      </c>
      <c r="AB17" s="11">
        <v>8354</v>
      </c>
      <c r="AC17" s="77"/>
      <c r="AE17" s="17">
        <f>+AC47</f>
        <v>10239540</v>
      </c>
      <c r="AG17" s="15"/>
      <c r="AH17" s="15"/>
      <c r="AI17" s="15"/>
      <c r="AJ17" s="15"/>
      <c r="AK17" s="15"/>
      <c r="AL17" s="15"/>
      <c r="AM17" s="15"/>
      <c r="AN17" s="15"/>
      <c r="AO17" s="15"/>
      <c r="AP17" s="15"/>
      <c r="AQ17" s="15"/>
      <c r="AR17" s="15"/>
      <c r="AS17" s="15"/>
      <c r="AT17" s="15"/>
      <c r="AU17" s="15"/>
      <c r="AV17" s="15"/>
      <c r="AW17" s="15"/>
      <c r="AX17" s="15"/>
      <c r="AY17" s="15"/>
      <c r="AZ17" s="15"/>
      <c r="BA17" s="15"/>
      <c r="BB17" s="15"/>
      <c r="BC17" s="15"/>
      <c r="BD17" s="15"/>
    </row>
    <row r="18" spans="2:56" ht="18.649999999999999" customHeight="1" x14ac:dyDescent="0.25">
      <c r="B18" s="70" t="s">
        <v>34</v>
      </c>
      <c r="C18" s="4" t="s">
        <v>32</v>
      </c>
      <c r="D18" s="5">
        <v>3</v>
      </c>
      <c r="E18" s="11">
        <v>8860</v>
      </c>
      <c r="F18" s="11">
        <v>8856</v>
      </c>
      <c r="G18" s="11">
        <v>8298</v>
      </c>
      <c r="H18" s="11">
        <v>8324</v>
      </c>
      <c r="I18" s="11">
        <v>8507</v>
      </c>
      <c r="J18" s="11">
        <v>7999</v>
      </c>
      <c r="K18" s="11">
        <v>8934</v>
      </c>
      <c r="L18" s="11">
        <v>15337</v>
      </c>
      <c r="M18" s="11">
        <v>15920</v>
      </c>
      <c r="N18" s="11">
        <v>16763</v>
      </c>
      <c r="O18" s="11">
        <v>18378</v>
      </c>
      <c r="P18" s="11">
        <v>18927</v>
      </c>
      <c r="Q18" s="11">
        <v>19341</v>
      </c>
      <c r="R18" s="11">
        <v>18894</v>
      </c>
      <c r="S18" s="11">
        <v>19521</v>
      </c>
      <c r="T18" s="11">
        <v>19447</v>
      </c>
      <c r="U18" s="11">
        <v>19397</v>
      </c>
      <c r="V18" s="11">
        <v>14937</v>
      </c>
      <c r="W18" s="11">
        <v>16855</v>
      </c>
      <c r="X18" s="11">
        <v>17239</v>
      </c>
      <c r="Y18" s="11">
        <v>16532</v>
      </c>
      <c r="Z18" s="11">
        <v>14575</v>
      </c>
      <c r="AA18" s="11">
        <v>10821</v>
      </c>
      <c r="AB18" s="11">
        <v>8512</v>
      </c>
      <c r="AC18" s="78"/>
      <c r="AE18" s="17">
        <f>+AC51</f>
        <v>10677244</v>
      </c>
      <c r="AG18" s="15"/>
      <c r="AH18" s="15"/>
      <c r="AI18" s="15"/>
      <c r="AJ18" s="15"/>
      <c r="AK18" s="15"/>
      <c r="AL18" s="15"/>
      <c r="AM18" s="15"/>
      <c r="AN18" s="15"/>
      <c r="AO18" s="15"/>
      <c r="AP18" s="15"/>
      <c r="AQ18" s="15"/>
      <c r="AR18" s="15"/>
      <c r="AS18" s="15"/>
      <c r="AT18" s="15"/>
      <c r="AU18" s="15"/>
      <c r="AV18" s="15"/>
      <c r="AW18" s="15"/>
      <c r="AX18" s="15"/>
      <c r="AY18" s="15"/>
      <c r="AZ18" s="15"/>
      <c r="BA18" s="15"/>
      <c r="BB18" s="15"/>
      <c r="BC18" s="15"/>
      <c r="BD18" s="15"/>
    </row>
    <row r="19" spans="2:56" ht="18.649999999999999" customHeight="1" x14ac:dyDescent="0.3">
      <c r="B19" s="70" t="s">
        <v>35</v>
      </c>
      <c r="C19" s="4" t="s">
        <v>29</v>
      </c>
      <c r="D19" s="5">
        <v>21</v>
      </c>
      <c r="E19" s="11">
        <v>7303</v>
      </c>
      <c r="F19" s="11">
        <v>7113</v>
      </c>
      <c r="G19" s="11">
        <v>7219</v>
      </c>
      <c r="H19" s="11">
        <v>6994</v>
      </c>
      <c r="I19" s="11">
        <v>7609</v>
      </c>
      <c r="J19" s="11">
        <v>9379</v>
      </c>
      <c r="K19" s="11">
        <v>11555</v>
      </c>
      <c r="L19" s="11">
        <v>18070</v>
      </c>
      <c r="M19" s="11">
        <v>18158</v>
      </c>
      <c r="N19" s="11">
        <v>17962</v>
      </c>
      <c r="O19" s="11">
        <v>18889</v>
      </c>
      <c r="P19" s="11">
        <v>19997</v>
      </c>
      <c r="Q19" s="11">
        <v>19657</v>
      </c>
      <c r="R19" s="11">
        <v>19461</v>
      </c>
      <c r="S19" s="11">
        <v>20131</v>
      </c>
      <c r="T19" s="11">
        <v>19924</v>
      </c>
      <c r="U19" s="11">
        <v>19859</v>
      </c>
      <c r="V19" s="11">
        <v>14250</v>
      </c>
      <c r="W19" s="11">
        <v>15205</v>
      </c>
      <c r="X19" s="11">
        <v>15478</v>
      </c>
      <c r="Y19" s="11">
        <v>14999</v>
      </c>
      <c r="Z19" s="11">
        <v>13446</v>
      </c>
      <c r="AA19" s="11">
        <v>11240</v>
      </c>
      <c r="AB19" s="11">
        <v>9089</v>
      </c>
      <c r="AC19" s="76">
        <f>+SUM(E19:AB19)*D19+SUM(E20:AB20)*D20+SUM(E21:AB21)*D21+SUM(E22:AB22)*D22</f>
        <v>10103775</v>
      </c>
      <c r="AE19" s="19">
        <f>SUM(AE7:AE18)</f>
        <v>123233380</v>
      </c>
      <c r="AG19" s="15"/>
      <c r="AH19" s="15"/>
      <c r="AI19" s="15"/>
      <c r="AJ19" s="15"/>
      <c r="AK19" s="15"/>
      <c r="AL19" s="15"/>
      <c r="AM19" s="15"/>
      <c r="AN19" s="15"/>
      <c r="AO19" s="15"/>
      <c r="AP19" s="15"/>
      <c r="AQ19" s="15"/>
      <c r="AR19" s="15"/>
      <c r="AS19" s="15"/>
      <c r="AT19" s="15"/>
      <c r="AU19" s="15"/>
      <c r="AV19" s="15"/>
      <c r="AW19" s="15"/>
      <c r="AX19" s="15"/>
      <c r="AY19" s="15"/>
      <c r="AZ19" s="15"/>
      <c r="BA19" s="15"/>
      <c r="BB19" s="15"/>
      <c r="BC19" s="15"/>
      <c r="BD19" s="15"/>
    </row>
    <row r="20" spans="2:56" ht="18.649999999999999" customHeight="1" x14ac:dyDescent="0.25">
      <c r="B20" s="70" t="s">
        <v>35</v>
      </c>
      <c r="C20" s="4" t="s">
        <v>30</v>
      </c>
      <c r="D20" s="5">
        <v>4</v>
      </c>
      <c r="E20" s="11">
        <v>8030</v>
      </c>
      <c r="F20" s="11">
        <v>7603</v>
      </c>
      <c r="G20" s="11">
        <v>7556</v>
      </c>
      <c r="H20" s="11">
        <v>7456</v>
      </c>
      <c r="I20" s="11">
        <v>7703</v>
      </c>
      <c r="J20" s="11">
        <v>7953</v>
      </c>
      <c r="K20" s="11">
        <v>8922</v>
      </c>
      <c r="L20" s="11">
        <v>16846</v>
      </c>
      <c r="M20" s="11">
        <v>16777</v>
      </c>
      <c r="N20" s="11">
        <v>17132</v>
      </c>
      <c r="O20" s="11">
        <v>18201</v>
      </c>
      <c r="P20" s="11">
        <v>18281</v>
      </c>
      <c r="Q20" s="11">
        <v>18963</v>
      </c>
      <c r="R20" s="11">
        <v>18740</v>
      </c>
      <c r="S20" s="11">
        <v>19294</v>
      </c>
      <c r="T20" s="11">
        <v>19478</v>
      </c>
      <c r="U20" s="11">
        <v>19839</v>
      </c>
      <c r="V20" s="11">
        <v>14708</v>
      </c>
      <c r="W20" s="11">
        <v>16288</v>
      </c>
      <c r="X20" s="11">
        <v>14492</v>
      </c>
      <c r="Y20" s="11">
        <v>13782</v>
      </c>
      <c r="Z20" s="11">
        <v>12951</v>
      </c>
      <c r="AA20" s="11">
        <v>11593</v>
      </c>
      <c r="AB20" s="11">
        <v>10844</v>
      </c>
      <c r="AC20" s="77"/>
      <c r="AG20" s="15"/>
      <c r="AH20" s="15"/>
      <c r="AI20" s="15"/>
      <c r="AJ20" s="15"/>
      <c r="AK20" s="15"/>
      <c r="AL20" s="15"/>
      <c r="AM20" s="15"/>
      <c r="AN20" s="15"/>
      <c r="AO20" s="15"/>
      <c r="AP20" s="15"/>
      <c r="AQ20" s="15"/>
      <c r="AR20" s="15"/>
      <c r="AS20" s="15"/>
      <c r="AT20" s="15"/>
      <c r="AU20" s="15"/>
      <c r="AV20" s="15"/>
      <c r="AW20" s="15"/>
      <c r="AX20" s="15"/>
      <c r="AY20" s="15"/>
      <c r="AZ20" s="15"/>
      <c r="BA20" s="15"/>
      <c r="BB20" s="15"/>
      <c r="BC20" s="15"/>
      <c r="BD20" s="15"/>
    </row>
    <row r="21" spans="2:56" ht="18.649999999999999" customHeight="1" x14ac:dyDescent="0.25">
      <c r="B21" s="70" t="s">
        <v>35</v>
      </c>
      <c r="C21" s="4" t="s">
        <v>31</v>
      </c>
      <c r="D21" s="5">
        <v>5</v>
      </c>
      <c r="E21" s="11">
        <v>8630</v>
      </c>
      <c r="F21" s="11">
        <v>7901</v>
      </c>
      <c r="G21" s="11">
        <v>7371</v>
      </c>
      <c r="H21" s="11">
        <v>7400</v>
      </c>
      <c r="I21" s="11">
        <v>6985</v>
      </c>
      <c r="J21" s="11">
        <v>7002</v>
      </c>
      <c r="K21" s="11">
        <v>8074</v>
      </c>
      <c r="L21" s="11">
        <v>14513</v>
      </c>
      <c r="M21" s="11">
        <v>16023</v>
      </c>
      <c r="N21" s="11">
        <v>16280</v>
      </c>
      <c r="O21" s="11">
        <v>16961</v>
      </c>
      <c r="P21" s="11">
        <v>16982</v>
      </c>
      <c r="Q21" s="11">
        <v>17462</v>
      </c>
      <c r="R21" s="11">
        <v>17238</v>
      </c>
      <c r="S21" s="11">
        <v>17501</v>
      </c>
      <c r="T21" s="11">
        <v>17305</v>
      </c>
      <c r="U21" s="11">
        <v>18344</v>
      </c>
      <c r="V21" s="11">
        <v>13386</v>
      </c>
      <c r="W21" s="11">
        <v>14565</v>
      </c>
      <c r="X21" s="11">
        <v>14678</v>
      </c>
      <c r="Y21" s="11">
        <v>14460</v>
      </c>
      <c r="Z21" s="11">
        <v>13510</v>
      </c>
      <c r="AA21" s="11">
        <v>12061</v>
      </c>
      <c r="AB21" s="11">
        <v>8832</v>
      </c>
      <c r="AC21" s="77"/>
      <c r="AG21" s="15"/>
      <c r="AH21" s="15"/>
      <c r="AI21" s="15"/>
      <c r="AJ21" s="15"/>
      <c r="AK21" s="15"/>
      <c r="AL21" s="15"/>
      <c r="AM21" s="15"/>
      <c r="AN21" s="15"/>
      <c r="AO21" s="15"/>
      <c r="AP21" s="15"/>
      <c r="AQ21" s="15"/>
      <c r="AR21" s="15"/>
      <c r="AS21" s="15"/>
      <c r="AT21" s="15"/>
      <c r="AU21" s="15"/>
      <c r="AV21" s="15"/>
      <c r="AW21" s="15"/>
      <c r="AX21" s="15"/>
      <c r="AY21" s="15"/>
      <c r="AZ21" s="15"/>
      <c r="BA21" s="15"/>
      <c r="BB21" s="15"/>
      <c r="BC21" s="15"/>
      <c r="BD21" s="15"/>
    </row>
    <row r="22" spans="2:56" ht="18.649999999999999" customHeight="1" x14ac:dyDescent="0.25">
      <c r="B22" s="70" t="s">
        <v>35</v>
      </c>
      <c r="C22" s="4" t="s">
        <v>32</v>
      </c>
      <c r="D22" s="5">
        <v>0</v>
      </c>
      <c r="E22" s="11">
        <v>21264</v>
      </c>
      <c r="F22" s="11">
        <v>18957</v>
      </c>
      <c r="G22" s="11">
        <v>17989</v>
      </c>
      <c r="H22" s="11">
        <v>17180</v>
      </c>
      <c r="I22" s="11">
        <v>17343</v>
      </c>
      <c r="J22" s="11">
        <v>17853</v>
      </c>
      <c r="K22" s="11">
        <v>19267</v>
      </c>
      <c r="L22" s="11">
        <v>25564</v>
      </c>
      <c r="M22" s="11">
        <v>28153</v>
      </c>
      <c r="N22" s="11">
        <v>29585</v>
      </c>
      <c r="O22" s="11">
        <v>30605</v>
      </c>
      <c r="P22" s="11">
        <v>33347</v>
      </c>
      <c r="Q22" s="11">
        <v>34211</v>
      </c>
      <c r="R22" s="11">
        <v>33318</v>
      </c>
      <c r="S22" s="11">
        <v>32896</v>
      </c>
      <c r="T22" s="11">
        <v>32380</v>
      </c>
      <c r="U22" s="11">
        <v>32442</v>
      </c>
      <c r="V22" s="11">
        <v>35516</v>
      </c>
      <c r="W22" s="11">
        <v>39380</v>
      </c>
      <c r="X22" s="11">
        <v>40666</v>
      </c>
      <c r="Y22" s="11">
        <v>39202</v>
      </c>
      <c r="Z22" s="11">
        <v>37114</v>
      </c>
      <c r="AA22" s="11">
        <v>33437</v>
      </c>
      <c r="AB22" s="11">
        <v>28499</v>
      </c>
      <c r="AC22" s="78"/>
      <c r="AG22" s="15"/>
      <c r="AH22" s="15"/>
      <c r="AI22" s="15"/>
      <c r="AJ22" s="15"/>
      <c r="AK22" s="15"/>
      <c r="AL22" s="15"/>
      <c r="AM22" s="15"/>
      <c r="AN22" s="15"/>
      <c r="AO22" s="15"/>
      <c r="AP22" s="15"/>
      <c r="AQ22" s="15"/>
      <c r="AR22" s="15"/>
      <c r="AS22" s="15"/>
      <c r="AT22" s="15"/>
      <c r="AU22" s="15"/>
      <c r="AV22" s="15"/>
      <c r="AW22" s="15"/>
      <c r="AX22" s="15"/>
      <c r="AY22" s="15"/>
      <c r="AZ22" s="15"/>
      <c r="BA22" s="15"/>
      <c r="BB22" s="15"/>
      <c r="BC22" s="15"/>
      <c r="BD22" s="15"/>
    </row>
    <row r="23" spans="2:56" ht="18.649999999999999" customHeight="1" x14ac:dyDescent="0.25">
      <c r="B23" s="70" t="s">
        <v>36</v>
      </c>
      <c r="C23" s="4" t="s">
        <v>29</v>
      </c>
      <c r="D23" s="5">
        <v>21</v>
      </c>
      <c r="E23" s="11">
        <v>7304</v>
      </c>
      <c r="F23" s="11">
        <v>7021</v>
      </c>
      <c r="G23" s="11">
        <v>6770</v>
      </c>
      <c r="H23" s="11">
        <v>6906</v>
      </c>
      <c r="I23" s="11">
        <v>7612</v>
      </c>
      <c r="J23" s="11">
        <v>9697</v>
      </c>
      <c r="K23" s="11">
        <v>11616</v>
      </c>
      <c r="L23" s="11">
        <v>17688</v>
      </c>
      <c r="M23" s="11">
        <v>17444</v>
      </c>
      <c r="N23" s="11">
        <v>16832</v>
      </c>
      <c r="O23" s="11">
        <v>17174</v>
      </c>
      <c r="P23" s="11">
        <v>18504</v>
      </c>
      <c r="Q23" s="11">
        <v>18256</v>
      </c>
      <c r="R23" s="11">
        <v>18497</v>
      </c>
      <c r="S23" s="11">
        <v>19273</v>
      </c>
      <c r="T23" s="11">
        <v>19244</v>
      </c>
      <c r="U23" s="11">
        <v>19188</v>
      </c>
      <c r="V23" s="11">
        <v>14153</v>
      </c>
      <c r="W23" s="11">
        <v>14903</v>
      </c>
      <c r="X23" s="11">
        <v>15273</v>
      </c>
      <c r="Y23" s="11">
        <v>14587</v>
      </c>
      <c r="Z23" s="11">
        <v>13044</v>
      </c>
      <c r="AA23" s="11">
        <v>11009</v>
      </c>
      <c r="AB23" s="11">
        <v>8944</v>
      </c>
      <c r="AC23" s="76">
        <f>+SUM(E23:AB23)*D23+SUM(E24:AB24)*D24+SUM(E25:AB25)*D25+SUM(E26:AB26)*D26</f>
        <v>10080661</v>
      </c>
      <c r="AG23" s="15"/>
      <c r="AH23" s="15"/>
      <c r="AI23" s="15"/>
      <c r="AJ23" s="15"/>
      <c r="AK23" s="15"/>
      <c r="AL23" s="15"/>
      <c r="AM23" s="15"/>
      <c r="AN23" s="15"/>
      <c r="AO23" s="15"/>
      <c r="AP23" s="15"/>
      <c r="AQ23" s="15"/>
      <c r="AR23" s="15"/>
      <c r="AS23" s="15"/>
      <c r="AT23" s="15"/>
      <c r="AU23" s="15"/>
      <c r="AV23" s="15"/>
      <c r="AW23" s="15"/>
      <c r="AX23" s="15"/>
      <c r="AY23" s="15"/>
      <c r="AZ23" s="15"/>
      <c r="BA23" s="15"/>
      <c r="BB23" s="15"/>
      <c r="BC23" s="15"/>
      <c r="BD23" s="15"/>
    </row>
    <row r="24" spans="2:56" ht="18.649999999999999" customHeight="1" x14ac:dyDescent="0.25">
      <c r="B24" s="70" t="s">
        <v>36</v>
      </c>
      <c r="C24" s="4" t="s">
        <v>30</v>
      </c>
      <c r="D24" s="5">
        <v>4</v>
      </c>
      <c r="E24" s="11">
        <v>8009</v>
      </c>
      <c r="F24" s="11">
        <v>7101</v>
      </c>
      <c r="G24" s="11">
        <v>7082</v>
      </c>
      <c r="H24" s="11">
        <v>7049</v>
      </c>
      <c r="I24" s="11">
        <v>7253</v>
      </c>
      <c r="J24" s="11">
        <v>7475</v>
      </c>
      <c r="K24" s="11">
        <v>9098</v>
      </c>
      <c r="L24" s="11">
        <v>16515</v>
      </c>
      <c r="M24" s="11">
        <v>17414</v>
      </c>
      <c r="N24" s="11">
        <v>17776</v>
      </c>
      <c r="O24" s="11">
        <v>17813</v>
      </c>
      <c r="P24" s="11">
        <v>17788</v>
      </c>
      <c r="Q24" s="11">
        <v>18081</v>
      </c>
      <c r="R24" s="11">
        <v>17600</v>
      </c>
      <c r="S24" s="11">
        <v>17620</v>
      </c>
      <c r="T24" s="11">
        <v>17705</v>
      </c>
      <c r="U24" s="11">
        <v>17840</v>
      </c>
      <c r="V24" s="11">
        <v>13208</v>
      </c>
      <c r="W24" s="11">
        <v>14038</v>
      </c>
      <c r="X24" s="11">
        <v>14877</v>
      </c>
      <c r="Y24" s="11">
        <v>14140</v>
      </c>
      <c r="Z24" s="11">
        <v>13093</v>
      </c>
      <c r="AA24" s="11">
        <v>11329</v>
      </c>
      <c r="AB24" s="11">
        <v>9598</v>
      </c>
      <c r="AC24" s="77"/>
      <c r="AG24" s="15"/>
      <c r="AH24" s="15"/>
      <c r="AI24" s="15"/>
      <c r="AJ24" s="15"/>
      <c r="AK24" s="15"/>
      <c r="AL24" s="15"/>
      <c r="AM24" s="15"/>
      <c r="AN24" s="15"/>
      <c r="AO24" s="15"/>
      <c r="AP24" s="15"/>
      <c r="AQ24" s="15"/>
      <c r="AR24" s="15"/>
      <c r="AS24" s="15"/>
      <c r="AT24" s="15"/>
      <c r="AU24" s="15"/>
      <c r="AV24" s="15"/>
      <c r="AW24" s="15"/>
      <c r="AX24" s="15"/>
      <c r="AY24" s="15"/>
      <c r="AZ24" s="15"/>
      <c r="BA24" s="15"/>
      <c r="BB24" s="15"/>
      <c r="BC24" s="15"/>
      <c r="BD24" s="15"/>
    </row>
    <row r="25" spans="2:56" ht="18.649999999999999" customHeight="1" x14ac:dyDescent="0.25">
      <c r="B25" s="70" t="s">
        <v>36</v>
      </c>
      <c r="C25" s="4" t="s">
        <v>31</v>
      </c>
      <c r="D25" s="5">
        <v>4</v>
      </c>
      <c r="E25" s="11">
        <v>8040</v>
      </c>
      <c r="F25" s="11">
        <v>7650</v>
      </c>
      <c r="G25" s="11">
        <v>6809</v>
      </c>
      <c r="H25" s="11">
        <v>6786</v>
      </c>
      <c r="I25" s="11">
        <v>6405</v>
      </c>
      <c r="J25" s="11">
        <v>6637</v>
      </c>
      <c r="K25" s="11">
        <v>7601</v>
      </c>
      <c r="L25" s="11">
        <v>14547</v>
      </c>
      <c r="M25" s="11">
        <v>15610</v>
      </c>
      <c r="N25" s="11">
        <v>15980</v>
      </c>
      <c r="O25" s="11">
        <v>16307</v>
      </c>
      <c r="P25" s="11">
        <v>16276</v>
      </c>
      <c r="Q25" s="11">
        <v>16658</v>
      </c>
      <c r="R25" s="11">
        <v>16310</v>
      </c>
      <c r="S25" s="11">
        <v>16281</v>
      </c>
      <c r="T25" s="11">
        <v>16660</v>
      </c>
      <c r="U25" s="11">
        <v>17890</v>
      </c>
      <c r="V25" s="11">
        <v>11040</v>
      </c>
      <c r="W25" s="11">
        <v>13800</v>
      </c>
      <c r="X25" s="11">
        <v>14112</v>
      </c>
      <c r="Y25" s="11">
        <v>13560</v>
      </c>
      <c r="Z25" s="11">
        <v>12092</v>
      </c>
      <c r="AA25" s="11">
        <v>9742</v>
      </c>
      <c r="AB25" s="11">
        <v>7585</v>
      </c>
      <c r="AC25" s="77"/>
      <c r="AG25" s="15"/>
      <c r="AH25" s="15"/>
      <c r="AI25" s="15"/>
      <c r="AJ25" s="15"/>
      <c r="AK25" s="15"/>
      <c r="AL25" s="15"/>
      <c r="AM25" s="15"/>
      <c r="AN25" s="15"/>
      <c r="AO25" s="15"/>
      <c r="AP25" s="15"/>
      <c r="AQ25" s="15"/>
      <c r="AR25" s="15"/>
      <c r="AS25" s="15"/>
      <c r="AT25" s="15"/>
      <c r="AU25" s="15"/>
      <c r="AV25" s="15"/>
      <c r="AW25" s="15"/>
      <c r="AX25" s="15"/>
      <c r="AY25" s="15"/>
      <c r="AZ25" s="15"/>
      <c r="BA25" s="15"/>
      <c r="BB25" s="15"/>
      <c r="BC25" s="15"/>
      <c r="BD25" s="15"/>
    </row>
    <row r="26" spans="2:56" ht="18.649999999999999" customHeight="1" x14ac:dyDescent="0.25">
      <c r="B26" s="70" t="s">
        <v>36</v>
      </c>
      <c r="C26" s="4" t="s">
        <v>32</v>
      </c>
      <c r="D26" s="5">
        <v>2</v>
      </c>
      <c r="E26" s="11">
        <v>6683</v>
      </c>
      <c r="F26" s="11">
        <v>7958</v>
      </c>
      <c r="G26" s="11">
        <v>8033</v>
      </c>
      <c r="H26" s="11">
        <v>7451</v>
      </c>
      <c r="I26" s="11">
        <v>8303</v>
      </c>
      <c r="J26" s="11">
        <v>8703</v>
      </c>
      <c r="K26" s="11">
        <v>9943</v>
      </c>
      <c r="L26" s="11">
        <v>17241</v>
      </c>
      <c r="M26" s="11">
        <v>17356</v>
      </c>
      <c r="N26" s="11">
        <v>18527</v>
      </c>
      <c r="O26" s="11">
        <v>19194</v>
      </c>
      <c r="P26" s="11">
        <v>19866</v>
      </c>
      <c r="Q26" s="11">
        <v>20481</v>
      </c>
      <c r="R26" s="11">
        <v>20453</v>
      </c>
      <c r="S26" s="11">
        <v>19403</v>
      </c>
      <c r="T26" s="11">
        <v>19314</v>
      </c>
      <c r="U26" s="11">
        <v>18605</v>
      </c>
      <c r="V26" s="11">
        <v>13806</v>
      </c>
      <c r="W26" s="11">
        <v>15136</v>
      </c>
      <c r="X26" s="11">
        <v>14347</v>
      </c>
      <c r="Y26" s="11">
        <v>13683</v>
      </c>
      <c r="Z26" s="11">
        <v>12894</v>
      </c>
      <c r="AA26" s="11">
        <v>11042</v>
      </c>
      <c r="AB26" s="11">
        <v>9289</v>
      </c>
      <c r="AC26" s="78"/>
      <c r="AG26" s="15"/>
      <c r="AH26" s="15"/>
      <c r="AI26" s="15"/>
      <c r="AJ26" s="15"/>
      <c r="AK26" s="15"/>
      <c r="AL26" s="15"/>
      <c r="AM26" s="15"/>
      <c r="AN26" s="15"/>
      <c r="AO26" s="15"/>
      <c r="AP26" s="15"/>
      <c r="AQ26" s="15"/>
      <c r="AR26" s="15"/>
      <c r="AS26" s="15"/>
      <c r="AT26" s="15"/>
      <c r="AU26" s="15"/>
      <c r="AV26" s="15"/>
      <c r="AW26" s="15"/>
      <c r="AX26" s="15"/>
      <c r="AY26" s="15"/>
      <c r="AZ26" s="15"/>
      <c r="BA26" s="15"/>
      <c r="BB26" s="15"/>
      <c r="BC26" s="15"/>
      <c r="BD26" s="15"/>
    </row>
    <row r="27" spans="2:56" ht="18.649999999999999" customHeight="1" x14ac:dyDescent="0.25">
      <c r="B27" s="70" t="s">
        <v>37</v>
      </c>
      <c r="C27" s="4" t="s">
        <v>29</v>
      </c>
      <c r="D27" s="5">
        <v>19</v>
      </c>
      <c r="E27" s="11">
        <v>8159</v>
      </c>
      <c r="F27" s="11">
        <v>7803</v>
      </c>
      <c r="G27" s="11">
        <v>7694</v>
      </c>
      <c r="H27" s="11">
        <v>7596</v>
      </c>
      <c r="I27" s="11">
        <v>8373</v>
      </c>
      <c r="J27" s="11">
        <v>10270</v>
      </c>
      <c r="K27" s="11">
        <v>12122</v>
      </c>
      <c r="L27" s="11">
        <v>18864</v>
      </c>
      <c r="M27" s="11">
        <v>18466</v>
      </c>
      <c r="N27" s="11">
        <v>18637</v>
      </c>
      <c r="O27" s="11">
        <v>19105</v>
      </c>
      <c r="P27" s="11">
        <v>19455</v>
      </c>
      <c r="Q27" s="11">
        <v>19479</v>
      </c>
      <c r="R27" s="11">
        <v>19524</v>
      </c>
      <c r="S27" s="11">
        <v>20141</v>
      </c>
      <c r="T27" s="11">
        <v>20195</v>
      </c>
      <c r="U27" s="11">
        <v>20498</v>
      </c>
      <c r="V27" s="11">
        <v>14738</v>
      </c>
      <c r="W27" s="11">
        <v>15882</v>
      </c>
      <c r="X27" s="11">
        <v>15925</v>
      </c>
      <c r="Y27" s="11">
        <v>14914</v>
      </c>
      <c r="Z27" s="11">
        <v>13154</v>
      </c>
      <c r="AA27" s="11">
        <v>11102</v>
      </c>
      <c r="AB27" s="11">
        <v>9335</v>
      </c>
      <c r="AC27" s="76">
        <f>+SUM(E27:AB27)*D27+SUM(E28:AB28)*D28+SUM(E29:AB29)*D29+SUM(E30:AB30)*D30</f>
        <v>10232240</v>
      </c>
      <c r="AG27" s="15"/>
      <c r="AH27" s="15"/>
      <c r="AI27" s="15"/>
      <c r="AJ27" s="15"/>
      <c r="AK27" s="15"/>
      <c r="AL27" s="15"/>
      <c r="AM27" s="15"/>
      <c r="AN27" s="15"/>
      <c r="AO27" s="15"/>
      <c r="AP27" s="15"/>
      <c r="AQ27" s="15"/>
      <c r="AR27" s="15"/>
      <c r="AS27" s="15"/>
      <c r="AT27" s="15"/>
      <c r="AU27" s="15"/>
      <c r="AV27" s="15"/>
      <c r="AW27" s="15"/>
      <c r="AX27" s="15"/>
      <c r="AY27" s="15"/>
      <c r="AZ27" s="15"/>
      <c r="BA27" s="15"/>
      <c r="BB27" s="15"/>
      <c r="BC27" s="15"/>
      <c r="BD27" s="15"/>
    </row>
    <row r="28" spans="2:56" ht="18.649999999999999" customHeight="1" x14ac:dyDescent="0.25">
      <c r="B28" s="70" t="s">
        <v>37</v>
      </c>
      <c r="C28" s="4" t="s">
        <v>30</v>
      </c>
      <c r="D28" s="5">
        <v>5</v>
      </c>
      <c r="E28" s="11">
        <v>8175</v>
      </c>
      <c r="F28" s="11">
        <v>7747</v>
      </c>
      <c r="G28" s="11">
        <v>7459</v>
      </c>
      <c r="H28" s="11">
        <v>7324</v>
      </c>
      <c r="I28" s="11">
        <v>7579</v>
      </c>
      <c r="J28" s="11">
        <v>8165</v>
      </c>
      <c r="K28" s="11">
        <v>9445</v>
      </c>
      <c r="L28" s="11">
        <v>17553</v>
      </c>
      <c r="M28" s="11">
        <v>18040</v>
      </c>
      <c r="N28" s="11">
        <v>18293</v>
      </c>
      <c r="O28" s="11">
        <v>18796</v>
      </c>
      <c r="P28" s="11">
        <v>18779</v>
      </c>
      <c r="Q28" s="11">
        <v>18881</v>
      </c>
      <c r="R28" s="11">
        <v>18565</v>
      </c>
      <c r="S28" s="11">
        <v>18092</v>
      </c>
      <c r="T28" s="11">
        <v>18133</v>
      </c>
      <c r="U28" s="11">
        <v>18322</v>
      </c>
      <c r="V28" s="11">
        <v>13310</v>
      </c>
      <c r="W28" s="11">
        <v>14169</v>
      </c>
      <c r="X28" s="11">
        <v>14851</v>
      </c>
      <c r="Y28" s="11">
        <v>14149</v>
      </c>
      <c r="Z28" s="11">
        <v>12971</v>
      </c>
      <c r="AA28" s="11">
        <v>11691</v>
      </c>
      <c r="AB28" s="11">
        <v>10054</v>
      </c>
      <c r="AC28" s="77"/>
      <c r="AG28" s="15"/>
      <c r="AH28" s="15"/>
      <c r="AI28" s="15"/>
      <c r="AJ28" s="15"/>
      <c r="AK28" s="15"/>
      <c r="AL28" s="15"/>
      <c r="AM28" s="15"/>
      <c r="AN28" s="15"/>
      <c r="AO28" s="15"/>
      <c r="AP28" s="15"/>
      <c r="AQ28" s="15"/>
      <c r="AR28" s="15"/>
      <c r="AS28" s="15"/>
      <c r="AT28" s="15"/>
      <c r="AU28" s="15"/>
      <c r="AV28" s="15"/>
      <c r="AW28" s="15"/>
      <c r="AX28" s="15"/>
      <c r="AY28" s="15"/>
      <c r="AZ28" s="15"/>
      <c r="BA28" s="15"/>
      <c r="BB28" s="15"/>
      <c r="BC28" s="15"/>
      <c r="BD28" s="15"/>
    </row>
    <row r="29" spans="2:56" ht="18.649999999999999" customHeight="1" x14ac:dyDescent="0.25">
      <c r="B29" s="70" t="s">
        <v>37</v>
      </c>
      <c r="C29" s="4" t="s">
        <v>31</v>
      </c>
      <c r="D29" s="5">
        <v>4</v>
      </c>
      <c r="E29" s="11">
        <v>9430</v>
      </c>
      <c r="F29" s="11">
        <v>8509</v>
      </c>
      <c r="G29" s="11">
        <v>8183</v>
      </c>
      <c r="H29" s="11">
        <v>8019</v>
      </c>
      <c r="I29" s="11">
        <v>7802</v>
      </c>
      <c r="J29" s="11">
        <v>7749</v>
      </c>
      <c r="K29" s="11">
        <v>8447</v>
      </c>
      <c r="L29" s="11">
        <v>15533</v>
      </c>
      <c r="M29" s="11">
        <v>16308</v>
      </c>
      <c r="N29" s="11">
        <v>17115</v>
      </c>
      <c r="O29" s="11">
        <v>17374</v>
      </c>
      <c r="P29" s="11">
        <v>17417</v>
      </c>
      <c r="Q29" s="11">
        <v>17343</v>
      </c>
      <c r="R29" s="11">
        <v>17441</v>
      </c>
      <c r="S29" s="11">
        <v>17049</v>
      </c>
      <c r="T29" s="11">
        <v>17302</v>
      </c>
      <c r="U29" s="11">
        <v>17880</v>
      </c>
      <c r="V29" s="11">
        <v>12970</v>
      </c>
      <c r="W29" s="11">
        <v>13755</v>
      </c>
      <c r="X29" s="11">
        <v>14544</v>
      </c>
      <c r="Y29" s="11">
        <v>13998</v>
      </c>
      <c r="Z29" s="11">
        <v>12960</v>
      </c>
      <c r="AA29" s="11">
        <v>11415</v>
      </c>
      <c r="AB29" s="11">
        <v>9586</v>
      </c>
      <c r="AC29" s="77"/>
      <c r="AG29" s="15"/>
      <c r="AH29" s="15"/>
      <c r="AI29" s="15"/>
      <c r="AJ29" s="15"/>
      <c r="AK29" s="15"/>
      <c r="AL29" s="15"/>
      <c r="AM29" s="15"/>
      <c r="AN29" s="15"/>
      <c r="AO29" s="15"/>
      <c r="AP29" s="15"/>
      <c r="AQ29" s="15"/>
      <c r="AR29" s="15"/>
      <c r="AS29" s="15"/>
      <c r="AT29" s="15"/>
      <c r="AU29" s="15"/>
      <c r="AV29" s="15"/>
      <c r="AW29" s="15"/>
      <c r="AX29" s="15"/>
      <c r="AY29" s="15"/>
      <c r="AZ29" s="15"/>
      <c r="BA29" s="15"/>
      <c r="BB29" s="15"/>
      <c r="BC29" s="15"/>
      <c r="BD29" s="15"/>
    </row>
    <row r="30" spans="2:56" ht="18.649999999999999" customHeight="1" x14ac:dyDescent="0.25">
      <c r="B30" s="70" t="s">
        <v>37</v>
      </c>
      <c r="C30" s="4" t="s">
        <v>32</v>
      </c>
      <c r="D30" s="5">
        <v>2</v>
      </c>
      <c r="E30" s="11">
        <v>8165</v>
      </c>
      <c r="F30" s="11">
        <v>7783</v>
      </c>
      <c r="G30" s="11">
        <v>7498</v>
      </c>
      <c r="H30" s="11">
        <v>7428</v>
      </c>
      <c r="I30" s="11">
        <v>7407</v>
      </c>
      <c r="J30" s="11">
        <v>7527</v>
      </c>
      <c r="K30" s="11">
        <v>7884</v>
      </c>
      <c r="L30" s="11">
        <v>15114</v>
      </c>
      <c r="M30" s="11">
        <v>15010</v>
      </c>
      <c r="N30" s="11">
        <v>15459</v>
      </c>
      <c r="O30" s="11">
        <v>16996</v>
      </c>
      <c r="P30" s="11">
        <v>17385</v>
      </c>
      <c r="Q30" s="11">
        <v>18447</v>
      </c>
      <c r="R30" s="11">
        <v>18759</v>
      </c>
      <c r="S30" s="11">
        <v>18584</v>
      </c>
      <c r="T30" s="11">
        <v>18669</v>
      </c>
      <c r="U30" s="11">
        <v>18687</v>
      </c>
      <c r="V30" s="11">
        <v>12778</v>
      </c>
      <c r="W30" s="11">
        <v>13643</v>
      </c>
      <c r="X30" s="11">
        <v>14153</v>
      </c>
      <c r="Y30" s="11">
        <v>13844</v>
      </c>
      <c r="Z30" s="11">
        <v>13014</v>
      </c>
      <c r="AA30" s="11">
        <v>11223</v>
      </c>
      <c r="AB30" s="11">
        <v>9453</v>
      </c>
      <c r="AC30" s="78"/>
      <c r="AG30" s="15"/>
      <c r="AH30" s="15"/>
      <c r="AI30" s="15"/>
      <c r="AJ30" s="15"/>
      <c r="AK30" s="15"/>
      <c r="AL30" s="15"/>
      <c r="AM30" s="15"/>
      <c r="AN30" s="15"/>
      <c r="AO30" s="15"/>
      <c r="AP30" s="15"/>
      <c r="AQ30" s="15"/>
      <c r="AR30" s="15"/>
      <c r="AS30" s="15"/>
      <c r="AT30" s="15"/>
      <c r="AU30" s="15"/>
      <c r="AV30" s="15"/>
      <c r="AW30" s="15"/>
      <c r="AX30" s="15"/>
      <c r="AY30" s="15"/>
      <c r="AZ30" s="15"/>
      <c r="BA30" s="15"/>
      <c r="BB30" s="15"/>
      <c r="BC30" s="15"/>
      <c r="BD30" s="15"/>
    </row>
    <row r="31" spans="2:56" ht="18.649999999999999" customHeight="1" x14ac:dyDescent="0.25">
      <c r="B31" s="70" t="s">
        <v>38</v>
      </c>
      <c r="C31" s="4" t="s">
        <v>29</v>
      </c>
      <c r="D31" s="5">
        <v>20</v>
      </c>
      <c r="E31" s="11">
        <v>8704</v>
      </c>
      <c r="F31" s="11">
        <v>8381</v>
      </c>
      <c r="G31" s="11">
        <v>8146</v>
      </c>
      <c r="H31" s="11">
        <v>8232</v>
      </c>
      <c r="I31" s="11">
        <v>8941</v>
      </c>
      <c r="J31" s="11">
        <v>10989</v>
      </c>
      <c r="K31" s="11">
        <v>13149</v>
      </c>
      <c r="L31" s="11">
        <v>18978</v>
      </c>
      <c r="M31" s="11">
        <v>18771</v>
      </c>
      <c r="N31" s="11">
        <v>18862</v>
      </c>
      <c r="O31" s="11">
        <v>18853</v>
      </c>
      <c r="P31" s="11">
        <v>19919</v>
      </c>
      <c r="Q31" s="11">
        <v>19661</v>
      </c>
      <c r="R31" s="11">
        <v>19781</v>
      </c>
      <c r="S31" s="11">
        <v>20199</v>
      </c>
      <c r="T31" s="11">
        <v>20324</v>
      </c>
      <c r="U31" s="11">
        <v>20333</v>
      </c>
      <c r="V31" s="11">
        <v>15168</v>
      </c>
      <c r="W31" s="11">
        <v>15676</v>
      </c>
      <c r="X31" s="11">
        <v>16678</v>
      </c>
      <c r="Y31" s="11">
        <v>15912</v>
      </c>
      <c r="Z31" s="11">
        <v>14139</v>
      </c>
      <c r="AA31" s="11">
        <v>11702</v>
      </c>
      <c r="AB31" s="11">
        <v>10245</v>
      </c>
      <c r="AC31" s="76">
        <f>+SUM(E31:AB31)*D31+SUM(E32:AB32)*D32+SUM(E33:AB33)*D33+SUM(E34:AB34)*D34</f>
        <v>10757818</v>
      </c>
      <c r="AG31" s="15"/>
      <c r="AH31" s="15"/>
      <c r="AI31" s="15"/>
      <c r="AJ31" s="15"/>
      <c r="AK31" s="15"/>
      <c r="AL31" s="15"/>
      <c r="AM31" s="15"/>
      <c r="AN31" s="15"/>
      <c r="AO31" s="15"/>
      <c r="AP31" s="15"/>
      <c r="AQ31" s="15"/>
      <c r="AR31" s="15"/>
      <c r="AS31" s="15"/>
      <c r="AT31" s="15"/>
      <c r="AU31" s="15"/>
      <c r="AV31" s="15"/>
      <c r="AW31" s="15"/>
      <c r="AX31" s="15"/>
      <c r="AY31" s="15"/>
      <c r="AZ31" s="15"/>
      <c r="BA31" s="15"/>
      <c r="BB31" s="15"/>
      <c r="BC31" s="15"/>
      <c r="BD31" s="15"/>
    </row>
    <row r="32" spans="2:56" ht="18.649999999999999" customHeight="1" x14ac:dyDescent="0.25">
      <c r="B32" s="70" t="s">
        <v>38</v>
      </c>
      <c r="C32" s="4" t="s">
        <v>30</v>
      </c>
      <c r="D32" s="5">
        <v>4</v>
      </c>
      <c r="E32" s="11">
        <v>10006</v>
      </c>
      <c r="F32" s="11">
        <v>9419</v>
      </c>
      <c r="G32" s="11">
        <v>9028</v>
      </c>
      <c r="H32" s="11">
        <v>8834</v>
      </c>
      <c r="I32" s="11">
        <v>8986</v>
      </c>
      <c r="J32" s="11">
        <v>9236</v>
      </c>
      <c r="K32" s="11">
        <v>10448</v>
      </c>
      <c r="L32" s="11">
        <v>18087</v>
      </c>
      <c r="M32" s="11">
        <v>18558</v>
      </c>
      <c r="N32" s="11">
        <v>18748</v>
      </c>
      <c r="O32" s="11">
        <v>18809</v>
      </c>
      <c r="P32" s="11">
        <v>19373</v>
      </c>
      <c r="Q32" s="11">
        <v>19832</v>
      </c>
      <c r="R32" s="11">
        <v>19607</v>
      </c>
      <c r="S32" s="11">
        <v>19380</v>
      </c>
      <c r="T32" s="11">
        <v>19027</v>
      </c>
      <c r="U32" s="11">
        <v>18758</v>
      </c>
      <c r="V32" s="11">
        <v>14151</v>
      </c>
      <c r="W32" s="11">
        <v>14219</v>
      </c>
      <c r="X32" s="11">
        <v>15182</v>
      </c>
      <c r="Y32" s="11">
        <v>14273</v>
      </c>
      <c r="Z32" s="11">
        <v>12851</v>
      </c>
      <c r="AA32" s="11">
        <v>11370</v>
      </c>
      <c r="AB32" s="11">
        <v>10013</v>
      </c>
      <c r="AC32" s="77"/>
      <c r="AG32" s="15"/>
      <c r="AH32" s="15"/>
      <c r="AI32" s="15"/>
      <c r="AJ32" s="15"/>
      <c r="AK32" s="15"/>
      <c r="AL32" s="15"/>
      <c r="AM32" s="15"/>
      <c r="AN32" s="15"/>
      <c r="AO32" s="15"/>
      <c r="AP32" s="15"/>
      <c r="AQ32" s="15"/>
      <c r="AR32" s="15"/>
      <c r="AS32" s="15"/>
      <c r="AT32" s="15"/>
      <c r="AU32" s="15"/>
      <c r="AV32" s="15"/>
      <c r="AW32" s="15"/>
      <c r="AX32" s="15"/>
      <c r="AY32" s="15"/>
      <c r="AZ32" s="15"/>
      <c r="BA32" s="15"/>
      <c r="BB32" s="15"/>
      <c r="BC32" s="15"/>
      <c r="BD32" s="15"/>
    </row>
    <row r="33" spans="2:56" ht="18.649999999999999" customHeight="1" x14ac:dyDescent="0.25">
      <c r="B33" s="70" t="s">
        <v>38</v>
      </c>
      <c r="C33" s="4" t="s">
        <v>31</v>
      </c>
      <c r="D33" s="5">
        <v>5</v>
      </c>
      <c r="E33" s="11">
        <v>8509</v>
      </c>
      <c r="F33" s="11">
        <v>7919</v>
      </c>
      <c r="G33" s="11">
        <v>7799</v>
      </c>
      <c r="H33" s="11">
        <v>7643</v>
      </c>
      <c r="I33" s="11">
        <v>7500</v>
      </c>
      <c r="J33" s="11">
        <v>7282</v>
      </c>
      <c r="K33" s="11">
        <v>8338</v>
      </c>
      <c r="L33" s="11">
        <v>14690</v>
      </c>
      <c r="M33" s="11">
        <v>15661</v>
      </c>
      <c r="N33" s="11">
        <v>15731</v>
      </c>
      <c r="O33" s="11">
        <v>15831</v>
      </c>
      <c r="P33" s="11">
        <v>16638</v>
      </c>
      <c r="Q33" s="11">
        <v>16781</v>
      </c>
      <c r="R33" s="11">
        <v>17044</v>
      </c>
      <c r="S33" s="11">
        <v>17063</v>
      </c>
      <c r="T33" s="11">
        <v>16986</v>
      </c>
      <c r="U33" s="11">
        <v>17105</v>
      </c>
      <c r="V33" s="11">
        <v>12499</v>
      </c>
      <c r="W33" s="11">
        <v>13467</v>
      </c>
      <c r="X33" s="11">
        <v>14999</v>
      </c>
      <c r="Y33" s="11">
        <v>14752</v>
      </c>
      <c r="Z33" s="11">
        <v>12920</v>
      </c>
      <c r="AA33" s="11">
        <v>10162</v>
      </c>
      <c r="AB33" s="11">
        <v>8405</v>
      </c>
      <c r="AC33" s="77"/>
      <c r="AG33" s="15"/>
      <c r="AH33" s="15"/>
      <c r="AI33" s="15"/>
      <c r="AJ33" s="15"/>
      <c r="AK33" s="15"/>
      <c r="AL33" s="15"/>
      <c r="AM33" s="15"/>
      <c r="AN33" s="15"/>
      <c r="AO33" s="15"/>
      <c r="AP33" s="15"/>
      <c r="AQ33" s="15"/>
      <c r="AR33" s="15"/>
      <c r="AS33" s="15"/>
      <c r="AT33" s="15"/>
      <c r="AU33" s="15"/>
      <c r="AV33" s="15"/>
      <c r="AW33" s="15"/>
      <c r="AX33" s="15"/>
      <c r="AY33" s="15"/>
      <c r="AZ33" s="15"/>
      <c r="BA33" s="15"/>
      <c r="BB33" s="15"/>
      <c r="BC33" s="15"/>
      <c r="BD33" s="15"/>
    </row>
    <row r="34" spans="2:56" ht="18.649999999999999" customHeight="1" x14ac:dyDescent="0.25">
      <c r="B34" s="70" t="s">
        <v>38</v>
      </c>
      <c r="C34" s="4" t="s">
        <v>32</v>
      </c>
      <c r="D34" s="5">
        <v>2</v>
      </c>
      <c r="E34" s="11">
        <v>11034</v>
      </c>
      <c r="F34" s="11">
        <v>10298</v>
      </c>
      <c r="G34" s="11">
        <v>9493</v>
      </c>
      <c r="H34" s="11">
        <v>8481</v>
      </c>
      <c r="I34" s="11">
        <v>8450</v>
      </c>
      <c r="J34" s="11">
        <v>7318</v>
      </c>
      <c r="K34" s="11">
        <v>8106</v>
      </c>
      <c r="L34" s="11">
        <v>14358</v>
      </c>
      <c r="M34" s="11">
        <v>15874</v>
      </c>
      <c r="N34" s="11">
        <v>15504</v>
      </c>
      <c r="O34" s="11">
        <v>14155</v>
      </c>
      <c r="P34" s="11">
        <v>15274</v>
      </c>
      <c r="Q34" s="11">
        <v>15885</v>
      </c>
      <c r="R34" s="11">
        <v>16497</v>
      </c>
      <c r="S34" s="11">
        <v>15117</v>
      </c>
      <c r="T34" s="11">
        <v>15228</v>
      </c>
      <c r="U34" s="11">
        <v>15918</v>
      </c>
      <c r="V34" s="11">
        <v>11337</v>
      </c>
      <c r="W34" s="11">
        <v>11636</v>
      </c>
      <c r="X34" s="11">
        <v>13623</v>
      </c>
      <c r="Y34" s="11">
        <v>14135</v>
      </c>
      <c r="Z34" s="11">
        <v>12823</v>
      </c>
      <c r="AA34" s="11">
        <v>10777</v>
      </c>
      <c r="AB34" s="11">
        <v>9458</v>
      </c>
      <c r="AC34" s="78"/>
      <c r="AG34" s="15"/>
      <c r="AH34" s="15"/>
      <c r="AI34" s="15"/>
      <c r="AJ34" s="15"/>
      <c r="AK34" s="15"/>
      <c r="AL34" s="15"/>
      <c r="AM34" s="15"/>
      <c r="AN34" s="15"/>
      <c r="AO34" s="15"/>
      <c r="AP34" s="15"/>
      <c r="AQ34" s="15"/>
      <c r="AR34" s="15"/>
      <c r="AS34" s="15"/>
      <c r="AT34" s="15"/>
      <c r="AU34" s="15"/>
      <c r="AV34" s="15"/>
      <c r="AW34" s="15"/>
      <c r="AX34" s="15"/>
      <c r="AY34" s="15"/>
      <c r="AZ34" s="15"/>
      <c r="BA34" s="15"/>
      <c r="BB34" s="15"/>
      <c r="BC34" s="15"/>
      <c r="BD34" s="15"/>
    </row>
    <row r="35" spans="2:56" ht="18.649999999999999" customHeight="1" x14ac:dyDescent="0.25">
      <c r="B35" s="70" t="s">
        <v>39</v>
      </c>
      <c r="C35" s="4" t="s">
        <v>29</v>
      </c>
      <c r="D35" s="5">
        <v>21</v>
      </c>
      <c r="E35" s="11">
        <v>8465</v>
      </c>
      <c r="F35" s="11">
        <v>7883</v>
      </c>
      <c r="G35" s="11">
        <v>7654</v>
      </c>
      <c r="H35" s="11">
        <v>7584</v>
      </c>
      <c r="I35" s="11">
        <v>8349</v>
      </c>
      <c r="J35" s="11">
        <v>10586</v>
      </c>
      <c r="K35" s="11">
        <v>12933</v>
      </c>
      <c r="L35" s="11">
        <v>18652</v>
      </c>
      <c r="M35" s="11">
        <v>17957</v>
      </c>
      <c r="N35" s="11">
        <v>17805</v>
      </c>
      <c r="O35" s="11">
        <v>17981</v>
      </c>
      <c r="P35" s="11">
        <v>18575</v>
      </c>
      <c r="Q35" s="11">
        <v>18609</v>
      </c>
      <c r="R35" s="11">
        <v>18708</v>
      </c>
      <c r="S35" s="11">
        <v>19306</v>
      </c>
      <c r="T35" s="11">
        <v>19621</v>
      </c>
      <c r="U35" s="11">
        <v>19813</v>
      </c>
      <c r="V35" s="11">
        <v>15357</v>
      </c>
      <c r="W35" s="11">
        <v>16076</v>
      </c>
      <c r="X35" s="11">
        <v>17020</v>
      </c>
      <c r="Y35" s="11">
        <v>16069</v>
      </c>
      <c r="Z35" s="11">
        <v>14112</v>
      </c>
      <c r="AA35" s="11">
        <v>11747</v>
      </c>
      <c r="AB35" s="11">
        <v>10074</v>
      </c>
      <c r="AC35" s="76">
        <f>+SUM(E35:AB35)*D35+SUM(E36:AB36)*D36+SUM(E37:AB37)*D37+SUM(E38:AB38)*D38</f>
        <v>10593018</v>
      </c>
      <c r="AG35" s="15"/>
      <c r="AH35" s="15"/>
      <c r="AI35" s="15"/>
      <c r="AJ35" s="15"/>
      <c r="AK35" s="15"/>
      <c r="AL35" s="15"/>
      <c r="AM35" s="15"/>
      <c r="AN35" s="15"/>
      <c r="AO35" s="15"/>
      <c r="AP35" s="15"/>
      <c r="AQ35" s="15"/>
      <c r="AR35" s="15"/>
      <c r="AS35" s="15"/>
      <c r="AT35" s="15"/>
      <c r="AU35" s="15"/>
      <c r="AV35" s="15"/>
      <c r="AW35" s="15"/>
      <c r="AX35" s="15"/>
      <c r="AY35" s="15"/>
      <c r="AZ35" s="15"/>
      <c r="BA35" s="15"/>
      <c r="BB35" s="15"/>
      <c r="BC35" s="15"/>
      <c r="BD35" s="15"/>
    </row>
    <row r="36" spans="2:56" ht="18.649999999999999" customHeight="1" x14ac:dyDescent="0.25">
      <c r="B36" s="70" t="s">
        <v>39</v>
      </c>
      <c r="C36" s="4" t="s">
        <v>30</v>
      </c>
      <c r="D36" s="5">
        <v>4</v>
      </c>
      <c r="E36" s="11">
        <v>8859</v>
      </c>
      <c r="F36" s="11">
        <v>8335</v>
      </c>
      <c r="G36" s="11">
        <v>7906</v>
      </c>
      <c r="H36" s="11">
        <v>7685</v>
      </c>
      <c r="I36" s="11">
        <v>7751</v>
      </c>
      <c r="J36" s="11">
        <v>7932</v>
      </c>
      <c r="K36" s="11">
        <v>9687</v>
      </c>
      <c r="L36" s="11">
        <v>17209</v>
      </c>
      <c r="M36" s="11">
        <v>18192</v>
      </c>
      <c r="N36" s="11">
        <v>17848</v>
      </c>
      <c r="O36" s="11">
        <v>17672</v>
      </c>
      <c r="P36" s="11">
        <v>17723</v>
      </c>
      <c r="Q36" s="11">
        <v>18296</v>
      </c>
      <c r="R36" s="11">
        <v>19125</v>
      </c>
      <c r="S36" s="11">
        <v>18726</v>
      </c>
      <c r="T36" s="11">
        <v>18719</v>
      </c>
      <c r="U36" s="11">
        <v>18519</v>
      </c>
      <c r="V36" s="11">
        <v>14889</v>
      </c>
      <c r="W36" s="11">
        <v>15010</v>
      </c>
      <c r="X36" s="11">
        <v>15690</v>
      </c>
      <c r="Y36" s="11">
        <v>14590</v>
      </c>
      <c r="Z36" s="11">
        <v>13213</v>
      </c>
      <c r="AA36" s="11">
        <v>11340</v>
      </c>
      <c r="AB36" s="11">
        <v>10054</v>
      </c>
      <c r="AC36" s="77"/>
      <c r="AG36" s="15"/>
      <c r="AH36" s="15"/>
      <c r="AI36" s="15"/>
      <c r="AJ36" s="15"/>
      <c r="AK36" s="15"/>
      <c r="AL36" s="15"/>
      <c r="AM36" s="15"/>
      <c r="AN36" s="15"/>
      <c r="AO36" s="15"/>
      <c r="AP36" s="15"/>
      <c r="AQ36" s="15"/>
      <c r="AR36" s="15"/>
      <c r="AS36" s="15"/>
      <c r="AT36" s="15"/>
      <c r="AU36" s="15"/>
      <c r="AV36" s="15"/>
      <c r="AW36" s="15"/>
      <c r="AX36" s="15"/>
      <c r="AY36" s="15"/>
      <c r="AZ36" s="15"/>
      <c r="BA36" s="15"/>
      <c r="BB36" s="15"/>
      <c r="BC36" s="15"/>
      <c r="BD36" s="15"/>
    </row>
    <row r="37" spans="2:56" ht="18.649999999999999" customHeight="1" x14ac:dyDescent="0.25">
      <c r="B37" s="70" t="s">
        <v>39</v>
      </c>
      <c r="C37" s="4" t="s">
        <v>31</v>
      </c>
      <c r="D37" s="5">
        <v>4</v>
      </c>
      <c r="E37" s="11">
        <v>8706</v>
      </c>
      <c r="F37" s="11">
        <v>8077</v>
      </c>
      <c r="G37" s="11">
        <v>7576</v>
      </c>
      <c r="H37" s="11">
        <v>7396</v>
      </c>
      <c r="I37" s="11">
        <v>7219</v>
      </c>
      <c r="J37" s="11">
        <v>7183</v>
      </c>
      <c r="K37" s="11">
        <v>8007</v>
      </c>
      <c r="L37" s="11">
        <v>14741</v>
      </c>
      <c r="M37" s="11">
        <v>15332</v>
      </c>
      <c r="N37" s="11">
        <v>15929</v>
      </c>
      <c r="O37" s="11">
        <v>16092</v>
      </c>
      <c r="P37" s="11">
        <v>16850</v>
      </c>
      <c r="Q37" s="11">
        <v>17391</v>
      </c>
      <c r="R37" s="11">
        <v>17059</v>
      </c>
      <c r="S37" s="11">
        <v>16715</v>
      </c>
      <c r="T37" s="11">
        <v>17059</v>
      </c>
      <c r="U37" s="11">
        <v>17625</v>
      </c>
      <c r="V37" s="11">
        <v>13893</v>
      </c>
      <c r="W37" s="11">
        <v>15014</v>
      </c>
      <c r="X37" s="11">
        <v>15762</v>
      </c>
      <c r="Y37" s="11">
        <v>14839</v>
      </c>
      <c r="Z37" s="11">
        <v>12797</v>
      </c>
      <c r="AA37" s="11">
        <v>11096</v>
      </c>
      <c r="AB37" s="11">
        <v>9590</v>
      </c>
      <c r="AC37" s="77"/>
      <c r="AG37" s="15"/>
      <c r="AH37" s="15"/>
      <c r="AI37" s="15"/>
      <c r="AJ37" s="15"/>
      <c r="AK37" s="15"/>
      <c r="AL37" s="15"/>
      <c r="AM37" s="15"/>
      <c r="AN37" s="15"/>
      <c r="AO37" s="15"/>
      <c r="AP37" s="15"/>
      <c r="AQ37" s="15"/>
      <c r="AR37" s="15"/>
      <c r="AS37" s="15"/>
      <c r="AT37" s="15"/>
      <c r="AU37" s="15"/>
      <c r="AV37" s="15"/>
      <c r="AW37" s="15"/>
      <c r="AX37" s="15"/>
      <c r="AY37" s="15"/>
      <c r="AZ37" s="15"/>
      <c r="BA37" s="15"/>
      <c r="BB37" s="15"/>
      <c r="BC37" s="15"/>
      <c r="BD37" s="15"/>
    </row>
    <row r="38" spans="2:56" ht="18.649999999999999" customHeight="1" x14ac:dyDescent="0.25">
      <c r="B38" s="70" t="s">
        <v>39</v>
      </c>
      <c r="C38" s="4" t="s">
        <v>32</v>
      </c>
      <c r="D38" s="5">
        <v>2</v>
      </c>
      <c r="E38" s="11">
        <v>8737</v>
      </c>
      <c r="F38" s="11">
        <v>7858</v>
      </c>
      <c r="G38" s="11">
        <v>7862</v>
      </c>
      <c r="H38" s="11">
        <v>7775</v>
      </c>
      <c r="I38" s="11">
        <v>8028</v>
      </c>
      <c r="J38" s="11">
        <v>8180</v>
      </c>
      <c r="K38" s="11">
        <v>8968</v>
      </c>
      <c r="L38" s="11">
        <v>15450</v>
      </c>
      <c r="M38" s="11">
        <v>15838</v>
      </c>
      <c r="N38" s="11">
        <v>15681</v>
      </c>
      <c r="O38" s="11">
        <v>16334</v>
      </c>
      <c r="P38" s="11">
        <v>15984</v>
      </c>
      <c r="Q38" s="11">
        <v>16251</v>
      </c>
      <c r="R38" s="11">
        <v>17749</v>
      </c>
      <c r="S38" s="11">
        <v>18033</v>
      </c>
      <c r="T38" s="11">
        <v>17537</v>
      </c>
      <c r="U38" s="11">
        <v>18545</v>
      </c>
      <c r="V38" s="11">
        <v>14911</v>
      </c>
      <c r="W38" s="11">
        <v>15608</v>
      </c>
      <c r="X38" s="11">
        <v>15494</v>
      </c>
      <c r="Y38" s="11">
        <v>14384</v>
      </c>
      <c r="Z38" s="11">
        <v>12647</v>
      </c>
      <c r="AA38" s="11">
        <v>10872</v>
      </c>
      <c r="AB38" s="11">
        <v>9119</v>
      </c>
      <c r="AC38" s="78"/>
      <c r="AG38" s="15"/>
      <c r="AH38" s="15"/>
      <c r="AI38" s="15"/>
      <c r="AJ38" s="15"/>
      <c r="AK38" s="15"/>
      <c r="AL38" s="15"/>
      <c r="AM38" s="15"/>
      <c r="AN38" s="15"/>
      <c r="AO38" s="15"/>
      <c r="AP38" s="15"/>
      <c r="AQ38" s="15"/>
      <c r="AR38" s="15"/>
      <c r="AS38" s="15"/>
      <c r="AT38" s="15"/>
      <c r="AU38" s="15"/>
      <c r="AV38" s="15"/>
      <c r="AW38" s="15"/>
      <c r="AX38" s="15"/>
      <c r="AY38" s="15"/>
      <c r="AZ38" s="15"/>
      <c r="BA38" s="15"/>
      <c r="BB38" s="15"/>
      <c r="BC38" s="15"/>
      <c r="BD38" s="15"/>
    </row>
    <row r="39" spans="2:56" ht="18.649999999999999" customHeight="1" x14ac:dyDescent="0.25">
      <c r="B39" s="70" t="s">
        <v>40</v>
      </c>
      <c r="C39" s="4" t="s">
        <v>29</v>
      </c>
      <c r="D39" s="5">
        <v>20</v>
      </c>
      <c r="E39" s="11">
        <v>8109</v>
      </c>
      <c r="F39" s="11">
        <v>7634</v>
      </c>
      <c r="G39" s="11">
        <v>7452</v>
      </c>
      <c r="H39" s="11">
        <v>7302</v>
      </c>
      <c r="I39" s="11">
        <v>8070</v>
      </c>
      <c r="J39" s="11">
        <v>10138</v>
      </c>
      <c r="K39" s="11">
        <v>12464</v>
      </c>
      <c r="L39" s="11">
        <v>18372</v>
      </c>
      <c r="M39" s="11">
        <v>17759</v>
      </c>
      <c r="N39" s="11">
        <v>17729</v>
      </c>
      <c r="O39" s="11">
        <v>18111</v>
      </c>
      <c r="P39" s="11">
        <v>19064</v>
      </c>
      <c r="Q39" s="11">
        <v>18762</v>
      </c>
      <c r="R39" s="11">
        <v>18449</v>
      </c>
      <c r="S39" s="11">
        <v>19082</v>
      </c>
      <c r="T39" s="11">
        <v>19416</v>
      </c>
      <c r="U39" s="11">
        <v>19458</v>
      </c>
      <c r="V39" s="11">
        <v>14991</v>
      </c>
      <c r="W39" s="11">
        <v>15961</v>
      </c>
      <c r="X39" s="11">
        <v>16390</v>
      </c>
      <c r="Y39" s="11">
        <v>15465</v>
      </c>
      <c r="Z39" s="11">
        <v>14038</v>
      </c>
      <c r="AA39" s="11">
        <v>11517</v>
      </c>
      <c r="AB39" s="11">
        <v>9505</v>
      </c>
      <c r="AC39" s="76">
        <f>+SUM(E39:AB39)*D39+SUM(E40:AB40)*D40+SUM(E41:AB41)*D41+SUM(E42:AB42)*D42</f>
        <v>10083685</v>
      </c>
      <c r="AG39" s="15"/>
      <c r="AH39" s="15"/>
      <c r="AI39" s="15"/>
      <c r="AJ39" s="15"/>
      <c r="AK39" s="15"/>
      <c r="AL39" s="15"/>
      <c r="AM39" s="15"/>
      <c r="AN39" s="15"/>
      <c r="AO39" s="15"/>
      <c r="AP39" s="15"/>
      <c r="AQ39" s="15"/>
      <c r="AR39" s="15"/>
      <c r="AS39" s="15"/>
      <c r="AT39" s="15"/>
      <c r="AU39" s="15"/>
      <c r="AV39" s="15"/>
      <c r="AW39" s="15"/>
      <c r="AX39" s="15"/>
      <c r="AY39" s="15"/>
      <c r="AZ39" s="15"/>
      <c r="BA39" s="15"/>
      <c r="BB39" s="15"/>
      <c r="BC39" s="15"/>
      <c r="BD39" s="15"/>
    </row>
    <row r="40" spans="2:56" ht="18.649999999999999" customHeight="1" x14ac:dyDescent="0.25">
      <c r="B40" s="70" t="s">
        <v>40</v>
      </c>
      <c r="C40" s="4" t="s">
        <v>30</v>
      </c>
      <c r="D40" s="5">
        <v>5</v>
      </c>
      <c r="E40" s="11">
        <v>7946</v>
      </c>
      <c r="F40" s="11">
        <v>7465</v>
      </c>
      <c r="G40" s="11">
        <v>7275</v>
      </c>
      <c r="H40" s="11">
        <v>7170</v>
      </c>
      <c r="I40" s="11">
        <v>7275</v>
      </c>
      <c r="J40" s="11">
        <v>8126</v>
      </c>
      <c r="K40" s="11">
        <v>9382</v>
      </c>
      <c r="L40" s="11">
        <v>17167</v>
      </c>
      <c r="M40" s="11">
        <v>17496</v>
      </c>
      <c r="N40" s="11">
        <v>17671</v>
      </c>
      <c r="O40" s="11">
        <v>18293</v>
      </c>
      <c r="P40" s="11">
        <v>18511</v>
      </c>
      <c r="Q40" s="11">
        <v>18565</v>
      </c>
      <c r="R40" s="11">
        <v>18715</v>
      </c>
      <c r="S40" s="11">
        <v>18410</v>
      </c>
      <c r="T40" s="11">
        <v>18419</v>
      </c>
      <c r="U40" s="11">
        <v>19068</v>
      </c>
      <c r="V40" s="11">
        <v>14348</v>
      </c>
      <c r="W40" s="11">
        <v>15257</v>
      </c>
      <c r="X40" s="11">
        <v>15614</v>
      </c>
      <c r="Y40" s="11">
        <v>14547</v>
      </c>
      <c r="Z40" s="11">
        <v>13032</v>
      </c>
      <c r="AA40" s="11">
        <v>11734</v>
      </c>
      <c r="AB40" s="11">
        <v>9825</v>
      </c>
      <c r="AC40" s="77"/>
      <c r="AG40" s="15"/>
      <c r="AH40" s="15"/>
      <c r="AI40" s="15"/>
      <c r="AJ40" s="15"/>
      <c r="AK40" s="15"/>
      <c r="AL40" s="15"/>
      <c r="AM40" s="15"/>
      <c r="AN40" s="15"/>
      <c r="AO40" s="15"/>
      <c r="AP40" s="15"/>
      <c r="AQ40" s="15"/>
      <c r="AR40" s="15"/>
      <c r="AS40" s="15"/>
      <c r="AT40" s="15"/>
      <c r="AU40" s="15"/>
      <c r="AV40" s="15"/>
      <c r="AW40" s="15"/>
      <c r="AX40" s="15"/>
      <c r="AY40" s="15"/>
      <c r="AZ40" s="15"/>
      <c r="BA40" s="15"/>
      <c r="BB40" s="15"/>
      <c r="BC40" s="15"/>
      <c r="BD40" s="15"/>
    </row>
    <row r="41" spans="2:56" ht="18.649999999999999" customHeight="1" x14ac:dyDescent="0.25">
      <c r="B41" s="70" t="s">
        <v>40</v>
      </c>
      <c r="C41" s="4" t="s">
        <v>31</v>
      </c>
      <c r="D41" s="5">
        <v>5</v>
      </c>
      <c r="E41" s="11">
        <v>8585</v>
      </c>
      <c r="F41" s="11">
        <v>7899</v>
      </c>
      <c r="G41" s="11">
        <v>7302</v>
      </c>
      <c r="H41" s="11">
        <v>7246</v>
      </c>
      <c r="I41" s="11">
        <v>6969</v>
      </c>
      <c r="J41" s="11">
        <v>6809</v>
      </c>
      <c r="K41" s="11">
        <v>7843</v>
      </c>
      <c r="L41" s="11">
        <v>14465</v>
      </c>
      <c r="M41" s="11">
        <v>14554</v>
      </c>
      <c r="N41" s="11">
        <v>14979</v>
      </c>
      <c r="O41" s="11">
        <v>15712</v>
      </c>
      <c r="P41" s="11">
        <v>16666</v>
      </c>
      <c r="Q41" s="11">
        <v>17508</v>
      </c>
      <c r="R41" s="11">
        <v>17787</v>
      </c>
      <c r="S41" s="11">
        <v>17241</v>
      </c>
      <c r="T41" s="11">
        <v>16973</v>
      </c>
      <c r="U41" s="11">
        <v>17260</v>
      </c>
      <c r="V41" s="11">
        <v>13682</v>
      </c>
      <c r="W41" s="11">
        <v>14103</v>
      </c>
      <c r="X41" s="11">
        <v>15083</v>
      </c>
      <c r="Y41" s="11">
        <v>13696</v>
      </c>
      <c r="Z41" s="11">
        <v>12765</v>
      </c>
      <c r="AA41" s="11">
        <v>10486</v>
      </c>
      <c r="AB41" s="11">
        <v>8861</v>
      </c>
      <c r="AC41" s="77"/>
      <c r="AG41" s="15"/>
      <c r="AH41" s="15"/>
      <c r="AI41" s="15"/>
      <c r="AJ41" s="15"/>
      <c r="AK41" s="15"/>
      <c r="AL41" s="15"/>
      <c r="AM41" s="15"/>
      <c r="AN41" s="15"/>
      <c r="AO41" s="15"/>
      <c r="AP41" s="15"/>
      <c r="AQ41" s="15"/>
      <c r="AR41" s="15"/>
      <c r="AS41" s="15"/>
      <c r="AT41" s="15"/>
      <c r="AU41" s="15"/>
      <c r="AV41" s="15"/>
      <c r="AW41" s="15"/>
      <c r="AX41" s="15"/>
      <c r="AY41" s="15"/>
      <c r="AZ41" s="15"/>
      <c r="BA41" s="15"/>
      <c r="BB41" s="15"/>
      <c r="BC41" s="15"/>
      <c r="BD41" s="15"/>
    </row>
    <row r="42" spans="2:56" ht="18.649999999999999" customHeight="1" x14ac:dyDescent="0.25">
      <c r="B42" s="70" t="s">
        <v>40</v>
      </c>
      <c r="C42" s="4" t="s">
        <v>32</v>
      </c>
      <c r="D42" s="5">
        <v>0</v>
      </c>
      <c r="E42" s="11">
        <v>0</v>
      </c>
      <c r="F42" s="11">
        <v>0</v>
      </c>
      <c r="G42" s="11">
        <v>0</v>
      </c>
      <c r="H42" s="11">
        <v>0</v>
      </c>
      <c r="I42" s="11">
        <v>0</v>
      </c>
      <c r="J42" s="11">
        <v>0</v>
      </c>
      <c r="K42" s="11">
        <v>0</v>
      </c>
      <c r="L42" s="11">
        <v>0</v>
      </c>
      <c r="M42" s="11">
        <v>0</v>
      </c>
      <c r="N42" s="11">
        <v>0</v>
      </c>
      <c r="O42" s="11">
        <v>0</v>
      </c>
      <c r="P42" s="11">
        <v>0</v>
      </c>
      <c r="Q42" s="11">
        <v>0</v>
      </c>
      <c r="R42" s="11">
        <v>0</v>
      </c>
      <c r="S42" s="11">
        <v>0</v>
      </c>
      <c r="T42" s="11">
        <v>0</v>
      </c>
      <c r="U42" s="11">
        <v>0</v>
      </c>
      <c r="V42" s="11">
        <v>0</v>
      </c>
      <c r="W42" s="11">
        <v>0</v>
      </c>
      <c r="X42" s="11">
        <v>0</v>
      </c>
      <c r="Y42" s="11">
        <v>0</v>
      </c>
      <c r="Z42" s="11">
        <v>0</v>
      </c>
      <c r="AA42" s="11">
        <v>0</v>
      </c>
      <c r="AB42" s="11">
        <v>0</v>
      </c>
      <c r="AC42" s="78"/>
      <c r="AG42" s="15"/>
      <c r="AH42" s="15"/>
      <c r="AI42" s="15"/>
      <c r="AJ42" s="15"/>
      <c r="AK42" s="15"/>
      <c r="AL42" s="15"/>
      <c r="AM42" s="15"/>
      <c r="AN42" s="15"/>
      <c r="AO42" s="15"/>
      <c r="AP42" s="15"/>
      <c r="AQ42" s="15"/>
      <c r="AR42" s="15"/>
      <c r="AS42" s="15"/>
      <c r="AT42" s="15"/>
      <c r="AU42" s="15"/>
      <c r="AV42" s="15"/>
      <c r="AW42" s="15"/>
      <c r="AX42" s="15"/>
      <c r="AY42" s="15"/>
      <c r="AZ42" s="15"/>
      <c r="BA42" s="15"/>
      <c r="BB42" s="15"/>
      <c r="BC42" s="15"/>
      <c r="BD42" s="15"/>
    </row>
    <row r="43" spans="2:56" ht="18.649999999999999" customHeight="1" x14ac:dyDescent="0.25">
      <c r="B43" s="70" t="s">
        <v>41</v>
      </c>
      <c r="C43" s="4" t="s">
        <v>29</v>
      </c>
      <c r="D43" s="5">
        <v>22</v>
      </c>
      <c r="E43" s="11">
        <v>8873</v>
      </c>
      <c r="F43" s="11">
        <v>8311</v>
      </c>
      <c r="G43" s="11">
        <v>8032</v>
      </c>
      <c r="H43" s="11">
        <v>7962</v>
      </c>
      <c r="I43" s="11">
        <v>8585</v>
      </c>
      <c r="J43" s="11">
        <v>10440</v>
      </c>
      <c r="K43" s="11">
        <v>11295</v>
      </c>
      <c r="L43" s="11">
        <v>17110</v>
      </c>
      <c r="M43" s="11">
        <v>16727</v>
      </c>
      <c r="N43" s="11">
        <v>16688</v>
      </c>
      <c r="O43" s="11">
        <v>17084</v>
      </c>
      <c r="P43" s="11">
        <v>17949</v>
      </c>
      <c r="Q43" s="11">
        <v>17609</v>
      </c>
      <c r="R43" s="11">
        <v>17718</v>
      </c>
      <c r="S43" s="11">
        <v>18508</v>
      </c>
      <c r="T43" s="11">
        <v>19086</v>
      </c>
      <c r="U43" s="11">
        <v>19365</v>
      </c>
      <c r="V43" s="11">
        <v>15035</v>
      </c>
      <c r="W43" s="11">
        <v>16629</v>
      </c>
      <c r="X43" s="11">
        <v>16624</v>
      </c>
      <c r="Y43" s="11">
        <v>15784</v>
      </c>
      <c r="Z43" s="11">
        <v>14746</v>
      </c>
      <c r="AA43" s="11">
        <v>12240</v>
      </c>
      <c r="AB43" s="11">
        <v>10371</v>
      </c>
      <c r="AC43" s="76">
        <f>+SUM(E43:AB43)*D43+SUM(E44:AB44)*D44+SUM(E45:AB45)*D45+SUM(E46:AB46)*D46</f>
        <v>10452286</v>
      </c>
      <c r="AG43" s="15"/>
      <c r="AH43" s="15"/>
      <c r="AI43" s="15"/>
      <c r="AJ43" s="15"/>
      <c r="AK43" s="15"/>
      <c r="AL43" s="15"/>
      <c r="AM43" s="15"/>
      <c r="AN43" s="15"/>
      <c r="AO43" s="15"/>
      <c r="AP43" s="15"/>
      <c r="AQ43" s="15"/>
      <c r="AR43" s="15"/>
      <c r="AS43" s="15"/>
      <c r="AT43" s="15"/>
      <c r="AU43" s="15"/>
      <c r="AV43" s="15"/>
      <c r="AW43" s="15"/>
      <c r="AX43" s="15"/>
      <c r="AY43" s="15"/>
      <c r="AZ43" s="15"/>
      <c r="BA43" s="15"/>
      <c r="BB43" s="15"/>
      <c r="BC43" s="15"/>
      <c r="BD43" s="15"/>
    </row>
    <row r="44" spans="2:56" ht="18.649999999999999" customHeight="1" x14ac:dyDescent="0.25">
      <c r="B44" s="70" t="s">
        <v>41</v>
      </c>
      <c r="C44" s="4" t="s">
        <v>30</v>
      </c>
      <c r="D44" s="5">
        <v>4</v>
      </c>
      <c r="E44" s="11">
        <v>9254</v>
      </c>
      <c r="F44" s="11">
        <v>8581</v>
      </c>
      <c r="G44" s="11">
        <v>8309</v>
      </c>
      <c r="H44" s="11">
        <v>8114</v>
      </c>
      <c r="I44" s="11">
        <v>8059</v>
      </c>
      <c r="J44" s="11">
        <v>8239</v>
      </c>
      <c r="K44" s="11">
        <v>8563</v>
      </c>
      <c r="L44" s="11">
        <v>16004</v>
      </c>
      <c r="M44" s="11">
        <v>16322</v>
      </c>
      <c r="N44" s="11">
        <v>16717</v>
      </c>
      <c r="O44" s="11">
        <v>16714</v>
      </c>
      <c r="P44" s="11">
        <v>17271</v>
      </c>
      <c r="Q44" s="11">
        <v>17788</v>
      </c>
      <c r="R44" s="11">
        <v>17704</v>
      </c>
      <c r="S44" s="11">
        <v>18437</v>
      </c>
      <c r="T44" s="11">
        <v>18716</v>
      </c>
      <c r="U44" s="11">
        <v>19171</v>
      </c>
      <c r="V44" s="11">
        <v>14342</v>
      </c>
      <c r="W44" s="11">
        <v>16662</v>
      </c>
      <c r="X44" s="11">
        <v>16720</v>
      </c>
      <c r="Y44" s="11">
        <v>15998</v>
      </c>
      <c r="Z44" s="11">
        <v>14820</v>
      </c>
      <c r="AA44" s="11">
        <v>13231</v>
      </c>
      <c r="AB44" s="11">
        <v>11558</v>
      </c>
      <c r="AC44" s="77"/>
      <c r="AG44" s="15"/>
      <c r="AH44" s="15"/>
      <c r="AI44" s="15"/>
      <c r="AJ44" s="15"/>
      <c r="AK44" s="15"/>
      <c r="AL44" s="15"/>
      <c r="AM44" s="15"/>
      <c r="AN44" s="15"/>
      <c r="AO44" s="15"/>
      <c r="AP44" s="15"/>
      <c r="AQ44" s="15"/>
      <c r="AR44" s="15"/>
      <c r="AS44" s="15"/>
      <c r="AT44" s="15"/>
      <c r="AU44" s="15"/>
      <c r="AV44" s="15"/>
      <c r="AW44" s="15"/>
      <c r="AX44" s="15"/>
      <c r="AY44" s="15"/>
      <c r="AZ44" s="15"/>
      <c r="BA44" s="15"/>
      <c r="BB44" s="15"/>
      <c r="BC44" s="15"/>
      <c r="BD44" s="15"/>
    </row>
    <row r="45" spans="2:56" ht="18.649999999999999" customHeight="1" x14ac:dyDescent="0.25">
      <c r="B45" s="70" t="s">
        <v>41</v>
      </c>
      <c r="C45" s="4" t="s">
        <v>31</v>
      </c>
      <c r="D45" s="5">
        <v>4</v>
      </c>
      <c r="E45" s="11">
        <v>9536</v>
      </c>
      <c r="F45" s="11">
        <v>8654</v>
      </c>
      <c r="G45" s="11">
        <v>8141</v>
      </c>
      <c r="H45" s="11">
        <v>7984</v>
      </c>
      <c r="I45" s="11">
        <v>8194</v>
      </c>
      <c r="J45" s="11">
        <v>7652</v>
      </c>
      <c r="K45" s="11">
        <v>6971</v>
      </c>
      <c r="L45" s="11">
        <v>12936</v>
      </c>
      <c r="M45" s="11">
        <v>13906</v>
      </c>
      <c r="N45" s="11">
        <v>14494</v>
      </c>
      <c r="O45" s="11">
        <v>15687</v>
      </c>
      <c r="P45" s="11">
        <v>16505</v>
      </c>
      <c r="Q45" s="11">
        <v>16973</v>
      </c>
      <c r="R45" s="11">
        <v>17075</v>
      </c>
      <c r="S45" s="11">
        <v>16629</v>
      </c>
      <c r="T45" s="11">
        <v>17273</v>
      </c>
      <c r="U45" s="11">
        <v>17504</v>
      </c>
      <c r="V45" s="11">
        <v>13849</v>
      </c>
      <c r="W45" s="11">
        <v>15903</v>
      </c>
      <c r="X45" s="11">
        <v>16017</v>
      </c>
      <c r="Y45" s="11">
        <v>15193</v>
      </c>
      <c r="Z45" s="11">
        <v>13708</v>
      </c>
      <c r="AA45" s="11">
        <v>11813</v>
      </c>
      <c r="AB45" s="11">
        <v>10314</v>
      </c>
      <c r="AC45" s="77"/>
      <c r="AG45" s="15"/>
      <c r="AH45" s="15"/>
      <c r="AI45" s="15"/>
      <c r="AJ45" s="15"/>
      <c r="AK45" s="15"/>
      <c r="AL45" s="15"/>
      <c r="AM45" s="15"/>
      <c r="AN45" s="15"/>
      <c r="AO45" s="15"/>
      <c r="AP45" s="15"/>
      <c r="AQ45" s="15"/>
      <c r="AR45" s="15"/>
      <c r="AS45" s="15"/>
      <c r="AT45" s="15"/>
      <c r="AU45" s="15"/>
      <c r="AV45" s="15"/>
      <c r="AW45" s="15"/>
      <c r="AX45" s="15"/>
      <c r="AY45" s="15"/>
      <c r="AZ45" s="15"/>
      <c r="BA45" s="15"/>
      <c r="BB45" s="15"/>
      <c r="BC45" s="15"/>
      <c r="BD45" s="15"/>
    </row>
    <row r="46" spans="2:56" ht="18.649999999999999" customHeight="1" x14ac:dyDescent="0.25">
      <c r="B46" s="70" t="s">
        <v>41</v>
      </c>
      <c r="C46" s="4" t="s">
        <v>32</v>
      </c>
      <c r="D46" s="5">
        <v>1</v>
      </c>
      <c r="E46" s="11">
        <v>8064</v>
      </c>
      <c r="F46" s="11">
        <v>7738</v>
      </c>
      <c r="G46" s="11">
        <v>7410</v>
      </c>
      <c r="H46" s="11">
        <v>7520</v>
      </c>
      <c r="I46" s="11">
        <v>7813</v>
      </c>
      <c r="J46" s="11">
        <v>7516</v>
      </c>
      <c r="K46" s="11">
        <v>6821</v>
      </c>
      <c r="L46" s="11">
        <v>13264</v>
      </c>
      <c r="M46" s="11">
        <v>13723</v>
      </c>
      <c r="N46" s="11">
        <v>14999</v>
      </c>
      <c r="O46" s="11">
        <v>15528</v>
      </c>
      <c r="P46" s="11">
        <v>15829</v>
      </c>
      <c r="Q46" s="11">
        <v>16868</v>
      </c>
      <c r="R46" s="11">
        <v>16958</v>
      </c>
      <c r="S46" s="11">
        <v>17518</v>
      </c>
      <c r="T46" s="11">
        <v>17054</v>
      </c>
      <c r="U46" s="11">
        <v>17680</v>
      </c>
      <c r="V46" s="11">
        <v>14184</v>
      </c>
      <c r="W46" s="11">
        <v>16764</v>
      </c>
      <c r="X46" s="11">
        <v>15736</v>
      </c>
      <c r="Y46" s="11">
        <v>15552</v>
      </c>
      <c r="Z46" s="11">
        <v>14250</v>
      </c>
      <c r="AA46" s="11">
        <v>11865</v>
      </c>
      <c r="AB46" s="11">
        <v>9850</v>
      </c>
      <c r="AC46" s="78"/>
      <c r="AG46" s="15"/>
      <c r="AH46" s="15"/>
      <c r="AI46" s="15"/>
      <c r="AJ46" s="15"/>
      <c r="AK46" s="15"/>
      <c r="AL46" s="15"/>
      <c r="AM46" s="15"/>
      <c r="AN46" s="15"/>
      <c r="AO46" s="15"/>
      <c r="AP46" s="15"/>
      <c r="AQ46" s="15"/>
      <c r="AR46" s="15"/>
      <c r="AS46" s="15"/>
      <c r="AT46" s="15"/>
      <c r="AU46" s="15"/>
      <c r="AV46" s="15"/>
      <c r="AW46" s="15"/>
      <c r="AX46" s="15"/>
      <c r="AY46" s="15"/>
      <c r="AZ46" s="15"/>
      <c r="BA46" s="15"/>
      <c r="BB46" s="15"/>
      <c r="BC46" s="15"/>
      <c r="BD46" s="15"/>
    </row>
    <row r="47" spans="2:56" ht="18.649999999999999" customHeight="1" x14ac:dyDescent="0.25">
      <c r="B47" s="70" t="s">
        <v>42</v>
      </c>
      <c r="C47" s="4" t="s">
        <v>29</v>
      </c>
      <c r="D47" s="5">
        <v>20</v>
      </c>
      <c r="E47" s="11">
        <v>8311</v>
      </c>
      <c r="F47" s="11">
        <v>7840</v>
      </c>
      <c r="G47" s="11">
        <v>8050</v>
      </c>
      <c r="H47" s="11">
        <v>7937</v>
      </c>
      <c r="I47" s="11">
        <v>8779</v>
      </c>
      <c r="J47" s="11">
        <v>10911</v>
      </c>
      <c r="K47" s="11">
        <v>12376</v>
      </c>
      <c r="L47" s="11">
        <v>18055</v>
      </c>
      <c r="M47" s="11">
        <v>17543</v>
      </c>
      <c r="N47" s="11">
        <v>17144</v>
      </c>
      <c r="O47" s="11">
        <v>18014</v>
      </c>
      <c r="P47" s="11">
        <v>18625</v>
      </c>
      <c r="Q47" s="11">
        <v>18044</v>
      </c>
      <c r="R47" s="11">
        <v>18121</v>
      </c>
      <c r="S47" s="11">
        <v>19001</v>
      </c>
      <c r="T47" s="11">
        <v>19721</v>
      </c>
      <c r="U47" s="11">
        <v>19798</v>
      </c>
      <c r="V47" s="11">
        <v>15495</v>
      </c>
      <c r="W47" s="11">
        <v>17006</v>
      </c>
      <c r="X47" s="11">
        <v>16434</v>
      </c>
      <c r="Y47" s="11">
        <v>15707</v>
      </c>
      <c r="Z47" s="11">
        <v>14269</v>
      </c>
      <c r="AA47" s="11">
        <v>11783</v>
      </c>
      <c r="AB47" s="11">
        <v>10143</v>
      </c>
      <c r="AC47" s="76">
        <f>+SUM(E47:AB47)*D47+SUM(E48:AB48)*D48+SUM(E49:AB49)*D49+SUM(E50:AB50)*D50</f>
        <v>10239540</v>
      </c>
      <c r="AG47" s="15"/>
      <c r="AH47" s="15"/>
      <c r="AI47" s="15"/>
      <c r="AJ47" s="15"/>
      <c r="AK47" s="15"/>
      <c r="AL47" s="15"/>
      <c r="AM47" s="15"/>
      <c r="AN47" s="15"/>
      <c r="AO47" s="15"/>
      <c r="AP47" s="15"/>
      <c r="AQ47" s="15"/>
      <c r="AR47" s="15"/>
      <c r="AS47" s="15"/>
      <c r="AT47" s="15"/>
      <c r="AU47" s="15"/>
      <c r="AV47" s="15"/>
      <c r="AW47" s="15"/>
      <c r="AX47" s="15"/>
      <c r="AY47" s="15"/>
      <c r="AZ47" s="15"/>
      <c r="BA47" s="15"/>
      <c r="BB47" s="15"/>
      <c r="BC47" s="15"/>
      <c r="BD47" s="15"/>
    </row>
    <row r="48" spans="2:56" ht="18.649999999999999" customHeight="1" x14ac:dyDescent="0.25">
      <c r="B48" s="70" t="s">
        <v>42</v>
      </c>
      <c r="C48" s="4" t="s">
        <v>30</v>
      </c>
      <c r="D48" s="5">
        <v>4</v>
      </c>
      <c r="E48" s="11">
        <v>9224</v>
      </c>
      <c r="F48" s="11">
        <v>8712</v>
      </c>
      <c r="G48" s="11">
        <v>8169</v>
      </c>
      <c r="H48" s="11">
        <v>8227</v>
      </c>
      <c r="I48" s="11">
        <v>8348</v>
      </c>
      <c r="J48" s="11">
        <v>8548</v>
      </c>
      <c r="K48" s="11">
        <v>9795</v>
      </c>
      <c r="L48" s="11">
        <v>16973</v>
      </c>
      <c r="M48" s="11">
        <v>17364</v>
      </c>
      <c r="N48" s="11">
        <v>17328</v>
      </c>
      <c r="O48" s="11">
        <v>17651</v>
      </c>
      <c r="P48" s="11">
        <v>18162</v>
      </c>
      <c r="Q48" s="11">
        <v>17853</v>
      </c>
      <c r="R48" s="11">
        <v>17919</v>
      </c>
      <c r="S48" s="11">
        <v>18150</v>
      </c>
      <c r="T48" s="11">
        <v>18422</v>
      </c>
      <c r="U48" s="11">
        <v>18963</v>
      </c>
      <c r="V48" s="11">
        <v>15097</v>
      </c>
      <c r="W48" s="11">
        <v>16532</v>
      </c>
      <c r="X48" s="11">
        <v>16583</v>
      </c>
      <c r="Y48" s="11">
        <v>15600</v>
      </c>
      <c r="Z48" s="11">
        <v>14050</v>
      </c>
      <c r="AA48" s="11">
        <v>12655</v>
      </c>
      <c r="AB48" s="11">
        <v>11011</v>
      </c>
      <c r="AC48" s="77"/>
      <c r="AG48" s="15"/>
      <c r="AH48" s="15"/>
      <c r="AI48" s="15"/>
      <c r="AJ48" s="15"/>
      <c r="AK48" s="15"/>
      <c r="AL48" s="15"/>
      <c r="AM48" s="15"/>
      <c r="AN48" s="15"/>
      <c r="AO48" s="15"/>
      <c r="AP48" s="15"/>
      <c r="AQ48" s="15"/>
      <c r="AR48" s="15"/>
      <c r="AS48" s="15"/>
      <c r="AT48" s="15"/>
      <c r="AU48" s="15"/>
      <c r="AV48" s="15"/>
      <c r="AW48" s="15"/>
      <c r="AX48" s="15"/>
      <c r="AY48" s="15"/>
      <c r="AZ48" s="15"/>
      <c r="BA48" s="15"/>
      <c r="BB48" s="15"/>
      <c r="BC48" s="15"/>
      <c r="BD48" s="15"/>
    </row>
    <row r="49" spans="2:56" ht="18.649999999999999" customHeight="1" x14ac:dyDescent="0.25">
      <c r="B49" s="70" t="s">
        <v>42</v>
      </c>
      <c r="C49" s="4" t="s">
        <v>31</v>
      </c>
      <c r="D49" s="5">
        <v>4</v>
      </c>
      <c r="E49" s="11">
        <v>9708</v>
      </c>
      <c r="F49" s="11">
        <v>9160</v>
      </c>
      <c r="G49" s="11">
        <v>8546</v>
      </c>
      <c r="H49" s="11">
        <v>8533</v>
      </c>
      <c r="I49" s="11">
        <v>8202</v>
      </c>
      <c r="J49" s="11">
        <v>8195</v>
      </c>
      <c r="K49" s="11">
        <v>7608</v>
      </c>
      <c r="L49" s="11">
        <v>13878</v>
      </c>
      <c r="M49" s="11">
        <v>15145</v>
      </c>
      <c r="N49" s="11">
        <v>15493</v>
      </c>
      <c r="O49" s="11">
        <v>15711</v>
      </c>
      <c r="P49" s="11">
        <v>16453</v>
      </c>
      <c r="Q49" s="11">
        <v>16942</v>
      </c>
      <c r="R49" s="11">
        <v>16800</v>
      </c>
      <c r="S49" s="11">
        <v>17082</v>
      </c>
      <c r="T49" s="11">
        <v>17182</v>
      </c>
      <c r="U49" s="11">
        <v>18538</v>
      </c>
      <c r="V49" s="11">
        <v>14025</v>
      </c>
      <c r="W49" s="11">
        <v>15703</v>
      </c>
      <c r="X49" s="11">
        <v>15762</v>
      </c>
      <c r="Y49" s="11">
        <v>14746</v>
      </c>
      <c r="Z49" s="11">
        <v>13502</v>
      </c>
      <c r="AA49" s="11">
        <v>11082</v>
      </c>
      <c r="AB49" s="11">
        <v>9834</v>
      </c>
      <c r="AC49" s="77"/>
      <c r="AG49" s="15"/>
      <c r="AH49" s="15"/>
      <c r="AI49" s="15"/>
      <c r="AJ49" s="15"/>
      <c r="AK49" s="15"/>
      <c r="AL49" s="15"/>
      <c r="AM49" s="15"/>
      <c r="AN49" s="15"/>
      <c r="AO49" s="15"/>
      <c r="AP49" s="15"/>
      <c r="AQ49" s="15"/>
      <c r="AR49" s="15"/>
      <c r="AS49" s="15"/>
      <c r="AT49" s="15"/>
      <c r="AU49" s="15"/>
      <c r="AV49" s="15"/>
      <c r="AW49" s="15"/>
      <c r="AX49" s="15"/>
      <c r="AY49" s="15"/>
      <c r="AZ49" s="15"/>
      <c r="BA49" s="15"/>
      <c r="BB49" s="15"/>
      <c r="BC49" s="15"/>
      <c r="BD49" s="15"/>
    </row>
    <row r="50" spans="2:56" ht="18.649999999999999" customHeight="1" x14ac:dyDescent="0.25">
      <c r="B50" s="70" t="s">
        <v>42</v>
      </c>
      <c r="C50" s="4" t="s">
        <v>32</v>
      </c>
      <c r="D50" s="5">
        <v>2</v>
      </c>
      <c r="E50" s="11">
        <v>8945</v>
      </c>
      <c r="F50" s="11">
        <v>8473</v>
      </c>
      <c r="G50" s="11">
        <v>8297</v>
      </c>
      <c r="H50" s="11">
        <v>7800</v>
      </c>
      <c r="I50" s="11">
        <v>7840</v>
      </c>
      <c r="J50" s="11">
        <v>7997</v>
      </c>
      <c r="K50" s="11">
        <v>7560</v>
      </c>
      <c r="L50" s="11">
        <v>13505</v>
      </c>
      <c r="M50" s="11">
        <v>14238</v>
      </c>
      <c r="N50" s="11">
        <v>14440</v>
      </c>
      <c r="O50" s="11">
        <v>15365</v>
      </c>
      <c r="P50" s="11">
        <v>16131</v>
      </c>
      <c r="Q50" s="11">
        <v>16253</v>
      </c>
      <c r="R50" s="11">
        <v>16510</v>
      </c>
      <c r="S50" s="11">
        <v>16914</v>
      </c>
      <c r="T50" s="11">
        <v>17382</v>
      </c>
      <c r="U50" s="11">
        <v>18717</v>
      </c>
      <c r="V50" s="11">
        <v>14773</v>
      </c>
      <c r="W50" s="11">
        <v>16066</v>
      </c>
      <c r="X50" s="11">
        <v>15873</v>
      </c>
      <c r="Y50" s="11">
        <v>14675</v>
      </c>
      <c r="Z50" s="11">
        <v>12852</v>
      </c>
      <c r="AA50" s="11">
        <v>10304</v>
      </c>
      <c r="AB50" s="11">
        <v>9458</v>
      </c>
      <c r="AC50" s="78"/>
      <c r="AG50" s="15"/>
      <c r="AH50" s="15"/>
      <c r="AI50" s="15"/>
      <c r="AJ50" s="15"/>
      <c r="AK50" s="15"/>
      <c r="AL50" s="15"/>
      <c r="AM50" s="15"/>
      <c r="AN50" s="15"/>
      <c r="AO50" s="15"/>
      <c r="AP50" s="15"/>
      <c r="AQ50" s="15"/>
      <c r="AR50" s="15"/>
      <c r="AS50" s="15"/>
      <c r="AT50" s="15"/>
      <c r="AU50" s="15"/>
      <c r="AV50" s="15"/>
      <c r="AW50" s="15"/>
      <c r="AX50" s="15"/>
      <c r="AY50" s="15"/>
      <c r="AZ50" s="15"/>
      <c r="BA50" s="15"/>
      <c r="BB50" s="15"/>
      <c r="BC50" s="15"/>
      <c r="BD50" s="15"/>
    </row>
    <row r="51" spans="2:56" ht="18.649999999999999" customHeight="1" x14ac:dyDescent="0.25">
      <c r="B51" s="70" t="s">
        <v>43</v>
      </c>
      <c r="C51" s="4" t="s">
        <v>29</v>
      </c>
      <c r="D51" s="5">
        <v>20</v>
      </c>
      <c r="E51" s="11">
        <v>9329</v>
      </c>
      <c r="F51" s="11">
        <v>8665</v>
      </c>
      <c r="G51" s="11">
        <v>8381</v>
      </c>
      <c r="H51" s="11">
        <v>8244</v>
      </c>
      <c r="I51" s="11">
        <v>8683</v>
      </c>
      <c r="J51" s="11">
        <v>9840</v>
      </c>
      <c r="K51" s="11">
        <v>10446</v>
      </c>
      <c r="L51" s="11">
        <v>17370</v>
      </c>
      <c r="M51" s="11">
        <v>17726</v>
      </c>
      <c r="N51" s="11">
        <v>17586</v>
      </c>
      <c r="O51" s="11">
        <v>17847</v>
      </c>
      <c r="P51" s="11">
        <v>19009</v>
      </c>
      <c r="Q51" s="11">
        <v>18478</v>
      </c>
      <c r="R51" s="11">
        <v>17728</v>
      </c>
      <c r="S51" s="11">
        <v>19092</v>
      </c>
      <c r="T51" s="11">
        <v>19641</v>
      </c>
      <c r="U51" s="11">
        <v>19926</v>
      </c>
      <c r="V51" s="11">
        <v>15163</v>
      </c>
      <c r="W51" s="11">
        <v>17494</v>
      </c>
      <c r="X51" s="11">
        <v>17080</v>
      </c>
      <c r="Y51" s="11">
        <v>15984</v>
      </c>
      <c r="Z51" s="11">
        <v>14569</v>
      </c>
      <c r="AA51" s="11">
        <v>12434</v>
      </c>
      <c r="AB51" s="11">
        <v>11078</v>
      </c>
      <c r="AC51" s="76">
        <f>+SUM(E51:AB51)*D51+SUM(E52:AB52)*D52+SUM(E53:AB53)*D53+SUM(E54:AB54)*D54</f>
        <v>10677244</v>
      </c>
      <c r="AG51" s="15"/>
      <c r="AH51" s="15"/>
      <c r="AI51" s="15"/>
      <c r="AJ51" s="15"/>
      <c r="AK51" s="15"/>
      <c r="AL51" s="15"/>
      <c r="AM51" s="15"/>
      <c r="AN51" s="15"/>
      <c r="AO51" s="15"/>
      <c r="AP51" s="15"/>
      <c r="AQ51" s="15"/>
      <c r="AR51" s="15"/>
      <c r="AS51" s="15"/>
      <c r="AT51" s="15"/>
      <c r="AU51" s="15"/>
      <c r="AV51" s="15"/>
      <c r="AW51" s="15"/>
      <c r="AX51" s="15"/>
      <c r="AY51" s="15"/>
      <c r="AZ51" s="15"/>
      <c r="BA51" s="15"/>
      <c r="BB51" s="15"/>
      <c r="BC51" s="15"/>
      <c r="BD51" s="15"/>
    </row>
    <row r="52" spans="2:56" ht="18.649999999999999" customHeight="1" x14ac:dyDescent="0.25">
      <c r="B52" s="70" t="s">
        <v>43</v>
      </c>
      <c r="C52" s="4" t="s">
        <v>30</v>
      </c>
      <c r="D52" s="5">
        <v>4</v>
      </c>
      <c r="E52" s="11">
        <v>9530</v>
      </c>
      <c r="F52" s="11">
        <v>9085</v>
      </c>
      <c r="G52" s="11">
        <v>8761</v>
      </c>
      <c r="H52" s="11">
        <v>8332</v>
      </c>
      <c r="I52" s="11">
        <v>8791</v>
      </c>
      <c r="J52" s="11">
        <v>9104</v>
      </c>
      <c r="K52" s="11">
        <v>9554</v>
      </c>
      <c r="L52" s="11">
        <v>17096</v>
      </c>
      <c r="M52" s="11">
        <v>17831</v>
      </c>
      <c r="N52" s="11">
        <v>18005</v>
      </c>
      <c r="O52" s="11">
        <v>18183</v>
      </c>
      <c r="P52" s="11">
        <v>18642</v>
      </c>
      <c r="Q52" s="11">
        <v>18721</v>
      </c>
      <c r="R52" s="11">
        <v>18564</v>
      </c>
      <c r="S52" s="11">
        <v>18870</v>
      </c>
      <c r="T52" s="11">
        <v>18687</v>
      </c>
      <c r="U52" s="11">
        <v>19234</v>
      </c>
      <c r="V52" s="11">
        <v>14062</v>
      </c>
      <c r="W52" s="11">
        <v>16992</v>
      </c>
      <c r="X52" s="11">
        <v>17229</v>
      </c>
      <c r="Y52" s="11">
        <v>16394</v>
      </c>
      <c r="Z52" s="11">
        <v>15110</v>
      </c>
      <c r="AA52" s="11">
        <v>13342</v>
      </c>
      <c r="AB52" s="11">
        <v>12030</v>
      </c>
      <c r="AC52" s="77"/>
      <c r="AG52" s="15"/>
      <c r="AH52" s="15"/>
      <c r="AI52" s="15"/>
      <c r="AJ52" s="15"/>
      <c r="AK52" s="15"/>
      <c r="AL52" s="15"/>
      <c r="AM52" s="15"/>
      <c r="AN52" s="15"/>
      <c r="AO52" s="15"/>
      <c r="AP52" s="15"/>
      <c r="AQ52" s="15"/>
      <c r="AR52" s="15"/>
      <c r="AS52" s="15"/>
      <c r="AT52" s="15"/>
      <c r="AU52" s="15"/>
      <c r="AV52" s="15"/>
      <c r="AW52" s="15"/>
      <c r="AX52" s="15"/>
      <c r="AY52" s="15"/>
      <c r="AZ52" s="15"/>
      <c r="BA52" s="15"/>
      <c r="BB52" s="15"/>
      <c r="BC52" s="15"/>
      <c r="BD52" s="15"/>
    </row>
    <row r="53" spans="2:56" ht="18.649999999999999" customHeight="1" x14ac:dyDescent="0.25">
      <c r="B53" s="70" t="s">
        <v>43</v>
      </c>
      <c r="C53" s="4" t="s">
        <v>31</v>
      </c>
      <c r="D53" s="5">
        <v>5</v>
      </c>
      <c r="E53" s="11">
        <v>10424</v>
      </c>
      <c r="F53" s="11">
        <v>9633</v>
      </c>
      <c r="G53" s="11">
        <v>8976</v>
      </c>
      <c r="H53" s="11">
        <v>8835</v>
      </c>
      <c r="I53" s="11">
        <v>8443</v>
      </c>
      <c r="J53" s="11">
        <v>8431</v>
      </c>
      <c r="K53" s="11">
        <v>7683</v>
      </c>
      <c r="L53" s="11">
        <v>14936</v>
      </c>
      <c r="M53" s="11">
        <v>16195</v>
      </c>
      <c r="N53" s="11">
        <v>16137</v>
      </c>
      <c r="O53" s="11">
        <v>16776</v>
      </c>
      <c r="P53" s="11">
        <v>17748</v>
      </c>
      <c r="Q53" s="11">
        <v>18633</v>
      </c>
      <c r="R53" s="11">
        <v>17918</v>
      </c>
      <c r="S53" s="11">
        <v>16789</v>
      </c>
      <c r="T53" s="11">
        <v>17762</v>
      </c>
      <c r="U53" s="11">
        <v>18157</v>
      </c>
      <c r="V53" s="11">
        <v>13817</v>
      </c>
      <c r="W53" s="11">
        <v>15291</v>
      </c>
      <c r="X53" s="11">
        <v>15450</v>
      </c>
      <c r="Y53" s="11">
        <v>15244</v>
      </c>
      <c r="Z53" s="11">
        <v>14724</v>
      </c>
      <c r="AA53" s="11">
        <v>12308</v>
      </c>
      <c r="AB53" s="11">
        <v>10812</v>
      </c>
      <c r="AC53" s="77"/>
      <c r="AG53" s="15"/>
      <c r="AH53" s="15"/>
      <c r="AI53" s="15"/>
      <c r="AJ53" s="15"/>
      <c r="AK53" s="15"/>
      <c r="AL53" s="15"/>
      <c r="AM53" s="15"/>
      <c r="AN53" s="15"/>
      <c r="AO53" s="15"/>
      <c r="AP53" s="15"/>
      <c r="AQ53" s="15"/>
      <c r="AR53" s="15"/>
      <c r="AS53" s="15"/>
      <c r="AT53" s="15"/>
      <c r="AU53" s="15"/>
      <c r="AV53" s="15"/>
      <c r="AW53" s="15"/>
      <c r="AX53" s="15"/>
      <c r="AY53" s="15"/>
      <c r="AZ53" s="15"/>
      <c r="BA53" s="15"/>
      <c r="BB53" s="15"/>
      <c r="BC53" s="15"/>
      <c r="BD53" s="15"/>
    </row>
    <row r="54" spans="2:56" ht="18.649999999999999" customHeight="1" x14ac:dyDescent="0.25">
      <c r="B54" s="70" t="s">
        <v>43</v>
      </c>
      <c r="C54" s="4" t="s">
        <v>32</v>
      </c>
      <c r="D54" s="5">
        <v>2</v>
      </c>
      <c r="E54" s="11">
        <v>9865</v>
      </c>
      <c r="F54" s="11">
        <v>9305</v>
      </c>
      <c r="G54" s="11">
        <v>8683</v>
      </c>
      <c r="H54" s="11">
        <v>8409</v>
      </c>
      <c r="I54" s="11">
        <v>7843</v>
      </c>
      <c r="J54" s="11">
        <v>7378</v>
      </c>
      <c r="K54" s="11">
        <v>6703</v>
      </c>
      <c r="L54" s="11">
        <v>11798</v>
      </c>
      <c r="M54" s="11">
        <v>11985</v>
      </c>
      <c r="N54" s="11">
        <v>12222</v>
      </c>
      <c r="O54" s="11">
        <v>13535</v>
      </c>
      <c r="P54" s="11">
        <v>14437</v>
      </c>
      <c r="Q54" s="11">
        <v>15299</v>
      </c>
      <c r="R54" s="11">
        <v>15728</v>
      </c>
      <c r="S54" s="11">
        <v>15346</v>
      </c>
      <c r="T54" s="11">
        <v>16035</v>
      </c>
      <c r="U54" s="11">
        <v>16481</v>
      </c>
      <c r="V54" s="11">
        <v>12773</v>
      </c>
      <c r="W54" s="11">
        <v>14068</v>
      </c>
      <c r="X54" s="11">
        <v>14629</v>
      </c>
      <c r="Y54" s="11">
        <v>13777</v>
      </c>
      <c r="Z54" s="11">
        <v>12813</v>
      </c>
      <c r="AA54" s="11">
        <v>10587</v>
      </c>
      <c r="AB54" s="11">
        <v>8890</v>
      </c>
      <c r="AC54" s="78"/>
      <c r="AG54" s="15"/>
      <c r="AH54" s="15"/>
      <c r="AI54" s="15"/>
      <c r="AJ54" s="15"/>
      <c r="AK54" s="15"/>
      <c r="AL54" s="15"/>
      <c r="AM54" s="15"/>
      <c r="AN54" s="15"/>
      <c r="AO54" s="15"/>
      <c r="AP54" s="15"/>
      <c r="AQ54" s="15"/>
      <c r="AR54" s="15"/>
      <c r="AS54" s="15"/>
      <c r="AT54" s="15"/>
      <c r="AU54" s="15"/>
      <c r="AV54" s="15"/>
      <c r="AW54" s="15"/>
      <c r="AX54" s="15"/>
      <c r="AY54" s="15"/>
      <c r="AZ54" s="15"/>
      <c r="BA54" s="15"/>
      <c r="BB54" s="15"/>
      <c r="BC54" s="15"/>
      <c r="BD54" s="15"/>
    </row>
    <row r="55" spans="2:56" ht="18.649999999999999" customHeight="1" x14ac:dyDescent="0.25">
      <c r="E55" s="12"/>
      <c r="F55" s="12"/>
      <c r="G55" s="12"/>
      <c r="H55" s="12"/>
      <c r="I55" s="12"/>
      <c r="J55" s="12"/>
      <c r="K55" s="12"/>
      <c r="L55" s="12"/>
      <c r="M55" s="12"/>
      <c r="N55" s="12"/>
      <c r="O55" s="12"/>
      <c r="P55" s="12"/>
      <c r="Q55" s="12"/>
      <c r="R55" s="12"/>
      <c r="S55" s="12"/>
      <c r="T55" s="12"/>
      <c r="U55" s="12"/>
      <c r="V55" s="12"/>
      <c r="W55" s="12"/>
      <c r="X55" s="12"/>
      <c r="Y55" s="12"/>
      <c r="Z55" s="80" t="s">
        <v>46</v>
      </c>
      <c r="AA55" s="80"/>
      <c r="AB55" s="80"/>
      <c r="AC55" s="13">
        <f>SUM(AC7:AC54)</f>
        <v>123233380</v>
      </c>
    </row>
    <row r="56" spans="2:56" x14ac:dyDescent="0.25">
      <c r="AC56" s="10"/>
    </row>
    <row r="61" spans="2:56" x14ac:dyDescent="0.25">
      <c r="G61" s="7">
        <v>1000</v>
      </c>
    </row>
  </sheetData>
  <mergeCells count="28">
    <mergeCell ref="B51:B54"/>
    <mergeCell ref="AC51:AC54"/>
    <mergeCell ref="Z55:AB55"/>
    <mergeCell ref="B39:B42"/>
    <mergeCell ref="AC39:AC42"/>
    <mergeCell ref="B43:B46"/>
    <mergeCell ref="AC43:AC46"/>
    <mergeCell ref="B47:B50"/>
    <mergeCell ref="AC47:AC50"/>
    <mergeCell ref="B27:B30"/>
    <mergeCell ref="AC27:AC30"/>
    <mergeCell ref="B31:B34"/>
    <mergeCell ref="AC31:AC34"/>
    <mergeCell ref="B35:B38"/>
    <mergeCell ref="AC35:AC38"/>
    <mergeCell ref="B15:B18"/>
    <mergeCell ref="AC15:AC18"/>
    <mergeCell ref="B19:B22"/>
    <mergeCell ref="AC19:AC22"/>
    <mergeCell ref="B23:B26"/>
    <mergeCell ref="AC23:AC26"/>
    <mergeCell ref="B11:B14"/>
    <mergeCell ref="AC11:AC14"/>
    <mergeCell ref="B2:AC2"/>
    <mergeCell ref="B3:AC3"/>
    <mergeCell ref="B4:AC4"/>
    <mergeCell ref="B7:B10"/>
    <mergeCell ref="AC7:AC10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0C5743-416A-4153-B71E-12A6AC6E3C45}">
  <dimension ref="B1:BD57"/>
  <sheetViews>
    <sheetView showGridLines="0" topLeftCell="H19" zoomScale="70" zoomScaleNormal="70" workbookViewId="0">
      <selection activeCell="A5" sqref="A5:AD56"/>
    </sheetView>
  </sheetViews>
  <sheetFormatPr baseColWidth="10" defaultColWidth="11.453125" defaultRowHeight="11.5" x14ac:dyDescent="0.25"/>
  <cols>
    <col min="1" max="1" width="7.26953125" style="7" customWidth="1"/>
    <col min="2" max="2" width="6.26953125" style="7" bestFit="1" customWidth="1"/>
    <col min="3" max="3" width="11.1796875" style="7" customWidth="1"/>
    <col min="4" max="4" width="7" style="7" customWidth="1"/>
    <col min="5" max="7" width="10.1796875" style="7" bestFit="1" customWidth="1"/>
    <col min="8" max="8" width="9.81640625" style="7" bestFit="1" customWidth="1"/>
    <col min="9" max="9" width="9.7265625" style="7" bestFit="1" customWidth="1"/>
    <col min="10" max="27" width="10.1796875" style="7" bestFit="1" customWidth="1"/>
    <col min="28" max="28" width="10.26953125" style="7" bestFit="1" customWidth="1"/>
    <col min="29" max="29" width="16.7265625" style="7" customWidth="1"/>
    <col min="30" max="30" width="3" style="7" customWidth="1"/>
    <col min="31" max="31" width="14.81640625" style="7" bestFit="1" customWidth="1"/>
    <col min="32" max="257" width="11.453125" style="7"/>
    <col min="258" max="258" width="7" style="7" customWidth="1"/>
    <col min="259" max="259" width="10.7265625" style="7" customWidth="1"/>
    <col min="260" max="260" width="9.26953125" style="7" customWidth="1"/>
    <col min="261" max="284" width="7.26953125" style="7" customWidth="1"/>
    <col min="285" max="285" width="11.26953125" style="7" bestFit="1" customWidth="1"/>
    <col min="286" max="513" width="11.453125" style="7"/>
    <col min="514" max="514" width="7" style="7" customWidth="1"/>
    <col min="515" max="515" width="10.7265625" style="7" customWidth="1"/>
    <col min="516" max="516" width="9.26953125" style="7" customWidth="1"/>
    <col min="517" max="540" width="7.26953125" style="7" customWidth="1"/>
    <col min="541" max="541" width="11.26953125" style="7" bestFit="1" customWidth="1"/>
    <col min="542" max="769" width="11.453125" style="7"/>
    <col min="770" max="770" width="7" style="7" customWidth="1"/>
    <col min="771" max="771" width="10.7265625" style="7" customWidth="1"/>
    <col min="772" max="772" width="9.26953125" style="7" customWidth="1"/>
    <col min="773" max="796" width="7.26953125" style="7" customWidth="1"/>
    <col min="797" max="797" width="11.26953125" style="7" bestFit="1" customWidth="1"/>
    <col min="798" max="1025" width="11.453125" style="7"/>
    <col min="1026" max="1026" width="7" style="7" customWidth="1"/>
    <col min="1027" max="1027" width="10.7265625" style="7" customWidth="1"/>
    <col min="1028" max="1028" width="9.26953125" style="7" customWidth="1"/>
    <col min="1029" max="1052" width="7.26953125" style="7" customWidth="1"/>
    <col min="1053" max="1053" width="11.26953125" style="7" bestFit="1" customWidth="1"/>
    <col min="1054" max="1281" width="11.453125" style="7"/>
    <col min="1282" max="1282" width="7" style="7" customWidth="1"/>
    <col min="1283" max="1283" width="10.7265625" style="7" customWidth="1"/>
    <col min="1284" max="1284" width="9.26953125" style="7" customWidth="1"/>
    <col min="1285" max="1308" width="7.26953125" style="7" customWidth="1"/>
    <col min="1309" max="1309" width="11.26953125" style="7" bestFit="1" customWidth="1"/>
    <col min="1310" max="1537" width="11.453125" style="7"/>
    <col min="1538" max="1538" width="7" style="7" customWidth="1"/>
    <col min="1539" max="1539" width="10.7265625" style="7" customWidth="1"/>
    <col min="1540" max="1540" width="9.26953125" style="7" customWidth="1"/>
    <col min="1541" max="1564" width="7.26953125" style="7" customWidth="1"/>
    <col min="1565" max="1565" width="11.26953125" style="7" bestFit="1" customWidth="1"/>
    <col min="1566" max="1793" width="11.453125" style="7"/>
    <col min="1794" max="1794" width="7" style="7" customWidth="1"/>
    <col min="1795" max="1795" width="10.7265625" style="7" customWidth="1"/>
    <col min="1796" max="1796" width="9.26953125" style="7" customWidth="1"/>
    <col min="1797" max="1820" width="7.26953125" style="7" customWidth="1"/>
    <col min="1821" max="1821" width="11.26953125" style="7" bestFit="1" customWidth="1"/>
    <col min="1822" max="2049" width="11.453125" style="7"/>
    <col min="2050" max="2050" width="7" style="7" customWidth="1"/>
    <col min="2051" max="2051" width="10.7265625" style="7" customWidth="1"/>
    <col min="2052" max="2052" width="9.26953125" style="7" customWidth="1"/>
    <col min="2053" max="2076" width="7.26953125" style="7" customWidth="1"/>
    <col min="2077" max="2077" width="11.26953125" style="7" bestFit="1" customWidth="1"/>
    <col min="2078" max="2305" width="11.453125" style="7"/>
    <col min="2306" max="2306" width="7" style="7" customWidth="1"/>
    <col min="2307" max="2307" width="10.7265625" style="7" customWidth="1"/>
    <col min="2308" max="2308" width="9.26953125" style="7" customWidth="1"/>
    <col min="2309" max="2332" width="7.26953125" style="7" customWidth="1"/>
    <col min="2333" max="2333" width="11.26953125" style="7" bestFit="1" customWidth="1"/>
    <col min="2334" max="2561" width="11.453125" style="7"/>
    <col min="2562" max="2562" width="7" style="7" customWidth="1"/>
    <col min="2563" max="2563" width="10.7265625" style="7" customWidth="1"/>
    <col min="2564" max="2564" width="9.26953125" style="7" customWidth="1"/>
    <col min="2565" max="2588" width="7.26953125" style="7" customWidth="1"/>
    <col min="2589" max="2589" width="11.26953125" style="7" bestFit="1" customWidth="1"/>
    <col min="2590" max="2817" width="11.453125" style="7"/>
    <col min="2818" max="2818" width="7" style="7" customWidth="1"/>
    <col min="2819" max="2819" width="10.7265625" style="7" customWidth="1"/>
    <col min="2820" max="2820" width="9.26953125" style="7" customWidth="1"/>
    <col min="2821" max="2844" width="7.26953125" style="7" customWidth="1"/>
    <col min="2845" max="2845" width="11.26953125" style="7" bestFit="1" customWidth="1"/>
    <col min="2846" max="3073" width="11.453125" style="7"/>
    <col min="3074" max="3074" width="7" style="7" customWidth="1"/>
    <col min="3075" max="3075" width="10.7265625" style="7" customWidth="1"/>
    <col min="3076" max="3076" width="9.26953125" style="7" customWidth="1"/>
    <col min="3077" max="3100" width="7.26953125" style="7" customWidth="1"/>
    <col min="3101" max="3101" width="11.26953125" style="7" bestFit="1" customWidth="1"/>
    <col min="3102" max="3329" width="11.453125" style="7"/>
    <col min="3330" max="3330" width="7" style="7" customWidth="1"/>
    <col min="3331" max="3331" width="10.7265625" style="7" customWidth="1"/>
    <col min="3332" max="3332" width="9.26953125" style="7" customWidth="1"/>
    <col min="3333" max="3356" width="7.26953125" style="7" customWidth="1"/>
    <col min="3357" max="3357" width="11.26953125" style="7" bestFit="1" customWidth="1"/>
    <col min="3358" max="3585" width="11.453125" style="7"/>
    <col min="3586" max="3586" width="7" style="7" customWidth="1"/>
    <col min="3587" max="3587" width="10.7265625" style="7" customWidth="1"/>
    <col min="3588" max="3588" width="9.26953125" style="7" customWidth="1"/>
    <col min="3589" max="3612" width="7.26953125" style="7" customWidth="1"/>
    <col min="3613" max="3613" width="11.26953125" style="7" bestFit="1" customWidth="1"/>
    <col min="3614" max="3841" width="11.453125" style="7"/>
    <col min="3842" max="3842" width="7" style="7" customWidth="1"/>
    <col min="3843" max="3843" width="10.7265625" style="7" customWidth="1"/>
    <col min="3844" max="3844" width="9.26953125" style="7" customWidth="1"/>
    <col min="3845" max="3868" width="7.26953125" style="7" customWidth="1"/>
    <col min="3869" max="3869" width="11.26953125" style="7" bestFit="1" customWidth="1"/>
    <col min="3870" max="4097" width="11.453125" style="7"/>
    <col min="4098" max="4098" width="7" style="7" customWidth="1"/>
    <col min="4099" max="4099" width="10.7265625" style="7" customWidth="1"/>
    <col min="4100" max="4100" width="9.26953125" style="7" customWidth="1"/>
    <col min="4101" max="4124" width="7.26953125" style="7" customWidth="1"/>
    <col min="4125" max="4125" width="11.26953125" style="7" bestFit="1" customWidth="1"/>
    <col min="4126" max="4353" width="11.453125" style="7"/>
    <col min="4354" max="4354" width="7" style="7" customWidth="1"/>
    <col min="4355" max="4355" width="10.7265625" style="7" customWidth="1"/>
    <col min="4356" max="4356" width="9.26953125" style="7" customWidth="1"/>
    <col min="4357" max="4380" width="7.26953125" style="7" customWidth="1"/>
    <col min="4381" max="4381" width="11.26953125" style="7" bestFit="1" customWidth="1"/>
    <col min="4382" max="4609" width="11.453125" style="7"/>
    <col min="4610" max="4610" width="7" style="7" customWidth="1"/>
    <col min="4611" max="4611" width="10.7265625" style="7" customWidth="1"/>
    <col min="4612" max="4612" width="9.26953125" style="7" customWidth="1"/>
    <col min="4613" max="4636" width="7.26953125" style="7" customWidth="1"/>
    <col min="4637" max="4637" width="11.26953125" style="7" bestFit="1" customWidth="1"/>
    <col min="4638" max="4865" width="11.453125" style="7"/>
    <col min="4866" max="4866" width="7" style="7" customWidth="1"/>
    <col min="4867" max="4867" width="10.7265625" style="7" customWidth="1"/>
    <col min="4868" max="4868" width="9.26953125" style="7" customWidth="1"/>
    <col min="4869" max="4892" width="7.26953125" style="7" customWidth="1"/>
    <col min="4893" max="4893" width="11.26953125" style="7" bestFit="1" customWidth="1"/>
    <col min="4894" max="5121" width="11.453125" style="7"/>
    <col min="5122" max="5122" width="7" style="7" customWidth="1"/>
    <col min="5123" max="5123" width="10.7265625" style="7" customWidth="1"/>
    <col min="5124" max="5124" width="9.26953125" style="7" customWidth="1"/>
    <col min="5125" max="5148" width="7.26953125" style="7" customWidth="1"/>
    <col min="5149" max="5149" width="11.26953125" style="7" bestFit="1" customWidth="1"/>
    <col min="5150" max="5377" width="11.453125" style="7"/>
    <col min="5378" max="5378" width="7" style="7" customWidth="1"/>
    <col min="5379" max="5379" width="10.7265625" style="7" customWidth="1"/>
    <col min="5380" max="5380" width="9.26953125" style="7" customWidth="1"/>
    <col min="5381" max="5404" width="7.26953125" style="7" customWidth="1"/>
    <col min="5405" max="5405" width="11.26953125" style="7" bestFit="1" customWidth="1"/>
    <col min="5406" max="5633" width="11.453125" style="7"/>
    <col min="5634" max="5634" width="7" style="7" customWidth="1"/>
    <col min="5635" max="5635" width="10.7265625" style="7" customWidth="1"/>
    <col min="5636" max="5636" width="9.26953125" style="7" customWidth="1"/>
    <col min="5637" max="5660" width="7.26953125" style="7" customWidth="1"/>
    <col min="5661" max="5661" width="11.26953125" style="7" bestFit="1" customWidth="1"/>
    <col min="5662" max="5889" width="11.453125" style="7"/>
    <col min="5890" max="5890" width="7" style="7" customWidth="1"/>
    <col min="5891" max="5891" width="10.7265625" style="7" customWidth="1"/>
    <col min="5892" max="5892" width="9.26953125" style="7" customWidth="1"/>
    <col min="5893" max="5916" width="7.26953125" style="7" customWidth="1"/>
    <col min="5917" max="5917" width="11.26953125" style="7" bestFit="1" customWidth="1"/>
    <col min="5918" max="6145" width="11.453125" style="7"/>
    <col min="6146" max="6146" width="7" style="7" customWidth="1"/>
    <col min="6147" max="6147" width="10.7265625" style="7" customWidth="1"/>
    <col min="6148" max="6148" width="9.26953125" style="7" customWidth="1"/>
    <col min="6149" max="6172" width="7.26953125" style="7" customWidth="1"/>
    <col min="6173" max="6173" width="11.26953125" style="7" bestFit="1" customWidth="1"/>
    <col min="6174" max="6401" width="11.453125" style="7"/>
    <col min="6402" max="6402" width="7" style="7" customWidth="1"/>
    <col min="6403" max="6403" width="10.7265625" style="7" customWidth="1"/>
    <col min="6404" max="6404" width="9.26953125" style="7" customWidth="1"/>
    <col min="6405" max="6428" width="7.26953125" style="7" customWidth="1"/>
    <col min="6429" max="6429" width="11.26953125" style="7" bestFit="1" customWidth="1"/>
    <col min="6430" max="6657" width="11.453125" style="7"/>
    <col min="6658" max="6658" width="7" style="7" customWidth="1"/>
    <col min="6659" max="6659" width="10.7265625" style="7" customWidth="1"/>
    <col min="6660" max="6660" width="9.26953125" style="7" customWidth="1"/>
    <col min="6661" max="6684" width="7.26953125" style="7" customWidth="1"/>
    <col min="6685" max="6685" width="11.26953125" style="7" bestFit="1" customWidth="1"/>
    <col min="6686" max="6913" width="11.453125" style="7"/>
    <col min="6914" max="6914" width="7" style="7" customWidth="1"/>
    <col min="6915" max="6915" width="10.7265625" style="7" customWidth="1"/>
    <col min="6916" max="6916" width="9.26953125" style="7" customWidth="1"/>
    <col min="6917" max="6940" width="7.26953125" style="7" customWidth="1"/>
    <col min="6941" max="6941" width="11.26953125" style="7" bestFit="1" customWidth="1"/>
    <col min="6942" max="7169" width="11.453125" style="7"/>
    <col min="7170" max="7170" width="7" style="7" customWidth="1"/>
    <col min="7171" max="7171" width="10.7265625" style="7" customWidth="1"/>
    <col min="7172" max="7172" width="9.26953125" style="7" customWidth="1"/>
    <col min="7173" max="7196" width="7.26953125" style="7" customWidth="1"/>
    <col min="7197" max="7197" width="11.26953125" style="7" bestFit="1" customWidth="1"/>
    <col min="7198" max="7425" width="11.453125" style="7"/>
    <col min="7426" max="7426" width="7" style="7" customWidth="1"/>
    <col min="7427" max="7427" width="10.7265625" style="7" customWidth="1"/>
    <col min="7428" max="7428" width="9.26953125" style="7" customWidth="1"/>
    <col min="7429" max="7452" width="7.26953125" style="7" customWidth="1"/>
    <col min="7453" max="7453" width="11.26953125" style="7" bestFit="1" customWidth="1"/>
    <col min="7454" max="7681" width="11.453125" style="7"/>
    <col min="7682" max="7682" width="7" style="7" customWidth="1"/>
    <col min="7683" max="7683" width="10.7265625" style="7" customWidth="1"/>
    <col min="7684" max="7684" width="9.26953125" style="7" customWidth="1"/>
    <col min="7685" max="7708" width="7.26953125" style="7" customWidth="1"/>
    <col min="7709" max="7709" width="11.26953125" style="7" bestFit="1" customWidth="1"/>
    <col min="7710" max="7937" width="11.453125" style="7"/>
    <col min="7938" max="7938" width="7" style="7" customWidth="1"/>
    <col min="7939" max="7939" width="10.7265625" style="7" customWidth="1"/>
    <col min="7940" max="7940" width="9.26953125" style="7" customWidth="1"/>
    <col min="7941" max="7964" width="7.26953125" style="7" customWidth="1"/>
    <col min="7965" max="7965" width="11.26953125" style="7" bestFit="1" customWidth="1"/>
    <col min="7966" max="8193" width="11.453125" style="7"/>
    <col min="8194" max="8194" width="7" style="7" customWidth="1"/>
    <col min="8195" max="8195" width="10.7265625" style="7" customWidth="1"/>
    <col min="8196" max="8196" width="9.26953125" style="7" customWidth="1"/>
    <col min="8197" max="8220" width="7.26953125" style="7" customWidth="1"/>
    <col min="8221" max="8221" width="11.26953125" style="7" bestFit="1" customWidth="1"/>
    <col min="8222" max="8449" width="11.453125" style="7"/>
    <col min="8450" max="8450" width="7" style="7" customWidth="1"/>
    <col min="8451" max="8451" width="10.7265625" style="7" customWidth="1"/>
    <col min="8452" max="8452" width="9.26953125" style="7" customWidth="1"/>
    <col min="8453" max="8476" width="7.26953125" style="7" customWidth="1"/>
    <col min="8477" max="8477" width="11.26953125" style="7" bestFit="1" customWidth="1"/>
    <col min="8478" max="8705" width="11.453125" style="7"/>
    <col min="8706" max="8706" width="7" style="7" customWidth="1"/>
    <col min="8707" max="8707" width="10.7265625" style="7" customWidth="1"/>
    <col min="8708" max="8708" width="9.26953125" style="7" customWidth="1"/>
    <col min="8709" max="8732" width="7.26953125" style="7" customWidth="1"/>
    <col min="8733" max="8733" width="11.26953125" style="7" bestFit="1" customWidth="1"/>
    <col min="8734" max="8961" width="11.453125" style="7"/>
    <col min="8962" max="8962" width="7" style="7" customWidth="1"/>
    <col min="8963" max="8963" width="10.7265625" style="7" customWidth="1"/>
    <col min="8964" max="8964" width="9.26953125" style="7" customWidth="1"/>
    <col min="8965" max="8988" width="7.26953125" style="7" customWidth="1"/>
    <col min="8989" max="8989" width="11.26953125" style="7" bestFit="1" customWidth="1"/>
    <col min="8990" max="9217" width="11.453125" style="7"/>
    <col min="9218" max="9218" width="7" style="7" customWidth="1"/>
    <col min="9219" max="9219" width="10.7265625" style="7" customWidth="1"/>
    <col min="9220" max="9220" width="9.26953125" style="7" customWidth="1"/>
    <col min="9221" max="9244" width="7.26953125" style="7" customWidth="1"/>
    <col min="9245" max="9245" width="11.26953125" style="7" bestFit="1" customWidth="1"/>
    <col min="9246" max="9473" width="11.453125" style="7"/>
    <col min="9474" max="9474" width="7" style="7" customWidth="1"/>
    <col min="9475" max="9475" width="10.7265625" style="7" customWidth="1"/>
    <col min="9476" max="9476" width="9.26953125" style="7" customWidth="1"/>
    <col min="9477" max="9500" width="7.26953125" style="7" customWidth="1"/>
    <col min="9501" max="9501" width="11.26953125" style="7" bestFit="1" customWidth="1"/>
    <col min="9502" max="9729" width="11.453125" style="7"/>
    <col min="9730" max="9730" width="7" style="7" customWidth="1"/>
    <col min="9731" max="9731" width="10.7265625" style="7" customWidth="1"/>
    <col min="9732" max="9732" width="9.26953125" style="7" customWidth="1"/>
    <col min="9733" max="9756" width="7.26953125" style="7" customWidth="1"/>
    <col min="9757" max="9757" width="11.26953125" style="7" bestFit="1" customWidth="1"/>
    <col min="9758" max="9985" width="11.453125" style="7"/>
    <col min="9986" max="9986" width="7" style="7" customWidth="1"/>
    <col min="9987" max="9987" width="10.7265625" style="7" customWidth="1"/>
    <col min="9988" max="9988" width="9.26953125" style="7" customWidth="1"/>
    <col min="9989" max="10012" width="7.26953125" style="7" customWidth="1"/>
    <col min="10013" max="10013" width="11.26953125" style="7" bestFit="1" customWidth="1"/>
    <col min="10014" max="10241" width="11.453125" style="7"/>
    <col min="10242" max="10242" width="7" style="7" customWidth="1"/>
    <col min="10243" max="10243" width="10.7265625" style="7" customWidth="1"/>
    <col min="10244" max="10244" width="9.26953125" style="7" customWidth="1"/>
    <col min="10245" max="10268" width="7.26953125" style="7" customWidth="1"/>
    <col min="10269" max="10269" width="11.26953125" style="7" bestFit="1" customWidth="1"/>
    <col min="10270" max="10497" width="11.453125" style="7"/>
    <col min="10498" max="10498" width="7" style="7" customWidth="1"/>
    <col min="10499" max="10499" width="10.7265625" style="7" customWidth="1"/>
    <col min="10500" max="10500" width="9.26953125" style="7" customWidth="1"/>
    <col min="10501" max="10524" width="7.26953125" style="7" customWidth="1"/>
    <col min="10525" max="10525" width="11.26953125" style="7" bestFit="1" customWidth="1"/>
    <col min="10526" max="10753" width="11.453125" style="7"/>
    <col min="10754" max="10754" width="7" style="7" customWidth="1"/>
    <col min="10755" max="10755" width="10.7265625" style="7" customWidth="1"/>
    <col min="10756" max="10756" width="9.26953125" style="7" customWidth="1"/>
    <col min="10757" max="10780" width="7.26953125" style="7" customWidth="1"/>
    <col min="10781" max="10781" width="11.26953125" style="7" bestFit="1" customWidth="1"/>
    <col min="10782" max="11009" width="11.453125" style="7"/>
    <col min="11010" max="11010" width="7" style="7" customWidth="1"/>
    <col min="11011" max="11011" width="10.7265625" style="7" customWidth="1"/>
    <col min="11012" max="11012" width="9.26953125" style="7" customWidth="1"/>
    <col min="11013" max="11036" width="7.26953125" style="7" customWidth="1"/>
    <col min="11037" max="11037" width="11.26953125" style="7" bestFit="1" customWidth="1"/>
    <col min="11038" max="11265" width="11.453125" style="7"/>
    <col min="11266" max="11266" width="7" style="7" customWidth="1"/>
    <col min="11267" max="11267" width="10.7265625" style="7" customWidth="1"/>
    <col min="11268" max="11268" width="9.26953125" style="7" customWidth="1"/>
    <col min="11269" max="11292" width="7.26953125" style="7" customWidth="1"/>
    <col min="11293" max="11293" width="11.26953125" style="7" bestFit="1" customWidth="1"/>
    <col min="11294" max="11521" width="11.453125" style="7"/>
    <col min="11522" max="11522" width="7" style="7" customWidth="1"/>
    <col min="11523" max="11523" width="10.7265625" style="7" customWidth="1"/>
    <col min="11524" max="11524" width="9.26953125" style="7" customWidth="1"/>
    <col min="11525" max="11548" width="7.26953125" style="7" customWidth="1"/>
    <col min="11549" max="11549" width="11.26953125" style="7" bestFit="1" customWidth="1"/>
    <col min="11550" max="11777" width="11.453125" style="7"/>
    <col min="11778" max="11778" width="7" style="7" customWidth="1"/>
    <col min="11779" max="11779" width="10.7265625" style="7" customWidth="1"/>
    <col min="11780" max="11780" width="9.26953125" style="7" customWidth="1"/>
    <col min="11781" max="11804" width="7.26953125" style="7" customWidth="1"/>
    <col min="11805" max="11805" width="11.26953125" style="7" bestFit="1" customWidth="1"/>
    <col min="11806" max="12033" width="11.453125" style="7"/>
    <col min="12034" max="12034" width="7" style="7" customWidth="1"/>
    <col min="12035" max="12035" width="10.7265625" style="7" customWidth="1"/>
    <col min="12036" max="12036" width="9.26953125" style="7" customWidth="1"/>
    <col min="12037" max="12060" width="7.26953125" style="7" customWidth="1"/>
    <col min="12061" max="12061" width="11.26953125" style="7" bestFit="1" customWidth="1"/>
    <col min="12062" max="12289" width="11.453125" style="7"/>
    <col min="12290" max="12290" width="7" style="7" customWidth="1"/>
    <col min="12291" max="12291" width="10.7265625" style="7" customWidth="1"/>
    <col min="12292" max="12292" width="9.26953125" style="7" customWidth="1"/>
    <col min="12293" max="12316" width="7.26953125" style="7" customWidth="1"/>
    <col min="12317" max="12317" width="11.26953125" style="7" bestFit="1" customWidth="1"/>
    <col min="12318" max="12545" width="11.453125" style="7"/>
    <col min="12546" max="12546" width="7" style="7" customWidth="1"/>
    <col min="12547" max="12547" width="10.7265625" style="7" customWidth="1"/>
    <col min="12548" max="12548" width="9.26953125" style="7" customWidth="1"/>
    <col min="12549" max="12572" width="7.26953125" style="7" customWidth="1"/>
    <col min="12573" max="12573" width="11.26953125" style="7" bestFit="1" customWidth="1"/>
    <col min="12574" max="12801" width="11.453125" style="7"/>
    <col min="12802" max="12802" width="7" style="7" customWidth="1"/>
    <col min="12803" max="12803" width="10.7265625" style="7" customWidth="1"/>
    <col min="12804" max="12804" width="9.26953125" style="7" customWidth="1"/>
    <col min="12805" max="12828" width="7.26953125" style="7" customWidth="1"/>
    <col min="12829" max="12829" width="11.26953125" style="7" bestFit="1" customWidth="1"/>
    <col min="12830" max="13057" width="11.453125" style="7"/>
    <col min="13058" max="13058" width="7" style="7" customWidth="1"/>
    <col min="13059" max="13059" width="10.7265625" style="7" customWidth="1"/>
    <col min="13060" max="13060" width="9.26953125" style="7" customWidth="1"/>
    <col min="13061" max="13084" width="7.26953125" style="7" customWidth="1"/>
    <col min="13085" max="13085" width="11.26953125" style="7" bestFit="1" customWidth="1"/>
    <col min="13086" max="13313" width="11.453125" style="7"/>
    <col min="13314" max="13314" width="7" style="7" customWidth="1"/>
    <col min="13315" max="13315" width="10.7265625" style="7" customWidth="1"/>
    <col min="13316" max="13316" width="9.26953125" style="7" customWidth="1"/>
    <col min="13317" max="13340" width="7.26953125" style="7" customWidth="1"/>
    <col min="13341" max="13341" width="11.26953125" style="7" bestFit="1" customWidth="1"/>
    <col min="13342" max="13569" width="11.453125" style="7"/>
    <col min="13570" max="13570" width="7" style="7" customWidth="1"/>
    <col min="13571" max="13571" width="10.7265625" style="7" customWidth="1"/>
    <col min="13572" max="13572" width="9.26953125" style="7" customWidth="1"/>
    <col min="13573" max="13596" width="7.26953125" style="7" customWidth="1"/>
    <col min="13597" max="13597" width="11.26953125" style="7" bestFit="1" customWidth="1"/>
    <col min="13598" max="13825" width="11.453125" style="7"/>
    <col min="13826" max="13826" width="7" style="7" customWidth="1"/>
    <col min="13827" max="13827" width="10.7265625" style="7" customWidth="1"/>
    <col min="13828" max="13828" width="9.26953125" style="7" customWidth="1"/>
    <col min="13829" max="13852" width="7.26953125" style="7" customWidth="1"/>
    <col min="13853" max="13853" width="11.26953125" style="7" bestFit="1" customWidth="1"/>
    <col min="13854" max="14081" width="11.453125" style="7"/>
    <col min="14082" max="14082" width="7" style="7" customWidth="1"/>
    <col min="14083" max="14083" width="10.7265625" style="7" customWidth="1"/>
    <col min="14084" max="14084" width="9.26953125" style="7" customWidth="1"/>
    <col min="14085" max="14108" width="7.26953125" style="7" customWidth="1"/>
    <col min="14109" max="14109" width="11.26953125" style="7" bestFit="1" customWidth="1"/>
    <col min="14110" max="14337" width="11.453125" style="7"/>
    <col min="14338" max="14338" width="7" style="7" customWidth="1"/>
    <col min="14339" max="14339" width="10.7265625" style="7" customWidth="1"/>
    <col min="14340" max="14340" width="9.26953125" style="7" customWidth="1"/>
    <col min="14341" max="14364" width="7.26953125" style="7" customWidth="1"/>
    <col min="14365" max="14365" width="11.26953125" style="7" bestFit="1" customWidth="1"/>
    <col min="14366" max="14593" width="11.453125" style="7"/>
    <col min="14594" max="14594" width="7" style="7" customWidth="1"/>
    <col min="14595" max="14595" width="10.7265625" style="7" customWidth="1"/>
    <col min="14596" max="14596" width="9.26953125" style="7" customWidth="1"/>
    <col min="14597" max="14620" width="7.26953125" style="7" customWidth="1"/>
    <col min="14621" max="14621" width="11.26953125" style="7" bestFit="1" customWidth="1"/>
    <col min="14622" max="14849" width="11.453125" style="7"/>
    <col min="14850" max="14850" width="7" style="7" customWidth="1"/>
    <col min="14851" max="14851" width="10.7265625" style="7" customWidth="1"/>
    <col min="14852" max="14852" width="9.26953125" style="7" customWidth="1"/>
    <col min="14853" max="14876" width="7.26953125" style="7" customWidth="1"/>
    <col min="14877" max="14877" width="11.26953125" style="7" bestFit="1" customWidth="1"/>
    <col min="14878" max="15105" width="11.453125" style="7"/>
    <col min="15106" max="15106" width="7" style="7" customWidth="1"/>
    <col min="15107" max="15107" width="10.7265625" style="7" customWidth="1"/>
    <col min="15108" max="15108" width="9.26953125" style="7" customWidth="1"/>
    <col min="15109" max="15132" width="7.26953125" style="7" customWidth="1"/>
    <col min="15133" max="15133" width="11.26953125" style="7" bestFit="1" customWidth="1"/>
    <col min="15134" max="15361" width="11.453125" style="7"/>
    <col min="15362" max="15362" width="7" style="7" customWidth="1"/>
    <col min="15363" max="15363" width="10.7265625" style="7" customWidth="1"/>
    <col min="15364" max="15364" width="9.26953125" style="7" customWidth="1"/>
    <col min="15365" max="15388" width="7.26953125" style="7" customWidth="1"/>
    <col min="15389" max="15389" width="11.26953125" style="7" bestFit="1" customWidth="1"/>
    <col min="15390" max="15617" width="11.453125" style="7"/>
    <col min="15618" max="15618" width="7" style="7" customWidth="1"/>
    <col min="15619" max="15619" width="10.7265625" style="7" customWidth="1"/>
    <col min="15620" max="15620" width="9.26953125" style="7" customWidth="1"/>
    <col min="15621" max="15644" width="7.26953125" style="7" customWidth="1"/>
    <col min="15645" max="15645" width="11.26953125" style="7" bestFit="1" customWidth="1"/>
    <col min="15646" max="15873" width="11.453125" style="7"/>
    <col min="15874" max="15874" width="7" style="7" customWidth="1"/>
    <col min="15875" max="15875" width="10.7265625" style="7" customWidth="1"/>
    <col min="15876" max="15876" width="9.26953125" style="7" customWidth="1"/>
    <col min="15877" max="15900" width="7.26953125" style="7" customWidth="1"/>
    <col min="15901" max="15901" width="11.26953125" style="7" bestFit="1" customWidth="1"/>
    <col min="15902" max="16129" width="11.453125" style="7"/>
    <col min="16130" max="16130" width="7" style="7" customWidth="1"/>
    <col min="16131" max="16131" width="10.7265625" style="7" customWidth="1"/>
    <col min="16132" max="16132" width="9.26953125" style="7" customWidth="1"/>
    <col min="16133" max="16156" width="7.26953125" style="7" customWidth="1"/>
    <col min="16157" max="16157" width="11.26953125" style="7" bestFit="1" customWidth="1"/>
    <col min="16158" max="16384" width="11.453125" style="7"/>
  </cols>
  <sheetData>
    <row r="1" spans="2:56" ht="18.649999999999999" customHeight="1" x14ac:dyDescent="0.25"/>
    <row r="2" spans="2:56" ht="18.649999999999999" customHeight="1" x14ac:dyDescent="0.25">
      <c r="B2" s="79" t="s">
        <v>45</v>
      </c>
      <c r="C2" s="79"/>
      <c r="D2" s="79"/>
      <c r="E2" s="79"/>
      <c r="F2" s="79"/>
      <c r="G2" s="79"/>
      <c r="H2" s="79"/>
      <c r="I2" s="79"/>
      <c r="J2" s="79"/>
      <c r="K2" s="79"/>
      <c r="L2" s="79"/>
      <c r="M2" s="79"/>
      <c r="N2" s="79"/>
      <c r="O2" s="79"/>
      <c r="P2" s="79"/>
      <c r="Q2" s="79"/>
      <c r="R2" s="79"/>
      <c r="S2" s="79"/>
      <c r="T2" s="79"/>
      <c r="U2" s="79"/>
      <c r="V2" s="79"/>
      <c r="W2" s="79"/>
      <c r="X2" s="79"/>
      <c r="Y2" s="79"/>
      <c r="Z2" s="79"/>
      <c r="AA2" s="79"/>
      <c r="AB2" s="79"/>
      <c r="AC2" s="79"/>
    </row>
    <row r="3" spans="2:56" ht="18.649999999999999" customHeight="1" x14ac:dyDescent="0.25">
      <c r="B3" s="79" t="s">
        <v>44</v>
      </c>
      <c r="C3" s="79"/>
      <c r="D3" s="79"/>
      <c r="E3" s="79"/>
      <c r="F3" s="79"/>
      <c r="G3" s="79"/>
      <c r="H3" s="79"/>
      <c r="I3" s="79"/>
      <c r="J3" s="79"/>
      <c r="K3" s="79"/>
      <c r="L3" s="79"/>
      <c r="M3" s="79"/>
      <c r="N3" s="79"/>
      <c r="O3" s="79"/>
      <c r="P3" s="79"/>
      <c r="Q3" s="79"/>
      <c r="R3" s="79"/>
      <c r="S3" s="79"/>
      <c r="T3" s="79"/>
      <c r="U3" s="79"/>
      <c r="V3" s="79"/>
      <c r="W3" s="79"/>
      <c r="X3" s="79"/>
      <c r="Y3" s="79"/>
      <c r="Z3" s="79"/>
      <c r="AA3" s="79"/>
      <c r="AB3" s="79"/>
      <c r="AC3" s="79"/>
    </row>
    <row r="4" spans="2:56" ht="18.649999999999999" customHeight="1" x14ac:dyDescent="0.25">
      <c r="B4" s="79">
        <v>2030</v>
      </c>
      <c r="C4" s="79"/>
      <c r="D4" s="79"/>
      <c r="E4" s="79"/>
      <c r="F4" s="79"/>
      <c r="G4" s="79"/>
      <c r="H4" s="79"/>
      <c r="I4" s="79"/>
      <c r="J4" s="79"/>
      <c r="K4" s="79"/>
      <c r="L4" s="79"/>
      <c r="M4" s="79"/>
      <c r="N4" s="79"/>
      <c r="O4" s="79"/>
      <c r="P4" s="79"/>
      <c r="Q4" s="79"/>
      <c r="R4" s="79"/>
      <c r="S4" s="79"/>
      <c r="T4" s="79"/>
      <c r="U4" s="79"/>
      <c r="V4" s="79"/>
      <c r="W4" s="79"/>
      <c r="X4" s="79"/>
      <c r="Y4" s="79"/>
      <c r="Z4" s="79"/>
      <c r="AA4" s="79"/>
      <c r="AB4" s="79"/>
      <c r="AC4" s="79"/>
    </row>
    <row r="5" spans="2:56" ht="18.649999999999999" customHeight="1" x14ac:dyDescent="0.25"/>
    <row r="6" spans="2:56" ht="15.5" x14ac:dyDescent="0.25">
      <c r="B6" s="2" t="s">
        <v>0</v>
      </c>
      <c r="C6" s="3" t="s">
        <v>1</v>
      </c>
      <c r="D6" s="2" t="s">
        <v>2</v>
      </c>
      <c r="E6" s="9" t="s">
        <v>3</v>
      </c>
      <c r="F6" s="9" t="s">
        <v>4</v>
      </c>
      <c r="G6" s="9" t="s">
        <v>5</v>
      </c>
      <c r="H6" s="9" t="s">
        <v>6</v>
      </c>
      <c r="I6" s="9" t="s">
        <v>7</v>
      </c>
      <c r="J6" s="9" t="s">
        <v>8</v>
      </c>
      <c r="K6" s="9" t="s">
        <v>9</v>
      </c>
      <c r="L6" s="9" t="s">
        <v>10</v>
      </c>
      <c r="M6" s="9" t="s">
        <v>11</v>
      </c>
      <c r="N6" s="9" t="s">
        <v>12</v>
      </c>
      <c r="O6" s="9" t="s">
        <v>13</v>
      </c>
      <c r="P6" s="9" t="s">
        <v>14</v>
      </c>
      <c r="Q6" s="9" t="s">
        <v>15</v>
      </c>
      <c r="R6" s="9" t="s">
        <v>16</v>
      </c>
      <c r="S6" s="9" t="s">
        <v>17</v>
      </c>
      <c r="T6" s="9" t="s">
        <v>18</v>
      </c>
      <c r="U6" s="9" t="s">
        <v>19</v>
      </c>
      <c r="V6" s="9" t="s">
        <v>20</v>
      </c>
      <c r="W6" s="9" t="s">
        <v>21</v>
      </c>
      <c r="X6" s="9" t="s">
        <v>22</v>
      </c>
      <c r="Y6" s="9" t="s">
        <v>23</v>
      </c>
      <c r="Z6" s="9" t="s">
        <v>24</v>
      </c>
      <c r="AA6" s="9" t="s">
        <v>25</v>
      </c>
      <c r="AB6" s="9" t="s">
        <v>26</v>
      </c>
      <c r="AC6" s="9" t="s">
        <v>27</v>
      </c>
    </row>
    <row r="7" spans="2:56" ht="18.649999999999999" customHeight="1" x14ac:dyDescent="0.25">
      <c r="B7" s="70" t="s">
        <v>28</v>
      </c>
      <c r="C7" s="4" t="s">
        <v>29</v>
      </c>
      <c r="D7" s="5">
        <v>21</v>
      </c>
      <c r="E7" s="11">
        <v>18548</v>
      </c>
      <c r="F7" s="11">
        <v>17653</v>
      </c>
      <c r="G7" s="11">
        <v>16988</v>
      </c>
      <c r="H7" s="11">
        <v>16825</v>
      </c>
      <c r="I7" s="11">
        <v>18284</v>
      </c>
      <c r="J7" s="11">
        <v>22323</v>
      </c>
      <c r="K7" s="11">
        <v>26823</v>
      </c>
      <c r="L7" s="11">
        <v>38220</v>
      </c>
      <c r="M7" s="11">
        <v>38521</v>
      </c>
      <c r="N7" s="11">
        <v>39000</v>
      </c>
      <c r="O7" s="11">
        <v>40363</v>
      </c>
      <c r="P7" s="11">
        <v>42648</v>
      </c>
      <c r="Q7" s="11">
        <v>40111</v>
      </c>
      <c r="R7" s="11">
        <v>39082</v>
      </c>
      <c r="S7" s="11">
        <v>40038</v>
      </c>
      <c r="T7" s="11">
        <v>41023</v>
      </c>
      <c r="U7" s="11">
        <v>41772</v>
      </c>
      <c r="V7" s="11">
        <v>35142</v>
      </c>
      <c r="W7" s="11">
        <v>38204</v>
      </c>
      <c r="X7" s="11">
        <v>38470</v>
      </c>
      <c r="Y7" s="11">
        <v>36288</v>
      </c>
      <c r="Z7" s="11">
        <v>32704</v>
      </c>
      <c r="AA7" s="11">
        <v>26553</v>
      </c>
      <c r="AB7" s="11">
        <v>22694</v>
      </c>
      <c r="AC7" s="76">
        <f>+SUM(E7:AB7)*D7+SUM(E8:AB8)*D8+SUM(E9:AB9)*D9+SUM(E10:AB10)*D10</f>
        <v>23463619</v>
      </c>
      <c r="AE7" s="17">
        <f>+AC7</f>
        <v>23463619</v>
      </c>
      <c r="AG7" s="15"/>
      <c r="AH7" s="15"/>
      <c r="AI7" s="15"/>
      <c r="AJ7" s="15"/>
      <c r="AK7" s="15"/>
      <c r="AL7" s="15"/>
      <c r="AM7" s="15"/>
      <c r="AN7" s="15"/>
      <c r="AO7" s="15"/>
      <c r="AP7" s="15"/>
      <c r="AQ7" s="15"/>
      <c r="AR7" s="15"/>
      <c r="AS7" s="15"/>
      <c r="AT7" s="15"/>
      <c r="AU7" s="15"/>
      <c r="AV7" s="15"/>
      <c r="AW7" s="15"/>
      <c r="AX7" s="15"/>
      <c r="AY7" s="15"/>
      <c r="AZ7" s="15"/>
      <c r="BA7" s="15"/>
      <c r="BB7" s="15"/>
      <c r="BC7" s="15"/>
      <c r="BD7" s="15"/>
    </row>
    <row r="8" spans="2:56" ht="18.649999999999999" customHeight="1" x14ac:dyDescent="0.25">
      <c r="B8" s="70" t="s">
        <v>28</v>
      </c>
      <c r="C8" s="4" t="s">
        <v>30</v>
      </c>
      <c r="D8" s="5">
        <v>4</v>
      </c>
      <c r="E8" s="11">
        <v>20378</v>
      </c>
      <c r="F8" s="11">
        <v>18601</v>
      </c>
      <c r="G8" s="11">
        <v>17837</v>
      </c>
      <c r="H8" s="11">
        <v>17389</v>
      </c>
      <c r="I8" s="11">
        <v>17876</v>
      </c>
      <c r="J8" s="11">
        <v>19268</v>
      </c>
      <c r="K8" s="11">
        <v>22153</v>
      </c>
      <c r="L8" s="11">
        <v>35694</v>
      </c>
      <c r="M8" s="11">
        <v>38247</v>
      </c>
      <c r="N8" s="11">
        <v>39820</v>
      </c>
      <c r="O8" s="11">
        <v>40862</v>
      </c>
      <c r="P8" s="11">
        <v>42425</v>
      </c>
      <c r="Q8" s="11">
        <v>42937</v>
      </c>
      <c r="R8" s="11">
        <v>42078</v>
      </c>
      <c r="S8" s="11">
        <v>41687</v>
      </c>
      <c r="T8" s="11">
        <v>41457</v>
      </c>
      <c r="U8" s="11">
        <v>42173</v>
      </c>
      <c r="V8" s="11">
        <v>35347</v>
      </c>
      <c r="W8" s="11">
        <v>38956</v>
      </c>
      <c r="X8" s="11">
        <v>39055</v>
      </c>
      <c r="Y8" s="11">
        <v>37089</v>
      </c>
      <c r="Z8" s="11">
        <v>34605</v>
      </c>
      <c r="AA8" s="11">
        <v>30171</v>
      </c>
      <c r="AB8" s="11">
        <v>26392</v>
      </c>
      <c r="AC8" s="77"/>
      <c r="AE8" s="17">
        <f>+AC11</f>
        <v>21983264</v>
      </c>
      <c r="AG8" s="15"/>
      <c r="AH8" s="15"/>
      <c r="AI8" s="15"/>
      <c r="AJ8" s="15"/>
      <c r="AK8" s="15"/>
      <c r="AL8" s="15"/>
      <c r="AM8" s="15"/>
      <c r="AN8" s="15"/>
      <c r="AO8" s="15"/>
      <c r="AP8" s="15"/>
      <c r="AQ8" s="15"/>
      <c r="AR8" s="15"/>
      <c r="AS8" s="15"/>
      <c r="AT8" s="15"/>
      <c r="AU8" s="15"/>
      <c r="AV8" s="15"/>
      <c r="AW8" s="15"/>
      <c r="AX8" s="15"/>
      <c r="AY8" s="15"/>
      <c r="AZ8" s="15"/>
      <c r="BA8" s="15"/>
      <c r="BB8" s="15"/>
      <c r="BC8" s="15"/>
      <c r="BD8" s="15"/>
    </row>
    <row r="9" spans="2:56" ht="18.649999999999999" customHeight="1" x14ac:dyDescent="0.25">
      <c r="B9" s="70" t="s">
        <v>28</v>
      </c>
      <c r="C9" s="4" t="s">
        <v>31</v>
      </c>
      <c r="D9" s="5">
        <v>4</v>
      </c>
      <c r="E9" s="11">
        <v>21828</v>
      </c>
      <c r="F9" s="11">
        <v>20238</v>
      </c>
      <c r="G9" s="11">
        <v>19027</v>
      </c>
      <c r="H9" s="11">
        <v>18162</v>
      </c>
      <c r="I9" s="11">
        <v>17918</v>
      </c>
      <c r="J9" s="11">
        <v>17714</v>
      </c>
      <c r="K9" s="11">
        <v>18717</v>
      </c>
      <c r="L9" s="11">
        <v>29748</v>
      </c>
      <c r="M9" s="11">
        <v>32235</v>
      </c>
      <c r="N9" s="11">
        <v>33668</v>
      </c>
      <c r="O9" s="11">
        <v>35611</v>
      </c>
      <c r="P9" s="11">
        <v>37753</v>
      </c>
      <c r="Q9" s="11">
        <v>38123</v>
      </c>
      <c r="R9" s="11">
        <v>37195</v>
      </c>
      <c r="S9" s="11">
        <v>37977</v>
      </c>
      <c r="T9" s="11">
        <v>38981</v>
      </c>
      <c r="U9" s="11">
        <v>39516</v>
      </c>
      <c r="V9" s="11">
        <v>33439</v>
      </c>
      <c r="W9" s="11">
        <v>36666</v>
      </c>
      <c r="X9" s="11">
        <v>36485</v>
      </c>
      <c r="Y9" s="11">
        <v>34282</v>
      </c>
      <c r="Z9" s="11">
        <v>30869</v>
      </c>
      <c r="AA9" s="11">
        <v>26070</v>
      </c>
      <c r="AB9" s="11">
        <v>21864</v>
      </c>
      <c r="AC9" s="77"/>
      <c r="AE9" s="17">
        <f>+AC15</f>
        <v>22930560</v>
      </c>
      <c r="AG9" s="15"/>
      <c r="AH9" s="15"/>
      <c r="AI9" s="15"/>
      <c r="AJ9" s="15"/>
      <c r="AK9" s="15"/>
      <c r="AL9" s="15"/>
      <c r="AM9" s="15"/>
      <c r="AN9" s="15"/>
      <c r="AO9" s="15"/>
      <c r="AP9" s="15"/>
      <c r="AQ9" s="15"/>
      <c r="AR9" s="15"/>
      <c r="AS9" s="15"/>
      <c r="AT9" s="15"/>
      <c r="AU9" s="15"/>
      <c r="AV9" s="15"/>
      <c r="AW9" s="15"/>
      <c r="AX9" s="15"/>
      <c r="AY9" s="15"/>
      <c r="AZ9" s="15"/>
      <c r="BA9" s="15"/>
      <c r="BB9" s="15"/>
      <c r="BC9" s="15"/>
      <c r="BD9" s="15"/>
    </row>
    <row r="10" spans="2:56" ht="18.649999999999999" customHeight="1" x14ac:dyDescent="0.25">
      <c r="B10" s="70" t="s">
        <v>28</v>
      </c>
      <c r="C10" s="4" t="s">
        <v>32</v>
      </c>
      <c r="D10" s="5">
        <v>2</v>
      </c>
      <c r="E10" s="11">
        <v>21239</v>
      </c>
      <c r="F10" s="11">
        <v>19984</v>
      </c>
      <c r="G10" s="11">
        <v>18459</v>
      </c>
      <c r="H10" s="11">
        <v>18322</v>
      </c>
      <c r="I10" s="11">
        <v>17670</v>
      </c>
      <c r="J10" s="11">
        <v>17584</v>
      </c>
      <c r="K10" s="11">
        <v>17000</v>
      </c>
      <c r="L10" s="11">
        <v>26873</v>
      </c>
      <c r="M10" s="11">
        <v>28131</v>
      </c>
      <c r="N10" s="11">
        <v>29794</v>
      </c>
      <c r="O10" s="11">
        <v>32289</v>
      </c>
      <c r="P10" s="11">
        <v>33395</v>
      </c>
      <c r="Q10" s="11">
        <v>34868</v>
      </c>
      <c r="R10" s="11">
        <v>35577</v>
      </c>
      <c r="S10" s="11">
        <v>36142</v>
      </c>
      <c r="T10" s="11">
        <v>36045</v>
      </c>
      <c r="U10" s="11">
        <v>36689</v>
      </c>
      <c r="V10" s="11">
        <v>31811</v>
      </c>
      <c r="W10" s="11">
        <v>34682</v>
      </c>
      <c r="X10" s="11">
        <v>35315</v>
      </c>
      <c r="Y10" s="11">
        <v>33856</v>
      </c>
      <c r="Z10" s="11">
        <v>29724</v>
      </c>
      <c r="AA10" s="11">
        <v>24968</v>
      </c>
      <c r="AB10" s="11">
        <v>21318</v>
      </c>
      <c r="AC10" s="78"/>
      <c r="AE10" s="17">
        <f>+AC19</f>
        <v>23011184</v>
      </c>
      <c r="AG10" s="15"/>
      <c r="AH10" s="15"/>
      <c r="AI10" s="15"/>
      <c r="AJ10" s="15"/>
      <c r="AK10" s="15"/>
      <c r="AL10" s="15"/>
      <c r="AM10" s="15"/>
      <c r="AN10" s="15"/>
      <c r="AO10" s="15"/>
      <c r="AP10" s="15"/>
      <c r="AQ10" s="15"/>
      <c r="AR10" s="15"/>
      <c r="AS10" s="15"/>
      <c r="AT10" s="15"/>
      <c r="AU10" s="15"/>
      <c r="AV10" s="15"/>
      <c r="AW10" s="15"/>
      <c r="AX10" s="15"/>
      <c r="AY10" s="15"/>
      <c r="AZ10" s="15"/>
      <c r="BA10" s="15"/>
      <c r="BB10" s="15"/>
      <c r="BC10" s="15"/>
      <c r="BD10" s="15"/>
    </row>
    <row r="11" spans="2:56" ht="18.649999999999999" customHeight="1" x14ac:dyDescent="0.25">
      <c r="B11" s="70" t="s">
        <v>33</v>
      </c>
      <c r="C11" s="4" t="s">
        <v>29</v>
      </c>
      <c r="D11" s="5">
        <v>20</v>
      </c>
      <c r="E11" s="11">
        <v>18240</v>
      </c>
      <c r="F11" s="11">
        <v>18021</v>
      </c>
      <c r="G11" s="11">
        <v>17197</v>
      </c>
      <c r="H11" s="11">
        <v>17770</v>
      </c>
      <c r="I11" s="11">
        <v>18182</v>
      </c>
      <c r="J11" s="11">
        <v>25249</v>
      </c>
      <c r="K11" s="11">
        <v>29874</v>
      </c>
      <c r="L11" s="11">
        <v>41071</v>
      </c>
      <c r="M11" s="11">
        <v>40708</v>
      </c>
      <c r="N11" s="11">
        <v>40912</v>
      </c>
      <c r="O11" s="11">
        <v>42140</v>
      </c>
      <c r="P11" s="11">
        <v>43419</v>
      </c>
      <c r="Q11" s="11">
        <v>42336</v>
      </c>
      <c r="R11" s="11">
        <v>42056</v>
      </c>
      <c r="S11" s="11">
        <v>42937</v>
      </c>
      <c r="T11" s="11">
        <v>43496</v>
      </c>
      <c r="U11" s="11">
        <v>43534</v>
      </c>
      <c r="V11" s="11">
        <v>34814</v>
      </c>
      <c r="W11" s="11">
        <v>38013</v>
      </c>
      <c r="X11" s="11">
        <v>38581</v>
      </c>
      <c r="Y11" s="11">
        <v>36495</v>
      </c>
      <c r="Z11" s="11">
        <v>33030</v>
      </c>
      <c r="AA11" s="11">
        <v>27470</v>
      </c>
      <c r="AB11" s="11">
        <v>22689</v>
      </c>
      <c r="AC11" s="76">
        <f>+SUM(E11:AB11)*D11+SUM(E12:AB12)*D12+SUM(E13:AB13)*D13+SUM(E14:AB14)*D14</f>
        <v>21983264</v>
      </c>
      <c r="AE11" s="17">
        <f>+AC23</f>
        <v>22947941</v>
      </c>
      <c r="AG11" s="15"/>
      <c r="AH11" s="15"/>
      <c r="AI11" s="15"/>
      <c r="AJ11" s="15"/>
      <c r="AK11" s="15"/>
      <c r="AL11" s="15"/>
      <c r="AM11" s="15"/>
      <c r="AN11" s="15"/>
      <c r="AO11" s="15"/>
      <c r="AP11" s="15"/>
      <c r="AQ11" s="15"/>
      <c r="AR11" s="15"/>
      <c r="AS11" s="15"/>
      <c r="AT11" s="15"/>
      <c r="AU11" s="15"/>
      <c r="AV11" s="15"/>
      <c r="AW11" s="15"/>
      <c r="AX11" s="15"/>
      <c r="AY11" s="15"/>
      <c r="AZ11" s="15"/>
      <c r="BA11" s="15"/>
      <c r="BB11" s="15"/>
      <c r="BC11" s="15"/>
      <c r="BD11" s="15"/>
    </row>
    <row r="12" spans="2:56" ht="18.649999999999999" customHeight="1" x14ac:dyDescent="0.25">
      <c r="B12" s="70" t="s">
        <v>33</v>
      </c>
      <c r="C12" s="4" t="s">
        <v>30</v>
      </c>
      <c r="D12" s="5">
        <v>4</v>
      </c>
      <c r="E12" s="11">
        <v>20479</v>
      </c>
      <c r="F12" s="11">
        <v>19389</v>
      </c>
      <c r="G12" s="11">
        <v>18759</v>
      </c>
      <c r="H12" s="11">
        <v>18244</v>
      </c>
      <c r="I12" s="11">
        <v>18699</v>
      </c>
      <c r="J12" s="11">
        <v>19991</v>
      </c>
      <c r="K12" s="11">
        <v>23807</v>
      </c>
      <c r="L12" s="11">
        <v>38434</v>
      </c>
      <c r="M12" s="11">
        <v>40533</v>
      </c>
      <c r="N12" s="11">
        <v>41587</v>
      </c>
      <c r="O12" s="11">
        <v>42487</v>
      </c>
      <c r="P12" s="11">
        <v>43560</v>
      </c>
      <c r="Q12" s="11">
        <v>42704</v>
      </c>
      <c r="R12" s="11">
        <v>41711</v>
      </c>
      <c r="S12" s="11">
        <v>41414</v>
      </c>
      <c r="T12" s="11">
        <v>41248</v>
      </c>
      <c r="U12" s="11">
        <v>42016</v>
      </c>
      <c r="V12" s="11">
        <v>34495</v>
      </c>
      <c r="W12" s="11">
        <v>36797</v>
      </c>
      <c r="X12" s="11">
        <v>37805</v>
      </c>
      <c r="Y12" s="11">
        <v>35977</v>
      </c>
      <c r="Z12" s="11">
        <v>32196</v>
      </c>
      <c r="AA12" s="11">
        <v>27873</v>
      </c>
      <c r="AB12" s="11">
        <v>23552</v>
      </c>
      <c r="AC12" s="77"/>
      <c r="AE12" s="17">
        <f>+AC27</f>
        <v>23112949</v>
      </c>
      <c r="AG12" s="15"/>
      <c r="AH12" s="15"/>
      <c r="AI12" s="15"/>
      <c r="AJ12" s="15"/>
      <c r="AK12" s="15"/>
      <c r="AL12" s="15"/>
      <c r="AM12" s="15"/>
      <c r="AN12" s="15"/>
      <c r="AO12" s="15"/>
      <c r="AP12" s="15"/>
      <c r="AQ12" s="15"/>
      <c r="AR12" s="15"/>
      <c r="AS12" s="15"/>
      <c r="AT12" s="15"/>
      <c r="AU12" s="15"/>
      <c r="AV12" s="15"/>
      <c r="AW12" s="15"/>
      <c r="AX12" s="15"/>
      <c r="AY12" s="15"/>
      <c r="AZ12" s="15"/>
      <c r="BA12" s="15"/>
      <c r="BB12" s="15"/>
      <c r="BC12" s="15"/>
      <c r="BD12" s="15"/>
    </row>
    <row r="13" spans="2:56" ht="18.649999999999999" customHeight="1" x14ac:dyDescent="0.25">
      <c r="B13" s="70" t="s">
        <v>33</v>
      </c>
      <c r="C13" s="4" t="s">
        <v>31</v>
      </c>
      <c r="D13" s="5">
        <v>4</v>
      </c>
      <c r="E13" s="11">
        <v>20519</v>
      </c>
      <c r="F13" s="11">
        <v>19228</v>
      </c>
      <c r="G13" s="11">
        <v>18178</v>
      </c>
      <c r="H13" s="11">
        <v>17666</v>
      </c>
      <c r="I13" s="11">
        <v>17685</v>
      </c>
      <c r="J13" s="11">
        <v>17737</v>
      </c>
      <c r="K13" s="11">
        <v>18990</v>
      </c>
      <c r="L13" s="11">
        <v>31686</v>
      </c>
      <c r="M13" s="11">
        <v>34760</v>
      </c>
      <c r="N13" s="11">
        <v>36732</v>
      </c>
      <c r="O13" s="11">
        <v>37036</v>
      </c>
      <c r="P13" s="11">
        <v>39123</v>
      </c>
      <c r="Q13" s="11">
        <v>40590</v>
      </c>
      <c r="R13" s="11">
        <v>40726</v>
      </c>
      <c r="S13" s="11">
        <v>39653</v>
      </c>
      <c r="T13" s="11">
        <v>41336</v>
      </c>
      <c r="U13" s="11">
        <v>38036</v>
      </c>
      <c r="V13" s="11">
        <v>30975</v>
      </c>
      <c r="W13" s="11">
        <v>36464</v>
      </c>
      <c r="X13" s="11">
        <v>34301</v>
      </c>
      <c r="Y13" s="11">
        <v>33416</v>
      </c>
      <c r="Z13" s="11">
        <v>30079</v>
      </c>
      <c r="AA13" s="11">
        <v>24979</v>
      </c>
      <c r="AB13" s="11">
        <v>20994</v>
      </c>
      <c r="AC13" s="77"/>
      <c r="AE13" s="17">
        <f>+AC31</f>
        <v>23935549</v>
      </c>
      <c r="AG13" s="15"/>
      <c r="AH13" s="15"/>
      <c r="AI13" s="15"/>
      <c r="AJ13" s="15"/>
      <c r="AK13" s="15"/>
      <c r="AL13" s="15"/>
      <c r="AM13" s="15"/>
      <c r="AN13" s="15"/>
      <c r="AO13" s="15"/>
      <c r="AP13" s="15"/>
      <c r="AQ13" s="15"/>
      <c r="AR13" s="15"/>
      <c r="AS13" s="15"/>
      <c r="AT13" s="15"/>
      <c r="AU13" s="15"/>
      <c r="AV13" s="15"/>
      <c r="AW13" s="15"/>
      <c r="AX13" s="15"/>
      <c r="AY13" s="15"/>
      <c r="AZ13" s="15"/>
      <c r="BA13" s="15"/>
      <c r="BB13" s="15"/>
      <c r="BC13" s="15"/>
      <c r="BD13" s="15"/>
    </row>
    <row r="14" spans="2:56" ht="18.649999999999999" customHeight="1" x14ac:dyDescent="0.25">
      <c r="B14" s="70" t="s">
        <v>33</v>
      </c>
      <c r="C14" s="4" t="s">
        <v>32</v>
      </c>
      <c r="D14" s="5">
        <v>0</v>
      </c>
      <c r="E14" s="11">
        <v>0</v>
      </c>
      <c r="F14" s="11">
        <v>0</v>
      </c>
      <c r="G14" s="11">
        <v>0</v>
      </c>
      <c r="H14" s="11">
        <v>0</v>
      </c>
      <c r="I14" s="11">
        <v>0</v>
      </c>
      <c r="J14" s="11">
        <v>0</v>
      </c>
      <c r="K14" s="11">
        <v>0</v>
      </c>
      <c r="L14" s="11">
        <v>0</v>
      </c>
      <c r="M14" s="11">
        <v>0</v>
      </c>
      <c r="N14" s="11">
        <v>0</v>
      </c>
      <c r="O14" s="11">
        <v>0</v>
      </c>
      <c r="P14" s="11">
        <v>0</v>
      </c>
      <c r="Q14" s="11">
        <v>0</v>
      </c>
      <c r="R14" s="11">
        <v>0</v>
      </c>
      <c r="S14" s="11">
        <v>0</v>
      </c>
      <c r="T14" s="11">
        <v>0</v>
      </c>
      <c r="U14" s="11">
        <v>0</v>
      </c>
      <c r="V14" s="11">
        <v>0</v>
      </c>
      <c r="W14" s="11">
        <v>0</v>
      </c>
      <c r="X14" s="11">
        <v>0</v>
      </c>
      <c r="Y14" s="11">
        <v>0</v>
      </c>
      <c r="Z14" s="11">
        <v>0</v>
      </c>
      <c r="AA14" s="11">
        <v>0</v>
      </c>
      <c r="AB14" s="11">
        <v>0</v>
      </c>
      <c r="AC14" s="78"/>
      <c r="AE14" s="17">
        <f>+AC35</f>
        <v>23893234</v>
      </c>
      <c r="AG14" s="15"/>
      <c r="AH14" s="15"/>
      <c r="AI14" s="15"/>
      <c r="AJ14" s="15"/>
      <c r="AK14" s="15"/>
      <c r="AL14" s="15"/>
      <c r="AM14" s="15"/>
      <c r="AN14" s="15"/>
      <c r="AO14" s="15"/>
      <c r="AP14" s="15"/>
      <c r="AQ14" s="15"/>
      <c r="AR14" s="15"/>
      <c r="AS14" s="15"/>
      <c r="AT14" s="15"/>
      <c r="AU14" s="15"/>
      <c r="AV14" s="15"/>
      <c r="AW14" s="15"/>
      <c r="AX14" s="15"/>
      <c r="AY14" s="15"/>
      <c r="AZ14" s="15"/>
      <c r="BA14" s="15"/>
      <c r="BB14" s="15"/>
      <c r="BC14" s="15"/>
      <c r="BD14" s="15"/>
    </row>
    <row r="15" spans="2:56" ht="18.649999999999999" customHeight="1" x14ac:dyDescent="0.25">
      <c r="B15" s="70" t="s">
        <v>34</v>
      </c>
      <c r="C15" s="4" t="s">
        <v>29</v>
      </c>
      <c r="D15" s="5">
        <v>20</v>
      </c>
      <c r="E15" s="11">
        <v>17582</v>
      </c>
      <c r="F15" s="11">
        <v>16692</v>
      </c>
      <c r="G15" s="11">
        <v>16387</v>
      </c>
      <c r="H15" s="11">
        <v>16376</v>
      </c>
      <c r="I15" s="11">
        <v>18292</v>
      </c>
      <c r="J15" s="11">
        <v>24031</v>
      </c>
      <c r="K15" s="11">
        <v>27679</v>
      </c>
      <c r="L15" s="11">
        <v>37555</v>
      </c>
      <c r="M15" s="11">
        <v>37094</v>
      </c>
      <c r="N15" s="11">
        <v>37433</v>
      </c>
      <c r="O15" s="11">
        <v>37953</v>
      </c>
      <c r="P15" s="11">
        <v>40399</v>
      </c>
      <c r="Q15" s="11">
        <v>39702</v>
      </c>
      <c r="R15" s="11">
        <v>39262</v>
      </c>
      <c r="S15" s="11">
        <v>40194</v>
      </c>
      <c r="T15" s="11">
        <v>40508</v>
      </c>
      <c r="U15" s="11">
        <v>39937</v>
      </c>
      <c r="V15" s="11">
        <v>32999</v>
      </c>
      <c r="W15" s="11">
        <v>36325</v>
      </c>
      <c r="X15" s="11">
        <v>37410</v>
      </c>
      <c r="Y15" s="11">
        <v>35778</v>
      </c>
      <c r="Z15" s="11">
        <v>31143</v>
      </c>
      <c r="AA15" s="11">
        <v>26521</v>
      </c>
      <c r="AB15" s="11">
        <v>21653</v>
      </c>
      <c r="AC15" s="76">
        <f>+SUM(E15:AB15)*D15+SUM(E16:AB16)*D16+SUM(E17:AB17)*D17+SUM(E18:AB18)*D18</f>
        <v>22930560</v>
      </c>
      <c r="AE15" s="17">
        <f>+AC39</f>
        <v>22902751</v>
      </c>
      <c r="AG15" s="15"/>
      <c r="AH15" s="15"/>
      <c r="AI15" s="15"/>
      <c r="AJ15" s="15"/>
      <c r="AK15" s="15"/>
      <c r="AL15" s="15"/>
      <c r="AM15" s="15"/>
      <c r="AN15" s="15"/>
      <c r="AO15" s="15"/>
      <c r="AP15" s="15"/>
      <c r="AQ15" s="15"/>
      <c r="AR15" s="15"/>
      <c r="AS15" s="15"/>
      <c r="AT15" s="15"/>
      <c r="AU15" s="15"/>
      <c r="AV15" s="15"/>
      <c r="AW15" s="15"/>
      <c r="AX15" s="15"/>
      <c r="AY15" s="15"/>
      <c r="AZ15" s="15"/>
      <c r="BA15" s="15"/>
      <c r="BB15" s="15"/>
      <c r="BC15" s="15"/>
      <c r="BD15" s="15"/>
    </row>
    <row r="16" spans="2:56" ht="18.649999999999999" customHeight="1" x14ac:dyDescent="0.25">
      <c r="B16" s="70" t="s">
        <v>34</v>
      </c>
      <c r="C16" s="4" t="s">
        <v>30</v>
      </c>
      <c r="D16" s="5">
        <v>5</v>
      </c>
      <c r="E16" s="11">
        <v>17084</v>
      </c>
      <c r="F16" s="11">
        <v>17702</v>
      </c>
      <c r="G16" s="11">
        <v>17205</v>
      </c>
      <c r="H16" s="11">
        <v>16924</v>
      </c>
      <c r="I16" s="11">
        <v>17667</v>
      </c>
      <c r="J16" s="11">
        <v>19452</v>
      </c>
      <c r="K16" s="11">
        <v>23066</v>
      </c>
      <c r="L16" s="11">
        <v>36845</v>
      </c>
      <c r="M16" s="11">
        <v>38689</v>
      </c>
      <c r="N16" s="11">
        <v>39994</v>
      </c>
      <c r="O16" s="11">
        <v>40523</v>
      </c>
      <c r="P16" s="11">
        <v>40654</v>
      </c>
      <c r="Q16" s="11">
        <v>40860</v>
      </c>
      <c r="R16" s="11">
        <v>39929</v>
      </c>
      <c r="S16" s="11">
        <v>39869</v>
      </c>
      <c r="T16" s="11">
        <v>40019</v>
      </c>
      <c r="U16" s="11">
        <v>39929</v>
      </c>
      <c r="V16" s="11">
        <v>32868</v>
      </c>
      <c r="W16" s="11">
        <v>34623</v>
      </c>
      <c r="X16" s="11">
        <v>36969</v>
      </c>
      <c r="Y16" s="11">
        <v>35430</v>
      </c>
      <c r="Z16" s="11">
        <v>32300</v>
      </c>
      <c r="AA16" s="11">
        <v>28208</v>
      </c>
      <c r="AB16" s="11">
        <v>23995</v>
      </c>
      <c r="AC16" s="77"/>
      <c r="AE16" s="17">
        <f>+AC43</f>
        <v>23690538</v>
      </c>
      <c r="AG16" s="15"/>
      <c r="AH16" s="15"/>
      <c r="AI16" s="15"/>
      <c r="AJ16" s="15"/>
      <c r="AK16" s="15"/>
      <c r="AL16" s="15"/>
      <c r="AM16" s="15"/>
      <c r="AN16" s="15"/>
      <c r="AO16" s="15"/>
      <c r="AP16" s="15"/>
      <c r="AQ16" s="15"/>
      <c r="AR16" s="15"/>
      <c r="AS16" s="15"/>
      <c r="AT16" s="15"/>
      <c r="AU16" s="15"/>
      <c r="AV16" s="15"/>
      <c r="AW16" s="15"/>
      <c r="AX16" s="15"/>
      <c r="AY16" s="15"/>
      <c r="AZ16" s="15"/>
      <c r="BA16" s="15"/>
      <c r="BB16" s="15"/>
      <c r="BC16" s="15"/>
      <c r="BD16" s="15"/>
    </row>
    <row r="17" spans="2:56" ht="18.649999999999999" customHeight="1" x14ac:dyDescent="0.25">
      <c r="B17" s="70" t="s">
        <v>34</v>
      </c>
      <c r="C17" s="4" t="s">
        <v>31</v>
      </c>
      <c r="D17" s="5">
        <v>5</v>
      </c>
      <c r="E17" s="11">
        <v>19863</v>
      </c>
      <c r="F17" s="11">
        <v>18821</v>
      </c>
      <c r="G17" s="11">
        <v>17449</v>
      </c>
      <c r="H17" s="11">
        <v>17754</v>
      </c>
      <c r="I17" s="11">
        <v>17794</v>
      </c>
      <c r="J17" s="11">
        <v>15165</v>
      </c>
      <c r="K17" s="11">
        <v>17958</v>
      </c>
      <c r="L17" s="11">
        <v>29919</v>
      </c>
      <c r="M17" s="11">
        <v>32491</v>
      </c>
      <c r="N17" s="11">
        <v>33387</v>
      </c>
      <c r="O17" s="11">
        <v>35176</v>
      </c>
      <c r="P17" s="11">
        <v>37296</v>
      </c>
      <c r="Q17" s="11">
        <v>37097</v>
      </c>
      <c r="R17" s="11">
        <v>37544</v>
      </c>
      <c r="S17" s="11">
        <v>36937</v>
      </c>
      <c r="T17" s="11">
        <v>36627</v>
      </c>
      <c r="U17" s="11">
        <v>36407</v>
      </c>
      <c r="V17" s="11">
        <v>30200</v>
      </c>
      <c r="W17" s="11">
        <v>32998</v>
      </c>
      <c r="X17" s="11">
        <v>34845</v>
      </c>
      <c r="Y17" s="11">
        <v>35057</v>
      </c>
      <c r="Z17" s="11">
        <v>31242</v>
      </c>
      <c r="AA17" s="11">
        <v>26743</v>
      </c>
      <c r="AB17" s="11">
        <v>21856</v>
      </c>
      <c r="AC17" s="77"/>
      <c r="AE17" s="17">
        <f>+AC47</f>
        <v>23238819</v>
      </c>
      <c r="AG17" s="15"/>
      <c r="AH17" s="15"/>
      <c r="AI17" s="15"/>
      <c r="AJ17" s="15"/>
      <c r="AK17" s="15"/>
      <c r="AL17" s="15"/>
      <c r="AM17" s="15"/>
      <c r="AN17" s="15"/>
      <c r="AO17" s="15"/>
      <c r="AP17" s="15"/>
      <c r="AQ17" s="15"/>
      <c r="AR17" s="15"/>
      <c r="AS17" s="15"/>
      <c r="AT17" s="15"/>
      <c r="AU17" s="15"/>
      <c r="AV17" s="15"/>
      <c r="AW17" s="15"/>
      <c r="AX17" s="15"/>
      <c r="AY17" s="15"/>
      <c r="AZ17" s="15"/>
      <c r="BA17" s="15"/>
      <c r="BB17" s="15"/>
      <c r="BC17" s="15"/>
      <c r="BD17" s="15"/>
    </row>
    <row r="18" spans="2:56" ht="18.649999999999999" customHeight="1" x14ac:dyDescent="0.25">
      <c r="B18" s="70" t="s">
        <v>34</v>
      </c>
      <c r="C18" s="4" t="s">
        <v>32</v>
      </c>
      <c r="D18" s="5">
        <v>1</v>
      </c>
      <c r="E18" s="11">
        <v>20869</v>
      </c>
      <c r="F18" s="11">
        <v>20247</v>
      </c>
      <c r="G18" s="11">
        <v>19095</v>
      </c>
      <c r="H18" s="11">
        <v>18979</v>
      </c>
      <c r="I18" s="11">
        <v>19259</v>
      </c>
      <c r="J18" s="11">
        <v>18705</v>
      </c>
      <c r="K18" s="11">
        <v>19944</v>
      </c>
      <c r="L18" s="11">
        <v>31524</v>
      </c>
      <c r="M18" s="11">
        <v>33395</v>
      </c>
      <c r="N18" s="11">
        <v>35173</v>
      </c>
      <c r="O18" s="11">
        <v>38006</v>
      </c>
      <c r="P18" s="11">
        <v>39438</v>
      </c>
      <c r="Q18" s="11">
        <v>40424</v>
      </c>
      <c r="R18" s="11">
        <v>39556</v>
      </c>
      <c r="S18" s="11">
        <v>40057</v>
      </c>
      <c r="T18" s="11">
        <v>39786</v>
      </c>
      <c r="U18" s="11">
        <v>39616</v>
      </c>
      <c r="V18" s="11">
        <v>33352</v>
      </c>
      <c r="W18" s="11">
        <v>37739</v>
      </c>
      <c r="X18" s="11">
        <v>39196</v>
      </c>
      <c r="Y18" s="11">
        <v>37590</v>
      </c>
      <c r="Z18" s="11">
        <v>33875</v>
      </c>
      <c r="AA18" s="11">
        <v>27119</v>
      </c>
      <c r="AB18" s="11">
        <v>22366</v>
      </c>
      <c r="AC18" s="78"/>
      <c r="AE18" s="17">
        <f>+AC51</f>
        <v>24027837</v>
      </c>
      <c r="AG18" s="15"/>
      <c r="AH18" s="15"/>
      <c r="AI18" s="15"/>
      <c r="AJ18" s="15"/>
      <c r="AK18" s="15"/>
      <c r="AL18" s="15"/>
      <c r="AM18" s="15"/>
      <c r="AN18" s="15"/>
      <c r="AO18" s="15"/>
      <c r="AP18" s="15"/>
      <c r="AQ18" s="15"/>
      <c r="AR18" s="15"/>
      <c r="AS18" s="15"/>
      <c r="AT18" s="15"/>
      <c r="AU18" s="15"/>
      <c r="AV18" s="15"/>
      <c r="AW18" s="15"/>
      <c r="AX18" s="15"/>
      <c r="AY18" s="15"/>
      <c r="AZ18" s="15"/>
      <c r="BA18" s="15"/>
      <c r="BB18" s="15"/>
      <c r="BC18" s="15"/>
      <c r="BD18" s="15"/>
    </row>
    <row r="19" spans="2:56" ht="18.649999999999999" customHeight="1" x14ac:dyDescent="0.3">
      <c r="B19" s="70" t="s">
        <v>35</v>
      </c>
      <c r="C19" s="4" t="s">
        <v>29</v>
      </c>
      <c r="D19" s="5">
        <v>20</v>
      </c>
      <c r="E19" s="11">
        <v>18397</v>
      </c>
      <c r="F19" s="11">
        <v>17619</v>
      </c>
      <c r="G19" s="11">
        <v>17576</v>
      </c>
      <c r="H19" s="11">
        <v>17186</v>
      </c>
      <c r="I19" s="11">
        <v>18651</v>
      </c>
      <c r="J19" s="11">
        <v>23126</v>
      </c>
      <c r="K19" s="11">
        <v>27125</v>
      </c>
      <c r="L19" s="11">
        <v>38241</v>
      </c>
      <c r="M19" s="11">
        <v>38363</v>
      </c>
      <c r="N19" s="11">
        <v>38429</v>
      </c>
      <c r="O19" s="11">
        <v>40439</v>
      </c>
      <c r="P19" s="11">
        <v>42356</v>
      </c>
      <c r="Q19" s="11">
        <v>41821</v>
      </c>
      <c r="R19" s="11">
        <v>41551</v>
      </c>
      <c r="S19" s="11">
        <v>42817</v>
      </c>
      <c r="T19" s="11">
        <v>42578</v>
      </c>
      <c r="U19" s="11">
        <v>42551</v>
      </c>
      <c r="V19" s="11">
        <v>34423</v>
      </c>
      <c r="W19" s="11">
        <v>37402</v>
      </c>
      <c r="X19" s="11">
        <v>38328</v>
      </c>
      <c r="Y19" s="11">
        <v>36989</v>
      </c>
      <c r="Z19" s="11">
        <v>33380</v>
      </c>
      <c r="AA19" s="11">
        <v>28138</v>
      </c>
      <c r="AB19" s="11">
        <v>23275</v>
      </c>
      <c r="AC19" s="76">
        <f>+SUM(E19:AB19)*D19+SUM(E20:AB20)*D20+SUM(E21:AB21)*D21+SUM(E22:AB22)*D22</f>
        <v>23011184</v>
      </c>
      <c r="AE19" s="19">
        <f>SUM(AE7:AE18)</f>
        <v>279138245</v>
      </c>
      <c r="AG19" s="15"/>
      <c r="AH19" s="15"/>
      <c r="AI19" s="15"/>
      <c r="AJ19" s="15"/>
      <c r="AK19" s="15"/>
      <c r="AL19" s="15"/>
      <c r="AM19" s="15"/>
      <c r="AN19" s="15"/>
      <c r="AO19" s="15"/>
      <c r="AP19" s="15"/>
      <c r="AQ19" s="15"/>
      <c r="AR19" s="15"/>
      <c r="AS19" s="15"/>
      <c r="AT19" s="15"/>
      <c r="AU19" s="15"/>
      <c r="AV19" s="15"/>
      <c r="AW19" s="15"/>
      <c r="AX19" s="15"/>
      <c r="AY19" s="15"/>
      <c r="AZ19" s="15"/>
      <c r="BA19" s="15"/>
      <c r="BB19" s="15"/>
      <c r="BC19" s="15"/>
      <c r="BD19" s="15"/>
    </row>
    <row r="20" spans="2:56" ht="18.649999999999999" customHeight="1" x14ac:dyDescent="0.25">
      <c r="B20" s="70" t="s">
        <v>35</v>
      </c>
      <c r="C20" s="4" t="s">
        <v>30</v>
      </c>
      <c r="D20" s="5">
        <v>4</v>
      </c>
      <c r="E20" s="11">
        <v>19881</v>
      </c>
      <c r="F20" s="11">
        <v>18721</v>
      </c>
      <c r="G20" s="11">
        <v>18241</v>
      </c>
      <c r="H20" s="11">
        <v>18005</v>
      </c>
      <c r="I20" s="11">
        <v>18598</v>
      </c>
      <c r="J20" s="11">
        <v>19490</v>
      </c>
      <c r="K20" s="11">
        <v>21171</v>
      </c>
      <c r="L20" s="11">
        <v>35839</v>
      </c>
      <c r="M20" s="11">
        <v>36773</v>
      </c>
      <c r="N20" s="11">
        <v>37889</v>
      </c>
      <c r="O20" s="11">
        <v>39919</v>
      </c>
      <c r="P20" s="11">
        <v>40392</v>
      </c>
      <c r="Q20" s="11">
        <v>41647</v>
      </c>
      <c r="R20" s="11">
        <v>40701</v>
      </c>
      <c r="S20" s="11">
        <v>41277</v>
      </c>
      <c r="T20" s="11">
        <v>41469</v>
      </c>
      <c r="U20" s="11">
        <v>42018</v>
      </c>
      <c r="V20" s="11">
        <v>34055</v>
      </c>
      <c r="W20" s="11">
        <v>38600</v>
      </c>
      <c r="X20" s="11">
        <v>36406</v>
      </c>
      <c r="Y20" s="11">
        <v>34663</v>
      </c>
      <c r="Z20" s="11">
        <v>32491</v>
      </c>
      <c r="AA20" s="11">
        <v>29011</v>
      </c>
      <c r="AB20" s="11">
        <v>26955</v>
      </c>
      <c r="AC20" s="77"/>
      <c r="AG20" s="15"/>
      <c r="AH20" s="15"/>
      <c r="AI20" s="15"/>
      <c r="AJ20" s="15"/>
      <c r="AK20" s="15"/>
      <c r="AL20" s="15"/>
      <c r="AM20" s="15"/>
      <c r="AN20" s="15"/>
      <c r="AO20" s="15"/>
      <c r="AP20" s="15"/>
      <c r="AQ20" s="15"/>
      <c r="AR20" s="15"/>
      <c r="AS20" s="15"/>
      <c r="AT20" s="15"/>
      <c r="AU20" s="15"/>
      <c r="AV20" s="15"/>
      <c r="AW20" s="15"/>
      <c r="AX20" s="15"/>
      <c r="AY20" s="15"/>
      <c r="AZ20" s="15"/>
      <c r="BA20" s="15"/>
      <c r="BB20" s="15"/>
      <c r="BC20" s="15"/>
      <c r="BD20" s="15"/>
    </row>
    <row r="21" spans="2:56" ht="18.649999999999999" customHeight="1" x14ac:dyDescent="0.25">
      <c r="B21" s="70" t="s">
        <v>35</v>
      </c>
      <c r="C21" s="4" t="s">
        <v>31</v>
      </c>
      <c r="D21" s="5">
        <v>4</v>
      </c>
      <c r="E21" s="11">
        <v>21118</v>
      </c>
      <c r="F21" s="11">
        <v>19414</v>
      </c>
      <c r="G21" s="11">
        <v>18233</v>
      </c>
      <c r="H21" s="11">
        <v>18031</v>
      </c>
      <c r="I21" s="11">
        <v>17264</v>
      </c>
      <c r="J21" s="11">
        <v>17348</v>
      </c>
      <c r="K21" s="11">
        <v>18834</v>
      </c>
      <c r="L21" s="11">
        <v>30388</v>
      </c>
      <c r="M21" s="11">
        <v>33698</v>
      </c>
      <c r="N21" s="11">
        <v>34806</v>
      </c>
      <c r="O21" s="11">
        <v>36389</v>
      </c>
      <c r="P21" s="11">
        <v>36902</v>
      </c>
      <c r="Q21" s="11">
        <v>38135</v>
      </c>
      <c r="R21" s="11">
        <v>37821</v>
      </c>
      <c r="S21" s="11">
        <v>37761</v>
      </c>
      <c r="T21" s="11">
        <v>37217</v>
      </c>
      <c r="U21" s="11">
        <v>38677</v>
      </c>
      <c r="V21" s="11">
        <v>31804</v>
      </c>
      <c r="W21" s="11">
        <v>35167</v>
      </c>
      <c r="X21" s="11">
        <v>35965</v>
      </c>
      <c r="Y21" s="11">
        <v>35255</v>
      </c>
      <c r="Z21" s="11">
        <v>32689</v>
      </c>
      <c r="AA21" s="11">
        <v>28953</v>
      </c>
      <c r="AB21" s="11">
        <v>22460</v>
      </c>
      <c r="AC21" s="77"/>
      <c r="AG21" s="15"/>
      <c r="AH21" s="15"/>
      <c r="AI21" s="15"/>
      <c r="AJ21" s="15"/>
      <c r="AK21" s="15"/>
      <c r="AL21" s="15"/>
      <c r="AM21" s="15"/>
      <c r="AN21" s="15"/>
      <c r="AO21" s="15"/>
      <c r="AP21" s="15"/>
      <c r="AQ21" s="15"/>
      <c r="AR21" s="15"/>
      <c r="AS21" s="15"/>
      <c r="AT21" s="15"/>
      <c r="AU21" s="15"/>
      <c r="AV21" s="15"/>
      <c r="AW21" s="15"/>
      <c r="AX21" s="15"/>
      <c r="AY21" s="15"/>
      <c r="AZ21" s="15"/>
      <c r="BA21" s="15"/>
      <c r="BB21" s="15"/>
      <c r="BC21" s="15"/>
      <c r="BD21" s="15"/>
    </row>
    <row r="22" spans="2:56" ht="18.649999999999999" customHeight="1" x14ac:dyDescent="0.25">
      <c r="B22" s="70" t="s">
        <v>35</v>
      </c>
      <c r="C22" s="4" t="s">
        <v>32</v>
      </c>
      <c r="D22" s="5">
        <v>2</v>
      </c>
      <c r="E22" s="11">
        <v>22438</v>
      </c>
      <c r="F22" s="11">
        <v>20590</v>
      </c>
      <c r="G22" s="11">
        <v>20092</v>
      </c>
      <c r="H22" s="11">
        <v>19462</v>
      </c>
      <c r="I22" s="11">
        <v>19644</v>
      </c>
      <c r="J22" s="11">
        <v>19769</v>
      </c>
      <c r="K22" s="11">
        <v>21090</v>
      </c>
      <c r="L22" s="11">
        <v>34063</v>
      </c>
      <c r="M22" s="11">
        <v>35712</v>
      </c>
      <c r="N22" s="11">
        <v>35777</v>
      </c>
      <c r="O22" s="11">
        <v>35216</v>
      </c>
      <c r="P22" s="11">
        <v>37968</v>
      </c>
      <c r="Q22" s="11">
        <v>38821</v>
      </c>
      <c r="R22" s="11">
        <v>37868</v>
      </c>
      <c r="S22" s="11">
        <v>38202</v>
      </c>
      <c r="T22" s="11">
        <v>37975</v>
      </c>
      <c r="U22" s="11">
        <v>38399</v>
      </c>
      <c r="V22" s="11">
        <v>32201</v>
      </c>
      <c r="W22" s="11">
        <v>35115</v>
      </c>
      <c r="X22" s="11">
        <v>35502</v>
      </c>
      <c r="Y22" s="11">
        <v>34081</v>
      </c>
      <c r="Z22" s="11">
        <v>33177</v>
      </c>
      <c r="AA22" s="11">
        <v>31039</v>
      </c>
      <c r="AB22" s="11">
        <v>26699</v>
      </c>
      <c r="AC22" s="78"/>
      <c r="AG22" s="15"/>
      <c r="AH22" s="15"/>
      <c r="AI22" s="15"/>
      <c r="AJ22" s="15"/>
      <c r="AK22" s="15"/>
      <c r="AL22" s="15"/>
      <c r="AM22" s="15"/>
      <c r="AN22" s="15"/>
      <c r="AO22" s="15"/>
      <c r="AP22" s="15"/>
      <c r="AQ22" s="15"/>
      <c r="AR22" s="15"/>
      <c r="AS22" s="15"/>
      <c r="AT22" s="15"/>
      <c r="AU22" s="15"/>
      <c r="AV22" s="15"/>
      <c r="AW22" s="15"/>
      <c r="AX22" s="15"/>
      <c r="AY22" s="15"/>
      <c r="AZ22" s="15"/>
      <c r="BA22" s="15"/>
      <c r="BB22" s="15"/>
      <c r="BC22" s="15"/>
      <c r="BD22" s="15"/>
    </row>
    <row r="23" spans="2:56" ht="18.649999999999999" customHeight="1" x14ac:dyDescent="0.25">
      <c r="B23" s="70" t="s">
        <v>36</v>
      </c>
      <c r="C23" s="4" t="s">
        <v>29</v>
      </c>
      <c r="D23" s="5">
        <v>22</v>
      </c>
      <c r="E23" s="11">
        <v>18000</v>
      </c>
      <c r="F23" s="11">
        <v>17155</v>
      </c>
      <c r="G23" s="11">
        <v>16571</v>
      </c>
      <c r="H23" s="11">
        <v>16740</v>
      </c>
      <c r="I23" s="11">
        <v>18316</v>
      </c>
      <c r="J23" s="11">
        <v>23138</v>
      </c>
      <c r="K23" s="11">
        <v>26753</v>
      </c>
      <c r="L23" s="11">
        <v>37208</v>
      </c>
      <c r="M23" s="11">
        <v>37013</v>
      </c>
      <c r="N23" s="11">
        <v>36439</v>
      </c>
      <c r="O23" s="11">
        <v>37616</v>
      </c>
      <c r="P23" s="11">
        <v>40239</v>
      </c>
      <c r="Q23" s="11">
        <v>39622</v>
      </c>
      <c r="R23" s="11">
        <v>39863</v>
      </c>
      <c r="S23" s="11">
        <v>41165</v>
      </c>
      <c r="T23" s="11">
        <v>41114</v>
      </c>
      <c r="U23" s="11">
        <v>40969</v>
      </c>
      <c r="V23" s="11">
        <v>33726</v>
      </c>
      <c r="W23" s="11">
        <v>36375</v>
      </c>
      <c r="X23" s="11">
        <v>37420</v>
      </c>
      <c r="Y23" s="11">
        <v>35720</v>
      </c>
      <c r="Z23" s="11">
        <v>32230</v>
      </c>
      <c r="AA23" s="11">
        <v>27398</v>
      </c>
      <c r="AB23" s="11">
        <v>22704</v>
      </c>
      <c r="AC23" s="76">
        <f>+SUM(E23:AB23)*D23+SUM(E24:AB24)*D24+SUM(E25:AB25)*D25+SUM(E26:AB26)*D26</f>
        <v>22947941</v>
      </c>
      <c r="AG23" s="15"/>
      <c r="AH23" s="15"/>
      <c r="AI23" s="15"/>
      <c r="AJ23" s="15"/>
      <c r="AK23" s="15"/>
      <c r="AL23" s="15"/>
      <c r="AM23" s="15"/>
      <c r="AN23" s="15"/>
      <c r="AO23" s="15"/>
      <c r="AP23" s="15"/>
      <c r="AQ23" s="15"/>
      <c r="AR23" s="15"/>
      <c r="AS23" s="15"/>
      <c r="AT23" s="15"/>
      <c r="AU23" s="15"/>
      <c r="AV23" s="15"/>
      <c r="AW23" s="15"/>
      <c r="AX23" s="15"/>
      <c r="AY23" s="15"/>
      <c r="AZ23" s="15"/>
      <c r="BA23" s="15"/>
      <c r="BB23" s="15"/>
      <c r="BC23" s="15"/>
      <c r="BD23" s="15"/>
    </row>
    <row r="24" spans="2:56" ht="18.649999999999999" customHeight="1" x14ac:dyDescent="0.25">
      <c r="B24" s="70" t="s">
        <v>36</v>
      </c>
      <c r="C24" s="4" t="s">
        <v>30</v>
      </c>
      <c r="D24" s="5">
        <v>4</v>
      </c>
      <c r="E24" s="11">
        <v>19549</v>
      </c>
      <c r="F24" s="11">
        <v>17643</v>
      </c>
      <c r="G24" s="11">
        <v>17331</v>
      </c>
      <c r="H24" s="11">
        <v>17140</v>
      </c>
      <c r="I24" s="11">
        <v>17645</v>
      </c>
      <c r="J24" s="11">
        <v>18375</v>
      </c>
      <c r="K24" s="11">
        <v>21389</v>
      </c>
      <c r="L24" s="11">
        <v>34906</v>
      </c>
      <c r="M24" s="11">
        <v>37164</v>
      </c>
      <c r="N24" s="11">
        <v>38332</v>
      </c>
      <c r="O24" s="11">
        <v>38873</v>
      </c>
      <c r="P24" s="11">
        <v>39268</v>
      </c>
      <c r="Q24" s="11">
        <v>39680</v>
      </c>
      <c r="R24" s="11">
        <v>38518</v>
      </c>
      <c r="S24" s="11">
        <v>38250</v>
      </c>
      <c r="T24" s="11">
        <v>38226</v>
      </c>
      <c r="U24" s="11">
        <v>38407</v>
      </c>
      <c r="V24" s="11">
        <v>31864</v>
      </c>
      <c r="W24" s="11">
        <v>34651</v>
      </c>
      <c r="X24" s="11">
        <v>36350</v>
      </c>
      <c r="Y24" s="11">
        <v>34615</v>
      </c>
      <c r="Z24" s="11">
        <v>32127</v>
      </c>
      <c r="AA24" s="11">
        <v>28145</v>
      </c>
      <c r="AB24" s="11">
        <v>24080</v>
      </c>
      <c r="AC24" s="77"/>
      <c r="AG24" s="15"/>
      <c r="AH24" s="15"/>
      <c r="AI24" s="15"/>
      <c r="AJ24" s="15"/>
      <c r="AK24" s="15"/>
      <c r="AL24" s="15"/>
      <c r="AM24" s="15"/>
      <c r="AN24" s="15"/>
      <c r="AO24" s="15"/>
      <c r="AP24" s="15"/>
      <c r="AQ24" s="15"/>
      <c r="AR24" s="15"/>
      <c r="AS24" s="15"/>
      <c r="AT24" s="15"/>
      <c r="AU24" s="15"/>
      <c r="AV24" s="15"/>
      <c r="AW24" s="15"/>
      <c r="AX24" s="15"/>
      <c r="AY24" s="15"/>
      <c r="AZ24" s="15"/>
      <c r="BA24" s="15"/>
      <c r="BB24" s="15"/>
      <c r="BC24" s="15"/>
      <c r="BD24" s="15"/>
    </row>
    <row r="25" spans="2:56" ht="18.649999999999999" customHeight="1" x14ac:dyDescent="0.25">
      <c r="B25" s="70" t="s">
        <v>36</v>
      </c>
      <c r="C25" s="4" t="s">
        <v>31</v>
      </c>
      <c r="D25" s="5">
        <v>4</v>
      </c>
      <c r="E25" s="11">
        <v>19748</v>
      </c>
      <c r="F25" s="11">
        <v>18582</v>
      </c>
      <c r="G25" s="11">
        <v>16948</v>
      </c>
      <c r="H25" s="11">
        <v>16667</v>
      </c>
      <c r="I25" s="11">
        <v>16051</v>
      </c>
      <c r="J25" s="11">
        <v>16325</v>
      </c>
      <c r="K25" s="11">
        <v>17769</v>
      </c>
      <c r="L25" s="11">
        <v>30062</v>
      </c>
      <c r="M25" s="11">
        <v>32716</v>
      </c>
      <c r="N25" s="11">
        <v>34129</v>
      </c>
      <c r="O25" s="11">
        <v>35233</v>
      </c>
      <c r="P25" s="11">
        <v>35676</v>
      </c>
      <c r="Q25" s="11">
        <v>36315</v>
      </c>
      <c r="R25" s="11">
        <v>35490</v>
      </c>
      <c r="S25" s="11">
        <v>35044</v>
      </c>
      <c r="T25" s="11">
        <v>35490</v>
      </c>
      <c r="U25" s="11">
        <v>37360</v>
      </c>
      <c r="V25" s="11">
        <v>27492</v>
      </c>
      <c r="W25" s="11">
        <v>33278</v>
      </c>
      <c r="X25" s="11">
        <v>34419</v>
      </c>
      <c r="Y25" s="11">
        <v>33261</v>
      </c>
      <c r="Z25" s="11">
        <v>30103</v>
      </c>
      <c r="AA25" s="11">
        <v>25161</v>
      </c>
      <c r="AB25" s="11">
        <v>20365</v>
      </c>
      <c r="AC25" s="77"/>
      <c r="AG25" s="15"/>
      <c r="AH25" s="15"/>
      <c r="AI25" s="15"/>
      <c r="AJ25" s="15"/>
      <c r="AK25" s="15"/>
      <c r="AL25" s="15"/>
      <c r="AM25" s="15"/>
      <c r="AN25" s="15"/>
      <c r="AO25" s="15"/>
      <c r="AP25" s="15"/>
      <c r="AQ25" s="15"/>
      <c r="AR25" s="15"/>
      <c r="AS25" s="15"/>
      <c r="AT25" s="15"/>
      <c r="AU25" s="15"/>
      <c r="AV25" s="15"/>
      <c r="AW25" s="15"/>
      <c r="AX25" s="15"/>
      <c r="AY25" s="15"/>
      <c r="AZ25" s="15"/>
      <c r="BA25" s="15"/>
      <c r="BB25" s="15"/>
      <c r="BC25" s="15"/>
      <c r="BD25" s="15"/>
    </row>
    <row r="26" spans="2:56" ht="18.649999999999999" customHeight="1" x14ac:dyDescent="0.25">
      <c r="B26" s="70" t="s">
        <v>36</v>
      </c>
      <c r="C26" s="4" t="s">
        <v>32</v>
      </c>
      <c r="D26" s="5">
        <v>1</v>
      </c>
      <c r="E26" s="11">
        <v>17185</v>
      </c>
      <c r="F26" s="11">
        <v>18624</v>
      </c>
      <c r="G26" s="11">
        <v>18497</v>
      </c>
      <c r="H26" s="11">
        <v>17435</v>
      </c>
      <c r="I26" s="11">
        <v>18840</v>
      </c>
      <c r="J26" s="11">
        <v>19531</v>
      </c>
      <c r="K26" s="11">
        <v>21442</v>
      </c>
      <c r="L26" s="11">
        <v>34290</v>
      </c>
      <c r="M26" s="11">
        <v>35426</v>
      </c>
      <c r="N26" s="11">
        <v>38034</v>
      </c>
      <c r="O26" s="11">
        <v>39895</v>
      </c>
      <c r="P26" s="11">
        <v>41705</v>
      </c>
      <c r="Q26" s="11">
        <v>42954</v>
      </c>
      <c r="R26" s="11">
        <v>42611</v>
      </c>
      <c r="S26" s="11">
        <v>40602</v>
      </c>
      <c r="T26" s="11">
        <v>40260</v>
      </c>
      <c r="U26" s="11">
        <v>39072</v>
      </c>
      <c r="V26" s="11">
        <v>32363</v>
      </c>
      <c r="W26" s="11">
        <v>36122</v>
      </c>
      <c r="X26" s="11">
        <v>35602</v>
      </c>
      <c r="Y26" s="11">
        <v>33967</v>
      </c>
      <c r="Z26" s="11">
        <v>31640</v>
      </c>
      <c r="AA26" s="11">
        <v>27204</v>
      </c>
      <c r="AB26" s="11">
        <v>22924</v>
      </c>
      <c r="AC26" s="78"/>
      <c r="AG26" s="15"/>
      <c r="AH26" s="15"/>
      <c r="AI26" s="15"/>
      <c r="AJ26" s="15"/>
      <c r="AK26" s="15"/>
      <c r="AL26" s="15"/>
      <c r="AM26" s="15"/>
      <c r="AN26" s="15"/>
      <c r="AO26" s="15"/>
      <c r="AP26" s="15"/>
      <c r="AQ26" s="15"/>
      <c r="AR26" s="15"/>
      <c r="AS26" s="15"/>
      <c r="AT26" s="15"/>
      <c r="AU26" s="15"/>
      <c r="AV26" s="15"/>
      <c r="AW26" s="15"/>
      <c r="AX26" s="15"/>
      <c r="AY26" s="15"/>
      <c r="AZ26" s="15"/>
      <c r="BA26" s="15"/>
      <c r="BB26" s="15"/>
      <c r="BC26" s="15"/>
      <c r="BD26" s="15"/>
    </row>
    <row r="27" spans="2:56" ht="18.649999999999999" customHeight="1" x14ac:dyDescent="0.25">
      <c r="B27" s="70" t="s">
        <v>37</v>
      </c>
      <c r="C27" s="4" t="s">
        <v>29</v>
      </c>
      <c r="D27" s="5">
        <v>18</v>
      </c>
      <c r="E27" s="11">
        <v>19542</v>
      </c>
      <c r="F27" s="11">
        <v>18524</v>
      </c>
      <c r="G27" s="11">
        <v>18149</v>
      </c>
      <c r="H27" s="11">
        <v>17960</v>
      </c>
      <c r="I27" s="11">
        <v>19567</v>
      </c>
      <c r="J27" s="11">
        <v>23652</v>
      </c>
      <c r="K27" s="11">
        <v>27275</v>
      </c>
      <c r="L27" s="11">
        <v>39238</v>
      </c>
      <c r="M27" s="11">
        <v>39037</v>
      </c>
      <c r="N27" s="11">
        <v>39797</v>
      </c>
      <c r="O27" s="11">
        <v>41203</v>
      </c>
      <c r="P27" s="11">
        <v>42482</v>
      </c>
      <c r="Q27" s="11">
        <v>42257</v>
      </c>
      <c r="R27" s="11">
        <v>42115</v>
      </c>
      <c r="S27" s="11">
        <v>43161</v>
      </c>
      <c r="T27" s="11">
        <v>43142</v>
      </c>
      <c r="U27" s="11">
        <v>43530</v>
      </c>
      <c r="V27" s="11">
        <v>35099</v>
      </c>
      <c r="W27" s="11">
        <v>38294</v>
      </c>
      <c r="X27" s="11">
        <v>38983</v>
      </c>
      <c r="Y27" s="11">
        <v>36748</v>
      </c>
      <c r="Z27" s="11">
        <v>32915</v>
      </c>
      <c r="AA27" s="11">
        <v>27988</v>
      </c>
      <c r="AB27" s="11">
        <v>23642</v>
      </c>
      <c r="AC27" s="76">
        <f>+SUM(E27:AB27)*D27+SUM(E28:AB28)*D28+SUM(E29:AB29)*D29+SUM(E30:AB30)*D30</f>
        <v>23112949</v>
      </c>
      <c r="AG27" s="15"/>
      <c r="AH27" s="15"/>
      <c r="AI27" s="15"/>
      <c r="AJ27" s="15"/>
      <c r="AK27" s="15"/>
      <c r="AL27" s="15"/>
      <c r="AM27" s="15"/>
      <c r="AN27" s="15"/>
      <c r="AO27" s="15"/>
      <c r="AP27" s="15"/>
      <c r="AQ27" s="15"/>
      <c r="AR27" s="15"/>
      <c r="AS27" s="15"/>
      <c r="AT27" s="15"/>
      <c r="AU27" s="15"/>
      <c r="AV27" s="15"/>
      <c r="AW27" s="15"/>
      <c r="AX27" s="15"/>
      <c r="AY27" s="15"/>
      <c r="AZ27" s="15"/>
      <c r="BA27" s="15"/>
      <c r="BB27" s="15"/>
      <c r="BC27" s="15"/>
      <c r="BD27" s="15"/>
    </row>
    <row r="28" spans="2:56" ht="18.649999999999999" customHeight="1" x14ac:dyDescent="0.25">
      <c r="B28" s="70" t="s">
        <v>37</v>
      </c>
      <c r="C28" s="4" t="s">
        <v>30</v>
      </c>
      <c r="D28" s="5">
        <v>5</v>
      </c>
      <c r="E28" s="11">
        <v>20054</v>
      </c>
      <c r="F28" s="11">
        <v>18826</v>
      </c>
      <c r="G28" s="11">
        <v>18116</v>
      </c>
      <c r="H28" s="11">
        <v>17743</v>
      </c>
      <c r="I28" s="11">
        <v>18365</v>
      </c>
      <c r="J28" s="11">
        <v>19629</v>
      </c>
      <c r="K28" s="11">
        <v>22170</v>
      </c>
      <c r="L28" s="11">
        <v>36843</v>
      </c>
      <c r="M28" s="11">
        <v>38479</v>
      </c>
      <c r="N28" s="11">
        <v>39467</v>
      </c>
      <c r="O28" s="11">
        <v>40721</v>
      </c>
      <c r="P28" s="11">
        <v>41238</v>
      </c>
      <c r="Q28" s="11">
        <v>41373</v>
      </c>
      <c r="R28" s="11">
        <v>40518</v>
      </c>
      <c r="S28" s="11">
        <v>39572</v>
      </c>
      <c r="T28" s="11">
        <v>39486</v>
      </c>
      <c r="U28" s="11">
        <v>39660</v>
      </c>
      <c r="V28" s="11">
        <v>32509</v>
      </c>
      <c r="W28" s="11">
        <v>35276</v>
      </c>
      <c r="X28" s="11">
        <v>37027</v>
      </c>
      <c r="Y28" s="11">
        <v>35306</v>
      </c>
      <c r="Z28" s="11">
        <v>32485</v>
      </c>
      <c r="AA28" s="11">
        <v>29200</v>
      </c>
      <c r="AB28" s="11">
        <v>25221</v>
      </c>
      <c r="AC28" s="77"/>
      <c r="AG28" s="15"/>
      <c r="AH28" s="15"/>
      <c r="AI28" s="15"/>
      <c r="AJ28" s="15"/>
      <c r="AK28" s="15"/>
      <c r="AL28" s="15"/>
      <c r="AM28" s="15"/>
      <c r="AN28" s="15"/>
      <c r="AO28" s="15"/>
      <c r="AP28" s="15"/>
      <c r="AQ28" s="15"/>
      <c r="AR28" s="15"/>
      <c r="AS28" s="15"/>
      <c r="AT28" s="15"/>
      <c r="AU28" s="15"/>
      <c r="AV28" s="15"/>
      <c r="AW28" s="15"/>
      <c r="AX28" s="15"/>
      <c r="AY28" s="15"/>
      <c r="AZ28" s="15"/>
      <c r="BA28" s="15"/>
      <c r="BB28" s="15"/>
      <c r="BC28" s="15"/>
      <c r="BD28" s="15"/>
    </row>
    <row r="29" spans="2:56" ht="18.649999999999999" customHeight="1" x14ac:dyDescent="0.25">
      <c r="B29" s="70" t="s">
        <v>37</v>
      </c>
      <c r="C29" s="4" t="s">
        <v>31</v>
      </c>
      <c r="D29" s="5">
        <v>5</v>
      </c>
      <c r="E29" s="11">
        <v>22153</v>
      </c>
      <c r="F29" s="11">
        <v>20237</v>
      </c>
      <c r="G29" s="11">
        <v>19308</v>
      </c>
      <c r="H29" s="11">
        <v>18860</v>
      </c>
      <c r="I29" s="11">
        <v>18483</v>
      </c>
      <c r="J29" s="11">
        <v>18312</v>
      </c>
      <c r="K29" s="11">
        <v>19261</v>
      </c>
      <c r="L29" s="11">
        <v>31876</v>
      </c>
      <c r="M29" s="11">
        <v>34117</v>
      </c>
      <c r="N29" s="11">
        <v>36067</v>
      </c>
      <c r="O29" s="11">
        <v>36972</v>
      </c>
      <c r="P29" s="11">
        <v>37599</v>
      </c>
      <c r="Q29" s="11">
        <v>37754</v>
      </c>
      <c r="R29" s="11">
        <v>37631</v>
      </c>
      <c r="S29" s="11">
        <v>36721</v>
      </c>
      <c r="T29" s="11">
        <v>36937</v>
      </c>
      <c r="U29" s="11">
        <v>37685</v>
      </c>
      <c r="V29" s="11">
        <v>30818</v>
      </c>
      <c r="W29" s="11">
        <v>33480</v>
      </c>
      <c r="X29" s="11">
        <v>35443</v>
      </c>
      <c r="Y29" s="11">
        <v>34217</v>
      </c>
      <c r="Z29" s="11">
        <v>31710</v>
      </c>
      <c r="AA29" s="11">
        <v>28024</v>
      </c>
      <c r="AB29" s="11">
        <v>23804</v>
      </c>
      <c r="AC29" s="77"/>
      <c r="AG29" s="15"/>
      <c r="AH29" s="15"/>
      <c r="AI29" s="15"/>
      <c r="AJ29" s="15"/>
      <c r="AK29" s="15"/>
      <c r="AL29" s="15"/>
      <c r="AM29" s="15"/>
      <c r="AN29" s="15"/>
      <c r="AO29" s="15"/>
      <c r="AP29" s="15"/>
      <c r="AQ29" s="15"/>
      <c r="AR29" s="15"/>
      <c r="AS29" s="15"/>
      <c r="AT29" s="15"/>
      <c r="AU29" s="15"/>
      <c r="AV29" s="15"/>
      <c r="AW29" s="15"/>
      <c r="AX29" s="15"/>
      <c r="AY29" s="15"/>
      <c r="AZ29" s="15"/>
      <c r="BA29" s="15"/>
      <c r="BB29" s="15"/>
      <c r="BC29" s="15"/>
      <c r="BD29" s="15"/>
    </row>
    <row r="30" spans="2:56" ht="18.649999999999999" customHeight="1" x14ac:dyDescent="0.25">
      <c r="B30" s="70" t="s">
        <v>37</v>
      </c>
      <c r="C30" s="4" t="s">
        <v>32</v>
      </c>
      <c r="D30" s="5">
        <v>2</v>
      </c>
      <c r="E30" s="11">
        <v>19997</v>
      </c>
      <c r="F30" s="11">
        <v>18867</v>
      </c>
      <c r="G30" s="11">
        <v>18103</v>
      </c>
      <c r="H30" s="11">
        <v>17792</v>
      </c>
      <c r="I30" s="11">
        <v>17862</v>
      </c>
      <c r="J30" s="11">
        <v>18062</v>
      </c>
      <c r="K30" s="11">
        <v>18490</v>
      </c>
      <c r="L30" s="11">
        <v>31132</v>
      </c>
      <c r="M30" s="11">
        <v>31976</v>
      </c>
      <c r="N30" s="11">
        <v>33283</v>
      </c>
      <c r="O30" s="11">
        <v>36552</v>
      </c>
      <c r="P30" s="11">
        <v>37966</v>
      </c>
      <c r="Q30" s="11">
        <v>39827</v>
      </c>
      <c r="R30" s="11">
        <v>39765</v>
      </c>
      <c r="S30" s="11">
        <v>39243</v>
      </c>
      <c r="T30" s="11">
        <v>39128</v>
      </c>
      <c r="U30" s="11">
        <v>38967</v>
      </c>
      <c r="V30" s="11">
        <v>31101</v>
      </c>
      <c r="W30" s="11">
        <v>34177</v>
      </c>
      <c r="X30" s="11">
        <v>35747</v>
      </c>
      <c r="Y30" s="11">
        <v>34630</v>
      </c>
      <c r="Z30" s="11">
        <v>32119</v>
      </c>
      <c r="AA30" s="11">
        <v>27699</v>
      </c>
      <c r="AB30" s="11">
        <v>23407</v>
      </c>
      <c r="AC30" s="78"/>
      <c r="AG30" s="15"/>
      <c r="AH30" s="15"/>
      <c r="AI30" s="15"/>
      <c r="AJ30" s="15"/>
      <c r="AK30" s="15"/>
      <c r="AL30" s="15"/>
      <c r="AM30" s="15"/>
      <c r="AN30" s="15"/>
      <c r="AO30" s="15"/>
      <c r="AP30" s="15"/>
      <c r="AQ30" s="15"/>
      <c r="AR30" s="15"/>
      <c r="AS30" s="15"/>
      <c r="AT30" s="15"/>
      <c r="AU30" s="15"/>
      <c r="AV30" s="15"/>
      <c r="AW30" s="15"/>
      <c r="AX30" s="15"/>
      <c r="AY30" s="15"/>
      <c r="AZ30" s="15"/>
      <c r="BA30" s="15"/>
      <c r="BB30" s="15"/>
      <c r="BC30" s="15"/>
      <c r="BD30" s="15"/>
    </row>
    <row r="31" spans="2:56" ht="18.649999999999999" customHeight="1" x14ac:dyDescent="0.25">
      <c r="B31" s="70" t="s">
        <v>38</v>
      </c>
      <c r="C31" s="4" t="s">
        <v>29</v>
      </c>
      <c r="D31" s="5">
        <v>22</v>
      </c>
      <c r="E31" s="11">
        <v>20102</v>
      </c>
      <c r="F31" s="11">
        <v>19128</v>
      </c>
      <c r="G31" s="11">
        <v>18571</v>
      </c>
      <c r="H31" s="11">
        <v>18620</v>
      </c>
      <c r="I31" s="11">
        <v>20137</v>
      </c>
      <c r="J31" s="11">
        <v>24681</v>
      </c>
      <c r="K31" s="11">
        <v>28448</v>
      </c>
      <c r="L31" s="11">
        <v>38759</v>
      </c>
      <c r="M31" s="11">
        <v>38705</v>
      </c>
      <c r="N31" s="11">
        <v>39304</v>
      </c>
      <c r="O31" s="11">
        <v>39969</v>
      </c>
      <c r="P31" s="11">
        <v>42365</v>
      </c>
      <c r="Q31" s="11">
        <v>41627</v>
      </c>
      <c r="R31" s="11">
        <v>41669</v>
      </c>
      <c r="S31" s="11">
        <v>42544</v>
      </c>
      <c r="T31" s="11">
        <v>42666</v>
      </c>
      <c r="U31" s="11">
        <v>42528</v>
      </c>
      <c r="V31" s="11">
        <v>35029</v>
      </c>
      <c r="W31" s="11">
        <v>37150</v>
      </c>
      <c r="X31" s="11">
        <v>39525</v>
      </c>
      <c r="Y31" s="11">
        <v>37724</v>
      </c>
      <c r="Z31" s="11">
        <v>33919</v>
      </c>
      <c r="AA31" s="11">
        <v>28467</v>
      </c>
      <c r="AB31" s="11">
        <v>24545</v>
      </c>
      <c r="AC31" s="76">
        <f>+SUM(E31:AB31)*D31+SUM(E32:AB32)*D32+SUM(E33:AB33)*D33+SUM(E34:AB34)*D34</f>
        <v>23935549</v>
      </c>
      <c r="AG31" s="15"/>
      <c r="AH31" s="15"/>
      <c r="AI31" s="15"/>
      <c r="AJ31" s="15"/>
      <c r="AK31" s="15"/>
      <c r="AL31" s="15"/>
      <c r="AM31" s="15"/>
      <c r="AN31" s="15"/>
      <c r="AO31" s="15"/>
      <c r="AP31" s="15"/>
      <c r="AQ31" s="15"/>
      <c r="AR31" s="15"/>
      <c r="AS31" s="15"/>
      <c r="AT31" s="15"/>
      <c r="AU31" s="15"/>
      <c r="AV31" s="15"/>
      <c r="AW31" s="15"/>
      <c r="AX31" s="15"/>
      <c r="AY31" s="15"/>
      <c r="AZ31" s="15"/>
      <c r="BA31" s="15"/>
      <c r="BB31" s="15"/>
      <c r="BC31" s="15"/>
      <c r="BD31" s="15"/>
    </row>
    <row r="32" spans="2:56" ht="18.649999999999999" customHeight="1" x14ac:dyDescent="0.25">
      <c r="B32" s="70" t="s">
        <v>38</v>
      </c>
      <c r="C32" s="4" t="s">
        <v>30</v>
      </c>
      <c r="D32" s="5">
        <v>3</v>
      </c>
      <c r="E32" s="11">
        <v>21982</v>
      </c>
      <c r="F32" s="11">
        <v>20636</v>
      </c>
      <c r="G32" s="11">
        <v>19737</v>
      </c>
      <c r="H32" s="11">
        <v>19407</v>
      </c>
      <c r="I32" s="11">
        <v>19781</v>
      </c>
      <c r="J32" s="11">
        <v>20557</v>
      </c>
      <c r="K32" s="11">
        <v>22907</v>
      </c>
      <c r="L32" s="11">
        <v>36780</v>
      </c>
      <c r="M32" s="11">
        <v>38430</v>
      </c>
      <c r="N32" s="11">
        <v>39378</v>
      </c>
      <c r="O32" s="11">
        <v>39912</v>
      </c>
      <c r="P32" s="11">
        <v>41287</v>
      </c>
      <c r="Q32" s="11">
        <v>41903</v>
      </c>
      <c r="R32" s="11">
        <v>41227</v>
      </c>
      <c r="S32" s="11">
        <v>40610</v>
      </c>
      <c r="T32" s="11">
        <v>39898</v>
      </c>
      <c r="U32" s="11">
        <v>39446</v>
      </c>
      <c r="V32" s="11">
        <v>32973</v>
      </c>
      <c r="W32" s="11">
        <v>34428</v>
      </c>
      <c r="X32" s="11">
        <v>36726</v>
      </c>
      <c r="Y32" s="11">
        <v>34738</v>
      </c>
      <c r="Z32" s="11">
        <v>31680</v>
      </c>
      <c r="AA32" s="11">
        <v>28067</v>
      </c>
      <c r="AB32" s="11">
        <v>24595</v>
      </c>
      <c r="AC32" s="77"/>
      <c r="AG32" s="15"/>
      <c r="AH32" s="15"/>
      <c r="AI32" s="15"/>
      <c r="AJ32" s="15"/>
      <c r="AK32" s="15"/>
      <c r="AL32" s="15"/>
      <c r="AM32" s="15"/>
      <c r="AN32" s="15"/>
      <c r="AO32" s="15"/>
      <c r="AP32" s="15"/>
      <c r="AQ32" s="15"/>
      <c r="AR32" s="15"/>
      <c r="AS32" s="15"/>
      <c r="AT32" s="15"/>
      <c r="AU32" s="15"/>
      <c r="AV32" s="15"/>
      <c r="AW32" s="15"/>
      <c r="AX32" s="15"/>
      <c r="AY32" s="15"/>
      <c r="AZ32" s="15"/>
      <c r="BA32" s="15"/>
      <c r="BB32" s="15"/>
      <c r="BC32" s="15"/>
      <c r="BD32" s="15"/>
    </row>
    <row r="33" spans="2:56" ht="18.649999999999999" customHeight="1" x14ac:dyDescent="0.25">
      <c r="B33" s="70" t="s">
        <v>38</v>
      </c>
      <c r="C33" s="4" t="s">
        <v>31</v>
      </c>
      <c r="D33" s="5">
        <v>4</v>
      </c>
      <c r="E33" s="11">
        <v>20214</v>
      </c>
      <c r="F33" s="11">
        <v>18814</v>
      </c>
      <c r="G33" s="11">
        <v>18166</v>
      </c>
      <c r="H33" s="11">
        <v>17757</v>
      </c>
      <c r="I33" s="11">
        <v>17496</v>
      </c>
      <c r="J33" s="11">
        <v>17137</v>
      </c>
      <c r="K33" s="11">
        <v>18556</v>
      </c>
      <c r="L33" s="11">
        <v>29996</v>
      </c>
      <c r="M33" s="11">
        <v>32439</v>
      </c>
      <c r="N33" s="11">
        <v>33363</v>
      </c>
      <c r="O33" s="11">
        <v>34127</v>
      </c>
      <c r="P33" s="11">
        <v>36037</v>
      </c>
      <c r="Q33" s="11">
        <v>36435</v>
      </c>
      <c r="R33" s="11">
        <v>36669</v>
      </c>
      <c r="S33" s="11">
        <v>36378</v>
      </c>
      <c r="T33" s="11">
        <v>36109</v>
      </c>
      <c r="U33" s="11">
        <v>36201</v>
      </c>
      <c r="V33" s="11">
        <v>29766</v>
      </c>
      <c r="W33" s="11">
        <v>32639</v>
      </c>
      <c r="X33" s="11">
        <v>35888</v>
      </c>
      <c r="Y33" s="11">
        <v>35007</v>
      </c>
      <c r="Z33" s="11">
        <v>31331</v>
      </c>
      <c r="AA33" s="11">
        <v>25883</v>
      </c>
      <c r="AB33" s="11">
        <v>21805</v>
      </c>
      <c r="AC33" s="77"/>
      <c r="AG33" s="15"/>
      <c r="AH33" s="15"/>
      <c r="AI33" s="15"/>
      <c r="AJ33" s="15"/>
      <c r="AK33" s="15"/>
      <c r="AL33" s="15"/>
      <c r="AM33" s="15"/>
      <c r="AN33" s="15"/>
      <c r="AO33" s="15"/>
      <c r="AP33" s="15"/>
      <c r="AQ33" s="15"/>
      <c r="AR33" s="15"/>
      <c r="AS33" s="15"/>
      <c r="AT33" s="15"/>
      <c r="AU33" s="15"/>
      <c r="AV33" s="15"/>
      <c r="AW33" s="15"/>
      <c r="AX33" s="15"/>
      <c r="AY33" s="15"/>
      <c r="AZ33" s="15"/>
      <c r="BA33" s="15"/>
      <c r="BB33" s="15"/>
      <c r="BC33" s="15"/>
      <c r="BD33" s="15"/>
    </row>
    <row r="34" spans="2:56" ht="18.649999999999999" customHeight="1" x14ac:dyDescent="0.25">
      <c r="B34" s="70" t="s">
        <v>38</v>
      </c>
      <c r="C34" s="4" t="s">
        <v>32</v>
      </c>
      <c r="D34" s="5">
        <v>2</v>
      </c>
      <c r="E34" s="11">
        <v>23770</v>
      </c>
      <c r="F34" s="11">
        <v>22122</v>
      </c>
      <c r="G34" s="11">
        <v>20577</v>
      </c>
      <c r="H34" s="11">
        <v>19008</v>
      </c>
      <c r="I34" s="11">
        <v>18878</v>
      </c>
      <c r="J34" s="11">
        <v>17314</v>
      </c>
      <c r="K34" s="11">
        <v>18475</v>
      </c>
      <c r="L34" s="11">
        <v>29870</v>
      </c>
      <c r="M34" s="11">
        <v>33076</v>
      </c>
      <c r="N34" s="11">
        <v>33130</v>
      </c>
      <c r="O34" s="11">
        <v>31854</v>
      </c>
      <c r="P34" s="11">
        <v>34172</v>
      </c>
      <c r="Q34" s="11">
        <v>35282</v>
      </c>
      <c r="R34" s="11">
        <v>35996</v>
      </c>
      <c r="S34" s="11">
        <v>33691</v>
      </c>
      <c r="T34" s="11">
        <v>33707</v>
      </c>
      <c r="U34" s="11">
        <v>34474</v>
      </c>
      <c r="V34" s="11">
        <v>28048</v>
      </c>
      <c r="W34" s="11">
        <v>29942</v>
      </c>
      <c r="X34" s="11">
        <v>33889</v>
      </c>
      <c r="Y34" s="11">
        <v>34204</v>
      </c>
      <c r="Z34" s="11">
        <v>31168</v>
      </c>
      <c r="AA34" s="11">
        <v>26713</v>
      </c>
      <c r="AB34" s="11">
        <v>23359</v>
      </c>
      <c r="AC34" s="78"/>
      <c r="AG34" s="15"/>
      <c r="AH34" s="15"/>
      <c r="AI34" s="15"/>
      <c r="AJ34" s="15"/>
      <c r="AK34" s="15"/>
      <c r="AL34" s="15"/>
      <c r="AM34" s="15"/>
      <c r="AN34" s="15"/>
      <c r="AO34" s="15"/>
      <c r="AP34" s="15"/>
      <c r="AQ34" s="15"/>
      <c r="AR34" s="15"/>
      <c r="AS34" s="15"/>
      <c r="AT34" s="15"/>
      <c r="AU34" s="15"/>
      <c r="AV34" s="15"/>
      <c r="AW34" s="15"/>
      <c r="AX34" s="15"/>
      <c r="AY34" s="15"/>
      <c r="AZ34" s="15"/>
      <c r="BA34" s="15"/>
      <c r="BB34" s="15"/>
      <c r="BC34" s="15"/>
      <c r="BD34" s="15"/>
    </row>
    <row r="35" spans="2:56" ht="18.649999999999999" customHeight="1" x14ac:dyDescent="0.25">
      <c r="B35" s="70" t="s">
        <v>39</v>
      </c>
      <c r="C35" s="4" t="s">
        <v>29</v>
      </c>
      <c r="D35" s="5">
        <v>20</v>
      </c>
      <c r="E35" s="11">
        <v>19954</v>
      </c>
      <c r="F35" s="11">
        <v>18650</v>
      </c>
      <c r="G35" s="11">
        <v>18077</v>
      </c>
      <c r="H35" s="11">
        <v>17924</v>
      </c>
      <c r="I35" s="11">
        <v>19628</v>
      </c>
      <c r="J35" s="11">
        <v>24804</v>
      </c>
      <c r="K35" s="11">
        <v>28991</v>
      </c>
      <c r="L35" s="11">
        <v>38952</v>
      </c>
      <c r="M35" s="11">
        <v>38154</v>
      </c>
      <c r="N35" s="11">
        <v>38303</v>
      </c>
      <c r="O35" s="11">
        <v>39270</v>
      </c>
      <c r="P35" s="11">
        <v>40816</v>
      </c>
      <c r="Q35" s="11">
        <v>40463</v>
      </c>
      <c r="R35" s="11">
        <v>40559</v>
      </c>
      <c r="S35" s="11">
        <v>41682</v>
      </c>
      <c r="T35" s="11">
        <v>42065</v>
      </c>
      <c r="U35" s="11">
        <v>42296</v>
      </c>
      <c r="V35" s="11">
        <v>35703</v>
      </c>
      <c r="W35" s="11">
        <v>38493</v>
      </c>
      <c r="X35" s="11">
        <v>40658</v>
      </c>
      <c r="Y35" s="11">
        <v>38521</v>
      </c>
      <c r="Z35" s="11">
        <v>34291</v>
      </c>
      <c r="AA35" s="11">
        <v>28681</v>
      </c>
      <c r="AB35" s="11">
        <v>24544</v>
      </c>
      <c r="AC35" s="76">
        <f>+SUM(E35:AB35)*D35+SUM(E36:AB36)*D36+SUM(E37:AB37)*D37+SUM(E38:AB38)*D38</f>
        <v>23893234</v>
      </c>
      <c r="AG35" s="15"/>
      <c r="AH35" s="15"/>
      <c r="AI35" s="15"/>
      <c r="AJ35" s="15"/>
      <c r="AK35" s="15"/>
      <c r="AL35" s="15"/>
      <c r="AM35" s="15"/>
      <c r="AN35" s="15"/>
      <c r="AO35" s="15"/>
      <c r="AP35" s="15"/>
      <c r="AQ35" s="15"/>
      <c r="AR35" s="15"/>
      <c r="AS35" s="15"/>
      <c r="AT35" s="15"/>
      <c r="AU35" s="15"/>
      <c r="AV35" s="15"/>
      <c r="AW35" s="15"/>
      <c r="AX35" s="15"/>
      <c r="AY35" s="15"/>
      <c r="AZ35" s="15"/>
      <c r="BA35" s="15"/>
      <c r="BB35" s="15"/>
      <c r="BC35" s="15"/>
      <c r="BD35" s="15"/>
    </row>
    <row r="36" spans="2:56" ht="18.649999999999999" customHeight="1" x14ac:dyDescent="0.25">
      <c r="B36" s="70" t="s">
        <v>39</v>
      </c>
      <c r="C36" s="4" t="s">
        <v>30</v>
      </c>
      <c r="D36" s="5">
        <v>5</v>
      </c>
      <c r="E36" s="11">
        <v>21054</v>
      </c>
      <c r="F36" s="11">
        <v>19701</v>
      </c>
      <c r="G36" s="11">
        <v>18775</v>
      </c>
      <c r="H36" s="11">
        <v>18328</v>
      </c>
      <c r="I36" s="11">
        <v>18626</v>
      </c>
      <c r="J36" s="11">
        <v>19329</v>
      </c>
      <c r="K36" s="11">
        <v>22363</v>
      </c>
      <c r="L36" s="11">
        <v>36164</v>
      </c>
      <c r="M36" s="11">
        <v>38609</v>
      </c>
      <c r="N36" s="11">
        <v>38788</v>
      </c>
      <c r="O36" s="11">
        <v>39016</v>
      </c>
      <c r="P36" s="11">
        <v>39670</v>
      </c>
      <c r="Q36" s="11">
        <v>40294</v>
      </c>
      <c r="R36" s="11">
        <v>41190</v>
      </c>
      <c r="S36" s="11">
        <v>40228</v>
      </c>
      <c r="T36" s="11">
        <v>40020</v>
      </c>
      <c r="U36" s="11">
        <v>39770</v>
      </c>
      <c r="V36" s="11">
        <v>34576</v>
      </c>
      <c r="W36" s="11">
        <v>36478</v>
      </c>
      <c r="X36" s="11">
        <v>38055</v>
      </c>
      <c r="Y36" s="11">
        <v>35658</v>
      </c>
      <c r="Z36" s="11">
        <v>32567</v>
      </c>
      <c r="AA36" s="11">
        <v>28120</v>
      </c>
      <c r="AB36" s="11">
        <v>24873</v>
      </c>
      <c r="AC36" s="77"/>
      <c r="AG36" s="15"/>
      <c r="AH36" s="15"/>
      <c r="AI36" s="15"/>
      <c r="AJ36" s="15"/>
      <c r="AK36" s="15"/>
      <c r="AL36" s="15"/>
      <c r="AM36" s="15"/>
      <c r="AN36" s="15"/>
      <c r="AO36" s="15"/>
      <c r="AP36" s="15"/>
      <c r="AQ36" s="15"/>
      <c r="AR36" s="15"/>
      <c r="AS36" s="15"/>
      <c r="AT36" s="15"/>
      <c r="AU36" s="15"/>
      <c r="AV36" s="15"/>
      <c r="AW36" s="15"/>
      <c r="AX36" s="15"/>
      <c r="AY36" s="15"/>
      <c r="AZ36" s="15"/>
      <c r="BA36" s="15"/>
      <c r="BB36" s="15"/>
      <c r="BC36" s="15"/>
      <c r="BD36" s="15"/>
    </row>
    <row r="37" spans="2:56" ht="18.649999999999999" customHeight="1" x14ac:dyDescent="0.25">
      <c r="B37" s="70" t="s">
        <v>39</v>
      </c>
      <c r="C37" s="4" t="s">
        <v>31</v>
      </c>
      <c r="D37" s="5">
        <v>4</v>
      </c>
      <c r="E37" s="11">
        <v>20649</v>
      </c>
      <c r="F37" s="11">
        <v>19208</v>
      </c>
      <c r="G37" s="11">
        <v>18131</v>
      </c>
      <c r="H37" s="11">
        <v>17647</v>
      </c>
      <c r="I37" s="11">
        <v>17335</v>
      </c>
      <c r="J37" s="11">
        <v>17349</v>
      </c>
      <c r="K37" s="11">
        <v>18141</v>
      </c>
      <c r="L37" s="11">
        <v>30153</v>
      </c>
      <c r="M37" s="11">
        <v>32174</v>
      </c>
      <c r="N37" s="11">
        <v>33858</v>
      </c>
      <c r="O37" s="11">
        <v>34788</v>
      </c>
      <c r="P37" s="11">
        <v>36582</v>
      </c>
      <c r="Q37" s="11">
        <v>37552</v>
      </c>
      <c r="R37" s="11">
        <v>36964</v>
      </c>
      <c r="S37" s="11">
        <v>36112</v>
      </c>
      <c r="T37" s="11">
        <v>36408</v>
      </c>
      <c r="U37" s="11">
        <v>37242</v>
      </c>
      <c r="V37" s="11">
        <v>32023</v>
      </c>
      <c r="W37" s="11">
        <v>35425</v>
      </c>
      <c r="X37" s="11">
        <v>37347</v>
      </c>
      <c r="Y37" s="11">
        <v>35531</v>
      </c>
      <c r="Z37" s="11">
        <v>31413</v>
      </c>
      <c r="AA37" s="11">
        <v>27030</v>
      </c>
      <c r="AB37" s="11">
        <v>23429</v>
      </c>
      <c r="AC37" s="77"/>
      <c r="AG37" s="15"/>
      <c r="AH37" s="15"/>
      <c r="AI37" s="15"/>
      <c r="AJ37" s="15"/>
      <c r="AK37" s="15"/>
      <c r="AL37" s="15"/>
      <c r="AM37" s="15"/>
      <c r="AN37" s="15"/>
      <c r="AO37" s="15"/>
      <c r="AP37" s="15"/>
      <c r="AQ37" s="15"/>
      <c r="AR37" s="15"/>
      <c r="AS37" s="15"/>
      <c r="AT37" s="15"/>
      <c r="AU37" s="15"/>
      <c r="AV37" s="15"/>
      <c r="AW37" s="15"/>
      <c r="AX37" s="15"/>
      <c r="AY37" s="15"/>
      <c r="AZ37" s="15"/>
      <c r="BA37" s="15"/>
      <c r="BB37" s="15"/>
      <c r="BC37" s="15"/>
      <c r="BD37" s="15"/>
    </row>
    <row r="38" spans="2:56" ht="18.649999999999999" customHeight="1" x14ac:dyDescent="0.25">
      <c r="B38" s="70" t="s">
        <v>39</v>
      </c>
      <c r="C38" s="4" t="s">
        <v>32</v>
      </c>
      <c r="D38" s="5">
        <v>2</v>
      </c>
      <c r="E38" s="11">
        <v>20423</v>
      </c>
      <c r="F38" s="11">
        <v>18670</v>
      </c>
      <c r="G38" s="11">
        <v>18297</v>
      </c>
      <c r="H38" s="11">
        <v>18080</v>
      </c>
      <c r="I38" s="11">
        <v>18540</v>
      </c>
      <c r="J38" s="11">
        <v>18921</v>
      </c>
      <c r="K38" s="11">
        <v>19975</v>
      </c>
      <c r="L38" s="11">
        <v>31766</v>
      </c>
      <c r="M38" s="11">
        <v>33369</v>
      </c>
      <c r="N38" s="11">
        <v>34133</v>
      </c>
      <c r="O38" s="11">
        <v>35950</v>
      </c>
      <c r="P38" s="11">
        <v>36347</v>
      </c>
      <c r="Q38" s="11">
        <v>36732</v>
      </c>
      <c r="R38" s="11">
        <v>38773</v>
      </c>
      <c r="S38" s="11">
        <v>38830</v>
      </c>
      <c r="T38" s="11">
        <v>37836</v>
      </c>
      <c r="U38" s="11">
        <v>39164</v>
      </c>
      <c r="V38" s="11">
        <v>34242</v>
      </c>
      <c r="W38" s="11">
        <v>36793</v>
      </c>
      <c r="X38" s="11">
        <v>37665</v>
      </c>
      <c r="Y38" s="11">
        <v>35381</v>
      </c>
      <c r="Z38" s="11">
        <v>31515</v>
      </c>
      <c r="AA38" s="11">
        <v>26998</v>
      </c>
      <c r="AB38" s="11">
        <v>22815</v>
      </c>
      <c r="AC38" s="78"/>
      <c r="AG38" s="15"/>
      <c r="AH38" s="15"/>
      <c r="AI38" s="15"/>
      <c r="AJ38" s="15"/>
      <c r="AK38" s="15"/>
      <c r="AL38" s="15"/>
      <c r="AM38" s="15"/>
      <c r="AN38" s="15"/>
      <c r="AO38" s="15"/>
      <c r="AP38" s="15"/>
      <c r="AQ38" s="15"/>
      <c r="AR38" s="15"/>
      <c r="AS38" s="15"/>
      <c r="AT38" s="15"/>
      <c r="AU38" s="15"/>
      <c r="AV38" s="15"/>
      <c r="AW38" s="15"/>
      <c r="AX38" s="15"/>
      <c r="AY38" s="15"/>
      <c r="AZ38" s="15"/>
      <c r="BA38" s="15"/>
      <c r="BB38" s="15"/>
      <c r="BC38" s="15"/>
      <c r="BD38" s="15"/>
    </row>
    <row r="39" spans="2:56" ht="18.649999999999999" customHeight="1" x14ac:dyDescent="0.25">
      <c r="B39" s="70" t="s">
        <v>40</v>
      </c>
      <c r="C39" s="4" t="s">
        <v>29</v>
      </c>
      <c r="D39" s="5">
        <v>21</v>
      </c>
      <c r="E39" s="11">
        <v>19428</v>
      </c>
      <c r="F39" s="11">
        <v>18296</v>
      </c>
      <c r="G39" s="11">
        <v>17846</v>
      </c>
      <c r="H39" s="11">
        <v>17548</v>
      </c>
      <c r="I39" s="11">
        <v>19223</v>
      </c>
      <c r="J39" s="11">
        <v>23982</v>
      </c>
      <c r="K39" s="11">
        <v>28185</v>
      </c>
      <c r="L39" s="11">
        <v>38569</v>
      </c>
      <c r="M39" s="11">
        <v>37847</v>
      </c>
      <c r="N39" s="11">
        <v>38198</v>
      </c>
      <c r="O39" s="11">
        <v>39301</v>
      </c>
      <c r="P39" s="11">
        <v>41401</v>
      </c>
      <c r="Q39" s="11">
        <v>40645</v>
      </c>
      <c r="R39" s="11">
        <v>40150</v>
      </c>
      <c r="S39" s="11">
        <v>41337</v>
      </c>
      <c r="T39" s="11">
        <v>41879</v>
      </c>
      <c r="U39" s="11">
        <v>41866</v>
      </c>
      <c r="V39" s="11">
        <v>35308</v>
      </c>
      <c r="W39" s="11">
        <v>38631</v>
      </c>
      <c r="X39" s="11">
        <v>39479</v>
      </c>
      <c r="Y39" s="11">
        <v>37362</v>
      </c>
      <c r="Z39" s="11">
        <v>33902</v>
      </c>
      <c r="AA39" s="11">
        <v>28234</v>
      </c>
      <c r="AB39" s="11">
        <v>23601</v>
      </c>
      <c r="AC39" s="76">
        <f>+SUM(E39:AB39)*D39+SUM(E40:AB40)*D40+SUM(E41:AB41)*D41+SUM(E42:AB42)*D42</f>
        <v>22902751</v>
      </c>
      <c r="AG39" s="15"/>
      <c r="AH39" s="15"/>
      <c r="AI39" s="15"/>
      <c r="AJ39" s="15"/>
      <c r="AK39" s="15"/>
      <c r="AL39" s="15"/>
      <c r="AM39" s="15"/>
      <c r="AN39" s="15"/>
      <c r="AO39" s="15"/>
      <c r="AP39" s="15"/>
      <c r="AQ39" s="15"/>
      <c r="AR39" s="15"/>
      <c r="AS39" s="15"/>
      <c r="AT39" s="15"/>
      <c r="AU39" s="15"/>
      <c r="AV39" s="15"/>
      <c r="AW39" s="15"/>
      <c r="AX39" s="15"/>
      <c r="AY39" s="15"/>
      <c r="AZ39" s="15"/>
      <c r="BA39" s="15"/>
      <c r="BB39" s="15"/>
      <c r="BC39" s="15"/>
      <c r="BD39" s="15"/>
    </row>
    <row r="40" spans="2:56" ht="18.649999999999999" customHeight="1" x14ac:dyDescent="0.25">
      <c r="B40" s="70" t="s">
        <v>40</v>
      </c>
      <c r="C40" s="4" t="s">
        <v>30</v>
      </c>
      <c r="D40" s="5">
        <v>4</v>
      </c>
      <c r="E40" s="11">
        <v>19702</v>
      </c>
      <c r="F40" s="11">
        <v>18351</v>
      </c>
      <c r="G40" s="11">
        <v>17806</v>
      </c>
      <c r="H40" s="11">
        <v>17511</v>
      </c>
      <c r="I40" s="11">
        <v>17908</v>
      </c>
      <c r="J40" s="11">
        <v>19645</v>
      </c>
      <c r="K40" s="11">
        <v>22039</v>
      </c>
      <c r="L40" s="11">
        <v>36118</v>
      </c>
      <c r="M40" s="11">
        <v>37607</v>
      </c>
      <c r="N40" s="11">
        <v>38460</v>
      </c>
      <c r="O40" s="11">
        <v>39809</v>
      </c>
      <c r="P40" s="11">
        <v>40567</v>
      </c>
      <c r="Q40" s="11">
        <v>40551</v>
      </c>
      <c r="R40" s="11">
        <v>40407</v>
      </c>
      <c r="S40" s="11">
        <v>39674</v>
      </c>
      <c r="T40" s="11">
        <v>39597</v>
      </c>
      <c r="U40" s="11">
        <v>40647</v>
      </c>
      <c r="V40" s="11">
        <v>33786</v>
      </c>
      <c r="W40" s="11">
        <v>36872</v>
      </c>
      <c r="X40" s="11">
        <v>37423</v>
      </c>
      <c r="Y40" s="11">
        <v>35197</v>
      </c>
      <c r="Z40" s="11">
        <v>31763</v>
      </c>
      <c r="AA40" s="11">
        <v>28497</v>
      </c>
      <c r="AB40" s="11">
        <v>24345</v>
      </c>
      <c r="AC40" s="77"/>
      <c r="AG40" s="15"/>
      <c r="AH40" s="15"/>
      <c r="AI40" s="15"/>
      <c r="AJ40" s="15"/>
      <c r="AK40" s="15"/>
      <c r="AL40" s="15"/>
      <c r="AM40" s="15"/>
      <c r="AN40" s="15"/>
      <c r="AO40" s="15"/>
      <c r="AP40" s="15"/>
      <c r="AQ40" s="15"/>
      <c r="AR40" s="15"/>
      <c r="AS40" s="15"/>
      <c r="AT40" s="15"/>
      <c r="AU40" s="15"/>
      <c r="AV40" s="15"/>
      <c r="AW40" s="15"/>
      <c r="AX40" s="15"/>
      <c r="AY40" s="15"/>
      <c r="AZ40" s="15"/>
      <c r="BA40" s="15"/>
      <c r="BB40" s="15"/>
      <c r="BC40" s="15"/>
      <c r="BD40" s="15"/>
    </row>
    <row r="41" spans="2:56" ht="18.649999999999999" customHeight="1" x14ac:dyDescent="0.25">
      <c r="B41" s="70" t="s">
        <v>40</v>
      </c>
      <c r="C41" s="4" t="s">
        <v>31</v>
      </c>
      <c r="D41" s="5">
        <v>5</v>
      </c>
      <c r="E41" s="11">
        <v>20638</v>
      </c>
      <c r="F41" s="11">
        <v>19090</v>
      </c>
      <c r="G41" s="11">
        <v>17864</v>
      </c>
      <c r="H41" s="11">
        <v>17559</v>
      </c>
      <c r="I41" s="11">
        <v>17059</v>
      </c>
      <c r="J41" s="11">
        <v>16720</v>
      </c>
      <c r="K41" s="11">
        <v>18130</v>
      </c>
      <c r="L41" s="11">
        <v>29976</v>
      </c>
      <c r="M41" s="11">
        <v>31246</v>
      </c>
      <c r="N41" s="11">
        <v>32561</v>
      </c>
      <c r="O41" s="11">
        <v>34211</v>
      </c>
      <c r="P41" s="11">
        <v>36131</v>
      </c>
      <c r="Q41" s="11">
        <v>37591</v>
      </c>
      <c r="R41" s="11">
        <v>37801</v>
      </c>
      <c r="S41" s="11">
        <v>36817</v>
      </c>
      <c r="T41" s="11">
        <v>36326</v>
      </c>
      <c r="U41" s="11">
        <v>36723</v>
      </c>
      <c r="V41" s="11">
        <v>31856</v>
      </c>
      <c r="W41" s="11">
        <v>34416</v>
      </c>
      <c r="X41" s="11">
        <v>36216</v>
      </c>
      <c r="Y41" s="11">
        <v>33709</v>
      </c>
      <c r="Z41" s="11">
        <v>31006</v>
      </c>
      <c r="AA41" s="11">
        <v>26006</v>
      </c>
      <c r="AB41" s="11">
        <v>22157</v>
      </c>
      <c r="AC41" s="77"/>
      <c r="AG41" s="15"/>
      <c r="AH41" s="15"/>
      <c r="AI41" s="15"/>
      <c r="AJ41" s="15"/>
      <c r="AK41" s="15"/>
      <c r="AL41" s="15"/>
      <c r="AM41" s="15"/>
      <c r="AN41" s="15"/>
      <c r="AO41" s="15"/>
      <c r="AP41" s="15"/>
      <c r="AQ41" s="15"/>
      <c r="AR41" s="15"/>
      <c r="AS41" s="15"/>
      <c r="AT41" s="15"/>
      <c r="AU41" s="15"/>
      <c r="AV41" s="15"/>
      <c r="AW41" s="15"/>
      <c r="AX41" s="15"/>
      <c r="AY41" s="15"/>
      <c r="AZ41" s="15"/>
      <c r="BA41" s="15"/>
      <c r="BB41" s="15"/>
      <c r="BC41" s="15"/>
      <c r="BD41" s="15"/>
    </row>
    <row r="42" spans="2:56" ht="18.649999999999999" customHeight="1" x14ac:dyDescent="0.25">
      <c r="B42" s="70" t="s">
        <v>40</v>
      </c>
      <c r="C42" s="4" t="s">
        <v>32</v>
      </c>
      <c r="D42" s="5">
        <v>0</v>
      </c>
      <c r="E42" s="11">
        <v>0</v>
      </c>
      <c r="F42" s="11">
        <v>0</v>
      </c>
      <c r="G42" s="11">
        <v>0</v>
      </c>
      <c r="H42" s="11">
        <v>0</v>
      </c>
      <c r="I42" s="11">
        <v>0</v>
      </c>
      <c r="J42" s="11">
        <v>0</v>
      </c>
      <c r="K42" s="11">
        <v>0</v>
      </c>
      <c r="L42" s="11">
        <v>0</v>
      </c>
      <c r="M42" s="11">
        <v>0</v>
      </c>
      <c r="N42" s="11">
        <v>0</v>
      </c>
      <c r="O42" s="11">
        <v>0</v>
      </c>
      <c r="P42" s="11">
        <v>0</v>
      </c>
      <c r="Q42" s="11">
        <v>0</v>
      </c>
      <c r="R42" s="11">
        <v>0</v>
      </c>
      <c r="S42" s="11">
        <v>0</v>
      </c>
      <c r="T42" s="11">
        <v>0</v>
      </c>
      <c r="U42" s="11">
        <v>0</v>
      </c>
      <c r="V42" s="11">
        <v>0</v>
      </c>
      <c r="W42" s="11">
        <v>0</v>
      </c>
      <c r="X42" s="11">
        <v>0</v>
      </c>
      <c r="Y42" s="11">
        <v>0</v>
      </c>
      <c r="Z42" s="11">
        <v>0</v>
      </c>
      <c r="AA42" s="11">
        <v>0</v>
      </c>
      <c r="AB42" s="11">
        <v>0</v>
      </c>
      <c r="AC42" s="78"/>
      <c r="AG42" s="15"/>
      <c r="AH42" s="15"/>
      <c r="AI42" s="15"/>
      <c r="AJ42" s="15"/>
      <c r="AK42" s="15"/>
      <c r="AL42" s="15"/>
      <c r="AM42" s="15"/>
      <c r="AN42" s="15"/>
      <c r="AO42" s="15"/>
      <c r="AP42" s="15"/>
      <c r="AQ42" s="15"/>
      <c r="AR42" s="15"/>
      <c r="AS42" s="15"/>
      <c r="AT42" s="15"/>
      <c r="AU42" s="15"/>
      <c r="AV42" s="15"/>
      <c r="AW42" s="15"/>
      <c r="AX42" s="15"/>
      <c r="AY42" s="15"/>
      <c r="AZ42" s="15"/>
      <c r="BA42" s="15"/>
      <c r="BB42" s="15"/>
      <c r="BC42" s="15"/>
      <c r="BD42" s="15"/>
    </row>
    <row r="43" spans="2:56" ht="18.649999999999999" customHeight="1" x14ac:dyDescent="0.25">
      <c r="B43" s="70" t="s">
        <v>41</v>
      </c>
      <c r="C43" s="4" t="s">
        <v>29</v>
      </c>
      <c r="D43" s="5">
        <v>22</v>
      </c>
      <c r="E43" s="11">
        <v>19980</v>
      </c>
      <c r="F43" s="11">
        <v>18717</v>
      </c>
      <c r="G43" s="11">
        <v>18136</v>
      </c>
      <c r="H43" s="11">
        <v>18002</v>
      </c>
      <c r="I43" s="11">
        <v>19510</v>
      </c>
      <c r="J43" s="11">
        <v>23898</v>
      </c>
      <c r="K43" s="11">
        <v>26680</v>
      </c>
      <c r="L43" s="11">
        <v>37089</v>
      </c>
      <c r="M43" s="11">
        <v>36720</v>
      </c>
      <c r="N43" s="11">
        <v>37071</v>
      </c>
      <c r="O43" s="11">
        <v>38318</v>
      </c>
      <c r="P43" s="11">
        <v>40321</v>
      </c>
      <c r="Q43" s="11">
        <v>39558</v>
      </c>
      <c r="R43" s="11">
        <v>39528</v>
      </c>
      <c r="S43" s="11">
        <v>40769</v>
      </c>
      <c r="T43" s="11">
        <v>41596</v>
      </c>
      <c r="U43" s="11">
        <v>41977</v>
      </c>
      <c r="V43" s="11">
        <v>35926</v>
      </c>
      <c r="W43" s="11">
        <v>39670</v>
      </c>
      <c r="X43" s="11">
        <v>39548</v>
      </c>
      <c r="Y43" s="11">
        <v>37456</v>
      </c>
      <c r="Z43" s="11">
        <v>34545</v>
      </c>
      <c r="AA43" s="11">
        <v>28874</v>
      </c>
      <c r="AB43" s="11">
        <v>24413</v>
      </c>
      <c r="AC43" s="76">
        <f>+SUM(E43:AB43)*D43+SUM(E44:AB44)*D44+SUM(E45:AB45)*D45+SUM(E46:AB46)*D46</f>
        <v>23690538</v>
      </c>
      <c r="AG43" s="15"/>
      <c r="AH43" s="15"/>
      <c r="AI43" s="15"/>
      <c r="AJ43" s="15"/>
      <c r="AK43" s="15"/>
      <c r="AL43" s="15"/>
      <c r="AM43" s="15"/>
      <c r="AN43" s="15"/>
      <c r="AO43" s="15"/>
      <c r="AP43" s="15"/>
      <c r="AQ43" s="15"/>
      <c r="AR43" s="15"/>
      <c r="AS43" s="15"/>
      <c r="AT43" s="15"/>
      <c r="AU43" s="15"/>
      <c r="AV43" s="15"/>
      <c r="AW43" s="15"/>
      <c r="AX43" s="15"/>
      <c r="AY43" s="15"/>
      <c r="AZ43" s="15"/>
      <c r="BA43" s="15"/>
      <c r="BB43" s="15"/>
      <c r="BC43" s="15"/>
      <c r="BD43" s="15"/>
    </row>
    <row r="44" spans="2:56" ht="18.649999999999999" customHeight="1" x14ac:dyDescent="0.25">
      <c r="B44" s="70" t="s">
        <v>41</v>
      </c>
      <c r="C44" s="4" t="s">
        <v>30</v>
      </c>
      <c r="D44" s="5">
        <v>4</v>
      </c>
      <c r="E44" s="11">
        <v>20942</v>
      </c>
      <c r="F44" s="11">
        <v>19417</v>
      </c>
      <c r="G44" s="11">
        <v>18725</v>
      </c>
      <c r="H44" s="11">
        <v>18309</v>
      </c>
      <c r="I44" s="11">
        <v>18475</v>
      </c>
      <c r="J44" s="11">
        <v>19306</v>
      </c>
      <c r="K44" s="11">
        <v>20981</v>
      </c>
      <c r="L44" s="11">
        <v>34623</v>
      </c>
      <c r="M44" s="11">
        <v>36020</v>
      </c>
      <c r="N44" s="11">
        <v>37259</v>
      </c>
      <c r="O44" s="11">
        <v>37834</v>
      </c>
      <c r="P44" s="11">
        <v>39218</v>
      </c>
      <c r="Q44" s="11">
        <v>40001</v>
      </c>
      <c r="R44" s="11">
        <v>39438</v>
      </c>
      <c r="S44" s="11">
        <v>40095</v>
      </c>
      <c r="T44" s="11">
        <v>40215</v>
      </c>
      <c r="U44" s="11">
        <v>40827</v>
      </c>
      <c r="V44" s="11">
        <v>34300</v>
      </c>
      <c r="W44" s="11">
        <v>38978</v>
      </c>
      <c r="X44" s="11">
        <v>38950</v>
      </c>
      <c r="Y44" s="11">
        <v>37070</v>
      </c>
      <c r="Z44" s="11">
        <v>34186</v>
      </c>
      <c r="AA44" s="11">
        <v>30373</v>
      </c>
      <c r="AB44" s="11">
        <v>26480</v>
      </c>
      <c r="AC44" s="77"/>
      <c r="AG44" s="15"/>
      <c r="AH44" s="15"/>
      <c r="AI44" s="15"/>
      <c r="AJ44" s="15"/>
      <c r="AK44" s="15"/>
      <c r="AL44" s="15"/>
      <c r="AM44" s="15"/>
      <c r="AN44" s="15"/>
      <c r="AO44" s="15"/>
      <c r="AP44" s="15"/>
      <c r="AQ44" s="15"/>
      <c r="AR44" s="15"/>
      <c r="AS44" s="15"/>
      <c r="AT44" s="15"/>
      <c r="AU44" s="15"/>
      <c r="AV44" s="15"/>
      <c r="AW44" s="15"/>
      <c r="AX44" s="15"/>
      <c r="AY44" s="15"/>
      <c r="AZ44" s="15"/>
      <c r="BA44" s="15"/>
      <c r="BB44" s="15"/>
      <c r="BC44" s="15"/>
      <c r="BD44" s="15"/>
    </row>
    <row r="45" spans="2:56" ht="18.649999999999999" customHeight="1" x14ac:dyDescent="0.25">
      <c r="B45" s="70" t="s">
        <v>41</v>
      </c>
      <c r="C45" s="4" t="s">
        <v>31</v>
      </c>
      <c r="D45" s="5">
        <v>4</v>
      </c>
      <c r="E45" s="11">
        <v>21580</v>
      </c>
      <c r="F45" s="11">
        <v>19681</v>
      </c>
      <c r="G45" s="11">
        <v>18542</v>
      </c>
      <c r="H45" s="11">
        <v>18092</v>
      </c>
      <c r="I45" s="11">
        <v>18357</v>
      </c>
      <c r="J45" s="11">
        <v>17581</v>
      </c>
      <c r="K45" s="11">
        <v>17191</v>
      </c>
      <c r="L45" s="11">
        <v>28075</v>
      </c>
      <c r="M45" s="11">
        <v>30620</v>
      </c>
      <c r="N45" s="11">
        <v>32319</v>
      </c>
      <c r="O45" s="11">
        <v>34632</v>
      </c>
      <c r="P45" s="11">
        <v>36384</v>
      </c>
      <c r="Q45" s="11">
        <v>37316</v>
      </c>
      <c r="R45" s="11">
        <v>37234</v>
      </c>
      <c r="S45" s="11">
        <v>36127</v>
      </c>
      <c r="T45" s="11">
        <v>36851</v>
      </c>
      <c r="U45" s="11">
        <v>37130</v>
      </c>
      <c r="V45" s="11">
        <v>32398</v>
      </c>
      <c r="W45" s="11">
        <v>36952</v>
      </c>
      <c r="X45" s="11">
        <v>37376</v>
      </c>
      <c r="Y45" s="11">
        <v>35525</v>
      </c>
      <c r="Z45" s="11">
        <v>32154</v>
      </c>
      <c r="AA45" s="11">
        <v>27688</v>
      </c>
      <c r="AB45" s="11">
        <v>23966</v>
      </c>
      <c r="AC45" s="77"/>
      <c r="AG45" s="15"/>
      <c r="AH45" s="15"/>
      <c r="AI45" s="15"/>
      <c r="AJ45" s="15"/>
      <c r="AK45" s="15"/>
      <c r="AL45" s="15"/>
      <c r="AM45" s="15"/>
      <c r="AN45" s="15"/>
      <c r="AO45" s="15"/>
      <c r="AP45" s="15"/>
      <c r="AQ45" s="15"/>
      <c r="AR45" s="15"/>
      <c r="AS45" s="15"/>
      <c r="AT45" s="15"/>
      <c r="AU45" s="15"/>
      <c r="AV45" s="15"/>
      <c r="AW45" s="15"/>
      <c r="AX45" s="15"/>
      <c r="AY45" s="15"/>
      <c r="AZ45" s="15"/>
      <c r="BA45" s="15"/>
      <c r="BB45" s="15"/>
      <c r="BC45" s="15"/>
      <c r="BD45" s="15"/>
    </row>
    <row r="46" spans="2:56" ht="18.649999999999999" customHeight="1" x14ac:dyDescent="0.25">
      <c r="B46" s="70" t="s">
        <v>41</v>
      </c>
      <c r="C46" s="4" t="s">
        <v>32</v>
      </c>
      <c r="D46" s="5">
        <v>1</v>
      </c>
      <c r="E46" s="11">
        <v>19251</v>
      </c>
      <c r="F46" s="11">
        <v>18174</v>
      </c>
      <c r="G46" s="11">
        <v>17390</v>
      </c>
      <c r="H46" s="11">
        <v>17379</v>
      </c>
      <c r="I46" s="11">
        <v>17912</v>
      </c>
      <c r="J46" s="11">
        <v>17508</v>
      </c>
      <c r="K46" s="11">
        <v>17083</v>
      </c>
      <c r="L46" s="11">
        <v>28597</v>
      </c>
      <c r="M46" s="11">
        <v>30289</v>
      </c>
      <c r="N46" s="11">
        <v>33070</v>
      </c>
      <c r="O46" s="11">
        <v>34747</v>
      </c>
      <c r="P46" s="11">
        <v>35990</v>
      </c>
      <c r="Q46" s="11">
        <v>37862</v>
      </c>
      <c r="R46" s="11">
        <v>37580</v>
      </c>
      <c r="S46" s="11">
        <v>37756</v>
      </c>
      <c r="T46" s="11">
        <v>36937</v>
      </c>
      <c r="U46" s="11">
        <v>37817</v>
      </c>
      <c r="V46" s="11">
        <v>33571</v>
      </c>
      <c r="W46" s="11">
        <v>38797</v>
      </c>
      <c r="X46" s="11">
        <v>37262</v>
      </c>
      <c r="Y46" s="11">
        <v>36250</v>
      </c>
      <c r="Z46" s="11">
        <v>32879</v>
      </c>
      <c r="AA46" s="11">
        <v>27561</v>
      </c>
      <c r="AB46" s="11">
        <v>23060</v>
      </c>
      <c r="AC46" s="78"/>
      <c r="AG46" s="15"/>
      <c r="AH46" s="15"/>
      <c r="AI46" s="15"/>
      <c r="AJ46" s="15"/>
      <c r="AK46" s="15"/>
      <c r="AL46" s="15"/>
      <c r="AM46" s="15"/>
      <c r="AN46" s="15"/>
      <c r="AO46" s="15"/>
      <c r="AP46" s="15"/>
      <c r="AQ46" s="15"/>
      <c r="AR46" s="15"/>
      <c r="AS46" s="15"/>
      <c r="AT46" s="15"/>
      <c r="AU46" s="15"/>
      <c r="AV46" s="15"/>
      <c r="AW46" s="15"/>
      <c r="AX46" s="15"/>
      <c r="AY46" s="15"/>
      <c r="AZ46" s="15"/>
      <c r="BA46" s="15"/>
      <c r="BB46" s="15"/>
      <c r="BC46" s="15"/>
      <c r="BD46" s="15"/>
    </row>
    <row r="47" spans="2:56" ht="18.649999999999999" customHeight="1" x14ac:dyDescent="0.25">
      <c r="B47" s="70" t="s">
        <v>42</v>
      </c>
      <c r="C47" s="4" t="s">
        <v>29</v>
      </c>
      <c r="D47" s="5">
        <v>19</v>
      </c>
      <c r="E47" s="11">
        <v>19426</v>
      </c>
      <c r="F47" s="11">
        <v>18271</v>
      </c>
      <c r="G47" s="11">
        <v>18380</v>
      </c>
      <c r="H47" s="11">
        <v>18169</v>
      </c>
      <c r="I47" s="11">
        <v>19976</v>
      </c>
      <c r="J47" s="11">
        <v>24740</v>
      </c>
      <c r="K47" s="11">
        <v>28513</v>
      </c>
      <c r="L47" s="11">
        <v>38786</v>
      </c>
      <c r="M47" s="11">
        <v>38214</v>
      </c>
      <c r="N47" s="11">
        <v>38057</v>
      </c>
      <c r="O47" s="11">
        <v>39993</v>
      </c>
      <c r="P47" s="11">
        <v>41549</v>
      </c>
      <c r="Q47" s="11">
        <v>40436</v>
      </c>
      <c r="R47" s="11">
        <v>40347</v>
      </c>
      <c r="S47" s="11">
        <v>41790</v>
      </c>
      <c r="T47" s="11">
        <v>42787</v>
      </c>
      <c r="U47" s="11">
        <v>42935</v>
      </c>
      <c r="V47" s="11">
        <v>36931</v>
      </c>
      <c r="W47" s="11">
        <v>40487</v>
      </c>
      <c r="X47" s="11">
        <v>39549</v>
      </c>
      <c r="Y47" s="11">
        <v>37705</v>
      </c>
      <c r="Z47" s="11">
        <v>34223</v>
      </c>
      <c r="AA47" s="11">
        <v>28504</v>
      </c>
      <c r="AB47" s="11">
        <v>24329</v>
      </c>
      <c r="AC47" s="76">
        <f>+SUM(E47:AB47)*D47+SUM(E48:AB48)*D48+SUM(E49:AB49)*D49+SUM(E50:AB50)*D50</f>
        <v>23238819</v>
      </c>
      <c r="AG47" s="15"/>
      <c r="AH47" s="15"/>
      <c r="AI47" s="15"/>
      <c r="AJ47" s="15"/>
      <c r="AK47" s="15"/>
      <c r="AL47" s="15"/>
      <c r="AM47" s="15"/>
      <c r="AN47" s="15"/>
      <c r="AO47" s="15"/>
      <c r="AP47" s="15"/>
      <c r="AQ47" s="15"/>
      <c r="AR47" s="15"/>
      <c r="AS47" s="15"/>
      <c r="AT47" s="15"/>
      <c r="AU47" s="15"/>
      <c r="AV47" s="15"/>
      <c r="AW47" s="15"/>
      <c r="AX47" s="15"/>
      <c r="AY47" s="15"/>
      <c r="AZ47" s="15"/>
      <c r="BA47" s="15"/>
      <c r="BB47" s="15"/>
      <c r="BC47" s="15"/>
      <c r="BD47" s="15"/>
    </row>
    <row r="48" spans="2:56" ht="18.649999999999999" customHeight="1" x14ac:dyDescent="0.25">
      <c r="B48" s="70" t="s">
        <v>42</v>
      </c>
      <c r="C48" s="4" t="s">
        <v>30</v>
      </c>
      <c r="D48" s="5">
        <v>5</v>
      </c>
      <c r="E48" s="11">
        <v>21082</v>
      </c>
      <c r="F48" s="11">
        <v>19773</v>
      </c>
      <c r="G48" s="11">
        <v>18711</v>
      </c>
      <c r="H48" s="11">
        <v>18643</v>
      </c>
      <c r="I48" s="11">
        <v>19123</v>
      </c>
      <c r="J48" s="11">
        <v>19998</v>
      </c>
      <c r="K48" s="11">
        <v>22916</v>
      </c>
      <c r="L48" s="11">
        <v>36316</v>
      </c>
      <c r="M48" s="11">
        <v>37819</v>
      </c>
      <c r="N48" s="11">
        <v>38423</v>
      </c>
      <c r="O48" s="11">
        <v>39372</v>
      </c>
      <c r="P48" s="11">
        <v>40518</v>
      </c>
      <c r="Q48" s="11">
        <v>40175</v>
      </c>
      <c r="R48" s="11">
        <v>39815</v>
      </c>
      <c r="S48" s="11">
        <v>39778</v>
      </c>
      <c r="T48" s="11">
        <v>39957</v>
      </c>
      <c r="U48" s="11">
        <v>40682</v>
      </c>
      <c r="V48" s="11">
        <v>35454</v>
      </c>
      <c r="W48" s="11">
        <v>39125</v>
      </c>
      <c r="X48" s="11">
        <v>39044</v>
      </c>
      <c r="Y48" s="11">
        <v>36841</v>
      </c>
      <c r="Z48" s="11">
        <v>33432</v>
      </c>
      <c r="AA48" s="11">
        <v>29904</v>
      </c>
      <c r="AB48" s="11">
        <v>25983</v>
      </c>
      <c r="AC48" s="77"/>
      <c r="AG48" s="15"/>
      <c r="AH48" s="15"/>
      <c r="AI48" s="15"/>
      <c r="AJ48" s="15"/>
      <c r="AK48" s="15"/>
      <c r="AL48" s="15"/>
      <c r="AM48" s="15"/>
      <c r="AN48" s="15"/>
      <c r="AO48" s="15"/>
      <c r="AP48" s="15"/>
      <c r="AQ48" s="15"/>
      <c r="AR48" s="15"/>
      <c r="AS48" s="15"/>
      <c r="AT48" s="15"/>
      <c r="AU48" s="15"/>
      <c r="AV48" s="15"/>
      <c r="AW48" s="15"/>
      <c r="AX48" s="15"/>
      <c r="AY48" s="15"/>
      <c r="AZ48" s="15"/>
      <c r="BA48" s="15"/>
      <c r="BB48" s="15"/>
      <c r="BC48" s="15"/>
      <c r="BD48" s="15"/>
    </row>
    <row r="49" spans="2:56" ht="18.649999999999999" customHeight="1" x14ac:dyDescent="0.25">
      <c r="B49" s="70" t="s">
        <v>42</v>
      </c>
      <c r="C49" s="4" t="s">
        <v>31</v>
      </c>
      <c r="D49" s="5">
        <v>4</v>
      </c>
      <c r="E49" s="11">
        <v>22034</v>
      </c>
      <c r="F49" s="11">
        <v>20658</v>
      </c>
      <c r="G49" s="11">
        <v>19386</v>
      </c>
      <c r="H49" s="11">
        <v>19097</v>
      </c>
      <c r="I49" s="11">
        <v>18575</v>
      </c>
      <c r="J49" s="11">
        <v>18589</v>
      </c>
      <c r="K49" s="11">
        <v>18169</v>
      </c>
      <c r="L49" s="11">
        <v>29729</v>
      </c>
      <c r="M49" s="11">
        <v>32742</v>
      </c>
      <c r="N49" s="11">
        <v>34099</v>
      </c>
      <c r="O49" s="11">
        <v>34930</v>
      </c>
      <c r="P49" s="11">
        <v>36525</v>
      </c>
      <c r="Q49" s="11">
        <v>37566</v>
      </c>
      <c r="R49" s="11">
        <v>37216</v>
      </c>
      <c r="S49" s="11">
        <v>37224</v>
      </c>
      <c r="T49" s="11">
        <v>37131</v>
      </c>
      <c r="U49" s="11">
        <v>38897</v>
      </c>
      <c r="V49" s="11">
        <v>32898</v>
      </c>
      <c r="W49" s="11">
        <v>36911</v>
      </c>
      <c r="X49" s="11">
        <v>37078</v>
      </c>
      <c r="Y49" s="11">
        <v>35038</v>
      </c>
      <c r="Z49" s="11">
        <v>32050</v>
      </c>
      <c r="AA49" s="11">
        <v>26926</v>
      </c>
      <c r="AB49" s="11">
        <v>23547</v>
      </c>
      <c r="AC49" s="77"/>
      <c r="AG49" s="15"/>
      <c r="AH49" s="15"/>
      <c r="AI49" s="15"/>
      <c r="AJ49" s="15"/>
      <c r="AK49" s="15"/>
      <c r="AL49" s="15"/>
      <c r="AM49" s="15"/>
      <c r="AN49" s="15"/>
      <c r="AO49" s="15"/>
      <c r="AP49" s="15"/>
      <c r="AQ49" s="15"/>
      <c r="AR49" s="15"/>
      <c r="AS49" s="15"/>
      <c r="AT49" s="15"/>
      <c r="AU49" s="15"/>
      <c r="AV49" s="15"/>
      <c r="AW49" s="15"/>
      <c r="AX49" s="15"/>
      <c r="AY49" s="15"/>
      <c r="AZ49" s="15"/>
      <c r="BA49" s="15"/>
      <c r="BB49" s="15"/>
      <c r="BC49" s="15"/>
      <c r="BD49" s="15"/>
    </row>
    <row r="50" spans="2:56" ht="18.649999999999999" customHeight="1" x14ac:dyDescent="0.25">
      <c r="B50" s="70" t="s">
        <v>42</v>
      </c>
      <c r="C50" s="4" t="s">
        <v>32</v>
      </c>
      <c r="D50" s="5">
        <v>2</v>
      </c>
      <c r="E50" s="11">
        <v>20439</v>
      </c>
      <c r="F50" s="11">
        <v>19166</v>
      </c>
      <c r="G50" s="11">
        <v>18639</v>
      </c>
      <c r="H50" s="11">
        <v>17796</v>
      </c>
      <c r="I50" s="11">
        <v>17924</v>
      </c>
      <c r="J50" s="11">
        <v>18258</v>
      </c>
      <c r="K50" s="11">
        <v>18097</v>
      </c>
      <c r="L50" s="11">
        <v>29264</v>
      </c>
      <c r="M50" s="11">
        <v>31244</v>
      </c>
      <c r="N50" s="11">
        <v>32525</v>
      </c>
      <c r="O50" s="11">
        <v>34791</v>
      </c>
      <c r="P50" s="11">
        <v>36685</v>
      </c>
      <c r="Q50" s="11">
        <v>37196</v>
      </c>
      <c r="R50" s="11">
        <v>37255</v>
      </c>
      <c r="S50" s="11">
        <v>37426</v>
      </c>
      <c r="T50" s="11">
        <v>37863</v>
      </c>
      <c r="U50" s="11">
        <v>39714</v>
      </c>
      <c r="V50" s="11">
        <v>34510</v>
      </c>
      <c r="W50" s="11">
        <v>37997</v>
      </c>
      <c r="X50" s="11">
        <v>37818</v>
      </c>
      <c r="Y50" s="11">
        <v>35269</v>
      </c>
      <c r="Z50" s="11">
        <v>31095</v>
      </c>
      <c r="AA50" s="11">
        <v>25530</v>
      </c>
      <c r="AB50" s="11">
        <v>22747</v>
      </c>
      <c r="AC50" s="78"/>
      <c r="AG50" s="15"/>
      <c r="AH50" s="15"/>
      <c r="AI50" s="15"/>
      <c r="AJ50" s="15"/>
      <c r="AK50" s="15"/>
      <c r="AL50" s="15"/>
      <c r="AM50" s="15"/>
      <c r="AN50" s="15"/>
      <c r="AO50" s="15"/>
      <c r="AP50" s="15"/>
      <c r="AQ50" s="15"/>
      <c r="AR50" s="15"/>
      <c r="AS50" s="15"/>
      <c r="AT50" s="15"/>
      <c r="AU50" s="15"/>
      <c r="AV50" s="15"/>
      <c r="AW50" s="15"/>
      <c r="AX50" s="15"/>
      <c r="AY50" s="15"/>
      <c r="AZ50" s="15"/>
      <c r="BA50" s="15"/>
      <c r="BB50" s="15"/>
      <c r="BC50" s="15"/>
      <c r="BD50" s="15"/>
    </row>
    <row r="51" spans="2:56" ht="18.649999999999999" customHeight="1" x14ac:dyDescent="0.25">
      <c r="B51" s="70" t="s">
        <v>43</v>
      </c>
      <c r="C51" s="4" t="s">
        <v>29</v>
      </c>
      <c r="D51" s="5">
        <v>21</v>
      </c>
      <c r="E51" s="11">
        <v>21276</v>
      </c>
      <c r="F51" s="11">
        <v>19723</v>
      </c>
      <c r="G51" s="11">
        <v>19033</v>
      </c>
      <c r="H51" s="11">
        <v>18746</v>
      </c>
      <c r="I51" s="11">
        <v>19794</v>
      </c>
      <c r="J51" s="11">
        <v>22399</v>
      </c>
      <c r="K51" s="11">
        <v>24518</v>
      </c>
      <c r="L51" s="11">
        <v>37088</v>
      </c>
      <c r="M51" s="11">
        <v>38141</v>
      </c>
      <c r="N51" s="11">
        <v>38549</v>
      </c>
      <c r="O51" s="11">
        <v>39638</v>
      </c>
      <c r="P51" s="11">
        <v>41863</v>
      </c>
      <c r="Q51" s="11">
        <v>41095</v>
      </c>
      <c r="R51" s="11">
        <v>39671</v>
      </c>
      <c r="S51" s="11">
        <v>41789</v>
      </c>
      <c r="T51" s="11">
        <v>42504</v>
      </c>
      <c r="U51" s="11">
        <v>42804</v>
      </c>
      <c r="V51" s="11">
        <v>35950</v>
      </c>
      <c r="W51" s="11">
        <v>40801</v>
      </c>
      <c r="X51" s="11">
        <v>40490</v>
      </c>
      <c r="Y51" s="11">
        <v>38249</v>
      </c>
      <c r="Z51" s="11">
        <v>35025</v>
      </c>
      <c r="AA51" s="11">
        <v>30028</v>
      </c>
      <c r="AB51" s="11">
        <v>26293</v>
      </c>
      <c r="AC51" s="76">
        <f>+SUM(E51:AB51)*D51+SUM(E52:AB52)*D52+SUM(E53:AB53)*D53+SUM(E54:AB54)*D54</f>
        <v>24027837</v>
      </c>
      <c r="AG51" s="15"/>
      <c r="AH51" s="15"/>
      <c r="AI51" s="15"/>
      <c r="AJ51" s="15"/>
      <c r="AK51" s="15"/>
      <c r="AL51" s="15"/>
      <c r="AM51" s="15"/>
      <c r="AN51" s="15"/>
      <c r="AO51" s="15"/>
      <c r="AP51" s="15"/>
      <c r="AQ51" s="15"/>
      <c r="AR51" s="15"/>
      <c r="AS51" s="15"/>
      <c r="AT51" s="15"/>
      <c r="AU51" s="15"/>
      <c r="AV51" s="15"/>
      <c r="AW51" s="15"/>
      <c r="AX51" s="15"/>
      <c r="AY51" s="15"/>
      <c r="AZ51" s="15"/>
      <c r="BA51" s="15"/>
      <c r="BB51" s="15"/>
      <c r="BC51" s="15"/>
      <c r="BD51" s="15"/>
    </row>
    <row r="52" spans="2:56" ht="18.649999999999999" customHeight="1" x14ac:dyDescent="0.25">
      <c r="B52" s="70" t="s">
        <v>43</v>
      </c>
      <c r="C52" s="4" t="s">
        <v>30</v>
      </c>
      <c r="D52" s="5">
        <v>4</v>
      </c>
      <c r="E52" s="11">
        <v>21908</v>
      </c>
      <c r="F52" s="11">
        <v>20535</v>
      </c>
      <c r="G52" s="11">
        <v>19685</v>
      </c>
      <c r="H52" s="11">
        <v>18850</v>
      </c>
      <c r="I52" s="11">
        <v>19605</v>
      </c>
      <c r="J52" s="11">
        <v>20362</v>
      </c>
      <c r="K52" s="11">
        <v>21611</v>
      </c>
      <c r="L52" s="11">
        <v>35260</v>
      </c>
      <c r="M52" s="11">
        <v>37392</v>
      </c>
      <c r="N52" s="11">
        <v>38365</v>
      </c>
      <c r="O52" s="11">
        <v>39051</v>
      </c>
      <c r="P52" s="11">
        <v>40079</v>
      </c>
      <c r="Q52" s="11">
        <v>40381</v>
      </c>
      <c r="R52" s="11">
        <v>39763</v>
      </c>
      <c r="S52" s="11">
        <v>39833</v>
      </c>
      <c r="T52" s="11">
        <v>39343</v>
      </c>
      <c r="U52" s="11">
        <v>40170</v>
      </c>
      <c r="V52" s="11">
        <v>33085</v>
      </c>
      <c r="W52" s="11">
        <v>38930</v>
      </c>
      <c r="X52" s="11">
        <v>39346</v>
      </c>
      <c r="Y52" s="11">
        <v>37543</v>
      </c>
      <c r="Z52" s="11">
        <v>34755</v>
      </c>
      <c r="AA52" s="11">
        <v>30946</v>
      </c>
      <c r="AB52" s="11">
        <v>27631</v>
      </c>
      <c r="AC52" s="77"/>
      <c r="AG52" s="15"/>
      <c r="AH52" s="15"/>
      <c r="AI52" s="15"/>
      <c r="AJ52" s="15"/>
      <c r="AK52" s="15"/>
      <c r="AL52" s="15"/>
      <c r="AM52" s="15"/>
      <c r="AN52" s="15"/>
      <c r="AO52" s="15"/>
      <c r="AP52" s="15"/>
      <c r="AQ52" s="15"/>
      <c r="AR52" s="15"/>
      <c r="AS52" s="15"/>
      <c r="AT52" s="15"/>
      <c r="AU52" s="15"/>
      <c r="AV52" s="15"/>
      <c r="AW52" s="15"/>
      <c r="AX52" s="15"/>
      <c r="AY52" s="15"/>
      <c r="AZ52" s="15"/>
      <c r="BA52" s="15"/>
      <c r="BB52" s="15"/>
      <c r="BC52" s="15"/>
      <c r="BD52" s="15"/>
    </row>
    <row r="53" spans="2:56" ht="18.649999999999999" customHeight="1" x14ac:dyDescent="0.25">
      <c r="B53" s="70" t="s">
        <v>43</v>
      </c>
      <c r="C53" s="4" t="s">
        <v>31</v>
      </c>
      <c r="D53" s="5">
        <v>4</v>
      </c>
      <c r="E53" s="11">
        <v>23220</v>
      </c>
      <c r="F53" s="11">
        <v>21382</v>
      </c>
      <c r="G53" s="11">
        <v>19968</v>
      </c>
      <c r="H53" s="11">
        <v>19483</v>
      </c>
      <c r="I53" s="11">
        <v>18765</v>
      </c>
      <c r="J53" s="11">
        <v>18612</v>
      </c>
      <c r="K53" s="11">
        <v>17670</v>
      </c>
      <c r="L53" s="11">
        <v>30382</v>
      </c>
      <c r="M53" s="11">
        <v>33335</v>
      </c>
      <c r="N53" s="11">
        <v>34088</v>
      </c>
      <c r="O53" s="11">
        <v>35580</v>
      </c>
      <c r="P53" s="11">
        <v>37444</v>
      </c>
      <c r="Q53" s="11">
        <v>39084</v>
      </c>
      <c r="R53" s="11">
        <v>38046</v>
      </c>
      <c r="S53" s="11">
        <v>36031</v>
      </c>
      <c r="T53" s="11">
        <v>37302</v>
      </c>
      <c r="U53" s="11">
        <v>37627</v>
      </c>
      <c r="V53" s="11">
        <v>31847</v>
      </c>
      <c r="W53" s="11">
        <v>35704</v>
      </c>
      <c r="X53" s="11">
        <v>36207</v>
      </c>
      <c r="Y53" s="11">
        <v>35370</v>
      </c>
      <c r="Z53" s="11">
        <v>33673</v>
      </c>
      <c r="AA53" s="11">
        <v>28676</v>
      </c>
      <c r="AB53" s="11">
        <v>25057</v>
      </c>
      <c r="AC53" s="77"/>
      <c r="AG53" s="15"/>
      <c r="AH53" s="15"/>
      <c r="AI53" s="15"/>
      <c r="AJ53" s="15"/>
      <c r="AK53" s="15"/>
      <c r="AL53" s="15"/>
      <c r="AM53" s="15"/>
      <c r="AN53" s="15"/>
      <c r="AO53" s="15"/>
      <c r="AP53" s="15"/>
      <c r="AQ53" s="15"/>
      <c r="AR53" s="15"/>
      <c r="AS53" s="15"/>
      <c r="AT53" s="15"/>
      <c r="AU53" s="15"/>
      <c r="AV53" s="15"/>
      <c r="AW53" s="15"/>
      <c r="AX53" s="15"/>
      <c r="AY53" s="15"/>
      <c r="AZ53" s="15"/>
      <c r="BA53" s="15"/>
      <c r="BB53" s="15"/>
      <c r="BC53" s="15"/>
      <c r="BD53" s="15"/>
    </row>
    <row r="54" spans="2:56" ht="18.649999999999999" customHeight="1" x14ac:dyDescent="0.25">
      <c r="B54" s="70" t="s">
        <v>43</v>
      </c>
      <c r="C54" s="4" t="s">
        <v>32</v>
      </c>
      <c r="D54" s="5">
        <v>2</v>
      </c>
      <c r="E54" s="11">
        <v>22596</v>
      </c>
      <c r="F54" s="11">
        <v>21237</v>
      </c>
      <c r="G54" s="11">
        <v>19894</v>
      </c>
      <c r="H54" s="11">
        <v>19208</v>
      </c>
      <c r="I54" s="11">
        <v>18183</v>
      </c>
      <c r="J54" s="11">
        <v>17516</v>
      </c>
      <c r="K54" s="11">
        <v>16503</v>
      </c>
      <c r="L54" s="11">
        <v>25879</v>
      </c>
      <c r="M54" s="11">
        <v>26752</v>
      </c>
      <c r="N54" s="11">
        <v>27890</v>
      </c>
      <c r="O54" s="11">
        <v>30488</v>
      </c>
      <c r="P54" s="11">
        <v>32550</v>
      </c>
      <c r="Q54" s="11">
        <v>34332</v>
      </c>
      <c r="R54" s="11">
        <v>34977</v>
      </c>
      <c r="S54" s="11">
        <v>34105</v>
      </c>
      <c r="T54" s="11">
        <v>34883</v>
      </c>
      <c r="U54" s="11">
        <v>35542</v>
      </c>
      <c r="V54" s="11">
        <v>30487</v>
      </c>
      <c r="W54" s="11">
        <v>33901</v>
      </c>
      <c r="X54" s="11">
        <v>34884</v>
      </c>
      <c r="Y54" s="11">
        <v>32980</v>
      </c>
      <c r="Z54" s="11">
        <v>30589</v>
      </c>
      <c r="AA54" s="11">
        <v>26013</v>
      </c>
      <c r="AB54" s="11">
        <v>22162</v>
      </c>
      <c r="AC54" s="78"/>
      <c r="AG54" s="15"/>
      <c r="AH54" s="15"/>
      <c r="AI54" s="15"/>
      <c r="AJ54" s="15"/>
      <c r="AK54" s="15"/>
      <c r="AL54" s="15"/>
      <c r="AM54" s="15"/>
      <c r="AN54" s="15"/>
      <c r="AO54" s="15"/>
      <c r="AP54" s="15"/>
      <c r="AQ54" s="15"/>
      <c r="AR54" s="15"/>
      <c r="AS54" s="15"/>
      <c r="AT54" s="15"/>
      <c r="AU54" s="15"/>
      <c r="AV54" s="15"/>
      <c r="AW54" s="15"/>
      <c r="AX54" s="15"/>
      <c r="AY54" s="15"/>
      <c r="AZ54" s="15"/>
      <c r="BA54" s="15"/>
      <c r="BB54" s="15"/>
      <c r="BC54" s="15"/>
      <c r="BD54" s="15"/>
    </row>
    <row r="55" spans="2:56" ht="18.649999999999999" customHeight="1" x14ac:dyDescent="0.25">
      <c r="E55" s="12"/>
      <c r="F55" s="12"/>
      <c r="G55" s="12"/>
      <c r="H55" s="12"/>
      <c r="I55" s="12"/>
      <c r="J55" s="12"/>
      <c r="K55" s="12"/>
      <c r="L55" s="12"/>
      <c r="M55" s="12"/>
      <c r="N55" s="12"/>
      <c r="O55" s="12"/>
      <c r="P55" s="12"/>
      <c r="Q55" s="12"/>
      <c r="R55" s="12"/>
      <c r="S55" s="12"/>
      <c r="T55" s="12"/>
      <c r="U55" s="12"/>
      <c r="V55" s="12"/>
      <c r="W55" s="12"/>
      <c r="X55" s="12"/>
      <c r="Y55" s="12"/>
      <c r="Z55" s="80" t="s">
        <v>46</v>
      </c>
      <c r="AA55" s="80"/>
      <c r="AB55" s="80"/>
      <c r="AC55" s="13">
        <f>SUM(AC7:AC54)</f>
        <v>279138245</v>
      </c>
    </row>
    <row r="57" spans="2:56" x14ac:dyDescent="0.25">
      <c r="AC57" s="10"/>
    </row>
  </sheetData>
  <mergeCells count="28">
    <mergeCell ref="B51:B54"/>
    <mergeCell ref="AC51:AC54"/>
    <mergeCell ref="Z55:AB55"/>
    <mergeCell ref="B39:B42"/>
    <mergeCell ref="AC39:AC42"/>
    <mergeCell ref="B43:B46"/>
    <mergeCell ref="AC43:AC46"/>
    <mergeCell ref="B47:B50"/>
    <mergeCell ref="AC47:AC50"/>
    <mergeCell ref="B27:B30"/>
    <mergeCell ref="AC27:AC30"/>
    <mergeCell ref="B31:B34"/>
    <mergeCell ref="AC31:AC34"/>
    <mergeCell ref="B35:B38"/>
    <mergeCell ref="AC35:AC38"/>
    <mergeCell ref="B15:B18"/>
    <mergeCell ref="AC15:AC18"/>
    <mergeCell ref="B19:B22"/>
    <mergeCell ref="AC19:AC22"/>
    <mergeCell ref="B23:B26"/>
    <mergeCell ref="AC23:AC26"/>
    <mergeCell ref="B11:B14"/>
    <mergeCell ref="AC11:AC14"/>
    <mergeCell ref="B2:AC2"/>
    <mergeCell ref="B3:AC3"/>
    <mergeCell ref="B4:AC4"/>
    <mergeCell ref="B7:B10"/>
    <mergeCell ref="AC7:AC10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9F684B-C148-4BE8-9A78-C63500730778}">
  <dimension ref="B1:BD57"/>
  <sheetViews>
    <sheetView showGridLines="0" topLeftCell="H1" zoomScale="70" zoomScaleNormal="70" workbookViewId="0">
      <selection activeCell="A5" sqref="A5:AD56"/>
    </sheetView>
  </sheetViews>
  <sheetFormatPr baseColWidth="10" defaultColWidth="11.453125" defaultRowHeight="11.5" x14ac:dyDescent="0.25"/>
  <cols>
    <col min="1" max="1" width="7.26953125" style="7" customWidth="1"/>
    <col min="2" max="2" width="6.26953125" style="7" bestFit="1" customWidth="1"/>
    <col min="3" max="3" width="11.1796875" style="7" customWidth="1"/>
    <col min="4" max="4" width="7" style="7" customWidth="1"/>
    <col min="5" max="7" width="10.1796875" style="7" bestFit="1" customWidth="1"/>
    <col min="8" max="8" width="9.81640625" style="7" bestFit="1" customWidth="1"/>
    <col min="9" max="9" width="9.7265625" style="7" bestFit="1" customWidth="1"/>
    <col min="10" max="27" width="10.1796875" style="7" bestFit="1" customWidth="1"/>
    <col min="28" max="28" width="10.26953125" style="7" bestFit="1" customWidth="1"/>
    <col min="29" max="29" width="16.7265625" style="7" customWidth="1"/>
    <col min="30" max="30" width="3" style="7" customWidth="1"/>
    <col min="31" max="31" width="14.81640625" style="7" bestFit="1" customWidth="1"/>
    <col min="32" max="257" width="11.453125" style="7"/>
    <col min="258" max="258" width="7" style="7" customWidth="1"/>
    <col min="259" max="259" width="10.7265625" style="7" customWidth="1"/>
    <col min="260" max="260" width="9.26953125" style="7" customWidth="1"/>
    <col min="261" max="284" width="7.26953125" style="7" customWidth="1"/>
    <col min="285" max="285" width="11.26953125" style="7" bestFit="1" customWidth="1"/>
    <col min="286" max="513" width="11.453125" style="7"/>
    <col min="514" max="514" width="7" style="7" customWidth="1"/>
    <col min="515" max="515" width="10.7265625" style="7" customWidth="1"/>
    <col min="516" max="516" width="9.26953125" style="7" customWidth="1"/>
    <col min="517" max="540" width="7.26953125" style="7" customWidth="1"/>
    <col min="541" max="541" width="11.26953125" style="7" bestFit="1" customWidth="1"/>
    <col min="542" max="769" width="11.453125" style="7"/>
    <col min="770" max="770" width="7" style="7" customWidth="1"/>
    <col min="771" max="771" width="10.7265625" style="7" customWidth="1"/>
    <col min="772" max="772" width="9.26953125" style="7" customWidth="1"/>
    <col min="773" max="796" width="7.26953125" style="7" customWidth="1"/>
    <col min="797" max="797" width="11.26953125" style="7" bestFit="1" customWidth="1"/>
    <col min="798" max="1025" width="11.453125" style="7"/>
    <col min="1026" max="1026" width="7" style="7" customWidth="1"/>
    <col min="1027" max="1027" width="10.7265625" style="7" customWidth="1"/>
    <col min="1028" max="1028" width="9.26953125" style="7" customWidth="1"/>
    <col min="1029" max="1052" width="7.26953125" style="7" customWidth="1"/>
    <col min="1053" max="1053" width="11.26953125" style="7" bestFit="1" customWidth="1"/>
    <col min="1054" max="1281" width="11.453125" style="7"/>
    <col min="1282" max="1282" width="7" style="7" customWidth="1"/>
    <col min="1283" max="1283" width="10.7265625" style="7" customWidth="1"/>
    <col min="1284" max="1284" width="9.26953125" style="7" customWidth="1"/>
    <col min="1285" max="1308" width="7.26953125" style="7" customWidth="1"/>
    <col min="1309" max="1309" width="11.26953125" style="7" bestFit="1" customWidth="1"/>
    <col min="1310" max="1537" width="11.453125" style="7"/>
    <col min="1538" max="1538" width="7" style="7" customWidth="1"/>
    <col min="1539" max="1539" width="10.7265625" style="7" customWidth="1"/>
    <col min="1540" max="1540" width="9.26953125" style="7" customWidth="1"/>
    <col min="1541" max="1564" width="7.26953125" style="7" customWidth="1"/>
    <col min="1565" max="1565" width="11.26953125" style="7" bestFit="1" customWidth="1"/>
    <col min="1566" max="1793" width="11.453125" style="7"/>
    <col min="1794" max="1794" width="7" style="7" customWidth="1"/>
    <col min="1795" max="1795" width="10.7265625" style="7" customWidth="1"/>
    <col min="1796" max="1796" width="9.26953125" style="7" customWidth="1"/>
    <col min="1797" max="1820" width="7.26953125" style="7" customWidth="1"/>
    <col min="1821" max="1821" width="11.26953125" style="7" bestFit="1" customWidth="1"/>
    <col min="1822" max="2049" width="11.453125" style="7"/>
    <col min="2050" max="2050" width="7" style="7" customWidth="1"/>
    <col min="2051" max="2051" width="10.7265625" style="7" customWidth="1"/>
    <col min="2052" max="2052" width="9.26953125" style="7" customWidth="1"/>
    <col min="2053" max="2076" width="7.26953125" style="7" customWidth="1"/>
    <col min="2077" max="2077" width="11.26953125" style="7" bestFit="1" customWidth="1"/>
    <col min="2078" max="2305" width="11.453125" style="7"/>
    <col min="2306" max="2306" width="7" style="7" customWidth="1"/>
    <col min="2307" max="2307" width="10.7265625" style="7" customWidth="1"/>
    <col min="2308" max="2308" width="9.26953125" style="7" customWidth="1"/>
    <col min="2309" max="2332" width="7.26953125" style="7" customWidth="1"/>
    <col min="2333" max="2333" width="11.26953125" style="7" bestFit="1" customWidth="1"/>
    <col min="2334" max="2561" width="11.453125" style="7"/>
    <col min="2562" max="2562" width="7" style="7" customWidth="1"/>
    <col min="2563" max="2563" width="10.7265625" style="7" customWidth="1"/>
    <col min="2564" max="2564" width="9.26953125" style="7" customWidth="1"/>
    <col min="2565" max="2588" width="7.26953125" style="7" customWidth="1"/>
    <col min="2589" max="2589" width="11.26953125" style="7" bestFit="1" customWidth="1"/>
    <col min="2590" max="2817" width="11.453125" style="7"/>
    <col min="2818" max="2818" width="7" style="7" customWidth="1"/>
    <col min="2819" max="2819" width="10.7265625" style="7" customWidth="1"/>
    <col min="2820" max="2820" width="9.26953125" style="7" customWidth="1"/>
    <col min="2821" max="2844" width="7.26953125" style="7" customWidth="1"/>
    <col min="2845" max="2845" width="11.26953125" style="7" bestFit="1" customWidth="1"/>
    <col min="2846" max="3073" width="11.453125" style="7"/>
    <col min="3074" max="3074" width="7" style="7" customWidth="1"/>
    <col min="3075" max="3075" width="10.7265625" style="7" customWidth="1"/>
    <col min="3076" max="3076" width="9.26953125" style="7" customWidth="1"/>
    <col min="3077" max="3100" width="7.26953125" style="7" customWidth="1"/>
    <col min="3101" max="3101" width="11.26953125" style="7" bestFit="1" customWidth="1"/>
    <col min="3102" max="3329" width="11.453125" style="7"/>
    <col min="3330" max="3330" width="7" style="7" customWidth="1"/>
    <col min="3331" max="3331" width="10.7265625" style="7" customWidth="1"/>
    <col min="3332" max="3332" width="9.26953125" style="7" customWidth="1"/>
    <col min="3333" max="3356" width="7.26953125" style="7" customWidth="1"/>
    <col min="3357" max="3357" width="11.26953125" style="7" bestFit="1" customWidth="1"/>
    <col min="3358" max="3585" width="11.453125" style="7"/>
    <col min="3586" max="3586" width="7" style="7" customWidth="1"/>
    <col min="3587" max="3587" width="10.7265625" style="7" customWidth="1"/>
    <col min="3588" max="3588" width="9.26953125" style="7" customWidth="1"/>
    <col min="3589" max="3612" width="7.26953125" style="7" customWidth="1"/>
    <col min="3613" max="3613" width="11.26953125" style="7" bestFit="1" customWidth="1"/>
    <col min="3614" max="3841" width="11.453125" style="7"/>
    <col min="3842" max="3842" width="7" style="7" customWidth="1"/>
    <col min="3843" max="3843" width="10.7265625" style="7" customWidth="1"/>
    <col min="3844" max="3844" width="9.26953125" style="7" customWidth="1"/>
    <col min="3845" max="3868" width="7.26953125" style="7" customWidth="1"/>
    <col min="3869" max="3869" width="11.26953125" style="7" bestFit="1" customWidth="1"/>
    <col min="3870" max="4097" width="11.453125" style="7"/>
    <col min="4098" max="4098" width="7" style="7" customWidth="1"/>
    <col min="4099" max="4099" width="10.7265625" style="7" customWidth="1"/>
    <col min="4100" max="4100" width="9.26953125" style="7" customWidth="1"/>
    <col min="4101" max="4124" width="7.26953125" style="7" customWidth="1"/>
    <col min="4125" max="4125" width="11.26953125" style="7" bestFit="1" customWidth="1"/>
    <col min="4126" max="4353" width="11.453125" style="7"/>
    <col min="4354" max="4354" width="7" style="7" customWidth="1"/>
    <col min="4355" max="4355" width="10.7265625" style="7" customWidth="1"/>
    <col min="4356" max="4356" width="9.26953125" style="7" customWidth="1"/>
    <col min="4357" max="4380" width="7.26953125" style="7" customWidth="1"/>
    <col min="4381" max="4381" width="11.26953125" style="7" bestFit="1" customWidth="1"/>
    <col min="4382" max="4609" width="11.453125" style="7"/>
    <col min="4610" max="4610" width="7" style="7" customWidth="1"/>
    <col min="4611" max="4611" width="10.7265625" style="7" customWidth="1"/>
    <col min="4612" max="4612" width="9.26953125" style="7" customWidth="1"/>
    <col min="4613" max="4636" width="7.26953125" style="7" customWidth="1"/>
    <col min="4637" max="4637" width="11.26953125" style="7" bestFit="1" customWidth="1"/>
    <col min="4638" max="4865" width="11.453125" style="7"/>
    <col min="4866" max="4866" width="7" style="7" customWidth="1"/>
    <col min="4867" max="4867" width="10.7265625" style="7" customWidth="1"/>
    <col min="4868" max="4868" width="9.26953125" style="7" customWidth="1"/>
    <col min="4869" max="4892" width="7.26953125" style="7" customWidth="1"/>
    <col min="4893" max="4893" width="11.26953125" style="7" bestFit="1" customWidth="1"/>
    <col min="4894" max="5121" width="11.453125" style="7"/>
    <col min="5122" max="5122" width="7" style="7" customWidth="1"/>
    <col min="5123" max="5123" width="10.7265625" style="7" customWidth="1"/>
    <col min="5124" max="5124" width="9.26953125" style="7" customWidth="1"/>
    <col min="5125" max="5148" width="7.26953125" style="7" customWidth="1"/>
    <col min="5149" max="5149" width="11.26953125" style="7" bestFit="1" customWidth="1"/>
    <col min="5150" max="5377" width="11.453125" style="7"/>
    <col min="5378" max="5378" width="7" style="7" customWidth="1"/>
    <col min="5379" max="5379" width="10.7265625" style="7" customWidth="1"/>
    <col min="5380" max="5380" width="9.26953125" style="7" customWidth="1"/>
    <col min="5381" max="5404" width="7.26953125" style="7" customWidth="1"/>
    <col min="5405" max="5405" width="11.26953125" style="7" bestFit="1" customWidth="1"/>
    <col min="5406" max="5633" width="11.453125" style="7"/>
    <col min="5634" max="5634" width="7" style="7" customWidth="1"/>
    <col min="5635" max="5635" width="10.7265625" style="7" customWidth="1"/>
    <col min="5636" max="5636" width="9.26953125" style="7" customWidth="1"/>
    <col min="5637" max="5660" width="7.26953125" style="7" customWidth="1"/>
    <col min="5661" max="5661" width="11.26953125" style="7" bestFit="1" customWidth="1"/>
    <col min="5662" max="5889" width="11.453125" style="7"/>
    <col min="5890" max="5890" width="7" style="7" customWidth="1"/>
    <col min="5891" max="5891" width="10.7265625" style="7" customWidth="1"/>
    <col min="5892" max="5892" width="9.26953125" style="7" customWidth="1"/>
    <col min="5893" max="5916" width="7.26953125" style="7" customWidth="1"/>
    <col min="5917" max="5917" width="11.26953125" style="7" bestFit="1" customWidth="1"/>
    <col min="5918" max="6145" width="11.453125" style="7"/>
    <col min="6146" max="6146" width="7" style="7" customWidth="1"/>
    <col min="6147" max="6147" width="10.7265625" style="7" customWidth="1"/>
    <col min="6148" max="6148" width="9.26953125" style="7" customWidth="1"/>
    <col min="6149" max="6172" width="7.26953125" style="7" customWidth="1"/>
    <col min="6173" max="6173" width="11.26953125" style="7" bestFit="1" customWidth="1"/>
    <col min="6174" max="6401" width="11.453125" style="7"/>
    <col min="6402" max="6402" width="7" style="7" customWidth="1"/>
    <col min="6403" max="6403" width="10.7265625" style="7" customWidth="1"/>
    <col min="6404" max="6404" width="9.26953125" style="7" customWidth="1"/>
    <col min="6405" max="6428" width="7.26953125" style="7" customWidth="1"/>
    <col min="6429" max="6429" width="11.26953125" style="7" bestFit="1" customWidth="1"/>
    <col min="6430" max="6657" width="11.453125" style="7"/>
    <col min="6658" max="6658" width="7" style="7" customWidth="1"/>
    <col min="6659" max="6659" width="10.7265625" style="7" customWidth="1"/>
    <col min="6660" max="6660" width="9.26953125" style="7" customWidth="1"/>
    <col min="6661" max="6684" width="7.26953125" style="7" customWidth="1"/>
    <col min="6685" max="6685" width="11.26953125" style="7" bestFit="1" customWidth="1"/>
    <col min="6686" max="6913" width="11.453125" style="7"/>
    <col min="6914" max="6914" width="7" style="7" customWidth="1"/>
    <col min="6915" max="6915" width="10.7265625" style="7" customWidth="1"/>
    <col min="6916" max="6916" width="9.26953125" style="7" customWidth="1"/>
    <col min="6917" max="6940" width="7.26953125" style="7" customWidth="1"/>
    <col min="6941" max="6941" width="11.26953125" style="7" bestFit="1" customWidth="1"/>
    <col min="6942" max="7169" width="11.453125" style="7"/>
    <col min="7170" max="7170" width="7" style="7" customWidth="1"/>
    <col min="7171" max="7171" width="10.7265625" style="7" customWidth="1"/>
    <col min="7172" max="7172" width="9.26953125" style="7" customWidth="1"/>
    <col min="7173" max="7196" width="7.26953125" style="7" customWidth="1"/>
    <col min="7197" max="7197" width="11.26953125" style="7" bestFit="1" customWidth="1"/>
    <col min="7198" max="7425" width="11.453125" style="7"/>
    <col min="7426" max="7426" width="7" style="7" customWidth="1"/>
    <col min="7427" max="7427" width="10.7265625" style="7" customWidth="1"/>
    <col min="7428" max="7428" width="9.26953125" style="7" customWidth="1"/>
    <col min="7429" max="7452" width="7.26953125" style="7" customWidth="1"/>
    <col min="7453" max="7453" width="11.26953125" style="7" bestFit="1" customWidth="1"/>
    <col min="7454" max="7681" width="11.453125" style="7"/>
    <col min="7682" max="7682" width="7" style="7" customWidth="1"/>
    <col min="7683" max="7683" width="10.7265625" style="7" customWidth="1"/>
    <col min="7684" max="7684" width="9.26953125" style="7" customWidth="1"/>
    <col min="7685" max="7708" width="7.26953125" style="7" customWidth="1"/>
    <col min="7709" max="7709" width="11.26953125" style="7" bestFit="1" customWidth="1"/>
    <col min="7710" max="7937" width="11.453125" style="7"/>
    <col min="7938" max="7938" width="7" style="7" customWidth="1"/>
    <col min="7939" max="7939" width="10.7265625" style="7" customWidth="1"/>
    <col min="7940" max="7940" width="9.26953125" style="7" customWidth="1"/>
    <col min="7941" max="7964" width="7.26953125" style="7" customWidth="1"/>
    <col min="7965" max="7965" width="11.26953125" style="7" bestFit="1" customWidth="1"/>
    <col min="7966" max="8193" width="11.453125" style="7"/>
    <col min="8194" max="8194" width="7" style="7" customWidth="1"/>
    <col min="8195" max="8195" width="10.7265625" style="7" customWidth="1"/>
    <col min="8196" max="8196" width="9.26953125" style="7" customWidth="1"/>
    <col min="8197" max="8220" width="7.26953125" style="7" customWidth="1"/>
    <col min="8221" max="8221" width="11.26953125" style="7" bestFit="1" customWidth="1"/>
    <col min="8222" max="8449" width="11.453125" style="7"/>
    <col min="8450" max="8450" width="7" style="7" customWidth="1"/>
    <col min="8451" max="8451" width="10.7265625" style="7" customWidth="1"/>
    <col min="8452" max="8452" width="9.26953125" style="7" customWidth="1"/>
    <col min="8453" max="8476" width="7.26953125" style="7" customWidth="1"/>
    <col min="8477" max="8477" width="11.26953125" style="7" bestFit="1" customWidth="1"/>
    <col min="8478" max="8705" width="11.453125" style="7"/>
    <col min="8706" max="8706" width="7" style="7" customWidth="1"/>
    <col min="8707" max="8707" width="10.7265625" style="7" customWidth="1"/>
    <col min="8708" max="8708" width="9.26953125" style="7" customWidth="1"/>
    <col min="8709" max="8732" width="7.26953125" style="7" customWidth="1"/>
    <col min="8733" max="8733" width="11.26953125" style="7" bestFit="1" customWidth="1"/>
    <col min="8734" max="8961" width="11.453125" style="7"/>
    <col min="8962" max="8962" width="7" style="7" customWidth="1"/>
    <col min="8963" max="8963" width="10.7265625" style="7" customWidth="1"/>
    <col min="8964" max="8964" width="9.26953125" style="7" customWidth="1"/>
    <col min="8965" max="8988" width="7.26953125" style="7" customWidth="1"/>
    <col min="8989" max="8989" width="11.26953125" style="7" bestFit="1" customWidth="1"/>
    <col min="8990" max="9217" width="11.453125" style="7"/>
    <col min="9218" max="9218" width="7" style="7" customWidth="1"/>
    <col min="9219" max="9219" width="10.7265625" style="7" customWidth="1"/>
    <col min="9220" max="9220" width="9.26953125" style="7" customWidth="1"/>
    <col min="9221" max="9244" width="7.26953125" style="7" customWidth="1"/>
    <col min="9245" max="9245" width="11.26953125" style="7" bestFit="1" customWidth="1"/>
    <col min="9246" max="9473" width="11.453125" style="7"/>
    <col min="9474" max="9474" width="7" style="7" customWidth="1"/>
    <col min="9475" max="9475" width="10.7265625" style="7" customWidth="1"/>
    <col min="9476" max="9476" width="9.26953125" style="7" customWidth="1"/>
    <col min="9477" max="9500" width="7.26953125" style="7" customWidth="1"/>
    <col min="9501" max="9501" width="11.26953125" style="7" bestFit="1" customWidth="1"/>
    <col min="9502" max="9729" width="11.453125" style="7"/>
    <col min="9730" max="9730" width="7" style="7" customWidth="1"/>
    <col min="9731" max="9731" width="10.7265625" style="7" customWidth="1"/>
    <col min="9732" max="9732" width="9.26953125" style="7" customWidth="1"/>
    <col min="9733" max="9756" width="7.26953125" style="7" customWidth="1"/>
    <col min="9757" max="9757" width="11.26953125" style="7" bestFit="1" customWidth="1"/>
    <col min="9758" max="9985" width="11.453125" style="7"/>
    <col min="9986" max="9986" width="7" style="7" customWidth="1"/>
    <col min="9987" max="9987" width="10.7265625" style="7" customWidth="1"/>
    <col min="9988" max="9988" width="9.26953125" style="7" customWidth="1"/>
    <col min="9989" max="10012" width="7.26953125" style="7" customWidth="1"/>
    <col min="10013" max="10013" width="11.26953125" style="7" bestFit="1" customWidth="1"/>
    <col min="10014" max="10241" width="11.453125" style="7"/>
    <col min="10242" max="10242" width="7" style="7" customWidth="1"/>
    <col min="10243" max="10243" width="10.7265625" style="7" customWidth="1"/>
    <col min="10244" max="10244" width="9.26953125" style="7" customWidth="1"/>
    <col min="10245" max="10268" width="7.26953125" style="7" customWidth="1"/>
    <col min="10269" max="10269" width="11.26953125" style="7" bestFit="1" customWidth="1"/>
    <col min="10270" max="10497" width="11.453125" style="7"/>
    <col min="10498" max="10498" width="7" style="7" customWidth="1"/>
    <col min="10499" max="10499" width="10.7265625" style="7" customWidth="1"/>
    <col min="10500" max="10500" width="9.26953125" style="7" customWidth="1"/>
    <col min="10501" max="10524" width="7.26953125" style="7" customWidth="1"/>
    <col min="10525" max="10525" width="11.26953125" style="7" bestFit="1" customWidth="1"/>
    <col min="10526" max="10753" width="11.453125" style="7"/>
    <col min="10754" max="10754" width="7" style="7" customWidth="1"/>
    <col min="10755" max="10755" width="10.7265625" style="7" customWidth="1"/>
    <col min="10756" max="10756" width="9.26953125" style="7" customWidth="1"/>
    <col min="10757" max="10780" width="7.26953125" style="7" customWidth="1"/>
    <col min="10781" max="10781" width="11.26953125" style="7" bestFit="1" customWidth="1"/>
    <col min="10782" max="11009" width="11.453125" style="7"/>
    <col min="11010" max="11010" width="7" style="7" customWidth="1"/>
    <col min="11011" max="11011" width="10.7265625" style="7" customWidth="1"/>
    <col min="11012" max="11012" width="9.26953125" style="7" customWidth="1"/>
    <col min="11013" max="11036" width="7.26953125" style="7" customWidth="1"/>
    <col min="11037" max="11037" width="11.26953125" style="7" bestFit="1" customWidth="1"/>
    <col min="11038" max="11265" width="11.453125" style="7"/>
    <col min="11266" max="11266" width="7" style="7" customWidth="1"/>
    <col min="11267" max="11267" width="10.7265625" style="7" customWidth="1"/>
    <col min="11268" max="11268" width="9.26953125" style="7" customWidth="1"/>
    <col min="11269" max="11292" width="7.26953125" style="7" customWidth="1"/>
    <col min="11293" max="11293" width="11.26953125" style="7" bestFit="1" customWidth="1"/>
    <col min="11294" max="11521" width="11.453125" style="7"/>
    <col min="11522" max="11522" width="7" style="7" customWidth="1"/>
    <col min="11523" max="11523" width="10.7265625" style="7" customWidth="1"/>
    <col min="11524" max="11524" width="9.26953125" style="7" customWidth="1"/>
    <col min="11525" max="11548" width="7.26953125" style="7" customWidth="1"/>
    <col min="11549" max="11549" width="11.26953125" style="7" bestFit="1" customWidth="1"/>
    <col min="11550" max="11777" width="11.453125" style="7"/>
    <col min="11778" max="11778" width="7" style="7" customWidth="1"/>
    <col min="11779" max="11779" width="10.7265625" style="7" customWidth="1"/>
    <col min="11780" max="11780" width="9.26953125" style="7" customWidth="1"/>
    <col min="11781" max="11804" width="7.26953125" style="7" customWidth="1"/>
    <col min="11805" max="11805" width="11.26953125" style="7" bestFit="1" customWidth="1"/>
    <col min="11806" max="12033" width="11.453125" style="7"/>
    <col min="12034" max="12034" width="7" style="7" customWidth="1"/>
    <col min="12035" max="12035" width="10.7265625" style="7" customWidth="1"/>
    <col min="12036" max="12036" width="9.26953125" style="7" customWidth="1"/>
    <col min="12037" max="12060" width="7.26953125" style="7" customWidth="1"/>
    <col min="12061" max="12061" width="11.26953125" style="7" bestFit="1" customWidth="1"/>
    <col min="12062" max="12289" width="11.453125" style="7"/>
    <col min="12290" max="12290" width="7" style="7" customWidth="1"/>
    <col min="12291" max="12291" width="10.7265625" style="7" customWidth="1"/>
    <col min="12292" max="12292" width="9.26953125" style="7" customWidth="1"/>
    <col min="12293" max="12316" width="7.26953125" style="7" customWidth="1"/>
    <col min="12317" max="12317" width="11.26953125" style="7" bestFit="1" customWidth="1"/>
    <col min="12318" max="12545" width="11.453125" style="7"/>
    <col min="12546" max="12546" width="7" style="7" customWidth="1"/>
    <col min="12547" max="12547" width="10.7265625" style="7" customWidth="1"/>
    <col min="12548" max="12548" width="9.26953125" style="7" customWidth="1"/>
    <col min="12549" max="12572" width="7.26953125" style="7" customWidth="1"/>
    <col min="12573" max="12573" width="11.26953125" style="7" bestFit="1" customWidth="1"/>
    <col min="12574" max="12801" width="11.453125" style="7"/>
    <col min="12802" max="12802" width="7" style="7" customWidth="1"/>
    <col min="12803" max="12803" width="10.7265625" style="7" customWidth="1"/>
    <col min="12804" max="12804" width="9.26953125" style="7" customWidth="1"/>
    <col min="12805" max="12828" width="7.26953125" style="7" customWidth="1"/>
    <col min="12829" max="12829" width="11.26953125" style="7" bestFit="1" customWidth="1"/>
    <col min="12830" max="13057" width="11.453125" style="7"/>
    <col min="13058" max="13058" width="7" style="7" customWidth="1"/>
    <col min="13059" max="13059" width="10.7265625" style="7" customWidth="1"/>
    <col min="13060" max="13060" width="9.26953125" style="7" customWidth="1"/>
    <col min="13061" max="13084" width="7.26953125" style="7" customWidth="1"/>
    <col min="13085" max="13085" width="11.26953125" style="7" bestFit="1" customWidth="1"/>
    <col min="13086" max="13313" width="11.453125" style="7"/>
    <col min="13314" max="13314" width="7" style="7" customWidth="1"/>
    <col min="13315" max="13315" width="10.7265625" style="7" customWidth="1"/>
    <col min="13316" max="13316" width="9.26953125" style="7" customWidth="1"/>
    <col min="13317" max="13340" width="7.26953125" style="7" customWidth="1"/>
    <col min="13341" max="13341" width="11.26953125" style="7" bestFit="1" customWidth="1"/>
    <col min="13342" max="13569" width="11.453125" style="7"/>
    <col min="13570" max="13570" width="7" style="7" customWidth="1"/>
    <col min="13571" max="13571" width="10.7265625" style="7" customWidth="1"/>
    <col min="13572" max="13572" width="9.26953125" style="7" customWidth="1"/>
    <col min="13573" max="13596" width="7.26953125" style="7" customWidth="1"/>
    <col min="13597" max="13597" width="11.26953125" style="7" bestFit="1" customWidth="1"/>
    <col min="13598" max="13825" width="11.453125" style="7"/>
    <col min="13826" max="13826" width="7" style="7" customWidth="1"/>
    <col min="13827" max="13827" width="10.7265625" style="7" customWidth="1"/>
    <col min="13828" max="13828" width="9.26953125" style="7" customWidth="1"/>
    <col min="13829" max="13852" width="7.26953125" style="7" customWidth="1"/>
    <col min="13853" max="13853" width="11.26953125" style="7" bestFit="1" customWidth="1"/>
    <col min="13854" max="14081" width="11.453125" style="7"/>
    <col min="14082" max="14082" width="7" style="7" customWidth="1"/>
    <col min="14083" max="14083" width="10.7265625" style="7" customWidth="1"/>
    <col min="14084" max="14084" width="9.26953125" style="7" customWidth="1"/>
    <col min="14085" max="14108" width="7.26953125" style="7" customWidth="1"/>
    <col min="14109" max="14109" width="11.26953125" style="7" bestFit="1" customWidth="1"/>
    <col min="14110" max="14337" width="11.453125" style="7"/>
    <col min="14338" max="14338" width="7" style="7" customWidth="1"/>
    <col min="14339" max="14339" width="10.7265625" style="7" customWidth="1"/>
    <col min="14340" max="14340" width="9.26953125" style="7" customWidth="1"/>
    <col min="14341" max="14364" width="7.26953125" style="7" customWidth="1"/>
    <col min="14365" max="14365" width="11.26953125" style="7" bestFit="1" customWidth="1"/>
    <col min="14366" max="14593" width="11.453125" style="7"/>
    <col min="14594" max="14594" width="7" style="7" customWidth="1"/>
    <col min="14595" max="14595" width="10.7265625" style="7" customWidth="1"/>
    <col min="14596" max="14596" width="9.26953125" style="7" customWidth="1"/>
    <col min="14597" max="14620" width="7.26953125" style="7" customWidth="1"/>
    <col min="14621" max="14621" width="11.26953125" style="7" bestFit="1" customWidth="1"/>
    <col min="14622" max="14849" width="11.453125" style="7"/>
    <col min="14850" max="14850" width="7" style="7" customWidth="1"/>
    <col min="14851" max="14851" width="10.7265625" style="7" customWidth="1"/>
    <col min="14852" max="14852" width="9.26953125" style="7" customWidth="1"/>
    <col min="14853" max="14876" width="7.26953125" style="7" customWidth="1"/>
    <col min="14877" max="14877" width="11.26953125" style="7" bestFit="1" customWidth="1"/>
    <col min="14878" max="15105" width="11.453125" style="7"/>
    <col min="15106" max="15106" width="7" style="7" customWidth="1"/>
    <col min="15107" max="15107" width="10.7265625" style="7" customWidth="1"/>
    <col min="15108" max="15108" width="9.26953125" style="7" customWidth="1"/>
    <col min="15109" max="15132" width="7.26953125" style="7" customWidth="1"/>
    <col min="15133" max="15133" width="11.26953125" style="7" bestFit="1" customWidth="1"/>
    <col min="15134" max="15361" width="11.453125" style="7"/>
    <col min="15362" max="15362" width="7" style="7" customWidth="1"/>
    <col min="15363" max="15363" width="10.7265625" style="7" customWidth="1"/>
    <col min="15364" max="15364" width="9.26953125" style="7" customWidth="1"/>
    <col min="15365" max="15388" width="7.26953125" style="7" customWidth="1"/>
    <col min="15389" max="15389" width="11.26953125" style="7" bestFit="1" customWidth="1"/>
    <col min="15390" max="15617" width="11.453125" style="7"/>
    <col min="15618" max="15618" width="7" style="7" customWidth="1"/>
    <col min="15619" max="15619" width="10.7265625" style="7" customWidth="1"/>
    <col min="15620" max="15620" width="9.26953125" style="7" customWidth="1"/>
    <col min="15621" max="15644" width="7.26953125" style="7" customWidth="1"/>
    <col min="15645" max="15645" width="11.26953125" style="7" bestFit="1" customWidth="1"/>
    <col min="15646" max="15873" width="11.453125" style="7"/>
    <col min="15874" max="15874" width="7" style="7" customWidth="1"/>
    <col min="15875" max="15875" width="10.7265625" style="7" customWidth="1"/>
    <col min="15876" max="15876" width="9.26953125" style="7" customWidth="1"/>
    <col min="15877" max="15900" width="7.26953125" style="7" customWidth="1"/>
    <col min="15901" max="15901" width="11.26953125" style="7" bestFit="1" customWidth="1"/>
    <col min="15902" max="16129" width="11.453125" style="7"/>
    <col min="16130" max="16130" width="7" style="7" customWidth="1"/>
    <col min="16131" max="16131" width="10.7265625" style="7" customWidth="1"/>
    <col min="16132" max="16132" width="9.26953125" style="7" customWidth="1"/>
    <col min="16133" max="16156" width="7.26953125" style="7" customWidth="1"/>
    <col min="16157" max="16157" width="11.26953125" style="7" bestFit="1" customWidth="1"/>
    <col min="16158" max="16384" width="11.453125" style="7"/>
  </cols>
  <sheetData>
    <row r="1" spans="2:56" ht="18.649999999999999" customHeight="1" x14ac:dyDescent="0.25"/>
    <row r="2" spans="2:56" ht="18.649999999999999" customHeight="1" x14ac:dyDescent="0.25">
      <c r="B2" s="79" t="s">
        <v>45</v>
      </c>
      <c r="C2" s="79"/>
      <c r="D2" s="79"/>
      <c r="E2" s="79"/>
      <c r="F2" s="79"/>
      <c r="G2" s="79"/>
      <c r="H2" s="79"/>
      <c r="I2" s="79"/>
      <c r="J2" s="79"/>
      <c r="K2" s="79"/>
      <c r="L2" s="79"/>
      <c r="M2" s="79"/>
      <c r="N2" s="79"/>
      <c r="O2" s="79"/>
      <c r="P2" s="79"/>
      <c r="Q2" s="79"/>
      <c r="R2" s="79"/>
      <c r="S2" s="79"/>
      <c r="T2" s="79"/>
      <c r="U2" s="79"/>
      <c r="V2" s="79"/>
      <c r="W2" s="79"/>
      <c r="X2" s="79"/>
      <c r="Y2" s="79"/>
      <c r="Z2" s="79"/>
      <c r="AA2" s="79"/>
      <c r="AB2" s="79"/>
      <c r="AC2" s="79"/>
    </row>
    <row r="3" spans="2:56" ht="18.649999999999999" customHeight="1" x14ac:dyDescent="0.25">
      <c r="B3" s="79" t="s">
        <v>44</v>
      </c>
      <c r="C3" s="79"/>
      <c r="D3" s="79"/>
      <c r="E3" s="79"/>
      <c r="F3" s="79"/>
      <c r="G3" s="79"/>
      <c r="H3" s="79"/>
      <c r="I3" s="79"/>
      <c r="J3" s="79"/>
      <c r="K3" s="79"/>
      <c r="L3" s="79"/>
      <c r="M3" s="79"/>
      <c r="N3" s="79"/>
      <c r="O3" s="79"/>
      <c r="P3" s="79"/>
      <c r="Q3" s="79"/>
      <c r="R3" s="79"/>
      <c r="S3" s="79"/>
      <c r="T3" s="79"/>
      <c r="U3" s="79"/>
      <c r="V3" s="79"/>
      <c r="W3" s="79"/>
      <c r="X3" s="79"/>
      <c r="Y3" s="79"/>
      <c r="Z3" s="79"/>
      <c r="AA3" s="79"/>
      <c r="AB3" s="79"/>
      <c r="AC3" s="79"/>
    </row>
    <row r="4" spans="2:56" ht="18.649999999999999" customHeight="1" x14ac:dyDescent="0.25">
      <c r="B4" s="79">
        <v>2031</v>
      </c>
      <c r="C4" s="79"/>
      <c r="D4" s="79"/>
      <c r="E4" s="79"/>
      <c r="F4" s="79"/>
      <c r="G4" s="79"/>
      <c r="H4" s="79"/>
      <c r="I4" s="79"/>
      <c r="J4" s="79"/>
      <c r="K4" s="79"/>
      <c r="L4" s="79"/>
      <c r="M4" s="79"/>
      <c r="N4" s="79"/>
      <c r="O4" s="79"/>
      <c r="P4" s="79"/>
      <c r="Q4" s="79"/>
      <c r="R4" s="79"/>
      <c r="S4" s="79"/>
      <c r="T4" s="79"/>
      <c r="U4" s="79"/>
      <c r="V4" s="79"/>
      <c r="W4" s="79"/>
      <c r="X4" s="79"/>
      <c r="Y4" s="79"/>
      <c r="Z4" s="79"/>
      <c r="AA4" s="79"/>
      <c r="AB4" s="79"/>
      <c r="AC4" s="79"/>
    </row>
    <row r="5" spans="2:56" ht="18.649999999999999" customHeight="1" x14ac:dyDescent="0.25"/>
    <row r="6" spans="2:56" ht="15.5" x14ac:dyDescent="0.25">
      <c r="B6" s="2" t="s">
        <v>0</v>
      </c>
      <c r="C6" s="3" t="s">
        <v>1</v>
      </c>
      <c r="D6" s="2" t="s">
        <v>2</v>
      </c>
      <c r="E6" s="9" t="s">
        <v>3</v>
      </c>
      <c r="F6" s="9" t="s">
        <v>4</v>
      </c>
      <c r="G6" s="9" t="s">
        <v>5</v>
      </c>
      <c r="H6" s="9" t="s">
        <v>6</v>
      </c>
      <c r="I6" s="9" t="s">
        <v>7</v>
      </c>
      <c r="J6" s="9" t="s">
        <v>8</v>
      </c>
      <c r="K6" s="9" t="s">
        <v>9</v>
      </c>
      <c r="L6" s="9" t="s">
        <v>10</v>
      </c>
      <c r="M6" s="9" t="s">
        <v>11</v>
      </c>
      <c r="N6" s="9" t="s">
        <v>12</v>
      </c>
      <c r="O6" s="9" t="s">
        <v>13</v>
      </c>
      <c r="P6" s="9" t="s">
        <v>14</v>
      </c>
      <c r="Q6" s="9" t="s">
        <v>15</v>
      </c>
      <c r="R6" s="9" t="s">
        <v>16</v>
      </c>
      <c r="S6" s="9" t="s">
        <v>17</v>
      </c>
      <c r="T6" s="9" t="s">
        <v>18</v>
      </c>
      <c r="U6" s="9" t="s">
        <v>19</v>
      </c>
      <c r="V6" s="9" t="s">
        <v>20</v>
      </c>
      <c r="W6" s="9" t="s">
        <v>21</v>
      </c>
      <c r="X6" s="9" t="s">
        <v>22</v>
      </c>
      <c r="Y6" s="9" t="s">
        <v>23</v>
      </c>
      <c r="Z6" s="9" t="s">
        <v>24</v>
      </c>
      <c r="AA6" s="9" t="s">
        <v>25</v>
      </c>
      <c r="AB6" s="9" t="s">
        <v>26</v>
      </c>
      <c r="AC6" s="9" t="s">
        <v>27</v>
      </c>
    </row>
    <row r="7" spans="2:56" ht="18.649999999999999" customHeight="1" x14ac:dyDescent="0.25">
      <c r="B7" s="70" t="s">
        <v>28</v>
      </c>
      <c r="C7" s="4" t="s">
        <v>29</v>
      </c>
      <c r="D7" s="5">
        <v>21</v>
      </c>
      <c r="E7" s="11">
        <v>21332</v>
      </c>
      <c r="F7" s="11">
        <v>20155</v>
      </c>
      <c r="G7" s="11">
        <v>19436</v>
      </c>
      <c r="H7" s="11">
        <v>19204</v>
      </c>
      <c r="I7" s="11">
        <v>20566</v>
      </c>
      <c r="J7" s="11">
        <v>24537</v>
      </c>
      <c r="K7" s="11">
        <v>28005</v>
      </c>
      <c r="L7" s="11">
        <v>38858</v>
      </c>
      <c r="M7" s="11">
        <v>39517</v>
      </c>
      <c r="N7" s="11">
        <v>40458</v>
      </c>
      <c r="O7" s="11">
        <v>42063</v>
      </c>
      <c r="P7" s="11">
        <v>44521</v>
      </c>
      <c r="Q7" s="11">
        <v>42849</v>
      </c>
      <c r="R7" s="11">
        <v>41943</v>
      </c>
      <c r="S7" s="11">
        <v>42724</v>
      </c>
      <c r="T7" s="11">
        <v>43358</v>
      </c>
      <c r="U7" s="11">
        <v>43671</v>
      </c>
      <c r="V7" s="11">
        <v>39403</v>
      </c>
      <c r="W7" s="11">
        <v>43030</v>
      </c>
      <c r="X7" s="11">
        <v>44191</v>
      </c>
      <c r="Y7" s="11">
        <v>42050</v>
      </c>
      <c r="Z7" s="11">
        <v>38330</v>
      </c>
      <c r="AA7" s="11">
        <v>32112</v>
      </c>
      <c r="AB7" s="11">
        <v>27691</v>
      </c>
      <c r="AC7" s="76">
        <f>+SUM(E7:AB7)*D7+SUM(E8:AB8)*D8+SUM(E9:AB9)*D9+SUM(E10:AB10)*D10</f>
        <v>25540072</v>
      </c>
      <c r="AE7" s="17">
        <f>+AC7</f>
        <v>25540072</v>
      </c>
      <c r="AG7" s="15"/>
      <c r="AH7" s="15"/>
      <c r="AI7" s="15"/>
      <c r="AJ7" s="15"/>
      <c r="AK7" s="15"/>
      <c r="AL7" s="15"/>
      <c r="AM7" s="15"/>
      <c r="AN7" s="15"/>
      <c r="AO7" s="15"/>
      <c r="AP7" s="15"/>
      <c r="AQ7" s="15"/>
      <c r="AR7" s="15"/>
      <c r="AS7" s="15"/>
      <c r="AT7" s="15"/>
      <c r="AU7" s="15"/>
      <c r="AV7" s="15"/>
      <c r="AW7" s="15"/>
      <c r="AX7" s="15"/>
      <c r="AY7" s="15"/>
      <c r="AZ7" s="15"/>
      <c r="BA7" s="15"/>
      <c r="BB7" s="15"/>
      <c r="BC7" s="15"/>
      <c r="BD7" s="15"/>
    </row>
    <row r="8" spans="2:56" ht="18.649999999999999" customHeight="1" x14ac:dyDescent="0.25">
      <c r="B8" s="70" t="s">
        <v>28</v>
      </c>
      <c r="C8" s="4" t="s">
        <v>30</v>
      </c>
      <c r="D8" s="5">
        <v>4</v>
      </c>
      <c r="E8" s="11">
        <v>22781</v>
      </c>
      <c r="F8" s="11">
        <v>20904</v>
      </c>
      <c r="G8" s="11">
        <v>20036</v>
      </c>
      <c r="H8" s="11">
        <v>19587</v>
      </c>
      <c r="I8" s="11">
        <v>20022</v>
      </c>
      <c r="J8" s="11">
        <v>21366</v>
      </c>
      <c r="K8" s="11">
        <v>23418</v>
      </c>
      <c r="L8" s="11">
        <v>36133</v>
      </c>
      <c r="M8" s="11">
        <v>39036</v>
      </c>
      <c r="N8" s="11">
        <v>40788</v>
      </c>
      <c r="O8" s="11">
        <v>41933</v>
      </c>
      <c r="P8" s="11">
        <v>43616</v>
      </c>
      <c r="Q8" s="11">
        <v>44181</v>
      </c>
      <c r="R8" s="11">
        <v>43205</v>
      </c>
      <c r="S8" s="11">
        <v>42674</v>
      </c>
      <c r="T8" s="11">
        <v>42291</v>
      </c>
      <c r="U8" s="11">
        <v>42682</v>
      </c>
      <c r="V8" s="11">
        <v>38680</v>
      </c>
      <c r="W8" s="11">
        <v>42873</v>
      </c>
      <c r="X8" s="11">
        <v>43899</v>
      </c>
      <c r="Y8" s="11">
        <v>41804</v>
      </c>
      <c r="Z8" s="11">
        <v>38980</v>
      </c>
      <c r="AA8" s="11">
        <v>34501</v>
      </c>
      <c r="AB8" s="11">
        <v>30435</v>
      </c>
      <c r="AC8" s="77"/>
      <c r="AE8" s="17">
        <f>+AC11</f>
        <v>23863988</v>
      </c>
      <c r="AG8" s="15"/>
      <c r="AH8" s="15"/>
      <c r="AI8" s="15"/>
      <c r="AJ8" s="15"/>
      <c r="AK8" s="15"/>
      <c r="AL8" s="15"/>
      <c r="AM8" s="15"/>
      <c r="AN8" s="15"/>
      <c r="AO8" s="15"/>
      <c r="AP8" s="15"/>
      <c r="AQ8" s="15"/>
      <c r="AR8" s="15"/>
      <c r="AS8" s="15"/>
      <c r="AT8" s="15"/>
      <c r="AU8" s="15"/>
      <c r="AV8" s="15"/>
      <c r="AW8" s="15"/>
      <c r="AX8" s="15"/>
      <c r="AY8" s="15"/>
      <c r="AZ8" s="15"/>
      <c r="BA8" s="15"/>
      <c r="BB8" s="15"/>
      <c r="BC8" s="15"/>
      <c r="BD8" s="15"/>
    </row>
    <row r="9" spans="2:56" ht="18.649999999999999" customHeight="1" x14ac:dyDescent="0.25">
      <c r="B9" s="70" t="s">
        <v>28</v>
      </c>
      <c r="C9" s="4" t="s">
        <v>31</v>
      </c>
      <c r="D9" s="5">
        <v>4</v>
      </c>
      <c r="E9" s="11">
        <v>24133</v>
      </c>
      <c r="F9" s="11">
        <v>22292</v>
      </c>
      <c r="G9" s="11">
        <v>21121</v>
      </c>
      <c r="H9" s="11">
        <v>20305</v>
      </c>
      <c r="I9" s="11">
        <v>19981</v>
      </c>
      <c r="J9" s="11">
        <v>19801</v>
      </c>
      <c r="K9" s="11">
        <v>20075</v>
      </c>
      <c r="L9" s="11">
        <v>30218</v>
      </c>
      <c r="M9" s="11">
        <v>33124</v>
      </c>
      <c r="N9" s="11">
        <v>35007</v>
      </c>
      <c r="O9" s="11">
        <v>36862</v>
      </c>
      <c r="P9" s="11">
        <v>38850</v>
      </c>
      <c r="Q9" s="11">
        <v>39676</v>
      </c>
      <c r="R9" s="11">
        <v>38937</v>
      </c>
      <c r="S9" s="11">
        <v>39112</v>
      </c>
      <c r="T9" s="11">
        <v>39589</v>
      </c>
      <c r="U9" s="11">
        <v>39740</v>
      </c>
      <c r="V9" s="11">
        <v>36616</v>
      </c>
      <c r="W9" s="11">
        <v>40431</v>
      </c>
      <c r="X9" s="11">
        <v>41549</v>
      </c>
      <c r="Y9" s="11">
        <v>39684</v>
      </c>
      <c r="Z9" s="11">
        <v>36343</v>
      </c>
      <c r="AA9" s="11">
        <v>31190</v>
      </c>
      <c r="AB9" s="11">
        <v>26757</v>
      </c>
      <c r="AC9" s="77"/>
      <c r="AE9" s="17">
        <f>+AC15</f>
        <v>25133146</v>
      </c>
      <c r="AG9" s="15"/>
      <c r="AH9" s="15"/>
      <c r="AI9" s="15"/>
      <c r="AJ9" s="15"/>
      <c r="AK9" s="15"/>
      <c r="AL9" s="15"/>
      <c r="AM9" s="15"/>
      <c r="AN9" s="15"/>
      <c r="AO9" s="15"/>
      <c r="AP9" s="15"/>
      <c r="AQ9" s="15"/>
      <c r="AR9" s="15"/>
      <c r="AS9" s="15"/>
      <c r="AT9" s="15"/>
      <c r="AU9" s="15"/>
      <c r="AV9" s="15"/>
      <c r="AW9" s="15"/>
      <c r="AX9" s="15"/>
      <c r="AY9" s="15"/>
      <c r="AZ9" s="15"/>
      <c r="BA9" s="15"/>
      <c r="BB9" s="15"/>
      <c r="BC9" s="15"/>
      <c r="BD9" s="15"/>
    </row>
    <row r="10" spans="2:56" ht="18.649999999999999" customHeight="1" x14ac:dyDescent="0.25">
      <c r="B10" s="70" t="s">
        <v>28</v>
      </c>
      <c r="C10" s="4" t="s">
        <v>32</v>
      </c>
      <c r="D10" s="5">
        <v>2</v>
      </c>
      <c r="E10" s="11">
        <v>24274</v>
      </c>
      <c r="F10" s="11">
        <v>22863</v>
      </c>
      <c r="G10" s="11">
        <v>21363</v>
      </c>
      <c r="H10" s="11">
        <v>20801</v>
      </c>
      <c r="I10" s="11">
        <v>20089</v>
      </c>
      <c r="J10" s="11">
        <v>19914</v>
      </c>
      <c r="K10" s="11">
        <v>18650</v>
      </c>
      <c r="L10" s="11">
        <v>27476</v>
      </c>
      <c r="M10" s="11">
        <v>29132</v>
      </c>
      <c r="N10" s="11">
        <v>31211</v>
      </c>
      <c r="O10" s="11">
        <v>33573</v>
      </c>
      <c r="P10" s="11">
        <v>35117</v>
      </c>
      <c r="Q10" s="11">
        <v>36770</v>
      </c>
      <c r="R10" s="11">
        <v>37219</v>
      </c>
      <c r="S10" s="11">
        <v>37331</v>
      </c>
      <c r="T10" s="11">
        <v>37025</v>
      </c>
      <c r="U10" s="11">
        <v>37318</v>
      </c>
      <c r="V10" s="11">
        <v>34978</v>
      </c>
      <c r="W10" s="11">
        <v>39125</v>
      </c>
      <c r="X10" s="11">
        <v>40496</v>
      </c>
      <c r="Y10" s="11">
        <v>39080</v>
      </c>
      <c r="Z10" s="11">
        <v>35241</v>
      </c>
      <c r="AA10" s="11">
        <v>30287</v>
      </c>
      <c r="AB10" s="11">
        <v>26225</v>
      </c>
      <c r="AC10" s="78"/>
      <c r="AE10" s="17">
        <f>+AC19</f>
        <v>25175078</v>
      </c>
      <c r="AG10" s="15"/>
      <c r="AH10" s="15"/>
      <c r="AI10" s="15"/>
      <c r="AJ10" s="15"/>
      <c r="AK10" s="15"/>
      <c r="AL10" s="15"/>
      <c r="AM10" s="15"/>
      <c r="AN10" s="15"/>
      <c r="AO10" s="15"/>
      <c r="AP10" s="15"/>
      <c r="AQ10" s="15"/>
      <c r="AR10" s="15"/>
      <c r="AS10" s="15"/>
      <c r="AT10" s="15"/>
      <c r="AU10" s="15"/>
      <c r="AV10" s="15"/>
      <c r="AW10" s="15"/>
      <c r="AX10" s="15"/>
      <c r="AY10" s="15"/>
      <c r="AZ10" s="15"/>
      <c r="BA10" s="15"/>
      <c r="BB10" s="15"/>
      <c r="BC10" s="15"/>
      <c r="BD10" s="15"/>
    </row>
    <row r="11" spans="2:56" ht="18.649999999999999" customHeight="1" x14ac:dyDescent="0.25">
      <c r="B11" s="70" t="s">
        <v>33</v>
      </c>
      <c r="C11" s="4" t="s">
        <v>29</v>
      </c>
      <c r="D11" s="5">
        <v>20</v>
      </c>
      <c r="E11" s="11">
        <v>21095</v>
      </c>
      <c r="F11" s="11">
        <v>20461</v>
      </c>
      <c r="G11" s="11">
        <v>19732</v>
      </c>
      <c r="H11" s="11">
        <v>20057</v>
      </c>
      <c r="I11" s="11">
        <v>20958</v>
      </c>
      <c r="J11" s="11">
        <v>27967</v>
      </c>
      <c r="K11" s="11">
        <v>31514</v>
      </c>
      <c r="L11" s="11">
        <v>41611</v>
      </c>
      <c r="M11" s="11">
        <v>41494</v>
      </c>
      <c r="N11" s="11">
        <v>42008</v>
      </c>
      <c r="O11" s="11">
        <v>43519</v>
      </c>
      <c r="P11" s="11">
        <v>45062</v>
      </c>
      <c r="Q11" s="11">
        <v>44099</v>
      </c>
      <c r="R11" s="11">
        <v>43884</v>
      </c>
      <c r="S11" s="11">
        <v>44818</v>
      </c>
      <c r="T11" s="11">
        <v>45309</v>
      </c>
      <c r="U11" s="11">
        <v>45188</v>
      </c>
      <c r="V11" s="11">
        <v>39342</v>
      </c>
      <c r="W11" s="11">
        <v>43061</v>
      </c>
      <c r="X11" s="11">
        <v>44694</v>
      </c>
      <c r="Y11" s="11">
        <v>42613</v>
      </c>
      <c r="Z11" s="11">
        <v>38659</v>
      </c>
      <c r="AA11" s="11">
        <v>32707</v>
      </c>
      <c r="AB11" s="11">
        <v>27641</v>
      </c>
      <c r="AC11" s="76">
        <f>+SUM(E11:AB11)*D11+SUM(E12:AB12)*D12+SUM(E13:AB13)*D13+SUM(E14:AB14)*D14</f>
        <v>23863988</v>
      </c>
      <c r="AE11" s="17">
        <f>+AC23</f>
        <v>25029031</v>
      </c>
      <c r="AG11" s="15"/>
      <c r="AH11" s="15"/>
      <c r="AI11" s="15"/>
      <c r="AJ11" s="15"/>
      <c r="AK11" s="15"/>
      <c r="AL11" s="15"/>
      <c r="AM11" s="15"/>
      <c r="AN11" s="15"/>
      <c r="AO11" s="15"/>
      <c r="AP11" s="15"/>
      <c r="AQ11" s="15"/>
      <c r="AR11" s="15"/>
      <c r="AS11" s="15"/>
      <c r="AT11" s="15"/>
      <c r="AU11" s="15"/>
      <c r="AV11" s="15"/>
      <c r="AW11" s="15"/>
      <c r="AX11" s="15"/>
      <c r="AY11" s="15"/>
      <c r="AZ11" s="15"/>
      <c r="BA11" s="15"/>
      <c r="BB11" s="15"/>
      <c r="BC11" s="15"/>
      <c r="BD11" s="15"/>
    </row>
    <row r="12" spans="2:56" ht="18.649999999999999" customHeight="1" x14ac:dyDescent="0.25">
      <c r="B12" s="70" t="s">
        <v>33</v>
      </c>
      <c r="C12" s="4" t="s">
        <v>30</v>
      </c>
      <c r="D12" s="5">
        <v>4</v>
      </c>
      <c r="E12" s="11">
        <v>23006</v>
      </c>
      <c r="F12" s="11">
        <v>21667</v>
      </c>
      <c r="G12" s="11">
        <v>20830</v>
      </c>
      <c r="H12" s="11">
        <v>20393</v>
      </c>
      <c r="I12" s="11">
        <v>20913</v>
      </c>
      <c r="J12" s="11">
        <v>22316</v>
      </c>
      <c r="K12" s="11">
        <v>25141</v>
      </c>
      <c r="L12" s="11">
        <v>38867</v>
      </c>
      <c r="M12" s="11">
        <v>41287</v>
      </c>
      <c r="N12" s="11">
        <v>42522</v>
      </c>
      <c r="O12" s="11">
        <v>43819</v>
      </c>
      <c r="P12" s="11">
        <v>45091</v>
      </c>
      <c r="Q12" s="11">
        <v>44706</v>
      </c>
      <c r="R12" s="11">
        <v>43483</v>
      </c>
      <c r="S12" s="11">
        <v>42922</v>
      </c>
      <c r="T12" s="11">
        <v>42696</v>
      </c>
      <c r="U12" s="11">
        <v>43144</v>
      </c>
      <c r="V12" s="11">
        <v>38509</v>
      </c>
      <c r="W12" s="11">
        <v>41672</v>
      </c>
      <c r="X12" s="11">
        <v>43553</v>
      </c>
      <c r="Y12" s="11">
        <v>41533</v>
      </c>
      <c r="Z12" s="11">
        <v>37761</v>
      </c>
      <c r="AA12" s="11">
        <v>33252</v>
      </c>
      <c r="AB12" s="11">
        <v>28733</v>
      </c>
      <c r="AC12" s="77"/>
      <c r="AE12" s="17">
        <f>+AC27</f>
        <v>25005430</v>
      </c>
      <c r="AG12" s="15"/>
      <c r="AH12" s="15"/>
      <c r="AI12" s="15"/>
      <c r="AJ12" s="15"/>
      <c r="AK12" s="15"/>
      <c r="AL12" s="15"/>
      <c r="AM12" s="15"/>
      <c r="AN12" s="15"/>
      <c r="AO12" s="15"/>
      <c r="AP12" s="15"/>
      <c r="AQ12" s="15"/>
      <c r="AR12" s="15"/>
      <c r="AS12" s="15"/>
      <c r="AT12" s="15"/>
      <c r="AU12" s="15"/>
      <c r="AV12" s="15"/>
      <c r="AW12" s="15"/>
      <c r="AX12" s="15"/>
      <c r="AY12" s="15"/>
      <c r="AZ12" s="15"/>
      <c r="BA12" s="15"/>
      <c r="BB12" s="15"/>
      <c r="BC12" s="15"/>
      <c r="BD12" s="15"/>
    </row>
    <row r="13" spans="2:56" ht="18.649999999999999" customHeight="1" x14ac:dyDescent="0.25">
      <c r="B13" s="70" t="s">
        <v>33</v>
      </c>
      <c r="C13" s="4" t="s">
        <v>31</v>
      </c>
      <c r="D13" s="5">
        <v>4</v>
      </c>
      <c r="E13" s="11">
        <v>23438</v>
      </c>
      <c r="F13" s="11">
        <v>21817</v>
      </c>
      <c r="G13" s="11">
        <v>20706</v>
      </c>
      <c r="H13" s="11">
        <v>20102</v>
      </c>
      <c r="I13" s="11">
        <v>19867</v>
      </c>
      <c r="J13" s="11">
        <v>19916</v>
      </c>
      <c r="K13" s="11">
        <v>20434</v>
      </c>
      <c r="L13" s="11">
        <v>31879</v>
      </c>
      <c r="M13" s="11">
        <v>35176</v>
      </c>
      <c r="N13" s="11">
        <v>37459</v>
      </c>
      <c r="O13" s="11">
        <v>38202</v>
      </c>
      <c r="P13" s="11">
        <v>40194</v>
      </c>
      <c r="Q13" s="11">
        <v>41681</v>
      </c>
      <c r="R13" s="11">
        <v>41574</v>
      </c>
      <c r="S13" s="11">
        <v>40537</v>
      </c>
      <c r="T13" s="11">
        <v>41434</v>
      </c>
      <c r="U13" s="11">
        <v>38906</v>
      </c>
      <c r="V13" s="11">
        <v>35163</v>
      </c>
      <c r="W13" s="11">
        <v>40458</v>
      </c>
      <c r="X13" s="11">
        <v>40333</v>
      </c>
      <c r="Y13" s="11">
        <v>39351</v>
      </c>
      <c r="Z13" s="11">
        <v>35808</v>
      </c>
      <c r="AA13" s="11">
        <v>30471</v>
      </c>
      <c r="AB13" s="11">
        <v>25810</v>
      </c>
      <c r="AC13" s="77"/>
      <c r="AE13" s="17">
        <f>+AC31</f>
        <v>25526198</v>
      </c>
      <c r="AG13" s="15"/>
      <c r="AH13" s="15"/>
      <c r="AI13" s="15"/>
      <c r="AJ13" s="15"/>
      <c r="AK13" s="15"/>
      <c r="AL13" s="15"/>
      <c r="AM13" s="15"/>
      <c r="AN13" s="15"/>
      <c r="AO13" s="15"/>
      <c r="AP13" s="15"/>
      <c r="AQ13" s="15"/>
      <c r="AR13" s="15"/>
      <c r="AS13" s="15"/>
      <c r="AT13" s="15"/>
      <c r="AU13" s="15"/>
      <c r="AV13" s="15"/>
      <c r="AW13" s="15"/>
      <c r="AX13" s="15"/>
      <c r="AY13" s="15"/>
      <c r="AZ13" s="15"/>
      <c r="BA13" s="15"/>
      <c r="BB13" s="15"/>
      <c r="BC13" s="15"/>
      <c r="BD13" s="15"/>
    </row>
    <row r="14" spans="2:56" ht="18.649999999999999" customHeight="1" x14ac:dyDescent="0.25">
      <c r="B14" s="70" t="s">
        <v>33</v>
      </c>
      <c r="C14" s="4" t="s">
        <v>32</v>
      </c>
      <c r="D14" s="5">
        <v>0</v>
      </c>
      <c r="E14" s="11">
        <v>0</v>
      </c>
      <c r="F14" s="11">
        <v>0</v>
      </c>
      <c r="G14" s="11">
        <v>0</v>
      </c>
      <c r="H14" s="11">
        <v>0</v>
      </c>
      <c r="I14" s="11">
        <v>0</v>
      </c>
      <c r="J14" s="11">
        <v>0</v>
      </c>
      <c r="K14" s="11">
        <v>0</v>
      </c>
      <c r="L14" s="11">
        <v>0</v>
      </c>
      <c r="M14" s="11">
        <v>0</v>
      </c>
      <c r="N14" s="11">
        <v>0</v>
      </c>
      <c r="O14" s="11">
        <v>0</v>
      </c>
      <c r="P14" s="11">
        <v>0</v>
      </c>
      <c r="Q14" s="11">
        <v>0</v>
      </c>
      <c r="R14" s="11">
        <v>0</v>
      </c>
      <c r="S14" s="11">
        <v>0</v>
      </c>
      <c r="T14" s="11">
        <v>0</v>
      </c>
      <c r="U14" s="11">
        <v>0</v>
      </c>
      <c r="V14" s="11">
        <v>0</v>
      </c>
      <c r="W14" s="11">
        <v>0</v>
      </c>
      <c r="X14" s="11">
        <v>0</v>
      </c>
      <c r="Y14" s="11">
        <v>0</v>
      </c>
      <c r="Z14" s="11">
        <v>0</v>
      </c>
      <c r="AA14" s="11">
        <v>0</v>
      </c>
      <c r="AB14" s="11">
        <v>0</v>
      </c>
      <c r="AC14" s="78"/>
      <c r="AE14" s="17">
        <f>+AC35</f>
        <v>26065129</v>
      </c>
      <c r="AG14" s="15"/>
      <c r="AH14" s="15"/>
      <c r="AI14" s="15"/>
      <c r="AJ14" s="15"/>
      <c r="AK14" s="15"/>
      <c r="AL14" s="15"/>
      <c r="AM14" s="15"/>
      <c r="AN14" s="15"/>
      <c r="AO14" s="15"/>
      <c r="AP14" s="15"/>
      <c r="AQ14" s="15"/>
      <c r="AR14" s="15"/>
      <c r="AS14" s="15"/>
      <c r="AT14" s="15"/>
      <c r="AU14" s="15"/>
      <c r="AV14" s="15"/>
      <c r="AW14" s="15"/>
      <c r="AX14" s="15"/>
      <c r="AY14" s="15"/>
      <c r="AZ14" s="15"/>
      <c r="BA14" s="15"/>
      <c r="BB14" s="15"/>
      <c r="BC14" s="15"/>
      <c r="BD14" s="15"/>
    </row>
    <row r="15" spans="2:56" ht="18.649999999999999" customHeight="1" x14ac:dyDescent="0.25">
      <c r="B15" s="70" t="s">
        <v>34</v>
      </c>
      <c r="C15" s="4" t="s">
        <v>29</v>
      </c>
      <c r="D15" s="5">
        <v>20</v>
      </c>
      <c r="E15" s="11">
        <v>19942</v>
      </c>
      <c r="F15" s="11">
        <v>18884</v>
      </c>
      <c r="G15" s="11">
        <v>18483</v>
      </c>
      <c r="H15" s="11">
        <v>18442</v>
      </c>
      <c r="I15" s="11">
        <v>20405</v>
      </c>
      <c r="J15" s="11">
        <v>26637</v>
      </c>
      <c r="K15" s="11">
        <v>30135</v>
      </c>
      <c r="L15" s="11">
        <v>39246</v>
      </c>
      <c r="M15" s="11">
        <v>39038</v>
      </c>
      <c r="N15" s="11">
        <v>39667</v>
      </c>
      <c r="O15" s="11">
        <v>40667</v>
      </c>
      <c r="P15" s="11">
        <v>42891</v>
      </c>
      <c r="Q15" s="11">
        <v>41999</v>
      </c>
      <c r="R15" s="11">
        <v>41609</v>
      </c>
      <c r="S15" s="11">
        <v>42536</v>
      </c>
      <c r="T15" s="11">
        <v>42804</v>
      </c>
      <c r="U15" s="11">
        <v>42422</v>
      </c>
      <c r="V15" s="11">
        <v>38236</v>
      </c>
      <c r="W15" s="11">
        <v>41824</v>
      </c>
      <c r="X15" s="11">
        <v>43468</v>
      </c>
      <c r="Y15" s="11">
        <v>41498</v>
      </c>
      <c r="Z15" s="11">
        <v>36756</v>
      </c>
      <c r="AA15" s="11">
        <v>31454</v>
      </c>
      <c r="AB15" s="11">
        <v>26343</v>
      </c>
      <c r="AC15" s="76">
        <f>+SUM(E15:AB15)*D15+SUM(E16:AB16)*D16+SUM(E17:AB17)*D17+SUM(E18:AB18)*D18</f>
        <v>25133146</v>
      </c>
      <c r="AE15" s="17">
        <f>+AC39</f>
        <v>24899520</v>
      </c>
      <c r="AG15" s="15"/>
      <c r="AH15" s="15"/>
      <c r="AI15" s="15"/>
      <c r="AJ15" s="15"/>
      <c r="AK15" s="15"/>
      <c r="AL15" s="15"/>
      <c r="AM15" s="15"/>
      <c r="AN15" s="15"/>
      <c r="AO15" s="15"/>
      <c r="AP15" s="15"/>
      <c r="AQ15" s="15"/>
      <c r="AR15" s="15"/>
      <c r="AS15" s="15"/>
      <c r="AT15" s="15"/>
      <c r="AU15" s="15"/>
      <c r="AV15" s="15"/>
      <c r="AW15" s="15"/>
      <c r="AX15" s="15"/>
      <c r="AY15" s="15"/>
      <c r="AZ15" s="15"/>
      <c r="BA15" s="15"/>
      <c r="BB15" s="15"/>
      <c r="BC15" s="15"/>
      <c r="BD15" s="15"/>
    </row>
    <row r="16" spans="2:56" ht="18.649999999999999" customHeight="1" x14ac:dyDescent="0.25">
      <c r="B16" s="70" t="s">
        <v>34</v>
      </c>
      <c r="C16" s="4" t="s">
        <v>30</v>
      </c>
      <c r="D16" s="5">
        <v>5</v>
      </c>
      <c r="E16" s="11">
        <v>20111</v>
      </c>
      <c r="F16" s="11">
        <v>19888</v>
      </c>
      <c r="G16" s="11">
        <v>19277</v>
      </c>
      <c r="H16" s="11">
        <v>18951</v>
      </c>
      <c r="I16" s="11">
        <v>19696</v>
      </c>
      <c r="J16" s="11">
        <v>21517</v>
      </c>
      <c r="K16" s="11">
        <v>24748</v>
      </c>
      <c r="L16" s="11">
        <v>37695</v>
      </c>
      <c r="M16" s="11">
        <v>39980</v>
      </c>
      <c r="N16" s="11">
        <v>41497</v>
      </c>
      <c r="O16" s="11">
        <v>42326</v>
      </c>
      <c r="P16" s="11">
        <v>42972</v>
      </c>
      <c r="Q16" s="11">
        <v>43074</v>
      </c>
      <c r="R16" s="11">
        <v>41904</v>
      </c>
      <c r="S16" s="11">
        <v>41509</v>
      </c>
      <c r="T16" s="11">
        <v>41374</v>
      </c>
      <c r="U16" s="11">
        <v>41229</v>
      </c>
      <c r="V16" s="11">
        <v>37424</v>
      </c>
      <c r="W16" s="11">
        <v>40066</v>
      </c>
      <c r="X16" s="11">
        <v>42531</v>
      </c>
      <c r="Y16" s="11">
        <v>40656</v>
      </c>
      <c r="Z16" s="11">
        <v>37327</v>
      </c>
      <c r="AA16" s="11">
        <v>32823</v>
      </c>
      <c r="AB16" s="11">
        <v>28399</v>
      </c>
      <c r="AC16" s="77"/>
      <c r="AE16" s="17">
        <f>+AC43</f>
        <v>25960421</v>
      </c>
      <c r="AG16" s="15"/>
      <c r="AH16" s="15"/>
      <c r="AI16" s="15"/>
      <c r="AJ16" s="15"/>
      <c r="AK16" s="15"/>
      <c r="AL16" s="15"/>
      <c r="AM16" s="15"/>
      <c r="AN16" s="15"/>
      <c r="AO16" s="15"/>
      <c r="AP16" s="15"/>
      <c r="AQ16" s="15"/>
      <c r="AR16" s="15"/>
      <c r="AS16" s="15"/>
      <c r="AT16" s="15"/>
      <c r="AU16" s="15"/>
      <c r="AV16" s="15"/>
      <c r="AW16" s="15"/>
      <c r="AX16" s="15"/>
      <c r="AY16" s="15"/>
      <c r="AZ16" s="15"/>
      <c r="BA16" s="15"/>
      <c r="BB16" s="15"/>
      <c r="BC16" s="15"/>
      <c r="BD16" s="15"/>
    </row>
    <row r="17" spans="2:56" ht="18.649999999999999" customHeight="1" x14ac:dyDescent="0.25">
      <c r="B17" s="70" t="s">
        <v>34</v>
      </c>
      <c r="C17" s="4" t="s">
        <v>31</v>
      </c>
      <c r="D17" s="5">
        <v>5</v>
      </c>
      <c r="E17" s="11">
        <v>22180</v>
      </c>
      <c r="F17" s="11">
        <v>20767</v>
      </c>
      <c r="G17" s="11">
        <v>19477</v>
      </c>
      <c r="H17" s="11">
        <v>19408</v>
      </c>
      <c r="I17" s="11">
        <v>19365</v>
      </c>
      <c r="J17" s="11">
        <v>17548</v>
      </c>
      <c r="K17" s="11">
        <v>19321</v>
      </c>
      <c r="L17" s="11">
        <v>30285</v>
      </c>
      <c r="M17" s="11">
        <v>33430</v>
      </c>
      <c r="N17" s="11">
        <v>35087</v>
      </c>
      <c r="O17" s="11">
        <v>36856</v>
      </c>
      <c r="P17" s="11">
        <v>38825</v>
      </c>
      <c r="Q17" s="11">
        <v>39079</v>
      </c>
      <c r="R17" s="11">
        <v>39260</v>
      </c>
      <c r="S17" s="11">
        <v>38444</v>
      </c>
      <c r="T17" s="11">
        <v>37988</v>
      </c>
      <c r="U17" s="11">
        <v>37672</v>
      </c>
      <c r="V17" s="11">
        <v>34479</v>
      </c>
      <c r="W17" s="11">
        <v>37909</v>
      </c>
      <c r="X17" s="11">
        <v>40365</v>
      </c>
      <c r="Y17" s="11">
        <v>39958</v>
      </c>
      <c r="Z17" s="11">
        <v>36126</v>
      </c>
      <c r="AA17" s="11">
        <v>31117</v>
      </c>
      <c r="AB17" s="11">
        <v>26085</v>
      </c>
      <c r="AC17" s="77"/>
      <c r="AE17" s="17">
        <f>+AC47</f>
        <v>25357228</v>
      </c>
      <c r="AG17" s="15"/>
      <c r="AH17" s="15"/>
      <c r="AI17" s="15"/>
      <c r="AJ17" s="15"/>
      <c r="AK17" s="15"/>
      <c r="AL17" s="15"/>
      <c r="AM17" s="15"/>
      <c r="AN17" s="15"/>
      <c r="AO17" s="15"/>
      <c r="AP17" s="15"/>
      <c r="AQ17" s="15"/>
      <c r="AR17" s="15"/>
      <c r="AS17" s="15"/>
      <c r="AT17" s="15"/>
      <c r="AU17" s="15"/>
      <c r="AV17" s="15"/>
      <c r="AW17" s="15"/>
      <c r="AX17" s="15"/>
      <c r="AY17" s="15"/>
      <c r="AZ17" s="15"/>
      <c r="BA17" s="15"/>
      <c r="BB17" s="15"/>
      <c r="BC17" s="15"/>
      <c r="BD17" s="15"/>
    </row>
    <row r="18" spans="2:56" ht="18.649999999999999" customHeight="1" x14ac:dyDescent="0.25">
      <c r="B18" s="70" t="s">
        <v>34</v>
      </c>
      <c r="C18" s="4" t="s">
        <v>32</v>
      </c>
      <c r="D18" s="5">
        <v>1</v>
      </c>
      <c r="E18" s="11">
        <v>22380</v>
      </c>
      <c r="F18" s="11">
        <v>21313</v>
      </c>
      <c r="G18" s="11">
        <v>20258</v>
      </c>
      <c r="H18" s="11">
        <v>19980</v>
      </c>
      <c r="I18" s="11">
        <v>20243</v>
      </c>
      <c r="J18" s="11">
        <v>19989</v>
      </c>
      <c r="K18" s="11">
        <v>20802</v>
      </c>
      <c r="L18" s="11">
        <v>31644</v>
      </c>
      <c r="M18" s="11">
        <v>34040</v>
      </c>
      <c r="N18" s="11">
        <v>36137</v>
      </c>
      <c r="O18" s="11">
        <v>38886</v>
      </c>
      <c r="P18" s="11">
        <v>40616</v>
      </c>
      <c r="Q18" s="11">
        <v>41680</v>
      </c>
      <c r="R18" s="11">
        <v>40709</v>
      </c>
      <c r="S18" s="11">
        <v>40458</v>
      </c>
      <c r="T18" s="11">
        <v>40048</v>
      </c>
      <c r="U18" s="11">
        <v>39725</v>
      </c>
      <c r="V18" s="11">
        <v>36268</v>
      </c>
      <c r="W18" s="11">
        <v>40741</v>
      </c>
      <c r="X18" s="11">
        <v>43198</v>
      </c>
      <c r="Y18" s="11">
        <v>41282</v>
      </c>
      <c r="Z18" s="11">
        <v>37177</v>
      </c>
      <c r="AA18" s="11">
        <v>31331</v>
      </c>
      <c r="AB18" s="11">
        <v>26496</v>
      </c>
      <c r="AC18" s="78"/>
      <c r="AE18" s="17">
        <f>+AC51</f>
        <v>26212931</v>
      </c>
      <c r="AG18" s="15"/>
      <c r="AH18" s="15"/>
      <c r="AI18" s="15"/>
      <c r="AJ18" s="15"/>
      <c r="AK18" s="15"/>
      <c r="AL18" s="15"/>
      <c r="AM18" s="15"/>
      <c r="AN18" s="15"/>
      <c r="AO18" s="15"/>
      <c r="AP18" s="15"/>
      <c r="AQ18" s="15"/>
      <c r="AR18" s="15"/>
      <c r="AS18" s="15"/>
      <c r="AT18" s="15"/>
      <c r="AU18" s="15"/>
      <c r="AV18" s="15"/>
      <c r="AW18" s="15"/>
      <c r="AX18" s="15"/>
      <c r="AY18" s="15"/>
      <c r="AZ18" s="15"/>
      <c r="BA18" s="15"/>
      <c r="BB18" s="15"/>
      <c r="BC18" s="15"/>
      <c r="BD18" s="15"/>
    </row>
    <row r="19" spans="2:56" ht="18.649999999999999" customHeight="1" x14ac:dyDescent="0.3">
      <c r="B19" s="70" t="s">
        <v>35</v>
      </c>
      <c r="C19" s="4" t="s">
        <v>29</v>
      </c>
      <c r="D19" s="5">
        <v>20</v>
      </c>
      <c r="E19" s="11">
        <v>20762</v>
      </c>
      <c r="F19" s="11">
        <v>19738</v>
      </c>
      <c r="G19" s="11">
        <v>19525</v>
      </c>
      <c r="H19" s="11">
        <v>19244</v>
      </c>
      <c r="I19" s="11">
        <v>20950</v>
      </c>
      <c r="J19" s="11">
        <v>26381</v>
      </c>
      <c r="K19" s="11">
        <v>30272</v>
      </c>
      <c r="L19" s="11">
        <v>40257</v>
      </c>
      <c r="M19" s="11">
        <v>40263</v>
      </c>
      <c r="N19" s="11">
        <v>40691</v>
      </c>
      <c r="O19" s="11">
        <v>42700</v>
      </c>
      <c r="P19" s="11">
        <v>44438</v>
      </c>
      <c r="Q19" s="11">
        <v>43786</v>
      </c>
      <c r="R19" s="11">
        <v>43592</v>
      </c>
      <c r="S19" s="11">
        <v>44710</v>
      </c>
      <c r="T19" s="11">
        <v>44676</v>
      </c>
      <c r="U19" s="11">
        <v>44656</v>
      </c>
      <c r="V19" s="11">
        <v>39626</v>
      </c>
      <c r="W19" s="11">
        <v>43317</v>
      </c>
      <c r="X19" s="11">
        <v>44620</v>
      </c>
      <c r="Y19" s="11">
        <v>42860</v>
      </c>
      <c r="Z19" s="11">
        <v>38839</v>
      </c>
      <c r="AA19" s="11">
        <v>32965</v>
      </c>
      <c r="AB19" s="11">
        <v>27676</v>
      </c>
      <c r="AC19" s="76">
        <f>+SUM(E19:AB19)*D19+SUM(E20:AB20)*D20+SUM(E21:AB21)*D21+SUM(E22:AB22)*D22</f>
        <v>25175078</v>
      </c>
      <c r="AE19" s="19">
        <f>SUM(AE7:AE18)</f>
        <v>303768172</v>
      </c>
      <c r="AG19" s="15"/>
      <c r="AH19" s="15"/>
      <c r="AI19" s="15"/>
      <c r="AJ19" s="15"/>
      <c r="AK19" s="15"/>
      <c r="AL19" s="15"/>
      <c r="AM19" s="15"/>
      <c r="AN19" s="15"/>
      <c r="AO19" s="15"/>
      <c r="AP19" s="15"/>
      <c r="AQ19" s="15"/>
      <c r="AR19" s="15"/>
      <c r="AS19" s="15"/>
      <c r="AT19" s="15"/>
      <c r="AU19" s="15"/>
      <c r="AV19" s="15"/>
      <c r="AW19" s="15"/>
      <c r="AX19" s="15"/>
      <c r="AY19" s="15"/>
      <c r="AZ19" s="15"/>
      <c r="BA19" s="15"/>
      <c r="BB19" s="15"/>
      <c r="BC19" s="15"/>
      <c r="BD19" s="15"/>
    </row>
    <row r="20" spans="2:56" ht="18.649999999999999" customHeight="1" x14ac:dyDescent="0.25">
      <c r="B20" s="70" t="s">
        <v>35</v>
      </c>
      <c r="C20" s="4" t="s">
        <v>30</v>
      </c>
      <c r="D20" s="5">
        <v>4</v>
      </c>
      <c r="E20" s="11">
        <v>22240</v>
      </c>
      <c r="F20" s="11">
        <v>20888</v>
      </c>
      <c r="G20" s="11">
        <v>20207</v>
      </c>
      <c r="H20" s="11">
        <v>19917</v>
      </c>
      <c r="I20" s="11">
        <v>20581</v>
      </c>
      <c r="J20" s="11">
        <v>21812</v>
      </c>
      <c r="K20" s="11">
        <v>23244</v>
      </c>
      <c r="L20" s="11">
        <v>37488</v>
      </c>
      <c r="M20" s="11">
        <v>39311</v>
      </c>
      <c r="N20" s="11">
        <v>40850</v>
      </c>
      <c r="O20" s="11">
        <v>42716</v>
      </c>
      <c r="P20" s="11">
        <v>43570</v>
      </c>
      <c r="Q20" s="11">
        <v>44758</v>
      </c>
      <c r="R20" s="11">
        <v>43172</v>
      </c>
      <c r="S20" s="11">
        <v>43147</v>
      </c>
      <c r="T20" s="11">
        <v>43098</v>
      </c>
      <c r="U20" s="11">
        <v>43349</v>
      </c>
      <c r="V20" s="11">
        <v>37730</v>
      </c>
      <c r="W20" s="11">
        <v>43467</v>
      </c>
      <c r="X20" s="11">
        <v>42538</v>
      </c>
      <c r="Y20" s="11">
        <v>40503</v>
      </c>
      <c r="Z20" s="11">
        <v>37943</v>
      </c>
      <c r="AA20" s="11">
        <v>33845</v>
      </c>
      <c r="AB20" s="11">
        <v>31693</v>
      </c>
      <c r="AC20" s="77"/>
      <c r="AG20" s="15"/>
      <c r="AH20" s="15"/>
      <c r="AI20" s="15"/>
      <c r="AJ20" s="15"/>
      <c r="AK20" s="15"/>
      <c r="AL20" s="15"/>
      <c r="AM20" s="15"/>
      <c r="AN20" s="15"/>
      <c r="AO20" s="15"/>
      <c r="AP20" s="15"/>
      <c r="AQ20" s="15"/>
      <c r="AR20" s="15"/>
      <c r="AS20" s="15"/>
      <c r="AT20" s="15"/>
      <c r="AU20" s="15"/>
      <c r="AV20" s="15"/>
      <c r="AW20" s="15"/>
      <c r="AX20" s="15"/>
      <c r="AY20" s="15"/>
      <c r="AZ20" s="15"/>
      <c r="BA20" s="15"/>
      <c r="BB20" s="15"/>
      <c r="BC20" s="15"/>
      <c r="BD20" s="15"/>
    </row>
    <row r="21" spans="2:56" ht="18.649999999999999" customHeight="1" x14ac:dyDescent="0.25">
      <c r="B21" s="70" t="s">
        <v>35</v>
      </c>
      <c r="C21" s="4" t="s">
        <v>31</v>
      </c>
      <c r="D21" s="5">
        <v>4</v>
      </c>
      <c r="E21" s="11">
        <v>23494</v>
      </c>
      <c r="F21" s="11">
        <v>21626</v>
      </c>
      <c r="G21" s="11">
        <v>20404</v>
      </c>
      <c r="H21" s="11">
        <v>19959</v>
      </c>
      <c r="I21" s="11">
        <v>19310</v>
      </c>
      <c r="J21" s="11">
        <v>19350</v>
      </c>
      <c r="K21" s="11">
        <v>20393</v>
      </c>
      <c r="L21" s="11">
        <v>31293</v>
      </c>
      <c r="M21" s="11">
        <v>34915</v>
      </c>
      <c r="N21" s="11">
        <v>36650</v>
      </c>
      <c r="O21" s="11">
        <v>38314</v>
      </c>
      <c r="P21" s="11">
        <v>39049</v>
      </c>
      <c r="Q21" s="11">
        <v>40277</v>
      </c>
      <c r="R21" s="11">
        <v>40024</v>
      </c>
      <c r="S21" s="11">
        <v>39448</v>
      </c>
      <c r="T21" s="11">
        <v>38725</v>
      </c>
      <c r="U21" s="11">
        <v>39629</v>
      </c>
      <c r="V21" s="11">
        <v>36181</v>
      </c>
      <c r="W21" s="11">
        <v>40019</v>
      </c>
      <c r="X21" s="11">
        <v>41434</v>
      </c>
      <c r="Y21" s="11">
        <v>40346</v>
      </c>
      <c r="Z21" s="11">
        <v>37268</v>
      </c>
      <c r="AA21" s="11">
        <v>32820</v>
      </c>
      <c r="AB21" s="11">
        <v>26508</v>
      </c>
      <c r="AC21" s="77"/>
      <c r="AG21" s="15"/>
      <c r="AH21" s="15"/>
      <c r="AI21" s="15"/>
      <c r="AJ21" s="15"/>
      <c r="AK21" s="15"/>
      <c r="AL21" s="15"/>
      <c r="AM21" s="15"/>
      <c r="AN21" s="15"/>
      <c r="AO21" s="15"/>
      <c r="AP21" s="15"/>
      <c r="AQ21" s="15"/>
      <c r="AR21" s="15"/>
      <c r="AS21" s="15"/>
      <c r="AT21" s="15"/>
      <c r="AU21" s="15"/>
      <c r="AV21" s="15"/>
      <c r="AW21" s="15"/>
      <c r="AX21" s="15"/>
      <c r="AY21" s="15"/>
      <c r="AZ21" s="15"/>
      <c r="BA21" s="15"/>
      <c r="BB21" s="15"/>
      <c r="BC21" s="15"/>
      <c r="BD21" s="15"/>
    </row>
    <row r="22" spans="2:56" ht="18.649999999999999" customHeight="1" x14ac:dyDescent="0.25">
      <c r="B22" s="70" t="s">
        <v>35</v>
      </c>
      <c r="C22" s="4" t="s">
        <v>32</v>
      </c>
      <c r="D22" s="5">
        <v>2</v>
      </c>
      <c r="E22" s="11">
        <v>24069</v>
      </c>
      <c r="F22" s="11">
        <v>22178</v>
      </c>
      <c r="G22" s="11">
        <v>21459</v>
      </c>
      <c r="H22" s="11">
        <v>20815</v>
      </c>
      <c r="I22" s="11">
        <v>20799</v>
      </c>
      <c r="J22" s="11">
        <v>20942</v>
      </c>
      <c r="K22" s="11">
        <v>21891</v>
      </c>
      <c r="L22" s="11">
        <v>33799</v>
      </c>
      <c r="M22" s="11">
        <v>36202</v>
      </c>
      <c r="N22" s="11">
        <v>37049</v>
      </c>
      <c r="O22" s="11">
        <v>36961</v>
      </c>
      <c r="P22" s="11">
        <v>39428</v>
      </c>
      <c r="Q22" s="11">
        <v>40692</v>
      </c>
      <c r="R22" s="11">
        <v>39958</v>
      </c>
      <c r="S22" s="11">
        <v>39580</v>
      </c>
      <c r="T22" s="11">
        <v>39053</v>
      </c>
      <c r="U22" s="11">
        <v>39172</v>
      </c>
      <c r="V22" s="11">
        <v>36047</v>
      </c>
      <c r="W22" s="11">
        <v>39893</v>
      </c>
      <c r="X22" s="11">
        <v>40842</v>
      </c>
      <c r="Y22" s="11">
        <v>39242</v>
      </c>
      <c r="Z22" s="11">
        <v>37295</v>
      </c>
      <c r="AA22" s="11">
        <v>34223</v>
      </c>
      <c r="AB22" s="11">
        <v>29504</v>
      </c>
      <c r="AC22" s="78"/>
      <c r="AG22" s="15"/>
      <c r="AH22" s="15"/>
      <c r="AI22" s="15"/>
      <c r="AJ22" s="15"/>
      <c r="AK22" s="15"/>
      <c r="AL22" s="15"/>
      <c r="AM22" s="15"/>
      <c r="AN22" s="15"/>
      <c r="AO22" s="15"/>
      <c r="AP22" s="15"/>
      <c r="AQ22" s="15"/>
      <c r="AR22" s="15"/>
      <c r="AS22" s="15"/>
      <c r="AT22" s="15"/>
      <c r="AU22" s="15"/>
      <c r="AV22" s="15"/>
      <c r="AW22" s="15"/>
      <c r="AX22" s="15"/>
      <c r="AY22" s="15"/>
      <c r="AZ22" s="15"/>
      <c r="BA22" s="15"/>
      <c r="BB22" s="15"/>
      <c r="BC22" s="15"/>
      <c r="BD22" s="15"/>
    </row>
    <row r="23" spans="2:56" ht="18.649999999999999" customHeight="1" x14ac:dyDescent="0.25">
      <c r="B23" s="70" t="s">
        <v>36</v>
      </c>
      <c r="C23" s="4" t="s">
        <v>29</v>
      </c>
      <c r="D23" s="5">
        <v>20</v>
      </c>
      <c r="E23" s="11">
        <v>19971</v>
      </c>
      <c r="F23" s="11">
        <v>18957</v>
      </c>
      <c r="G23" s="11">
        <v>18375</v>
      </c>
      <c r="H23" s="11">
        <v>18506</v>
      </c>
      <c r="I23" s="11">
        <v>20343</v>
      </c>
      <c r="J23" s="11">
        <v>26010</v>
      </c>
      <c r="K23" s="11">
        <v>29653</v>
      </c>
      <c r="L23" s="11">
        <v>39021</v>
      </c>
      <c r="M23" s="11">
        <v>38930</v>
      </c>
      <c r="N23" s="11">
        <v>38887</v>
      </c>
      <c r="O23" s="11">
        <v>40381</v>
      </c>
      <c r="P23" s="11">
        <v>42847</v>
      </c>
      <c r="Q23" s="11">
        <v>42043</v>
      </c>
      <c r="R23" s="11">
        <v>41978</v>
      </c>
      <c r="S23" s="11">
        <v>43058</v>
      </c>
      <c r="T23" s="11">
        <v>43020</v>
      </c>
      <c r="U23" s="11">
        <v>42847</v>
      </c>
      <c r="V23" s="11">
        <v>38422</v>
      </c>
      <c r="W23" s="11">
        <v>41786</v>
      </c>
      <c r="X23" s="11">
        <v>43133</v>
      </c>
      <c r="Y23" s="11">
        <v>41131</v>
      </c>
      <c r="Z23" s="11">
        <v>37268</v>
      </c>
      <c r="AA23" s="11">
        <v>31755</v>
      </c>
      <c r="AB23" s="11">
        <v>26676</v>
      </c>
      <c r="AC23" s="76">
        <f>+SUM(E23:AB23)*D23+SUM(E24:AB24)*D24+SUM(E25:AB25)*D25+SUM(E26:AB26)*D26</f>
        <v>25029031</v>
      </c>
      <c r="AG23" s="15"/>
      <c r="AH23" s="15"/>
      <c r="AI23" s="15"/>
      <c r="AJ23" s="15"/>
      <c r="AK23" s="15"/>
      <c r="AL23" s="15"/>
      <c r="AM23" s="15"/>
      <c r="AN23" s="15"/>
      <c r="AO23" s="15"/>
      <c r="AP23" s="15"/>
      <c r="AQ23" s="15"/>
      <c r="AR23" s="15"/>
      <c r="AS23" s="15"/>
      <c r="AT23" s="15"/>
      <c r="AU23" s="15"/>
      <c r="AV23" s="15"/>
      <c r="AW23" s="15"/>
      <c r="AX23" s="15"/>
      <c r="AY23" s="15"/>
      <c r="AZ23" s="15"/>
      <c r="BA23" s="15"/>
      <c r="BB23" s="15"/>
      <c r="BC23" s="15"/>
      <c r="BD23" s="15"/>
    </row>
    <row r="24" spans="2:56" ht="18.649999999999999" customHeight="1" x14ac:dyDescent="0.25">
      <c r="B24" s="70" t="s">
        <v>36</v>
      </c>
      <c r="C24" s="4" t="s">
        <v>30</v>
      </c>
      <c r="D24" s="5">
        <v>5</v>
      </c>
      <c r="E24" s="11">
        <v>21627</v>
      </c>
      <c r="F24" s="11">
        <v>19821</v>
      </c>
      <c r="G24" s="11">
        <v>19265</v>
      </c>
      <c r="H24" s="11">
        <v>19022</v>
      </c>
      <c r="I24" s="11">
        <v>19612</v>
      </c>
      <c r="J24" s="11">
        <v>20650</v>
      </c>
      <c r="K24" s="11">
        <v>23661</v>
      </c>
      <c r="L24" s="11">
        <v>36569</v>
      </c>
      <c r="M24" s="11">
        <v>39084</v>
      </c>
      <c r="N24" s="11">
        <v>40512</v>
      </c>
      <c r="O24" s="11">
        <v>41464</v>
      </c>
      <c r="P24" s="11">
        <v>42182</v>
      </c>
      <c r="Q24" s="11">
        <v>42400</v>
      </c>
      <c r="R24" s="11">
        <v>41085</v>
      </c>
      <c r="S24" s="11">
        <v>40472</v>
      </c>
      <c r="T24" s="11">
        <v>40254</v>
      </c>
      <c r="U24" s="11">
        <v>40311</v>
      </c>
      <c r="V24" s="11">
        <v>36590</v>
      </c>
      <c r="W24" s="11">
        <v>40013</v>
      </c>
      <c r="X24" s="11">
        <v>41679</v>
      </c>
      <c r="Y24" s="11">
        <v>39764</v>
      </c>
      <c r="Z24" s="11">
        <v>36975</v>
      </c>
      <c r="AA24" s="11">
        <v>32631</v>
      </c>
      <c r="AB24" s="11">
        <v>28232</v>
      </c>
      <c r="AC24" s="77"/>
      <c r="AG24" s="15"/>
      <c r="AH24" s="15"/>
      <c r="AI24" s="15"/>
      <c r="AJ24" s="15"/>
      <c r="AK24" s="15"/>
      <c r="AL24" s="15"/>
      <c r="AM24" s="15"/>
      <c r="AN24" s="15"/>
      <c r="AO24" s="15"/>
      <c r="AP24" s="15"/>
      <c r="AQ24" s="15"/>
      <c r="AR24" s="15"/>
      <c r="AS24" s="15"/>
      <c r="AT24" s="15"/>
      <c r="AU24" s="15"/>
      <c r="AV24" s="15"/>
      <c r="AW24" s="15"/>
      <c r="AX24" s="15"/>
      <c r="AY24" s="15"/>
      <c r="AZ24" s="15"/>
      <c r="BA24" s="15"/>
      <c r="BB24" s="15"/>
      <c r="BC24" s="15"/>
      <c r="BD24" s="15"/>
    </row>
    <row r="25" spans="2:56" ht="18.649999999999999" customHeight="1" x14ac:dyDescent="0.25">
      <c r="B25" s="70" t="s">
        <v>36</v>
      </c>
      <c r="C25" s="4" t="s">
        <v>31</v>
      </c>
      <c r="D25" s="5">
        <v>4</v>
      </c>
      <c r="E25" s="11">
        <v>22051</v>
      </c>
      <c r="F25" s="11">
        <v>20642</v>
      </c>
      <c r="G25" s="11">
        <v>19097</v>
      </c>
      <c r="H25" s="11">
        <v>18647</v>
      </c>
      <c r="I25" s="11">
        <v>18122</v>
      </c>
      <c r="J25" s="11">
        <v>18099</v>
      </c>
      <c r="K25" s="11">
        <v>19267</v>
      </c>
      <c r="L25" s="11">
        <v>30586</v>
      </c>
      <c r="M25" s="11">
        <v>33690</v>
      </c>
      <c r="N25" s="11">
        <v>35606</v>
      </c>
      <c r="O25" s="11">
        <v>37003</v>
      </c>
      <c r="P25" s="11">
        <v>37751</v>
      </c>
      <c r="Q25" s="11">
        <v>38265</v>
      </c>
      <c r="R25" s="11">
        <v>37432</v>
      </c>
      <c r="S25" s="11">
        <v>36758</v>
      </c>
      <c r="T25" s="11">
        <v>36835</v>
      </c>
      <c r="U25" s="11">
        <v>37973</v>
      </c>
      <c r="V25" s="11">
        <v>32253</v>
      </c>
      <c r="W25" s="11">
        <v>37788</v>
      </c>
      <c r="X25" s="11">
        <v>39295</v>
      </c>
      <c r="Y25" s="11">
        <v>38115</v>
      </c>
      <c r="Z25" s="11">
        <v>34819</v>
      </c>
      <c r="AA25" s="11">
        <v>29701</v>
      </c>
      <c r="AB25" s="11">
        <v>24751</v>
      </c>
      <c r="AC25" s="77"/>
      <c r="AG25" s="15"/>
      <c r="AH25" s="15"/>
      <c r="AI25" s="15"/>
      <c r="AJ25" s="15"/>
      <c r="AK25" s="15"/>
      <c r="AL25" s="15"/>
      <c r="AM25" s="15"/>
      <c r="AN25" s="15"/>
      <c r="AO25" s="15"/>
      <c r="AP25" s="15"/>
      <c r="AQ25" s="15"/>
      <c r="AR25" s="15"/>
      <c r="AS25" s="15"/>
      <c r="AT25" s="15"/>
      <c r="AU25" s="15"/>
      <c r="AV25" s="15"/>
      <c r="AW25" s="15"/>
      <c r="AX25" s="15"/>
      <c r="AY25" s="15"/>
      <c r="AZ25" s="15"/>
      <c r="BA25" s="15"/>
      <c r="BB25" s="15"/>
      <c r="BC25" s="15"/>
      <c r="BD25" s="15"/>
    </row>
    <row r="26" spans="2:56" ht="18.649999999999999" customHeight="1" x14ac:dyDescent="0.25">
      <c r="B26" s="70" t="s">
        <v>36</v>
      </c>
      <c r="C26" s="4" t="s">
        <v>32</v>
      </c>
      <c r="D26" s="5">
        <v>2</v>
      </c>
      <c r="E26" s="11">
        <v>19457</v>
      </c>
      <c r="F26" s="11">
        <v>19907</v>
      </c>
      <c r="G26" s="11">
        <v>19548</v>
      </c>
      <c r="H26" s="11">
        <v>18651</v>
      </c>
      <c r="I26" s="11">
        <v>19711</v>
      </c>
      <c r="J26" s="11">
        <v>20157</v>
      </c>
      <c r="K26" s="11">
        <v>21623</v>
      </c>
      <c r="L26" s="11">
        <v>33333</v>
      </c>
      <c r="M26" s="11">
        <v>35212</v>
      </c>
      <c r="N26" s="11">
        <v>38042</v>
      </c>
      <c r="O26" s="11">
        <v>40244</v>
      </c>
      <c r="P26" s="11">
        <v>42315</v>
      </c>
      <c r="Q26" s="11">
        <v>43485</v>
      </c>
      <c r="R26" s="11">
        <v>42884</v>
      </c>
      <c r="S26" s="11">
        <v>41085</v>
      </c>
      <c r="T26" s="11">
        <v>40588</v>
      </c>
      <c r="U26" s="11">
        <v>39678</v>
      </c>
      <c r="V26" s="11">
        <v>35974</v>
      </c>
      <c r="W26" s="11">
        <v>40390</v>
      </c>
      <c r="X26" s="11">
        <v>41000</v>
      </c>
      <c r="Y26" s="11">
        <v>39209</v>
      </c>
      <c r="Z26" s="11">
        <v>36130</v>
      </c>
      <c r="AA26" s="11">
        <v>30925</v>
      </c>
      <c r="AB26" s="11">
        <v>26208</v>
      </c>
      <c r="AC26" s="78"/>
      <c r="AG26" s="15"/>
      <c r="AH26" s="15"/>
      <c r="AI26" s="15"/>
      <c r="AJ26" s="15"/>
      <c r="AK26" s="15"/>
      <c r="AL26" s="15"/>
      <c r="AM26" s="15"/>
      <c r="AN26" s="15"/>
      <c r="AO26" s="15"/>
      <c r="AP26" s="15"/>
      <c r="AQ26" s="15"/>
      <c r="AR26" s="15"/>
      <c r="AS26" s="15"/>
      <c r="AT26" s="15"/>
      <c r="AU26" s="15"/>
      <c r="AV26" s="15"/>
      <c r="AW26" s="15"/>
      <c r="AX26" s="15"/>
      <c r="AY26" s="15"/>
      <c r="AZ26" s="15"/>
      <c r="BA26" s="15"/>
      <c r="BB26" s="15"/>
      <c r="BC26" s="15"/>
      <c r="BD26" s="15"/>
    </row>
    <row r="27" spans="2:56" ht="18.649999999999999" customHeight="1" x14ac:dyDescent="0.25">
      <c r="B27" s="70" t="s">
        <v>37</v>
      </c>
      <c r="C27" s="4" t="s">
        <v>29</v>
      </c>
      <c r="D27" s="5">
        <v>18</v>
      </c>
      <c r="E27" s="11">
        <v>21400</v>
      </c>
      <c r="F27" s="11">
        <v>20220</v>
      </c>
      <c r="G27" s="11">
        <v>19725</v>
      </c>
      <c r="H27" s="11">
        <v>19598</v>
      </c>
      <c r="I27" s="11">
        <v>21267</v>
      </c>
      <c r="J27" s="11">
        <v>25718</v>
      </c>
      <c r="K27" s="11">
        <v>29422</v>
      </c>
      <c r="L27" s="11">
        <v>40493</v>
      </c>
      <c r="M27" s="11">
        <v>40566</v>
      </c>
      <c r="N27" s="11">
        <v>41572</v>
      </c>
      <c r="O27" s="11">
        <v>43310</v>
      </c>
      <c r="P27" s="11">
        <v>45015</v>
      </c>
      <c r="Q27" s="11">
        <v>44460</v>
      </c>
      <c r="R27" s="11">
        <v>44137</v>
      </c>
      <c r="S27" s="11">
        <v>45030</v>
      </c>
      <c r="T27" s="11">
        <v>44992</v>
      </c>
      <c r="U27" s="11">
        <v>45152</v>
      </c>
      <c r="V27" s="11">
        <v>39858</v>
      </c>
      <c r="W27" s="11">
        <v>43429</v>
      </c>
      <c r="X27" s="11">
        <v>44760</v>
      </c>
      <c r="Y27" s="11">
        <v>42412</v>
      </c>
      <c r="Z27" s="11">
        <v>38361</v>
      </c>
      <c r="AA27" s="11">
        <v>32778</v>
      </c>
      <c r="AB27" s="11">
        <v>27869</v>
      </c>
      <c r="AC27" s="76">
        <f>+SUM(E27:AB27)*D27+SUM(E28:AB28)*D28+SUM(E29:AB29)*D29+SUM(E30:AB30)*D30</f>
        <v>25005430</v>
      </c>
      <c r="AG27" s="15"/>
      <c r="AH27" s="15"/>
      <c r="AI27" s="15"/>
      <c r="AJ27" s="15"/>
      <c r="AK27" s="15"/>
      <c r="AL27" s="15"/>
      <c r="AM27" s="15"/>
      <c r="AN27" s="15"/>
      <c r="AO27" s="15"/>
      <c r="AP27" s="15"/>
      <c r="AQ27" s="15"/>
      <c r="AR27" s="15"/>
      <c r="AS27" s="15"/>
      <c r="AT27" s="15"/>
      <c r="AU27" s="15"/>
      <c r="AV27" s="15"/>
      <c r="AW27" s="15"/>
      <c r="AX27" s="15"/>
      <c r="AY27" s="15"/>
      <c r="AZ27" s="15"/>
      <c r="BA27" s="15"/>
      <c r="BB27" s="15"/>
      <c r="BC27" s="15"/>
      <c r="BD27" s="15"/>
    </row>
    <row r="28" spans="2:56" ht="18.649999999999999" customHeight="1" x14ac:dyDescent="0.25">
      <c r="B28" s="70" t="s">
        <v>37</v>
      </c>
      <c r="C28" s="4" t="s">
        <v>30</v>
      </c>
      <c r="D28" s="5">
        <v>4</v>
      </c>
      <c r="E28" s="11">
        <v>22171</v>
      </c>
      <c r="F28" s="11">
        <v>20774</v>
      </c>
      <c r="G28" s="11">
        <v>19929</v>
      </c>
      <c r="H28" s="11">
        <v>19509</v>
      </c>
      <c r="I28" s="11">
        <v>20228</v>
      </c>
      <c r="J28" s="11">
        <v>21501</v>
      </c>
      <c r="K28" s="11">
        <v>24273</v>
      </c>
      <c r="L28" s="11">
        <v>37974</v>
      </c>
      <c r="M28" s="11">
        <v>40150</v>
      </c>
      <c r="N28" s="11">
        <v>41416</v>
      </c>
      <c r="O28" s="11">
        <v>42844</v>
      </c>
      <c r="P28" s="11">
        <v>43745</v>
      </c>
      <c r="Q28" s="11">
        <v>43810</v>
      </c>
      <c r="R28" s="11">
        <v>42804</v>
      </c>
      <c r="S28" s="11">
        <v>41819</v>
      </c>
      <c r="T28" s="11">
        <v>41585</v>
      </c>
      <c r="U28" s="11">
        <v>41506</v>
      </c>
      <c r="V28" s="11">
        <v>37446</v>
      </c>
      <c r="W28" s="11">
        <v>40736</v>
      </c>
      <c r="X28" s="11">
        <v>42777</v>
      </c>
      <c r="Y28" s="11">
        <v>40793</v>
      </c>
      <c r="Z28" s="11">
        <v>37627</v>
      </c>
      <c r="AA28" s="11">
        <v>33792</v>
      </c>
      <c r="AB28" s="11">
        <v>29362</v>
      </c>
      <c r="AC28" s="77"/>
      <c r="AG28" s="15"/>
      <c r="AH28" s="15"/>
      <c r="AI28" s="15"/>
      <c r="AJ28" s="15"/>
      <c r="AK28" s="15"/>
      <c r="AL28" s="15"/>
      <c r="AM28" s="15"/>
      <c r="AN28" s="15"/>
      <c r="AO28" s="15"/>
      <c r="AP28" s="15"/>
      <c r="AQ28" s="15"/>
      <c r="AR28" s="15"/>
      <c r="AS28" s="15"/>
      <c r="AT28" s="15"/>
      <c r="AU28" s="15"/>
      <c r="AV28" s="15"/>
      <c r="AW28" s="15"/>
      <c r="AX28" s="15"/>
      <c r="AY28" s="15"/>
      <c r="AZ28" s="15"/>
      <c r="BA28" s="15"/>
      <c r="BB28" s="15"/>
      <c r="BC28" s="15"/>
      <c r="BD28" s="15"/>
    </row>
    <row r="29" spans="2:56" ht="18.649999999999999" customHeight="1" x14ac:dyDescent="0.25">
      <c r="B29" s="70" t="s">
        <v>37</v>
      </c>
      <c r="C29" s="4" t="s">
        <v>31</v>
      </c>
      <c r="D29" s="5">
        <v>5</v>
      </c>
      <c r="E29" s="11">
        <v>23903</v>
      </c>
      <c r="F29" s="11">
        <v>21989</v>
      </c>
      <c r="G29" s="11">
        <v>20884</v>
      </c>
      <c r="H29" s="11">
        <v>20296</v>
      </c>
      <c r="I29" s="11">
        <v>19945</v>
      </c>
      <c r="J29" s="11">
        <v>19584</v>
      </c>
      <c r="K29" s="11">
        <v>20451</v>
      </c>
      <c r="L29" s="11">
        <v>32013</v>
      </c>
      <c r="M29" s="11">
        <v>34895</v>
      </c>
      <c r="N29" s="11">
        <v>37122</v>
      </c>
      <c r="O29" s="11">
        <v>38269</v>
      </c>
      <c r="P29" s="11">
        <v>39244</v>
      </c>
      <c r="Q29" s="11">
        <v>39655</v>
      </c>
      <c r="R29" s="11">
        <v>39269</v>
      </c>
      <c r="S29" s="11">
        <v>38130</v>
      </c>
      <c r="T29" s="11">
        <v>38045</v>
      </c>
      <c r="U29" s="11">
        <v>38400</v>
      </c>
      <c r="V29" s="11">
        <v>34724</v>
      </c>
      <c r="W29" s="11">
        <v>38063</v>
      </c>
      <c r="X29" s="11">
        <v>40481</v>
      </c>
      <c r="Y29" s="11">
        <v>39229</v>
      </c>
      <c r="Z29" s="11">
        <v>36331</v>
      </c>
      <c r="AA29" s="11">
        <v>32110</v>
      </c>
      <c r="AB29" s="11">
        <v>27587</v>
      </c>
      <c r="AC29" s="77"/>
      <c r="AG29" s="15"/>
      <c r="AH29" s="15"/>
      <c r="AI29" s="15"/>
      <c r="AJ29" s="15"/>
      <c r="AK29" s="15"/>
      <c r="AL29" s="15"/>
      <c r="AM29" s="15"/>
      <c r="AN29" s="15"/>
      <c r="AO29" s="15"/>
      <c r="AP29" s="15"/>
      <c r="AQ29" s="15"/>
      <c r="AR29" s="15"/>
      <c r="AS29" s="15"/>
      <c r="AT29" s="15"/>
      <c r="AU29" s="15"/>
      <c r="AV29" s="15"/>
      <c r="AW29" s="15"/>
      <c r="AX29" s="15"/>
      <c r="AY29" s="15"/>
      <c r="AZ29" s="15"/>
      <c r="BA29" s="15"/>
      <c r="BB29" s="15"/>
      <c r="BC29" s="15"/>
      <c r="BD29" s="15"/>
    </row>
    <row r="30" spans="2:56" ht="18.649999999999999" customHeight="1" x14ac:dyDescent="0.25">
      <c r="B30" s="70" t="s">
        <v>37</v>
      </c>
      <c r="C30" s="4" t="s">
        <v>32</v>
      </c>
      <c r="D30" s="5">
        <v>3</v>
      </c>
      <c r="E30" s="11">
        <v>22148</v>
      </c>
      <c r="F30" s="11">
        <v>20756</v>
      </c>
      <c r="G30" s="11">
        <v>19907</v>
      </c>
      <c r="H30" s="11">
        <v>19443</v>
      </c>
      <c r="I30" s="11">
        <v>19540</v>
      </c>
      <c r="J30" s="11">
        <v>19568</v>
      </c>
      <c r="K30" s="11">
        <v>19944</v>
      </c>
      <c r="L30" s="11">
        <v>31509</v>
      </c>
      <c r="M30" s="11">
        <v>33188</v>
      </c>
      <c r="N30" s="11">
        <v>35162</v>
      </c>
      <c r="O30" s="11">
        <v>38339</v>
      </c>
      <c r="P30" s="11">
        <v>40213</v>
      </c>
      <c r="Q30" s="11">
        <v>41767</v>
      </c>
      <c r="R30" s="11">
        <v>41270</v>
      </c>
      <c r="S30" s="11">
        <v>40417</v>
      </c>
      <c r="T30" s="11">
        <v>39943</v>
      </c>
      <c r="U30" s="11">
        <v>39749</v>
      </c>
      <c r="V30" s="11">
        <v>35686</v>
      </c>
      <c r="W30" s="11">
        <v>39337</v>
      </c>
      <c r="X30" s="11">
        <v>41799</v>
      </c>
      <c r="Y30" s="11">
        <v>40374</v>
      </c>
      <c r="Z30" s="11">
        <v>37232</v>
      </c>
      <c r="AA30" s="11">
        <v>32167</v>
      </c>
      <c r="AB30" s="11">
        <v>27295</v>
      </c>
      <c r="AC30" s="78"/>
      <c r="AG30" s="15"/>
      <c r="AH30" s="15"/>
      <c r="AI30" s="15"/>
      <c r="AJ30" s="15"/>
      <c r="AK30" s="15"/>
      <c r="AL30" s="15"/>
      <c r="AM30" s="15"/>
      <c r="AN30" s="15"/>
      <c r="AO30" s="15"/>
      <c r="AP30" s="15"/>
      <c r="AQ30" s="15"/>
      <c r="AR30" s="15"/>
      <c r="AS30" s="15"/>
      <c r="AT30" s="15"/>
      <c r="AU30" s="15"/>
      <c r="AV30" s="15"/>
      <c r="AW30" s="15"/>
      <c r="AX30" s="15"/>
      <c r="AY30" s="15"/>
      <c r="AZ30" s="15"/>
      <c r="BA30" s="15"/>
      <c r="BB30" s="15"/>
      <c r="BC30" s="15"/>
      <c r="BD30" s="15"/>
    </row>
    <row r="31" spans="2:56" ht="18.649999999999999" customHeight="1" x14ac:dyDescent="0.25">
      <c r="B31" s="70" t="s">
        <v>38</v>
      </c>
      <c r="C31" s="4" t="s">
        <v>29</v>
      </c>
      <c r="D31" s="5">
        <v>23</v>
      </c>
      <c r="E31" s="11">
        <v>21022</v>
      </c>
      <c r="F31" s="11">
        <v>19878</v>
      </c>
      <c r="G31" s="11">
        <v>19306</v>
      </c>
      <c r="H31" s="11">
        <v>19280</v>
      </c>
      <c r="I31" s="11">
        <v>20885</v>
      </c>
      <c r="J31" s="11">
        <v>25923</v>
      </c>
      <c r="K31" s="11">
        <v>29364</v>
      </c>
      <c r="L31" s="11">
        <v>38900</v>
      </c>
      <c r="M31" s="11">
        <v>38937</v>
      </c>
      <c r="N31" s="11">
        <v>39743</v>
      </c>
      <c r="O31" s="11">
        <v>40926</v>
      </c>
      <c r="P31" s="11">
        <v>43283</v>
      </c>
      <c r="Q31" s="11">
        <v>42386</v>
      </c>
      <c r="R31" s="11">
        <v>42274</v>
      </c>
      <c r="S31" s="11">
        <v>43178</v>
      </c>
      <c r="T31" s="11">
        <v>43295</v>
      </c>
      <c r="U31" s="11">
        <v>43076</v>
      </c>
      <c r="V31" s="11">
        <v>38562</v>
      </c>
      <c r="W31" s="11">
        <v>41175</v>
      </c>
      <c r="X31" s="11">
        <v>43877</v>
      </c>
      <c r="Y31" s="11">
        <v>41888</v>
      </c>
      <c r="Z31" s="11">
        <v>38014</v>
      </c>
      <c r="AA31" s="11">
        <v>32139</v>
      </c>
      <c r="AB31" s="11">
        <v>27529</v>
      </c>
      <c r="AC31" s="76">
        <f>+SUM(E31:AB31)*D31+SUM(E32:AB32)*D32+SUM(E33:AB33)*D33+SUM(E34:AB34)*D34</f>
        <v>25526198</v>
      </c>
      <c r="AG31" s="15"/>
      <c r="AH31" s="15"/>
      <c r="AI31" s="15"/>
      <c r="AJ31" s="15"/>
      <c r="AK31" s="15"/>
      <c r="AL31" s="15"/>
      <c r="AM31" s="15"/>
      <c r="AN31" s="15"/>
      <c r="AO31" s="15"/>
      <c r="AP31" s="15"/>
      <c r="AQ31" s="15"/>
      <c r="AR31" s="15"/>
      <c r="AS31" s="15"/>
      <c r="AT31" s="15"/>
      <c r="AU31" s="15"/>
      <c r="AV31" s="15"/>
      <c r="AW31" s="15"/>
      <c r="AX31" s="15"/>
      <c r="AY31" s="15"/>
      <c r="AZ31" s="15"/>
      <c r="BA31" s="15"/>
      <c r="BB31" s="15"/>
      <c r="BC31" s="15"/>
      <c r="BD31" s="15"/>
    </row>
    <row r="32" spans="2:56" ht="18.649999999999999" customHeight="1" x14ac:dyDescent="0.25">
      <c r="B32" s="70" t="s">
        <v>38</v>
      </c>
      <c r="C32" s="4" t="s">
        <v>30</v>
      </c>
      <c r="D32" s="5">
        <v>4</v>
      </c>
      <c r="E32" s="11">
        <v>22425</v>
      </c>
      <c r="F32" s="11">
        <v>20983</v>
      </c>
      <c r="G32" s="11">
        <v>20094</v>
      </c>
      <c r="H32" s="11">
        <v>19805</v>
      </c>
      <c r="I32" s="11">
        <v>20218</v>
      </c>
      <c r="J32" s="11">
        <v>21208</v>
      </c>
      <c r="K32" s="11">
        <v>23584</v>
      </c>
      <c r="L32" s="11">
        <v>36646</v>
      </c>
      <c r="M32" s="11">
        <v>38814</v>
      </c>
      <c r="N32" s="11">
        <v>40074</v>
      </c>
      <c r="O32" s="11">
        <v>40941</v>
      </c>
      <c r="P32" s="11">
        <v>42308</v>
      </c>
      <c r="Q32" s="11">
        <v>42741</v>
      </c>
      <c r="R32" s="11">
        <v>41832</v>
      </c>
      <c r="S32" s="11">
        <v>41120</v>
      </c>
      <c r="T32" s="11">
        <v>40378</v>
      </c>
      <c r="U32" s="11">
        <v>39924</v>
      </c>
      <c r="V32" s="11">
        <v>36486</v>
      </c>
      <c r="W32" s="11">
        <v>38780</v>
      </c>
      <c r="X32" s="11">
        <v>41233</v>
      </c>
      <c r="Y32" s="11">
        <v>39177</v>
      </c>
      <c r="Z32" s="11">
        <v>36020</v>
      </c>
      <c r="AA32" s="11">
        <v>31933</v>
      </c>
      <c r="AB32" s="11">
        <v>28093</v>
      </c>
      <c r="AC32" s="77"/>
      <c r="AG32" s="15"/>
      <c r="AH32" s="15"/>
      <c r="AI32" s="15"/>
      <c r="AJ32" s="15"/>
      <c r="AK32" s="15"/>
      <c r="AL32" s="15"/>
      <c r="AM32" s="15"/>
      <c r="AN32" s="15"/>
      <c r="AO32" s="15"/>
      <c r="AP32" s="15"/>
      <c r="AQ32" s="15"/>
      <c r="AR32" s="15"/>
      <c r="AS32" s="15"/>
      <c r="AT32" s="15"/>
      <c r="AU32" s="15"/>
      <c r="AV32" s="15"/>
      <c r="AW32" s="15"/>
      <c r="AX32" s="15"/>
      <c r="AY32" s="15"/>
      <c r="AZ32" s="15"/>
      <c r="BA32" s="15"/>
      <c r="BB32" s="15"/>
      <c r="BC32" s="15"/>
      <c r="BD32" s="15"/>
    </row>
    <row r="33" spans="2:56" ht="18.649999999999999" customHeight="1" x14ac:dyDescent="0.25">
      <c r="B33" s="70" t="s">
        <v>38</v>
      </c>
      <c r="C33" s="4" t="s">
        <v>31</v>
      </c>
      <c r="D33" s="5">
        <v>3</v>
      </c>
      <c r="E33" s="11">
        <v>21818</v>
      </c>
      <c r="F33" s="11">
        <v>20285</v>
      </c>
      <c r="G33" s="11">
        <v>19347</v>
      </c>
      <c r="H33" s="11">
        <v>18862</v>
      </c>
      <c r="I33" s="11">
        <v>18587</v>
      </c>
      <c r="J33" s="11">
        <v>18298</v>
      </c>
      <c r="K33" s="11">
        <v>19221</v>
      </c>
      <c r="L33" s="11">
        <v>29837</v>
      </c>
      <c r="M33" s="11">
        <v>32742</v>
      </c>
      <c r="N33" s="11">
        <v>34262</v>
      </c>
      <c r="O33" s="11">
        <v>35376</v>
      </c>
      <c r="P33" s="11">
        <v>37216</v>
      </c>
      <c r="Q33" s="11">
        <v>37728</v>
      </c>
      <c r="R33" s="11">
        <v>37715</v>
      </c>
      <c r="S33" s="11">
        <v>37097</v>
      </c>
      <c r="T33" s="11">
        <v>36738</v>
      </c>
      <c r="U33" s="11">
        <v>36596</v>
      </c>
      <c r="V33" s="11">
        <v>33298</v>
      </c>
      <c r="W33" s="11">
        <v>36632</v>
      </c>
      <c r="X33" s="11">
        <v>39990</v>
      </c>
      <c r="Y33" s="11">
        <v>38981</v>
      </c>
      <c r="Z33" s="11">
        <v>35450</v>
      </c>
      <c r="AA33" s="11">
        <v>29972</v>
      </c>
      <c r="AB33" s="11">
        <v>25649</v>
      </c>
      <c r="AC33" s="77"/>
      <c r="AG33" s="15"/>
      <c r="AH33" s="15"/>
      <c r="AI33" s="15"/>
      <c r="AJ33" s="15"/>
      <c r="AK33" s="15"/>
      <c r="AL33" s="15"/>
      <c r="AM33" s="15"/>
      <c r="AN33" s="15"/>
      <c r="AO33" s="15"/>
      <c r="AP33" s="15"/>
      <c r="AQ33" s="15"/>
      <c r="AR33" s="15"/>
      <c r="AS33" s="15"/>
      <c r="AT33" s="15"/>
      <c r="AU33" s="15"/>
      <c r="AV33" s="15"/>
      <c r="AW33" s="15"/>
      <c r="AX33" s="15"/>
      <c r="AY33" s="15"/>
      <c r="AZ33" s="15"/>
      <c r="BA33" s="15"/>
      <c r="BB33" s="15"/>
      <c r="BC33" s="15"/>
      <c r="BD33" s="15"/>
    </row>
    <row r="34" spans="2:56" ht="18.649999999999999" customHeight="1" x14ac:dyDescent="0.25">
      <c r="B34" s="70" t="s">
        <v>38</v>
      </c>
      <c r="C34" s="4" t="s">
        <v>32</v>
      </c>
      <c r="D34" s="5">
        <v>1</v>
      </c>
      <c r="E34" s="11">
        <v>28891</v>
      </c>
      <c r="F34" s="11">
        <v>26064</v>
      </c>
      <c r="G34" s="11">
        <v>24147</v>
      </c>
      <c r="H34" s="11">
        <v>22726</v>
      </c>
      <c r="I34" s="11">
        <v>22881</v>
      </c>
      <c r="J34" s="11">
        <v>22739</v>
      </c>
      <c r="K34" s="11">
        <v>25223</v>
      </c>
      <c r="L34" s="11">
        <v>31831</v>
      </c>
      <c r="M34" s="11">
        <v>36513</v>
      </c>
      <c r="N34" s="11">
        <v>39090</v>
      </c>
      <c r="O34" s="11">
        <v>40249</v>
      </c>
      <c r="P34" s="11">
        <v>43775</v>
      </c>
      <c r="Q34" s="11">
        <v>44849</v>
      </c>
      <c r="R34" s="11">
        <v>44396</v>
      </c>
      <c r="S34" s="11">
        <v>41840</v>
      </c>
      <c r="T34" s="11">
        <v>41097</v>
      </c>
      <c r="U34" s="11">
        <v>41025</v>
      </c>
      <c r="V34" s="11">
        <v>45941</v>
      </c>
      <c r="W34" s="11">
        <v>49833</v>
      </c>
      <c r="X34" s="11">
        <v>55216</v>
      </c>
      <c r="Y34" s="11">
        <v>54201</v>
      </c>
      <c r="Z34" s="11">
        <v>49365</v>
      </c>
      <c r="AA34" s="11">
        <v>42253</v>
      </c>
      <c r="AB34" s="11">
        <v>36374</v>
      </c>
      <c r="AC34" s="78"/>
      <c r="AG34" s="15"/>
      <c r="AH34" s="15"/>
      <c r="AI34" s="15"/>
      <c r="AJ34" s="15"/>
      <c r="AK34" s="15"/>
      <c r="AL34" s="15"/>
      <c r="AM34" s="15"/>
      <c r="AN34" s="15"/>
      <c r="AO34" s="15"/>
      <c r="AP34" s="15"/>
      <c r="AQ34" s="15"/>
      <c r="AR34" s="15"/>
      <c r="AS34" s="15"/>
      <c r="AT34" s="15"/>
      <c r="AU34" s="15"/>
      <c r="AV34" s="15"/>
      <c r="AW34" s="15"/>
      <c r="AX34" s="15"/>
      <c r="AY34" s="15"/>
      <c r="AZ34" s="15"/>
      <c r="BA34" s="15"/>
      <c r="BB34" s="15"/>
      <c r="BC34" s="15"/>
      <c r="BD34" s="15"/>
    </row>
    <row r="35" spans="2:56" ht="18.649999999999999" customHeight="1" x14ac:dyDescent="0.25">
      <c r="B35" s="70" t="s">
        <v>39</v>
      </c>
      <c r="C35" s="4" t="s">
        <v>29</v>
      </c>
      <c r="D35" s="5">
        <v>19</v>
      </c>
      <c r="E35" s="11">
        <v>21953</v>
      </c>
      <c r="F35" s="11">
        <v>20562</v>
      </c>
      <c r="G35" s="11">
        <v>20007</v>
      </c>
      <c r="H35" s="11">
        <v>19890</v>
      </c>
      <c r="I35" s="11">
        <v>21762</v>
      </c>
      <c r="J35" s="11">
        <v>27548</v>
      </c>
      <c r="K35" s="11">
        <v>31402</v>
      </c>
      <c r="L35" s="11">
        <v>40637</v>
      </c>
      <c r="M35" s="11">
        <v>40184</v>
      </c>
      <c r="N35" s="11">
        <v>40667</v>
      </c>
      <c r="O35" s="11">
        <v>42089</v>
      </c>
      <c r="P35" s="11">
        <v>43863</v>
      </c>
      <c r="Q35" s="11">
        <v>43194</v>
      </c>
      <c r="R35" s="11">
        <v>43161</v>
      </c>
      <c r="S35" s="11">
        <v>44297</v>
      </c>
      <c r="T35" s="11">
        <v>44549</v>
      </c>
      <c r="U35" s="11">
        <v>44589</v>
      </c>
      <c r="V35" s="11">
        <v>40354</v>
      </c>
      <c r="W35" s="11">
        <v>43710</v>
      </c>
      <c r="X35" s="11">
        <v>46174</v>
      </c>
      <c r="Y35" s="11">
        <v>44008</v>
      </c>
      <c r="Z35" s="11">
        <v>39758</v>
      </c>
      <c r="AA35" s="11">
        <v>33472</v>
      </c>
      <c r="AB35" s="11">
        <v>28637</v>
      </c>
      <c r="AC35" s="76">
        <f>+SUM(E35:AB35)*D35+SUM(E36:AB36)*D36+SUM(E37:AB37)*D37+SUM(E38:AB38)*D38</f>
        <v>26065129</v>
      </c>
      <c r="AG35" s="15"/>
      <c r="AH35" s="15"/>
      <c r="AI35" s="15"/>
      <c r="AJ35" s="15"/>
      <c r="AK35" s="15"/>
      <c r="AL35" s="15"/>
      <c r="AM35" s="15"/>
      <c r="AN35" s="15"/>
      <c r="AO35" s="15"/>
      <c r="AP35" s="15"/>
      <c r="AQ35" s="15"/>
      <c r="AR35" s="15"/>
      <c r="AS35" s="15"/>
      <c r="AT35" s="15"/>
      <c r="AU35" s="15"/>
      <c r="AV35" s="15"/>
      <c r="AW35" s="15"/>
      <c r="AX35" s="15"/>
      <c r="AY35" s="15"/>
      <c r="AZ35" s="15"/>
      <c r="BA35" s="15"/>
      <c r="BB35" s="15"/>
      <c r="BC35" s="15"/>
      <c r="BD35" s="15"/>
    </row>
    <row r="36" spans="2:56" ht="18.649999999999999" customHeight="1" x14ac:dyDescent="0.25">
      <c r="B36" s="70" t="s">
        <v>39</v>
      </c>
      <c r="C36" s="4" t="s">
        <v>30</v>
      </c>
      <c r="D36" s="5">
        <v>5</v>
      </c>
      <c r="E36" s="11">
        <v>23215</v>
      </c>
      <c r="F36" s="11">
        <v>21712</v>
      </c>
      <c r="G36" s="11">
        <v>20764</v>
      </c>
      <c r="H36" s="11">
        <v>20320</v>
      </c>
      <c r="I36" s="11">
        <v>20759</v>
      </c>
      <c r="J36" s="11">
        <v>21900</v>
      </c>
      <c r="K36" s="11">
        <v>24782</v>
      </c>
      <c r="L36" s="11">
        <v>37917</v>
      </c>
      <c r="M36" s="11">
        <v>40599</v>
      </c>
      <c r="N36" s="11">
        <v>41336</v>
      </c>
      <c r="O36" s="11">
        <v>42156</v>
      </c>
      <c r="P36" s="11">
        <v>43146</v>
      </c>
      <c r="Q36" s="11">
        <v>43455</v>
      </c>
      <c r="R36" s="11">
        <v>43534</v>
      </c>
      <c r="S36" s="11">
        <v>42525</v>
      </c>
      <c r="T36" s="11">
        <v>42099</v>
      </c>
      <c r="U36" s="11">
        <v>41843</v>
      </c>
      <c r="V36" s="11">
        <v>38777</v>
      </c>
      <c r="W36" s="11">
        <v>41644</v>
      </c>
      <c r="X36" s="11">
        <v>43619</v>
      </c>
      <c r="Y36" s="11">
        <v>41237</v>
      </c>
      <c r="Z36" s="11">
        <v>37935</v>
      </c>
      <c r="AA36" s="11">
        <v>33103</v>
      </c>
      <c r="AB36" s="11">
        <v>29196</v>
      </c>
      <c r="AC36" s="77"/>
      <c r="AG36" s="15"/>
      <c r="AH36" s="15"/>
      <c r="AI36" s="15"/>
      <c r="AJ36" s="15"/>
      <c r="AK36" s="15"/>
      <c r="AL36" s="15"/>
      <c r="AM36" s="15"/>
      <c r="AN36" s="15"/>
      <c r="AO36" s="15"/>
      <c r="AP36" s="15"/>
      <c r="AQ36" s="15"/>
      <c r="AR36" s="15"/>
      <c r="AS36" s="15"/>
      <c r="AT36" s="15"/>
      <c r="AU36" s="15"/>
      <c r="AV36" s="15"/>
      <c r="AW36" s="15"/>
      <c r="AX36" s="15"/>
      <c r="AY36" s="15"/>
      <c r="AZ36" s="15"/>
      <c r="BA36" s="15"/>
      <c r="BB36" s="15"/>
      <c r="BC36" s="15"/>
      <c r="BD36" s="15"/>
    </row>
    <row r="37" spans="2:56" ht="18.649999999999999" customHeight="1" x14ac:dyDescent="0.25">
      <c r="B37" s="70" t="s">
        <v>39</v>
      </c>
      <c r="C37" s="4" t="s">
        <v>31</v>
      </c>
      <c r="D37" s="5">
        <v>5</v>
      </c>
      <c r="E37" s="11">
        <v>23198</v>
      </c>
      <c r="F37" s="11">
        <v>21627</v>
      </c>
      <c r="G37" s="11">
        <v>20476</v>
      </c>
      <c r="H37" s="11">
        <v>19829</v>
      </c>
      <c r="I37" s="11">
        <v>19562</v>
      </c>
      <c r="J37" s="11">
        <v>19648</v>
      </c>
      <c r="K37" s="11">
        <v>20157</v>
      </c>
      <c r="L37" s="11">
        <v>31236</v>
      </c>
      <c r="M37" s="11">
        <v>33976</v>
      </c>
      <c r="N37" s="11">
        <v>35922</v>
      </c>
      <c r="O37" s="11">
        <v>37162</v>
      </c>
      <c r="P37" s="11">
        <v>38912</v>
      </c>
      <c r="Q37" s="11">
        <v>39838</v>
      </c>
      <c r="R37" s="11">
        <v>39384</v>
      </c>
      <c r="S37" s="11">
        <v>38402</v>
      </c>
      <c r="T37" s="11">
        <v>38255</v>
      </c>
      <c r="U37" s="11">
        <v>38685</v>
      </c>
      <c r="V37" s="11">
        <v>35928</v>
      </c>
      <c r="W37" s="11">
        <v>39735</v>
      </c>
      <c r="X37" s="11">
        <v>42045</v>
      </c>
      <c r="Y37" s="11">
        <v>40338</v>
      </c>
      <c r="Z37" s="11">
        <v>36347</v>
      </c>
      <c r="AA37" s="11">
        <v>31301</v>
      </c>
      <c r="AB37" s="11">
        <v>27204</v>
      </c>
      <c r="AC37" s="77"/>
      <c r="AG37" s="15"/>
      <c r="AH37" s="15"/>
      <c r="AI37" s="15"/>
      <c r="AJ37" s="15"/>
      <c r="AK37" s="15"/>
      <c r="AL37" s="15"/>
      <c r="AM37" s="15"/>
      <c r="AN37" s="15"/>
      <c r="AO37" s="15"/>
      <c r="AP37" s="15"/>
      <c r="AQ37" s="15"/>
      <c r="AR37" s="15"/>
      <c r="AS37" s="15"/>
      <c r="AT37" s="15"/>
      <c r="AU37" s="15"/>
      <c r="AV37" s="15"/>
      <c r="AW37" s="15"/>
      <c r="AX37" s="15"/>
      <c r="AY37" s="15"/>
      <c r="AZ37" s="15"/>
      <c r="BA37" s="15"/>
      <c r="BB37" s="15"/>
      <c r="BC37" s="15"/>
      <c r="BD37" s="15"/>
    </row>
    <row r="38" spans="2:56" ht="18.649999999999999" customHeight="1" x14ac:dyDescent="0.25">
      <c r="B38" s="70" t="s">
        <v>39</v>
      </c>
      <c r="C38" s="4" t="s">
        <v>32</v>
      </c>
      <c r="D38" s="5">
        <v>2</v>
      </c>
      <c r="E38" s="11">
        <v>22378</v>
      </c>
      <c r="F38" s="11">
        <v>20716</v>
      </c>
      <c r="G38" s="11">
        <v>20097</v>
      </c>
      <c r="H38" s="11">
        <v>19785</v>
      </c>
      <c r="I38" s="11">
        <v>20157</v>
      </c>
      <c r="J38" s="11">
        <v>20570</v>
      </c>
      <c r="K38" s="11">
        <v>21158</v>
      </c>
      <c r="L38" s="11">
        <v>32206</v>
      </c>
      <c r="M38" s="11">
        <v>34368</v>
      </c>
      <c r="N38" s="11">
        <v>35968</v>
      </c>
      <c r="O38" s="11">
        <v>38242</v>
      </c>
      <c r="P38" s="11">
        <v>39467</v>
      </c>
      <c r="Q38" s="11">
        <v>40082</v>
      </c>
      <c r="R38" s="11">
        <v>41066</v>
      </c>
      <c r="S38" s="11">
        <v>40570</v>
      </c>
      <c r="T38" s="11">
        <v>39614</v>
      </c>
      <c r="U38" s="11">
        <v>40481</v>
      </c>
      <c r="V38" s="11">
        <v>38133</v>
      </c>
      <c r="W38" s="11">
        <v>41339</v>
      </c>
      <c r="X38" s="11">
        <v>42932</v>
      </c>
      <c r="Y38" s="11">
        <v>40679</v>
      </c>
      <c r="Z38" s="11">
        <v>36486</v>
      </c>
      <c r="AA38" s="11">
        <v>31210</v>
      </c>
      <c r="AB38" s="11">
        <v>26574</v>
      </c>
      <c r="AC38" s="78"/>
      <c r="AG38" s="15"/>
      <c r="AH38" s="15"/>
      <c r="AI38" s="15"/>
      <c r="AJ38" s="15"/>
      <c r="AK38" s="15"/>
      <c r="AL38" s="15"/>
      <c r="AM38" s="15"/>
      <c r="AN38" s="15"/>
      <c r="AO38" s="15"/>
      <c r="AP38" s="15"/>
      <c r="AQ38" s="15"/>
      <c r="AR38" s="15"/>
      <c r="AS38" s="15"/>
      <c r="AT38" s="15"/>
      <c r="AU38" s="15"/>
      <c r="AV38" s="15"/>
      <c r="AW38" s="15"/>
      <c r="AX38" s="15"/>
      <c r="AY38" s="15"/>
      <c r="AZ38" s="15"/>
      <c r="BA38" s="15"/>
      <c r="BB38" s="15"/>
      <c r="BC38" s="15"/>
      <c r="BD38" s="15"/>
    </row>
    <row r="39" spans="2:56" ht="18.649999999999999" customHeight="1" x14ac:dyDescent="0.25">
      <c r="B39" s="70" t="s">
        <v>40</v>
      </c>
      <c r="C39" s="4" t="s">
        <v>29</v>
      </c>
      <c r="D39" s="5">
        <v>22</v>
      </c>
      <c r="E39" s="11">
        <v>21260</v>
      </c>
      <c r="F39" s="11">
        <v>20074</v>
      </c>
      <c r="G39" s="11">
        <v>19595</v>
      </c>
      <c r="H39" s="11">
        <v>19353</v>
      </c>
      <c r="I39" s="11">
        <v>21156</v>
      </c>
      <c r="J39" s="11">
        <v>26432</v>
      </c>
      <c r="K39" s="11">
        <v>30279</v>
      </c>
      <c r="L39" s="11">
        <v>39909</v>
      </c>
      <c r="M39" s="11">
        <v>39484</v>
      </c>
      <c r="N39" s="11">
        <v>40046</v>
      </c>
      <c r="O39" s="11">
        <v>41505</v>
      </c>
      <c r="P39" s="11">
        <v>43550</v>
      </c>
      <c r="Q39" s="11">
        <v>42689</v>
      </c>
      <c r="R39" s="11">
        <v>42367</v>
      </c>
      <c r="S39" s="11">
        <v>43516</v>
      </c>
      <c r="T39" s="11">
        <v>43921</v>
      </c>
      <c r="U39" s="11">
        <v>43848</v>
      </c>
      <c r="V39" s="11">
        <v>39509</v>
      </c>
      <c r="W39" s="11">
        <v>43526</v>
      </c>
      <c r="X39" s="11">
        <v>44569</v>
      </c>
      <c r="Y39" s="11">
        <v>42314</v>
      </c>
      <c r="Z39" s="11">
        <v>38504</v>
      </c>
      <c r="AA39" s="11">
        <v>32443</v>
      </c>
      <c r="AB39" s="11">
        <v>27481</v>
      </c>
      <c r="AC39" s="76">
        <f>+SUM(E39:AB39)*D39+SUM(E40:AB40)*D40+SUM(E41:AB41)*D41+SUM(E42:AB42)*D42</f>
        <v>24899520</v>
      </c>
      <c r="AG39" s="15"/>
      <c r="AH39" s="15"/>
      <c r="AI39" s="15"/>
      <c r="AJ39" s="15"/>
      <c r="AK39" s="15"/>
      <c r="AL39" s="15"/>
      <c r="AM39" s="15"/>
      <c r="AN39" s="15"/>
      <c r="AO39" s="15"/>
      <c r="AP39" s="15"/>
      <c r="AQ39" s="15"/>
      <c r="AR39" s="15"/>
      <c r="AS39" s="15"/>
      <c r="AT39" s="15"/>
      <c r="AU39" s="15"/>
      <c r="AV39" s="15"/>
      <c r="AW39" s="15"/>
      <c r="AX39" s="15"/>
      <c r="AY39" s="15"/>
      <c r="AZ39" s="15"/>
      <c r="BA39" s="15"/>
      <c r="BB39" s="15"/>
      <c r="BC39" s="15"/>
      <c r="BD39" s="15"/>
    </row>
    <row r="40" spans="2:56" ht="18.649999999999999" customHeight="1" x14ac:dyDescent="0.25">
      <c r="B40" s="70" t="s">
        <v>40</v>
      </c>
      <c r="C40" s="4" t="s">
        <v>30</v>
      </c>
      <c r="D40" s="5">
        <v>4</v>
      </c>
      <c r="E40" s="11">
        <v>22048</v>
      </c>
      <c r="F40" s="11">
        <v>20465</v>
      </c>
      <c r="G40" s="11">
        <v>19792</v>
      </c>
      <c r="H40" s="11">
        <v>19433</v>
      </c>
      <c r="I40" s="11">
        <v>19945</v>
      </c>
      <c r="J40" s="11">
        <v>21535</v>
      </c>
      <c r="K40" s="11">
        <v>24034</v>
      </c>
      <c r="L40" s="11">
        <v>37402</v>
      </c>
      <c r="M40" s="11">
        <v>39424</v>
      </c>
      <c r="N40" s="11">
        <v>40567</v>
      </c>
      <c r="O40" s="11">
        <v>41969</v>
      </c>
      <c r="P40" s="11">
        <v>42763</v>
      </c>
      <c r="Q40" s="11">
        <v>42731</v>
      </c>
      <c r="R40" s="11">
        <v>42259</v>
      </c>
      <c r="S40" s="11">
        <v>41470</v>
      </c>
      <c r="T40" s="11">
        <v>41251</v>
      </c>
      <c r="U40" s="11">
        <v>41907</v>
      </c>
      <c r="V40" s="11">
        <v>37844</v>
      </c>
      <c r="W40" s="11">
        <v>41601</v>
      </c>
      <c r="X40" s="11">
        <v>42086</v>
      </c>
      <c r="Y40" s="11">
        <v>39878</v>
      </c>
      <c r="Z40" s="11">
        <v>36329</v>
      </c>
      <c r="AA40" s="11">
        <v>32443</v>
      </c>
      <c r="AB40" s="11">
        <v>28178</v>
      </c>
      <c r="AC40" s="77"/>
      <c r="AG40" s="15"/>
      <c r="AH40" s="15"/>
      <c r="AI40" s="15"/>
      <c r="AJ40" s="15"/>
      <c r="AK40" s="15"/>
      <c r="AL40" s="15"/>
      <c r="AM40" s="15"/>
      <c r="AN40" s="15"/>
      <c r="AO40" s="15"/>
      <c r="AP40" s="15"/>
      <c r="AQ40" s="15"/>
      <c r="AR40" s="15"/>
      <c r="AS40" s="15"/>
      <c r="AT40" s="15"/>
      <c r="AU40" s="15"/>
      <c r="AV40" s="15"/>
      <c r="AW40" s="15"/>
      <c r="AX40" s="15"/>
      <c r="AY40" s="15"/>
      <c r="AZ40" s="15"/>
      <c r="BA40" s="15"/>
      <c r="BB40" s="15"/>
      <c r="BC40" s="15"/>
      <c r="BD40" s="15"/>
    </row>
    <row r="41" spans="2:56" ht="18.649999999999999" customHeight="1" x14ac:dyDescent="0.25">
      <c r="B41" s="70" t="s">
        <v>40</v>
      </c>
      <c r="C41" s="4" t="s">
        <v>31</v>
      </c>
      <c r="D41" s="5">
        <v>4</v>
      </c>
      <c r="E41" s="11">
        <v>22690</v>
      </c>
      <c r="F41" s="11">
        <v>21062</v>
      </c>
      <c r="G41" s="11">
        <v>19883</v>
      </c>
      <c r="H41" s="11">
        <v>19396</v>
      </c>
      <c r="I41" s="11">
        <v>18864</v>
      </c>
      <c r="J41" s="11">
        <v>18567</v>
      </c>
      <c r="K41" s="11">
        <v>19475</v>
      </c>
      <c r="L41" s="11">
        <v>30546</v>
      </c>
      <c r="M41" s="11">
        <v>32693</v>
      </c>
      <c r="N41" s="11">
        <v>34336</v>
      </c>
      <c r="O41" s="11">
        <v>36000</v>
      </c>
      <c r="P41" s="11">
        <v>37791</v>
      </c>
      <c r="Q41" s="11">
        <v>39100</v>
      </c>
      <c r="R41" s="11">
        <v>38989</v>
      </c>
      <c r="S41" s="11">
        <v>38104</v>
      </c>
      <c r="T41" s="11">
        <v>37616</v>
      </c>
      <c r="U41" s="11">
        <v>37772</v>
      </c>
      <c r="V41" s="11">
        <v>35352</v>
      </c>
      <c r="W41" s="11">
        <v>38967</v>
      </c>
      <c r="X41" s="11">
        <v>40727</v>
      </c>
      <c r="Y41" s="11">
        <v>38489</v>
      </c>
      <c r="Z41" s="11">
        <v>35269</v>
      </c>
      <c r="AA41" s="11">
        <v>29840</v>
      </c>
      <c r="AB41" s="11">
        <v>25683</v>
      </c>
      <c r="AC41" s="77"/>
      <c r="AG41" s="15"/>
      <c r="AH41" s="15"/>
      <c r="AI41" s="15"/>
      <c r="AJ41" s="15"/>
      <c r="AK41" s="15"/>
      <c r="AL41" s="15"/>
      <c r="AM41" s="15"/>
      <c r="AN41" s="15"/>
      <c r="AO41" s="15"/>
      <c r="AP41" s="15"/>
      <c r="AQ41" s="15"/>
      <c r="AR41" s="15"/>
      <c r="AS41" s="15"/>
      <c r="AT41" s="15"/>
      <c r="AU41" s="15"/>
      <c r="AV41" s="15"/>
      <c r="AW41" s="15"/>
      <c r="AX41" s="15"/>
      <c r="AY41" s="15"/>
      <c r="AZ41" s="15"/>
      <c r="BA41" s="15"/>
      <c r="BB41" s="15"/>
      <c r="BC41" s="15"/>
      <c r="BD41" s="15"/>
    </row>
    <row r="42" spans="2:56" ht="18.649999999999999" customHeight="1" x14ac:dyDescent="0.25">
      <c r="B42" s="70" t="s">
        <v>40</v>
      </c>
      <c r="C42" s="4" t="s">
        <v>32</v>
      </c>
      <c r="D42" s="5">
        <v>0</v>
      </c>
      <c r="E42" s="11">
        <v>0</v>
      </c>
      <c r="F42" s="11">
        <v>0</v>
      </c>
      <c r="G42" s="11">
        <v>0</v>
      </c>
      <c r="H42" s="11">
        <v>0</v>
      </c>
      <c r="I42" s="11">
        <v>0</v>
      </c>
      <c r="J42" s="11">
        <v>0</v>
      </c>
      <c r="K42" s="11">
        <v>0</v>
      </c>
      <c r="L42" s="11">
        <v>0</v>
      </c>
      <c r="M42" s="11">
        <v>0</v>
      </c>
      <c r="N42" s="11">
        <v>0</v>
      </c>
      <c r="O42" s="11">
        <v>0</v>
      </c>
      <c r="P42" s="11">
        <v>0</v>
      </c>
      <c r="Q42" s="11">
        <v>0</v>
      </c>
      <c r="R42" s="11">
        <v>0</v>
      </c>
      <c r="S42" s="11">
        <v>0</v>
      </c>
      <c r="T42" s="11">
        <v>0</v>
      </c>
      <c r="U42" s="11">
        <v>0</v>
      </c>
      <c r="V42" s="11">
        <v>0</v>
      </c>
      <c r="W42" s="11">
        <v>0</v>
      </c>
      <c r="X42" s="11">
        <v>0</v>
      </c>
      <c r="Y42" s="11">
        <v>0</v>
      </c>
      <c r="Z42" s="11">
        <v>0</v>
      </c>
      <c r="AA42" s="11">
        <v>0</v>
      </c>
      <c r="AB42" s="11">
        <v>0</v>
      </c>
      <c r="AC42" s="78"/>
      <c r="AG42" s="15"/>
      <c r="AH42" s="15"/>
      <c r="AI42" s="15"/>
      <c r="AJ42" s="15"/>
      <c r="AK42" s="15"/>
      <c r="AL42" s="15"/>
      <c r="AM42" s="15"/>
      <c r="AN42" s="15"/>
      <c r="AO42" s="15"/>
      <c r="AP42" s="15"/>
      <c r="AQ42" s="15"/>
      <c r="AR42" s="15"/>
      <c r="AS42" s="15"/>
      <c r="AT42" s="15"/>
      <c r="AU42" s="15"/>
      <c r="AV42" s="15"/>
      <c r="AW42" s="15"/>
      <c r="AX42" s="15"/>
      <c r="AY42" s="15"/>
      <c r="AZ42" s="15"/>
      <c r="BA42" s="15"/>
      <c r="BB42" s="15"/>
      <c r="BC42" s="15"/>
      <c r="BD42" s="15"/>
    </row>
    <row r="43" spans="2:56" ht="18.649999999999999" customHeight="1" x14ac:dyDescent="0.25">
      <c r="B43" s="70" t="s">
        <v>41</v>
      </c>
      <c r="C43" s="4" t="s">
        <v>29</v>
      </c>
      <c r="D43" s="5">
        <v>22</v>
      </c>
      <c r="E43" s="11">
        <v>21368</v>
      </c>
      <c r="F43" s="11">
        <v>20080</v>
      </c>
      <c r="G43" s="11">
        <v>19563</v>
      </c>
      <c r="H43" s="11">
        <v>19454</v>
      </c>
      <c r="I43" s="11">
        <v>21207</v>
      </c>
      <c r="J43" s="11">
        <v>26204</v>
      </c>
      <c r="K43" s="11">
        <v>29810</v>
      </c>
      <c r="L43" s="11">
        <v>39707</v>
      </c>
      <c r="M43" s="11">
        <v>39497</v>
      </c>
      <c r="N43" s="11">
        <v>40063</v>
      </c>
      <c r="O43" s="11">
        <v>41622</v>
      </c>
      <c r="P43" s="11">
        <v>43771</v>
      </c>
      <c r="Q43" s="11">
        <v>43008</v>
      </c>
      <c r="R43" s="11">
        <v>42847</v>
      </c>
      <c r="S43" s="11">
        <v>43796</v>
      </c>
      <c r="T43" s="11">
        <v>44317</v>
      </c>
      <c r="U43" s="11">
        <v>44509</v>
      </c>
      <c r="V43" s="11">
        <v>41025</v>
      </c>
      <c r="W43" s="11">
        <v>45213</v>
      </c>
      <c r="X43" s="11">
        <v>45036</v>
      </c>
      <c r="Y43" s="11">
        <v>42631</v>
      </c>
      <c r="Z43" s="11">
        <v>39011</v>
      </c>
      <c r="AA43" s="11">
        <v>32883</v>
      </c>
      <c r="AB43" s="11">
        <v>27860</v>
      </c>
      <c r="AC43" s="76">
        <f>+SUM(E43:AB43)*D43+SUM(E44:AB44)*D44+SUM(E45:AB45)*D45+SUM(E46:AB46)*D46</f>
        <v>25960421</v>
      </c>
      <c r="AG43" s="15"/>
      <c r="AH43" s="15"/>
      <c r="AI43" s="15"/>
      <c r="AJ43" s="15"/>
      <c r="AK43" s="15"/>
      <c r="AL43" s="15"/>
      <c r="AM43" s="15"/>
      <c r="AN43" s="15"/>
      <c r="AO43" s="15"/>
      <c r="AP43" s="15"/>
      <c r="AQ43" s="15"/>
      <c r="AR43" s="15"/>
      <c r="AS43" s="15"/>
      <c r="AT43" s="15"/>
      <c r="AU43" s="15"/>
      <c r="AV43" s="15"/>
      <c r="AW43" s="15"/>
      <c r="AX43" s="15"/>
      <c r="AY43" s="15"/>
      <c r="AZ43" s="15"/>
      <c r="BA43" s="15"/>
      <c r="BB43" s="15"/>
      <c r="BC43" s="15"/>
      <c r="BD43" s="15"/>
    </row>
    <row r="44" spans="2:56" ht="18.649999999999999" customHeight="1" x14ac:dyDescent="0.25">
      <c r="B44" s="70" t="s">
        <v>41</v>
      </c>
      <c r="C44" s="4" t="s">
        <v>30</v>
      </c>
      <c r="D44" s="5">
        <v>4</v>
      </c>
      <c r="E44" s="11">
        <v>22509</v>
      </c>
      <c r="F44" s="11">
        <v>20931</v>
      </c>
      <c r="G44" s="11">
        <v>20139</v>
      </c>
      <c r="H44" s="11">
        <v>19742</v>
      </c>
      <c r="I44" s="11">
        <v>20143</v>
      </c>
      <c r="J44" s="11">
        <v>21355</v>
      </c>
      <c r="K44" s="11">
        <v>23888</v>
      </c>
      <c r="L44" s="11">
        <v>36994</v>
      </c>
      <c r="M44" s="11">
        <v>38962</v>
      </c>
      <c r="N44" s="11">
        <v>40451</v>
      </c>
      <c r="O44" s="11">
        <v>41505</v>
      </c>
      <c r="P44" s="11">
        <v>43018</v>
      </c>
      <c r="Q44" s="11">
        <v>43534</v>
      </c>
      <c r="R44" s="11">
        <v>42693</v>
      </c>
      <c r="S44" s="11">
        <v>42561</v>
      </c>
      <c r="T44" s="11">
        <v>42249</v>
      </c>
      <c r="U44" s="11">
        <v>42590</v>
      </c>
      <c r="V44" s="11">
        <v>39321</v>
      </c>
      <c r="W44" s="11">
        <v>43814</v>
      </c>
      <c r="X44" s="11">
        <v>43642</v>
      </c>
      <c r="Y44" s="11">
        <v>41404</v>
      </c>
      <c r="Z44" s="11">
        <v>38078</v>
      </c>
      <c r="AA44" s="11">
        <v>33785</v>
      </c>
      <c r="AB44" s="11">
        <v>29490</v>
      </c>
      <c r="AC44" s="77"/>
      <c r="AG44" s="15"/>
      <c r="AH44" s="15"/>
      <c r="AI44" s="15"/>
      <c r="AJ44" s="15"/>
      <c r="AK44" s="15"/>
      <c r="AL44" s="15"/>
      <c r="AM44" s="15"/>
      <c r="AN44" s="15"/>
      <c r="AO44" s="15"/>
      <c r="AP44" s="15"/>
      <c r="AQ44" s="15"/>
      <c r="AR44" s="15"/>
      <c r="AS44" s="15"/>
      <c r="AT44" s="15"/>
      <c r="AU44" s="15"/>
      <c r="AV44" s="15"/>
      <c r="AW44" s="15"/>
      <c r="AX44" s="15"/>
      <c r="AY44" s="15"/>
      <c r="AZ44" s="15"/>
      <c r="BA44" s="15"/>
      <c r="BB44" s="15"/>
      <c r="BC44" s="15"/>
      <c r="BD44" s="15"/>
    </row>
    <row r="45" spans="2:56" ht="18.649999999999999" customHeight="1" x14ac:dyDescent="0.25">
      <c r="B45" s="70" t="s">
        <v>41</v>
      </c>
      <c r="C45" s="4" t="s">
        <v>31</v>
      </c>
      <c r="D45" s="5">
        <v>4</v>
      </c>
      <c r="E45" s="11">
        <v>23222</v>
      </c>
      <c r="F45" s="11">
        <v>21309</v>
      </c>
      <c r="G45" s="11">
        <v>20126</v>
      </c>
      <c r="H45" s="11">
        <v>19584</v>
      </c>
      <c r="I45" s="11">
        <v>19630</v>
      </c>
      <c r="J45" s="11">
        <v>19175</v>
      </c>
      <c r="K45" s="11">
        <v>19633</v>
      </c>
      <c r="L45" s="11">
        <v>29966</v>
      </c>
      <c r="M45" s="11">
        <v>32850</v>
      </c>
      <c r="N45" s="11">
        <v>34854</v>
      </c>
      <c r="O45" s="11">
        <v>36913</v>
      </c>
      <c r="P45" s="11">
        <v>38704</v>
      </c>
      <c r="Q45" s="11">
        <v>39673</v>
      </c>
      <c r="R45" s="11">
        <v>39420</v>
      </c>
      <c r="S45" s="11">
        <v>38187</v>
      </c>
      <c r="T45" s="11">
        <v>38331</v>
      </c>
      <c r="U45" s="11">
        <v>38481</v>
      </c>
      <c r="V45" s="11">
        <v>36538</v>
      </c>
      <c r="W45" s="11">
        <v>41371</v>
      </c>
      <c r="X45" s="11">
        <v>41991</v>
      </c>
      <c r="Y45" s="11">
        <v>40030</v>
      </c>
      <c r="Z45" s="11">
        <v>36326</v>
      </c>
      <c r="AA45" s="11">
        <v>31347</v>
      </c>
      <c r="AB45" s="11">
        <v>27028</v>
      </c>
      <c r="AC45" s="77"/>
      <c r="AG45" s="15"/>
      <c r="AH45" s="15"/>
      <c r="AI45" s="15"/>
      <c r="AJ45" s="15"/>
      <c r="AK45" s="15"/>
      <c r="AL45" s="15"/>
      <c r="AM45" s="15"/>
      <c r="AN45" s="15"/>
      <c r="AO45" s="15"/>
      <c r="AP45" s="15"/>
      <c r="AQ45" s="15"/>
      <c r="AR45" s="15"/>
      <c r="AS45" s="15"/>
      <c r="AT45" s="15"/>
      <c r="AU45" s="15"/>
      <c r="AV45" s="15"/>
      <c r="AW45" s="15"/>
      <c r="AX45" s="15"/>
      <c r="AY45" s="15"/>
      <c r="AZ45" s="15"/>
      <c r="BA45" s="15"/>
      <c r="BB45" s="15"/>
      <c r="BC45" s="15"/>
      <c r="BD45" s="15"/>
    </row>
    <row r="46" spans="2:56" ht="18.649999999999999" customHeight="1" x14ac:dyDescent="0.25">
      <c r="B46" s="70" t="s">
        <v>41</v>
      </c>
      <c r="C46" s="4" t="s">
        <v>32</v>
      </c>
      <c r="D46" s="5">
        <v>1</v>
      </c>
      <c r="E46" s="11">
        <v>21577</v>
      </c>
      <c r="F46" s="11">
        <v>20146</v>
      </c>
      <c r="G46" s="11">
        <v>19320</v>
      </c>
      <c r="H46" s="11">
        <v>19115</v>
      </c>
      <c r="I46" s="11">
        <v>19543</v>
      </c>
      <c r="J46" s="11">
        <v>19239</v>
      </c>
      <c r="K46" s="11">
        <v>19708</v>
      </c>
      <c r="L46" s="11">
        <v>30355</v>
      </c>
      <c r="M46" s="11">
        <v>32680</v>
      </c>
      <c r="N46" s="11">
        <v>35475</v>
      </c>
      <c r="O46" s="11">
        <v>37614</v>
      </c>
      <c r="P46" s="11">
        <v>39411</v>
      </c>
      <c r="Q46" s="11">
        <v>41049</v>
      </c>
      <c r="R46" s="11">
        <v>40467</v>
      </c>
      <c r="S46" s="11">
        <v>39657</v>
      </c>
      <c r="T46" s="11">
        <v>39050</v>
      </c>
      <c r="U46" s="11">
        <v>39427</v>
      </c>
      <c r="V46" s="11">
        <v>38056</v>
      </c>
      <c r="W46" s="11">
        <v>43244</v>
      </c>
      <c r="X46" s="11">
        <v>42253</v>
      </c>
      <c r="Y46" s="11">
        <v>40677</v>
      </c>
      <c r="Z46" s="11">
        <v>36646</v>
      </c>
      <c r="AA46" s="11">
        <v>30955</v>
      </c>
      <c r="AB46" s="11">
        <v>26205</v>
      </c>
      <c r="AC46" s="78"/>
      <c r="AG46" s="15"/>
      <c r="AH46" s="15"/>
      <c r="AI46" s="15"/>
      <c r="AJ46" s="15"/>
      <c r="AK46" s="15"/>
      <c r="AL46" s="15"/>
      <c r="AM46" s="15"/>
      <c r="AN46" s="15"/>
      <c r="AO46" s="15"/>
      <c r="AP46" s="15"/>
      <c r="AQ46" s="15"/>
      <c r="AR46" s="15"/>
      <c r="AS46" s="15"/>
      <c r="AT46" s="15"/>
      <c r="AU46" s="15"/>
      <c r="AV46" s="15"/>
      <c r="AW46" s="15"/>
      <c r="AX46" s="15"/>
      <c r="AY46" s="15"/>
      <c r="AZ46" s="15"/>
      <c r="BA46" s="15"/>
      <c r="BB46" s="15"/>
      <c r="BC46" s="15"/>
      <c r="BD46" s="15"/>
    </row>
    <row r="47" spans="2:56" ht="18.649999999999999" customHeight="1" x14ac:dyDescent="0.25">
      <c r="B47" s="70" t="s">
        <v>42</v>
      </c>
      <c r="C47" s="4" t="s">
        <v>29</v>
      </c>
      <c r="D47" s="5">
        <v>18</v>
      </c>
      <c r="E47" s="11">
        <v>21442</v>
      </c>
      <c r="F47" s="11">
        <v>20168</v>
      </c>
      <c r="G47" s="11">
        <v>20004</v>
      </c>
      <c r="H47" s="11">
        <v>19838</v>
      </c>
      <c r="I47" s="11">
        <v>21708</v>
      </c>
      <c r="J47" s="11">
        <v>26816</v>
      </c>
      <c r="K47" s="11">
        <v>31102</v>
      </c>
      <c r="L47" s="11">
        <v>41087</v>
      </c>
      <c r="M47" s="11">
        <v>40723</v>
      </c>
      <c r="N47" s="11">
        <v>41061</v>
      </c>
      <c r="O47" s="11">
        <v>43009</v>
      </c>
      <c r="P47" s="11">
        <v>44750</v>
      </c>
      <c r="Q47" s="11">
        <v>43801</v>
      </c>
      <c r="R47" s="11">
        <v>43538</v>
      </c>
      <c r="S47" s="11">
        <v>44721</v>
      </c>
      <c r="T47" s="11">
        <v>45355</v>
      </c>
      <c r="U47" s="11">
        <v>45539</v>
      </c>
      <c r="V47" s="11">
        <v>41962</v>
      </c>
      <c r="W47" s="11">
        <v>45888</v>
      </c>
      <c r="X47" s="11">
        <v>45237</v>
      </c>
      <c r="Y47" s="11">
        <v>43170</v>
      </c>
      <c r="Z47" s="11">
        <v>39272</v>
      </c>
      <c r="AA47" s="11">
        <v>33023</v>
      </c>
      <c r="AB47" s="11">
        <v>28137</v>
      </c>
      <c r="AC47" s="76">
        <f>+SUM(E47:AB47)*D47+SUM(E48:AB48)*D48+SUM(E49:AB49)*D49+SUM(E50:AB50)*D50</f>
        <v>25357228</v>
      </c>
      <c r="AG47" s="15"/>
      <c r="AH47" s="15"/>
      <c r="AI47" s="15"/>
      <c r="AJ47" s="15"/>
      <c r="AK47" s="15"/>
      <c r="AL47" s="15"/>
      <c r="AM47" s="15"/>
      <c r="AN47" s="15"/>
      <c r="AO47" s="15"/>
      <c r="AP47" s="15"/>
      <c r="AQ47" s="15"/>
      <c r="AR47" s="15"/>
      <c r="AS47" s="15"/>
      <c r="AT47" s="15"/>
      <c r="AU47" s="15"/>
      <c r="AV47" s="15"/>
      <c r="AW47" s="15"/>
      <c r="AX47" s="15"/>
      <c r="AY47" s="15"/>
      <c r="AZ47" s="15"/>
      <c r="BA47" s="15"/>
      <c r="BB47" s="15"/>
      <c r="BC47" s="15"/>
      <c r="BD47" s="15"/>
    </row>
    <row r="48" spans="2:56" ht="18.649999999999999" customHeight="1" x14ac:dyDescent="0.25">
      <c r="B48" s="70" t="s">
        <v>42</v>
      </c>
      <c r="C48" s="4" t="s">
        <v>30</v>
      </c>
      <c r="D48" s="5">
        <v>5</v>
      </c>
      <c r="E48" s="11">
        <v>22803</v>
      </c>
      <c r="F48" s="11">
        <v>21329</v>
      </c>
      <c r="G48" s="11">
        <v>20383</v>
      </c>
      <c r="H48" s="11">
        <v>20159</v>
      </c>
      <c r="I48" s="11">
        <v>20864</v>
      </c>
      <c r="J48" s="11">
        <v>22135</v>
      </c>
      <c r="K48" s="11">
        <v>25091</v>
      </c>
      <c r="L48" s="11">
        <v>38247</v>
      </c>
      <c r="M48" s="11">
        <v>40249</v>
      </c>
      <c r="N48" s="11">
        <v>41392</v>
      </c>
      <c r="O48" s="11">
        <v>42484</v>
      </c>
      <c r="P48" s="11">
        <v>43619</v>
      </c>
      <c r="Q48" s="11">
        <v>43650</v>
      </c>
      <c r="R48" s="11">
        <v>42882</v>
      </c>
      <c r="S48" s="11">
        <v>42357</v>
      </c>
      <c r="T48" s="11">
        <v>42235</v>
      </c>
      <c r="U48" s="11">
        <v>42631</v>
      </c>
      <c r="V48" s="11">
        <v>39834</v>
      </c>
      <c r="W48" s="11">
        <v>44212</v>
      </c>
      <c r="X48" s="11">
        <v>43966</v>
      </c>
      <c r="Y48" s="11">
        <v>41628</v>
      </c>
      <c r="Z48" s="11">
        <v>38064</v>
      </c>
      <c r="AA48" s="11">
        <v>33988</v>
      </c>
      <c r="AB48" s="11">
        <v>29575</v>
      </c>
      <c r="AC48" s="77"/>
      <c r="AG48" s="15"/>
      <c r="AH48" s="15"/>
      <c r="AI48" s="15"/>
      <c r="AJ48" s="15"/>
      <c r="AK48" s="15"/>
      <c r="AL48" s="15"/>
      <c r="AM48" s="15"/>
      <c r="AN48" s="15"/>
      <c r="AO48" s="15"/>
      <c r="AP48" s="15"/>
      <c r="AQ48" s="15"/>
      <c r="AR48" s="15"/>
      <c r="AS48" s="15"/>
      <c r="AT48" s="15"/>
      <c r="AU48" s="15"/>
      <c r="AV48" s="15"/>
      <c r="AW48" s="15"/>
      <c r="AX48" s="15"/>
      <c r="AY48" s="15"/>
      <c r="AZ48" s="15"/>
      <c r="BA48" s="15"/>
      <c r="BB48" s="15"/>
      <c r="BC48" s="15"/>
      <c r="BD48" s="15"/>
    </row>
    <row r="49" spans="2:56" ht="18.649999999999999" customHeight="1" x14ac:dyDescent="0.25">
      <c r="B49" s="70" t="s">
        <v>42</v>
      </c>
      <c r="C49" s="4" t="s">
        <v>31</v>
      </c>
      <c r="D49" s="5">
        <v>5</v>
      </c>
      <c r="E49" s="11">
        <v>23754</v>
      </c>
      <c r="F49" s="11">
        <v>22229</v>
      </c>
      <c r="G49" s="11">
        <v>21002</v>
      </c>
      <c r="H49" s="11">
        <v>20451</v>
      </c>
      <c r="I49" s="11">
        <v>20070</v>
      </c>
      <c r="J49" s="11">
        <v>20058</v>
      </c>
      <c r="K49" s="11">
        <v>20140</v>
      </c>
      <c r="L49" s="11">
        <v>31319</v>
      </c>
      <c r="M49" s="11">
        <v>34515</v>
      </c>
      <c r="N49" s="11">
        <v>36322</v>
      </c>
      <c r="O49" s="11">
        <v>37416</v>
      </c>
      <c r="P49" s="11">
        <v>38927</v>
      </c>
      <c r="Q49" s="11">
        <v>40080</v>
      </c>
      <c r="R49" s="11">
        <v>39846</v>
      </c>
      <c r="S49" s="11">
        <v>39357</v>
      </c>
      <c r="T49" s="11">
        <v>39081</v>
      </c>
      <c r="U49" s="11">
        <v>39824</v>
      </c>
      <c r="V49" s="11">
        <v>36927</v>
      </c>
      <c r="W49" s="11">
        <v>41493</v>
      </c>
      <c r="X49" s="11">
        <v>41705</v>
      </c>
      <c r="Y49" s="11">
        <v>39779</v>
      </c>
      <c r="Z49" s="11">
        <v>36444</v>
      </c>
      <c r="AA49" s="11">
        <v>31262</v>
      </c>
      <c r="AB49" s="11">
        <v>27128</v>
      </c>
      <c r="AC49" s="77"/>
      <c r="AG49" s="15"/>
      <c r="AH49" s="15"/>
      <c r="AI49" s="15"/>
      <c r="AJ49" s="15"/>
      <c r="AK49" s="15"/>
      <c r="AL49" s="15"/>
      <c r="AM49" s="15"/>
      <c r="AN49" s="15"/>
      <c r="AO49" s="15"/>
      <c r="AP49" s="15"/>
      <c r="AQ49" s="15"/>
      <c r="AR49" s="15"/>
      <c r="AS49" s="15"/>
      <c r="AT49" s="15"/>
      <c r="AU49" s="15"/>
      <c r="AV49" s="15"/>
      <c r="AW49" s="15"/>
      <c r="AX49" s="15"/>
      <c r="AY49" s="15"/>
      <c r="AZ49" s="15"/>
      <c r="BA49" s="15"/>
      <c r="BB49" s="15"/>
      <c r="BC49" s="15"/>
      <c r="BD49" s="15"/>
    </row>
    <row r="50" spans="2:56" ht="18.649999999999999" customHeight="1" x14ac:dyDescent="0.25">
      <c r="B50" s="70" t="s">
        <v>42</v>
      </c>
      <c r="C50" s="4" t="s">
        <v>32</v>
      </c>
      <c r="D50" s="5">
        <v>2</v>
      </c>
      <c r="E50" s="11">
        <v>22049</v>
      </c>
      <c r="F50" s="11">
        <v>20571</v>
      </c>
      <c r="G50" s="11">
        <v>19940</v>
      </c>
      <c r="H50" s="11">
        <v>19319</v>
      </c>
      <c r="I50" s="11">
        <v>19398</v>
      </c>
      <c r="J50" s="11">
        <v>19756</v>
      </c>
      <c r="K50" s="11">
        <v>20078</v>
      </c>
      <c r="L50" s="11">
        <v>31123</v>
      </c>
      <c r="M50" s="11">
        <v>33354</v>
      </c>
      <c r="N50" s="11">
        <v>35336</v>
      </c>
      <c r="O50" s="11">
        <v>37854</v>
      </c>
      <c r="P50" s="11">
        <v>40010</v>
      </c>
      <c r="Q50" s="11">
        <v>40891</v>
      </c>
      <c r="R50" s="11">
        <v>40614</v>
      </c>
      <c r="S50" s="11">
        <v>40228</v>
      </c>
      <c r="T50" s="11">
        <v>40247</v>
      </c>
      <c r="U50" s="11">
        <v>41125</v>
      </c>
      <c r="V50" s="11">
        <v>38553</v>
      </c>
      <c r="W50" s="11">
        <v>42883</v>
      </c>
      <c r="X50" s="11">
        <v>42970</v>
      </c>
      <c r="Y50" s="11">
        <v>40457</v>
      </c>
      <c r="Z50" s="11">
        <v>35943</v>
      </c>
      <c r="AA50" s="11">
        <v>30123</v>
      </c>
      <c r="AB50" s="11">
        <v>26368</v>
      </c>
      <c r="AC50" s="78"/>
      <c r="AG50" s="15"/>
      <c r="AH50" s="15"/>
      <c r="AI50" s="15"/>
      <c r="AJ50" s="15"/>
      <c r="AK50" s="15"/>
      <c r="AL50" s="15"/>
      <c r="AM50" s="15"/>
      <c r="AN50" s="15"/>
      <c r="AO50" s="15"/>
      <c r="AP50" s="15"/>
      <c r="AQ50" s="15"/>
      <c r="AR50" s="15"/>
      <c r="AS50" s="15"/>
      <c r="AT50" s="15"/>
      <c r="AU50" s="15"/>
      <c r="AV50" s="15"/>
      <c r="AW50" s="15"/>
      <c r="AX50" s="15"/>
      <c r="AY50" s="15"/>
      <c r="AZ50" s="15"/>
      <c r="BA50" s="15"/>
      <c r="BB50" s="15"/>
      <c r="BC50" s="15"/>
      <c r="BD50" s="15"/>
    </row>
    <row r="51" spans="2:56" ht="18.649999999999999" customHeight="1" x14ac:dyDescent="0.25">
      <c r="B51" s="70" t="s">
        <v>43</v>
      </c>
      <c r="C51" s="4" t="s">
        <v>29</v>
      </c>
      <c r="D51" s="5">
        <v>21</v>
      </c>
      <c r="E51" s="11">
        <v>22759</v>
      </c>
      <c r="F51" s="11">
        <v>21105</v>
      </c>
      <c r="G51" s="11">
        <v>20355</v>
      </c>
      <c r="H51" s="11">
        <v>20084</v>
      </c>
      <c r="I51" s="11">
        <v>21220</v>
      </c>
      <c r="J51" s="11">
        <v>23903</v>
      </c>
      <c r="K51" s="11">
        <v>26613</v>
      </c>
      <c r="L51" s="11">
        <v>38792</v>
      </c>
      <c r="M51" s="11">
        <v>40170</v>
      </c>
      <c r="N51" s="11">
        <v>41157</v>
      </c>
      <c r="O51" s="11">
        <v>42687</v>
      </c>
      <c r="P51" s="11">
        <v>44875</v>
      </c>
      <c r="Q51" s="11">
        <v>44266</v>
      </c>
      <c r="R51" s="11">
        <v>43030</v>
      </c>
      <c r="S51" s="11">
        <v>44494</v>
      </c>
      <c r="T51" s="11">
        <v>44776</v>
      </c>
      <c r="U51" s="11">
        <v>44812</v>
      </c>
      <c r="V51" s="11">
        <v>40774</v>
      </c>
      <c r="W51" s="11">
        <v>45723</v>
      </c>
      <c r="X51" s="11">
        <v>45803</v>
      </c>
      <c r="Y51" s="11">
        <v>43447</v>
      </c>
      <c r="Z51" s="11">
        <v>39822</v>
      </c>
      <c r="AA51" s="11">
        <v>34248</v>
      </c>
      <c r="AB51" s="11">
        <v>29626</v>
      </c>
      <c r="AC51" s="76">
        <f>+SUM(E51:AB51)*D51+SUM(E52:AB52)*D52+SUM(E53:AB53)*D53+SUM(E54:AB54)*D54</f>
        <v>26212931</v>
      </c>
      <c r="AG51" s="15"/>
      <c r="AH51" s="15"/>
      <c r="AI51" s="15"/>
      <c r="AJ51" s="15"/>
      <c r="AK51" s="15"/>
      <c r="AL51" s="15"/>
      <c r="AM51" s="15"/>
      <c r="AN51" s="15"/>
      <c r="AO51" s="15"/>
      <c r="AP51" s="15"/>
      <c r="AQ51" s="15"/>
      <c r="AR51" s="15"/>
      <c r="AS51" s="15"/>
      <c r="AT51" s="15"/>
      <c r="AU51" s="15"/>
      <c r="AV51" s="15"/>
      <c r="AW51" s="15"/>
      <c r="AX51" s="15"/>
      <c r="AY51" s="15"/>
      <c r="AZ51" s="15"/>
      <c r="BA51" s="15"/>
      <c r="BB51" s="15"/>
      <c r="BC51" s="15"/>
      <c r="BD51" s="15"/>
    </row>
    <row r="52" spans="2:56" ht="18.649999999999999" customHeight="1" x14ac:dyDescent="0.25">
      <c r="B52" s="70" t="s">
        <v>43</v>
      </c>
      <c r="C52" s="4" t="s">
        <v>30</v>
      </c>
      <c r="D52" s="5">
        <v>4</v>
      </c>
      <c r="E52" s="11">
        <v>23484</v>
      </c>
      <c r="F52" s="11">
        <v>21842</v>
      </c>
      <c r="G52" s="11">
        <v>20979</v>
      </c>
      <c r="H52" s="11">
        <v>20283</v>
      </c>
      <c r="I52" s="11">
        <v>21151</v>
      </c>
      <c r="J52" s="11">
        <v>22404</v>
      </c>
      <c r="K52" s="11">
        <v>24497</v>
      </c>
      <c r="L52" s="11">
        <v>37399</v>
      </c>
      <c r="M52" s="11">
        <v>39659</v>
      </c>
      <c r="N52" s="11">
        <v>41011</v>
      </c>
      <c r="O52" s="11">
        <v>42127</v>
      </c>
      <c r="P52" s="11">
        <v>43432</v>
      </c>
      <c r="Q52" s="11">
        <v>43450</v>
      </c>
      <c r="R52" s="11">
        <v>42798</v>
      </c>
      <c r="S52" s="11">
        <v>42738</v>
      </c>
      <c r="T52" s="11">
        <v>42249</v>
      </c>
      <c r="U52" s="11">
        <v>42615</v>
      </c>
      <c r="V52" s="11">
        <v>38611</v>
      </c>
      <c r="W52" s="11">
        <v>44369</v>
      </c>
      <c r="X52" s="11">
        <v>44756</v>
      </c>
      <c r="Y52" s="11">
        <v>42814</v>
      </c>
      <c r="Z52" s="11">
        <v>39718</v>
      </c>
      <c r="AA52" s="11">
        <v>35233</v>
      </c>
      <c r="AB52" s="11">
        <v>31053</v>
      </c>
      <c r="AC52" s="77"/>
      <c r="AG52" s="15"/>
      <c r="AH52" s="15"/>
      <c r="AI52" s="15"/>
      <c r="AJ52" s="15"/>
      <c r="AK52" s="15"/>
      <c r="AL52" s="15"/>
      <c r="AM52" s="15"/>
      <c r="AN52" s="15"/>
      <c r="AO52" s="15"/>
      <c r="AP52" s="15"/>
      <c r="AQ52" s="15"/>
      <c r="AR52" s="15"/>
      <c r="AS52" s="15"/>
      <c r="AT52" s="15"/>
      <c r="AU52" s="15"/>
      <c r="AV52" s="15"/>
      <c r="AW52" s="15"/>
      <c r="AX52" s="15"/>
      <c r="AY52" s="15"/>
      <c r="AZ52" s="15"/>
      <c r="BA52" s="15"/>
      <c r="BB52" s="15"/>
      <c r="BC52" s="15"/>
      <c r="BD52" s="15"/>
    </row>
    <row r="53" spans="2:56" ht="18.649999999999999" customHeight="1" x14ac:dyDescent="0.25">
      <c r="B53" s="70" t="s">
        <v>43</v>
      </c>
      <c r="C53" s="4" t="s">
        <v>31</v>
      </c>
      <c r="D53" s="5">
        <v>4</v>
      </c>
      <c r="E53" s="11">
        <v>24747</v>
      </c>
      <c r="F53" s="11">
        <v>22717</v>
      </c>
      <c r="G53" s="11">
        <v>21369</v>
      </c>
      <c r="H53" s="11">
        <v>20743</v>
      </c>
      <c r="I53" s="11">
        <v>20320</v>
      </c>
      <c r="J53" s="11">
        <v>20463</v>
      </c>
      <c r="K53" s="11">
        <v>20639</v>
      </c>
      <c r="L53" s="11">
        <v>32667</v>
      </c>
      <c r="M53" s="11">
        <v>35878</v>
      </c>
      <c r="N53" s="11">
        <v>37282</v>
      </c>
      <c r="O53" s="11">
        <v>38862</v>
      </c>
      <c r="P53" s="11">
        <v>40585</v>
      </c>
      <c r="Q53" s="11">
        <v>41758</v>
      </c>
      <c r="R53" s="11">
        <v>40665</v>
      </c>
      <c r="S53" s="11">
        <v>38967</v>
      </c>
      <c r="T53" s="11">
        <v>39633</v>
      </c>
      <c r="U53" s="11">
        <v>39693</v>
      </c>
      <c r="V53" s="11">
        <v>37023</v>
      </c>
      <c r="W53" s="11">
        <v>41467</v>
      </c>
      <c r="X53" s="11">
        <v>41827</v>
      </c>
      <c r="Y53" s="11">
        <v>40349</v>
      </c>
      <c r="Z53" s="11">
        <v>37975</v>
      </c>
      <c r="AA53" s="11">
        <v>33195</v>
      </c>
      <c r="AB53" s="11">
        <v>29327</v>
      </c>
      <c r="AC53" s="77"/>
      <c r="AG53" s="15"/>
      <c r="AH53" s="15"/>
      <c r="AI53" s="15"/>
      <c r="AJ53" s="15"/>
      <c r="AK53" s="15"/>
      <c r="AL53" s="15"/>
      <c r="AM53" s="15"/>
      <c r="AN53" s="15"/>
      <c r="AO53" s="15"/>
      <c r="AP53" s="15"/>
      <c r="AQ53" s="15"/>
      <c r="AR53" s="15"/>
      <c r="AS53" s="15"/>
      <c r="AT53" s="15"/>
      <c r="AU53" s="15"/>
      <c r="AV53" s="15"/>
      <c r="AW53" s="15"/>
      <c r="AX53" s="15"/>
      <c r="AY53" s="15"/>
      <c r="AZ53" s="15"/>
      <c r="BA53" s="15"/>
      <c r="BB53" s="15"/>
      <c r="BC53" s="15"/>
      <c r="BD53" s="15"/>
    </row>
    <row r="54" spans="2:56" ht="18.649999999999999" customHeight="1" x14ac:dyDescent="0.25">
      <c r="B54" s="70" t="s">
        <v>43</v>
      </c>
      <c r="C54" s="4" t="s">
        <v>32</v>
      </c>
      <c r="D54" s="5">
        <v>2</v>
      </c>
      <c r="E54" s="11">
        <v>24450</v>
      </c>
      <c r="F54" s="11">
        <v>22950</v>
      </c>
      <c r="G54" s="11">
        <v>21568</v>
      </c>
      <c r="H54" s="11">
        <v>20743</v>
      </c>
      <c r="I54" s="11">
        <v>19798</v>
      </c>
      <c r="J54" s="11">
        <v>19235</v>
      </c>
      <c r="K54" s="11">
        <v>18586</v>
      </c>
      <c r="L54" s="11">
        <v>27815</v>
      </c>
      <c r="M54" s="11">
        <v>29315</v>
      </c>
      <c r="N54" s="11">
        <v>31018</v>
      </c>
      <c r="O54" s="11">
        <v>33490</v>
      </c>
      <c r="P54" s="11">
        <v>35702</v>
      </c>
      <c r="Q54" s="11">
        <v>37483</v>
      </c>
      <c r="R54" s="11">
        <v>37892</v>
      </c>
      <c r="S54" s="11">
        <v>36824</v>
      </c>
      <c r="T54" s="11">
        <v>37043</v>
      </c>
      <c r="U54" s="11">
        <v>37370</v>
      </c>
      <c r="V54" s="11">
        <v>35170</v>
      </c>
      <c r="W54" s="11">
        <v>39111</v>
      </c>
      <c r="X54" s="11">
        <v>39950</v>
      </c>
      <c r="Y54" s="11">
        <v>37927</v>
      </c>
      <c r="Z54" s="11">
        <v>35125</v>
      </c>
      <c r="AA54" s="11">
        <v>30414</v>
      </c>
      <c r="AB54" s="11">
        <v>26160</v>
      </c>
      <c r="AC54" s="78"/>
      <c r="AG54" s="15"/>
      <c r="AH54" s="15"/>
      <c r="AI54" s="15"/>
      <c r="AJ54" s="15"/>
      <c r="AK54" s="15"/>
      <c r="AL54" s="15"/>
      <c r="AM54" s="15"/>
      <c r="AN54" s="15"/>
      <c r="AO54" s="15"/>
      <c r="AP54" s="15"/>
      <c r="AQ54" s="15"/>
      <c r="AR54" s="15"/>
      <c r="AS54" s="15"/>
      <c r="AT54" s="15"/>
      <c r="AU54" s="15"/>
      <c r="AV54" s="15"/>
      <c r="AW54" s="15"/>
      <c r="AX54" s="15"/>
      <c r="AY54" s="15"/>
      <c r="AZ54" s="15"/>
      <c r="BA54" s="15"/>
      <c r="BB54" s="15"/>
      <c r="BC54" s="15"/>
      <c r="BD54" s="15"/>
    </row>
    <row r="55" spans="2:56" ht="18.649999999999999" customHeight="1" x14ac:dyDescent="0.25">
      <c r="E55" s="12"/>
      <c r="F55" s="12"/>
      <c r="G55" s="12"/>
      <c r="H55" s="12"/>
      <c r="I55" s="12"/>
      <c r="J55" s="12"/>
      <c r="K55" s="12"/>
      <c r="L55" s="12"/>
      <c r="M55" s="12"/>
      <c r="N55" s="12"/>
      <c r="O55" s="12"/>
      <c r="P55" s="12"/>
      <c r="Q55" s="12"/>
      <c r="R55" s="12"/>
      <c r="S55" s="12"/>
      <c r="T55" s="12"/>
      <c r="U55" s="12"/>
      <c r="V55" s="12"/>
      <c r="W55" s="12"/>
      <c r="X55" s="12"/>
      <c r="Y55" s="12"/>
      <c r="Z55" s="80" t="s">
        <v>46</v>
      </c>
      <c r="AA55" s="80"/>
      <c r="AB55" s="80"/>
      <c r="AC55" s="13">
        <f>SUM(AC7:AC54)</f>
        <v>303768172</v>
      </c>
    </row>
    <row r="57" spans="2:56" x14ac:dyDescent="0.25">
      <c r="AC57" s="10"/>
    </row>
  </sheetData>
  <mergeCells count="28">
    <mergeCell ref="B51:B54"/>
    <mergeCell ref="AC51:AC54"/>
    <mergeCell ref="Z55:AB55"/>
    <mergeCell ref="B39:B42"/>
    <mergeCell ref="AC39:AC42"/>
    <mergeCell ref="B43:B46"/>
    <mergeCell ref="AC43:AC46"/>
    <mergeCell ref="B47:B50"/>
    <mergeCell ref="AC47:AC50"/>
    <mergeCell ref="B27:B30"/>
    <mergeCell ref="AC27:AC30"/>
    <mergeCell ref="B31:B34"/>
    <mergeCell ref="AC31:AC34"/>
    <mergeCell ref="B35:B38"/>
    <mergeCell ref="AC35:AC38"/>
    <mergeCell ref="B15:B18"/>
    <mergeCell ref="AC15:AC18"/>
    <mergeCell ref="B19:B22"/>
    <mergeCell ref="AC19:AC22"/>
    <mergeCell ref="B23:B26"/>
    <mergeCell ref="AC23:AC26"/>
    <mergeCell ref="B11:B14"/>
    <mergeCell ref="AC11:AC14"/>
    <mergeCell ref="B2:AC2"/>
    <mergeCell ref="B3:AC3"/>
    <mergeCell ref="B4:AC4"/>
    <mergeCell ref="B7:B10"/>
    <mergeCell ref="AC7:AC10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A6712B-C4BE-4368-A119-E0A3E9E9DDA8}">
  <dimension ref="B1:BF56"/>
  <sheetViews>
    <sheetView showGridLines="0" topLeftCell="H37" zoomScale="70" zoomScaleNormal="70" workbookViewId="0">
      <selection activeCell="A5" sqref="A5:AD56"/>
    </sheetView>
  </sheetViews>
  <sheetFormatPr baseColWidth="10" defaultColWidth="11.453125" defaultRowHeight="12.5" x14ac:dyDescent="0.25"/>
  <cols>
    <col min="1" max="1" width="3" style="1" customWidth="1"/>
    <col min="2" max="2" width="5.7265625" style="1" customWidth="1"/>
    <col min="3" max="3" width="9.1796875" style="1" bestFit="1" customWidth="1"/>
    <col min="4" max="4" width="4.7265625" style="1" bestFit="1" customWidth="1"/>
    <col min="5" max="28" width="10.26953125" style="1" bestFit="1" customWidth="1"/>
    <col min="29" max="29" width="17" style="1" customWidth="1"/>
    <col min="30" max="30" width="2.26953125" style="1" customWidth="1"/>
    <col min="31" max="31" width="14.7265625" style="1" bestFit="1" customWidth="1"/>
    <col min="32" max="257" width="11.453125" style="1"/>
    <col min="258" max="258" width="7" style="1" customWidth="1"/>
    <col min="259" max="259" width="10.7265625" style="1" customWidth="1"/>
    <col min="260" max="260" width="9.26953125" style="1" customWidth="1"/>
    <col min="261" max="284" width="7.26953125" style="1" customWidth="1"/>
    <col min="285" max="285" width="11.26953125" style="1" bestFit="1" customWidth="1"/>
    <col min="286" max="513" width="11.453125" style="1"/>
    <col min="514" max="514" width="7" style="1" customWidth="1"/>
    <col min="515" max="515" width="10.7265625" style="1" customWidth="1"/>
    <col min="516" max="516" width="9.26953125" style="1" customWidth="1"/>
    <col min="517" max="540" width="7.26953125" style="1" customWidth="1"/>
    <col min="541" max="541" width="11.26953125" style="1" bestFit="1" customWidth="1"/>
    <col min="542" max="769" width="11.453125" style="1"/>
    <col min="770" max="770" width="7" style="1" customWidth="1"/>
    <col min="771" max="771" width="10.7265625" style="1" customWidth="1"/>
    <col min="772" max="772" width="9.26953125" style="1" customWidth="1"/>
    <col min="773" max="796" width="7.26953125" style="1" customWidth="1"/>
    <col min="797" max="797" width="11.26953125" style="1" bestFit="1" customWidth="1"/>
    <col min="798" max="1025" width="11.453125" style="1"/>
    <col min="1026" max="1026" width="7" style="1" customWidth="1"/>
    <col min="1027" max="1027" width="10.7265625" style="1" customWidth="1"/>
    <col min="1028" max="1028" width="9.26953125" style="1" customWidth="1"/>
    <col min="1029" max="1052" width="7.26953125" style="1" customWidth="1"/>
    <col min="1053" max="1053" width="11.26953125" style="1" bestFit="1" customWidth="1"/>
    <col min="1054" max="1281" width="11.453125" style="1"/>
    <col min="1282" max="1282" width="7" style="1" customWidth="1"/>
    <col min="1283" max="1283" width="10.7265625" style="1" customWidth="1"/>
    <col min="1284" max="1284" width="9.26953125" style="1" customWidth="1"/>
    <col min="1285" max="1308" width="7.26953125" style="1" customWidth="1"/>
    <col min="1309" max="1309" width="11.26953125" style="1" bestFit="1" customWidth="1"/>
    <col min="1310" max="1537" width="11.453125" style="1"/>
    <col min="1538" max="1538" width="7" style="1" customWidth="1"/>
    <col min="1539" max="1539" width="10.7265625" style="1" customWidth="1"/>
    <col min="1540" max="1540" width="9.26953125" style="1" customWidth="1"/>
    <col min="1541" max="1564" width="7.26953125" style="1" customWidth="1"/>
    <col min="1565" max="1565" width="11.26953125" style="1" bestFit="1" customWidth="1"/>
    <col min="1566" max="1793" width="11.453125" style="1"/>
    <col min="1794" max="1794" width="7" style="1" customWidth="1"/>
    <col min="1795" max="1795" width="10.7265625" style="1" customWidth="1"/>
    <col min="1796" max="1796" width="9.26953125" style="1" customWidth="1"/>
    <col min="1797" max="1820" width="7.26953125" style="1" customWidth="1"/>
    <col min="1821" max="1821" width="11.26953125" style="1" bestFit="1" customWidth="1"/>
    <col min="1822" max="2049" width="11.453125" style="1"/>
    <col min="2050" max="2050" width="7" style="1" customWidth="1"/>
    <col min="2051" max="2051" width="10.7265625" style="1" customWidth="1"/>
    <col min="2052" max="2052" width="9.26953125" style="1" customWidth="1"/>
    <col min="2053" max="2076" width="7.26953125" style="1" customWidth="1"/>
    <col min="2077" max="2077" width="11.26953125" style="1" bestFit="1" customWidth="1"/>
    <col min="2078" max="2305" width="11.453125" style="1"/>
    <col min="2306" max="2306" width="7" style="1" customWidth="1"/>
    <col min="2307" max="2307" width="10.7265625" style="1" customWidth="1"/>
    <col min="2308" max="2308" width="9.26953125" style="1" customWidth="1"/>
    <col min="2309" max="2332" width="7.26953125" style="1" customWidth="1"/>
    <col min="2333" max="2333" width="11.26953125" style="1" bestFit="1" customWidth="1"/>
    <col min="2334" max="2561" width="11.453125" style="1"/>
    <col min="2562" max="2562" width="7" style="1" customWidth="1"/>
    <col min="2563" max="2563" width="10.7265625" style="1" customWidth="1"/>
    <col min="2564" max="2564" width="9.26953125" style="1" customWidth="1"/>
    <col min="2565" max="2588" width="7.26953125" style="1" customWidth="1"/>
    <col min="2589" max="2589" width="11.26953125" style="1" bestFit="1" customWidth="1"/>
    <col min="2590" max="2817" width="11.453125" style="1"/>
    <col min="2818" max="2818" width="7" style="1" customWidth="1"/>
    <col min="2819" max="2819" width="10.7265625" style="1" customWidth="1"/>
    <col min="2820" max="2820" width="9.26953125" style="1" customWidth="1"/>
    <col min="2821" max="2844" width="7.26953125" style="1" customWidth="1"/>
    <col min="2845" max="2845" width="11.26953125" style="1" bestFit="1" customWidth="1"/>
    <col min="2846" max="3073" width="11.453125" style="1"/>
    <col min="3074" max="3074" width="7" style="1" customWidth="1"/>
    <col min="3075" max="3075" width="10.7265625" style="1" customWidth="1"/>
    <col min="3076" max="3076" width="9.26953125" style="1" customWidth="1"/>
    <col min="3077" max="3100" width="7.26953125" style="1" customWidth="1"/>
    <col min="3101" max="3101" width="11.26953125" style="1" bestFit="1" customWidth="1"/>
    <col min="3102" max="3329" width="11.453125" style="1"/>
    <col min="3330" max="3330" width="7" style="1" customWidth="1"/>
    <col min="3331" max="3331" width="10.7265625" style="1" customWidth="1"/>
    <col min="3332" max="3332" width="9.26953125" style="1" customWidth="1"/>
    <col min="3333" max="3356" width="7.26953125" style="1" customWidth="1"/>
    <col min="3357" max="3357" width="11.26953125" style="1" bestFit="1" customWidth="1"/>
    <col min="3358" max="3585" width="11.453125" style="1"/>
    <col min="3586" max="3586" width="7" style="1" customWidth="1"/>
    <col min="3587" max="3587" width="10.7265625" style="1" customWidth="1"/>
    <col min="3588" max="3588" width="9.26953125" style="1" customWidth="1"/>
    <col min="3589" max="3612" width="7.26953125" style="1" customWidth="1"/>
    <col min="3613" max="3613" width="11.26953125" style="1" bestFit="1" customWidth="1"/>
    <col min="3614" max="3841" width="11.453125" style="1"/>
    <col min="3842" max="3842" width="7" style="1" customWidth="1"/>
    <col min="3843" max="3843" width="10.7265625" style="1" customWidth="1"/>
    <col min="3844" max="3844" width="9.26953125" style="1" customWidth="1"/>
    <col min="3845" max="3868" width="7.26953125" style="1" customWidth="1"/>
    <col min="3869" max="3869" width="11.26953125" style="1" bestFit="1" customWidth="1"/>
    <col min="3870" max="4097" width="11.453125" style="1"/>
    <col min="4098" max="4098" width="7" style="1" customWidth="1"/>
    <col min="4099" max="4099" width="10.7265625" style="1" customWidth="1"/>
    <col min="4100" max="4100" width="9.26953125" style="1" customWidth="1"/>
    <col min="4101" max="4124" width="7.26953125" style="1" customWidth="1"/>
    <col min="4125" max="4125" width="11.26953125" style="1" bestFit="1" customWidth="1"/>
    <col min="4126" max="4353" width="11.453125" style="1"/>
    <col min="4354" max="4354" width="7" style="1" customWidth="1"/>
    <col min="4355" max="4355" width="10.7265625" style="1" customWidth="1"/>
    <col min="4356" max="4356" width="9.26953125" style="1" customWidth="1"/>
    <col min="4357" max="4380" width="7.26953125" style="1" customWidth="1"/>
    <col min="4381" max="4381" width="11.26953125" style="1" bestFit="1" customWidth="1"/>
    <col min="4382" max="4609" width="11.453125" style="1"/>
    <col min="4610" max="4610" width="7" style="1" customWidth="1"/>
    <col min="4611" max="4611" width="10.7265625" style="1" customWidth="1"/>
    <col min="4612" max="4612" width="9.26953125" style="1" customWidth="1"/>
    <col min="4613" max="4636" width="7.26953125" style="1" customWidth="1"/>
    <col min="4637" max="4637" width="11.26953125" style="1" bestFit="1" customWidth="1"/>
    <col min="4638" max="4865" width="11.453125" style="1"/>
    <col min="4866" max="4866" width="7" style="1" customWidth="1"/>
    <col min="4867" max="4867" width="10.7265625" style="1" customWidth="1"/>
    <col min="4868" max="4868" width="9.26953125" style="1" customWidth="1"/>
    <col min="4869" max="4892" width="7.26953125" style="1" customWidth="1"/>
    <col min="4893" max="4893" width="11.26953125" style="1" bestFit="1" customWidth="1"/>
    <col min="4894" max="5121" width="11.453125" style="1"/>
    <col min="5122" max="5122" width="7" style="1" customWidth="1"/>
    <col min="5123" max="5123" width="10.7265625" style="1" customWidth="1"/>
    <col min="5124" max="5124" width="9.26953125" style="1" customWidth="1"/>
    <col min="5125" max="5148" width="7.26953125" style="1" customWidth="1"/>
    <col min="5149" max="5149" width="11.26953125" style="1" bestFit="1" customWidth="1"/>
    <col min="5150" max="5377" width="11.453125" style="1"/>
    <col min="5378" max="5378" width="7" style="1" customWidth="1"/>
    <col min="5379" max="5379" width="10.7265625" style="1" customWidth="1"/>
    <col min="5380" max="5380" width="9.26953125" style="1" customWidth="1"/>
    <col min="5381" max="5404" width="7.26953125" style="1" customWidth="1"/>
    <col min="5405" max="5405" width="11.26953125" style="1" bestFit="1" customWidth="1"/>
    <col min="5406" max="5633" width="11.453125" style="1"/>
    <col min="5634" max="5634" width="7" style="1" customWidth="1"/>
    <col min="5635" max="5635" width="10.7265625" style="1" customWidth="1"/>
    <col min="5636" max="5636" width="9.26953125" style="1" customWidth="1"/>
    <col min="5637" max="5660" width="7.26953125" style="1" customWidth="1"/>
    <col min="5661" max="5661" width="11.26953125" style="1" bestFit="1" customWidth="1"/>
    <col min="5662" max="5889" width="11.453125" style="1"/>
    <col min="5890" max="5890" width="7" style="1" customWidth="1"/>
    <col min="5891" max="5891" width="10.7265625" style="1" customWidth="1"/>
    <col min="5892" max="5892" width="9.26953125" style="1" customWidth="1"/>
    <col min="5893" max="5916" width="7.26953125" style="1" customWidth="1"/>
    <col min="5917" max="5917" width="11.26953125" style="1" bestFit="1" customWidth="1"/>
    <col min="5918" max="6145" width="11.453125" style="1"/>
    <col min="6146" max="6146" width="7" style="1" customWidth="1"/>
    <col min="6147" max="6147" width="10.7265625" style="1" customWidth="1"/>
    <col min="6148" max="6148" width="9.26953125" style="1" customWidth="1"/>
    <col min="6149" max="6172" width="7.26953125" style="1" customWidth="1"/>
    <col min="6173" max="6173" width="11.26953125" style="1" bestFit="1" customWidth="1"/>
    <col min="6174" max="6401" width="11.453125" style="1"/>
    <col min="6402" max="6402" width="7" style="1" customWidth="1"/>
    <col min="6403" max="6403" width="10.7265625" style="1" customWidth="1"/>
    <col min="6404" max="6404" width="9.26953125" style="1" customWidth="1"/>
    <col min="6405" max="6428" width="7.26953125" style="1" customWidth="1"/>
    <col min="6429" max="6429" width="11.26953125" style="1" bestFit="1" customWidth="1"/>
    <col min="6430" max="6657" width="11.453125" style="1"/>
    <col min="6658" max="6658" width="7" style="1" customWidth="1"/>
    <col min="6659" max="6659" width="10.7265625" style="1" customWidth="1"/>
    <col min="6660" max="6660" width="9.26953125" style="1" customWidth="1"/>
    <col min="6661" max="6684" width="7.26953125" style="1" customWidth="1"/>
    <col min="6685" max="6685" width="11.26953125" style="1" bestFit="1" customWidth="1"/>
    <col min="6686" max="6913" width="11.453125" style="1"/>
    <col min="6914" max="6914" width="7" style="1" customWidth="1"/>
    <col min="6915" max="6915" width="10.7265625" style="1" customWidth="1"/>
    <col min="6916" max="6916" width="9.26953125" style="1" customWidth="1"/>
    <col min="6917" max="6940" width="7.26953125" style="1" customWidth="1"/>
    <col min="6941" max="6941" width="11.26953125" style="1" bestFit="1" customWidth="1"/>
    <col min="6942" max="7169" width="11.453125" style="1"/>
    <col min="7170" max="7170" width="7" style="1" customWidth="1"/>
    <col min="7171" max="7171" width="10.7265625" style="1" customWidth="1"/>
    <col min="7172" max="7172" width="9.26953125" style="1" customWidth="1"/>
    <col min="7173" max="7196" width="7.26953125" style="1" customWidth="1"/>
    <col min="7197" max="7197" width="11.26953125" style="1" bestFit="1" customWidth="1"/>
    <col min="7198" max="7425" width="11.453125" style="1"/>
    <col min="7426" max="7426" width="7" style="1" customWidth="1"/>
    <col min="7427" max="7427" width="10.7265625" style="1" customWidth="1"/>
    <col min="7428" max="7428" width="9.26953125" style="1" customWidth="1"/>
    <col min="7429" max="7452" width="7.26953125" style="1" customWidth="1"/>
    <col min="7453" max="7453" width="11.26953125" style="1" bestFit="1" customWidth="1"/>
    <col min="7454" max="7681" width="11.453125" style="1"/>
    <col min="7682" max="7682" width="7" style="1" customWidth="1"/>
    <col min="7683" max="7683" width="10.7265625" style="1" customWidth="1"/>
    <col min="7684" max="7684" width="9.26953125" style="1" customWidth="1"/>
    <col min="7685" max="7708" width="7.26953125" style="1" customWidth="1"/>
    <col min="7709" max="7709" width="11.26953125" style="1" bestFit="1" customWidth="1"/>
    <col min="7710" max="7937" width="11.453125" style="1"/>
    <col min="7938" max="7938" width="7" style="1" customWidth="1"/>
    <col min="7939" max="7939" width="10.7265625" style="1" customWidth="1"/>
    <col min="7940" max="7940" width="9.26953125" style="1" customWidth="1"/>
    <col min="7941" max="7964" width="7.26953125" style="1" customWidth="1"/>
    <col min="7965" max="7965" width="11.26953125" style="1" bestFit="1" customWidth="1"/>
    <col min="7966" max="8193" width="11.453125" style="1"/>
    <col min="8194" max="8194" width="7" style="1" customWidth="1"/>
    <col min="8195" max="8195" width="10.7265625" style="1" customWidth="1"/>
    <col min="8196" max="8196" width="9.26953125" style="1" customWidth="1"/>
    <col min="8197" max="8220" width="7.26953125" style="1" customWidth="1"/>
    <col min="8221" max="8221" width="11.26953125" style="1" bestFit="1" customWidth="1"/>
    <col min="8222" max="8449" width="11.453125" style="1"/>
    <col min="8450" max="8450" width="7" style="1" customWidth="1"/>
    <col min="8451" max="8451" width="10.7265625" style="1" customWidth="1"/>
    <col min="8452" max="8452" width="9.26953125" style="1" customWidth="1"/>
    <col min="8453" max="8476" width="7.26953125" style="1" customWidth="1"/>
    <col min="8477" max="8477" width="11.26953125" style="1" bestFit="1" customWidth="1"/>
    <col min="8478" max="8705" width="11.453125" style="1"/>
    <col min="8706" max="8706" width="7" style="1" customWidth="1"/>
    <col min="8707" max="8707" width="10.7265625" style="1" customWidth="1"/>
    <col min="8708" max="8708" width="9.26953125" style="1" customWidth="1"/>
    <col min="8709" max="8732" width="7.26953125" style="1" customWidth="1"/>
    <col min="8733" max="8733" width="11.26953125" style="1" bestFit="1" customWidth="1"/>
    <col min="8734" max="8961" width="11.453125" style="1"/>
    <col min="8962" max="8962" width="7" style="1" customWidth="1"/>
    <col min="8963" max="8963" width="10.7265625" style="1" customWidth="1"/>
    <col min="8964" max="8964" width="9.26953125" style="1" customWidth="1"/>
    <col min="8965" max="8988" width="7.26953125" style="1" customWidth="1"/>
    <col min="8989" max="8989" width="11.26953125" style="1" bestFit="1" customWidth="1"/>
    <col min="8990" max="9217" width="11.453125" style="1"/>
    <col min="9218" max="9218" width="7" style="1" customWidth="1"/>
    <col min="9219" max="9219" width="10.7265625" style="1" customWidth="1"/>
    <col min="9220" max="9220" width="9.26953125" style="1" customWidth="1"/>
    <col min="9221" max="9244" width="7.26953125" style="1" customWidth="1"/>
    <col min="9245" max="9245" width="11.26953125" style="1" bestFit="1" customWidth="1"/>
    <col min="9246" max="9473" width="11.453125" style="1"/>
    <col min="9474" max="9474" width="7" style="1" customWidth="1"/>
    <col min="9475" max="9475" width="10.7265625" style="1" customWidth="1"/>
    <col min="9476" max="9476" width="9.26953125" style="1" customWidth="1"/>
    <col min="9477" max="9500" width="7.26953125" style="1" customWidth="1"/>
    <col min="9501" max="9501" width="11.26953125" style="1" bestFit="1" customWidth="1"/>
    <col min="9502" max="9729" width="11.453125" style="1"/>
    <col min="9730" max="9730" width="7" style="1" customWidth="1"/>
    <col min="9731" max="9731" width="10.7265625" style="1" customWidth="1"/>
    <col min="9732" max="9732" width="9.26953125" style="1" customWidth="1"/>
    <col min="9733" max="9756" width="7.26953125" style="1" customWidth="1"/>
    <col min="9757" max="9757" width="11.26953125" style="1" bestFit="1" customWidth="1"/>
    <col min="9758" max="9985" width="11.453125" style="1"/>
    <col min="9986" max="9986" width="7" style="1" customWidth="1"/>
    <col min="9987" max="9987" width="10.7265625" style="1" customWidth="1"/>
    <col min="9988" max="9988" width="9.26953125" style="1" customWidth="1"/>
    <col min="9989" max="10012" width="7.26953125" style="1" customWidth="1"/>
    <col min="10013" max="10013" width="11.26953125" style="1" bestFit="1" customWidth="1"/>
    <col min="10014" max="10241" width="11.453125" style="1"/>
    <col min="10242" max="10242" width="7" style="1" customWidth="1"/>
    <col min="10243" max="10243" width="10.7265625" style="1" customWidth="1"/>
    <col min="10244" max="10244" width="9.26953125" style="1" customWidth="1"/>
    <col min="10245" max="10268" width="7.26953125" style="1" customWidth="1"/>
    <col min="10269" max="10269" width="11.26953125" style="1" bestFit="1" customWidth="1"/>
    <col min="10270" max="10497" width="11.453125" style="1"/>
    <col min="10498" max="10498" width="7" style="1" customWidth="1"/>
    <col min="10499" max="10499" width="10.7265625" style="1" customWidth="1"/>
    <col min="10500" max="10500" width="9.26953125" style="1" customWidth="1"/>
    <col min="10501" max="10524" width="7.26953125" style="1" customWidth="1"/>
    <col min="10525" max="10525" width="11.26953125" style="1" bestFit="1" customWidth="1"/>
    <col min="10526" max="10753" width="11.453125" style="1"/>
    <col min="10754" max="10754" width="7" style="1" customWidth="1"/>
    <col min="10755" max="10755" width="10.7265625" style="1" customWidth="1"/>
    <col min="10756" max="10756" width="9.26953125" style="1" customWidth="1"/>
    <col min="10757" max="10780" width="7.26953125" style="1" customWidth="1"/>
    <col min="10781" max="10781" width="11.26953125" style="1" bestFit="1" customWidth="1"/>
    <col min="10782" max="11009" width="11.453125" style="1"/>
    <col min="11010" max="11010" width="7" style="1" customWidth="1"/>
    <col min="11011" max="11011" width="10.7265625" style="1" customWidth="1"/>
    <col min="11012" max="11012" width="9.26953125" style="1" customWidth="1"/>
    <col min="11013" max="11036" width="7.26953125" style="1" customWidth="1"/>
    <col min="11037" max="11037" width="11.26953125" style="1" bestFit="1" customWidth="1"/>
    <col min="11038" max="11265" width="11.453125" style="1"/>
    <col min="11266" max="11266" width="7" style="1" customWidth="1"/>
    <col min="11267" max="11267" width="10.7265625" style="1" customWidth="1"/>
    <col min="11268" max="11268" width="9.26953125" style="1" customWidth="1"/>
    <col min="11269" max="11292" width="7.26953125" style="1" customWidth="1"/>
    <col min="11293" max="11293" width="11.26953125" style="1" bestFit="1" customWidth="1"/>
    <col min="11294" max="11521" width="11.453125" style="1"/>
    <col min="11522" max="11522" width="7" style="1" customWidth="1"/>
    <col min="11523" max="11523" width="10.7265625" style="1" customWidth="1"/>
    <col min="11524" max="11524" width="9.26953125" style="1" customWidth="1"/>
    <col min="11525" max="11548" width="7.26953125" style="1" customWidth="1"/>
    <col min="11549" max="11549" width="11.26953125" style="1" bestFit="1" customWidth="1"/>
    <col min="11550" max="11777" width="11.453125" style="1"/>
    <col min="11778" max="11778" width="7" style="1" customWidth="1"/>
    <col min="11779" max="11779" width="10.7265625" style="1" customWidth="1"/>
    <col min="11780" max="11780" width="9.26953125" style="1" customWidth="1"/>
    <col min="11781" max="11804" width="7.26953125" style="1" customWidth="1"/>
    <col min="11805" max="11805" width="11.26953125" style="1" bestFit="1" customWidth="1"/>
    <col min="11806" max="12033" width="11.453125" style="1"/>
    <col min="12034" max="12034" width="7" style="1" customWidth="1"/>
    <col min="12035" max="12035" width="10.7265625" style="1" customWidth="1"/>
    <col min="12036" max="12036" width="9.26953125" style="1" customWidth="1"/>
    <col min="12037" max="12060" width="7.26953125" style="1" customWidth="1"/>
    <col min="12061" max="12061" width="11.26953125" style="1" bestFit="1" customWidth="1"/>
    <col min="12062" max="12289" width="11.453125" style="1"/>
    <col min="12290" max="12290" width="7" style="1" customWidth="1"/>
    <col min="12291" max="12291" width="10.7265625" style="1" customWidth="1"/>
    <col min="12292" max="12292" width="9.26953125" style="1" customWidth="1"/>
    <col min="12293" max="12316" width="7.26953125" style="1" customWidth="1"/>
    <col min="12317" max="12317" width="11.26953125" style="1" bestFit="1" customWidth="1"/>
    <col min="12318" max="12545" width="11.453125" style="1"/>
    <col min="12546" max="12546" width="7" style="1" customWidth="1"/>
    <col min="12547" max="12547" width="10.7265625" style="1" customWidth="1"/>
    <col min="12548" max="12548" width="9.26953125" style="1" customWidth="1"/>
    <col min="12549" max="12572" width="7.26953125" style="1" customWidth="1"/>
    <col min="12573" max="12573" width="11.26953125" style="1" bestFit="1" customWidth="1"/>
    <col min="12574" max="12801" width="11.453125" style="1"/>
    <col min="12802" max="12802" width="7" style="1" customWidth="1"/>
    <col min="12803" max="12803" width="10.7265625" style="1" customWidth="1"/>
    <col min="12804" max="12804" width="9.26953125" style="1" customWidth="1"/>
    <col min="12805" max="12828" width="7.26953125" style="1" customWidth="1"/>
    <col min="12829" max="12829" width="11.26953125" style="1" bestFit="1" customWidth="1"/>
    <col min="12830" max="13057" width="11.453125" style="1"/>
    <col min="13058" max="13058" width="7" style="1" customWidth="1"/>
    <col min="13059" max="13059" width="10.7265625" style="1" customWidth="1"/>
    <col min="13060" max="13060" width="9.26953125" style="1" customWidth="1"/>
    <col min="13061" max="13084" width="7.26953125" style="1" customWidth="1"/>
    <col min="13085" max="13085" width="11.26953125" style="1" bestFit="1" customWidth="1"/>
    <col min="13086" max="13313" width="11.453125" style="1"/>
    <col min="13314" max="13314" width="7" style="1" customWidth="1"/>
    <col min="13315" max="13315" width="10.7265625" style="1" customWidth="1"/>
    <col min="13316" max="13316" width="9.26953125" style="1" customWidth="1"/>
    <col min="13317" max="13340" width="7.26953125" style="1" customWidth="1"/>
    <col min="13341" max="13341" width="11.26953125" style="1" bestFit="1" customWidth="1"/>
    <col min="13342" max="13569" width="11.453125" style="1"/>
    <col min="13570" max="13570" width="7" style="1" customWidth="1"/>
    <col min="13571" max="13571" width="10.7265625" style="1" customWidth="1"/>
    <col min="13572" max="13572" width="9.26953125" style="1" customWidth="1"/>
    <col min="13573" max="13596" width="7.26953125" style="1" customWidth="1"/>
    <col min="13597" max="13597" width="11.26953125" style="1" bestFit="1" customWidth="1"/>
    <col min="13598" max="13825" width="11.453125" style="1"/>
    <col min="13826" max="13826" width="7" style="1" customWidth="1"/>
    <col min="13827" max="13827" width="10.7265625" style="1" customWidth="1"/>
    <col min="13828" max="13828" width="9.26953125" style="1" customWidth="1"/>
    <col min="13829" max="13852" width="7.26953125" style="1" customWidth="1"/>
    <col min="13853" max="13853" width="11.26953125" style="1" bestFit="1" customWidth="1"/>
    <col min="13854" max="14081" width="11.453125" style="1"/>
    <col min="14082" max="14082" width="7" style="1" customWidth="1"/>
    <col min="14083" max="14083" width="10.7265625" style="1" customWidth="1"/>
    <col min="14084" max="14084" width="9.26953125" style="1" customWidth="1"/>
    <col min="14085" max="14108" width="7.26953125" style="1" customWidth="1"/>
    <col min="14109" max="14109" width="11.26953125" style="1" bestFit="1" customWidth="1"/>
    <col min="14110" max="14337" width="11.453125" style="1"/>
    <col min="14338" max="14338" width="7" style="1" customWidth="1"/>
    <col min="14339" max="14339" width="10.7265625" style="1" customWidth="1"/>
    <col min="14340" max="14340" width="9.26953125" style="1" customWidth="1"/>
    <col min="14341" max="14364" width="7.26953125" style="1" customWidth="1"/>
    <col min="14365" max="14365" width="11.26953125" style="1" bestFit="1" customWidth="1"/>
    <col min="14366" max="14593" width="11.453125" style="1"/>
    <col min="14594" max="14594" width="7" style="1" customWidth="1"/>
    <col min="14595" max="14595" width="10.7265625" style="1" customWidth="1"/>
    <col min="14596" max="14596" width="9.26953125" style="1" customWidth="1"/>
    <col min="14597" max="14620" width="7.26953125" style="1" customWidth="1"/>
    <col min="14621" max="14621" width="11.26953125" style="1" bestFit="1" customWidth="1"/>
    <col min="14622" max="14849" width="11.453125" style="1"/>
    <col min="14850" max="14850" width="7" style="1" customWidth="1"/>
    <col min="14851" max="14851" width="10.7265625" style="1" customWidth="1"/>
    <col min="14852" max="14852" width="9.26953125" style="1" customWidth="1"/>
    <col min="14853" max="14876" width="7.26953125" style="1" customWidth="1"/>
    <col min="14877" max="14877" width="11.26953125" style="1" bestFit="1" customWidth="1"/>
    <col min="14878" max="15105" width="11.453125" style="1"/>
    <col min="15106" max="15106" width="7" style="1" customWidth="1"/>
    <col min="15107" max="15107" width="10.7265625" style="1" customWidth="1"/>
    <col min="15108" max="15108" width="9.26953125" style="1" customWidth="1"/>
    <col min="15109" max="15132" width="7.26953125" style="1" customWidth="1"/>
    <col min="15133" max="15133" width="11.26953125" style="1" bestFit="1" customWidth="1"/>
    <col min="15134" max="15361" width="11.453125" style="1"/>
    <col min="15362" max="15362" width="7" style="1" customWidth="1"/>
    <col min="15363" max="15363" width="10.7265625" style="1" customWidth="1"/>
    <col min="15364" max="15364" width="9.26953125" style="1" customWidth="1"/>
    <col min="15365" max="15388" width="7.26953125" style="1" customWidth="1"/>
    <col min="15389" max="15389" width="11.26953125" style="1" bestFit="1" customWidth="1"/>
    <col min="15390" max="15617" width="11.453125" style="1"/>
    <col min="15618" max="15618" width="7" style="1" customWidth="1"/>
    <col min="15619" max="15619" width="10.7265625" style="1" customWidth="1"/>
    <col min="15620" max="15620" width="9.26953125" style="1" customWidth="1"/>
    <col min="15621" max="15644" width="7.26953125" style="1" customWidth="1"/>
    <col min="15645" max="15645" width="11.26953125" style="1" bestFit="1" customWidth="1"/>
    <col min="15646" max="15873" width="11.453125" style="1"/>
    <col min="15874" max="15874" width="7" style="1" customWidth="1"/>
    <col min="15875" max="15875" width="10.7265625" style="1" customWidth="1"/>
    <col min="15876" max="15876" width="9.26953125" style="1" customWidth="1"/>
    <col min="15877" max="15900" width="7.26953125" style="1" customWidth="1"/>
    <col min="15901" max="15901" width="11.26953125" style="1" bestFit="1" customWidth="1"/>
    <col min="15902" max="16129" width="11.453125" style="1"/>
    <col min="16130" max="16130" width="7" style="1" customWidth="1"/>
    <col min="16131" max="16131" width="10.7265625" style="1" customWidth="1"/>
    <col min="16132" max="16132" width="9.26953125" style="1" customWidth="1"/>
    <col min="16133" max="16156" width="7.26953125" style="1" customWidth="1"/>
    <col min="16157" max="16157" width="11.26953125" style="1" bestFit="1" customWidth="1"/>
    <col min="16158" max="16384" width="11.453125" style="1"/>
  </cols>
  <sheetData>
    <row r="1" spans="2:58" ht="18.649999999999999" customHeight="1" x14ac:dyDescent="0.25"/>
    <row r="2" spans="2:58" ht="18.649999999999999" customHeight="1" x14ac:dyDescent="0.3">
      <c r="B2" s="71" t="s">
        <v>45</v>
      </c>
      <c r="C2" s="71"/>
      <c r="D2" s="71"/>
      <c r="E2" s="71"/>
      <c r="F2" s="71"/>
      <c r="G2" s="71"/>
      <c r="H2" s="71"/>
      <c r="I2" s="71"/>
      <c r="J2" s="71"/>
      <c r="K2" s="71"/>
      <c r="L2" s="71"/>
      <c r="M2" s="71"/>
      <c r="N2" s="71"/>
      <c r="O2" s="71"/>
      <c r="P2" s="71"/>
      <c r="Q2" s="71"/>
      <c r="R2" s="71"/>
      <c r="S2" s="71"/>
      <c r="T2" s="71"/>
      <c r="U2" s="71"/>
      <c r="V2" s="71"/>
      <c r="W2" s="71"/>
      <c r="X2" s="71"/>
      <c r="Y2" s="71"/>
      <c r="Z2" s="71"/>
      <c r="AA2" s="71"/>
      <c r="AB2" s="71"/>
      <c r="AC2" s="71"/>
    </row>
    <row r="3" spans="2:58" ht="18.649999999999999" customHeight="1" x14ac:dyDescent="0.3">
      <c r="B3" s="71" t="s">
        <v>44</v>
      </c>
      <c r="C3" s="71"/>
      <c r="D3" s="71"/>
      <c r="E3" s="71"/>
      <c r="F3" s="71"/>
      <c r="G3" s="71"/>
      <c r="H3" s="71"/>
      <c r="I3" s="71"/>
      <c r="J3" s="71"/>
      <c r="K3" s="71"/>
      <c r="L3" s="71"/>
      <c r="M3" s="71"/>
      <c r="N3" s="71"/>
      <c r="O3" s="71"/>
      <c r="P3" s="71"/>
      <c r="Q3" s="71"/>
      <c r="R3" s="71"/>
      <c r="S3" s="71"/>
      <c r="T3" s="71"/>
      <c r="U3" s="71"/>
      <c r="V3" s="71"/>
      <c r="W3" s="71"/>
      <c r="X3" s="71"/>
      <c r="Y3" s="71"/>
      <c r="Z3" s="71"/>
      <c r="AA3" s="71"/>
      <c r="AB3" s="71"/>
      <c r="AC3" s="71"/>
    </row>
    <row r="4" spans="2:58" ht="18.649999999999999" customHeight="1" x14ac:dyDescent="0.3">
      <c r="B4" s="71">
        <v>2027</v>
      </c>
      <c r="C4" s="71"/>
      <c r="D4" s="71"/>
      <c r="E4" s="71"/>
      <c r="F4" s="71"/>
      <c r="G4" s="71"/>
      <c r="H4" s="71"/>
      <c r="I4" s="71"/>
      <c r="J4" s="71"/>
      <c r="K4" s="71"/>
      <c r="L4" s="71"/>
      <c r="M4" s="71"/>
      <c r="N4" s="71"/>
      <c r="O4" s="71"/>
      <c r="P4" s="71"/>
      <c r="Q4" s="71"/>
      <c r="R4" s="71"/>
      <c r="S4" s="71"/>
      <c r="T4" s="71"/>
      <c r="U4" s="71"/>
      <c r="V4" s="71"/>
      <c r="W4" s="71"/>
      <c r="X4" s="71"/>
      <c r="Y4" s="71"/>
      <c r="Z4" s="71"/>
      <c r="AA4" s="71"/>
      <c r="AB4" s="71"/>
      <c r="AC4" s="71"/>
    </row>
    <row r="5" spans="2:58" ht="18.649999999999999" customHeight="1" x14ac:dyDescent="0.25"/>
    <row r="6" spans="2:58" ht="30" customHeight="1" x14ac:dyDescent="0.25">
      <c r="B6" s="8" t="s">
        <v>0</v>
      </c>
      <c r="C6" s="16" t="s">
        <v>1</v>
      </c>
      <c r="D6" s="8" t="s">
        <v>2</v>
      </c>
      <c r="E6" s="8" t="s">
        <v>3</v>
      </c>
      <c r="F6" s="8" t="s">
        <v>4</v>
      </c>
      <c r="G6" s="8" t="s">
        <v>5</v>
      </c>
      <c r="H6" s="8" t="s">
        <v>6</v>
      </c>
      <c r="I6" s="8" t="s">
        <v>7</v>
      </c>
      <c r="J6" s="8" t="s">
        <v>8</v>
      </c>
      <c r="K6" s="8" t="s">
        <v>9</v>
      </c>
      <c r="L6" s="8" t="s">
        <v>10</v>
      </c>
      <c r="M6" s="8" t="s">
        <v>11</v>
      </c>
      <c r="N6" s="8" t="s">
        <v>12</v>
      </c>
      <c r="O6" s="8" t="s">
        <v>13</v>
      </c>
      <c r="P6" s="8" t="s">
        <v>14</v>
      </c>
      <c r="Q6" s="8" t="s">
        <v>15</v>
      </c>
      <c r="R6" s="8" t="s">
        <v>16</v>
      </c>
      <c r="S6" s="8" t="s">
        <v>17</v>
      </c>
      <c r="T6" s="8" t="s">
        <v>18</v>
      </c>
      <c r="U6" s="8" t="s">
        <v>19</v>
      </c>
      <c r="V6" s="8" t="s">
        <v>20</v>
      </c>
      <c r="W6" s="8" t="s">
        <v>21</v>
      </c>
      <c r="X6" s="8" t="s">
        <v>22</v>
      </c>
      <c r="Y6" s="8" t="s">
        <v>23</v>
      </c>
      <c r="Z6" s="8" t="s">
        <v>24</v>
      </c>
      <c r="AA6" s="8" t="s">
        <v>25</v>
      </c>
      <c r="AB6" s="8" t="s">
        <v>26</v>
      </c>
      <c r="AC6" s="8" t="s">
        <v>27</v>
      </c>
    </row>
    <row r="7" spans="2:58" x14ac:dyDescent="0.25">
      <c r="B7" s="70" t="s">
        <v>28</v>
      </c>
      <c r="C7" s="4" t="s">
        <v>29</v>
      </c>
      <c r="D7" s="5">
        <v>19</v>
      </c>
      <c r="E7" s="22">
        <v>5000</v>
      </c>
      <c r="F7" s="22">
        <v>5000</v>
      </c>
      <c r="G7" s="22">
        <v>5000</v>
      </c>
      <c r="H7" s="22">
        <v>5000</v>
      </c>
      <c r="I7" s="22">
        <v>5000</v>
      </c>
      <c r="J7" s="22">
        <v>5000</v>
      </c>
      <c r="K7" s="22">
        <v>5000</v>
      </c>
      <c r="L7" s="22">
        <v>5000</v>
      </c>
      <c r="M7" s="22">
        <v>5000</v>
      </c>
      <c r="N7" s="22">
        <v>5000</v>
      </c>
      <c r="O7" s="22">
        <v>5000</v>
      </c>
      <c r="P7" s="22">
        <v>5000</v>
      </c>
      <c r="Q7" s="22">
        <v>5000</v>
      </c>
      <c r="R7" s="22">
        <v>5000</v>
      </c>
      <c r="S7" s="22">
        <v>5000</v>
      </c>
      <c r="T7" s="22">
        <v>5000</v>
      </c>
      <c r="U7" s="22">
        <v>5000</v>
      </c>
      <c r="V7" s="22">
        <v>5000</v>
      </c>
      <c r="W7" s="22">
        <v>5000</v>
      </c>
      <c r="X7" s="22">
        <v>5000</v>
      </c>
      <c r="Y7" s="22">
        <v>5000</v>
      </c>
      <c r="Z7" s="22">
        <v>5000</v>
      </c>
      <c r="AA7" s="22">
        <v>5000</v>
      </c>
      <c r="AB7" s="22">
        <v>5000</v>
      </c>
      <c r="AC7" s="72">
        <f>+SUM(E7:AB7)*D7+SUM(E8:AB8)*D8+SUM(E9:AB9)*D9+SUM(E10:AB10)*D10</f>
        <v>3720000</v>
      </c>
      <c r="AE7" s="17">
        <f>+AC7</f>
        <v>3720000</v>
      </c>
      <c r="AG7" s="18"/>
      <c r="AH7" s="18"/>
      <c r="AI7" s="23"/>
      <c r="AJ7" s="23"/>
      <c r="AK7" s="23"/>
      <c r="AL7" s="23"/>
      <c r="AM7" s="23"/>
      <c r="AN7" s="23"/>
      <c r="AO7" s="23"/>
      <c r="AP7" s="23"/>
      <c r="AQ7" s="23"/>
      <c r="AR7" s="23"/>
      <c r="AS7" s="23"/>
      <c r="AT7" s="23"/>
      <c r="AU7" s="23"/>
      <c r="AV7" s="23"/>
      <c r="AW7" s="23"/>
      <c r="AX7" s="23"/>
      <c r="AY7" s="23"/>
      <c r="AZ7" s="23"/>
      <c r="BA7" s="23"/>
      <c r="BB7" s="23"/>
      <c r="BC7" s="23"/>
      <c r="BD7" s="23"/>
      <c r="BE7" s="23"/>
      <c r="BF7" s="23"/>
    </row>
    <row r="8" spans="2:58" ht="18.649999999999999" customHeight="1" x14ac:dyDescent="0.25">
      <c r="B8" s="70" t="s">
        <v>28</v>
      </c>
      <c r="C8" s="4" t="s">
        <v>30</v>
      </c>
      <c r="D8" s="5">
        <v>5</v>
      </c>
      <c r="E8" s="22">
        <v>5000</v>
      </c>
      <c r="F8" s="22">
        <v>5000</v>
      </c>
      <c r="G8" s="22">
        <v>5000</v>
      </c>
      <c r="H8" s="22">
        <v>5000</v>
      </c>
      <c r="I8" s="22">
        <v>5000</v>
      </c>
      <c r="J8" s="22">
        <v>5000</v>
      </c>
      <c r="K8" s="22">
        <v>5000</v>
      </c>
      <c r="L8" s="22">
        <v>5000</v>
      </c>
      <c r="M8" s="22">
        <v>5000</v>
      </c>
      <c r="N8" s="22">
        <v>5000</v>
      </c>
      <c r="O8" s="22">
        <v>5000</v>
      </c>
      <c r="P8" s="22">
        <v>5000</v>
      </c>
      <c r="Q8" s="22">
        <v>5000</v>
      </c>
      <c r="R8" s="22">
        <v>5000</v>
      </c>
      <c r="S8" s="22">
        <v>5000</v>
      </c>
      <c r="T8" s="22">
        <v>5000</v>
      </c>
      <c r="U8" s="22">
        <v>5000</v>
      </c>
      <c r="V8" s="22">
        <v>5000</v>
      </c>
      <c r="W8" s="22">
        <v>5000</v>
      </c>
      <c r="X8" s="22">
        <v>5000</v>
      </c>
      <c r="Y8" s="22">
        <v>5000</v>
      </c>
      <c r="Z8" s="22">
        <v>5000</v>
      </c>
      <c r="AA8" s="22">
        <v>5000</v>
      </c>
      <c r="AB8" s="22">
        <v>5000</v>
      </c>
      <c r="AC8" s="73"/>
      <c r="AE8" s="17">
        <f>+AC11</f>
        <v>3360000</v>
      </c>
      <c r="AG8" s="18"/>
      <c r="AH8" s="18"/>
      <c r="AI8" s="23"/>
      <c r="AJ8" s="23"/>
      <c r="AK8" s="23"/>
      <c r="AL8" s="23"/>
      <c r="AM8" s="23"/>
      <c r="AN8" s="23"/>
      <c r="AO8" s="23"/>
      <c r="AP8" s="23"/>
      <c r="AQ8" s="23"/>
      <c r="AR8" s="23"/>
      <c r="AS8" s="23"/>
      <c r="AT8" s="23"/>
      <c r="AU8" s="23"/>
      <c r="AV8" s="23"/>
      <c r="AW8" s="23"/>
      <c r="AX8" s="23"/>
      <c r="AY8" s="23"/>
      <c r="AZ8" s="23"/>
      <c r="BA8" s="23"/>
      <c r="BB8" s="23"/>
      <c r="BC8" s="23"/>
      <c r="BD8" s="23"/>
      <c r="BE8" s="23"/>
      <c r="BF8" s="23"/>
    </row>
    <row r="9" spans="2:58" x14ac:dyDescent="0.25">
      <c r="B9" s="70" t="s">
        <v>28</v>
      </c>
      <c r="C9" s="4" t="s">
        <v>31</v>
      </c>
      <c r="D9" s="5">
        <v>5</v>
      </c>
      <c r="E9" s="22">
        <v>5000</v>
      </c>
      <c r="F9" s="22">
        <v>5000</v>
      </c>
      <c r="G9" s="22">
        <v>5000</v>
      </c>
      <c r="H9" s="22">
        <v>5000</v>
      </c>
      <c r="I9" s="22">
        <v>5000</v>
      </c>
      <c r="J9" s="22">
        <v>5000</v>
      </c>
      <c r="K9" s="22">
        <v>5000</v>
      </c>
      <c r="L9" s="22">
        <v>5000</v>
      </c>
      <c r="M9" s="22">
        <v>5000</v>
      </c>
      <c r="N9" s="22">
        <v>5000</v>
      </c>
      <c r="O9" s="22">
        <v>5000</v>
      </c>
      <c r="P9" s="22">
        <v>5000</v>
      </c>
      <c r="Q9" s="22">
        <v>5000</v>
      </c>
      <c r="R9" s="22">
        <v>5000</v>
      </c>
      <c r="S9" s="22">
        <v>5000</v>
      </c>
      <c r="T9" s="22">
        <v>5000</v>
      </c>
      <c r="U9" s="22">
        <v>5000</v>
      </c>
      <c r="V9" s="22">
        <v>5000</v>
      </c>
      <c r="W9" s="22">
        <v>5000</v>
      </c>
      <c r="X9" s="22">
        <v>5000</v>
      </c>
      <c r="Y9" s="22">
        <v>5000</v>
      </c>
      <c r="Z9" s="22">
        <v>5000</v>
      </c>
      <c r="AA9" s="22">
        <v>5000</v>
      </c>
      <c r="AB9" s="22">
        <v>5000</v>
      </c>
      <c r="AC9" s="73"/>
      <c r="AE9" s="17">
        <f>+AC15</f>
        <v>3720000</v>
      </c>
      <c r="AG9" s="18"/>
      <c r="AH9" s="18"/>
      <c r="AI9" s="23"/>
      <c r="AJ9" s="23"/>
      <c r="AK9" s="23"/>
      <c r="AL9" s="23"/>
      <c r="AM9" s="23"/>
      <c r="AN9" s="23"/>
      <c r="AO9" s="23"/>
      <c r="AP9" s="23"/>
      <c r="AQ9" s="23"/>
      <c r="AR9" s="23"/>
      <c r="AS9" s="23"/>
      <c r="AT9" s="23"/>
      <c r="AU9" s="23"/>
      <c r="AV9" s="23"/>
      <c r="AW9" s="23"/>
      <c r="AX9" s="23"/>
      <c r="AY9" s="23"/>
      <c r="AZ9" s="23"/>
      <c r="BA9" s="23"/>
      <c r="BB9" s="23"/>
      <c r="BC9" s="23"/>
      <c r="BD9" s="23"/>
      <c r="BE9" s="23"/>
      <c r="BF9" s="23"/>
    </row>
    <row r="10" spans="2:58" ht="18.649999999999999" customHeight="1" x14ac:dyDescent="0.25">
      <c r="B10" s="70" t="s">
        <v>28</v>
      </c>
      <c r="C10" s="4" t="s">
        <v>32</v>
      </c>
      <c r="D10" s="5">
        <v>2</v>
      </c>
      <c r="E10" s="22">
        <v>5000</v>
      </c>
      <c r="F10" s="22">
        <v>5000</v>
      </c>
      <c r="G10" s="22">
        <v>5000</v>
      </c>
      <c r="H10" s="22">
        <v>5000</v>
      </c>
      <c r="I10" s="22">
        <v>5000</v>
      </c>
      <c r="J10" s="22">
        <v>5000</v>
      </c>
      <c r="K10" s="22">
        <v>5000</v>
      </c>
      <c r="L10" s="22">
        <v>5000</v>
      </c>
      <c r="M10" s="22">
        <v>5000</v>
      </c>
      <c r="N10" s="22">
        <v>5000</v>
      </c>
      <c r="O10" s="22">
        <v>5000</v>
      </c>
      <c r="P10" s="22">
        <v>5000</v>
      </c>
      <c r="Q10" s="22">
        <v>5000</v>
      </c>
      <c r="R10" s="22">
        <v>5000</v>
      </c>
      <c r="S10" s="22">
        <v>5000</v>
      </c>
      <c r="T10" s="22">
        <v>5000</v>
      </c>
      <c r="U10" s="22">
        <v>5000</v>
      </c>
      <c r="V10" s="22">
        <v>5000</v>
      </c>
      <c r="W10" s="22">
        <v>5000</v>
      </c>
      <c r="X10" s="22">
        <v>5000</v>
      </c>
      <c r="Y10" s="22">
        <v>5000</v>
      </c>
      <c r="Z10" s="22">
        <v>5000</v>
      </c>
      <c r="AA10" s="22">
        <v>5000</v>
      </c>
      <c r="AB10" s="22">
        <v>5000</v>
      </c>
      <c r="AC10" s="74"/>
      <c r="AE10" s="17">
        <f>+AC19</f>
        <v>3600000</v>
      </c>
      <c r="AG10" s="18"/>
      <c r="AH10" s="18"/>
      <c r="AI10" s="23"/>
      <c r="AJ10" s="23"/>
      <c r="AK10" s="23"/>
      <c r="AL10" s="23"/>
      <c r="AM10" s="23"/>
      <c r="AN10" s="23"/>
      <c r="AO10" s="23"/>
      <c r="AP10" s="23"/>
      <c r="AQ10" s="23"/>
      <c r="AR10" s="23"/>
      <c r="AS10" s="23"/>
      <c r="AT10" s="23"/>
      <c r="AU10" s="23"/>
      <c r="AV10" s="23"/>
      <c r="AW10" s="23"/>
      <c r="AX10" s="23"/>
      <c r="AY10" s="23"/>
      <c r="AZ10" s="23"/>
      <c r="BA10" s="23"/>
      <c r="BB10" s="23"/>
      <c r="BC10" s="23"/>
      <c r="BD10" s="23"/>
      <c r="BE10" s="23"/>
      <c r="BF10" s="23"/>
    </row>
    <row r="11" spans="2:58" x14ac:dyDescent="0.25">
      <c r="B11" s="70" t="s">
        <v>33</v>
      </c>
      <c r="C11" s="4" t="s">
        <v>29</v>
      </c>
      <c r="D11" s="5">
        <v>20</v>
      </c>
      <c r="E11" s="22">
        <v>5000</v>
      </c>
      <c r="F11" s="22">
        <v>5000</v>
      </c>
      <c r="G11" s="22">
        <v>5000</v>
      </c>
      <c r="H11" s="22">
        <v>5000</v>
      </c>
      <c r="I11" s="22">
        <v>5000</v>
      </c>
      <c r="J11" s="22">
        <v>5000</v>
      </c>
      <c r="K11" s="22">
        <v>5000</v>
      </c>
      <c r="L11" s="22">
        <v>5000</v>
      </c>
      <c r="M11" s="22">
        <v>5000</v>
      </c>
      <c r="N11" s="22">
        <v>5000</v>
      </c>
      <c r="O11" s="22">
        <v>5000</v>
      </c>
      <c r="P11" s="22">
        <v>5000</v>
      </c>
      <c r="Q11" s="22">
        <v>5000</v>
      </c>
      <c r="R11" s="22">
        <v>5000</v>
      </c>
      <c r="S11" s="22">
        <v>5000</v>
      </c>
      <c r="T11" s="22">
        <v>5000</v>
      </c>
      <c r="U11" s="22">
        <v>5000</v>
      </c>
      <c r="V11" s="22">
        <v>5000</v>
      </c>
      <c r="W11" s="22">
        <v>5000</v>
      </c>
      <c r="X11" s="22">
        <v>5000</v>
      </c>
      <c r="Y11" s="22">
        <v>5000</v>
      </c>
      <c r="Z11" s="22">
        <v>5000</v>
      </c>
      <c r="AA11" s="22">
        <v>5000</v>
      </c>
      <c r="AB11" s="22">
        <v>5000</v>
      </c>
      <c r="AC11" s="72">
        <f>+SUM(E11:AB11)*D11+SUM(E12:AB12)*D12+SUM(E13:AB13)*D13+SUM(E14:AB14)*D14</f>
        <v>3360000</v>
      </c>
      <c r="AE11" s="17">
        <f>+AC23</f>
        <v>3720000</v>
      </c>
      <c r="AG11" s="18"/>
      <c r="AH11" s="18"/>
      <c r="AI11" s="23"/>
      <c r="AJ11" s="23"/>
      <c r="AK11" s="23"/>
      <c r="AL11" s="23"/>
      <c r="AM11" s="23"/>
      <c r="AN11" s="23"/>
      <c r="AO11" s="23"/>
      <c r="AP11" s="23"/>
      <c r="AQ11" s="23"/>
      <c r="AR11" s="23"/>
      <c r="AS11" s="23"/>
      <c r="AT11" s="23"/>
      <c r="AU11" s="23"/>
      <c r="AV11" s="23"/>
      <c r="AW11" s="23"/>
      <c r="AX11" s="23"/>
      <c r="AY11" s="23"/>
      <c r="AZ11" s="23"/>
      <c r="BA11" s="23"/>
      <c r="BB11" s="23"/>
      <c r="BC11" s="23"/>
      <c r="BD11" s="23"/>
      <c r="BE11" s="23"/>
      <c r="BF11" s="23"/>
    </row>
    <row r="12" spans="2:58" ht="18.649999999999999" customHeight="1" x14ac:dyDescent="0.25">
      <c r="B12" s="70" t="s">
        <v>33</v>
      </c>
      <c r="C12" s="4" t="s">
        <v>30</v>
      </c>
      <c r="D12" s="5">
        <v>4</v>
      </c>
      <c r="E12" s="22">
        <v>5000</v>
      </c>
      <c r="F12" s="22">
        <v>5000</v>
      </c>
      <c r="G12" s="22">
        <v>5000</v>
      </c>
      <c r="H12" s="22">
        <v>5000</v>
      </c>
      <c r="I12" s="22">
        <v>5000</v>
      </c>
      <c r="J12" s="22">
        <v>5000</v>
      </c>
      <c r="K12" s="22">
        <v>5000</v>
      </c>
      <c r="L12" s="22">
        <v>5000</v>
      </c>
      <c r="M12" s="22">
        <v>5000</v>
      </c>
      <c r="N12" s="22">
        <v>5000</v>
      </c>
      <c r="O12" s="22">
        <v>5000</v>
      </c>
      <c r="P12" s="22">
        <v>5000</v>
      </c>
      <c r="Q12" s="22">
        <v>5000</v>
      </c>
      <c r="R12" s="22">
        <v>5000</v>
      </c>
      <c r="S12" s="22">
        <v>5000</v>
      </c>
      <c r="T12" s="22">
        <v>5000</v>
      </c>
      <c r="U12" s="22">
        <v>5000</v>
      </c>
      <c r="V12" s="22">
        <v>5000</v>
      </c>
      <c r="W12" s="22">
        <v>5000</v>
      </c>
      <c r="X12" s="22">
        <v>5000</v>
      </c>
      <c r="Y12" s="22">
        <v>5000</v>
      </c>
      <c r="Z12" s="22">
        <v>5000</v>
      </c>
      <c r="AA12" s="22">
        <v>5000</v>
      </c>
      <c r="AB12" s="22">
        <v>5000</v>
      </c>
      <c r="AC12" s="73"/>
      <c r="AE12" s="17">
        <f>+AC27</f>
        <v>3600000</v>
      </c>
      <c r="AG12" s="18"/>
      <c r="AH12" s="18"/>
      <c r="AI12" s="23"/>
      <c r="AJ12" s="23"/>
      <c r="AK12" s="23"/>
      <c r="AL12" s="23"/>
      <c r="AM12" s="23"/>
      <c r="AN12" s="23"/>
      <c r="AO12" s="23"/>
      <c r="AP12" s="23"/>
      <c r="AQ12" s="23"/>
      <c r="AR12" s="23"/>
      <c r="AS12" s="23"/>
      <c r="AT12" s="23"/>
      <c r="AU12" s="23"/>
      <c r="AV12" s="23"/>
      <c r="AW12" s="23"/>
      <c r="AX12" s="23"/>
      <c r="AY12" s="23"/>
      <c r="AZ12" s="23"/>
      <c r="BA12" s="23"/>
      <c r="BB12" s="23"/>
      <c r="BC12" s="23"/>
      <c r="BD12" s="23"/>
      <c r="BE12" s="23"/>
      <c r="BF12" s="23"/>
    </row>
    <row r="13" spans="2:58" ht="18.649999999999999" customHeight="1" x14ac:dyDescent="0.25">
      <c r="B13" s="70" t="s">
        <v>33</v>
      </c>
      <c r="C13" s="4" t="s">
        <v>31</v>
      </c>
      <c r="D13" s="5">
        <v>4</v>
      </c>
      <c r="E13" s="22">
        <v>5000</v>
      </c>
      <c r="F13" s="22">
        <v>5000</v>
      </c>
      <c r="G13" s="22">
        <v>5000</v>
      </c>
      <c r="H13" s="22">
        <v>5000</v>
      </c>
      <c r="I13" s="22">
        <v>5000</v>
      </c>
      <c r="J13" s="22">
        <v>5000</v>
      </c>
      <c r="K13" s="22">
        <v>5000</v>
      </c>
      <c r="L13" s="22">
        <v>5000</v>
      </c>
      <c r="M13" s="22">
        <v>5000</v>
      </c>
      <c r="N13" s="22">
        <v>5000</v>
      </c>
      <c r="O13" s="22">
        <v>5000</v>
      </c>
      <c r="P13" s="22">
        <v>5000</v>
      </c>
      <c r="Q13" s="22">
        <v>5000</v>
      </c>
      <c r="R13" s="22">
        <v>5000</v>
      </c>
      <c r="S13" s="22">
        <v>5000</v>
      </c>
      <c r="T13" s="22">
        <v>5000</v>
      </c>
      <c r="U13" s="22">
        <v>5000</v>
      </c>
      <c r="V13" s="22">
        <v>5000</v>
      </c>
      <c r="W13" s="22">
        <v>5000</v>
      </c>
      <c r="X13" s="22">
        <v>5000</v>
      </c>
      <c r="Y13" s="22">
        <v>5000</v>
      </c>
      <c r="Z13" s="22">
        <v>5000</v>
      </c>
      <c r="AA13" s="22">
        <v>5000</v>
      </c>
      <c r="AB13" s="22">
        <v>5000</v>
      </c>
      <c r="AC13" s="73"/>
      <c r="AE13" s="17">
        <f>+AC31</f>
        <v>3720000</v>
      </c>
      <c r="AG13" s="18"/>
      <c r="AH13" s="18"/>
      <c r="AI13" s="23"/>
      <c r="AJ13" s="23"/>
      <c r="AK13" s="23"/>
      <c r="AL13" s="23"/>
      <c r="AM13" s="23"/>
      <c r="AN13" s="23"/>
      <c r="AO13" s="23"/>
      <c r="AP13" s="23"/>
      <c r="AQ13" s="23"/>
      <c r="AR13" s="23"/>
      <c r="AS13" s="23"/>
      <c r="AT13" s="23"/>
      <c r="AU13" s="23"/>
      <c r="AV13" s="23"/>
      <c r="AW13" s="23"/>
      <c r="AX13" s="23"/>
      <c r="AY13" s="23"/>
      <c r="AZ13" s="23"/>
      <c r="BA13" s="23"/>
      <c r="BB13" s="23"/>
      <c r="BC13" s="23"/>
      <c r="BD13" s="23"/>
      <c r="BE13" s="23"/>
      <c r="BF13" s="23"/>
    </row>
    <row r="14" spans="2:58" ht="18.649999999999999" customHeight="1" x14ac:dyDescent="0.25">
      <c r="B14" s="70" t="s">
        <v>33</v>
      </c>
      <c r="C14" s="4" t="s">
        <v>32</v>
      </c>
      <c r="D14" s="5">
        <v>0</v>
      </c>
      <c r="E14" s="22"/>
      <c r="F14" s="22"/>
      <c r="G14" s="22"/>
      <c r="H14" s="22"/>
      <c r="I14" s="22"/>
      <c r="J14" s="22"/>
      <c r="K14" s="22"/>
      <c r="L14" s="22"/>
      <c r="M14" s="22"/>
      <c r="N14" s="22"/>
      <c r="O14" s="22"/>
      <c r="P14" s="22"/>
      <c r="Q14" s="22"/>
      <c r="R14" s="22"/>
      <c r="S14" s="22"/>
      <c r="T14" s="22"/>
      <c r="U14" s="22"/>
      <c r="V14" s="22"/>
      <c r="W14" s="22"/>
      <c r="X14" s="22"/>
      <c r="Y14" s="22"/>
      <c r="Z14" s="22"/>
      <c r="AA14" s="22"/>
      <c r="AB14" s="22"/>
      <c r="AC14" s="74"/>
      <c r="AE14" s="17">
        <f>+AC35</f>
        <v>3720000</v>
      </c>
      <c r="AG14" s="18"/>
      <c r="AH14" s="18"/>
      <c r="AI14" s="23"/>
      <c r="AJ14" s="23"/>
      <c r="AK14" s="23"/>
      <c r="AL14" s="23"/>
      <c r="AM14" s="23"/>
      <c r="AN14" s="23"/>
      <c r="AO14" s="23"/>
      <c r="AP14" s="23"/>
      <c r="AQ14" s="23"/>
      <c r="AR14" s="23"/>
      <c r="AS14" s="23"/>
      <c r="AT14" s="23"/>
      <c r="AU14" s="23"/>
      <c r="AV14" s="23"/>
      <c r="AW14" s="23"/>
      <c r="AX14" s="23"/>
      <c r="AY14" s="23"/>
      <c r="AZ14" s="23"/>
      <c r="BA14" s="23"/>
      <c r="BB14" s="23"/>
      <c r="BC14" s="23"/>
      <c r="BD14" s="23"/>
      <c r="BE14" s="23"/>
      <c r="BF14" s="23"/>
    </row>
    <row r="15" spans="2:58" ht="18.649999999999999" customHeight="1" x14ac:dyDescent="0.25">
      <c r="B15" s="70" t="s">
        <v>34</v>
      </c>
      <c r="C15" s="4" t="s">
        <v>29</v>
      </c>
      <c r="D15" s="5">
        <v>20</v>
      </c>
      <c r="E15" s="22">
        <v>5000</v>
      </c>
      <c r="F15" s="22">
        <v>5000</v>
      </c>
      <c r="G15" s="22">
        <v>5000</v>
      </c>
      <c r="H15" s="22">
        <v>5000</v>
      </c>
      <c r="I15" s="22">
        <v>5000</v>
      </c>
      <c r="J15" s="22">
        <v>5000</v>
      </c>
      <c r="K15" s="22">
        <v>5000</v>
      </c>
      <c r="L15" s="22">
        <v>5000</v>
      </c>
      <c r="M15" s="22">
        <v>5000</v>
      </c>
      <c r="N15" s="22">
        <v>5000</v>
      </c>
      <c r="O15" s="22">
        <v>5000</v>
      </c>
      <c r="P15" s="22">
        <v>5000</v>
      </c>
      <c r="Q15" s="22">
        <v>5000</v>
      </c>
      <c r="R15" s="22">
        <v>5000</v>
      </c>
      <c r="S15" s="22">
        <v>5000</v>
      </c>
      <c r="T15" s="22">
        <v>5000</v>
      </c>
      <c r="U15" s="22">
        <v>5000</v>
      </c>
      <c r="V15" s="22">
        <v>5000</v>
      </c>
      <c r="W15" s="22">
        <v>5000</v>
      </c>
      <c r="X15" s="22">
        <v>5000</v>
      </c>
      <c r="Y15" s="22">
        <v>5000</v>
      </c>
      <c r="Z15" s="22">
        <v>5000</v>
      </c>
      <c r="AA15" s="22">
        <v>5000</v>
      </c>
      <c r="AB15" s="22">
        <v>5000</v>
      </c>
      <c r="AC15" s="72">
        <f>+SUM(E15:AB15)*D15+SUM(E16:AB16)*D16+SUM(E17:AB17)*D17+SUM(E18:AB18)*D18</f>
        <v>3720000</v>
      </c>
      <c r="AE15" s="17">
        <f>+AC39</f>
        <v>3600000</v>
      </c>
      <c r="AG15" s="18"/>
      <c r="AH15" s="18"/>
      <c r="AI15" s="23"/>
      <c r="AJ15" s="23"/>
      <c r="AK15" s="23"/>
      <c r="AL15" s="23"/>
      <c r="AM15" s="23"/>
      <c r="AN15" s="23"/>
      <c r="AO15" s="23"/>
      <c r="AP15" s="23"/>
      <c r="AQ15" s="23"/>
      <c r="AR15" s="23"/>
      <c r="AS15" s="23"/>
      <c r="AT15" s="23"/>
      <c r="AU15" s="23"/>
      <c r="AV15" s="23"/>
      <c r="AW15" s="23"/>
      <c r="AX15" s="23"/>
      <c r="AY15" s="23"/>
      <c r="AZ15" s="23"/>
      <c r="BA15" s="23"/>
      <c r="BB15" s="23"/>
      <c r="BC15" s="23"/>
      <c r="BD15" s="23"/>
      <c r="BE15" s="23"/>
      <c r="BF15" s="23"/>
    </row>
    <row r="16" spans="2:58" ht="18.649999999999999" customHeight="1" x14ac:dyDescent="0.25">
      <c r="B16" s="70" t="s">
        <v>34</v>
      </c>
      <c r="C16" s="4" t="s">
        <v>30</v>
      </c>
      <c r="D16" s="5">
        <v>4</v>
      </c>
      <c r="E16" s="22">
        <v>5000</v>
      </c>
      <c r="F16" s="22">
        <v>5000</v>
      </c>
      <c r="G16" s="22">
        <v>5000</v>
      </c>
      <c r="H16" s="22">
        <v>5000</v>
      </c>
      <c r="I16" s="22">
        <v>5000</v>
      </c>
      <c r="J16" s="22">
        <v>5000</v>
      </c>
      <c r="K16" s="22">
        <v>5000</v>
      </c>
      <c r="L16" s="22">
        <v>5000</v>
      </c>
      <c r="M16" s="22">
        <v>5000</v>
      </c>
      <c r="N16" s="22">
        <v>5000</v>
      </c>
      <c r="O16" s="22">
        <v>5000</v>
      </c>
      <c r="P16" s="22">
        <v>5000</v>
      </c>
      <c r="Q16" s="22">
        <v>5000</v>
      </c>
      <c r="R16" s="22">
        <v>5000</v>
      </c>
      <c r="S16" s="22">
        <v>5000</v>
      </c>
      <c r="T16" s="22">
        <v>5000</v>
      </c>
      <c r="U16" s="22">
        <v>5000</v>
      </c>
      <c r="V16" s="22">
        <v>5000</v>
      </c>
      <c r="W16" s="22">
        <v>5000</v>
      </c>
      <c r="X16" s="22">
        <v>5000</v>
      </c>
      <c r="Y16" s="22">
        <v>5000</v>
      </c>
      <c r="Z16" s="22">
        <v>5000</v>
      </c>
      <c r="AA16" s="22">
        <v>5000</v>
      </c>
      <c r="AB16" s="22">
        <v>5000</v>
      </c>
      <c r="AC16" s="73"/>
      <c r="AE16" s="17">
        <f>+AC43</f>
        <v>3720000</v>
      </c>
      <c r="AG16" s="18"/>
      <c r="AH16" s="18"/>
      <c r="AI16" s="23"/>
      <c r="AJ16" s="23"/>
      <c r="AK16" s="23"/>
      <c r="AL16" s="23"/>
      <c r="AM16" s="23"/>
      <c r="AN16" s="23"/>
      <c r="AO16" s="23"/>
      <c r="AP16" s="23"/>
      <c r="AQ16" s="23"/>
      <c r="AR16" s="23"/>
      <c r="AS16" s="23"/>
      <c r="AT16" s="23"/>
      <c r="AU16" s="23"/>
      <c r="AV16" s="23"/>
      <c r="AW16" s="23"/>
      <c r="AX16" s="23"/>
      <c r="AY16" s="23"/>
      <c r="AZ16" s="23"/>
      <c r="BA16" s="23"/>
      <c r="BB16" s="23"/>
      <c r="BC16" s="23"/>
      <c r="BD16" s="23"/>
      <c r="BE16" s="23"/>
      <c r="BF16" s="23"/>
    </row>
    <row r="17" spans="2:58" ht="18.649999999999999" customHeight="1" x14ac:dyDescent="0.25">
      <c r="B17" s="70" t="s">
        <v>34</v>
      </c>
      <c r="C17" s="4" t="s">
        <v>31</v>
      </c>
      <c r="D17" s="5">
        <v>4</v>
      </c>
      <c r="E17" s="22">
        <v>5000</v>
      </c>
      <c r="F17" s="22">
        <v>5000</v>
      </c>
      <c r="G17" s="22">
        <v>5000</v>
      </c>
      <c r="H17" s="22">
        <v>5000</v>
      </c>
      <c r="I17" s="22">
        <v>5000</v>
      </c>
      <c r="J17" s="22">
        <v>5000</v>
      </c>
      <c r="K17" s="22">
        <v>5000</v>
      </c>
      <c r="L17" s="22">
        <v>5000</v>
      </c>
      <c r="M17" s="22">
        <v>5000</v>
      </c>
      <c r="N17" s="22">
        <v>5000</v>
      </c>
      <c r="O17" s="22">
        <v>5000</v>
      </c>
      <c r="P17" s="22">
        <v>5000</v>
      </c>
      <c r="Q17" s="22">
        <v>5000</v>
      </c>
      <c r="R17" s="22">
        <v>5000</v>
      </c>
      <c r="S17" s="22">
        <v>5000</v>
      </c>
      <c r="T17" s="22">
        <v>5000</v>
      </c>
      <c r="U17" s="22">
        <v>5000</v>
      </c>
      <c r="V17" s="22">
        <v>5000</v>
      </c>
      <c r="W17" s="22">
        <v>5000</v>
      </c>
      <c r="X17" s="22">
        <v>5000</v>
      </c>
      <c r="Y17" s="22">
        <v>5000</v>
      </c>
      <c r="Z17" s="22">
        <v>5000</v>
      </c>
      <c r="AA17" s="22">
        <v>5000</v>
      </c>
      <c r="AB17" s="22">
        <v>5000</v>
      </c>
      <c r="AC17" s="73"/>
      <c r="AE17" s="17">
        <f>+AC47</f>
        <v>3600000</v>
      </c>
      <c r="AG17" s="18"/>
      <c r="AH17" s="18"/>
      <c r="AI17" s="23"/>
      <c r="AJ17" s="23"/>
      <c r="AK17" s="23"/>
      <c r="AL17" s="23"/>
      <c r="AM17" s="23"/>
      <c r="AN17" s="23"/>
      <c r="AO17" s="23"/>
      <c r="AP17" s="23"/>
      <c r="AQ17" s="23"/>
      <c r="AR17" s="23"/>
      <c r="AS17" s="23"/>
      <c r="AT17" s="23"/>
      <c r="AU17" s="23"/>
      <c r="AV17" s="23"/>
      <c r="AW17" s="23"/>
      <c r="AX17" s="23"/>
      <c r="AY17" s="23"/>
      <c r="AZ17" s="23"/>
      <c r="BA17" s="23"/>
      <c r="BB17" s="23"/>
      <c r="BC17" s="23"/>
      <c r="BD17" s="23"/>
      <c r="BE17" s="23"/>
      <c r="BF17" s="23"/>
    </row>
    <row r="18" spans="2:58" ht="18.649999999999999" customHeight="1" x14ac:dyDescent="0.25">
      <c r="B18" s="70" t="s">
        <v>34</v>
      </c>
      <c r="C18" s="4" t="s">
        <v>32</v>
      </c>
      <c r="D18" s="5">
        <v>3</v>
      </c>
      <c r="E18" s="22">
        <v>5000</v>
      </c>
      <c r="F18" s="22">
        <v>5000</v>
      </c>
      <c r="G18" s="22">
        <v>5000</v>
      </c>
      <c r="H18" s="22">
        <v>5000</v>
      </c>
      <c r="I18" s="22">
        <v>5000</v>
      </c>
      <c r="J18" s="22">
        <v>5000</v>
      </c>
      <c r="K18" s="22">
        <v>5000</v>
      </c>
      <c r="L18" s="22">
        <v>5000</v>
      </c>
      <c r="M18" s="22">
        <v>5000</v>
      </c>
      <c r="N18" s="22">
        <v>5000</v>
      </c>
      <c r="O18" s="22">
        <v>5000</v>
      </c>
      <c r="P18" s="22">
        <v>5000</v>
      </c>
      <c r="Q18" s="22">
        <v>5000</v>
      </c>
      <c r="R18" s="22">
        <v>5000</v>
      </c>
      <c r="S18" s="22">
        <v>5000</v>
      </c>
      <c r="T18" s="22">
        <v>5000</v>
      </c>
      <c r="U18" s="22">
        <v>5000</v>
      </c>
      <c r="V18" s="22">
        <v>5000</v>
      </c>
      <c r="W18" s="22">
        <v>5000</v>
      </c>
      <c r="X18" s="22">
        <v>5000</v>
      </c>
      <c r="Y18" s="22">
        <v>5000</v>
      </c>
      <c r="Z18" s="22">
        <v>5000</v>
      </c>
      <c r="AA18" s="22">
        <v>5000</v>
      </c>
      <c r="AB18" s="22">
        <v>5000</v>
      </c>
      <c r="AC18" s="74"/>
      <c r="AE18" s="17">
        <f>+AC51</f>
        <v>3720000</v>
      </c>
      <c r="AG18" s="18"/>
      <c r="AH18" s="18"/>
      <c r="AI18" s="23"/>
      <c r="AJ18" s="23"/>
      <c r="AK18" s="23"/>
      <c r="AL18" s="23"/>
      <c r="AM18" s="23"/>
      <c r="AN18" s="23"/>
      <c r="AO18" s="23"/>
      <c r="AP18" s="23"/>
      <c r="AQ18" s="23"/>
      <c r="AR18" s="23"/>
      <c r="AS18" s="23"/>
      <c r="AT18" s="23"/>
      <c r="AU18" s="23"/>
      <c r="AV18" s="23"/>
      <c r="AW18" s="23"/>
      <c r="AX18" s="23"/>
      <c r="AY18" s="23"/>
      <c r="AZ18" s="23"/>
      <c r="BA18" s="23"/>
      <c r="BB18" s="23"/>
      <c r="BC18" s="23"/>
      <c r="BD18" s="23"/>
      <c r="BE18" s="23"/>
      <c r="BF18" s="23"/>
    </row>
    <row r="19" spans="2:58" ht="18.649999999999999" customHeight="1" x14ac:dyDescent="0.3">
      <c r="B19" s="70" t="s">
        <v>35</v>
      </c>
      <c r="C19" s="4" t="s">
        <v>29</v>
      </c>
      <c r="D19" s="5">
        <v>22</v>
      </c>
      <c r="E19" s="22">
        <v>5000</v>
      </c>
      <c r="F19" s="22">
        <v>5000</v>
      </c>
      <c r="G19" s="22">
        <v>5000</v>
      </c>
      <c r="H19" s="22">
        <v>5000</v>
      </c>
      <c r="I19" s="22">
        <v>5000</v>
      </c>
      <c r="J19" s="22">
        <v>5000</v>
      </c>
      <c r="K19" s="22">
        <v>5000</v>
      </c>
      <c r="L19" s="22">
        <v>5000</v>
      </c>
      <c r="M19" s="22">
        <v>5000</v>
      </c>
      <c r="N19" s="22">
        <v>5000</v>
      </c>
      <c r="O19" s="22">
        <v>5000</v>
      </c>
      <c r="P19" s="22">
        <v>5000</v>
      </c>
      <c r="Q19" s="22">
        <v>5000</v>
      </c>
      <c r="R19" s="22">
        <v>5000</v>
      </c>
      <c r="S19" s="22">
        <v>5000</v>
      </c>
      <c r="T19" s="22">
        <v>5000</v>
      </c>
      <c r="U19" s="22">
        <v>5000</v>
      </c>
      <c r="V19" s="22">
        <v>5000</v>
      </c>
      <c r="W19" s="22">
        <v>5000</v>
      </c>
      <c r="X19" s="22">
        <v>5000</v>
      </c>
      <c r="Y19" s="22">
        <v>5000</v>
      </c>
      <c r="Z19" s="22">
        <v>5000</v>
      </c>
      <c r="AA19" s="22">
        <v>5000</v>
      </c>
      <c r="AB19" s="22">
        <v>5000</v>
      </c>
      <c r="AC19" s="72">
        <f>+SUM(E19:AB19)*D19+SUM(E20:AB20)*D20+SUM(E21:AB21)*D21+SUM(E22:AB22)*D22</f>
        <v>3600000</v>
      </c>
      <c r="AE19" s="19">
        <f>SUM(AE7:AE18)</f>
        <v>43800000</v>
      </c>
      <c r="AG19" s="18"/>
      <c r="AH19" s="18"/>
      <c r="AI19" s="23"/>
      <c r="AJ19" s="23"/>
      <c r="AK19" s="23"/>
      <c r="AL19" s="23"/>
      <c r="AM19" s="23"/>
      <c r="AN19" s="23"/>
      <c r="AO19" s="23"/>
      <c r="AP19" s="23"/>
      <c r="AQ19" s="23"/>
      <c r="AR19" s="23"/>
      <c r="AS19" s="23"/>
      <c r="AT19" s="23"/>
      <c r="AU19" s="23"/>
      <c r="AV19" s="23"/>
      <c r="AW19" s="23"/>
      <c r="AX19" s="23"/>
      <c r="AY19" s="23"/>
      <c r="AZ19" s="23"/>
      <c r="BA19" s="23"/>
      <c r="BB19" s="23"/>
      <c r="BC19" s="23"/>
      <c r="BD19" s="23"/>
      <c r="BE19" s="23"/>
      <c r="BF19" s="23"/>
    </row>
    <row r="20" spans="2:58" ht="18.649999999999999" customHeight="1" x14ac:dyDescent="0.25">
      <c r="B20" s="70" t="s">
        <v>35</v>
      </c>
      <c r="C20" s="4" t="s">
        <v>30</v>
      </c>
      <c r="D20" s="5">
        <v>4</v>
      </c>
      <c r="E20" s="22">
        <v>5000</v>
      </c>
      <c r="F20" s="22">
        <v>5000</v>
      </c>
      <c r="G20" s="22">
        <v>5000</v>
      </c>
      <c r="H20" s="22">
        <v>5000</v>
      </c>
      <c r="I20" s="22">
        <v>5000</v>
      </c>
      <c r="J20" s="22">
        <v>5000</v>
      </c>
      <c r="K20" s="22">
        <v>5000</v>
      </c>
      <c r="L20" s="22">
        <v>5000</v>
      </c>
      <c r="M20" s="22">
        <v>5000</v>
      </c>
      <c r="N20" s="22">
        <v>5000</v>
      </c>
      <c r="O20" s="22">
        <v>5000</v>
      </c>
      <c r="P20" s="22">
        <v>5000</v>
      </c>
      <c r="Q20" s="22">
        <v>5000</v>
      </c>
      <c r="R20" s="22">
        <v>5000</v>
      </c>
      <c r="S20" s="22">
        <v>5000</v>
      </c>
      <c r="T20" s="22">
        <v>5000</v>
      </c>
      <c r="U20" s="22">
        <v>5000</v>
      </c>
      <c r="V20" s="22">
        <v>5000</v>
      </c>
      <c r="W20" s="22">
        <v>5000</v>
      </c>
      <c r="X20" s="22">
        <v>5000</v>
      </c>
      <c r="Y20" s="22">
        <v>5000</v>
      </c>
      <c r="Z20" s="22">
        <v>5000</v>
      </c>
      <c r="AA20" s="22">
        <v>5000</v>
      </c>
      <c r="AB20" s="22">
        <v>5000</v>
      </c>
      <c r="AC20" s="73"/>
      <c r="AE20" s="20"/>
      <c r="AG20" s="18"/>
      <c r="AH20" s="18"/>
      <c r="AI20" s="23"/>
      <c r="AJ20" s="23"/>
      <c r="AK20" s="23"/>
      <c r="AL20" s="23"/>
      <c r="AM20" s="23"/>
      <c r="AN20" s="23"/>
      <c r="AO20" s="23"/>
      <c r="AP20" s="23"/>
      <c r="AQ20" s="23"/>
      <c r="AR20" s="23"/>
      <c r="AS20" s="23"/>
      <c r="AT20" s="23"/>
      <c r="AU20" s="23"/>
      <c r="AV20" s="23"/>
      <c r="AW20" s="23"/>
      <c r="AX20" s="23"/>
      <c r="AY20" s="23"/>
      <c r="AZ20" s="23"/>
      <c r="BA20" s="23"/>
      <c r="BB20" s="23"/>
      <c r="BC20" s="23"/>
      <c r="BD20" s="23"/>
      <c r="BE20" s="23"/>
      <c r="BF20" s="23"/>
    </row>
    <row r="21" spans="2:58" ht="18.649999999999999" customHeight="1" x14ac:dyDescent="0.25">
      <c r="B21" s="70" t="s">
        <v>35</v>
      </c>
      <c r="C21" s="4" t="s">
        <v>31</v>
      </c>
      <c r="D21" s="5">
        <v>4</v>
      </c>
      <c r="E21" s="22">
        <v>5000</v>
      </c>
      <c r="F21" s="22">
        <v>5000</v>
      </c>
      <c r="G21" s="22">
        <v>5000</v>
      </c>
      <c r="H21" s="22">
        <v>5000</v>
      </c>
      <c r="I21" s="22">
        <v>5000</v>
      </c>
      <c r="J21" s="22">
        <v>5000</v>
      </c>
      <c r="K21" s="22">
        <v>5000</v>
      </c>
      <c r="L21" s="22">
        <v>5000</v>
      </c>
      <c r="M21" s="22">
        <v>5000</v>
      </c>
      <c r="N21" s="22">
        <v>5000</v>
      </c>
      <c r="O21" s="22">
        <v>5000</v>
      </c>
      <c r="P21" s="22">
        <v>5000</v>
      </c>
      <c r="Q21" s="22">
        <v>5000</v>
      </c>
      <c r="R21" s="22">
        <v>5000</v>
      </c>
      <c r="S21" s="22">
        <v>5000</v>
      </c>
      <c r="T21" s="22">
        <v>5000</v>
      </c>
      <c r="U21" s="22">
        <v>5000</v>
      </c>
      <c r="V21" s="22">
        <v>5000</v>
      </c>
      <c r="W21" s="22">
        <v>5000</v>
      </c>
      <c r="X21" s="22">
        <v>5000</v>
      </c>
      <c r="Y21" s="22">
        <v>5000</v>
      </c>
      <c r="Z21" s="22">
        <v>5000</v>
      </c>
      <c r="AA21" s="22">
        <v>5000</v>
      </c>
      <c r="AB21" s="22">
        <v>5000</v>
      </c>
      <c r="AC21" s="73"/>
      <c r="AE21" s="20"/>
      <c r="AG21" s="18"/>
      <c r="AH21" s="18"/>
      <c r="AI21" s="23"/>
      <c r="AJ21" s="23"/>
      <c r="AK21" s="23"/>
      <c r="AL21" s="23"/>
      <c r="AM21" s="23"/>
      <c r="AN21" s="23"/>
      <c r="AO21" s="23"/>
      <c r="AP21" s="23"/>
      <c r="AQ21" s="23"/>
      <c r="AR21" s="23"/>
      <c r="AS21" s="23"/>
      <c r="AT21" s="23"/>
      <c r="AU21" s="23"/>
      <c r="AV21" s="23"/>
      <c r="AW21" s="23"/>
      <c r="AX21" s="23"/>
      <c r="AY21" s="23"/>
      <c r="AZ21" s="23"/>
      <c r="BA21" s="23"/>
      <c r="BB21" s="23"/>
      <c r="BC21" s="23"/>
      <c r="BD21" s="23"/>
      <c r="BE21" s="23"/>
      <c r="BF21" s="23"/>
    </row>
    <row r="22" spans="2:58" ht="18.649999999999999" customHeight="1" x14ac:dyDescent="0.25">
      <c r="B22" s="70" t="s">
        <v>35</v>
      </c>
      <c r="C22" s="4" t="s">
        <v>32</v>
      </c>
      <c r="D22" s="5">
        <v>0</v>
      </c>
      <c r="E22" s="22"/>
      <c r="F22" s="22"/>
      <c r="G22" s="22"/>
      <c r="H22" s="22"/>
      <c r="I22" s="22"/>
      <c r="J22" s="22"/>
      <c r="K22" s="22"/>
      <c r="L22" s="22"/>
      <c r="M22" s="22"/>
      <c r="N22" s="22"/>
      <c r="O22" s="22"/>
      <c r="P22" s="22"/>
      <c r="Q22" s="22"/>
      <c r="R22" s="22"/>
      <c r="S22" s="22"/>
      <c r="T22" s="22"/>
      <c r="U22" s="22"/>
      <c r="V22" s="22"/>
      <c r="W22" s="22"/>
      <c r="X22" s="22"/>
      <c r="Y22" s="22"/>
      <c r="Z22" s="22"/>
      <c r="AA22" s="22"/>
      <c r="AB22" s="22"/>
      <c r="AC22" s="74"/>
      <c r="AG22" s="18"/>
      <c r="AH22" s="18"/>
      <c r="AI22" s="23"/>
      <c r="AJ22" s="23"/>
      <c r="AK22" s="23"/>
      <c r="AL22" s="23"/>
      <c r="AM22" s="23"/>
      <c r="AN22" s="23"/>
      <c r="AO22" s="23"/>
      <c r="AP22" s="23"/>
      <c r="AQ22" s="23"/>
      <c r="AR22" s="23"/>
      <c r="AS22" s="23"/>
      <c r="AT22" s="23"/>
      <c r="AU22" s="23"/>
      <c r="AV22" s="23"/>
      <c r="AW22" s="23"/>
      <c r="AX22" s="23"/>
      <c r="AY22" s="23"/>
      <c r="AZ22" s="23"/>
      <c r="BA22" s="23"/>
      <c r="BB22" s="23"/>
      <c r="BC22" s="23"/>
      <c r="BD22" s="23"/>
      <c r="BE22" s="23"/>
      <c r="BF22" s="23"/>
    </row>
    <row r="23" spans="2:58" ht="18.649999999999999" customHeight="1" x14ac:dyDescent="0.25">
      <c r="B23" s="70" t="s">
        <v>36</v>
      </c>
      <c r="C23" s="4" t="s">
        <v>29</v>
      </c>
      <c r="D23" s="5">
        <v>19</v>
      </c>
      <c r="E23" s="22">
        <v>5000</v>
      </c>
      <c r="F23" s="22">
        <v>5000</v>
      </c>
      <c r="G23" s="22">
        <v>5000</v>
      </c>
      <c r="H23" s="22">
        <v>5000</v>
      </c>
      <c r="I23" s="22">
        <v>5000</v>
      </c>
      <c r="J23" s="22">
        <v>5000</v>
      </c>
      <c r="K23" s="22">
        <v>5000</v>
      </c>
      <c r="L23" s="22">
        <v>5000</v>
      </c>
      <c r="M23" s="22">
        <v>5000</v>
      </c>
      <c r="N23" s="22">
        <v>5000</v>
      </c>
      <c r="O23" s="22">
        <v>5000</v>
      </c>
      <c r="P23" s="22">
        <v>5000</v>
      </c>
      <c r="Q23" s="22">
        <v>5000</v>
      </c>
      <c r="R23" s="22">
        <v>5000</v>
      </c>
      <c r="S23" s="22">
        <v>5000</v>
      </c>
      <c r="T23" s="22">
        <v>5000</v>
      </c>
      <c r="U23" s="22">
        <v>5000</v>
      </c>
      <c r="V23" s="22">
        <v>5000</v>
      </c>
      <c r="W23" s="22">
        <v>5000</v>
      </c>
      <c r="X23" s="22">
        <v>5000</v>
      </c>
      <c r="Y23" s="22">
        <v>5000</v>
      </c>
      <c r="Z23" s="22">
        <v>5000</v>
      </c>
      <c r="AA23" s="22">
        <v>5000</v>
      </c>
      <c r="AB23" s="22">
        <v>5000</v>
      </c>
      <c r="AC23" s="72">
        <f>+SUM(E23:AB23)*D23+SUM(E24:AB24)*D24+SUM(E25:AB25)*D25+SUM(E26:AB26)*D26</f>
        <v>3720000</v>
      </c>
      <c r="AG23" s="18"/>
      <c r="AH23" s="18"/>
      <c r="AI23" s="23"/>
      <c r="AJ23" s="23"/>
      <c r="AK23" s="23"/>
      <c r="AL23" s="23"/>
      <c r="AM23" s="23"/>
      <c r="AN23" s="23"/>
      <c r="AO23" s="23"/>
      <c r="AP23" s="23"/>
      <c r="AQ23" s="23"/>
      <c r="AR23" s="23"/>
      <c r="AS23" s="23"/>
      <c r="AT23" s="23"/>
      <c r="AU23" s="23"/>
      <c r="AV23" s="23"/>
      <c r="AW23" s="23"/>
      <c r="AX23" s="23"/>
      <c r="AY23" s="23"/>
      <c r="AZ23" s="23"/>
      <c r="BA23" s="23"/>
      <c r="BB23" s="23"/>
      <c r="BC23" s="23"/>
      <c r="BD23" s="23"/>
      <c r="BE23" s="23"/>
      <c r="BF23" s="23"/>
    </row>
    <row r="24" spans="2:58" ht="18.649999999999999" customHeight="1" x14ac:dyDescent="0.25">
      <c r="B24" s="70" t="s">
        <v>36</v>
      </c>
      <c r="C24" s="4" t="s">
        <v>30</v>
      </c>
      <c r="D24" s="5">
        <v>4</v>
      </c>
      <c r="E24" s="22">
        <v>5000</v>
      </c>
      <c r="F24" s="22">
        <v>5000</v>
      </c>
      <c r="G24" s="22">
        <v>5000</v>
      </c>
      <c r="H24" s="22">
        <v>5000</v>
      </c>
      <c r="I24" s="22">
        <v>5000</v>
      </c>
      <c r="J24" s="22">
        <v>5000</v>
      </c>
      <c r="K24" s="22">
        <v>5000</v>
      </c>
      <c r="L24" s="22">
        <v>5000</v>
      </c>
      <c r="M24" s="22">
        <v>5000</v>
      </c>
      <c r="N24" s="22">
        <v>5000</v>
      </c>
      <c r="O24" s="22">
        <v>5000</v>
      </c>
      <c r="P24" s="22">
        <v>5000</v>
      </c>
      <c r="Q24" s="22">
        <v>5000</v>
      </c>
      <c r="R24" s="22">
        <v>5000</v>
      </c>
      <c r="S24" s="22">
        <v>5000</v>
      </c>
      <c r="T24" s="22">
        <v>5000</v>
      </c>
      <c r="U24" s="22">
        <v>5000</v>
      </c>
      <c r="V24" s="22">
        <v>5000</v>
      </c>
      <c r="W24" s="22">
        <v>5000</v>
      </c>
      <c r="X24" s="22">
        <v>5000</v>
      </c>
      <c r="Y24" s="22">
        <v>5000</v>
      </c>
      <c r="Z24" s="22">
        <v>5000</v>
      </c>
      <c r="AA24" s="22">
        <v>5000</v>
      </c>
      <c r="AB24" s="22">
        <v>5000</v>
      </c>
      <c r="AC24" s="73"/>
      <c r="AG24" s="18"/>
      <c r="AH24" s="18"/>
      <c r="AI24" s="23"/>
      <c r="AJ24" s="23"/>
      <c r="AK24" s="23"/>
      <c r="AL24" s="23"/>
      <c r="AM24" s="23"/>
      <c r="AN24" s="23"/>
      <c r="AO24" s="23"/>
      <c r="AP24" s="23"/>
      <c r="AQ24" s="23"/>
      <c r="AR24" s="23"/>
      <c r="AS24" s="23"/>
      <c r="AT24" s="23"/>
      <c r="AU24" s="23"/>
      <c r="AV24" s="23"/>
      <c r="AW24" s="23"/>
      <c r="AX24" s="23"/>
      <c r="AY24" s="23"/>
      <c r="AZ24" s="23"/>
      <c r="BA24" s="23"/>
      <c r="BB24" s="23"/>
      <c r="BC24" s="23"/>
      <c r="BD24" s="23"/>
      <c r="BE24" s="23"/>
      <c r="BF24" s="23"/>
    </row>
    <row r="25" spans="2:58" ht="18.649999999999999" customHeight="1" x14ac:dyDescent="0.25">
      <c r="B25" s="70" t="s">
        <v>36</v>
      </c>
      <c r="C25" s="4" t="s">
        <v>31</v>
      </c>
      <c r="D25" s="5">
        <v>5</v>
      </c>
      <c r="E25" s="22">
        <v>5000</v>
      </c>
      <c r="F25" s="22">
        <v>5000</v>
      </c>
      <c r="G25" s="22">
        <v>5000</v>
      </c>
      <c r="H25" s="22">
        <v>5000</v>
      </c>
      <c r="I25" s="22">
        <v>5000</v>
      </c>
      <c r="J25" s="22">
        <v>5000</v>
      </c>
      <c r="K25" s="22">
        <v>5000</v>
      </c>
      <c r="L25" s="22">
        <v>5000</v>
      </c>
      <c r="M25" s="22">
        <v>5000</v>
      </c>
      <c r="N25" s="22">
        <v>5000</v>
      </c>
      <c r="O25" s="22">
        <v>5000</v>
      </c>
      <c r="P25" s="22">
        <v>5000</v>
      </c>
      <c r="Q25" s="22">
        <v>5000</v>
      </c>
      <c r="R25" s="22">
        <v>5000</v>
      </c>
      <c r="S25" s="22">
        <v>5000</v>
      </c>
      <c r="T25" s="22">
        <v>5000</v>
      </c>
      <c r="U25" s="22">
        <v>5000</v>
      </c>
      <c r="V25" s="22">
        <v>5000</v>
      </c>
      <c r="W25" s="22">
        <v>5000</v>
      </c>
      <c r="X25" s="22">
        <v>5000</v>
      </c>
      <c r="Y25" s="22">
        <v>5000</v>
      </c>
      <c r="Z25" s="22">
        <v>5000</v>
      </c>
      <c r="AA25" s="22">
        <v>5000</v>
      </c>
      <c r="AB25" s="22">
        <v>5000</v>
      </c>
      <c r="AC25" s="73"/>
      <c r="AG25" s="18"/>
      <c r="AH25" s="18"/>
      <c r="AI25" s="23"/>
      <c r="AJ25" s="23"/>
      <c r="AK25" s="23"/>
      <c r="AL25" s="23"/>
      <c r="AM25" s="23"/>
      <c r="AN25" s="23"/>
      <c r="AO25" s="23"/>
      <c r="AP25" s="23"/>
      <c r="AQ25" s="23"/>
      <c r="AR25" s="23"/>
      <c r="AS25" s="23"/>
      <c r="AT25" s="23"/>
      <c r="AU25" s="23"/>
      <c r="AV25" s="23"/>
      <c r="AW25" s="23"/>
      <c r="AX25" s="23"/>
      <c r="AY25" s="23"/>
      <c r="AZ25" s="23"/>
      <c r="BA25" s="23"/>
      <c r="BB25" s="23"/>
      <c r="BC25" s="23"/>
      <c r="BD25" s="23"/>
      <c r="BE25" s="23"/>
      <c r="BF25" s="23"/>
    </row>
    <row r="26" spans="2:58" ht="18.649999999999999" customHeight="1" x14ac:dyDescent="0.25">
      <c r="B26" s="70" t="s">
        <v>36</v>
      </c>
      <c r="C26" s="4" t="s">
        <v>32</v>
      </c>
      <c r="D26" s="5">
        <v>3</v>
      </c>
      <c r="E26" s="22">
        <v>5000</v>
      </c>
      <c r="F26" s="22">
        <v>5000</v>
      </c>
      <c r="G26" s="22">
        <v>5000</v>
      </c>
      <c r="H26" s="22">
        <v>5000</v>
      </c>
      <c r="I26" s="22">
        <v>5000</v>
      </c>
      <c r="J26" s="22">
        <v>5000</v>
      </c>
      <c r="K26" s="22">
        <v>5000</v>
      </c>
      <c r="L26" s="22">
        <v>5000</v>
      </c>
      <c r="M26" s="22">
        <v>5000</v>
      </c>
      <c r="N26" s="22">
        <v>5000</v>
      </c>
      <c r="O26" s="22">
        <v>5000</v>
      </c>
      <c r="P26" s="22">
        <v>5000</v>
      </c>
      <c r="Q26" s="22">
        <v>5000</v>
      </c>
      <c r="R26" s="22">
        <v>5000</v>
      </c>
      <c r="S26" s="22">
        <v>5000</v>
      </c>
      <c r="T26" s="22">
        <v>5000</v>
      </c>
      <c r="U26" s="22">
        <v>5000</v>
      </c>
      <c r="V26" s="22">
        <v>5000</v>
      </c>
      <c r="W26" s="22">
        <v>5000</v>
      </c>
      <c r="X26" s="22">
        <v>5000</v>
      </c>
      <c r="Y26" s="22">
        <v>5000</v>
      </c>
      <c r="Z26" s="22">
        <v>5000</v>
      </c>
      <c r="AA26" s="22">
        <v>5000</v>
      </c>
      <c r="AB26" s="22">
        <v>5000</v>
      </c>
      <c r="AC26" s="74"/>
      <c r="AG26" s="18"/>
      <c r="AH26" s="18"/>
      <c r="AI26" s="23"/>
      <c r="AJ26" s="23"/>
      <c r="AK26" s="23"/>
      <c r="AL26" s="23"/>
      <c r="AM26" s="23"/>
      <c r="AN26" s="23"/>
      <c r="AO26" s="23"/>
      <c r="AP26" s="23"/>
      <c r="AQ26" s="23"/>
      <c r="AR26" s="23"/>
      <c r="AS26" s="23"/>
      <c r="AT26" s="23"/>
      <c r="AU26" s="23"/>
      <c r="AV26" s="23"/>
      <c r="AW26" s="23"/>
      <c r="AX26" s="23"/>
      <c r="AY26" s="23"/>
      <c r="AZ26" s="23"/>
      <c r="BA26" s="23"/>
      <c r="BB26" s="23"/>
      <c r="BC26" s="23"/>
      <c r="BD26" s="23"/>
      <c r="BE26" s="23"/>
      <c r="BF26" s="23"/>
    </row>
    <row r="27" spans="2:58" ht="18.649999999999999" customHeight="1" x14ac:dyDescent="0.25">
      <c r="B27" s="70" t="s">
        <v>37</v>
      </c>
      <c r="C27" s="4" t="s">
        <v>29</v>
      </c>
      <c r="D27" s="5">
        <v>21</v>
      </c>
      <c r="E27" s="22">
        <v>5000</v>
      </c>
      <c r="F27" s="22">
        <v>5000</v>
      </c>
      <c r="G27" s="22">
        <v>5000</v>
      </c>
      <c r="H27" s="22">
        <v>5000</v>
      </c>
      <c r="I27" s="22">
        <v>5000</v>
      </c>
      <c r="J27" s="22">
        <v>5000</v>
      </c>
      <c r="K27" s="22">
        <v>5000</v>
      </c>
      <c r="L27" s="22">
        <v>5000</v>
      </c>
      <c r="M27" s="22">
        <v>5000</v>
      </c>
      <c r="N27" s="22">
        <v>5000</v>
      </c>
      <c r="O27" s="22">
        <v>5000</v>
      </c>
      <c r="P27" s="22">
        <v>5000</v>
      </c>
      <c r="Q27" s="22">
        <v>5000</v>
      </c>
      <c r="R27" s="22">
        <v>5000</v>
      </c>
      <c r="S27" s="22">
        <v>5000</v>
      </c>
      <c r="T27" s="22">
        <v>5000</v>
      </c>
      <c r="U27" s="22">
        <v>5000</v>
      </c>
      <c r="V27" s="22">
        <v>5000</v>
      </c>
      <c r="W27" s="22">
        <v>5000</v>
      </c>
      <c r="X27" s="22">
        <v>5000</v>
      </c>
      <c r="Y27" s="22">
        <v>5000</v>
      </c>
      <c r="Z27" s="22">
        <v>5000</v>
      </c>
      <c r="AA27" s="22">
        <v>5000</v>
      </c>
      <c r="AB27" s="22">
        <v>5000</v>
      </c>
      <c r="AC27" s="72">
        <f>+SUM(E27:AB27)*D27+SUM(E28:AB28)*D28+SUM(E29:AB29)*D29+SUM(E30:AB30)*D30</f>
        <v>3600000</v>
      </c>
      <c r="AG27" s="18"/>
      <c r="AH27" s="18"/>
      <c r="AI27" s="23"/>
      <c r="AJ27" s="23"/>
      <c r="AK27" s="23"/>
      <c r="AL27" s="23"/>
      <c r="AM27" s="23"/>
      <c r="AN27" s="23"/>
      <c r="AO27" s="23"/>
      <c r="AP27" s="23"/>
      <c r="AQ27" s="23"/>
      <c r="AR27" s="23"/>
      <c r="AS27" s="23"/>
      <c r="AT27" s="23"/>
      <c r="AU27" s="23"/>
      <c r="AV27" s="23"/>
      <c r="AW27" s="23"/>
      <c r="AX27" s="23"/>
      <c r="AY27" s="23"/>
      <c r="AZ27" s="23"/>
      <c r="BA27" s="23"/>
      <c r="BB27" s="23"/>
      <c r="BC27" s="23"/>
      <c r="BD27" s="23"/>
      <c r="BE27" s="23"/>
      <c r="BF27" s="23"/>
    </row>
    <row r="28" spans="2:58" ht="18.649999999999999" customHeight="1" x14ac:dyDescent="0.25">
      <c r="B28" s="70" t="s">
        <v>37</v>
      </c>
      <c r="C28" s="4" t="s">
        <v>30</v>
      </c>
      <c r="D28" s="5">
        <v>4</v>
      </c>
      <c r="E28" s="22">
        <v>5000</v>
      </c>
      <c r="F28" s="22">
        <v>5000</v>
      </c>
      <c r="G28" s="22">
        <v>5000</v>
      </c>
      <c r="H28" s="22">
        <v>5000</v>
      </c>
      <c r="I28" s="22">
        <v>5000</v>
      </c>
      <c r="J28" s="22">
        <v>5000</v>
      </c>
      <c r="K28" s="22">
        <v>5000</v>
      </c>
      <c r="L28" s="22">
        <v>5000</v>
      </c>
      <c r="M28" s="22">
        <v>5000</v>
      </c>
      <c r="N28" s="22">
        <v>5000</v>
      </c>
      <c r="O28" s="22">
        <v>5000</v>
      </c>
      <c r="P28" s="22">
        <v>5000</v>
      </c>
      <c r="Q28" s="22">
        <v>5000</v>
      </c>
      <c r="R28" s="22">
        <v>5000</v>
      </c>
      <c r="S28" s="22">
        <v>5000</v>
      </c>
      <c r="T28" s="22">
        <v>5000</v>
      </c>
      <c r="U28" s="22">
        <v>5000</v>
      </c>
      <c r="V28" s="22">
        <v>5000</v>
      </c>
      <c r="W28" s="22">
        <v>5000</v>
      </c>
      <c r="X28" s="22">
        <v>5000</v>
      </c>
      <c r="Y28" s="22">
        <v>5000</v>
      </c>
      <c r="Z28" s="22">
        <v>5000</v>
      </c>
      <c r="AA28" s="22">
        <v>5000</v>
      </c>
      <c r="AB28" s="22">
        <v>5000</v>
      </c>
      <c r="AC28" s="73"/>
      <c r="AG28" s="18"/>
      <c r="AH28" s="18"/>
      <c r="AI28" s="23"/>
      <c r="AJ28" s="23"/>
      <c r="AK28" s="23"/>
      <c r="AL28" s="23"/>
      <c r="AM28" s="23"/>
      <c r="AN28" s="23"/>
      <c r="AO28" s="23"/>
      <c r="AP28" s="23"/>
      <c r="AQ28" s="23"/>
      <c r="AR28" s="23"/>
      <c r="AS28" s="23"/>
      <c r="AT28" s="23"/>
      <c r="AU28" s="23"/>
      <c r="AV28" s="23"/>
      <c r="AW28" s="23"/>
      <c r="AX28" s="23"/>
      <c r="AY28" s="23"/>
      <c r="AZ28" s="23"/>
      <c r="BA28" s="23"/>
      <c r="BB28" s="23"/>
      <c r="BC28" s="23"/>
      <c r="BD28" s="23"/>
      <c r="BE28" s="23"/>
      <c r="BF28" s="23"/>
    </row>
    <row r="29" spans="2:58" ht="18.649999999999999" customHeight="1" x14ac:dyDescent="0.25">
      <c r="B29" s="70" t="s">
        <v>37</v>
      </c>
      <c r="C29" s="4" t="s">
        <v>31</v>
      </c>
      <c r="D29" s="5">
        <v>4</v>
      </c>
      <c r="E29" s="22">
        <v>5000</v>
      </c>
      <c r="F29" s="22">
        <v>5000</v>
      </c>
      <c r="G29" s="22">
        <v>5000</v>
      </c>
      <c r="H29" s="22">
        <v>5000</v>
      </c>
      <c r="I29" s="22">
        <v>5000</v>
      </c>
      <c r="J29" s="22">
        <v>5000</v>
      </c>
      <c r="K29" s="22">
        <v>5000</v>
      </c>
      <c r="L29" s="22">
        <v>5000</v>
      </c>
      <c r="M29" s="22">
        <v>5000</v>
      </c>
      <c r="N29" s="22">
        <v>5000</v>
      </c>
      <c r="O29" s="22">
        <v>5000</v>
      </c>
      <c r="P29" s="22">
        <v>5000</v>
      </c>
      <c r="Q29" s="22">
        <v>5000</v>
      </c>
      <c r="R29" s="22">
        <v>5000</v>
      </c>
      <c r="S29" s="22">
        <v>5000</v>
      </c>
      <c r="T29" s="22">
        <v>5000</v>
      </c>
      <c r="U29" s="22">
        <v>5000</v>
      </c>
      <c r="V29" s="22">
        <v>5000</v>
      </c>
      <c r="W29" s="22">
        <v>5000</v>
      </c>
      <c r="X29" s="22">
        <v>5000</v>
      </c>
      <c r="Y29" s="22">
        <v>5000</v>
      </c>
      <c r="Z29" s="22">
        <v>5000</v>
      </c>
      <c r="AA29" s="22">
        <v>5000</v>
      </c>
      <c r="AB29" s="22">
        <v>5000</v>
      </c>
      <c r="AC29" s="73"/>
      <c r="AG29" s="18"/>
      <c r="AH29" s="18"/>
      <c r="AI29" s="23"/>
      <c r="AJ29" s="23"/>
      <c r="AK29" s="23"/>
      <c r="AL29" s="23"/>
      <c r="AM29" s="23"/>
      <c r="AN29" s="23"/>
      <c r="AO29" s="23"/>
      <c r="AP29" s="23"/>
      <c r="AQ29" s="23"/>
      <c r="AR29" s="23"/>
      <c r="AS29" s="23"/>
      <c r="AT29" s="23"/>
      <c r="AU29" s="23"/>
      <c r="AV29" s="23"/>
      <c r="AW29" s="23"/>
      <c r="AX29" s="23"/>
      <c r="AY29" s="23"/>
      <c r="AZ29" s="23"/>
      <c r="BA29" s="23"/>
      <c r="BB29" s="23"/>
      <c r="BC29" s="23"/>
      <c r="BD29" s="23"/>
      <c r="BE29" s="23"/>
      <c r="BF29" s="23"/>
    </row>
    <row r="30" spans="2:58" ht="18.649999999999999" customHeight="1" x14ac:dyDescent="0.25">
      <c r="B30" s="70" t="s">
        <v>37</v>
      </c>
      <c r="C30" s="4" t="s">
        <v>32</v>
      </c>
      <c r="D30" s="5">
        <v>1</v>
      </c>
      <c r="E30" s="22">
        <v>5000</v>
      </c>
      <c r="F30" s="22">
        <v>5000</v>
      </c>
      <c r="G30" s="22">
        <v>5000</v>
      </c>
      <c r="H30" s="22">
        <v>5000</v>
      </c>
      <c r="I30" s="22">
        <v>5000</v>
      </c>
      <c r="J30" s="22">
        <v>5000</v>
      </c>
      <c r="K30" s="22">
        <v>5000</v>
      </c>
      <c r="L30" s="22">
        <v>5000</v>
      </c>
      <c r="M30" s="22">
        <v>5000</v>
      </c>
      <c r="N30" s="22">
        <v>5000</v>
      </c>
      <c r="O30" s="22">
        <v>5000</v>
      </c>
      <c r="P30" s="22">
        <v>5000</v>
      </c>
      <c r="Q30" s="22">
        <v>5000</v>
      </c>
      <c r="R30" s="22">
        <v>5000</v>
      </c>
      <c r="S30" s="22">
        <v>5000</v>
      </c>
      <c r="T30" s="22">
        <v>5000</v>
      </c>
      <c r="U30" s="22">
        <v>5000</v>
      </c>
      <c r="V30" s="22">
        <v>5000</v>
      </c>
      <c r="W30" s="22">
        <v>5000</v>
      </c>
      <c r="X30" s="22">
        <v>5000</v>
      </c>
      <c r="Y30" s="22">
        <v>5000</v>
      </c>
      <c r="Z30" s="22">
        <v>5000</v>
      </c>
      <c r="AA30" s="22">
        <v>5000</v>
      </c>
      <c r="AB30" s="22">
        <v>5000</v>
      </c>
      <c r="AC30" s="74"/>
      <c r="AG30" s="18"/>
      <c r="AH30" s="18"/>
      <c r="AI30" s="23"/>
      <c r="AJ30" s="23"/>
      <c r="AK30" s="23"/>
      <c r="AL30" s="23"/>
      <c r="AM30" s="23"/>
      <c r="AN30" s="23"/>
      <c r="AO30" s="23"/>
      <c r="AP30" s="23"/>
      <c r="AQ30" s="23"/>
      <c r="AR30" s="23"/>
      <c r="AS30" s="23"/>
      <c r="AT30" s="23"/>
      <c r="AU30" s="23"/>
      <c r="AV30" s="23"/>
      <c r="AW30" s="23"/>
      <c r="AX30" s="23"/>
      <c r="AY30" s="23"/>
      <c r="AZ30" s="23"/>
      <c r="BA30" s="23"/>
      <c r="BB30" s="23"/>
      <c r="BC30" s="23"/>
      <c r="BD30" s="23"/>
      <c r="BE30" s="23"/>
      <c r="BF30" s="23"/>
    </row>
    <row r="31" spans="2:58" ht="18.649999999999999" customHeight="1" x14ac:dyDescent="0.25">
      <c r="B31" s="70" t="s">
        <v>38</v>
      </c>
      <c r="C31" s="4" t="s">
        <v>29</v>
      </c>
      <c r="D31" s="5">
        <v>20</v>
      </c>
      <c r="E31" s="22">
        <v>5000</v>
      </c>
      <c r="F31" s="22">
        <v>5000</v>
      </c>
      <c r="G31" s="22">
        <v>5000</v>
      </c>
      <c r="H31" s="22">
        <v>5000</v>
      </c>
      <c r="I31" s="22">
        <v>5000</v>
      </c>
      <c r="J31" s="22">
        <v>5000</v>
      </c>
      <c r="K31" s="22">
        <v>5000</v>
      </c>
      <c r="L31" s="22">
        <v>5000</v>
      </c>
      <c r="M31" s="22">
        <v>5000</v>
      </c>
      <c r="N31" s="22">
        <v>5000</v>
      </c>
      <c r="O31" s="22">
        <v>5000</v>
      </c>
      <c r="P31" s="22">
        <v>5000</v>
      </c>
      <c r="Q31" s="22">
        <v>5000</v>
      </c>
      <c r="R31" s="22">
        <v>5000</v>
      </c>
      <c r="S31" s="22">
        <v>5000</v>
      </c>
      <c r="T31" s="22">
        <v>5000</v>
      </c>
      <c r="U31" s="22">
        <v>5000</v>
      </c>
      <c r="V31" s="22">
        <v>5000</v>
      </c>
      <c r="W31" s="22">
        <v>5000</v>
      </c>
      <c r="X31" s="22">
        <v>5000</v>
      </c>
      <c r="Y31" s="22">
        <v>5000</v>
      </c>
      <c r="Z31" s="22">
        <v>5000</v>
      </c>
      <c r="AA31" s="22">
        <v>5000</v>
      </c>
      <c r="AB31" s="22">
        <v>5000</v>
      </c>
      <c r="AC31" s="72">
        <f>+SUM(E31:AB31)*D31+SUM(E32:AB32)*D32+SUM(E33:AB33)*D33+SUM(E34:AB34)*D34</f>
        <v>3720000</v>
      </c>
      <c r="AG31" s="18"/>
      <c r="AH31" s="18"/>
      <c r="AI31" s="23"/>
      <c r="AJ31" s="23"/>
      <c r="AK31" s="23"/>
      <c r="AL31" s="23"/>
      <c r="AM31" s="23"/>
      <c r="AN31" s="23"/>
      <c r="AO31" s="23"/>
      <c r="AP31" s="23"/>
      <c r="AQ31" s="23"/>
      <c r="AR31" s="23"/>
      <c r="AS31" s="23"/>
      <c r="AT31" s="23"/>
      <c r="AU31" s="23"/>
      <c r="AV31" s="23"/>
      <c r="AW31" s="23"/>
      <c r="AX31" s="23"/>
      <c r="AY31" s="23"/>
      <c r="AZ31" s="23"/>
      <c r="BA31" s="23"/>
      <c r="BB31" s="23"/>
      <c r="BC31" s="23"/>
      <c r="BD31" s="23"/>
      <c r="BE31" s="23"/>
      <c r="BF31" s="23"/>
    </row>
    <row r="32" spans="2:58" ht="18.649999999999999" customHeight="1" x14ac:dyDescent="0.25">
      <c r="B32" s="70" t="s">
        <v>38</v>
      </c>
      <c r="C32" s="4" t="s">
        <v>30</v>
      </c>
      <c r="D32" s="5">
        <v>5</v>
      </c>
      <c r="E32" s="22">
        <v>5000</v>
      </c>
      <c r="F32" s="22">
        <v>5000</v>
      </c>
      <c r="G32" s="22">
        <v>5000</v>
      </c>
      <c r="H32" s="22">
        <v>5000</v>
      </c>
      <c r="I32" s="22">
        <v>5000</v>
      </c>
      <c r="J32" s="22">
        <v>5000</v>
      </c>
      <c r="K32" s="22">
        <v>5000</v>
      </c>
      <c r="L32" s="22">
        <v>5000</v>
      </c>
      <c r="M32" s="22">
        <v>5000</v>
      </c>
      <c r="N32" s="22">
        <v>5000</v>
      </c>
      <c r="O32" s="22">
        <v>5000</v>
      </c>
      <c r="P32" s="22">
        <v>5000</v>
      </c>
      <c r="Q32" s="22">
        <v>5000</v>
      </c>
      <c r="R32" s="22">
        <v>5000</v>
      </c>
      <c r="S32" s="22">
        <v>5000</v>
      </c>
      <c r="T32" s="22">
        <v>5000</v>
      </c>
      <c r="U32" s="22">
        <v>5000</v>
      </c>
      <c r="V32" s="22">
        <v>5000</v>
      </c>
      <c r="W32" s="22">
        <v>5000</v>
      </c>
      <c r="X32" s="22">
        <v>5000</v>
      </c>
      <c r="Y32" s="22">
        <v>5000</v>
      </c>
      <c r="Z32" s="22">
        <v>5000</v>
      </c>
      <c r="AA32" s="22">
        <v>5000</v>
      </c>
      <c r="AB32" s="22">
        <v>5000</v>
      </c>
      <c r="AC32" s="73"/>
      <c r="AG32" s="18"/>
      <c r="AH32" s="18"/>
      <c r="AI32" s="23"/>
      <c r="AJ32" s="23"/>
      <c r="AK32" s="23"/>
      <c r="AL32" s="23"/>
      <c r="AM32" s="23"/>
      <c r="AN32" s="23"/>
      <c r="AO32" s="23"/>
      <c r="AP32" s="23"/>
      <c r="AQ32" s="23"/>
      <c r="AR32" s="23"/>
      <c r="AS32" s="23"/>
      <c r="AT32" s="23"/>
      <c r="AU32" s="23"/>
      <c r="AV32" s="23"/>
      <c r="AW32" s="23"/>
      <c r="AX32" s="23"/>
      <c r="AY32" s="23"/>
      <c r="AZ32" s="23"/>
      <c r="BA32" s="23"/>
      <c r="BB32" s="23"/>
      <c r="BC32" s="23"/>
      <c r="BD32" s="23"/>
      <c r="BE32" s="23"/>
      <c r="BF32" s="23"/>
    </row>
    <row r="33" spans="2:58" ht="18.649999999999999" customHeight="1" x14ac:dyDescent="0.25">
      <c r="B33" s="70" t="s">
        <v>38</v>
      </c>
      <c r="C33" s="4" t="s">
        <v>31</v>
      </c>
      <c r="D33" s="5">
        <v>4</v>
      </c>
      <c r="E33" s="22">
        <v>5000</v>
      </c>
      <c r="F33" s="22">
        <v>5000</v>
      </c>
      <c r="G33" s="22">
        <v>5000</v>
      </c>
      <c r="H33" s="22">
        <v>5000</v>
      </c>
      <c r="I33" s="22">
        <v>5000</v>
      </c>
      <c r="J33" s="22">
        <v>5000</v>
      </c>
      <c r="K33" s="22">
        <v>5000</v>
      </c>
      <c r="L33" s="22">
        <v>5000</v>
      </c>
      <c r="M33" s="22">
        <v>5000</v>
      </c>
      <c r="N33" s="22">
        <v>5000</v>
      </c>
      <c r="O33" s="22">
        <v>5000</v>
      </c>
      <c r="P33" s="22">
        <v>5000</v>
      </c>
      <c r="Q33" s="22">
        <v>5000</v>
      </c>
      <c r="R33" s="22">
        <v>5000</v>
      </c>
      <c r="S33" s="22">
        <v>5000</v>
      </c>
      <c r="T33" s="22">
        <v>5000</v>
      </c>
      <c r="U33" s="22">
        <v>5000</v>
      </c>
      <c r="V33" s="22">
        <v>5000</v>
      </c>
      <c r="W33" s="22">
        <v>5000</v>
      </c>
      <c r="X33" s="22">
        <v>5000</v>
      </c>
      <c r="Y33" s="22">
        <v>5000</v>
      </c>
      <c r="Z33" s="22">
        <v>5000</v>
      </c>
      <c r="AA33" s="22">
        <v>5000</v>
      </c>
      <c r="AB33" s="22">
        <v>5000</v>
      </c>
      <c r="AC33" s="73"/>
      <c r="AG33" s="18"/>
      <c r="AH33" s="18"/>
      <c r="AI33" s="23"/>
      <c r="AJ33" s="23"/>
      <c r="AK33" s="23"/>
      <c r="AL33" s="23"/>
      <c r="AM33" s="23"/>
      <c r="AN33" s="23"/>
      <c r="AO33" s="23"/>
      <c r="AP33" s="23"/>
      <c r="AQ33" s="23"/>
      <c r="AR33" s="23"/>
      <c r="AS33" s="23"/>
      <c r="AT33" s="23"/>
      <c r="AU33" s="23"/>
      <c r="AV33" s="23"/>
      <c r="AW33" s="23"/>
      <c r="AX33" s="23"/>
      <c r="AY33" s="23"/>
      <c r="AZ33" s="23"/>
      <c r="BA33" s="23"/>
      <c r="BB33" s="23"/>
      <c r="BC33" s="23"/>
      <c r="BD33" s="23"/>
      <c r="BE33" s="23"/>
      <c r="BF33" s="23"/>
    </row>
    <row r="34" spans="2:58" ht="18.649999999999999" customHeight="1" x14ac:dyDescent="0.25">
      <c r="B34" s="70" t="s">
        <v>38</v>
      </c>
      <c r="C34" s="4" t="s">
        <v>32</v>
      </c>
      <c r="D34" s="5">
        <v>2</v>
      </c>
      <c r="E34" s="22">
        <v>5000</v>
      </c>
      <c r="F34" s="22">
        <v>5000</v>
      </c>
      <c r="G34" s="22">
        <v>5000</v>
      </c>
      <c r="H34" s="22">
        <v>5000</v>
      </c>
      <c r="I34" s="22">
        <v>5000</v>
      </c>
      <c r="J34" s="22">
        <v>5000</v>
      </c>
      <c r="K34" s="22">
        <v>5000</v>
      </c>
      <c r="L34" s="22">
        <v>5000</v>
      </c>
      <c r="M34" s="22">
        <v>5000</v>
      </c>
      <c r="N34" s="22">
        <v>5000</v>
      </c>
      <c r="O34" s="22">
        <v>5000</v>
      </c>
      <c r="P34" s="22">
        <v>5000</v>
      </c>
      <c r="Q34" s="22">
        <v>5000</v>
      </c>
      <c r="R34" s="22">
        <v>5000</v>
      </c>
      <c r="S34" s="22">
        <v>5000</v>
      </c>
      <c r="T34" s="22">
        <v>5000</v>
      </c>
      <c r="U34" s="22">
        <v>5000</v>
      </c>
      <c r="V34" s="22">
        <v>5000</v>
      </c>
      <c r="W34" s="22">
        <v>5000</v>
      </c>
      <c r="X34" s="22">
        <v>5000</v>
      </c>
      <c r="Y34" s="22">
        <v>5000</v>
      </c>
      <c r="Z34" s="22">
        <v>5000</v>
      </c>
      <c r="AA34" s="22">
        <v>5000</v>
      </c>
      <c r="AB34" s="22">
        <v>5000</v>
      </c>
      <c r="AC34" s="74"/>
      <c r="AG34" s="18"/>
      <c r="AH34" s="18"/>
      <c r="AI34" s="23"/>
      <c r="AJ34" s="23"/>
      <c r="AK34" s="23"/>
      <c r="AL34" s="23"/>
      <c r="AM34" s="23"/>
      <c r="AN34" s="23"/>
      <c r="AO34" s="23"/>
      <c r="AP34" s="23"/>
      <c r="AQ34" s="23"/>
      <c r="AR34" s="23"/>
      <c r="AS34" s="23"/>
      <c r="AT34" s="23"/>
      <c r="AU34" s="23"/>
      <c r="AV34" s="23"/>
      <c r="AW34" s="23"/>
      <c r="AX34" s="23"/>
      <c r="AY34" s="23"/>
      <c r="AZ34" s="23"/>
      <c r="BA34" s="23"/>
      <c r="BB34" s="23"/>
      <c r="BC34" s="23"/>
      <c r="BD34" s="23"/>
      <c r="BE34" s="23"/>
      <c r="BF34" s="23"/>
    </row>
    <row r="35" spans="2:58" ht="18.649999999999999" customHeight="1" x14ac:dyDescent="0.25">
      <c r="B35" s="70" t="s">
        <v>39</v>
      </c>
      <c r="C35" s="4" t="s">
        <v>29</v>
      </c>
      <c r="D35" s="5">
        <v>21</v>
      </c>
      <c r="E35" s="22">
        <v>5000</v>
      </c>
      <c r="F35" s="22">
        <v>5000</v>
      </c>
      <c r="G35" s="22">
        <v>5000</v>
      </c>
      <c r="H35" s="22">
        <v>5000</v>
      </c>
      <c r="I35" s="22">
        <v>5000</v>
      </c>
      <c r="J35" s="22">
        <v>5000</v>
      </c>
      <c r="K35" s="22">
        <v>5000</v>
      </c>
      <c r="L35" s="22">
        <v>5000</v>
      </c>
      <c r="M35" s="22">
        <v>5000</v>
      </c>
      <c r="N35" s="22">
        <v>5000</v>
      </c>
      <c r="O35" s="22">
        <v>5000</v>
      </c>
      <c r="P35" s="22">
        <v>5000</v>
      </c>
      <c r="Q35" s="22">
        <v>5000</v>
      </c>
      <c r="R35" s="22">
        <v>5000</v>
      </c>
      <c r="S35" s="22">
        <v>5000</v>
      </c>
      <c r="T35" s="22">
        <v>5000</v>
      </c>
      <c r="U35" s="22">
        <v>5000</v>
      </c>
      <c r="V35" s="22">
        <v>5000</v>
      </c>
      <c r="W35" s="22">
        <v>5000</v>
      </c>
      <c r="X35" s="22">
        <v>5000</v>
      </c>
      <c r="Y35" s="22">
        <v>5000</v>
      </c>
      <c r="Z35" s="22">
        <v>5000</v>
      </c>
      <c r="AA35" s="22">
        <v>5000</v>
      </c>
      <c r="AB35" s="22">
        <v>5000</v>
      </c>
      <c r="AC35" s="72">
        <f>+SUM(E35:AB35)*D35+SUM(E36:AB36)*D36+SUM(E37:AB37)*D37+SUM(E38:AB38)*D38</f>
        <v>3720000</v>
      </c>
      <c r="AG35" s="18"/>
      <c r="AH35" s="18"/>
      <c r="AI35" s="23"/>
      <c r="AJ35" s="23"/>
      <c r="AK35" s="23"/>
      <c r="AL35" s="23"/>
      <c r="AM35" s="23"/>
      <c r="AN35" s="23"/>
      <c r="AO35" s="23"/>
      <c r="AP35" s="23"/>
      <c r="AQ35" s="23"/>
      <c r="AR35" s="23"/>
      <c r="AS35" s="23"/>
      <c r="AT35" s="23"/>
      <c r="AU35" s="23"/>
      <c r="AV35" s="23"/>
      <c r="AW35" s="23"/>
      <c r="AX35" s="23"/>
      <c r="AY35" s="23"/>
      <c r="AZ35" s="23"/>
      <c r="BA35" s="23"/>
      <c r="BB35" s="23"/>
      <c r="BC35" s="23"/>
      <c r="BD35" s="23"/>
      <c r="BE35" s="23"/>
      <c r="BF35" s="23"/>
    </row>
    <row r="36" spans="2:58" ht="18.649999999999999" customHeight="1" x14ac:dyDescent="0.25">
      <c r="B36" s="70" t="s">
        <v>39</v>
      </c>
      <c r="C36" s="4" t="s">
        <v>30</v>
      </c>
      <c r="D36" s="5">
        <v>3</v>
      </c>
      <c r="E36" s="22">
        <v>5000</v>
      </c>
      <c r="F36" s="22">
        <v>5000</v>
      </c>
      <c r="G36" s="22">
        <v>5000</v>
      </c>
      <c r="H36" s="22">
        <v>5000</v>
      </c>
      <c r="I36" s="22">
        <v>5000</v>
      </c>
      <c r="J36" s="22">
        <v>5000</v>
      </c>
      <c r="K36" s="22">
        <v>5000</v>
      </c>
      <c r="L36" s="22">
        <v>5000</v>
      </c>
      <c r="M36" s="22">
        <v>5000</v>
      </c>
      <c r="N36" s="22">
        <v>5000</v>
      </c>
      <c r="O36" s="22">
        <v>5000</v>
      </c>
      <c r="P36" s="22">
        <v>5000</v>
      </c>
      <c r="Q36" s="22">
        <v>5000</v>
      </c>
      <c r="R36" s="22">
        <v>5000</v>
      </c>
      <c r="S36" s="22">
        <v>5000</v>
      </c>
      <c r="T36" s="22">
        <v>5000</v>
      </c>
      <c r="U36" s="22">
        <v>5000</v>
      </c>
      <c r="V36" s="22">
        <v>5000</v>
      </c>
      <c r="W36" s="22">
        <v>5000</v>
      </c>
      <c r="X36" s="22">
        <v>5000</v>
      </c>
      <c r="Y36" s="22">
        <v>5000</v>
      </c>
      <c r="Z36" s="22">
        <v>5000</v>
      </c>
      <c r="AA36" s="22">
        <v>5000</v>
      </c>
      <c r="AB36" s="22">
        <v>5000</v>
      </c>
      <c r="AC36" s="73"/>
      <c r="AG36" s="18"/>
      <c r="AH36" s="18"/>
      <c r="AI36" s="23"/>
      <c r="AJ36" s="23"/>
      <c r="AK36" s="23"/>
      <c r="AL36" s="23"/>
      <c r="AM36" s="23"/>
      <c r="AN36" s="23"/>
      <c r="AO36" s="23"/>
      <c r="AP36" s="23"/>
      <c r="AQ36" s="23"/>
      <c r="AR36" s="23"/>
      <c r="AS36" s="23"/>
      <c r="AT36" s="23"/>
      <c r="AU36" s="23"/>
      <c r="AV36" s="23"/>
      <c r="AW36" s="23"/>
      <c r="AX36" s="23"/>
      <c r="AY36" s="23"/>
      <c r="AZ36" s="23"/>
      <c r="BA36" s="23"/>
      <c r="BB36" s="23"/>
      <c r="BC36" s="23"/>
      <c r="BD36" s="23"/>
      <c r="BE36" s="23"/>
      <c r="BF36" s="23"/>
    </row>
    <row r="37" spans="2:58" ht="18.649999999999999" customHeight="1" x14ac:dyDescent="0.25">
      <c r="B37" s="70" t="s">
        <v>39</v>
      </c>
      <c r="C37" s="4" t="s">
        <v>31</v>
      </c>
      <c r="D37" s="5">
        <v>5</v>
      </c>
      <c r="E37" s="22">
        <v>5000</v>
      </c>
      <c r="F37" s="22">
        <v>5000</v>
      </c>
      <c r="G37" s="22">
        <v>5000</v>
      </c>
      <c r="H37" s="22">
        <v>5000</v>
      </c>
      <c r="I37" s="22">
        <v>5000</v>
      </c>
      <c r="J37" s="22">
        <v>5000</v>
      </c>
      <c r="K37" s="22">
        <v>5000</v>
      </c>
      <c r="L37" s="22">
        <v>5000</v>
      </c>
      <c r="M37" s="22">
        <v>5000</v>
      </c>
      <c r="N37" s="22">
        <v>5000</v>
      </c>
      <c r="O37" s="22">
        <v>5000</v>
      </c>
      <c r="P37" s="22">
        <v>5000</v>
      </c>
      <c r="Q37" s="22">
        <v>5000</v>
      </c>
      <c r="R37" s="22">
        <v>5000</v>
      </c>
      <c r="S37" s="22">
        <v>5000</v>
      </c>
      <c r="T37" s="22">
        <v>5000</v>
      </c>
      <c r="U37" s="22">
        <v>5000</v>
      </c>
      <c r="V37" s="22">
        <v>5000</v>
      </c>
      <c r="W37" s="22">
        <v>5000</v>
      </c>
      <c r="X37" s="22">
        <v>5000</v>
      </c>
      <c r="Y37" s="22">
        <v>5000</v>
      </c>
      <c r="Z37" s="22">
        <v>5000</v>
      </c>
      <c r="AA37" s="22">
        <v>5000</v>
      </c>
      <c r="AB37" s="22">
        <v>5000</v>
      </c>
      <c r="AC37" s="73"/>
      <c r="AG37" s="18"/>
      <c r="AH37" s="18"/>
      <c r="AI37" s="23"/>
      <c r="AJ37" s="23"/>
      <c r="AK37" s="23"/>
      <c r="AL37" s="23"/>
      <c r="AM37" s="23"/>
      <c r="AN37" s="23"/>
      <c r="AO37" s="23"/>
      <c r="AP37" s="23"/>
      <c r="AQ37" s="23"/>
      <c r="AR37" s="23"/>
      <c r="AS37" s="23"/>
      <c r="AT37" s="23"/>
      <c r="AU37" s="23"/>
      <c r="AV37" s="23"/>
      <c r="AW37" s="23"/>
      <c r="AX37" s="23"/>
      <c r="AY37" s="23"/>
      <c r="AZ37" s="23"/>
      <c r="BA37" s="23"/>
      <c r="BB37" s="23"/>
      <c r="BC37" s="23"/>
      <c r="BD37" s="23"/>
      <c r="BE37" s="23"/>
      <c r="BF37" s="23"/>
    </row>
    <row r="38" spans="2:58" ht="18.649999999999999" customHeight="1" x14ac:dyDescent="0.25">
      <c r="B38" s="70" t="s">
        <v>39</v>
      </c>
      <c r="C38" s="4" t="s">
        <v>32</v>
      </c>
      <c r="D38" s="5">
        <v>2</v>
      </c>
      <c r="E38" s="22">
        <v>5000</v>
      </c>
      <c r="F38" s="22">
        <v>5000</v>
      </c>
      <c r="G38" s="22">
        <v>5000</v>
      </c>
      <c r="H38" s="22">
        <v>5000</v>
      </c>
      <c r="I38" s="22">
        <v>5000</v>
      </c>
      <c r="J38" s="22">
        <v>5000</v>
      </c>
      <c r="K38" s="22">
        <v>5000</v>
      </c>
      <c r="L38" s="22">
        <v>5000</v>
      </c>
      <c r="M38" s="22">
        <v>5000</v>
      </c>
      <c r="N38" s="22">
        <v>5000</v>
      </c>
      <c r="O38" s="22">
        <v>5000</v>
      </c>
      <c r="P38" s="22">
        <v>5000</v>
      </c>
      <c r="Q38" s="22">
        <v>5000</v>
      </c>
      <c r="R38" s="22">
        <v>5000</v>
      </c>
      <c r="S38" s="22">
        <v>5000</v>
      </c>
      <c r="T38" s="22">
        <v>5000</v>
      </c>
      <c r="U38" s="22">
        <v>5000</v>
      </c>
      <c r="V38" s="22">
        <v>5000</v>
      </c>
      <c r="W38" s="22">
        <v>5000</v>
      </c>
      <c r="X38" s="22">
        <v>5000</v>
      </c>
      <c r="Y38" s="22">
        <v>5000</v>
      </c>
      <c r="Z38" s="22">
        <v>5000</v>
      </c>
      <c r="AA38" s="22">
        <v>5000</v>
      </c>
      <c r="AB38" s="22">
        <v>5000</v>
      </c>
      <c r="AC38" s="74"/>
      <c r="AG38" s="18"/>
      <c r="AH38" s="18"/>
      <c r="AI38" s="23"/>
      <c r="AJ38" s="23"/>
      <c r="AK38" s="23"/>
      <c r="AL38" s="23"/>
      <c r="AM38" s="23"/>
      <c r="AN38" s="23"/>
      <c r="AO38" s="23"/>
      <c r="AP38" s="23"/>
      <c r="AQ38" s="23"/>
      <c r="AR38" s="23"/>
      <c r="AS38" s="23"/>
      <c r="AT38" s="23"/>
      <c r="AU38" s="23"/>
      <c r="AV38" s="23"/>
      <c r="AW38" s="23"/>
      <c r="AX38" s="23"/>
      <c r="AY38" s="23"/>
      <c r="AZ38" s="23"/>
      <c r="BA38" s="23"/>
      <c r="BB38" s="23"/>
      <c r="BC38" s="23"/>
      <c r="BD38" s="23"/>
      <c r="BE38" s="23"/>
      <c r="BF38" s="23"/>
    </row>
    <row r="39" spans="2:58" ht="18.649999999999999" customHeight="1" x14ac:dyDescent="0.25">
      <c r="B39" s="70" t="s">
        <v>40</v>
      </c>
      <c r="C39" s="4" t="s">
        <v>29</v>
      </c>
      <c r="D39" s="5">
        <v>22</v>
      </c>
      <c r="E39" s="22">
        <v>5000</v>
      </c>
      <c r="F39" s="22">
        <v>5000</v>
      </c>
      <c r="G39" s="22">
        <v>5000</v>
      </c>
      <c r="H39" s="22">
        <v>5000</v>
      </c>
      <c r="I39" s="22">
        <v>5000</v>
      </c>
      <c r="J39" s="22">
        <v>5000</v>
      </c>
      <c r="K39" s="22">
        <v>5000</v>
      </c>
      <c r="L39" s="22">
        <v>5000</v>
      </c>
      <c r="M39" s="22">
        <v>5000</v>
      </c>
      <c r="N39" s="22">
        <v>5000</v>
      </c>
      <c r="O39" s="22">
        <v>5000</v>
      </c>
      <c r="P39" s="22">
        <v>5000</v>
      </c>
      <c r="Q39" s="22">
        <v>5000</v>
      </c>
      <c r="R39" s="22">
        <v>5000</v>
      </c>
      <c r="S39" s="22">
        <v>5000</v>
      </c>
      <c r="T39" s="22">
        <v>5000</v>
      </c>
      <c r="U39" s="22">
        <v>5000</v>
      </c>
      <c r="V39" s="22">
        <v>5000</v>
      </c>
      <c r="W39" s="22">
        <v>5000</v>
      </c>
      <c r="X39" s="22">
        <v>5000</v>
      </c>
      <c r="Y39" s="22">
        <v>5000</v>
      </c>
      <c r="Z39" s="22">
        <v>5000</v>
      </c>
      <c r="AA39" s="22">
        <v>5000</v>
      </c>
      <c r="AB39" s="22">
        <v>5000</v>
      </c>
      <c r="AC39" s="72">
        <f>+SUM(E39:AB39)*D39+SUM(E40:AB40)*D40+SUM(E41:AB41)*D41+SUM(E42:AB42)*D42</f>
        <v>3600000</v>
      </c>
      <c r="AG39" s="18"/>
      <c r="AH39" s="18"/>
      <c r="AI39" s="23"/>
      <c r="AJ39" s="23"/>
      <c r="AK39" s="23"/>
      <c r="AL39" s="23"/>
      <c r="AM39" s="23"/>
      <c r="AN39" s="23"/>
      <c r="AO39" s="23"/>
      <c r="AP39" s="23"/>
      <c r="AQ39" s="23"/>
      <c r="AR39" s="23"/>
      <c r="AS39" s="23"/>
      <c r="AT39" s="23"/>
      <c r="AU39" s="23"/>
      <c r="AV39" s="23"/>
      <c r="AW39" s="23"/>
      <c r="AX39" s="23"/>
      <c r="AY39" s="23"/>
      <c r="AZ39" s="23"/>
      <c r="BA39" s="23"/>
      <c r="BB39" s="23"/>
      <c r="BC39" s="23"/>
      <c r="BD39" s="23"/>
      <c r="BE39" s="23"/>
      <c r="BF39" s="23"/>
    </row>
    <row r="40" spans="2:58" ht="18.649999999999999" customHeight="1" x14ac:dyDescent="0.25">
      <c r="B40" s="70" t="s">
        <v>40</v>
      </c>
      <c r="C40" s="4" t="s">
        <v>30</v>
      </c>
      <c r="D40" s="5">
        <v>4</v>
      </c>
      <c r="E40" s="22">
        <v>5000</v>
      </c>
      <c r="F40" s="22">
        <v>5000</v>
      </c>
      <c r="G40" s="22">
        <v>5000</v>
      </c>
      <c r="H40" s="22">
        <v>5000</v>
      </c>
      <c r="I40" s="22">
        <v>5000</v>
      </c>
      <c r="J40" s="22">
        <v>5000</v>
      </c>
      <c r="K40" s="22">
        <v>5000</v>
      </c>
      <c r="L40" s="22">
        <v>5000</v>
      </c>
      <c r="M40" s="22">
        <v>5000</v>
      </c>
      <c r="N40" s="22">
        <v>5000</v>
      </c>
      <c r="O40" s="22">
        <v>5000</v>
      </c>
      <c r="P40" s="22">
        <v>5000</v>
      </c>
      <c r="Q40" s="22">
        <v>5000</v>
      </c>
      <c r="R40" s="22">
        <v>5000</v>
      </c>
      <c r="S40" s="22">
        <v>5000</v>
      </c>
      <c r="T40" s="22">
        <v>5000</v>
      </c>
      <c r="U40" s="22">
        <v>5000</v>
      </c>
      <c r="V40" s="22">
        <v>5000</v>
      </c>
      <c r="W40" s="22">
        <v>5000</v>
      </c>
      <c r="X40" s="22">
        <v>5000</v>
      </c>
      <c r="Y40" s="22">
        <v>5000</v>
      </c>
      <c r="Z40" s="22">
        <v>5000</v>
      </c>
      <c r="AA40" s="22">
        <v>5000</v>
      </c>
      <c r="AB40" s="22">
        <v>5000</v>
      </c>
      <c r="AC40" s="73"/>
      <c r="AG40" s="18"/>
      <c r="AH40" s="18"/>
      <c r="AI40" s="23"/>
      <c r="AJ40" s="23"/>
      <c r="AK40" s="23"/>
      <c r="AL40" s="23"/>
      <c r="AM40" s="23"/>
      <c r="AN40" s="23"/>
      <c r="AO40" s="23"/>
      <c r="AP40" s="23"/>
      <c r="AQ40" s="23"/>
      <c r="AR40" s="23"/>
      <c r="AS40" s="23"/>
      <c r="AT40" s="23"/>
      <c r="AU40" s="23"/>
      <c r="AV40" s="23"/>
      <c r="AW40" s="23"/>
      <c r="AX40" s="23"/>
      <c r="AY40" s="23"/>
      <c r="AZ40" s="23"/>
      <c r="BA40" s="23"/>
      <c r="BB40" s="23"/>
      <c r="BC40" s="23"/>
      <c r="BD40" s="23"/>
      <c r="BE40" s="23"/>
      <c r="BF40" s="23"/>
    </row>
    <row r="41" spans="2:58" ht="18.649999999999999" customHeight="1" x14ac:dyDescent="0.25">
      <c r="B41" s="70" t="s">
        <v>40</v>
      </c>
      <c r="C41" s="4" t="s">
        <v>31</v>
      </c>
      <c r="D41" s="5">
        <v>4</v>
      </c>
      <c r="E41" s="22">
        <v>5000</v>
      </c>
      <c r="F41" s="22">
        <v>5000</v>
      </c>
      <c r="G41" s="22">
        <v>5000</v>
      </c>
      <c r="H41" s="22">
        <v>5000</v>
      </c>
      <c r="I41" s="22">
        <v>5000</v>
      </c>
      <c r="J41" s="22">
        <v>5000</v>
      </c>
      <c r="K41" s="22">
        <v>5000</v>
      </c>
      <c r="L41" s="22">
        <v>5000</v>
      </c>
      <c r="M41" s="22">
        <v>5000</v>
      </c>
      <c r="N41" s="22">
        <v>5000</v>
      </c>
      <c r="O41" s="22">
        <v>5000</v>
      </c>
      <c r="P41" s="22">
        <v>5000</v>
      </c>
      <c r="Q41" s="22">
        <v>5000</v>
      </c>
      <c r="R41" s="22">
        <v>5000</v>
      </c>
      <c r="S41" s="22">
        <v>5000</v>
      </c>
      <c r="T41" s="22">
        <v>5000</v>
      </c>
      <c r="U41" s="22">
        <v>5000</v>
      </c>
      <c r="V41" s="22">
        <v>5000</v>
      </c>
      <c r="W41" s="22">
        <v>5000</v>
      </c>
      <c r="X41" s="22">
        <v>5000</v>
      </c>
      <c r="Y41" s="22">
        <v>5000</v>
      </c>
      <c r="Z41" s="22">
        <v>5000</v>
      </c>
      <c r="AA41" s="22">
        <v>5000</v>
      </c>
      <c r="AB41" s="22">
        <v>5000</v>
      </c>
      <c r="AC41" s="73"/>
      <c r="AG41" s="18"/>
      <c r="AH41" s="18"/>
      <c r="AI41" s="23"/>
      <c r="AJ41" s="23"/>
      <c r="AK41" s="23"/>
      <c r="AL41" s="23"/>
      <c r="AM41" s="23"/>
      <c r="AN41" s="23"/>
      <c r="AO41" s="23"/>
      <c r="AP41" s="23"/>
      <c r="AQ41" s="23"/>
      <c r="AR41" s="23"/>
      <c r="AS41" s="23"/>
      <c r="AT41" s="23"/>
      <c r="AU41" s="23"/>
      <c r="AV41" s="23"/>
      <c r="AW41" s="23"/>
      <c r="AX41" s="23"/>
      <c r="AY41" s="23"/>
      <c r="AZ41" s="23"/>
      <c r="BA41" s="23"/>
      <c r="BB41" s="23"/>
      <c r="BC41" s="23"/>
      <c r="BD41" s="23"/>
      <c r="BE41" s="23"/>
      <c r="BF41" s="23"/>
    </row>
    <row r="42" spans="2:58" ht="18.649999999999999" customHeight="1" x14ac:dyDescent="0.25">
      <c r="B42" s="70" t="s">
        <v>40</v>
      </c>
      <c r="C42" s="4" t="s">
        <v>32</v>
      </c>
      <c r="D42" s="5">
        <v>0</v>
      </c>
      <c r="E42" s="22"/>
      <c r="F42" s="22"/>
      <c r="G42" s="22"/>
      <c r="H42" s="22"/>
      <c r="I42" s="22"/>
      <c r="J42" s="22"/>
      <c r="K42" s="22"/>
      <c r="L42" s="22"/>
      <c r="M42" s="22"/>
      <c r="N42" s="22"/>
      <c r="O42" s="22"/>
      <c r="P42" s="22"/>
      <c r="Q42" s="22"/>
      <c r="R42" s="22"/>
      <c r="S42" s="22"/>
      <c r="T42" s="22"/>
      <c r="U42" s="22"/>
      <c r="V42" s="22"/>
      <c r="W42" s="22"/>
      <c r="X42" s="22"/>
      <c r="Y42" s="22"/>
      <c r="Z42" s="22"/>
      <c r="AA42" s="22"/>
      <c r="AB42" s="22"/>
      <c r="AC42" s="74"/>
      <c r="AG42" s="18"/>
      <c r="AH42" s="18"/>
      <c r="AI42" s="23"/>
      <c r="AJ42" s="23"/>
      <c r="AK42" s="23"/>
      <c r="AL42" s="23"/>
      <c r="AM42" s="23"/>
      <c r="AN42" s="23"/>
      <c r="AO42" s="23"/>
      <c r="AP42" s="23"/>
      <c r="AQ42" s="23"/>
      <c r="AR42" s="23"/>
      <c r="AS42" s="23"/>
      <c r="AT42" s="23"/>
      <c r="AU42" s="23"/>
      <c r="AV42" s="23"/>
      <c r="AW42" s="23"/>
      <c r="AX42" s="23"/>
      <c r="AY42" s="23"/>
      <c r="AZ42" s="23"/>
      <c r="BA42" s="23"/>
      <c r="BB42" s="23"/>
      <c r="BC42" s="23"/>
      <c r="BD42" s="23"/>
      <c r="BE42" s="23"/>
      <c r="BF42" s="23"/>
    </row>
    <row r="43" spans="2:58" ht="18.649999999999999" customHeight="1" x14ac:dyDescent="0.25">
      <c r="B43" s="70" t="s">
        <v>41</v>
      </c>
      <c r="C43" s="4" t="s">
        <v>29</v>
      </c>
      <c r="D43" s="5">
        <v>20</v>
      </c>
      <c r="E43" s="22">
        <v>5000</v>
      </c>
      <c r="F43" s="22">
        <v>5000</v>
      </c>
      <c r="G43" s="22">
        <v>5000</v>
      </c>
      <c r="H43" s="22">
        <v>5000</v>
      </c>
      <c r="I43" s="22">
        <v>5000</v>
      </c>
      <c r="J43" s="22">
        <v>5000</v>
      </c>
      <c r="K43" s="22">
        <v>5000</v>
      </c>
      <c r="L43" s="22">
        <v>5000</v>
      </c>
      <c r="M43" s="22">
        <v>5000</v>
      </c>
      <c r="N43" s="22">
        <v>5000</v>
      </c>
      <c r="O43" s="22">
        <v>5000</v>
      </c>
      <c r="P43" s="22">
        <v>5000</v>
      </c>
      <c r="Q43" s="22">
        <v>5000</v>
      </c>
      <c r="R43" s="22">
        <v>5000</v>
      </c>
      <c r="S43" s="22">
        <v>5000</v>
      </c>
      <c r="T43" s="22">
        <v>5000</v>
      </c>
      <c r="U43" s="22">
        <v>5000</v>
      </c>
      <c r="V43" s="22">
        <v>5000</v>
      </c>
      <c r="W43" s="22">
        <v>5000</v>
      </c>
      <c r="X43" s="22">
        <v>5000</v>
      </c>
      <c r="Y43" s="22">
        <v>5000</v>
      </c>
      <c r="Z43" s="22">
        <v>5000</v>
      </c>
      <c r="AA43" s="22">
        <v>5000</v>
      </c>
      <c r="AB43" s="22">
        <v>5000</v>
      </c>
      <c r="AC43" s="72">
        <f>+SUM(E43:AB43)*D43+SUM(E44:AB44)*D44+SUM(E45:AB45)*D45+SUM(E46:AB46)*D46</f>
        <v>3720000</v>
      </c>
      <c r="AG43" s="18"/>
      <c r="AH43" s="18"/>
      <c r="AI43" s="23"/>
      <c r="AJ43" s="23"/>
      <c r="AK43" s="23"/>
      <c r="AL43" s="23"/>
      <c r="AM43" s="23"/>
      <c r="AN43" s="23"/>
      <c r="AO43" s="23"/>
      <c r="AP43" s="23"/>
      <c r="AQ43" s="23"/>
      <c r="AR43" s="23"/>
      <c r="AS43" s="23"/>
      <c r="AT43" s="23"/>
      <c r="AU43" s="23"/>
      <c r="AV43" s="23"/>
      <c r="AW43" s="23"/>
      <c r="AX43" s="23"/>
      <c r="AY43" s="23"/>
      <c r="AZ43" s="23"/>
      <c r="BA43" s="23"/>
      <c r="BB43" s="23"/>
      <c r="BC43" s="23"/>
      <c r="BD43" s="23"/>
      <c r="BE43" s="23"/>
      <c r="BF43" s="23"/>
    </row>
    <row r="44" spans="2:58" ht="18.649999999999999" customHeight="1" x14ac:dyDescent="0.25">
      <c r="B44" s="70" t="s">
        <v>41</v>
      </c>
      <c r="C44" s="4" t="s">
        <v>30</v>
      </c>
      <c r="D44" s="5">
        <v>5</v>
      </c>
      <c r="E44" s="22">
        <v>5000</v>
      </c>
      <c r="F44" s="22">
        <v>5000</v>
      </c>
      <c r="G44" s="22">
        <v>5000</v>
      </c>
      <c r="H44" s="22">
        <v>5000</v>
      </c>
      <c r="I44" s="22">
        <v>5000</v>
      </c>
      <c r="J44" s="22">
        <v>5000</v>
      </c>
      <c r="K44" s="22">
        <v>5000</v>
      </c>
      <c r="L44" s="22">
        <v>5000</v>
      </c>
      <c r="M44" s="22">
        <v>5000</v>
      </c>
      <c r="N44" s="22">
        <v>5000</v>
      </c>
      <c r="O44" s="22">
        <v>5000</v>
      </c>
      <c r="P44" s="22">
        <v>5000</v>
      </c>
      <c r="Q44" s="22">
        <v>5000</v>
      </c>
      <c r="R44" s="22">
        <v>5000</v>
      </c>
      <c r="S44" s="22">
        <v>5000</v>
      </c>
      <c r="T44" s="22">
        <v>5000</v>
      </c>
      <c r="U44" s="22">
        <v>5000</v>
      </c>
      <c r="V44" s="22">
        <v>5000</v>
      </c>
      <c r="W44" s="22">
        <v>5000</v>
      </c>
      <c r="X44" s="22">
        <v>5000</v>
      </c>
      <c r="Y44" s="22">
        <v>5000</v>
      </c>
      <c r="Z44" s="22">
        <v>5000</v>
      </c>
      <c r="AA44" s="22">
        <v>5000</v>
      </c>
      <c r="AB44" s="22">
        <v>5000</v>
      </c>
      <c r="AC44" s="73"/>
      <c r="AG44" s="18"/>
      <c r="AH44" s="18"/>
      <c r="AI44" s="23"/>
      <c r="AJ44" s="23"/>
      <c r="AK44" s="23"/>
      <c r="AL44" s="23"/>
      <c r="AM44" s="23"/>
      <c r="AN44" s="23"/>
      <c r="AO44" s="23"/>
      <c r="AP44" s="23"/>
      <c r="AQ44" s="23"/>
      <c r="AR44" s="23"/>
      <c r="AS44" s="23"/>
      <c r="AT44" s="23"/>
      <c r="AU44" s="23"/>
      <c r="AV44" s="23"/>
      <c r="AW44" s="23"/>
      <c r="AX44" s="23"/>
      <c r="AY44" s="23"/>
      <c r="AZ44" s="23"/>
      <c r="BA44" s="23"/>
      <c r="BB44" s="23"/>
      <c r="BC44" s="23"/>
      <c r="BD44" s="23"/>
      <c r="BE44" s="23"/>
      <c r="BF44" s="23"/>
    </row>
    <row r="45" spans="2:58" ht="18.649999999999999" customHeight="1" x14ac:dyDescent="0.25">
      <c r="B45" s="70" t="s">
        <v>41</v>
      </c>
      <c r="C45" s="4" t="s">
        <v>31</v>
      </c>
      <c r="D45" s="5">
        <v>5</v>
      </c>
      <c r="E45" s="22">
        <v>5000</v>
      </c>
      <c r="F45" s="22">
        <v>5000</v>
      </c>
      <c r="G45" s="22">
        <v>5000</v>
      </c>
      <c r="H45" s="22">
        <v>5000</v>
      </c>
      <c r="I45" s="22">
        <v>5000</v>
      </c>
      <c r="J45" s="22">
        <v>5000</v>
      </c>
      <c r="K45" s="22">
        <v>5000</v>
      </c>
      <c r="L45" s="22">
        <v>5000</v>
      </c>
      <c r="M45" s="22">
        <v>5000</v>
      </c>
      <c r="N45" s="22">
        <v>5000</v>
      </c>
      <c r="O45" s="22">
        <v>5000</v>
      </c>
      <c r="P45" s="22">
        <v>5000</v>
      </c>
      <c r="Q45" s="22">
        <v>5000</v>
      </c>
      <c r="R45" s="22">
        <v>5000</v>
      </c>
      <c r="S45" s="22">
        <v>5000</v>
      </c>
      <c r="T45" s="22">
        <v>5000</v>
      </c>
      <c r="U45" s="22">
        <v>5000</v>
      </c>
      <c r="V45" s="22">
        <v>5000</v>
      </c>
      <c r="W45" s="22">
        <v>5000</v>
      </c>
      <c r="X45" s="22">
        <v>5000</v>
      </c>
      <c r="Y45" s="22">
        <v>5000</v>
      </c>
      <c r="Z45" s="22">
        <v>5000</v>
      </c>
      <c r="AA45" s="22">
        <v>5000</v>
      </c>
      <c r="AB45" s="22">
        <v>5000</v>
      </c>
      <c r="AC45" s="73"/>
      <c r="AG45" s="18"/>
      <c r="AH45" s="18"/>
      <c r="AI45" s="23"/>
      <c r="AJ45" s="23"/>
      <c r="AK45" s="23"/>
      <c r="AL45" s="23"/>
      <c r="AM45" s="23"/>
      <c r="AN45" s="23"/>
      <c r="AO45" s="23"/>
      <c r="AP45" s="23"/>
      <c r="AQ45" s="23"/>
      <c r="AR45" s="23"/>
      <c r="AS45" s="23"/>
      <c r="AT45" s="23"/>
      <c r="AU45" s="23"/>
      <c r="AV45" s="23"/>
      <c r="AW45" s="23"/>
      <c r="AX45" s="23"/>
      <c r="AY45" s="23"/>
      <c r="AZ45" s="23"/>
      <c r="BA45" s="23"/>
      <c r="BB45" s="23"/>
      <c r="BC45" s="23"/>
      <c r="BD45" s="23"/>
      <c r="BE45" s="23"/>
      <c r="BF45" s="23"/>
    </row>
    <row r="46" spans="2:58" ht="18.649999999999999" customHeight="1" x14ac:dyDescent="0.25">
      <c r="B46" s="70" t="s">
        <v>41</v>
      </c>
      <c r="C46" s="4" t="s">
        <v>32</v>
      </c>
      <c r="D46" s="5">
        <v>1</v>
      </c>
      <c r="E46" s="22">
        <v>5000</v>
      </c>
      <c r="F46" s="22">
        <v>5000</v>
      </c>
      <c r="G46" s="22">
        <v>5000</v>
      </c>
      <c r="H46" s="22">
        <v>5000</v>
      </c>
      <c r="I46" s="22">
        <v>5000</v>
      </c>
      <c r="J46" s="22">
        <v>5000</v>
      </c>
      <c r="K46" s="22">
        <v>5000</v>
      </c>
      <c r="L46" s="22">
        <v>5000</v>
      </c>
      <c r="M46" s="22">
        <v>5000</v>
      </c>
      <c r="N46" s="22">
        <v>5000</v>
      </c>
      <c r="O46" s="22">
        <v>5000</v>
      </c>
      <c r="P46" s="22">
        <v>5000</v>
      </c>
      <c r="Q46" s="22">
        <v>5000</v>
      </c>
      <c r="R46" s="22">
        <v>5000</v>
      </c>
      <c r="S46" s="22">
        <v>5000</v>
      </c>
      <c r="T46" s="22">
        <v>5000</v>
      </c>
      <c r="U46" s="22">
        <v>5000</v>
      </c>
      <c r="V46" s="22">
        <v>5000</v>
      </c>
      <c r="W46" s="22">
        <v>5000</v>
      </c>
      <c r="X46" s="22">
        <v>5000</v>
      </c>
      <c r="Y46" s="22">
        <v>5000</v>
      </c>
      <c r="Z46" s="22">
        <v>5000</v>
      </c>
      <c r="AA46" s="22">
        <v>5000</v>
      </c>
      <c r="AB46" s="22">
        <v>5000</v>
      </c>
      <c r="AC46" s="74"/>
      <c r="AG46" s="18"/>
      <c r="AH46" s="18"/>
      <c r="AI46" s="23"/>
      <c r="AJ46" s="23"/>
      <c r="AK46" s="23"/>
      <c r="AL46" s="23"/>
      <c r="AM46" s="23"/>
      <c r="AN46" s="23"/>
      <c r="AO46" s="23"/>
      <c r="AP46" s="23"/>
      <c r="AQ46" s="23"/>
      <c r="AR46" s="23"/>
      <c r="AS46" s="23"/>
      <c r="AT46" s="23"/>
      <c r="AU46" s="23"/>
      <c r="AV46" s="23"/>
      <c r="AW46" s="23"/>
      <c r="AX46" s="23"/>
      <c r="AY46" s="23"/>
      <c r="AZ46" s="23"/>
      <c r="BA46" s="23"/>
      <c r="BB46" s="23"/>
      <c r="BC46" s="23"/>
      <c r="BD46" s="23"/>
      <c r="BE46" s="23"/>
      <c r="BF46" s="23"/>
    </row>
    <row r="47" spans="2:58" ht="18.649999999999999" customHeight="1" x14ac:dyDescent="0.25">
      <c r="B47" s="70" t="s">
        <v>42</v>
      </c>
      <c r="C47" s="4" t="s">
        <v>29</v>
      </c>
      <c r="D47" s="5">
        <v>20</v>
      </c>
      <c r="E47" s="22">
        <v>5000</v>
      </c>
      <c r="F47" s="22">
        <v>5000</v>
      </c>
      <c r="G47" s="22">
        <v>5000</v>
      </c>
      <c r="H47" s="22">
        <v>5000</v>
      </c>
      <c r="I47" s="22">
        <v>5000</v>
      </c>
      <c r="J47" s="22">
        <v>5000</v>
      </c>
      <c r="K47" s="22">
        <v>5000</v>
      </c>
      <c r="L47" s="22">
        <v>5000</v>
      </c>
      <c r="M47" s="22">
        <v>5000</v>
      </c>
      <c r="N47" s="22">
        <v>5000</v>
      </c>
      <c r="O47" s="22">
        <v>5000</v>
      </c>
      <c r="P47" s="22">
        <v>5000</v>
      </c>
      <c r="Q47" s="22">
        <v>5000</v>
      </c>
      <c r="R47" s="22">
        <v>5000</v>
      </c>
      <c r="S47" s="22">
        <v>5000</v>
      </c>
      <c r="T47" s="22">
        <v>5000</v>
      </c>
      <c r="U47" s="22">
        <v>5000</v>
      </c>
      <c r="V47" s="22">
        <v>5000</v>
      </c>
      <c r="W47" s="22">
        <v>5000</v>
      </c>
      <c r="X47" s="22">
        <v>5000</v>
      </c>
      <c r="Y47" s="22">
        <v>5000</v>
      </c>
      <c r="Z47" s="22">
        <v>5000</v>
      </c>
      <c r="AA47" s="22">
        <v>5000</v>
      </c>
      <c r="AB47" s="22">
        <v>5000</v>
      </c>
      <c r="AC47" s="72">
        <f>+SUM(E47:AB47)*D47+SUM(E48:AB48)*D48+SUM(E49:AB49)*D49+SUM(E50:AB50)*D50</f>
        <v>3600000</v>
      </c>
      <c r="AG47" s="18"/>
      <c r="AH47" s="18"/>
      <c r="AI47" s="23"/>
      <c r="AJ47" s="23"/>
      <c r="AK47" s="23"/>
      <c r="AL47" s="23"/>
      <c r="AM47" s="23"/>
      <c r="AN47" s="23"/>
      <c r="AO47" s="23"/>
      <c r="AP47" s="23"/>
      <c r="AQ47" s="23"/>
      <c r="AR47" s="23"/>
      <c r="AS47" s="23"/>
      <c r="AT47" s="23"/>
      <c r="AU47" s="23"/>
      <c r="AV47" s="23"/>
      <c r="AW47" s="23"/>
      <c r="AX47" s="23"/>
      <c r="AY47" s="23"/>
      <c r="AZ47" s="23"/>
      <c r="BA47" s="23"/>
      <c r="BB47" s="23"/>
      <c r="BC47" s="23"/>
      <c r="BD47" s="23"/>
      <c r="BE47" s="23"/>
      <c r="BF47" s="23"/>
    </row>
    <row r="48" spans="2:58" ht="18.649999999999999" customHeight="1" x14ac:dyDescent="0.25">
      <c r="B48" s="70" t="s">
        <v>42</v>
      </c>
      <c r="C48" s="4" t="s">
        <v>30</v>
      </c>
      <c r="D48" s="5">
        <v>4</v>
      </c>
      <c r="E48" s="22">
        <v>5000</v>
      </c>
      <c r="F48" s="22">
        <v>5000</v>
      </c>
      <c r="G48" s="22">
        <v>5000</v>
      </c>
      <c r="H48" s="22">
        <v>5000</v>
      </c>
      <c r="I48" s="22">
        <v>5000</v>
      </c>
      <c r="J48" s="22">
        <v>5000</v>
      </c>
      <c r="K48" s="22">
        <v>5000</v>
      </c>
      <c r="L48" s="22">
        <v>5000</v>
      </c>
      <c r="M48" s="22">
        <v>5000</v>
      </c>
      <c r="N48" s="22">
        <v>5000</v>
      </c>
      <c r="O48" s="22">
        <v>5000</v>
      </c>
      <c r="P48" s="22">
        <v>5000</v>
      </c>
      <c r="Q48" s="22">
        <v>5000</v>
      </c>
      <c r="R48" s="22">
        <v>5000</v>
      </c>
      <c r="S48" s="22">
        <v>5000</v>
      </c>
      <c r="T48" s="22">
        <v>5000</v>
      </c>
      <c r="U48" s="22">
        <v>5000</v>
      </c>
      <c r="V48" s="22">
        <v>5000</v>
      </c>
      <c r="W48" s="22">
        <v>5000</v>
      </c>
      <c r="X48" s="22">
        <v>5000</v>
      </c>
      <c r="Y48" s="22">
        <v>5000</v>
      </c>
      <c r="Z48" s="22">
        <v>5000</v>
      </c>
      <c r="AA48" s="22">
        <v>5000</v>
      </c>
      <c r="AB48" s="22">
        <v>5000</v>
      </c>
      <c r="AC48" s="73"/>
      <c r="AG48" s="18"/>
      <c r="AH48" s="18"/>
      <c r="AI48" s="23"/>
      <c r="AJ48" s="23"/>
      <c r="AK48" s="23"/>
      <c r="AL48" s="23"/>
      <c r="AM48" s="23"/>
      <c r="AN48" s="23"/>
      <c r="AO48" s="23"/>
      <c r="AP48" s="23"/>
      <c r="AQ48" s="23"/>
      <c r="AR48" s="23"/>
      <c r="AS48" s="23"/>
      <c r="AT48" s="23"/>
      <c r="AU48" s="23"/>
      <c r="AV48" s="23"/>
      <c r="AW48" s="23"/>
      <c r="AX48" s="23"/>
      <c r="AY48" s="23"/>
      <c r="AZ48" s="23"/>
      <c r="BA48" s="23"/>
      <c r="BB48" s="23"/>
      <c r="BC48" s="23"/>
      <c r="BD48" s="23"/>
      <c r="BE48" s="23"/>
      <c r="BF48" s="23"/>
    </row>
    <row r="49" spans="2:58" ht="18.649999999999999" customHeight="1" x14ac:dyDescent="0.25">
      <c r="B49" s="70" t="s">
        <v>42</v>
      </c>
      <c r="C49" s="4" t="s">
        <v>31</v>
      </c>
      <c r="D49" s="5">
        <v>4</v>
      </c>
      <c r="E49" s="22">
        <v>5000</v>
      </c>
      <c r="F49" s="22">
        <v>5000</v>
      </c>
      <c r="G49" s="22">
        <v>5000</v>
      </c>
      <c r="H49" s="22">
        <v>5000</v>
      </c>
      <c r="I49" s="22">
        <v>5000</v>
      </c>
      <c r="J49" s="22">
        <v>5000</v>
      </c>
      <c r="K49" s="22">
        <v>5000</v>
      </c>
      <c r="L49" s="22">
        <v>5000</v>
      </c>
      <c r="M49" s="22">
        <v>5000</v>
      </c>
      <c r="N49" s="22">
        <v>5000</v>
      </c>
      <c r="O49" s="22">
        <v>5000</v>
      </c>
      <c r="P49" s="22">
        <v>5000</v>
      </c>
      <c r="Q49" s="22">
        <v>5000</v>
      </c>
      <c r="R49" s="22">
        <v>5000</v>
      </c>
      <c r="S49" s="22">
        <v>5000</v>
      </c>
      <c r="T49" s="22">
        <v>5000</v>
      </c>
      <c r="U49" s="22">
        <v>5000</v>
      </c>
      <c r="V49" s="22">
        <v>5000</v>
      </c>
      <c r="W49" s="22">
        <v>5000</v>
      </c>
      <c r="X49" s="22">
        <v>5000</v>
      </c>
      <c r="Y49" s="22">
        <v>5000</v>
      </c>
      <c r="Z49" s="22">
        <v>5000</v>
      </c>
      <c r="AA49" s="22">
        <v>5000</v>
      </c>
      <c r="AB49" s="22">
        <v>5000</v>
      </c>
      <c r="AC49" s="73"/>
      <c r="AG49" s="18"/>
      <c r="AH49" s="18"/>
      <c r="AI49" s="23"/>
      <c r="AJ49" s="23"/>
      <c r="AK49" s="23"/>
      <c r="AL49" s="23"/>
      <c r="AM49" s="23"/>
      <c r="AN49" s="23"/>
      <c r="AO49" s="23"/>
      <c r="AP49" s="23"/>
      <c r="AQ49" s="23"/>
      <c r="AR49" s="23"/>
      <c r="AS49" s="23"/>
      <c r="AT49" s="23"/>
      <c r="AU49" s="23"/>
      <c r="AV49" s="23"/>
      <c r="AW49" s="23"/>
      <c r="AX49" s="23"/>
      <c r="AY49" s="23"/>
      <c r="AZ49" s="23"/>
      <c r="BA49" s="23"/>
      <c r="BB49" s="23"/>
      <c r="BC49" s="23"/>
      <c r="BD49" s="23"/>
      <c r="BE49" s="23"/>
      <c r="BF49" s="23"/>
    </row>
    <row r="50" spans="2:58" ht="18.649999999999999" customHeight="1" x14ac:dyDescent="0.25">
      <c r="B50" s="70" t="s">
        <v>42</v>
      </c>
      <c r="C50" s="4" t="s">
        <v>32</v>
      </c>
      <c r="D50" s="5">
        <v>2</v>
      </c>
      <c r="E50" s="22">
        <v>5000</v>
      </c>
      <c r="F50" s="22">
        <v>5000</v>
      </c>
      <c r="G50" s="22">
        <v>5000</v>
      </c>
      <c r="H50" s="22">
        <v>5000</v>
      </c>
      <c r="I50" s="22">
        <v>5000</v>
      </c>
      <c r="J50" s="22">
        <v>5000</v>
      </c>
      <c r="K50" s="22">
        <v>5000</v>
      </c>
      <c r="L50" s="22">
        <v>5000</v>
      </c>
      <c r="M50" s="22">
        <v>5000</v>
      </c>
      <c r="N50" s="22">
        <v>5000</v>
      </c>
      <c r="O50" s="22">
        <v>5000</v>
      </c>
      <c r="P50" s="22">
        <v>5000</v>
      </c>
      <c r="Q50" s="22">
        <v>5000</v>
      </c>
      <c r="R50" s="22">
        <v>5000</v>
      </c>
      <c r="S50" s="22">
        <v>5000</v>
      </c>
      <c r="T50" s="22">
        <v>5000</v>
      </c>
      <c r="U50" s="22">
        <v>5000</v>
      </c>
      <c r="V50" s="22">
        <v>5000</v>
      </c>
      <c r="W50" s="22">
        <v>5000</v>
      </c>
      <c r="X50" s="22">
        <v>5000</v>
      </c>
      <c r="Y50" s="22">
        <v>5000</v>
      </c>
      <c r="Z50" s="22">
        <v>5000</v>
      </c>
      <c r="AA50" s="22">
        <v>5000</v>
      </c>
      <c r="AB50" s="22">
        <v>5000</v>
      </c>
      <c r="AC50" s="74"/>
      <c r="AG50" s="18"/>
      <c r="AH50" s="18"/>
      <c r="AI50" s="23"/>
      <c r="AJ50" s="23"/>
      <c r="AK50" s="23"/>
      <c r="AL50" s="23"/>
      <c r="AM50" s="23"/>
      <c r="AN50" s="23"/>
      <c r="AO50" s="23"/>
      <c r="AP50" s="23"/>
      <c r="AQ50" s="23"/>
      <c r="AR50" s="23"/>
      <c r="AS50" s="23"/>
      <c r="AT50" s="23"/>
      <c r="AU50" s="23"/>
      <c r="AV50" s="23"/>
      <c r="AW50" s="23"/>
      <c r="AX50" s="23"/>
      <c r="AY50" s="23"/>
      <c r="AZ50" s="23"/>
      <c r="BA50" s="23"/>
      <c r="BB50" s="23"/>
      <c r="BC50" s="23"/>
      <c r="BD50" s="23"/>
      <c r="BE50" s="23"/>
      <c r="BF50" s="23"/>
    </row>
    <row r="51" spans="2:58" ht="18.649999999999999" customHeight="1" x14ac:dyDescent="0.25">
      <c r="B51" s="70" t="s">
        <v>43</v>
      </c>
      <c r="C51" s="4" t="s">
        <v>29</v>
      </c>
      <c r="D51" s="5">
        <v>22</v>
      </c>
      <c r="E51" s="22">
        <v>5000</v>
      </c>
      <c r="F51" s="22">
        <v>5000</v>
      </c>
      <c r="G51" s="22">
        <v>5000</v>
      </c>
      <c r="H51" s="22">
        <v>5000</v>
      </c>
      <c r="I51" s="22">
        <v>5000</v>
      </c>
      <c r="J51" s="22">
        <v>5000</v>
      </c>
      <c r="K51" s="22">
        <v>5000</v>
      </c>
      <c r="L51" s="22">
        <v>5000</v>
      </c>
      <c r="M51" s="22">
        <v>5000</v>
      </c>
      <c r="N51" s="22">
        <v>5000</v>
      </c>
      <c r="O51" s="22">
        <v>5000</v>
      </c>
      <c r="P51" s="22">
        <v>5000</v>
      </c>
      <c r="Q51" s="22">
        <v>5000</v>
      </c>
      <c r="R51" s="22">
        <v>5000</v>
      </c>
      <c r="S51" s="22">
        <v>5000</v>
      </c>
      <c r="T51" s="22">
        <v>5000</v>
      </c>
      <c r="U51" s="22">
        <v>5000</v>
      </c>
      <c r="V51" s="22">
        <v>5000</v>
      </c>
      <c r="W51" s="22">
        <v>5000</v>
      </c>
      <c r="X51" s="22">
        <v>5000</v>
      </c>
      <c r="Y51" s="22">
        <v>5000</v>
      </c>
      <c r="Z51" s="22">
        <v>5000</v>
      </c>
      <c r="AA51" s="22">
        <v>5000</v>
      </c>
      <c r="AB51" s="22">
        <v>5000</v>
      </c>
      <c r="AC51" s="72">
        <f>+SUM(E51:AB51)*D51+SUM(E52:AB52)*D52+SUM(E53:AB53)*D53+SUM(E54:AB54)*D54</f>
        <v>3720000</v>
      </c>
      <c r="AG51" s="18"/>
      <c r="AH51" s="18"/>
      <c r="AI51" s="23"/>
      <c r="AJ51" s="23"/>
      <c r="AK51" s="23"/>
      <c r="AL51" s="23"/>
      <c r="AM51" s="23"/>
      <c r="AN51" s="23"/>
      <c r="AO51" s="23"/>
      <c r="AP51" s="23"/>
      <c r="AQ51" s="23"/>
      <c r="AR51" s="23"/>
      <c r="AS51" s="23"/>
      <c r="AT51" s="23"/>
      <c r="AU51" s="23"/>
      <c r="AV51" s="23"/>
      <c r="AW51" s="23"/>
      <c r="AX51" s="23"/>
      <c r="AY51" s="23"/>
      <c r="AZ51" s="23"/>
      <c r="BA51" s="23"/>
      <c r="BB51" s="23"/>
      <c r="BC51" s="23"/>
      <c r="BD51" s="23"/>
      <c r="BE51" s="23"/>
      <c r="BF51" s="23"/>
    </row>
    <row r="52" spans="2:58" ht="18.649999999999999" customHeight="1" x14ac:dyDescent="0.25">
      <c r="B52" s="70" t="s">
        <v>43</v>
      </c>
      <c r="C52" s="4" t="s">
        <v>30</v>
      </c>
      <c r="D52" s="5">
        <v>3</v>
      </c>
      <c r="E52" s="22">
        <v>5000</v>
      </c>
      <c r="F52" s="22">
        <v>5000</v>
      </c>
      <c r="G52" s="22">
        <v>5000</v>
      </c>
      <c r="H52" s="22">
        <v>5000</v>
      </c>
      <c r="I52" s="22">
        <v>5000</v>
      </c>
      <c r="J52" s="22">
        <v>5000</v>
      </c>
      <c r="K52" s="22">
        <v>5000</v>
      </c>
      <c r="L52" s="22">
        <v>5000</v>
      </c>
      <c r="M52" s="22">
        <v>5000</v>
      </c>
      <c r="N52" s="22">
        <v>5000</v>
      </c>
      <c r="O52" s="22">
        <v>5000</v>
      </c>
      <c r="P52" s="22">
        <v>5000</v>
      </c>
      <c r="Q52" s="22">
        <v>5000</v>
      </c>
      <c r="R52" s="22">
        <v>5000</v>
      </c>
      <c r="S52" s="22">
        <v>5000</v>
      </c>
      <c r="T52" s="22">
        <v>5000</v>
      </c>
      <c r="U52" s="22">
        <v>5000</v>
      </c>
      <c r="V52" s="22">
        <v>5000</v>
      </c>
      <c r="W52" s="22">
        <v>5000</v>
      </c>
      <c r="X52" s="22">
        <v>5000</v>
      </c>
      <c r="Y52" s="22">
        <v>5000</v>
      </c>
      <c r="Z52" s="22">
        <v>5000</v>
      </c>
      <c r="AA52" s="22">
        <v>5000</v>
      </c>
      <c r="AB52" s="22">
        <v>5000</v>
      </c>
      <c r="AC52" s="73"/>
      <c r="AG52" s="18"/>
      <c r="AH52" s="18"/>
      <c r="AI52" s="23"/>
      <c r="AJ52" s="23"/>
      <c r="AK52" s="23"/>
      <c r="AL52" s="23"/>
      <c r="AM52" s="23"/>
      <c r="AN52" s="23"/>
      <c r="AO52" s="23"/>
      <c r="AP52" s="23"/>
      <c r="AQ52" s="23"/>
      <c r="AR52" s="23"/>
      <c r="AS52" s="23"/>
      <c r="AT52" s="23"/>
      <c r="AU52" s="23"/>
      <c r="AV52" s="23"/>
      <c r="AW52" s="23"/>
      <c r="AX52" s="23"/>
      <c r="AY52" s="23"/>
      <c r="AZ52" s="23"/>
      <c r="BA52" s="23"/>
      <c r="BB52" s="23"/>
      <c r="BC52" s="23"/>
      <c r="BD52" s="23"/>
      <c r="BE52" s="23"/>
      <c r="BF52" s="23"/>
    </row>
    <row r="53" spans="2:58" ht="18.649999999999999" customHeight="1" x14ac:dyDescent="0.25">
      <c r="B53" s="70" t="s">
        <v>43</v>
      </c>
      <c r="C53" s="4" t="s">
        <v>31</v>
      </c>
      <c r="D53" s="5">
        <v>4</v>
      </c>
      <c r="E53" s="22">
        <v>5000</v>
      </c>
      <c r="F53" s="22">
        <v>5000</v>
      </c>
      <c r="G53" s="22">
        <v>5000</v>
      </c>
      <c r="H53" s="22">
        <v>5000</v>
      </c>
      <c r="I53" s="22">
        <v>5000</v>
      </c>
      <c r="J53" s="22">
        <v>5000</v>
      </c>
      <c r="K53" s="22">
        <v>5000</v>
      </c>
      <c r="L53" s="22">
        <v>5000</v>
      </c>
      <c r="M53" s="22">
        <v>5000</v>
      </c>
      <c r="N53" s="22">
        <v>5000</v>
      </c>
      <c r="O53" s="22">
        <v>5000</v>
      </c>
      <c r="P53" s="22">
        <v>5000</v>
      </c>
      <c r="Q53" s="22">
        <v>5000</v>
      </c>
      <c r="R53" s="22">
        <v>5000</v>
      </c>
      <c r="S53" s="22">
        <v>5000</v>
      </c>
      <c r="T53" s="22">
        <v>5000</v>
      </c>
      <c r="U53" s="22">
        <v>5000</v>
      </c>
      <c r="V53" s="22">
        <v>5000</v>
      </c>
      <c r="W53" s="22">
        <v>5000</v>
      </c>
      <c r="X53" s="22">
        <v>5000</v>
      </c>
      <c r="Y53" s="22">
        <v>5000</v>
      </c>
      <c r="Z53" s="22">
        <v>5000</v>
      </c>
      <c r="AA53" s="22">
        <v>5000</v>
      </c>
      <c r="AB53" s="22">
        <v>5000</v>
      </c>
      <c r="AC53" s="73"/>
      <c r="AG53" s="18"/>
      <c r="AH53" s="18"/>
      <c r="AI53" s="23"/>
      <c r="AJ53" s="23"/>
      <c r="AK53" s="23"/>
      <c r="AL53" s="23"/>
      <c r="AM53" s="23"/>
      <c r="AN53" s="23"/>
      <c r="AO53" s="23"/>
      <c r="AP53" s="23"/>
      <c r="AQ53" s="23"/>
      <c r="AR53" s="23"/>
      <c r="AS53" s="23"/>
      <c r="AT53" s="23"/>
      <c r="AU53" s="23"/>
      <c r="AV53" s="23"/>
      <c r="AW53" s="23"/>
      <c r="AX53" s="23"/>
      <c r="AY53" s="23"/>
      <c r="AZ53" s="23"/>
      <c r="BA53" s="23"/>
      <c r="BB53" s="23"/>
      <c r="BC53" s="23"/>
      <c r="BD53" s="23"/>
      <c r="BE53" s="23"/>
      <c r="BF53" s="23"/>
    </row>
    <row r="54" spans="2:58" ht="18.649999999999999" customHeight="1" x14ac:dyDescent="0.25">
      <c r="B54" s="70" t="s">
        <v>43</v>
      </c>
      <c r="C54" s="4" t="s">
        <v>32</v>
      </c>
      <c r="D54" s="5">
        <v>2</v>
      </c>
      <c r="E54" s="22">
        <v>5000</v>
      </c>
      <c r="F54" s="22">
        <v>5000</v>
      </c>
      <c r="G54" s="22">
        <v>5000</v>
      </c>
      <c r="H54" s="22">
        <v>5000</v>
      </c>
      <c r="I54" s="22">
        <v>5000</v>
      </c>
      <c r="J54" s="22">
        <v>5000</v>
      </c>
      <c r="K54" s="22">
        <v>5000</v>
      </c>
      <c r="L54" s="22">
        <v>5000</v>
      </c>
      <c r="M54" s="22">
        <v>5000</v>
      </c>
      <c r="N54" s="22">
        <v>5000</v>
      </c>
      <c r="O54" s="22">
        <v>5000</v>
      </c>
      <c r="P54" s="22">
        <v>5000</v>
      </c>
      <c r="Q54" s="22">
        <v>5000</v>
      </c>
      <c r="R54" s="22">
        <v>5000</v>
      </c>
      <c r="S54" s="22">
        <v>5000</v>
      </c>
      <c r="T54" s="22">
        <v>5000</v>
      </c>
      <c r="U54" s="22">
        <v>5000</v>
      </c>
      <c r="V54" s="22">
        <v>5000</v>
      </c>
      <c r="W54" s="22">
        <v>5000</v>
      </c>
      <c r="X54" s="22">
        <v>5000</v>
      </c>
      <c r="Y54" s="22">
        <v>5000</v>
      </c>
      <c r="Z54" s="22">
        <v>5000</v>
      </c>
      <c r="AA54" s="22">
        <v>5000</v>
      </c>
      <c r="AB54" s="22">
        <v>5000</v>
      </c>
      <c r="AC54" s="74"/>
      <c r="AG54" s="18"/>
      <c r="AH54" s="18"/>
      <c r="AI54" s="23"/>
      <c r="AJ54" s="23"/>
      <c r="AK54" s="23"/>
      <c r="AL54" s="23"/>
      <c r="AM54" s="23"/>
      <c r="AN54" s="23"/>
      <c r="AO54" s="23"/>
      <c r="AP54" s="23"/>
      <c r="AQ54" s="23"/>
      <c r="AR54" s="23"/>
      <c r="AS54" s="23"/>
      <c r="AT54" s="23"/>
      <c r="AU54" s="23"/>
      <c r="AV54" s="23"/>
      <c r="AW54" s="23"/>
      <c r="AX54" s="23"/>
      <c r="AY54" s="23"/>
      <c r="AZ54" s="23"/>
      <c r="BA54" s="23"/>
      <c r="BB54" s="23"/>
      <c r="BC54" s="23"/>
      <c r="BD54" s="23"/>
      <c r="BE54" s="23"/>
      <c r="BF54" s="23"/>
    </row>
    <row r="55" spans="2:58" ht="18.649999999999999" customHeight="1" x14ac:dyDescent="0.3">
      <c r="Z55" s="75" t="s">
        <v>46</v>
      </c>
      <c r="AA55" s="75"/>
      <c r="AB55" s="75"/>
      <c r="AC55" s="6">
        <f>SUM(AC7:AC54)</f>
        <v>43800000</v>
      </c>
    </row>
    <row r="56" spans="2:58" ht="18.649999999999999" customHeight="1" x14ac:dyDescent="0.25">
      <c r="AC56" s="20"/>
    </row>
  </sheetData>
  <mergeCells count="28">
    <mergeCell ref="B11:B14"/>
    <mergeCell ref="AC11:AC14"/>
    <mergeCell ref="B2:AC2"/>
    <mergeCell ref="B3:AC3"/>
    <mergeCell ref="B4:AC4"/>
    <mergeCell ref="B7:B10"/>
    <mergeCell ref="AC7:AC10"/>
    <mergeCell ref="B15:B18"/>
    <mergeCell ref="AC15:AC18"/>
    <mergeCell ref="B19:B22"/>
    <mergeCell ref="AC19:AC22"/>
    <mergeCell ref="B23:B26"/>
    <mergeCell ref="AC23:AC26"/>
    <mergeCell ref="B27:B30"/>
    <mergeCell ref="AC27:AC30"/>
    <mergeCell ref="B31:B34"/>
    <mergeCell ref="AC31:AC34"/>
    <mergeCell ref="B35:B38"/>
    <mergeCell ref="AC35:AC38"/>
    <mergeCell ref="B51:B54"/>
    <mergeCell ref="AC51:AC54"/>
    <mergeCell ref="Z55:AB55"/>
    <mergeCell ref="B39:B42"/>
    <mergeCell ref="AC39:AC42"/>
    <mergeCell ref="B43:B46"/>
    <mergeCell ref="AC43:AC46"/>
    <mergeCell ref="B47:B50"/>
    <mergeCell ref="AC47:AC50"/>
  </mergeCell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875490-F566-4D5E-8403-F9896A00AB04}">
  <dimension ref="B1:BD61"/>
  <sheetViews>
    <sheetView showGridLines="0" topLeftCell="G36" zoomScale="70" zoomScaleNormal="70" workbookViewId="0">
      <selection activeCell="A5" sqref="A5:AD56"/>
    </sheetView>
  </sheetViews>
  <sheetFormatPr baseColWidth="10" defaultColWidth="11.453125" defaultRowHeight="11.5" x14ac:dyDescent="0.25"/>
  <cols>
    <col min="1" max="1" width="4.26953125" style="7" customWidth="1"/>
    <col min="2" max="2" width="6.26953125" style="7" bestFit="1" customWidth="1"/>
    <col min="3" max="3" width="10.1796875" style="7" bestFit="1" customWidth="1"/>
    <col min="4" max="4" width="6" style="7" bestFit="1" customWidth="1"/>
    <col min="5" max="11" width="9.453125" style="7" bestFit="1" customWidth="1"/>
    <col min="12" max="28" width="9.7265625" style="7" bestFit="1" customWidth="1"/>
    <col min="29" max="29" width="17.26953125" style="7" bestFit="1" customWidth="1"/>
    <col min="30" max="30" width="5.81640625" style="7" customWidth="1"/>
    <col min="31" max="31" width="14" style="7" bestFit="1" customWidth="1"/>
    <col min="32" max="257" width="11.453125" style="7"/>
    <col min="258" max="258" width="7" style="7" customWidth="1"/>
    <col min="259" max="259" width="10.7265625" style="7" customWidth="1"/>
    <col min="260" max="260" width="9.26953125" style="7" customWidth="1"/>
    <col min="261" max="284" width="7.26953125" style="7" customWidth="1"/>
    <col min="285" max="285" width="11.26953125" style="7" bestFit="1" customWidth="1"/>
    <col min="286" max="513" width="11.453125" style="7"/>
    <col min="514" max="514" width="7" style="7" customWidth="1"/>
    <col min="515" max="515" width="10.7265625" style="7" customWidth="1"/>
    <col min="516" max="516" width="9.26953125" style="7" customWidth="1"/>
    <col min="517" max="540" width="7.26953125" style="7" customWidth="1"/>
    <col min="541" max="541" width="11.26953125" style="7" bestFit="1" customWidth="1"/>
    <col min="542" max="769" width="11.453125" style="7"/>
    <col min="770" max="770" width="7" style="7" customWidth="1"/>
    <col min="771" max="771" width="10.7265625" style="7" customWidth="1"/>
    <col min="772" max="772" width="9.26953125" style="7" customWidth="1"/>
    <col min="773" max="796" width="7.26953125" style="7" customWidth="1"/>
    <col min="797" max="797" width="11.26953125" style="7" bestFit="1" customWidth="1"/>
    <col min="798" max="1025" width="11.453125" style="7"/>
    <col min="1026" max="1026" width="7" style="7" customWidth="1"/>
    <col min="1027" max="1027" width="10.7265625" style="7" customWidth="1"/>
    <col min="1028" max="1028" width="9.26953125" style="7" customWidth="1"/>
    <col min="1029" max="1052" width="7.26953125" style="7" customWidth="1"/>
    <col min="1053" max="1053" width="11.26953125" style="7" bestFit="1" customWidth="1"/>
    <col min="1054" max="1281" width="11.453125" style="7"/>
    <col min="1282" max="1282" width="7" style="7" customWidth="1"/>
    <col min="1283" max="1283" width="10.7265625" style="7" customWidth="1"/>
    <col min="1284" max="1284" width="9.26953125" style="7" customWidth="1"/>
    <col min="1285" max="1308" width="7.26953125" style="7" customWidth="1"/>
    <col min="1309" max="1309" width="11.26953125" style="7" bestFit="1" customWidth="1"/>
    <col min="1310" max="1537" width="11.453125" style="7"/>
    <col min="1538" max="1538" width="7" style="7" customWidth="1"/>
    <col min="1539" max="1539" width="10.7265625" style="7" customWidth="1"/>
    <col min="1540" max="1540" width="9.26953125" style="7" customWidth="1"/>
    <col min="1541" max="1564" width="7.26953125" style="7" customWidth="1"/>
    <col min="1565" max="1565" width="11.26953125" style="7" bestFit="1" customWidth="1"/>
    <col min="1566" max="1793" width="11.453125" style="7"/>
    <col min="1794" max="1794" width="7" style="7" customWidth="1"/>
    <col min="1795" max="1795" width="10.7265625" style="7" customWidth="1"/>
    <col min="1796" max="1796" width="9.26953125" style="7" customWidth="1"/>
    <col min="1797" max="1820" width="7.26953125" style="7" customWidth="1"/>
    <col min="1821" max="1821" width="11.26953125" style="7" bestFit="1" customWidth="1"/>
    <col min="1822" max="2049" width="11.453125" style="7"/>
    <col min="2050" max="2050" width="7" style="7" customWidth="1"/>
    <col min="2051" max="2051" width="10.7265625" style="7" customWidth="1"/>
    <col min="2052" max="2052" width="9.26953125" style="7" customWidth="1"/>
    <col min="2053" max="2076" width="7.26953125" style="7" customWidth="1"/>
    <col min="2077" max="2077" width="11.26953125" style="7" bestFit="1" customWidth="1"/>
    <col min="2078" max="2305" width="11.453125" style="7"/>
    <col min="2306" max="2306" width="7" style="7" customWidth="1"/>
    <col min="2307" max="2307" width="10.7265625" style="7" customWidth="1"/>
    <col min="2308" max="2308" width="9.26953125" style="7" customWidth="1"/>
    <col min="2309" max="2332" width="7.26953125" style="7" customWidth="1"/>
    <col min="2333" max="2333" width="11.26953125" style="7" bestFit="1" customWidth="1"/>
    <col min="2334" max="2561" width="11.453125" style="7"/>
    <col min="2562" max="2562" width="7" style="7" customWidth="1"/>
    <col min="2563" max="2563" width="10.7265625" style="7" customWidth="1"/>
    <col min="2564" max="2564" width="9.26953125" style="7" customWidth="1"/>
    <col min="2565" max="2588" width="7.26953125" style="7" customWidth="1"/>
    <col min="2589" max="2589" width="11.26953125" style="7" bestFit="1" customWidth="1"/>
    <col min="2590" max="2817" width="11.453125" style="7"/>
    <col min="2818" max="2818" width="7" style="7" customWidth="1"/>
    <col min="2819" max="2819" width="10.7265625" style="7" customWidth="1"/>
    <col min="2820" max="2820" width="9.26953125" style="7" customWidth="1"/>
    <col min="2821" max="2844" width="7.26953125" style="7" customWidth="1"/>
    <col min="2845" max="2845" width="11.26953125" style="7" bestFit="1" customWidth="1"/>
    <col min="2846" max="3073" width="11.453125" style="7"/>
    <col min="3074" max="3074" width="7" style="7" customWidth="1"/>
    <col min="3075" max="3075" width="10.7265625" style="7" customWidth="1"/>
    <col min="3076" max="3076" width="9.26953125" style="7" customWidth="1"/>
    <col min="3077" max="3100" width="7.26953125" style="7" customWidth="1"/>
    <col min="3101" max="3101" width="11.26953125" style="7" bestFit="1" customWidth="1"/>
    <col min="3102" max="3329" width="11.453125" style="7"/>
    <col min="3330" max="3330" width="7" style="7" customWidth="1"/>
    <col min="3331" max="3331" width="10.7265625" style="7" customWidth="1"/>
    <col min="3332" max="3332" width="9.26953125" style="7" customWidth="1"/>
    <col min="3333" max="3356" width="7.26953125" style="7" customWidth="1"/>
    <col min="3357" max="3357" width="11.26953125" style="7" bestFit="1" customWidth="1"/>
    <col min="3358" max="3585" width="11.453125" style="7"/>
    <col min="3586" max="3586" width="7" style="7" customWidth="1"/>
    <col min="3587" max="3587" width="10.7265625" style="7" customWidth="1"/>
    <col min="3588" max="3588" width="9.26953125" style="7" customWidth="1"/>
    <col min="3589" max="3612" width="7.26953125" style="7" customWidth="1"/>
    <col min="3613" max="3613" width="11.26953125" style="7" bestFit="1" customWidth="1"/>
    <col min="3614" max="3841" width="11.453125" style="7"/>
    <col min="3842" max="3842" width="7" style="7" customWidth="1"/>
    <col min="3843" max="3843" width="10.7265625" style="7" customWidth="1"/>
    <col min="3844" max="3844" width="9.26953125" style="7" customWidth="1"/>
    <col min="3845" max="3868" width="7.26953125" style="7" customWidth="1"/>
    <col min="3869" max="3869" width="11.26953125" style="7" bestFit="1" customWidth="1"/>
    <col min="3870" max="4097" width="11.453125" style="7"/>
    <col min="4098" max="4098" width="7" style="7" customWidth="1"/>
    <col min="4099" max="4099" width="10.7265625" style="7" customWidth="1"/>
    <col min="4100" max="4100" width="9.26953125" style="7" customWidth="1"/>
    <col min="4101" max="4124" width="7.26953125" style="7" customWidth="1"/>
    <col min="4125" max="4125" width="11.26953125" style="7" bestFit="1" customWidth="1"/>
    <col min="4126" max="4353" width="11.453125" style="7"/>
    <col min="4354" max="4354" width="7" style="7" customWidth="1"/>
    <col min="4355" max="4355" width="10.7265625" style="7" customWidth="1"/>
    <col min="4356" max="4356" width="9.26953125" style="7" customWidth="1"/>
    <col min="4357" max="4380" width="7.26953125" style="7" customWidth="1"/>
    <col min="4381" max="4381" width="11.26953125" style="7" bestFit="1" customWidth="1"/>
    <col min="4382" max="4609" width="11.453125" style="7"/>
    <col min="4610" max="4610" width="7" style="7" customWidth="1"/>
    <col min="4611" max="4611" width="10.7265625" style="7" customWidth="1"/>
    <col min="4612" max="4612" width="9.26953125" style="7" customWidth="1"/>
    <col min="4613" max="4636" width="7.26953125" style="7" customWidth="1"/>
    <col min="4637" max="4637" width="11.26953125" style="7" bestFit="1" customWidth="1"/>
    <col min="4638" max="4865" width="11.453125" style="7"/>
    <col min="4866" max="4866" width="7" style="7" customWidth="1"/>
    <col min="4867" max="4867" width="10.7265625" style="7" customWidth="1"/>
    <col min="4868" max="4868" width="9.26953125" style="7" customWidth="1"/>
    <col min="4869" max="4892" width="7.26953125" style="7" customWidth="1"/>
    <col min="4893" max="4893" width="11.26953125" style="7" bestFit="1" customWidth="1"/>
    <col min="4894" max="5121" width="11.453125" style="7"/>
    <col min="5122" max="5122" width="7" style="7" customWidth="1"/>
    <col min="5123" max="5123" width="10.7265625" style="7" customWidth="1"/>
    <col min="5124" max="5124" width="9.26953125" style="7" customWidth="1"/>
    <col min="5125" max="5148" width="7.26953125" style="7" customWidth="1"/>
    <col min="5149" max="5149" width="11.26953125" style="7" bestFit="1" customWidth="1"/>
    <col min="5150" max="5377" width="11.453125" style="7"/>
    <col min="5378" max="5378" width="7" style="7" customWidth="1"/>
    <col min="5379" max="5379" width="10.7265625" style="7" customWidth="1"/>
    <col min="5380" max="5380" width="9.26953125" style="7" customWidth="1"/>
    <col min="5381" max="5404" width="7.26953125" style="7" customWidth="1"/>
    <col min="5405" max="5405" width="11.26953125" style="7" bestFit="1" customWidth="1"/>
    <col min="5406" max="5633" width="11.453125" style="7"/>
    <col min="5634" max="5634" width="7" style="7" customWidth="1"/>
    <col min="5635" max="5635" width="10.7265625" style="7" customWidth="1"/>
    <col min="5636" max="5636" width="9.26953125" style="7" customWidth="1"/>
    <col min="5637" max="5660" width="7.26953125" style="7" customWidth="1"/>
    <col min="5661" max="5661" width="11.26953125" style="7" bestFit="1" customWidth="1"/>
    <col min="5662" max="5889" width="11.453125" style="7"/>
    <col min="5890" max="5890" width="7" style="7" customWidth="1"/>
    <col min="5891" max="5891" width="10.7265625" style="7" customWidth="1"/>
    <col min="5892" max="5892" width="9.26953125" style="7" customWidth="1"/>
    <col min="5893" max="5916" width="7.26953125" style="7" customWidth="1"/>
    <col min="5917" max="5917" width="11.26953125" style="7" bestFit="1" customWidth="1"/>
    <col min="5918" max="6145" width="11.453125" style="7"/>
    <col min="6146" max="6146" width="7" style="7" customWidth="1"/>
    <col min="6147" max="6147" width="10.7265625" style="7" customWidth="1"/>
    <col min="6148" max="6148" width="9.26953125" style="7" customWidth="1"/>
    <col min="6149" max="6172" width="7.26953125" style="7" customWidth="1"/>
    <col min="6173" max="6173" width="11.26953125" style="7" bestFit="1" customWidth="1"/>
    <col min="6174" max="6401" width="11.453125" style="7"/>
    <col min="6402" max="6402" width="7" style="7" customWidth="1"/>
    <col min="6403" max="6403" width="10.7265625" style="7" customWidth="1"/>
    <col min="6404" max="6404" width="9.26953125" style="7" customWidth="1"/>
    <col min="6405" max="6428" width="7.26953125" style="7" customWidth="1"/>
    <col min="6429" max="6429" width="11.26953125" style="7" bestFit="1" customWidth="1"/>
    <col min="6430" max="6657" width="11.453125" style="7"/>
    <col min="6658" max="6658" width="7" style="7" customWidth="1"/>
    <col min="6659" max="6659" width="10.7265625" style="7" customWidth="1"/>
    <col min="6660" max="6660" width="9.26953125" style="7" customWidth="1"/>
    <col min="6661" max="6684" width="7.26953125" style="7" customWidth="1"/>
    <col min="6685" max="6685" width="11.26953125" style="7" bestFit="1" customWidth="1"/>
    <col min="6686" max="6913" width="11.453125" style="7"/>
    <col min="6914" max="6914" width="7" style="7" customWidth="1"/>
    <col min="6915" max="6915" width="10.7265625" style="7" customWidth="1"/>
    <col min="6916" max="6916" width="9.26953125" style="7" customWidth="1"/>
    <col min="6917" max="6940" width="7.26953125" style="7" customWidth="1"/>
    <col min="6941" max="6941" width="11.26953125" style="7" bestFit="1" customWidth="1"/>
    <col min="6942" max="7169" width="11.453125" style="7"/>
    <col min="7170" max="7170" width="7" style="7" customWidth="1"/>
    <col min="7171" max="7171" width="10.7265625" style="7" customWidth="1"/>
    <col min="7172" max="7172" width="9.26953125" style="7" customWidth="1"/>
    <col min="7173" max="7196" width="7.26953125" style="7" customWidth="1"/>
    <col min="7197" max="7197" width="11.26953125" style="7" bestFit="1" customWidth="1"/>
    <col min="7198" max="7425" width="11.453125" style="7"/>
    <col min="7426" max="7426" width="7" style="7" customWidth="1"/>
    <col min="7427" max="7427" width="10.7265625" style="7" customWidth="1"/>
    <col min="7428" max="7428" width="9.26953125" style="7" customWidth="1"/>
    <col min="7429" max="7452" width="7.26953125" style="7" customWidth="1"/>
    <col min="7453" max="7453" width="11.26953125" style="7" bestFit="1" customWidth="1"/>
    <col min="7454" max="7681" width="11.453125" style="7"/>
    <col min="7682" max="7682" width="7" style="7" customWidth="1"/>
    <col min="7683" max="7683" width="10.7265625" style="7" customWidth="1"/>
    <col min="7684" max="7684" width="9.26953125" style="7" customWidth="1"/>
    <col min="7685" max="7708" width="7.26953125" style="7" customWidth="1"/>
    <col min="7709" max="7709" width="11.26953125" style="7" bestFit="1" customWidth="1"/>
    <col min="7710" max="7937" width="11.453125" style="7"/>
    <col min="7938" max="7938" width="7" style="7" customWidth="1"/>
    <col min="7939" max="7939" width="10.7265625" style="7" customWidth="1"/>
    <col min="7940" max="7940" width="9.26953125" style="7" customWidth="1"/>
    <col min="7941" max="7964" width="7.26953125" style="7" customWidth="1"/>
    <col min="7965" max="7965" width="11.26953125" style="7" bestFit="1" customWidth="1"/>
    <col min="7966" max="8193" width="11.453125" style="7"/>
    <col min="8194" max="8194" width="7" style="7" customWidth="1"/>
    <col min="8195" max="8195" width="10.7265625" style="7" customWidth="1"/>
    <col min="8196" max="8196" width="9.26953125" style="7" customWidth="1"/>
    <col min="8197" max="8220" width="7.26953125" style="7" customWidth="1"/>
    <col min="8221" max="8221" width="11.26953125" style="7" bestFit="1" customWidth="1"/>
    <col min="8222" max="8449" width="11.453125" style="7"/>
    <col min="8450" max="8450" width="7" style="7" customWidth="1"/>
    <col min="8451" max="8451" width="10.7265625" style="7" customWidth="1"/>
    <col min="8452" max="8452" width="9.26953125" style="7" customWidth="1"/>
    <col min="8453" max="8476" width="7.26953125" style="7" customWidth="1"/>
    <col min="8477" max="8477" width="11.26953125" style="7" bestFit="1" customWidth="1"/>
    <col min="8478" max="8705" width="11.453125" style="7"/>
    <col min="8706" max="8706" width="7" style="7" customWidth="1"/>
    <col min="8707" max="8707" width="10.7265625" style="7" customWidth="1"/>
    <col min="8708" max="8708" width="9.26953125" style="7" customWidth="1"/>
    <col min="8709" max="8732" width="7.26953125" style="7" customWidth="1"/>
    <col min="8733" max="8733" width="11.26953125" style="7" bestFit="1" customWidth="1"/>
    <col min="8734" max="8961" width="11.453125" style="7"/>
    <col min="8962" max="8962" width="7" style="7" customWidth="1"/>
    <col min="8963" max="8963" width="10.7265625" style="7" customWidth="1"/>
    <col min="8964" max="8964" width="9.26953125" style="7" customWidth="1"/>
    <col min="8965" max="8988" width="7.26953125" style="7" customWidth="1"/>
    <col min="8989" max="8989" width="11.26953125" style="7" bestFit="1" customWidth="1"/>
    <col min="8990" max="9217" width="11.453125" style="7"/>
    <col min="9218" max="9218" width="7" style="7" customWidth="1"/>
    <col min="9219" max="9219" width="10.7265625" style="7" customWidth="1"/>
    <col min="9220" max="9220" width="9.26953125" style="7" customWidth="1"/>
    <col min="9221" max="9244" width="7.26953125" style="7" customWidth="1"/>
    <col min="9245" max="9245" width="11.26953125" style="7" bestFit="1" customWidth="1"/>
    <col min="9246" max="9473" width="11.453125" style="7"/>
    <col min="9474" max="9474" width="7" style="7" customWidth="1"/>
    <col min="9475" max="9475" width="10.7265625" style="7" customWidth="1"/>
    <col min="9476" max="9476" width="9.26953125" style="7" customWidth="1"/>
    <col min="9477" max="9500" width="7.26953125" style="7" customWidth="1"/>
    <col min="9501" max="9501" width="11.26953125" style="7" bestFit="1" customWidth="1"/>
    <col min="9502" max="9729" width="11.453125" style="7"/>
    <col min="9730" max="9730" width="7" style="7" customWidth="1"/>
    <col min="9731" max="9731" width="10.7265625" style="7" customWidth="1"/>
    <col min="9732" max="9732" width="9.26953125" style="7" customWidth="1"/>
    <col min="9733" max="9756" width="7.26953125" style="7" customWidth="1"/>
    <col min="9757" max="9757" width="11.26953125" style="7" bestFit="1" customWidth="1"/>
    <col min="9758" max="9985" width="11.453125" style="7"/>
    <col min="9986" max="9986" width="7" style="7" customWidth="1"/>
    <col min="9987" max="9987" width="10.7265625" style="7" customWidth="1"/>
    <col min="9988" max="9988" width="9.26953125" style="7" customWidth="1"/>
    <col min="9989" max="10012" width="7.26953125" style="7" customWidth="1"/>
    <col min="10013" max="10013" width="11.26953125" style="7" bestFit="1" customWidth="1"/>
    <col min="10014" max="10241" width="11.453125" style="7"/>
    <col min="10242" max="10242" width="7" style="7" customWidth="1"/>
    <col min="10243" max="10243" width="10.7265625" style="7" customWidth="1"/>
    <col min="10244" max="10244" width="9.26953125" style="7" customWidth="1"/>
    <col min="10245" max="10268" width="7.26953125" style="7" customWidth="1"/>
    <col min="10269" max="10269" width="11.26953125" style="7" bestFit="1" customWidth="1"/>
    <col min="10270" max="10497" width="11.453125" style="7"/>
    <col min="10498" max="10498" width="7" style="7" customWidth="1"/>
    <col min="10499" max="10499" width="10.7265625" style="7" customWidth="1"/>
    <col min="10500" max="10500" width="9.26953125" style="7" customWidth="1"/>
    <col min="10501" max="10524" width="7.26953125" style="7" customWidth="1"/>
    <col min="10525" max="10525" width="11.26953125" style="7" bestFit="1" customWidth="1"/>
    <col min="10526" max="10753" width="11.453125" style="7"/>
    <col min="10754" max="10754" width="7" style="7" customWidth="1"/>
    <col min="10755" max="10755" width="10.7265625" style="7" customWidth="1"/>
    <col min="10756" max="10756" width="9.26953125" style="7" customWidth="1"/>
    <col min="10757" max="10780" width="7.26953125" style="7" customWidth="1"/>
    <col min="10781" max="10781" width="11.26953125" style="7" bestFit="1" customWidth="1"/>
    <col min="10782" max="11009" width="11.453125" style="7"/>
    <col min="11010" max="11010" width="7" style="7" customWidth="1"/>
    <col min="11011" max="11011" width="10.7265625" style="7" customWidth="1"/>
    <col min="11012" max="11012" width="9.26953125" style="7" customWidth="1"/>
    <col min="11013" max="11036" width="7.26953125" style="7" customWidth="1"/>
    <col min="11037" max="11037" width="11.26953125" style="7" bestFit="1" customWidth="1"/>
    <col min="11038" max="11265" width="11.453125" style="7"/>
    <col min="11266" max="11266" width="7" style="7" customWidth="1"/>
    <col min="11267" max="11267" width="10.7265625" style="7" customWidth="1"/>
    <col min="11268" max="11268" width="9.26953125" style="7" customWidth="1"/>
    <col min="11269" max="11292" width="7.26953125" style="7" customWidth="1"/>
    <col min="11293" max="11293" width="11.26953125" style="7" bestFit="1" customWidth="1"/>
    <col min="11294" max="11521" width="11.453125" style="7"/>
    <col min="11522" max="11522" width="7" style="7" customWidth="1"/>
    <col min="11523" max="11523" width="10.7265625" style="7" customWidth="1"/>
    <col min="11524" max="11524" width="9.26953125" style="7" customWidth="1"/>
    <col min="11525" max="11548" width="7.26953125" style="7" customWidth="1"/>
    <col min="11549" max="11549" width="11.26953125" style="7" bestFit="1" customWidth="1"/>
    <col min="11550" max="11777" width="11.453125" style="7"/>
    <col min="11778" max="11778" width="7" style="7" customWidth="1"/>
    <col min="11779" max="11779" width="10.7265625" style="7" customWidth="1"/>
    <col min="11780" max="11780" width="9.26953125" style="7" customWidth="1"/>
    <col min="11781" max="11804" width="7.26953125" style="7" customWidth="1"/>
    <col min="11805" max="11805" width="11.26953125" style="7" bestFit="1" customWidth="1"/>
    <col min="11806" max="12033" width="11.453125" style="7"/>
    <col min="12034" max="12034" width="7" style="7" customWidth="1"/>
    <col min="12035" max="12035" width="10.7265625" style="7" customWidth="1"/>
    <col min="12036" max="12036" width="9.26953125" style="7" customWidth="1"/>
    <col min="12037" max="12060" width="7.26953125" style="7" customWidth="1"/>
    <col min="12061" max="12061" width="11.26953125" style="7" bestFit="1" customWidth="1"/>
    <col min="12062" max="12289" width="11.453125" style="7"/>
    <col min="12290" max="12290" width="7" style="7" customWidth="1"/>
    <col min="12291" max="12291" width="10.7265625" style="7" customWidth="1"/>
    <col min="12292" max="12292" width="9.26953125" style="7" customWidth="1"/>
    <col min="12293" max="12316" width="7.26953125" style="7" customWidth="1"/>
    <col min="12317" max="12317" width="11.26953125" style="7" bestFit="1" customWidth="1"/>
    <col min="12318" max="12545" width="11.453125" style="7"/>
    <col min="12546" max="12546" width="7" style="7" customWidth="1"/>
    <col min="12547" max="12547" width="10.7265625" style="7" customWidth="1"/>
    <col min="12548" max="12548" width="9.26953125" style="7" customWidth="1"/>
    <col min="12549" max="12572" width="7.26953125" style="7" customWidth="1"/>
    <col min="12573" max="12573" width="11.26953125" style="7" bestFit="1" customWidth="1"/>
    <col min="12574" max="12801" width="11.453125" style="7"/>
    <col min="12802" max="12802" width="7" style="7" customWidth="1"/>
    <col min="12803" max="12803" width="10.7265625" style="7" customWidth="1"/>
    <col min="12804" max="12804" width="9.26953125" style="7" customWidth="1"/>
    <col min="12805" max="12828" width="7.26953125" style="7" customWidth="1"/>
    <col min="12829" max="12829" width="11.26953125" style="7" bestFit="1" customWidth="1"/>
    <col min="12830" max="13057" width="11.453125" style="7"/>
    <col min="13058" max="13058" width="7" style="7" customWidth="1"/>
    <col min="13059" max="13059" width="10.7265625" style="7" customWidth="1"/>
    <col min="13060" max="13060" width="9.26953125" style="7" customWidth="1"/>
    <col min="13061" max="13084" width="7.26953125" style="7" customWidth="1"/>
    <col min="13085" max="13085" width="11.26953125" style="7" bestFit="1" customWidth="1"/>
    <col min="13086" max="13313" width="11.453125" style="7"/>
    <col min="13314" max="13314" width="7" style="7" customWidth="1"/>
    <col min="13315" max="13315" width="10.7265625" style="7" customWidth="1"/>
    <col min="13316" max="13316" width="9.26953125" style="7" customWidth="1"/>
    <col min="13317" max="13340" width="7.26953125" style="7" customWidth="1"/>
    <col min="13341" max="13341" width="11.26953125" style="7" bestFit="1" customWidth="1"/>
    <col min="13342" max="13569" width="11.453125" style="7"/>
    <col min="13570" max="13570" width="7" style="7" customWidth="1"/>
    <col min="13571" max="13571" width="10.7265625" style="7" customWidth="1"/>
    <col min="13572" max="13572" width="9.26953125" style="7" customWidth="1"/>
    <col min="13573" max="13596" width="7.26953125" style="7" customWidth="1"/>
    <col min="13597" max="13597" width="11.26953125" style="7" bestFit="1" customWidth="1"/>
    <col min="13598" max="13825" width="11.453125" style="7"/>
    <col min="13826" max="13826" width="7" style="7" customWidth="1"/>
    <col min="13827" max="13827" width="10.7265625" style="7" customWidth="1"/>
    <col min="13828" max="13828" width="9.26953125" style="7" customWidth="1"/>
    <col min="13829" max="13852" width="7.26953125" style="7" customWidth="1"/>
    <col min="13853" max="13853" width="11.26953125" style="7" bestFit="1" customWidth="1"/>
    <col min="13854" max="14081" width="11.453125" style="7"/>
    <col min="14082" max="14082" width="7" style="7" customWidth="1"/>
    <col min="14083" max="14083" width="10.7265625" style="7" customWidth="1"/>
    <col min="14084" max="14084" width="9.26953125" style="7" customWidth="1"/>
    <col min="14085" max="14108" width="7.26953125" style="7" customWidth="1"/>
    <col min="14109" max="14109" width="11.26953125" style="7" bestFit="1" customWidth="1"/>
    <col min="14110" max="14337" width="11.453125" style="7"/>
    <col min="14338" max="14338" width="7" style="7" customWidth="1"/>
    <col min="14339" max="14339" width="10.7265625" style="7" customWidth="1"/>
    <col min="14340" max="14340" width="9.26953125" style="7" customWidth="1"/>
    <col min="14341" max="14364" width="7.26953125" style="7" customWidth="1"/>
    <col min="14365" max="14365" width="11.26953125" style="7" bestFit="1" customWidth="1"/>
    <col min="14366" max="14593" width="11.453125" style="7"/>
    <col min="14594" max="14594" width="7" style="7" customWidth="1"/>
    <col min="14595" max="14595" width="10.7265625" style="7" customWidth="1"/>
    <col min="14596" max="14596" width="9.26953125" style="7" customWidth="1"/>
    <col min="14597" max="14620" width="7.26953125" style="7" customWidth="1"/>
    <col min="14621" max="14621" width="11.26953125" style="7" bestFit="1" customWidth="1"/>
    <col min="14622" max="14849" width="11.453125" style="7"/>
    <col min="14850" max="14850" width="7" style="7" customWidth="1"/>
    <col min="14851" max="14851" width="10.7265625" style="7" customWidth="1"/>
    <col min="14852" max="14852" width="9.26953125" style="7" customWidth="1"/>
    <col min="14853" max="14876" width="7.26953125" style="7" customWidth="1"/>
    <col min="14877" max="14877" width="11.26953125" style="7" bestFit="1" customWidth="1"/>
    <col min="14878" max="15105" width="11.453125" style="7"/>
    <col min="15106" max="15106" width="7" style="7" customWidth="1"/>
    <col min="15107" max="15107" width="10.7265625" style="7" customWidth="1"/>
    <col min="15108" max="15108" width="9.26953125" style="7" customWidth="1"/>
    <col min="15109" max="15132" width="7.26953125" style="7" customWidth="1"/>
    <col min="15133" max="15133" width="11.26953125" style="7" bestFit="1" customWidth="1"/>
    <col min="15134" max="15361" width="11.453125" style="7"/>
    <col min="15362" max="15362" width="7" style="7" customWidth="1"/>
    <col min="15363" max="15363" width="10.7265625" style="7" customWidth="1"/>
    <col min="15364" max="15364" width="9.26953125" style="7" customWidth="1"/>
    <col min="15365" max="15388" width="7.26953125" style="7" customWidth="1"/>
    <col min="15389" max="15389" width="11.26953125" style="7" bestFit="1" customWidth="1"/>
    <col min="15390" max="15617" width="11.453125" style="7"/>
    <col min="15618" max="15618" width="7" style="7" customWidth="1"/>
    <col min="15619" max="15619" width="10.7265625" style="7" customWidth="1"/>
    <col min="15620" max="15620" width="9.26953125" style="7" customWidth="1"/>
    <col min="15621" max="15644" width="7.26953125" style="7" customWidth="1"/>
    <col min="15645" max="15645" width="11.26953125" style="7" bestFit="1" customWidth="1"/>
    <col min="15646" max="15873" width="11.453125" style="7"/>
    <col min="15874" max="15874" width="7" style="7" customWidth="1"/>
    <col min="15875" max="15875" width="10.7265625" style="7" customWidth="1"/>
    <col min="15876" max="15876" width="9.26953125" style="7" customWidth="1"/>
    <col min="15877" max="15900" width="7.26953125" style="7" customWidth="1"/>
    <col min="15901" max="15901" width="11.26953125" style="7" bestFit="1" customWidth="1"/>
    <col min="15902" max="16129" width="11.453125" style="7"/>
    <col min="16130" max="16130" width="7" style="7" customWidth="1"/>
    <col min="16131" max="16131" width="10.7265625" style="7" customWidth="1"/>
    <col min="16132" max="16132" width="9.26953125" style="7" customWidth="1"/>
    <col min="16133" max="16156" width="7.26953125" style="7" customWidth="1"/>
    <col min="16157" max="16157" width="11.26953125" style="7" bestFit="1" customWidth="1"/>
    <col min="16158" max="16384" width="11.453125" style="7"/>
  </cols>
  <sheetData>
    <row r="1" spans="2:56" ht="18.649999999999999" customHeight="1" x14ac:dyDescent="0.25"/>
    <row r="2" spans="2:56" ht="18.649999999999999" customHeight="1" x14ac:dyDescent="0.25">
      <c r="B2" s="79" t="s">
        <v>45</v>
      </c>
      <c r="C2" s="79"/>
      <c r="D2" s="79"/>
      <c r="E2" s="79"/>
      <c r="F2" s="79"/>
      <c r="G2" s="79"/>
      <c r="H2" s="79"/>
      <c r="I2" s="79"/>
      <c r="J2" s="79"/>
      <c r="K2" s="79"/>
      <c r="L2" s="79"/>
      <c r="M2" s="79"/>
      <c r="N2" s="79"/>
      <c r="O2" s="79"/>
      <c r="P2" s="79"/>
      <c r="Q2" s="79"/>
      <c r="R2" s="79"/>
      <c r="S2" s="79"/>
      <c r="T2" s="79"/>
      <c r="U2" s="79"/>
      <c r="V2" s="79"/>
      <c r="W2" s="79"/>
      <c r="X2" s="79"/>
      <c r="Y2" s="79"/>
      <c r="Z2" s="79"/>
      <c r="AA2" s="79"/>
      <c r="AB2" s="79"/>
      <c r="AC2" s="79"/>
    </row>
    <row r="3" spans="2:56" ht="18.649999999999999" customHeight="1" x14ac:dyDescent="0.25">
      <c r="B3" s="79" t="s">
        <v>44</v>
      </c>
      <c r="C3" s="79"/>
      <c r="D3" s="79"/>
      <c r="E3" s="79"/>
      <c r="F3" s="79"/>
      <c r="G3" s="79"/>
      <c r="H3" s="79"/>
      <c r="I3" s="79"/>
      <c r="J3" s="79"/>
      <c r="K3" s="79"/>
      <c r="L3" s="79"/>
      <c r="M3" s="79"/>
      <c r="N3" s="79"/>
      <c r="O3" s="79"/>
      <c r="P3" s="79"/>
      <c r="Q3" s="79"/>
      <c r="R3" s="79"/>
      <c r="S3" s="79"/>
      <c r="T3" s="79"/>
      <c r="U3" s="79"/>
      <c r="V3" s="79"/>
      <c r="W3" s="79"/>
      <c r="X3" s="79"/>
      <c r="Y3" s="79"/>
      <c r="Z3" s="79"/>
      <c r="AA3" s="79"/>
      <c r="AB3" s="79"/>
      <c r="AC3" s="79"/>
    </row>
    <row r="4" spans="2:56" ht="18.649999999999999" customHeight="1" x14ac:dyDescent="0.25">
      <c r="B4" s="79">
        <v>2028</v>
      </c>
      <c r="C4" s="79"/>
      <c r="D4" s="79"/>
      <c r="E4" s="79"/>
      <c r="F4" s="79"/>
      <c r="G4" s="79"/>
      <c r="H4" s="79"/>
      <c r="I4" s="79"/>
      <c r="J4" s="79"/>
      <c r="K4" s="79"/>
      <c r="L4" s="79"/>
      <c r="M4" s="79"/>
      <c r="N4" s="79"/>
      <c r="O4" s="79"/>
      <c r="P4" s="79"/>
      <c r="Q4" s="79"/>
      <c r="R4" s="79"/>
      <c r="S4" s="79"/>
      <c r="T4" s="79"/>
      <c r="U4" s="79"/>
      <c r="V4" s="79"/>
      <c r="W4" s="79"/>
      <c r="X4" s="79"/>
      <c r="Y4" s="79"/>
      <c r="Z4" s="79"/>
      <c r="AA4" s="79"/>
      <c r="AB4" s="79"/>
      <c r="AC4" s="79"/>
    </row>
    <row r="5" spans="2:56" ht="18.649999999999999" customHeight="1" x14ac:dyDescent="0.25"/>
    <row r="6" spans="2:56" ht="15.5" x14ac:dyDescent="0.25">
      <c r="B6" s="2" t="s">
        <v>0</v>
      </c>
      <c r="C6" s="3" t="s">
        <v>1</v>
      </c>
      <c r="D6" s="2" t="s">
        <v>2</v>
      </c>
      <c r="E6" s="9" t="s">
        <v>3</v>
      </c>
      <c r="F6" s="9" t="s">
        <v>4</v>
      </c>
      <c r="G6" s="9" t="s">
        <v>5</v>
      </c>
      <c r="H6" s="9" t="s">
        <v>6</v>
      </c>
      <c r="I6" s="9" t="s">
        <v>7</v>
      </c>
      <c r="J6" s="9" t="s">
        <v>8</v>
      </c>
      <c r="K6" s="9" t="s">
        <v>9</v>
      </c>
      <c r="L6" s="9" t="s">
        <v>10</v>
      </c>
      <c r="M6" s="9" t="s">
        <v>11</v>
      </c>
      <c r="N6" s="9" t="s">
        <v>12</v>
      </c>
      <c r="O6" s="9" t="s">
        <v>13</v>
      </c>
      <c r="P6" s="9" t="s">
        <v>14</v>
      </c>
      <c r="Q6" s="9" t="s">
        <v>15</v>
      </c>
      <c r="R6" s="9" t="s">
        <v>16</v>
      </c>
      <c r="S6" s="9" t="s">
        <v>17</v>
      </c>
      <c r="T6" s="9" t="s">
        <v>18</v>
      </c>
      <c r="U6" s="9" t="s">
        <v>19</v>
      </c>
      <c r="V6" s="9" t="s">
        <v>20</v>
      </c>
      <c r="W6" s="9" t="s">
        <v>21</v>
      </c>
      <c r="X6" s="9" t="s">
        <v>22</v>
      </c>
      <c r="Y6" s="9" t="s">
        <v>23</v>
      </c>
      <c r="Z6" s="9" t="s">
        <v>24</v>
      </c>
      <c r="AA6" s="9" t="s">
        <v>25</v>
      </c>
      <c r="AB6" s="9" t="s">
        <v>26</v>
      </c>
      <c r="AC6" s="9" t="s">
        <v>27</v>
      </c>
    </row>
    <row r="7" spans="2:56" ht="18.649999999999999" customHeight="1" x14ac:dyDescent="0.25">
      <c r="B7" s="70" t="s">
        <v>28</v>
      </c>
      <c r="C7" s="4" t="s">
        <v>29</v>
      </c>
      <c r="D7" s="5">
        <v>20</v>
      </c>
      <c r="E7" s="14">
        <v>5000</v>
      </c>
      <c r="F7" s="14">
        <v>5000</v>
      </c>
      <c r="G7" s="14">
        <v>5000</v>
      </c>
      <c r="H7" s="14">
        <v>5000</v>
      </c>
      <c r="I7" s="14">
        <v>5000</v>
      </c>
      <c r="J7" s="14">
        <v>5000</v>
      </c>
      <c r="K7" s="14">
        <v>5000</v>
      </c>
      <c r="L7" s="14">
        <v>5000</v>
      </c>
      <c r="M7" s="14">
        <v>5000</v>
      </c>
      <c r="N7" s="14">
        <v>5000</v>
      </c>
      <c r="O7" s="14">
        <v>5000</v>
      </c>
      <c r="P7" s="14">
        <v>5000</v>
      </c>
      <c r="Q7" s="14">
        <v>5000</v>
      </c>
      <c r="R7" s="14">
        <v>5000</v>
      </c>
      <c r="S7" s="14">
        <v>5000</v>
      </c>
      <c r="T7" s="14">
        <v>5000</v>
      </c>
      <c r="U7" s="14">
        <v>5000</v>
      </c>
      <c r="V7" s="14">
        <v>5000</v>
      </c>
      <c r="W7" s="14">
        <v>5000</v>
      </c>
      <c r="X7" s="14">
        <v>5000</v>
      </c>
      <c r="Y7" s="14">
        <v>5000</v>
      </c>
      <c r="Z7" s="14">
        <v>5000</v>
      </c>
      <c r="AA7" s="14">
        <v>5000</v>
      </c>
      <c r="AB7" s="14">
        <v>5000</v>
      </c>
      <c r="AC7" s="76">
        <f>+SUM(E7:AB7)*D7+SUM(E8:AB8)*D8+SUM(E9:AB9)*D9+SUM(E10:AB10)*D10</f>
        <v>3720000</v>
      </c>
      <c r="AE7" s="17">
        <f>+AC7</f>
        <v>3720000</v>
      </c>
      <c r="AG7" s="15"/>
      <c r="AH7" s="15"/>
      <c r="AI7" s="15"/>
      <c r="AJ7" s="15"/>
      <c r="AK7" s="15"/>
      <c r="AL7" s="15"/>
      <c r="AM7" s="15"/>
      <c r="AN7" s="15"/>
      <c r="AO7" s="15"/>
      <c r="AP7" s="15"/>
      <c r="AQ7" s="15"/>
      <c r="AR7" s="15"/>
      <c r="AS7" s="15"/>
      <c r="AT7" s="15"/>
      <c r="AU7" s="15"/>
      <c r="AV7" s="15"/>
      <c r="AW7" s="15"/>
      <c r="AX7" s="15"/>
      <c r="AY7" s="15"/>
      <c r="AZ7" s="15"/>
      <c r="BA7" s="15"/>
      <c r="BB7" s="15"/>
      <c r="BC7" s="15"/>
      <c r="BD7" s="15"/>
    </row>
    <row r="8" spans="2:56" ht="18.649999999999999" customHeight="1" x14ac:dyDescent="0.25">
      <c r="B8" s="70" t="s">
        <v>28</v>
      </c>
      <c r="C8" s="4" t="s">
        <v>30</v>
      </c>
      <c r="D8" s="5">
        <v>4</v>
      </c>
      <c r="E8" s="14">
        <v>5000</v>
      </c>
      <c r="F8" s="14">
        <v>5000</v>
      </c>
      <c r="G8" s="14">
        <v>5000</v>
      </c>
      <c r="H8" s="14">
        <v>5000</v>
      </c>
      <c r="I8" s="14">
        <v>5000</v>
      </c>
      <c r="J8" s="14">
        <v>5000</v>
      </c>
      <c r="K8" s="14">
        <v>5000</v>
      </c>
      <c r="L8" s="14">
        <v>5000</v>
      </c>
      <c r="M8" s="14">
        <v>5000</v>
      </c>
      <c r="N8" s="14">
        <v>5000</v>
      </c>
      <c r="O8" s="14">
        <v>5000</v>
      </c>
      <c r="P8" s="14">
        <v>5000</v>
      </c>
      <c r="Q8" s="14">
        <v>5000</v>
      </c>
      <c r="R8" s="14">
        <v>5000</v>
      </c>
      <c r="S8" s="14">
        <v>5000</v>
      </c>
      <c r="T8" s="14">
        <v>5000</v>
      </c>
      <c r="U8" s="14">
        <v>5000</v>
      </c>
      <c r="V8" s="14">
        <v>5000</v>
      </c>
      <c r="W8" s="14">
        <v>5000</v>
      </c>
      <c r="X8" s="14">
        <v>5000</v>
      </c>
      <c r="Y8" s="14">
        <v>5000</v>
      </c>
      <c r="Z8" s="14">
        <v>5000</v>
      </c>
      <c r="AA8" s="14">
        <v>5000</v>
      </c>
      <c r="AB8" s="14">
        <v>5000</v>
      </c>
      <c r="AC8" s="77"/>
      <c r="AE8" s="17">
        <f>+AC11</f>
        <v>3480000</v>
      </c>
      <c r="AG8" s="15"/>
      <c r="AH8" s="15"/>
      <c r="AI8" s="15"/>
      <c r="AJ8" s="15"/>
      <c r="AK8" s="15"/>
      <c r="AL8" s="15"/>
      <c r="AM8" s="15"/>
      <c r="AN8" s="15"/>
      <c r="AO8" s="15"/>
      <c r="AP8" s="15"/>
      <c r="AQ8" s="15"/>
      <c r="AR8" s="15"/>
      <c r="AS8" s="15"/>
      <c r="AT8" s="15"/>
      <c r="AU8" s="15"/>
      <c r="AV8" s="15"/>
      <c r="AW8" s="15"/>
      <c r="AX8" s="15"/>
      <c r="AY8" s="15"/>
      <c r="AZ8" s="15"/>
      <c r="BA8" s="15"/>
      <c r="BB8" s="15"/>
      <c r="BC8" s="15"/>
      <c r="BD8" s="15"/>
    </row>
    <row r="9" spans="2:56" ht="18.649999999999999" customHeight="1" x14ac:dyDescent="0.25">
      <c r="B9" s="70" t="s">
        <v>28</v>
      </c>
      <c r="C9" s="4" t="s">
        <v>31</v>
      </c>
      <c r="D9" s="5">
        <v>5</v>
      </c>
      <c r="E9" s="14">
        <v>5000</v>
      </c>
      <c r="F9" s="14">
        <v>5000</v>
      </c>
      <c r="G9" s="14">
        <v>5000</v>
      </c>
      <c r="H9" s="14">
        <v>5000</v>
      </c>
      <c r="I9" s="14">
        <v>5000</v>
      </c>
      <c r="J9" s="14">
        <v>5000</v>
      </c>
      <c r="K9" s="14">
        <v>5000</v>
      </c>
      <c r="L9" s="14">
        <v>5000</v>
      </c>
      <c r="M9" s="14">
        <v>5000</v>
      </c>
      <c r="N9" s="14">
        <v>5000</v>
      </c>
      <c r="O9" s="14">
        <v>5000</v>
      </c>
      <c r="P9" s="14">
        <v>5000</v>
      </c>
      <c r="Q9" s="14">
        <v>5000</v>
      </c>
      <c r="R9" s="14">
        <v>5000</v>
      </c>
      <c r="S9" s="14">
        <v>5000</v>
      </c>
      <c r="T9" s="14">
        <v>5000</v>
      </c>
      <c r="U9" s="14">
        <v>5000</v>
      </c>
      <c r="V9" s="14">
        <v>5000</v>
      </c>
      <c r="W9" s="14">
        <v>5000</v>
      </c>
      <c r="X9" s="14">
        <v>5000</v>
      </c>
      <c r="Y9" s="14">
        <v>5000</v>
      </c>
      <c r="Z9" s="14">
        <v>5000</v>
      </c>
      <c r="AA9" s="14">
        <v>5000</v>
      </c>
      <c r="AB9" s="14">
        <v>5000</v>
      </c>
      <c r="AC9" s="77"/>
      <c r="AE9" s="17">
        <f>+AC15</f>
        <v>3720000</v>
      </c>
      <c r="AG9" s="15"/>
      <c r="AH9" s="15"/>
      <c r="AI9" s="15"/>
      <c r="AJ9" s="15"/>
      <c r="AK9" s="15"/>
      <c r="AL9" s="15"/>
      <c r="AM9" s="15"/>
      <c r="AN9" s="15"/>
      <c r="AO9" s="15"/>
      <c r="AP9" s="15"/>
      <c r="AQ9" s="15"/>
      <c r="AR9" s="15"/>
      <c r="AS9" s="15"/>
      <c r="AT9" s="15"/>
      <c r="AU9" s="15"/>
      <c r="AV9" s="15"/>
      <c r="AW9" s="15"/>
      <c r="AX9" s="15"/>
      <c r="AY9" s="15"/>
      <c r="AZ9" s="15"/>
      <c r="BA9" s="15"/>
      <c r="BB9" s="15"/>
      <c r="BC9" s="15"/>
      <c r="BD9" s="15"/>
    </row>
    <row r="10" spans="2:56" ht="18.649999999999999" customHeight="1" x14ac:dyDescent="0.25">
      <c r="B10" s="70" t="s">
        <v>28</v>
      </c>
      <c r="C10" s="4" t="s">
        <v>32</v>
      </c>
      <c r="D10" s="5">
        <v>2</v>
      </c>
      <c r="E10" s="14">
        <v>5000</v>
      </c>
      <c r="F10" s="14">
        <v>5000</v>
      </c>
      <c r="G10" s="14">
        <v>5000</v>
      </c>
      <c r="H10" s="14">
        <v>5000</v>
      </c>
      <c r="I10" s="14">
        <v>5000</v>
      </c>
      <c r="J10" s="14">
        <v>5000</v>
      </c>
      <c r="K10" s="14">
        <v>5000</v>
      </c>
      <c r="L10" s="14">
        <v>5000</v>
      </c>
      <c r="M10" s="14">
        <v>5000</v>
      </c>
      <c r="N10" s="14">
        <v>5000</v>
      </c>
      <c r="O10" s="14">
        <v>5000</v>
      </c>
      <c r="P10" s="14">
        <v>5000</v>
      </c>
      <c r="Q10" s="14">
        <v>5000</v>
      </c>
      <c r="R10" s="14">
        <v>5000</v>
      </c>
      <c r="S10" s="14">
        <v>5000</v>
      </c>
      <c r="T10" s="14">
        <v>5000</v>
      </c>
      <c r="U10" s="14">
        <v>5000</v>
      </c>
      <c r="V10" s="14">
        <v>5000</v>
      </c>
      <c r="W10" s="14">
        <v>5000</v>
      </c>
      <c r="X10" s="14">
        <v>5000</v>
      </c>
      <c r="Y10" s="14">
        <v>5000</v>
      </c>
      <c r="Z10" s="14">
        <v>5000</v>
      </c>
      <c r="AA10" s="14">
        <v>5000</v>
      </c>
      <c r="AB10" s="14">
        <v>5000</v>
      </c>
      <c r="AC10" s="78"/>
      <c r="AE10" s="17">
        <f>+AC19</f>
        <v>3600000</v>
      </c>
      <c r="AG10" s="15"/>
      <c r="AH10" s="15"/>
      <c r="AI10" s="15"/>
      <c r="AJ10" s="15"/>
      <c r="AK10" s="15"/>
      <c r="AL10" s="15"/>
      <c r="AM10" s="15"/>
      <c r="AN10" s="15"/>
      <c r="AO10" s="15"/>
      <c r="AP10" s="15"/>
      <c r="AQ10" s="15"/>
      <c r="AR10" s="15"/>
      <c r="AS10" s="15"/>
      <c r="AT10" s="15"/>
      <c r="AU10" s="15"/>
      <c r="AV10" s="15"/>
      <c r="AW10" s="15"/>
      <c r="AX10" s="15"/>
      <c r="AY10" s="15"/>
      <c r="AZ10" s="15"/>
      <c r="BA10" s="15"/>
      <c r="BB10" s="15"/>
      <c r="BC10" s="15"/>
      <c r="BD10" s="15"/>
    </row>
    <row r="11" spans="2:56" ht="18.649999999999999" customHeight="1" x14ac:dyDescent="0.25">
      <c r="B11" s="70" t="s">
        <v>33</v>
      </c>
      <c r="C11" s="4" t="s">
        <v>29</v>
      </c>
      <c r="D11" s="5">
        <v>21</v>
      </c>
      <c r="E11" s="14">
        <v>5000</v>
      </c>
      <c r="F11" s="14">
        <v>5000</v>
      </c>
      <c r="G11" s="14">
        <v>5000</v>
      </c>
      <c r="H11" s="14">
        <v>5000</v>
      </c>
      <c r="I11" s="14">
        <v>5000</v>
      </c>
      <c r="J11" s="14">
        <v>5000</v>
      </c>
      <c r="K11" s="14">
        <v>5000</v>
      </c>
      <c r="L11" s="14">
        <v>5000</v>
      </c>
      <c r="M11" s="14">
        <v>5000</v>
      </c>
      <c r="N11" s="14">
        <v>5000</v>
      </c>
      <c r="O11" s="14">
        <v>5000</v>
      </c>
      <c r="P11" s="14">
        <v>5000</v>
      </c>
      <c r="Q11" s="14">
        <v>5000</v>
      </c>
      <c r="R11" s="14">
        <v>5000</v>
      </c>
      <c r="S11" s="14">
        <v>5000</v>
      </c>
      <c r="T11" s="14">
        <v>5000</v>
      </c>
      <c r="U11" s="14">
        <v>5000</v>
      </c>
      <c r="V11" s="14">
        <v>5000</v>
      </c>
      <c r="W11" s="14">
        <v>5000</v>
      </c>
      <c r="X11" s="14">
        <v>5000</v>
      </c>
      <c r="Y11" s="14">
        <v>5000</v>
      </c>
      <c r="Z11" s="14">
        <v>5000</v>
      </c>
      <c r="AA11" s="14">
        <v>5000</v>
      </c>
      <c r="AB11" s="14">
        <v>5000</v>
      </c>
      <c r="AC11" s="76">
        <f>+SUM(E11:AB11)*D11+SUM(E12:AB12)*D12+SUM(E13:AB13)*D13+SUM(E14:AB14)*D14</f>
        <v>3480000</v>
      </c>
      <c r="AE11" s="17">
        <f>+AC23</f>
        <v>3720000</v>
      </c>
      <c r="AG11" s="15"/>
      <c r="AH11" s="15"/>
      <c r="AI11" s="15"/>
      <c r="AJ11" s="15"/>
      <c r="AK11" s="15"/>
      <c r="AL11" s="15"/>
      <c r="AM11" s="15"/>
      <c r="AN11" s="15"/>
      <c r="AO11" s="15"/>
      <c r="AP11" s="15"/>
      <c r="AQ11" s="15"/>
      <c r="AR11" s="15"/>
      <c r="AS11" s="15"/>
      <c r="AT11" s="15"/>
      <c r="AU11" s="15"/>
      <c r="AV11" s="15"/>
      <c r="AW11" s="15"/>
      <c r="AX11" s="15"/>
      <c r="AY11" s="15"/>
      <c r="AZ11" s="15"/>
      <c r="BA11" s="15"/>
      <c r="BB11" s="15"/>
      <c r="BC11" s="15"/>
      <c r="BD11" s="15"/>
    </row>
    <row r="12" spans="2:56" ht="18.649999999999999" customHeight="1" x14ac:dyDescent="0.25">
      <c r="B12" s="70" t="s">
        <v>33</v>
      </c>
      <c r="C12" s="4" t="s">
        <v>30</v>
      </c>
      <c r="D12" s="5">
        <v>4</v>
      </c>
      <c r="E12" s="14">
        <v>5000</v>
      </c>
      <c r="F12" s="14">
        <v>5000</v>
      </c>
      <c r="G12" s="14">
        <v>5000</v>
      </c>
      <c r="H12" s="14">
        <v>5000</v>
      </c>
      <c r="I12" s="14">
        <v>5000</v>
      </c>
      <c r="J12" s="14">
        <v>5000</v>
      </c>
      <c r="K12" s="14">
        <v>5000</v>
      </c>
      <c r="L12" s="14">
        <v>5000</v>
      </c>
      <c r="M12" s="14">
        <v>5000</v>
      </c>
      <c r="N12" s="14">
        <v>5000</v>
      </c>
      <c r="O12" s="14">
        <v>5000</v>
      </c>
      <c r="P12" s="14">
        <v>5000</v>
      </c>
      <c r="Q12" s="14">
        <v>5000</v>
      </c>
      <c r="R12" s="14">
        <v>5000</v>
      </c>
      <c r="S12" s="14">
        <v>5000</v>
      </c>
      <c r="T12" s="14">
        <v>5000</v>
      </c>
      <c r="U12" s="14">
        <v>5000</v>
      </c>
      <c r="V12" s="14">
        <v>5000</v>
      </c>
      <c r="W12" s="14">
        <v>5000</v>
      </c>
      <c r="X12" s="14">
        <v>5000</v>
      </c>
      <c r="Y12" s="14">
        <v>5000</v>
      </c>
      <c r="Z12" s="14">
        <v>5000</v>
      </c>
      <c r="AA12" s="14">
        <v>5000</v>
      </c>
      <c r="AB12" s="14">
        <v>5000</v>
      </c>
      <c r="AC12" s="77"/>
      <c r="AE12" s="17">
        <f>+AC27</f>
        <v>3600000</v>
      </c>
      <c r="AG12" s="15"/>
      <c r="AH12" s="15"/>
      <c r="AI12" s="15"/>
      <c r="AJ12" s="15"/>
      <c r="AK12" s="15"/>
      <c r="AL12" s="15"/>
      <c r="AM12" s="15"/>
      <c r="AN12" s="15"/>
      <c r="AO12" s="15"/>
      <c r="AP12" s="15"/>
      <c r="AQ12" s="15"/>
      <c r="AR12" s="15"/>
      <c r="AS12" s="15"/>
      <c r="AT12" s="15"/>
      <c r="AU12" s="15"/>
      <c r="AV12" s="15"/>
      <c r="AW12" s="15"/>
      <c r="AX12" s="15"/>
      <c r="AY12" s="15"/>
      <c r="AZ12" s="15"/>
      <c r="BA12" s="15"/>
      <c r="BB12" s="15"/>
      <c r="BC12" s="15"/>
      <c r="BD12" s="15"/>
    </row>
    <row r="13" spans="2:56" ht="18.649999999999999" customHeight="1" x14ac:dyDescent="0.25">
      <c r="B13" s="70" t="s">
        <v>33</v>
      </c>
      <c r="C13" s="4" t="s">
        <v>31</v>
      </c>
      <c r="D13" s="5">
        <v>4</v>
      </c>
      <c r="E13" s="14">
        <v>5000</v>
      </c>
      <c r="F13" s="14">
        <v>5000</v>
      </c>
      <c r="G13" s="14">
        <v>5000</v>
      </c>
      <c r="H13" s="14">
        <v>5000</v>
      </c>
      <c r="I13" s="14">
        <v>5000</v>
      </c>
      <c r="J13" s="14">
        <v>5000</v>
      </c>
      <c r="K13" s="14">
        <v>5000</v>
      </c>
      <c r="L13" s="14">
        <v>5000</v>
      </c>
      <c r="M13" s="14">
        <v>5000</v>
      </c>
      <c r="N13" s="14">
        <v>5000</v>
      </c>
      <c r="O13" s="14">
        <v>5000</v>
      </c>
      <c r="P13" s="14">
        <v>5000</v>
      </c>
      <c r="Q13" s="14">
        <v>5000</v>
      </c>
      <c r="R13" s="14">
        <v>5000</v>
      </c>
      <c r="S13" s="14">
        <v>5000</v>
      </c>
      <c r="T13" s="14">
        <v>5000</v>
      </c>
      <c r="U13" s="14">
        <v>5000</v>
      </c>
      <c r="V13" s="14">
        <v>5000</v>
      </c>
      <c r="W13" s="14">
        <v>5000</v>
      </c>
      <c r="X13" s="14">
        <v>5000</v>
      </c>
      <c r="Y13" s="14">
        <v>5000</v>
      </c>
      <c r="Z13" s="14">
        <v>5000</v>
      </c>
      <c r="AA13" s="14">
        <v>5000</v>
      </c>
      <c r="AB13" s="14">
        <v>5000</v>
      </c>
      <c r="AC13" s="77"/>
      <c r="AE13" s="17">
        <f>+AC31</f>
        <v>3720000</v>
      </c>
      <c r="AG13" s="15"/>
      <c r="AH13" s="15"/>
      <c r="AI13" s="15"/>
      <c r="AJ13" s="15"/>
      <c r="AK13" s="15"/>
      <c r="AL13" s="15"/>
      <c r="AM13" s="15"/>
      <c r="AN13" s="15"/>
      <c r="AO13" s="15"/>
      <c r="AP13" s="15"/>
      <c r="AQ13" s="15"/>
      <c r="AR13" s="15"/>
      <c r="AS13" s="15"/>
      <c r="AT13" s="15"/>
      <c r="AU13" s="15"/>
      <c r="AV13" s="15"/>
      <c r="AW13" s="15"/>
      <c r="AX13" s="15"/>
      <c r="AY13" s="15"/>
      <c r="AZ13" s="15"/>
      <c r="BA13" s="15"/>
      <c r="BB13" s="15"/>
      <c r="BC13" s="15"/>
      <c r="BD13" s="15"/>
    </row>
    <row r="14" spans="2:56" ht="18.649999999999999" customHeight="1" x14ac:dyDescent="0.25">
      <c r="B14" s="70" t="s">
        <v>33</v>
      </c>
      <c r="C14" s="4" t="s">
        <v>32</v>
      </c>
      <c r="D14" s="5">
        <v>0</v>
      </c>
      <c r="E14" s="14"/>
      <c r="F14" s="14"/>
      <c r="G14" s="14"/>
      <c r="H14" s="14"/>
      <c r="I14" s="14"/>
      <c r="J14" s="14"/>
      <c r="K14" s="14"/>
      <c r="L14" s="14"/>
      <c r="M14" s="14"/>
      <c r="N14" s="14"/>
      <c r="O14" s="14"/>
      <c r="P14" s="14"/>
      <c r="Q14" s="14"/>
      <c r="R14" s="14"/>
      <c r="S14" s="14"/>
      <c r="T14" s="14"/>
      <c r="U14" s="14"/>
      <c r="V14" s="14"/>
      <c r="W14" s="14"/>
      <c r="X14" s="14"/>
      <c r="Y14" s="14"/>
      <c r="Z14" s="14"/>
      <c r="AA14" s="14"/>
      <c r="AB14" s="14"/>
      <c r="AC14" s="78"/>
      <c r="AE14" s="17">
        <f>+AC35</f>
        <v>3720000</v>
      </c>
      <c r="AG14" s="15"/>
      <c r="AH14" s="15"/>
      <c r="AI14" s="15"/>
      <c r="AJ14" s="15"/>
      <c r="AK14" s="15"/>
      <c r="AL14" s="15"/>
      <c r="AM14" s="15"/>
      <c r="AN14" s="15"/>
      <c r="AO14" s="15"/>
      <c r="AP14" s="15"/>
      <c r="AQ14" s="15"/>
      <c r="AR14" s="15"/>
      <c r="AS14" s="15"/>
      <c r="AT14" s="15"/>
      <c r="AU14" s="15"/>
      <c r="AV14" s="15"/>
      <c r="AW14" s="15"/>
      <c r="AX14" s="15"/>
      <c r="AY14" s="15"/>
      <c r="AZ14" s="15"/>
      <c r="BA14" s="15"/>
      <c r="BB14" s="15"/>
      <c r="BC14" s="15"/>
      <c r="BD14" s="15"/>
    </row>
    <row r="15" spans="2:56" ht="18.649999999999999" customHeight="1" x14ac:dyDescent="0.25">
      <c r="B15" s="70" t="s">
        <v>34</v>
      </c>
      <c r="C15" s="4" t="s">
        <v>29</v>
      </c>
      <c r="D15" s="5">
        <v>22</v>
      </c>
      <c r="E15" s="14">
        <v>5000</v>
      </c>
      <c r="F15" s="14">
        <v>5000</v>
      </c>
      <c r="G15" s="14">
        <v>5000</v>
      </c>
      <c r="H15" s="14">
        <v>5000</v>
      </c>
      <c r="I15" s="14">
        <v>5000</v>
      </c>
      <c r="J15" s="14">
        <v>5000</v>
      </c>
      <c r="K15" s="14">
        <v>5000</v>
      </c>
      <c r="L15" s="14">
        <v>5000</v>
      </c>
      <c r="M15" s="14">
        <v>5000</v>
      </c>
      <c r="N15" s="14">
        <v>5000</v>
      </c>
      <c r="O15" s="14">
        <v>5000</v>
      </c>
      <c r="P15" s="14">
        <v>5000</v>
      </c>
      <c r="Q15" s="14">
        <v>5000</v>
      </c>
      <c r="R15" s="14">
        <v>5000</v>
      </c>
      <c r="S15" s="14">
        <v>5000</v>
      </c>
      <c r="T15" s="14">
        <v>5000</v>
      </c>
      <c r="U15" s="14">
        <v>5000</v>
      </c>
      <c r="V15" s="14">
        <v>5000</v>
      </c>
      <c r="W15" s="14">
        <v>5000</v>
      </c>
      <c r="X15" s="14">
        <v>5000</v>
      </c>
      <c r="Y15" s="14">
        <v>5000</v>
      </c>
      <c r="Z15" s="14">
        <v>5000</v>
      </c>
      <c r="AA15" s="14">
        <v>5000</v>
      </c>
      <c r="AB15" s="14">
        <v>5000</v>
      </c>
      <c r="AC15" s="76">
        <f>+SUM(E15:AB15)*D15+SUM(E16:AB16)*D16+SUM(E17:AB17)*D17+SUM(E18:AB18)*D18</f>
        <v>3720000</v>
      </c>
      <c r="AE15" s="17">
        <f>+AC39</f>
        <v>3600000</v>
      </c>
      <c r="AG15" s="15"/>
      <c r="AH15" s="15"/>
      <c r="AI15" s="15"/>
      <c r="AJ15" s="15"/>
      <c r="AK15" s="15"/>
      <c r="AL15" s="15"/>
      <c r="AM15" s="15"/>
      <c r="AN15" s="15"/>
      <c r="AO15" s="15"/>
      <c r="AP15" s="15"/>
      <c r="AQ15" s="15"/>
      <c r="AR15" s="15"/>
      <c r="AS15" s="15"/>
      <c r="AT15" s="15"/>
      <c r="AU15" s="15"/>
      <c r="AV15" s="15"/>
      <c r="AW15" s="15"/>
      <c r="AX15" s="15"/>
      <c r="AY15" s="15"/>
      <c r="AZ15" s="15"/>
      <c r="BA15" s="15"/>
      <c r="BB15" s="15"/>
      <c r="BC15" s="15"/>
      <c r="BD15" s="15"/>
    </row>
    <row r="16" spans="2:56" ht="18.649999999999999" customHeight="1" x14ac:dyDescent="0.25">
      <c r="B16" s="70" t="s">
        <v>34</v>
      </c>
      <c r="C16" s="4" t="s">
        <v>30</v>
      </c>
      <c r="D16" s="5">
        <v>4</v>
      </c>
      <c r="E16" s="14">
        <v>5000</v>
      </c>
      <c r="F16" s="14">
        <v>5000</v>
      </c>
      <c r="G16" s="14">
        <v>5000</v>
      </c>
      <c r="H16" s="14">
        <v>5000</v>
      </c>
      <c r="I16" s="14">
        <v>5000</v>
      </c>
      <c r="J16" s="14">
        <v>5000</v>
      </c>
      <c r="K16" s="14">
        <v>5000</v>
      </c>
      <c r="L16" s="14">
        <v>5000</v>
      </c>
      <c r="M16" s="14">
        <v>5000</v>
      </c>
      <c r="N16" s="14">
        <v>5000</v>
      </c>
      <c r="O16" s="14">
        <v>5000</v>
      </c>
      <c r="P16" s="14">
        <v>5000</v>
      </c>
      <c r="Q16" s="14">
        <v>5000</v>
      </c>
      <c r="R16" s="14">
        <v>5000</v>
      </c>
      <c r="S16" s="14">
        <v>5000</v>
      </c>
      <c r="T16" s="14">
        <v>5000</v>
      </c>
      <c r="U16" s="14">
        <v>5000</v>
      </c>
      <c r="V16" s="14">
        <v>5000</v>
      </c>
      <c r="W16" s="14">
        <v>5000</v>
      </c>
      <c r="X16" s="14">
        <v>5000</v>
      </c>
      <c r="Y16" s="14">
        <v>5000</v>
      </c>
      <c r="Z16" s="14">
        <v>5000</v>
      </c>
      <c r="AA16" s="14">
        <v>5000</v>
      </c>
      <c r="AB16" s="14">
        <v>5000</v>
      </c>
      <c r="AC16" s="77"/>
      <c r="AE16" s="17">
        <f>+AC43</f>
        <v>3720000</v>
      </c>
      <c r="AG16" s="15"/>
      <c r="AH16" s="15"/>
      <c r="AI16" s="15"/>
      <c r="AJ16" s="15"/>
      <c r="AK16" s="15"/>
      <c r="AL16" s="15"/>
      <c r="AM16" s="15"/>
      <c r="AN16" s="15"/>
      <c r="AO16" s="15"/>
      <c r="AP16" s="15"/>
      <c r="AQ16" s="15"/>
      <c r="AR16" s="15"/>
      <c r="AS16" s="15"/>
      <c r="AT16" s="15"/>
      <c r="AU16" s="15"/>
      <c r="AV16" s="15"/>
      <c r="AW16" s="15"/>
      <c r="AX16" s="15"/>
      <c r="AY16" s="15"/>
      <c r="AZ16" s="15"/>
      <c r="BA16" s="15"/>
      <c r="BB16" s="15"/>
      <c r="BC16" s="15"/>
      <c r="BD16" s="15"/>
    </row>
    <row r="17" spans="2:56" ht="18.649999999999999" customHeight="1" x14ac:dyDescent="0.25">
      <c r="B17" s="70" t="s">
        <v>34</v>
      </c>
      <c r="C17" s="4" t="s">
        <v>31</v>
      </c>
      <c r="D17" s="5">
        <v>4</v>
      </c>
      <c r="E17" s="14">
        <v>5000</v>
      </c>
      <c r="F17" s="14">
        <v>5000</v>
      </c>
      <c r="G17" s="14">
        <v>5000</v>
      </c>
      <c r="H17" s="14">
        <v>5000</v>
      </c>
      <c r="I17" s="14">
        <v>5000</v>
      </c>
      <c r="J17" s="14">
        <v>5000</v>
      </c>
      <c r="K17" s="14">
        <v>5000</v>
      </c>
      <c r="L17" s="14">
        <v>5000</v>
      </c>
      <c r="M17" s="14">
        <v>5000</v>
      </c>
      <c r="N17" s="14">
        <v>5000</v>
      </c>
      <c r="O17" s="14">
        <v>5000</v>
      </c>
      <c r="P17" s="14">
        <v>5000</v>
      </c>
      <c r="Q17" s="14">
        <v>5000</v>
      </c>
      <c r="R17" s="14">
        <v>5000</v>
      </c>
      <c r="S17" s="14">
        <v>5000</v>
      </c>
      <c r="T17" s="14">
        <v>5000</v>
      </c>
      <c r="U17" s="14">
        <v>5000</v>
      </c>
      <c r="V17" s="14">
        <v>5000</v>
      </c>
      <c r="W17" s="14">
        <v>5000</v>
      </c>
      <c r="X17" s="14">
        <v>5000</v>
      </c>
      <c r="Y17" s="14">
        <v>5000</v>
      </c>
      <c r="Z17" s="14">
        <v>5000</v>
      </c>
      <c r="AA17" s="14">
        <v>5000</v>
      </c>
      <c r="AB17" s="14">
        <v>5000</v>
      </c>
      <c r="AC17" s="77"/>
      <c r="AE17" s="17">
        <f>+AC47</f>
        <v>3600000</v>
      </c>
      <c r="AG17" s="15"/>
      <c r="AH17" s="15"/>
      <c r="AI17" s="15"/>
      <c r="AJ17" s="15"/>
      <c r="AK17" s="15"/>
      <c r="AL17" s="15"/>
      <c r="AM17" s="15"/>
      <c r="AN17" s="15"/>
      <c r="AO17" s="15"/>
      <c r="AP17" s="15"/>
      <c r="AQ17" s="15"/>
      <c r="AR17" s="15"/>
      <c r="AS17" s="15"/>
      <c r="AT17" s="15"/>
      <c r="AU17" s="15"/>
      <c r="AV17" s="15"/>
      <c r="AW17" s="15"/>
      <c r="AX17" s="15"/>
      <c r="AY17" s="15"/>
      <c r="AZ17" s="15"/>
      <c r="BA17" s="15"/>
      <c r="BB17" s="15"/>
      <c r="BC17" s="15"/>
      <c r="BD17" s="15"/>
    </row>
    <row r="18" spans="2:56" ht="18.649999999999999" customHeight="1" x14ac:dyDescent="0.25">
      <c r="B18" s="70" t="s">
        <v>34</v>
      </c>
      <c r="C18" s="4" t="s">
        <v>32</v>
      </c>
      <c r="D18" s="5">
        <v>1</v>
      </c>
      <c r="E18" s="14">
        <v>5000</v>
      </c>
      <c r="F18" s="14">
        <v>5000</v>
      </c>
      <c r="G18" s="14">
        <v>5000</v>
      </c>
      <c r="H18" s="14">
        <v>5000</v>
      </c>
      <c r="I18" s="14">
        <v>5000</v>
      </c>
      <c r="J18" s="14">
        <v>5000</v>
      </c>
      <c r="K18" s="14">
        <v>5000</v>
      </c>
      <c r="L18" s="14">
        <v>5000</v>
      </c>
      <c r="M18" s="14">
        <v>5000</v>
      </c>
      <c r="N18" s="14">
        <v>5000</v>
      </c>
      <c r="O18" s="14">
        <v>5000</v>
      </c>
      <c r="P18" s="14">
        <v>5000</v>
      </c>
      <c r="Q18" s="14">
        <v>5000</v>
      </c>
      <c r="R18" s="14">
        <v>5000</v>
      </c>
      <c r="S18" s="14">
        <v>5000</v>
      </c>
      <c r="T18" s="14">
        <v>5000</v>
      </c>
      <c r="U18" s="14">
        <v>5000</v>
      </c>
      <c r="V18" s="14">
        <v>5000</v>
      </c>
      <c r="W18" s="14">
        <v>5000</v>
      </c>
      <c r="X18" s="14">
        <v>5000</v>
      </c>
      <c r="Y18" s="14">
        <v>5000</v>
      </c>
      <c r="Z18" s="14">
        <v>5000</v>
      </c>
      <c r="AA18" s="14">
        <v>5000</v>
      </c>
      <c r="AB18" s="14">
        <v>5000</v>
      </c>
      <c r="AC18" s="78"/>
      <c r="AE18" s="17">
        <f>+AC51</f>
        <v>3720000</v>
      </c>
      <c r="AG18" s="15"/>
      <c r="AH18" s="15"/>
      <c r="AI18" s="15"/>
      <c r="AJ18" s="15"/>
      <c r="AK18" s="15"/>
      <c r="AL18" s="15"/>
      <c r="AM18" s="15"/>
      <c r="AN18" s="15"/>
      <c r="AO18" s="15"/>
      <c r="AP18" s="15"/>
      <c r="AQ18" s="15"/>
      <c r="AR18" s="15"/>
      <c r="AS18" s="15"/>
      <c r="AT18" s="15"/>
      <c r="AU18" s="15"/>
      <c r="AV18" s="15"/>
      <c r="AW18" s="15"/>
      <c r="AX18" s="15"/>
      <c r="AY18" s="15"/>
      <c r="AZ18" s="15"/>
      <c r="BA18" s="15"/>
      <c r="BB18" s="15"/>
      <c r="BC18" s="15"/>
      <c r="BD18" s="15"/>
    </row>
    <row r="19" spans="2:56" ht="18.649999999999999" customHeight="1" x14ac:dyDescent="0.3">
      <c r="B19" s="70" t="s">
        <v>35</v>
      </c>
      <c r="C19" s="4" t="s">
        <v>29</v>
      </c>
      <c r="D19" s="5">
        <v>18</v>
      </c>
      <c r="E19" s="14">
        <v>5000</v>
      </c>
      <c r="F19" s="14">
        <v>5000</v>
      </c>
      <c r="G19" s="14">
        <v>5000</v>
      </c>
      <c r="H19" s="14">
        <v>5000</v>
      </c>
      <c r="I19" s="14">
        <v>5000</v>
      </c>
      <c r="J19" s="14">
        <v>5000</v>
      </c>
      <c r="K19" s="14">
        <v>5000</v>
      </c>
      <c r="L19" s="14">
        <v>5000</v>
      </c>
      <c r="M19" s="14">
        <v>5000</v>
      </c>
      <c r="N19" s="14">
        <v>5000</v>
      </c>
      <c r="O19" s="14">
        <v>5000</v>
      </c>
      <c r="P19" s="14">
        <v>5000</v>
      </c>
      <c r="Q19" s="14">
        <v>5000</v>
      </c>
      <c r="R19" s="14">
        <v>5000</v>
      </c>
      <c r="S19" s="14">
        <v>5000</v>
      </c>
      <c r="T19" s="14">
        <v>5000</v>
      </c>
      <c r="U19" s="14">
        <v>5000</v>
      </c>
      <c r="V19" s="14">
        <v>5000</v>
      </c>
      <c r="W19" s="14">
        <v>5000</v>
      </c>
      <c r="X19" s="14">
        <v>5000</v>
      </c>
      <c r="Y19" s="14">
        <v>5000</v>
      </c>
      <c r="Z19" s="14">
        <v>5000</v>
      </c>
      <c r="AA19" s="14">
        <v>5000</v>
      </c>
      <c r="AB19" s="14">
        <v>5000</v>
      </c>
      <c r="AC19" s="76">
        <f>+SUM(E19:AB19)*D19+SUM(E20:AB20)*D20+SUM(E21:AB21)*D21+SUM(E22:AB22)*D22</f>
        <v>3600000</v>
      </c>
      <c r="AE19" s="19">
        <f>SUM(AE7:AE18)</f>
        <v>43920000</v>
      </c>
      <c r="AG19" s="15"/>
      <c r="AH19" s="15"/>
      <c r="AI19" s="15"/>
      <c r="AJ19" s="15"/>
      <c r="AK19" s="15"/>
      <c r="AL19" s="15"/>
      <c r="AM19" s="15"/>
      <c r="AN19" s="15"/>
      <c r="AO19" s="15"/>
      <c r="AP19" s="15"/>
      <c r="AQ19" s="15"/>
      <c r="AR19" s="15"/>
      <c r="AS19" s="15"/>
      <c r="AT19" s="15"/>
      <c r="AU19" s="15"/>
      <c r="AV19" s="15"/>
      <c r="AW19" s="15"/>
      <c r="AX19" s="15"/>
      <c r="AY19" s="15"/>
      <c r="AZ19" s="15"/>
      <c r="BA19" s="15"/>
      <c r="BB19" s="15"/>
      <c r="BC19" s="15"/>
      <c r="BD19" s="15"/>
    </row>
    <row r="20" spans="2:56" ht="18.649999999999999" customHeight="1" x14ac:dyDescent="0.25">
      <c r="B20" s="70" t="s">
        <v>35</v>
      </c>
      <c r="C20" s="4" t="s">
        <v>30</v>
      </c>
      <c r="D20" s="5">
        <v>5</v>
      </c>
      <c r="E20" s="14">
        <v>5000</v>
      </c>
      <c r="F20" s="14">
        <v>5000</v>
      </c>
      <c r="G20" s="14">
        <v>5000</v>
      </c>
      <c r="H20" s="14">
        <v>5000</v>
      </c>
      <c r="I20" s="14">
        <v>5000</v>
      </c>
      <c r="J20" s="14">
        <v>5000</v>
      </c>
      <c r="K20" s="14">
        <v>5000</v>
      </c>
      <c r="L20" s="14">
        <v>5000</v>
      </c>
      <c r="M20" s="14">
        <v>5000</v>
      </c>
      <c r="N20" s="14">
        <v>5000</v>
      </c>
      <c r="O20" s="14">
        <v>5000</v>
      </c>
      <c r="P20" s="14">
        <v>5000</v>
      </c>
      <c r="Q20" s="14">
        <v>5000</v>
      </c>
      <c r="R20" s="14">
        <v>5000</v>
      </c>
      <c r="S20" s="14">
        <v>5000</v>
      </c>
      <c r="T20" s="14">
        <v>5000</v>
      </c>
      <c r="U20" s="14">
        <v>5000</v>
      </c>
      <c r="V20" s="14">
        <v>5000</v>
      </c>
      <c r="W20" s="14">
        <v>5000</v>
      </c>
      <c r="X20" s="14">
        <v>5000</v>
      </c>
      <c r="Y20" s="14">
        <v>5000</v>
      </c>
      <c r="Z20" s="14">
        <v>5000</v>
      </c>
      <c r="AA20" s="14">
        <v>5000</v>
      </c>
      <c r="AB20" s="14">
        <v>5000</v>
      </c>
      <c r="AC20" s="77"/>
      <c r="AG20" s="15"/>
      <c r="AH20" s="15"/>
      <c r="AI20" s="15"/>
      <c r="AJ20" s="15"/>
      <c r="AK20" s="15"/>
      <c r="AL20" s="15"/>
      <c r="AM20" s="15"/>
      <c r="AN20" s="15"/>
      <c r="AO20" s="15"/>
      <c r="AP20" s="15"/>
      <c r="AQ20" s="15"/>
      <c r="AR20" s="15"/>
      <c r="AS20" s="15"/>
      <c r="AT20" s="15"/>
      <c r="AU20" s="15"/>
      <c r="AV20" s="15"/>
      <c r="AW20" s="15"/>
      <c r="AX20" s="15"/>
      <c r="AY20" s="15"/>
      <c r="AZ20" s="15"/>
      <c r="BA20" s="15"/>
      <c r="BB20" s="15"/>
      <c r="BC20" s="15"/>
      <c r="BD20" s="15"/>
    </row>
    <row r="21" spans="2:56" ht="18.649999999999999" customHeight="1" x14ac:dyDescent="0.25">
      <c r="B21" s="70" t="s">
        <v>35</v>
      </c>
      <c r="C21" s="4" t="s">
        <v>31</v>
      </c>
      <c r="D21" s="5">
        <v>5</v>
      </c>
      <c r="E21" s="14">
        <v>5000</v>
      </c>
      <c r="F21" s="14">
        <v>5000</v>
      </c>
      <c r="G21" s="14">
        <v>5000</v>
      </c>
      <c r="H21" s="14">
        <v>5000</v>
      </c>
      <c r="I21" s="14">
        <v>5000</v>
      </c>
      <c r="J21" s="14">
        <v>5000</v>
      </c>
      <c r="K21" s="14">
        <v>5000</v>
      </c>
      <c r="L21" s="14">
        <v>5000</v>
      </c>
      <c r="M21" s="14">
        <v>5000</v>
      </c>
      <c r="N21" s="14">
        <v>5000</v>
      </c>
      <c r="O21" s="14">
        <v>5000</v>
      </c>
      <c r="P21" s="14">
        <v>5000</v>
      </c>
      <c r="Q21" s="14">
        <v>5000</v>
      </c>
      <c r="R21" s="14">
        <v>5000</v>
      </c>
      <c r="S21" s="14">
        <v>5000</v>
      </c>
      <c r="T21" s="14">
        <v>5000</v>
      </c>
      <c r="U21" s="14">
        <v>5000</v>
      </c>
      <c r="V21" s="14">
        <v>5000</v>
      </c>
      <c r="W21" s="14">
        <v>5000</v>
      </c>
      <c r="X21" s="14">
        <v>5000</v>
      </c>
      <c r="Y21" s="14">
        <v>5000</v>
      </c>
      <c r="Z21" s="14">
        <v>5000</v>
      </c>
      <c r="AA21" s="14">
        <v>5000</v>
      </c>
      <c r="AB21" s="14">
        <v>5000</v>
      </c>
      <c r="AC21" s="77"/>
      <c r="AG21" s="15"/>
      <c r="AH21" s="15"/>
      <c r="AI21" s="15"/>
      <c r="AJ21" s="15"/>
      <c r="AK21" s="15"/>
      <c r="AL21" s="15"/>
      <c r="AM21" s="15"/>
      <c r="AN21" s="15"/>
      <c r="AO21" s="15"/>
      <c r="AP21" s="15"/>
      <c r="AQ21" s="15"/>
      <c r="AR21" s="15"/>
      <c r="AS21" s="15"/>
      <c r="AT21" s="15"/>
      <c r="AU21" s="15"/>
      <c r="AV21" s="15"/>
      <c r="AW21" s="15"/>
      <c r="AX21" s="15"/>
      <c r="AY21" s="15"/>
      <c r="AZ21" s="15"/>
      <c r="BA21" s="15"/>
      <c r="BB21" s="15"/>
      <c r="BC21" s="15"/>
      <c r="BD21" s="15"/>
    </row>
    <row r="22" spans="2:56" ht="18.649999999999999" customHeight="1" x14ac:dyDescent="0.25">
      <c r="B22" s="70" t="s">
        <v>35</v>
      </c>
      <c r="C22" s="4" t="s">
        <v>32</v>
      </c>
      <c r="D22" s="5">
        <v>2</v>
      </c>
      <c r="E22" s="14">
        <v>5000</v>
      </c>
      <c r="F22" s="14">
        <v>5000</v>
      </c>
      <c r="G22" s="14">
        <v>5000</v>
      </c>
      <c r="H22" s="14">
        <v>5000</v>
      </c>
      <c r="I22" s="14">
        <v>5000</v>
      </c>
      <c r="J22" s="14">
        <v>5000</v>
      </c>
      <c r="K22" s="14">
        <v>5000</v>
      </c>
      <c r="L22" s="14">
        <v>5000</v>
      </c>
      <c r="M22" s="14">
        <v>5000</v>
      </c>
      <c r="N22" s="14">
        <v>5000</v>
      </c>
      <c r="O22" s="14">
        <v>5000</v>
      </c>
      <c r="P22" s="14">
        <v>5000</v>
      </c>
      <c r="Q22" s="14">
        <v>5000</v>
      </c>
      <c r="R22" s="14">
        <v>5000</v>
      </c>
      <c r="S22" s="14">
        <v>5000</v>
      </c>
      <c r="T22" s="14">
        <v>5000</v>
      </c>
      <c r="U22" s="14">
        <v>5000</v>
      </c>
      <c r="V22" s="14">
        <v>5000</v>
      </c>
      <c r="W22" s="14">
        <v>5000</v>
      </c>
      <c r="X22" s="14">
        <v>5000</v>
      </c>
      <c r="Y22" s="14">
        <v>5000</v>
      </c>
      <c r="Z22" s="14">
        <v>5000</v>
      </c>
      <c r="AA22" s="14">
        <v>5000</v>
      </c>
      <c r="AB22" s="14">
        <v>5000</v>
      </c>
      <c r="AC22" s="78"/>
      <c r="AG22" s="15"/>
      <c r="AH22" s="15"/>
      <c r="AI22" s="15"/>
      <c r="AJ22" s="15"/>
      <c r="AK22" s="15"/>
      <c r="AL22" s="15"/>
      <c r="AM22" s="15"/>
      <c r="AN22" s="15"/>
      <c r="AO22" s="15"/>
      <c r="AP22" s="15"/>
      <c r="AQ22" s="15"/>
      <c r="AR22" s="15"/>
      <c r="AS22" s="15"/>
      <c r="AT22" s="15"/>
      <c r="AU22" s="15"/>
      <c r="AV22" s="15"/>
      <c r="AW22" s="15"/>
      <c r="AX22" s="15"/>
      <c r="AY22" s="15"/>
      <c r="AZ22" s="15"/>
      <c r="BA22" s="15"/>
      <c r="BB22" s="15"/>
      <c r="BC22" s="15"/>
      <c r="BD22" s="15"/>
    </row>
    <row r="23" spans="2:56" ht="18.649999999999999" customHeight="1" x14ac:dyDescent="0.25">
      <c r="B23" s="70" t="s">
        <v>36</v>
      </c>
      <c r="C23" s="4" t="s">
        <v>29</v>
      </c>
      <c r="D23" s="5">
        <v>21</v>
      </c>
      <c r="E23" s="14">
        <v>5000</v>
      </c>
      <c r="F23" s="14">
        <v>5000</v>
      </c>
      <c r="G23" s="14">
        <v>5000</v>
      </c>
      <c r="H23" s="14">
        <v>5000</v>
      </c>
      <c r="I23" s="14">
        <v>5000</v>
      </c>
      <c r="J23" s="14">
        <v>5000</v>
      </c>
      <c r="K23" s="14">
        <v>5000</v>
      </c>
      <c r="L23" s="14">
        <v>5000</v>
      </c>
      <c r="M23" s="14">
        <v>5000</v>
      </c>
      <c r="N23" s="14">
        <v>5000</v>
      </c>
      <c r="O23" s="14">
        <v>5000</v>
      </c>
      <c r="P23" s="14">
        <v>5000</v>
      </c>
      <c r="Q23" s="14">
        <v>5000</v>
      </c>
      <c r="R23" s="14">
        <v>5000</v>
      </c>
      <c r="S23" s="14">
        <v>5000</v>
      </c>
      <c r="T23" s="14">
        <v>5000</v>
      </c>
      <c r="U23" s="14">
        <v>5000</v>
      </c>
      <c r="V23" s="14">
        <v>5000</v>
      </c>
      <c r="W23" s="14">
        <v>5000</v>
      </c>
      <c r="X23" s="14">
        <v>5000</v>
      </c>
      <c r="Y23" s="14">
        <v>5000</v>
      </c>
      <c r="Z23" s="14">
        <v>5000</v>
      </c>
      <c r="AA23" s="14">
        <v>5000</v>
      </c>
      <c r="AB23" s="14">
        <v>5000</v>
      </c>
      <c r="AC23" s="76">
        <f>+SUM(E23:AB23)*D23+SUM(E24:AB24)*D24+SUM(E25:AB25)*D25+SUM(E26:AB26)*D26</f>
        <v>3720000</v>
      </c>
      <c r="AG23" s="15"/>
      <c r="AH23" s="15"/>
      <c r="AI23" s="15"/>
      <c r="AJ23" s="15"/>
      <c r="AK23" s="15"/>
      <c r="AL23" s="15"/>
      <c r="AM23" s="15"/>
      <c r="AN23" s="15"/>
      <c r="AO23" s="15"/>
      <c r="AP23" s="15"/>
      <c r="AQ23" s="15"/>
      <c r="AR23" s="15"/>
      <c r="AS23" s="15"/>
      <c r="AT23" s="15"/>
      <c r="AU23" s="15"/>
      <c r="AV23" s="15"/>
      <c r="AW23" s="15"/>
      <c r="AX23" s="15"/>
      <c r="AY23" s="15"/>
      <c r="AZ23" s="15"/>
      <c r="BA23" s="15"/>
      <c r="BB23" s="15"/>
      <c r="BC23" s="15"/>
      <c r="BD23" s="15"/>
    </row>
    <row r="24" spans="2:56" ht="18.649999999999999" customHeight="1" x14ac:dyDescent="0.25">
      <c r="B24" s="70" t="s">
        <v>36</v>
      </c>
      <c r="C24" s="4" t="s">
        <v>30</v>
      </c>
      <c r="D24" s="5">
        <v>4</v>
      </c>
      <c r="E24" s="14">
        <v>5000</v>
      </c>
      <c r="F24" s="14">
        <v>5000</v>
      </c>
      <c r="G24" s="14">
        <v>5000</v>
      </c>
      <c r="H24" s="14">
        <v>5000</v>
      </c>
      <c r="I24" s="14">
        <v>5000</v>
      </c>
      <c r="J24" s="14">
        <v>5000</v>
      </c>
      <c r="K24" s="14">
        <v>5000</v>
      </c>
      <c r="L24" s="14">
        <v>5000</v>
      </c>
      <c r="M24" s="14">
        <v>5000</v>
      </c>
      <c r="N24" s="14">
        <v>5000</v>
      </c>
      <c r="O24" s="14">
        <v>5000</v>
      </c>
      <c r="P24" s="14">
        <v>5000</v>
      </c>
      <c r="Q24" s="14">
        <v>5000</v>
      </c>
      <c r="R24" s="14">
        <v>5000</v>
      </c>
      <c r="S24" s="14">
        <v>5000</v>
      </c>
      <c r="T24" s="14">
        <v>5000</v>
      </c>
      <c r="U24" s="14">
        <v>5000</v>
      </c>
      <c r="V24" s="14">
        <v>5000</v>
      </c>
      <c r="W24" s="14">
        <v>5000</v>
      </c>
      <c r="X24" s="14">
        <v>5000</v>
      </c>
      <c r="Y24" s="14">
        <v>5000</v>
      </c>
      <c r="Z24" s="14">
        <v>5000</v>
      </c>
      <c r="AA24" s="14">
        <v>5000</v>
      </c>
      <c r="AB24" s="14">
        <v>5000</v>
      </c>
      <c r="AC24" s="77"/>
      <c r="AG24" s="15"/>
      <c r="AH24" s="15"/>
      <c r="AI24" s="15"/>
      <c r="AJ24" s="15"/>
      <c r="AK24" s="15"/>
      <c r="AL24" s="15"/>
      <c r="AM24" s="15"/>
      <c r="AN24" s="15"/>
      <c r="AO24" s="15"/>
      <c r="AP24" s="15"/>
      <c r="AQ24" s="15"/>
      <c r="AR24" s="15"/>
      <c r="AS24" s="15"/>
      <c r="AT24" s="15"/>
      <c r="AU24" s="15"/>
      <c r="AV24" s="15"/>
      <c r="AW24" s="15"/>
      <c r="AX24" s="15"/>
      <c r="AY24" s="15"/>
      <c r="AZ24" s="15"/>
      <c r="BA24" s="15"/>
      <c r="BB24" s="15"/>
      <c r="BC24" s="15"/>
      <c r="BD24" s="15"/>
    </row>
    <row r="25" spans="2:56" ht="18.649999999999999" customHeight="1" x14ac:dyDescent="0.25">
      <c r="B25" s="70" t="s">
        <v>36</v>
      </c>
      <c r="C25" s="4" t="s">
        <v>31</v>
      </c>
      <c r="D25" s="5">
        <v>4</v>
      </c>
      <c r="E25" s="14">
        <v>5000</v>
      </c>
      <c r="F25" s="14">
        <v>5000</v>
      </c>
      <c r="G25" s="14">
        <v>5000</v>
      </c>
      <c r="H25" s="14">
        <v>5000</v>
      </c>
      <c r="I25" s="14">
        <v>5000</v>
      </c>
      <c r="J25" s="14">
        <v>5000</v>
      </c>
      <c r="K25" s="14">
        <v>5000</v>
      </c>
      <c r="L25" s="14">
        <v>5000</v>
      </c>
      <c r="M25" s="14">
        <v>5000</v>
      </c>
      <c r="N25" s="14">
        <v>5000</v>
      </c>
      <c r="O25" s="14">
        <v>5000</v>
      </c>
      <c r="P25" s="14">
        <v>5000</v>
      </c>
      <c r="Q25" s="14">
        <v>5000</v>
      </c>
      <c r="R25" s="14">
        <v>5000</v>
      </c>
      <c r="S25" s="14">
        <v>5000</v>
      </c>
      <c r="T25" s="14">
        <v>5000</v>
      </c>
      <c r="U25" s="14">
        <v>5000</v>
      </c>
      <c r="V25" s="14">
        <v>5000</v>
      </c>
      <c r="W25" s="14">
        <v>5000</v>
      </c>
      <c r="X25" s="14">
        <v>5000</v>
      </c>
      <c r="Y25" s="14">
        <v>5000</v>
      </c>
      <c r="Z25" s="14">
        <v>5000</v>
      </c>
      <c r="AA25" s="14">
        <v>5000</v>
      </c>
      <c r="AB25" s="14">
        <v>5000</v>
      </c>
      <c r="AC25" s="77"/>
      <c r="AG25" s="15"/>
      <c r="AH25" s="15"/>
      <c r="AI25" s="15"/>
      <c r="AJ25" s="15"/>
      <c r="AK25" s="15"/>
      <c r="AL25" s="15"/>
      <c r="AM25" s="15"/>
      <c r="AN25" s="15"/>
      <c r="AO25" s="15"/>
      <c r="AP25" s="15"/>
      <c r="AQ25" s="15"/>
      <c r="AR25" s="15"/>
      <c r="AS25" s="15"/>
      <c r="AT25" s="15"/>
      <c r="AU25" s="15"/>
      <c r="AV25" s="15"/>
      <c r="AW25" s="15"/>
      <c r="AX25" s="15"/>
      <c r="AY25" s="15"/>
      <c r="AZ25" s="15"/>
      <c r="BA25" s="15"/>
      <c r="BB25" s="15"/>
      <c r="BC25" s="15"/>
      <c r="BD25" s="15"/>
    </row>
    <row r="26" spans="2:56" ht="18.649999999999999" customHeight="1" x14ac:dyDescent="0.25">
      <c r="B26" s="70" t="s">
        <v>36</v>
      </c>
      <c r="C26" s="4" t="s">
        <v>32</v>
      </c>
      <c r="D26" s="5">
        <v>2</v>
      </c>
      <c r="E26" s="14">
        <v>5000</v>
      </c>
      <c r="F26" s="14">
        <v>5000</v>
      </c>
      <c r="G26" s="14">
        <v>5000</v>
      </c>
      <c r="H26" s="14">
        <v>5000</v>
      </c>
      <c r="I26" s="14">
        <v>5000</v>
      </c>
      <c r="J26" s="14">
        <v>5000</v>
      </c>
      <c r="K26" s="14">
        <v>5000</v>
      </c>
      <c r="L26" s="14">
        <v>5000</v>
      </c>
      <c r="M26" s="14">
        <v>5000</v>
      </c>
      <c r="N26" s="14">
        <v>5000</v>
      </c>
      <c r="O26" s="14">
        <v>5000</v>
      </c>
      <c r="P26" s="14">
        <v>5000</v>
      </c>
      <c r="Q26" s="14">
        <v>5000</v>
      </c>
      <c r="R26" s="14">
        <v>5000</v>
      </c>
      <c r="S26" s="14">
        <v>5000</v>
      </c>
      <c r="T26" s="14">
        <v>5000</v>
      </c>
      <c r="U26" s="14">
        <v>5000</v>
      </c>
      <c r="V26" s="14">
        <v>5000</v>
      </c>
      <c r="W26" s="14">
        <v>5000</v>
      </c>
      <c r="X26" s="14">
        <v>5000</v>
      </c>
      <c r="Y26" s="14">
        <v>5000</v>
      </c>
      <c r="Z26" s="14">
        <v>5000</v>
      </c>
      <c r="AA26" s="14">
        <v>5000</v>
      </c>
      <c r="AB26" s="14">
        <v>5000</v>
      </c>
      <c r="AC26" s="78"/>
      <c r="AG26" s="15"/>
      <c r="AH26" s="15"/>
      <c r="AI26" s="15"/>
      <c r="AJ26" s="15"/>
      <c r="AK26" s="15"/>
      <c r="AL26" s="15"/>
      <c r="AM26" s="15"/>
      <c r="AN26" s="15"/>
      <c r="AO26" s="15"/>
      <c r="AP26" s="15"/>
      <c r="AQ26" s="15"/>
      <c r="AR26" s="15"/>
      <c r="AS26" s="15"/>
      <c r="AT26" s="15"/>
      <c r="AU26" s="15"/>
      <c r="AV26" s="15"/>
      <c r="AW26" s="15"/>
      <c r="AX26" s="15"/>
      <c r="AY26" s="15"/>
      <c r="AZ26" s="15"/>
      <c r="BA26" s="15"/>
      <c r="BB26" s="15"/>
      <c r="BC26" s="15"/>
      <c r="BD26" s="15"/>
    </row>
    <row r="27" spans="2:56" ht="18.649999999999999" customHeight="1" x14ac:dyDescent="0.25">
      <c r="B27" s="70" t="s">
        <v>37</v>
      </c>
      <c r="C27" s="4" t="s">
        <v>29</v>
      </c>
      <c r="D27" s="5">
        <v>20</v>
      </c>
      <c r="E27" s="14">
        <v>5000</v>
      </c>
      <c r="F27" s="14">
        <v>5000</v>
      </c>
      <c r="G27" s="14">
        <v>5000</v>
      </c>
      <c r="H27" s="14">
        <v>5000</v>
      </c>
      <c r="I27" s="14">
        <v>5000</v>
      </c>
      <c r="J27" s="14">
        <v>5000</v>
      </c>
      <c r="K27" s="14">
        <v>5000</v>
      </c>
      <c r="L27" s="14">
        <v>5000</v>
      </c>
      <c r="M27" s="14">
        <v>5000</v>
      </c>
      <c r="N27" s="14">
        <v>5000</v>
      </c>
      <c r="O27" s="14">
        <v>5000</v>
      </c>
      <c r="P27" s="14">
        <v>5000</v>
      </c>
      <c r="Q27" s="14">
        <v>5000</v>
      </c>
      <c r="R27" s="14">
        <v>5000</v>
      </c>
      <c r="S27" s="14">
        <v>5000</v>
      </c>
      <c r="T27" s="14">
        <v>5000</v>
      </c>
      <c r="U27" s="14">
        <v>5000</v>
      </c>
      <c r="V27" s="14">
        <v>5000</v>
      </c>
      <c r="W27" s="14">
        <v>5000</v>
      </c>
      <c r="X27" s="14">
        <v>5000</v>
      </c>
      <c r="Y27" s="14">
        <v>5000</v>
      </c>
      <c r="Z27" s="14">
        <v>5000</v>
      </c>
      <c r="AA27" s="14">
        <v>5000</v>
      </c>
      <c r="AB27" s="14">
        <v>5000</v>
      </c>
      <c r="AC27" s="76">
        <f>+SUM(E27:AB27)*D27+SUM(E28:AB28)*D28+SUM(E29:AB29)*D29+SUM(E30:AB30)*D30</f>
        <v>3600000</v>
      </c>
      <c r="AG27" s="15"/>
      <c r="AH27" s="15"/>
      <c r="AI27" s="15"/>
      <c r="AJ27" s="15"/>
      <c r="AK27" s="15"/>
      <c r="AL27" s="15"/>
      <c r="AM27" s="15"/>
      <c r="AN27" s="15"/>
      <c r="AO27" s="15"/>
      <c r="AP27" s="15"/>
      <c r="AQ27" s="15"/>
      <c r="AR27" s="15"/>
      <c r="AS27" s="15"/>
      <c r="AT27" s="15"/>
      <c r="AU27" s="15"/>
      <c r="AV27" s="15"/>
      <c r="AW27" s="15"/>
      <c r="AX27" s="15"/>
      <c r="AY27" s="15"/>
      <c r="AZ27" s="15"/>
      <c r="BA27" s="15"/>
      <c r="BB27" s="15"/>
      <c r="BC27" s="15"/>
      <c r="BD27" s="15"/>
    </row>
    <row r="28" spans="2:56" ht="18.649999999999999" customHeight="1" x14ac:dyDescent="0.25">
      <c r="B28" s="70" t="s">
        <v>37</v>
      </c>
      <c r="C28" s="4" t="s">
        <v>30</v>
      </c>
      <c r="D28" s="5">
        <v>4</v>
      </c>
      <c r="E28" s="14">
        <v>5000</v>
      </c>
      <c r="F28" s="14">
        <v>5000</v>
      </c>
      <c r="G28" s="14">
        <v>5000</v>
      </c>
      <c r="H28" s="14">
        <v>5000</v>
      </c>
      <c r="I28" s="14">
        <v>5000</v>
      </c>
      <c r="J28" s="14">
        <v>5000</v>
      </c>
      <c r="K28" s="14">
        <v>5000</v>
      </c>
      <c r="L28" s="14">
        <v>5000</v>
      </c>
      <c r="M28" s="14">
        <v>5000</v>
      </c>
      <c r="N28" s="14">
        <v>5000</v>
      </c>
      <c r="O28" s="14">
        <v>5000</v>
      </c>
      <c r="P28" s="14">
        <v>5000</v>
      </c>
      <c r="Q28" s="14">
        <v>5000</v>
      </c>
      <c r="R28" s="14">
        <v>5000</v>
      </c>
      <c r="S28" s="14">
        <v>5000</v>
      </c>
      <c r="T28" s="14">
        <v>5000</v>
      </c>
      <c r="U28" s="14">
        <v>5000</v>
      </c>
      <c r="V28" s="14">
        <v>5000</v>
      </c>
      <c r="W28" s="14">
        <v>5000</v>
      </c>
      <c r="X28" s="14">
        <v>5000</v>
      </c>
      <c r="Y28" s="14">
        <v>5000</v>
      </c>
      <c r="Z28" s="14">
        <v>5000</v>
      </c>
      <c r="AA28" s="14">
        <v>5000</v>
      </c>
      <c r="AB28" s="14">
        <v>5000</v>
      </c>
      <c r="AC28" s="77"/>
      <c r="AG28" s="15"/>
      <c r="AH28" s="15"/>
      <c r="AI28" s="15"/>
      <c r="AJ28" s="15"/>
      <c r="AK28" s="15"/>
      <c r="AL28" s="15"/>
      <c r="AM28" s="15"/>
      <c r="AN28" s="15"/>
      <c r="AO28" s="15"/>
      <c r="AP28" s="15"/>
      <c r="AQ28" s="15"/>
      <c r="AR28" s="15"/>
      <c r="AS28" s="15"/>
      <c r="AT28" s="15"/>
      <c r="AU28" s="15"/>
      <c r="AV28" s="15"/>
      <c r="AW28" s="15"/>
      <c r="AX28" s="15"/>
      <c r="AY28" s="15"/>
      <c r="AZ28" s="15"/>
      <c r="BA28" s="15"/>
      <c r="BB28" s="15"/>
      <c r="BC28" s="15"/>
      <c r="BD28" s="15"/>
    </row>
    <row r="29" spans="2:56" ht="18.649999999999999" customHeight="1" x14ac:dyDescent="0.25">
      <c r="B29" s="70" t="s">
        <v>37</v>
      </c>
      <c r="C29" s="4" t="s">
        <v>31</v>
      </c>
      <c r="D29" s="5">
        <v>4</v>
      </c>
      <c r="E29" s="14">
        <v>5000</v>
      </c>
      <c r="F29" s="14">
        <v>5000</v>
      </c>
      <c r="G29" s="14">
        <v>5000</v>
      </c>
      <c r="H29" s="14">
        <v>5000</v>
      </c>
      <c r="I29" s="14">
        <v>5000</v>
      </c>
      <c r="J29" s="14">
        <v>5000</v>
      </c>
      <c r="K29" s="14">
        <v>5000</v>
      </c>
      <c r="L29" s="14">
        <v>5000</v>
      </c>
      <c r="M29" s="14">
        <v>5000</v>
      </c>
      <c r="N29" s="14">
        <v>5000</v>
      </c>
      <c r="O29" s="14">
        <v>5000</v>
      </c>
      <c r="P29" s="14">
        <v>5000</v>
      </c>
      <c r="Q29" s="14">
        <v>5000</v>
      </c>
      <c r="R29" s="14">
        <v>5000</v>
      </c>
      <c r="S29" s="14">
        <v>5000</v>
      </c>
      <c r="T29" s="14">
        <v>5000</v>
      </c>
      <c r="U29" s="14">
        <v>5000</v>
      </c>
      <c r="V29" s="14">
        <v>5000</v>
      </c>
      <c r="W29" s="14">
        <v>5000</v>
      </c>
      <c r="X29" s="14">
        <v>5000</v>
      </c>
      <c r="Y29" s="14">
        <v>5000</v>
      </c>
      <c r="Z29" s="14">
        <v>5000</v>
      </c>
      <c r="AA29" s="14">
        <v>5000</v>
      </c>
      <c r="AB29" s="14">
        <v>5000</v>
      </c>
      <c r="AC29" s="77"/>
      <c r="AG29" s="15"/>
      <c r="AH29" s="15"/>
      <c r="AI29" s="15"/>
      <c r="AJ29" s="15"/>
      <c r="AK29" s="15"/>
      <c r="AL29" s="15"/>
      <c r="AM29" s="15"/>
      <c r="AN29" s="15"/>
      <c r="AO29" s="15"/>
      <c r="AP29" s="15"/>
      <c r="AQ29" s="15"/>
      <c r="AR29" s="15"/>
      <c r="AS29" s="15"/>
      <c r="AT29" s="15"/>
      <c r="AU29" s="15"/>
      <c r="AV29" s="15"/>
      <c r="AW29" s="15"/>
      <c r="AX29" s="15"/>
      <c r="AY29" s="15"/>
      <c r="AZ29" s="15"/>
      <c r="BA29" s="15"/>
      <c r="BB29" s="15"/>
      <c r="BC29" s="15"/>
      <c r="BD29" s="15"/>
    </row>
    <row r="30" spans="2:56" ht="18.649999999999999" customHeight="1" x14ac:dyDescent="0.25">
      <c r="B30" s="70" t="s">
        <v>37</v>
      </c>
      <c r="C30" s="4" t="s">
        <v>32</v>
      </c>
      <c r="D30" s="5">
        <v>2</v>
      </c>
      <c r="E30" s="14">
        <v>5000</v>
      </c>
      <c r="F30" s="14">
        <v>5000</v>
      </c>
      <c r="G30" s="14">
        <v>5000</v>
      </c>
      <c r="H30" s="14">
        <v>5000</v>
      </c>
      <c r="I30" s="14">
        <v>5000</v>
      </c>
      <c r="J30" s="14">
        <v>5000</v>
      </c>
      <c r="K30" s="14">
        <v>5000</v>
      </c>
      <c r="L30" s="14">
        <v>5000</v>
      </c>
      <c r="M30" s="14">
        <v>5000</v>
      </c>
      <c r="N30" s="14">
        <v>5000</v>
      </c>
      <c r="O30" s="14">
        <v>5000</v>
      </c>
      <c r="P30" s="14">
        <v>5000</v>
      </c>
      <c r="Q30" s="14">
        <v>5000</v>
      </c>
      <c r="R30" s="14">
        <v>5000</v>
      </c>
      <c r="S30" s="14">
        <v>5000</v>
      </c>
      <c r="T30" s="14">
        <v>5000</v>
      </c>
      <c r="U30" s="14">
        <v>5000</v>
      </c>
      <c r="V30" s="14">
        <v>5000</v>
      </c>
      <c r="W30" s="14">
        <v>5000</v>
      </c>
      <c r="X30" s="14">
        <v>5000</v>
      </c>
      <c r="Y30" s="14">
        <v>5000</v>
      </c>
      <c r="Z30" s="14">
        <v>5000</v>
      </c>
      <c r="AA30" s="14">
        <v>5000</v>
      </c>
      <c r="AB30" s="14">
        <v>5000</v>
      </c>
      <c r="AC30" s="78"/>
      <c r="AG30" s="15"/>
      <c r="AH30" s="15"/>
      <c r="AI30" s="15"/>
      <c r="AJ30" s="15"/>
      <c r="AK30" s="15"/>
      <c r="AL30" s="15"/>
      <c r="AM30" s="15"/>
      <c r="AN30" s="15"/>
      <c r="AO30" s="15"/>
      <c r="AP30" s="15"/>
      <c r="AQ30" s="15"/>
      <c r="AR30" s="15"/>
      <c r="AS30" s="15"/>
      <c r="AT30" s="15"/>
      <c r="AU30" s="15"/>
      <c r="AV30" s="15"/>
      <c r="AW30" s="15"/>
      <c r="AX30" s="15"/>
      <c r="AY30" s="15"/>
      <c r="AZ30" s="15"/>
      <c r="BA30" s="15"/>
      <c r="BB30" s="15"/>
      <c r="BC30" s="15"/>
      <c r="BD30" s="15"/>
    </row>
    <row r="31" spans="2:56" ht="18.649999999999999" customHeight="1" x14ac:dyDescent="0.25">
      <c r="B31" s="70" t="s">
        <v>38</v>
      </c>
      <c r="C31" s="4" t="s">
        <v>29</v>
      </c>
      <c r="D31" s="5">
        <v>19</v>
      </c>
      <c r="E31" s="14">
        <v>5000</v>
      </c>
      <c r="F31" s="14">
        <v>5000</v>
      </c>
      <c r="G31" s="14">
        <v>5000</v>
      </c>
      <c r="H31" s="14">
        <v>5000</v>
      </c>
      <c r="I31" s="14">
        <v>5000</v>
      </c>
      <c r="J31" s="14">
        <v>5000</v>
      </c>
      <c r="K31" s="14">
        <v>5000</v>
      </c>
      <c r="L31" s="14">
        <v>5000</v>
      </c>
      <c r="M31" s="14">
        <v>5000</v>
      </c>
      <c r="N31" s="14">
        <v>5000</v>
      </c>
      <c r="O31" s="14">
        <v>5000</v>
      </c>
      <c r="P31" s="14">
        <v>5000</v>
      </c>
      <c r="Q31" s="14">
        <v>5000</v>
      </c>
      <c r="R31" s="14">
        <v>5000</v>
      </c>
      <c r="S31" s="14">
        <v>5000</v>
      </c>
      <c r="T31" s="14">
        <v>5000</v>
      </c>
      <c r="U31" s="14">
        <v>5000</v>
      </c>
      <c r="V31" s="14">
        <v>5000</v>
      </c>
      <c r="W31" s="14">
        <v>5000</v>
      </c>
      <c r="X31" s="14">
        <v>5000</v>
      </c>
      <c r="Y31" s="14">
        <v>5000</v>
      </c>
      <c r="Z31" s="14">
        <v>5000</v>
      </c>
      <c r="AA31" s="14">
        <v>5000</v>
      </c>
      <c r="AB31" s="14">
        <v>5000</v>
      </c>
      <c r="AC31" s="76">
        <f>+SUM(E31:AB31)*D31+SUM(E32:AB32)*D32+SUM(E33:AB33)*D33+SUM(E34:AB34)*D34</f>
        <v>3720000</v>
      </c>
      <c r="AG31" s="15"/>
      <c r="AH31" s="15"/>
      <c r="AI31" s="15"/>
      <c r="AJ31" s="15"/>
      <c r="AK31" s="15"/>
      <c r="AL31" s="15"/>
      <c r="AM31" s="15"/>
      <c r="AN31" s="15"/>
      <c r="AO31" s="15"/>
      <c r="AP31" s="15"/>
      <c r="AQ31" s="15"/>
      <c r="AR31" s="15"/>
      <c r="AS31" s="15"/>
      <c r="AT31" s="15"/>
      <c r="AU31" s="15"/>
      <c r="AV31" s="15"/>
      <c r="AW31" s="15"/>
      <c r="AX31" s="15"/>
      <c r="AY31" s="15"/>
      <c r="AZ31" s="15"/>
      <c r="BA31" s="15"/>
      <c r="BB31" s="15"/>
      <c r="BC31" s="15"/>
      <c r="BD31" s="15"/>
    </row>
    <row r="32" spans="2:56" ht="18.649999999999999" customHeight="1" x14ac:dyDescent="0.25">
      <c r="B32" s="70" t="s">
        <v>38</v>
      </c>
      <c r="C32" s="4" t="s">
        <v>30</v>
      </c>
      <c r="D32" s="5">
        <v>5</v>
      </c>
      <c r="E32" s="14">
        <v>5000</v>
      </c>
      <c r="F32" s="14">
        <v>5000</v>
      </c>
      <c r="G32" s="14">
        <v>5000</v>
      </c>
      <c r="H32" s="14">
        <v>5000</v>
      </c>
      <c r="I32" s="14">
        <v>5000</v>
      </c>
      <c r="J32" s="14">
        <v>5000</v>
      </c>
      <c r="K32" s="14">
        <v>5000</v>
      </c>
      <c r="L32" s="14">
        <v>5000</v>
      </c>
      <c r="M32" s="14">
        <v>5000</v>
      </c>
      <c r="N32" s="14">
        <v>5000</v>
      </c>
      <c r="O32" s="14">
        <v>5000</v>
      </c>
      <c r="P32" s="14">
        <v>5000</v>
      </c>
      <c r="Q32" s="14">
        <v>5000</v>
      </c>
      <c r="R32" s="14">
        <v>5000</v>
      </c>
      <c r="S32" s="14">
        <v>5000</v>
      </c>
      <c r="T32" s="14">
        <v>5000</v>
      </c>
      <c r="U32" s="14">
        <v>5000</v>
      </c>
      <c r="V32" s="14">
        <v>5000</v>
      </c>
      <c r="W32" s="14">
        <v>5000</v>
      </c>
      <c r="X32" s="14">
        <v>5000</v>
      </c>
      <c r="Y32" s="14">
        <v>5000</v>
      </c>
      <c r="Z32" s="14">
        <v>5000</v>
      </c>
      <c r="AA32" s="14">
        <v>5000</v>
      </c>
      <c r="AB32" s="14">
        <v>5000</v>
      </c>
      <c r="AC32" s="77"/>
      <c r="AG32" s="15"/>
      <c r="AH32" s="15"/>
      <c r="AI32" s="15"/>
      <c r="AJ32" s="15"/>
      <c r="AK32" s="15"/>
      <c r="AL32" s="15"/>
      <c r="AM32" s="15"/>
      <c r="AN32" s="15"/>
      <c r="AO32" s="15"/>
      <c r="AP32" s="15"/>
      <c r="AQ32" s="15"/>
      <c r="AR32" s="15"/>
      <c r="AS32" s="15"/>
      <c r="AT32" s="15"/>
      <c r="AU32" s="15"/>
      <c r="AV32" s="15"/>
      <c r="AW32" s="15"/>
      <c r="AX32" s="15"/>
      <c r="AY32" s="15"/>
      <c r="AZ32" s="15"/>
      <c r="BA32" s="15"/>
      <c r="BB32" s="15"/>
      <c r="BC32" s="15"/>
      <c r="BD32" s="15"/>
    </row>
    <row r="33" spans="2:56" ht="18.649999999999999" customHeight="1" x14ac:dyDescent="0.25">
      <c r="B33" s="70" t="s">
        <v>38</v>
      </c>
      <c r="C33" s="4" t="s">
        <v>31</v>
      </c>
      <c r="D33" s="5">
        <v>5</v>
      </c>
      <c r="E33" s="14">
        <v>5000</v>
      </c>
      <c r="F33" s="14">
        <v>5000</v>
      </c>
      <c r="G33" s="14">
        <v>5000</v>
      </c>
      <c r="H33" s="14">
        <v>5000</v>
      </c>
      <c r="I33" s="14">
        <v>5000</v>
      </c>
      <c r="J33" s="14">
        <v>5000</v>
      </c>
      <c r="K33" s="14">
        <v>5000</v>
      </c>
      <c r="L33" s="14">
        <v>5000</v>
      </c>
      <c r="M33" s="14">
        <v>5000</v>
      </c>
      <c r="N33" s="14">
        <v>5000</v>
      </c>
      <c r="O33" s="14">
        <v>5000</v>
      </c>
      <c r="P33" s="14">
        <v>5000</v>
      </c>
      <c r="Q33" s="14">
        <v>5000</v>
      </c>
      <c r="R33" s="14">
        <v>5000</v>
      </c>
      <c r="S33" s="14">
        <v>5000</v>
      </c>
      <c r="T33" s="14">
        <v>5000</v>
      </c>
      <c r="U33" s="14">
        <v>5000</v>
      </c>
      <c r="V33" s="14">
        <v>5000</v>
      </c>
      <c r="W33" s="14">
        <v>5000</v>
      </c>
      <c r="X33" s="14">
        <v>5000</v>
      </c>
      <c r="Y33" s="14">
        <v>5000</v>
      </c>
      <c r="Z33" s="14">
        <v>5000</v>
      </c>
      <c r="AA33" s="14">
        <v>5000</v>
      </c>
      <c r="AB33" s="14">
        <v>5000</v>
      </c>
      <c r="AC33" s="77"/>
      <c r="AG33" s="15"/>
      <c r="AH33" s="15"/>
      <c r="AI33" s="15"/>
      <c r="AJ33" s="15"/>
      <c r="AK33" s="15"/>
      <c r="AL33" s="15"/>
      <c r="AM33" s="15"/>
      <c r="AN33" s="15"/>
      <c r="AO33" s="15"/>
      <c r="AP33" s="15"/>
      <c r="AQ33" s="15"/>
      <c r="AR33" s="15"/>
      <c r="AS33" s="15"/>
      <c r="AT33" s="15"/>
      <c r="AU33" s="15"/>
      <c r="AV33" s="15"/>
      <c r="AW33" s="15"/>
      <c r="AX33" s="15"/>
      <c r="AY33" s="15"/>
      <c r="AZ33" s="15"/>
      <c r="BA33" s="15"/>
      <c r="BB33" s="15"/>
      <c r="BC33" s="15"/>
      <c r="BD33" s="15"/>
    </row>
    <row r="34" spans="2:56" ht="18.649999999999999" customHeight="1" x14ac:dyDescent="0.25">
      <c r="B34" s="70" t="s">
        <v>38</v>
      </c>
      <c r="C34" s="4" t="s">
        <v>32</v>
      </c>
      <c r="D34" s="5">
        <v>2</v>
      </c>
      <c r="E34" s="14">
        <v>5000</v>
      </c>
      <c r="F34" s="14">
        <v>5000</v>
      </c>
      <c r="G34" s="14">
        <v>5000</v>
      </c>
      <c r="H34" s="14">
        <v>5000</v>
      </c>
      <c r="I34" s="14">
        <v>5000</v>
      </c>
      <c r="J34" s="14">
        <v>5000</v>
      </c>
      <c r="K34" s="14">
        <v>5000</v>
      </c>
      <c r="L34" s="14">
        <v>5000</v>
      </c>
      <c r="M34" s="14">
        <v>5000</v>
      </c>
      <c r="N34" s="14">
        <v>5000</v>
      </c>
      <c r="O34" s="14">
        <v>5000</v>
      </c>
      <c r="P34" s="14">
        <v>5000</v>
      </c>
      <c r="Q34" s="14">
        <v>5000</v>
      </c>
      <c r="R34" s="14">
        <v>5000</v>
      </c>
      <c r="S34" s="14">
        <v>5000</v>
      </c>
      <c r="T34" s="14">
        <v>5000</v>
      </c>
      <c r="U34" s="14">
        <v>5000</v>
      </c>
      <c r="V34" s="14">
        <v>5000</v>
      </c>
      <c r="W34" s="14">
        <v>5000</v>
      </c>
      <c r="X34" s="14">
        <v>5000</v>
      </c>
      <c r="Y34" s="14">
        <v>5000</v>
      </c>
      <c r="Z34" s="14">
        <v>5000</v>
      </c>
      <c r="AA34" s="14">
        <v>5000</v>
      </c>
      <c r="AB34" s="14">
        <v>5000</v>
      </c>
      <c r="AC34" s="78"/>
      <c r="AG34" s="15"/>
      <c r="AH34" s="15"/>
      <c r="AI34" s="15"/>
      <c r="AJ34" s="15"/>
      <c r="AK34" s="15"/>
      <c r="AL34" s="15"/>
      <c r="AM34" s="15"/>
      <c r="AN34" s="15"/>
      <c r="AO34" s="15"/>
      <c r="AP34" s="15"/>
      <c r="AQ34" s="15"/>
      <c r="AR34" s="15"/>
      <c r="AS34" s="15"/>
      <c r="AT34" s="15"/>
      <c r="AU34" s="15"/>
      <c r="AV34" s="15"/>
      <c r="AW34" s="15"/>
      <c r="AX34" s="15"/>
      <c r="AY34" s="15"/>
      <c r="AZ34" s="15"/>
      <c r="BA34" s="15"/>
      <c r="BB34" s="15"/>
      <c r="BC34" s="15"/>
      <c r="BD34" s="15"/>
    </row>
    <row r="35" spans="2:56" ht="18.649999999999999" customHeight="1" x14ac:dyDescent="0.25">
      <c r="B35" s="70" t="s">
        <v>39</v>
      </c>
      <c r="C35" s="4" t="s">
        <v>29</v>
      </c>
      <c r="D35" s="5">
        <v>21</v>
      </c>
      <c r="E35" s="14">
        <v>5000</v>
      </c>
      <c r="F35" s="14">
        <v>5000</v>
      </c>
      <c r="G35" s="14">
        <v>5000</v>
      </c>
      <c r="H35" s="14">
        <v>5000</v>
      </c>
      <c r="I35" s="14">
        <v>5000</v>
      </c>
      <c r="J35" s="14">
        <v>5000</v>
      </c>
      <c r="K35" s="14">
        <v>5000</v>
      </c>
      <c r="L35" s="14">
        <v>5000</v>
      </c>
      <c r="M35" s="14">
        <v>5000</v>
      </c>
      <c r="N35" s="14">
        <v>5000</v>
      </c>
      <c r="O35" s="14">
        <v>5000</v>
      </c>
      <c r="P35" s="14">
        <v>5000</v>
      </c>
      <c r="Q35" s="14">
        <v>5000</v>
      </c>
      <c r="R35" s="14">
        <v>5000</v>
      </c>
      <c r="S35" s="14">
        <v>5000</v>
      </c>
      <c r="T35" s="14">
        <v>5000</v>
      </c>
      <c r="U35" s="14">
        <v>5000</v>
      </c>
      <c r="V35" s="14">
        <v>5000</v>
      </c>
      <c r="W35" s="14">
        <v>5000</v>
      </c>
      <c r="X35" s="14">
        <v>5000</v>
      </c>
      <c r="Y35" s="14">
        <v>5000</v>
      </c>
      <c r="Z35" s="14">
        <v>5000</v>
      </c>
      <c r="AA35" s="14">
        <v>5000</v>
      </c>
      <c r="AB35" s="14">
        <v>5000</v>
      </c>
      <c r="AC35" s="76">
        <f>+SUM(E35:AB35)*D35+SUM(E36:AB36)*D36+SUM(E37:AB37)*D37+SUM(E38:AB38)*D38</f>
        <v>3720000</v>
      </c>
      <c r="AG35" s="15"/>
      <c r="AH35" s="15"/>
      <c r="AI35" s="15"/>
      <c r="AJ35" s="15"/>
      <c r="AK35" s="15"/>
      <c r="AL35" s="15"/>
      <c r="AM35" s="15"/>
      <c r="AN35" s="15"/>
      <c r="AO35" s="15"/>
      <c r="AP35" s="15"/>
      <c r="AQ35" s="15"/>
      <c r="AR35" s="15"/>
      <c r="AS35" s="15"/>
      <c r="AT35" s="15"/>
      <c r="AU35" s="15"/>
      <c r="AV35" s="15"/>
      <c r="AW35" s="15"/>
      <c r="AX35" s="15"/>
      <c r="AY35" s="15"/>
      <c r="AZ35" s="15"/>
      <c r="BA35" s="15"/>
      <c r="BB35" s="15"/>
      <c r="BC35" s="15"/>
      <c r="BD35" s="15"/>
    </row>
    <row r="36" spans="2:56" ht="18.649999999999999" customHeight="1" x14ac:dyDescent="0.25">
      <c r="B36" s="70" t="s">
        <v>39</v>
      </c>
      <c r="C36" s="4" t="s">
        <v>30</v>
      </c>
      <c r="D36" s="5">
        <v>4</v>
      </c>
      <c r="E36" s="14">
        <v>5000</v>
      </c>
      <c r="F36" s="14">
        <v>5000</v>
      </c>
      <c r="G36" s="14">
        <v>5000</v>
      </c>
      <c r="H36" s="14">
        <v>5000</v>
      </c>
      <c r="I36" s="14">
        <v>5000</v>
      </c>
      <c r="J36" s="14">
        <v>5000</v>
      </c>
      <c r="K36" s="14">
        <v>5000</v>
      </c>
      <c r="L36" s="14">
        <v>5000</v>
      </c>
      <c r="M36" s="14">
        <v>5000</v>
      </c>
      <c r="N36" s="14">
        <v>5000</v>
      </c>
      <c r="O36" s="14">
        <v>5000</v>
      </c>
      <c r="P36" s="14">
        <v>5000</v>
      </c>
      <c r="Q36" s="14">
        <v>5000</v>
      </c>
      <c r="R36" s="14">
        <v>5000</v>
      </c>
      <c r="S36" s="14">
        <v>5000</v>
      </c>
      <c r="T36" s="14">
        <v>5000</v>
      </c>
      <c r="U36" s="14">
        <v>5000</v>
      </c>
      <c r="V36" s="14">
        <v>5000</v>
      </c>
      <c r="W36" s="14">
        <v>5000</v>
      </c>
      <c r="X36" s="14">
        <v>5000</v>
      </c>
      <c r="Y36" s="14">
        <v>5000</v>
      </c>
      <c r="Z36" s="14">
        <v>5000</v>
      </c>
      <c r="AA36" s="14">
        <v>5000</v>
      </c>
      <c r="AB36" s="14">
        <v>5000</v>
      </c>
      <c r="AC36" s="77"/>
      <c r="AG36" s="15"/>
      <c r="AH36" s="15"/>
      <c r="AI36" s="15"/>
      <c r="AJ36" s="15"/>
      <c r="AK36" s="15"/>
      <c r="AL36" s="15"/>
      <c r="AM36" s="15"/>
      <c r="AN36" s="15"/>
      <c r="AO36" s="15"/>
      <c r="AP36" s="15"/>
      <c r="AQ36" s="15"/>
      <c r="AR36" s="15"/>
      <c r="AS36" s="15"/>
      <c r="AT36" s="15"/>
      <c r="AU36" s="15"/>
      <c r="AV36" s="15"/>
      <c r="AW36" s="15"/>
      <c r="AX36" s="15"/>
      <c r="AY36" s="15"/>
      <c r="AZ36" s="15"/>
      <c r="BA36" s="15"/>
      <c r="BB36" s="15"/>
      <c r="BC36" s="15"/>
      <c r="BD36" s="15"/>
    </row>
    <row r="37" spans="2:56" ht="18.649999999999999" customHeight="1" x14ac:dyDescent="0.25">
      <c r="B37" s="70" t="s">
        <v>39</v>
      </c>
      <c r="C37" s="4" t="s">
        <v>31</v>
      </c>
      <c r="D37" s="5">
        <v>4</v>
      </c>
      <c r="E37" s="14">
        <v>5000</v>
      </c>
      <c r="F37" s="14">
        <v>5000</v>
      </c>
      <c r="G37" s="14">
        <v>5000</v>
      </c>
      <c r="H37" s="14">
        <v>5000</v>
      </c>
      <c r="I37" s="14">
        <v>5000</v>
      </c>
      <c r="J37" s="14">
        <v>5000</v>
      </c>
      <c r="K37" s="14">
        <v>5000</v>
      </c>
      <c r="L37" s="14">
        <v>5000</v>
      </c>
      <c r="M37" s="14">
        <v>5000</v>
      </c>
      <c r="N37" s="14">
        <v>5000</v>
      </c>
      <c r="O37" s="14">
        <v>5000</v>
      </c>
      <c r="P37" s="14">
        <v>5000</v>
      </c>
      <c r="Q37" s="14">
        <v>5000</v>
      </c>
      <c r="R37" s="14">
        <v>5000</v>
      </c>
      <c r="S37" s="14">
        <v>5000</v>
      </c>
      <c r="T37" s="14">
        <v>5000</v>
      </c>
      <c r="U37" s="14">
        <v>5000</v>
      </c>
      <c r="V37" s="14">
        <v>5000</v>
      </c>
      <c r="W37" s="14">
        <v>5000</v>
      </c>
      <c r="X37" s="14">
        <v>5000</v>
      </c>
      <c r="Y37" s="14">
        <v>5000</v>
      </c>
      <c r="Z37" s="14">
        <v>5000</v>
      </c>
      <c r="AA37" s="14">
        <v>5000</v>
      </c>
      <c r="AB37" s="14">
        <v>5000</v>
      </c>
      <c r="AC37" s="77"/>
      <c r="AG37" s="15"/>
      <c r="AH37" s="15"/>
      <c r="AI37" s="15"/>
      <c r="AJ37" s="15"/>
      <c r="AK37" s="15"/>
      <c r="AL37" s="15"/>
      <c r="AM37" s="15"/>
      <c r="AN37" s="15"/>
      <c r="AO37" s="15"/>
      <c r="AP37" s="15"/>
      <c r="AQ37" s="15"/>
      <c r="AR37" s="15"/>
      <c r="AS37" s="15"/>
      <c r="AT37" s="15"/>
      <c r="AU37" s="15"/>
      <c r="AV37" s="15"/>
      <c r="AW37" s="15"/>
      <c r="AX37" s="15"/>
      <c r="AY37" s="15"/>
      <c r="AZ37" s="15"/>
      <c r="BA37" s="15"/>
      <c r="BB37" s="15"/>
      <c r="BC37" s="15"/>
      <c r="BD37" s="15"/>
    </row>
    <row r="38" spans="2:56" ht="18.649999999999999" customHeight="1" x14ac:dyDescent="0.25">
      <c r="B38" s="70" t="s">
        <v>39</v>
      </c>
      <c r="C38" s="4" t="s">
        <v>32</v>
      </c>
      <c r="D38" s="5">
        <v>2</v>
      </c>
      <c r="E38" s="14">
        <v>5000</v>
      </c>
      <c r="F38" s="14">
        <v>5000</v>
      </c>
      <c r="G38" s="14">
        <v>5000</v>
      </c>
      <c r="H38" s="14">
        <v>5000</v>
      </c>
      <c r="I38" s="14">
        <v>5000</v>
      </c>
      <c r="J38" s="14">
        <v>5000</v>
      </c>
      <c r="K38" s="14">
        <v>5000</v>
      </c>
      <c r="L38" s="14">
        <v>5000</v>
      </c>
      <c r="M38" s="14">
        <v>5000</v>
      </c>
      <c r="N38" s="14">
        <v>5000</v>
      </c>
      <c r="O38" s="14">
        <v>5000</v>
      </c>
      <c r="P38" s="14">
        <v>5000</v>
      </c>
      <c r="Q38" s="14">
        <v>5000</v>
      </c>
      <c r="R38" s="14">
        <v>5000</v>
      </c>
      <c r="S38" s="14">
        <v>5000</v>
      </c>
      <c r="T38" s="14">
        <v>5000</v>
      </c>
      <c r="U38" s="14">
        <v>5000</v>
      </c>
      <c r="V38" s="14">
        <v>5000</v>
      </c>
      <c r="W38" s="14">
        <v>5000</v>
      </c>
      <c r="X38" s="14">
        <v>5000</v>
      </c>
      <c r="Y38" s="14">
        <v>5000</v>
      </c>
      <c r="Z38" s="14">
        <v>5000</v>
      </c>
      <c r="AA38" s="14">
        <v>5000</v>
      </c>
      <c r="AB38" s="14">
        <v>5000</v>
      </c>
      <c r="AC38" s="78"/>
      <c r="AG38" s="15"/>
      <c r="AH38" s="15"/>
      <c r="AI38" s="15"/>
      <c r="AJ38" s="15"/>
      <c r="AK38" s="15"/>
      <c r="AL38" s="15"/>
      <c r="AM38" s="15"/>
      <c r="AN38" s="15"/>
      <c r="AO38" s="15"/>
      <c r="AP38" s="15"/>
      <c r="AQ38" s="15"/>
      <c r="AR38" s="15"/>
      <c r="AS38" s="15"/>
      <c r="AT38" s="15"/>
      <c r="AU38" s="15"/>
      <c r="AV38" s="15"/>
      <c r="AW38" s="15"/>
      <c r="AX38" s="15"/>
      <c r="AY38" s="15"/>
      <c r="AZ38" s="15"/>
      <c r="BA38" s="15"/>
      <c r="BB38" s="15"/>
      <c r="BC38" s="15"/>
      <c r="BD38" s="15"/>
    </row>
    <row r="39" spans="2:56" ht="18.649999999999999" customHeight="1" x14ac:dyDescent="0.25">
      <c r="B39" s="70" t="s">
        <v>40</v>
      </c>
      <c r="C39" s="4" t="s">
        <v>29</v>
      </c>
      <c r="D39" s="5">
        <v>21</v>
      </c>
      <c r="E39" s="14">
        <v>5000</v>
      </c>
      <c r="F39" s="14">
        <v>5000</v>
      </c>
      <c r="G39" s="14">
        <v>5000</v>
      </c>
      <c r="H39" s="14">
        <v>5000</v>
      </c>
      <c r="I39" s="14">
        <v>5000</v>
      </c>
      <c r="J39" s="14">
        <v>5000</v>
      </c>
      <c r="K39" s="14">
        <v>5000</v>
      </c>
      <c r="L39" s="14">
        <v>5000</v>
      </c>
      <c r="M39" s="14">
        <v>5000</v>
      </c>
      <c r="N39" s="14">
        <v>5000</v>
      </c>
      <c r="O39" s="14">
        <v>5000</v>
      </c>
      <c r="P39" s="14">
        <v>5000</v>
      </c>
      <c r="Q39" s="14">
        <v>5000</v>
      </c>
      <c r="R39" s="14">
        <v>5000</v>
      </c>
      <c r="S39" s="14">
        <v>5000</v>
      </c>
      <c r="T39" s="14">
        <v>5000</v>
      </c>
      <c r="U39" s="14">
        <v>5000</v>
      </c>
      <c r="V39" s="14">
        <v>5000</v>
      </c>
      <c r="W39" s="14">
        <v>5000</v>
      </c>
      <c r="X39" s="14">
        <v>5000</v>
      </c>
      <c r="Y39" s="14">
        <v>5000</v>
      </c>
      <c r="Z39" s="14">
        <v>5000</v>
      </c>
      <c r="AA39" s="14">
        <v>5000</v>
      </c>
      <c r="AB39" s="14">
        <v>5000</v>
      </c>
      <c r="AC39" s="76">
        <f>+SUM(E39:AB39)*D39+SUM(E40:AB40)*D40+SUM(E41:AB41)*D41+SUM(E42:AB42)*D42</f>
        <v>3600000</v>
      </c>
      <c r="AG39" s="15"/>
      <c r="AH39" s="15"/>
      <c r="AI39" s="15"/>
      <c r="AJ39" s="15"/>
      <c r="AK39" s="15"/>
      <c r="AL39" s="15"/>
      <c r="AM39" s="15"/>
      <c r="AN39" s="15"/>
      <c r="AO39" s="15"/>
      <c r="AP39" s="15"/>
      <c r="AQ39" s="15"/>
      <c r="AR39" s="15"/>
      <c r="AS39" s="15"/>
      <c r="AT39" s="15"/>
      <c r="AU39" s="15"/>
      <c r="AV39" s="15"/>
      <c r="AW39" s="15"/>
      <c r="AX39" s="15"/>
      <c r="AY39" s="15"/>
      <c r="AZ39" s="15"/>
      <c r="BA39" s="15"/>
      <c r="BB39" s="15"/>
      <c r="BC39" s="15"/>
      <c r="BD39" s="15"/>
    </row>
    <row r="40" spans="2:56" ht="18.649999999999999" customHeight="1" x14ac:dyDescent="0.25">
      <c r="B40" s="70" t="s">
        <v>40</v>
      </c>
      <c r="C40" s="4" t="s">
        <v>30</v>
      </c>
      <c r="D40" s="5">
        <v>5</v>
      </c>
      <c r="E40" s="14">
        <v>5000</v>
      </c>
      <c r="F40" s="14">
        <v>5000</v>
      </c>
      <c r="G40" s="14">
        <v>5000</v>
      </c>
      <c r="H40" s="14">
        <v>5000</v>
      </c>
      <c r="I40" s="14">
        <v>5000</v>
      </c>
      <c r="J40" s="14">
        <v>5000</v>
      </c>
      <c r="K40" s="14">
        <v>5000</v>
      </c>
      <c r="L40" s="14">
        <v>5000</v>
      </c>
      <c r="M40" s="14">
        <v>5000</v>
      </c>
      <c r="N40" s="14">
        <v>5000</v>
      </c>
      <c r="O40" s="14">
        <v>5000</v>
      </c>
      <c r="P40" s="14">
        <v>5000</v>
      </c>
      <c r="Q40" s="14">
        <v>5000</v>
      </c>
      <c r="R40" s="14">
        <v>5000</v>
      </c>
      <c r="S40" s="14">
        <v>5000</v>
      </c>
      <c r="T40" s="14">
        <v>5000</v>
      </c>
      <c r="U40" s="14">
        <v>5000</v>
      </c>
      <c r="V40" s="14">
        <v>5000</v>
      </c>
      <c r="W40" s="14">
        <v>5000</v>
      </c>
      <c r="X40" s="14">
        <v>5000</v>
      </c>
      <c r="Y40" s="14">
        <v>5000</v>
      </c>
      <c r="Z40" s="14">
        <v>5000</v>
      </c>
      <c r="AA40" s="14">
        <v>5000</v>
      </c>
      <c r="AB40" s="14">
        <v>5000</v>
      </c>
      <c r="AC40" s="77"/>
      <c r="AG40" s="15"/>
      <c r="AH40" s="15"/>
      <c r="AI40" s="15"/>
      <c r="AJ40" s="15"/>
      <c r="AK40" s="15"/>
      <c r="AL40" s="15"/>
      <c r="AM40" s="15"/>
      <c r="AN40" s="15"/>
      <c r="AO40" s="15"/>
      <c r="AP40" s="15"/>
      <c r="AQ40" s="15"/>
      <c r="AR40" s="15"/>
      <c r="AS40" s="15"/>
      <c r="AT40" s="15"/>
      <c r="AU40" s="15"/>
      <c r="AV40" s="15"/>
      <c r="AW40" s="15"/>
      <c r="AX40" s="15"/>
      <c r="AY40" s="15"/>
      <c r="AZ40" s="15"/>
      <c r="BA40" s="15"/>
      <c r="BB40" s="15"/>
      <c r="BC40" s="15"/>
      <c r="BD40" s="15"/>
    </row>
    <row r="41" spans="2:56" ht="18.649999999999999" customHeight="1" x14ac:dyDescent="0.25">
      <c r="B41" s="70" t="s">
        <v>40</v>
      </c>
      <c r="C41" s="4" t="s">
        <v>31</v>
      </c>
      <c r="D41" s="5">
        <v>4</v>
      </c>
      <c r="E41" s="14">
        <v>5000</v>
      </c>
      <c r="F41" s="14">
        <v>5000</v>
      </c>
      <c r="G41" s="14">
        <v>5000</v>
      </c>
      <c r="H41" s="14">
        <v>5000</v>
      </c>
      <c r="I41" s="14">
        <v>5000</v>
      </c>
      <c r="J41" s="14">
        <v>5000</v>
      </c>
      <c r="K41" s="14">
        <v>5000</v>
      </c>
      <c r="L41" s="14">
        <v>5000</v>
      </c>
      <c r="M41" s="14">
        <v>5000</v>
      </c>
      <c r="N41" s="14">
        <v>5000</v>
      </c>
      <c r="O41" s="14">
        <v>5000</v>
      </c>
      <c r="P41" s="14">
        <v>5000</v>
      </c>
      <c r="Q41" s="14">
        <v>5000</v>
      </c>
      <c r="R41" s="14">
        <v>5000</v>
      </c>
      <c r="S41" s="14">
        <v>5000</v>
      </c>
      <c r="T41" s="14">
        <v>5000</v>
      </c>
      <c r="U41" s="14">
        <v>5000</v>
      </c>
      <c r="V41" s="14">
        <v>5000</v>
      </c>
      <c r="W41" s="14">
        <v>5000</v>
      </c>
      <c r="X41" s="14">
        <v>5000</v>
      </c>
      <c r="Y41" s="14">
        <v>5000</v>
      </c>
      <c r="Z41" s="14">
        <v>5000</v>
      </c>
      <c r="AA41" s="14">
        <v>5000</v>
      </c>
      <c r="AB41" s="14">
        <v>5000</v>
      </c>
      <c r="AC41" s="77"/>
      <c r="AG41" s="15"/>
      <c r="AH41" s="15"/>
      <c r="AI41" s="15"/>
      <c r="AJ41" s="15"/>
      <c r="AK41" s="15"/>
      <c r="AL41" s="15"/>
      <c r="AM41" s="15"/>
      <c r="AN41" s="15"/>
      <c r="AO41" s="15"/>
      <c r="AP41" s="15"/>
      <c r="AQ41" s="15"/>
      <c r="AR41" s="15"/>
      <c r="AS41" s="15"/>
      <c r="AT41" s="15"/>
      <c r="AU41" s="15"/>
      <c r="AV41" s="15"/>
      <c r="AW41" s="15"/>
      <c r="AX41" s="15"/>
      <c r="AY41" s="15"/>
      <c r="AZ41" s="15"/>
      <c r="BA41" s="15"/>
      <c r="BB41" s="15"/>
      <c r="BC41" s="15"/>
      <c r="BD41" s="15"/>
    </row>
    <row r="42" spans="2:56" ht="18.649999999999999" customHeight="1" x14ac:dyDescent="0.25">
      <c r="B42" s="70" t="s">
        <v>40</v>
      </c>
      <c r="C42" s="4" t="s">
        <v>32</v>
      </c>
      <c r="D42" s="5">
        <v>0</v>
      </c>
      <c r="E42" s="14"/>
      <c r="F42" s="14"/>
      <c r="G42" s="14"/>
      <c r="H42" s="14"/>
      <c r="I42" s="14"/>
      <c r="J42" s="14"/>
      <c r="K42" s="14"/>
      <c r="L42" s="14"/>
      <c r="M42" s="14"/>
      <c r="N42" s="14"/>
      <c r="O42" s="14"/>
      <c r="P42" s="14"/>
      <c r="Q42" s="14"/>
      <c r="R42" s="14"/>
      <c r="S42" s="14"/>
      <c r="T42" s="14"/>
      <c r="U42" s="14"/>
      <c r="V42" s="14"/>
      <c r="W42" s="14"/>
      <c r="X42" s="14"/>
      <c r="Y42" s="14"/>
      <c r="Z42" s="14"/>
      <c r="AA42" s="14"/>
      <c r="AB42" s="14"/>
      <c r="AC42" s="78"/>
      <c r="AG42" s="15"/>
      <c r="AH42" s="15"/>
      <c r="AI42" s="15"/>
      <c r="AJ42" s="15"/>
      <c r="AK42" s="15"/>
      <c r="AL42" s="15"/>
      <c r="AM42" s="15"/>
      <c r="AN42" s="15"/>
      <c r="AO42" s="15"/>
      <c r="AP42" s="15"/>
      <c r="AQ42" s="15"/>
      <c r="AR42" s="15"/>
      <c r="AS42" s="15"/>
      <c r="AT42" s="15"/>
      <c r="AU42" s="15"/>
      <c r="AV42" s="15"/>
      <c r="AW42" s="15"/>
      <c r="AX42" s="15"/>
      <c r="AY42" s="15"/>
      <c r="AZ42" s="15"/>
      <c r="BA42" s="15"/>
      <c r="BB42" s="15"/>
      <c r="BC42" s="15"/>
      <c r="BD42" s="15"/>
    </row>
    <row r="43" spans="2:56" ht="18.649999999999999" customHeight="1" x14ac:dyDescent="0.25">
      <c r="B43" s="70" t="s">
        <v>41</v>
      </c>
      <c r="C43" s="4" t="s">
        <v>29</v>
      </c>
      <c r="D43" s="5">
        <v>21</v>
      </c>
      <c r="E43" s="14">
        <v>5000</v>
      </c>
      <c r="F43" s="14">
        <v>5000</v>
      </c>
      <c r="G43" s="14">
        <v>5000</v>
      </c>
      <c r="H43" s="14">
        <v>5000</v>
      </c>
      <c r="I43" s="14">
        <v>5000</v>
      </c>
      <c r="J43" s="14">
        <v>5000</v>
      </c>
      <c r="K43" s="14">
        <v>5000</v>
      </c>
      <c r="L43" s="14">
        <v>5000</v>
      </c>
      <c r="M43" s="14">
        <v>5000</v>
      </c>
      <c r="N43" s="14">
        <v>5000</v>
      </c>
      <c r="O43" s="14">
        <v>5000</v>
      </c>
      <c r="P43" s="14">
        <v>5000</v>
      </c>
      <c r="Q43" s="14">
        <v>5000</v>
      </c>
      <c r="R43" s="14">
        <v>5000</v>
      </c>
      <c r="S43" s="14">
        <v>5000</v>
      </c>
      <c r="T43" s="14">
        <v>5000</v>
      </c>
      <c r="U43" s="14">
        <v>5000</v>
      </c>
      <c r="V43" s="14">
        <v>5000</v>
      </c>
      <c r="W43" s="14">
        <v>5000</v>
      </c>
      <c r="X43" s="14">
        <v>5000</v>
      </c>
      <c r="Y43" s="14">
        <v>5000</v>
      </c>
      <c r="Z43" s="14">
        <v>5000</v>
      </c>
      <c r="AA43" s="14">
        <v>5000</v>
      </c>
      <c r="AB43" s="14">
        <v>5000</v>
      </c>
      <c r="AC43" s="76">
        <f>+SUM(E43:AB43)*D43+SUM(E44:AB44)*D44+SUM(E45:AB45)*D45+SUM(E46:AB46)*D46</f>
        <v>3720000</v>
      </c>
      <c r="AG43" s="15"/>
      <c r="AH43" s="15"/>
      <c r="AI43" s="15"/>
      <c r="AJ43" s="15"/>
      <c r="AK43" s="15"/>
      <c r="AL43" s="15"/>
      <c r="AM43" s="15"/>
      <c r="AN43" s="15"/>
      <c r="AO43" s="15"/>
      <c r="AP43" s="15"/>
      <c r="AQ43" s="15"/>
      <c r="AR43" s="15"/>
      <c r="AS43" s="15"/>
      <c r="AT43" s="15"/>
      <c r="AU43" s="15"/>
      <c r="AV43" s="15"/>
      <c r="AW43" s="15"/>
      <c r="AX43" s="15"/>
      <c r="AY43" s="15"/>
      <c r="AZ43" s="15"/>
      <c r="BA43" s="15"/>
      <c r="BB43" s="15"/>
      <c r="BC43" s="15"/>
      <c r="BD43" s="15"/>
    </row>
    <row r="44" spans="2:56" ht="18.649999999999999" customHeight="1" x14ac:dyDescent="0.25">
      <c r="B44" s="70" t="s">
        <v>41</v>
      </c>
      <c r="C44" s="4" t="s">
        <v>30</v>
      </c>
      <c r="D44" s="5">
        <v>4</v>
      </c>
      <c r="E44" s="14">
        <v>5000</v>
      </c>
      <c r="F44" s="14">
        <v>5000</v>
      </c>
      <c r="G44" s="14">
        <v>5000</v>
      </c>
      <c r="H44" s="14">
        <v>5000</v>
      </c>
      <c r="I44" s="14">
        <v>5000</v>
      </c>
      <c r="J44" s="14">
        <v>5000</v>
      </c>
      <c r="K44" s="14">
        <v>5000</v>
      </c>
      <c r="L44" s="14">
        <v>5000</v>
      </c>
      <c r="M44" s="14">
        <v>5000</v>
      </c>
      <c r="N44" s="14">
        <v>5000</v>
      </c>
      <c r="O44" s="14">
        <v>5000</v>
      </c>
      <c r="P44" s="14">
        <v>5000</v>
      </c>
      <c r="Q44" s="14">
        <v>5000</v>
      </c>
      <c r="R44" s="14">
        <v>5000</v>
      </c>
      <c r="S44" s="14">
        <v>5000</v>
      </c>
      <c r="T44" s="14">
        <v>5000</v>
      </c>
      <c r="U44" s="14">
        <v>5000</v>
      </c>
      <c r="V44" s="14">
        <v>5000</v>
      </c>
      <c r="W44" s="14">
        <v>5000</v>
      </c>
      <c r="X44" s="14">
        <v>5000</v>
      </c>
      <c r="Y44" s="14">
        <v>5000</v>
      </c>
      <c r="Z44" s="14">
        <v>5000</v>
      </c>
      <c r="AA44" s="14">
        <v>5000</v>
      </c>
      <c r="AB44" s="14">
        <v>5000</v>
      </c>
      <c r="AC44" s="77"/>
      <c r="AG44" s="15"/>
      <c r="AH44" s="15"/>
      <c r="AI44" s="15"/>
      <c r="AJ44" s="15"/>
      <c r="AK44" s="15"/>
      <c r="AL44" s="15"/>
      <c r="AM44" s="15"/>
      <c r="AN44" s="15"/>
      <c r="AO44" s="15"/>
      <c r="AP44" s="15"/>
      <c r="AQ44" s="15"/>
      <c r="AR44" s="15"/>
      <c r="AS44" s="15"/>
      <c r="AT44" s="15"/>
      <c r="AU44" s="15"/>
      <c r="AV44" s="15"/>
      <c r="AW44" s="15"/>
      <c r="AX44" s="15"/>
      <c r="AY44" s="15"/>
      <c r="AZ44" s="15"/>
      <c r="BA44" s="15"/>
      <c r="BB44" s="15"/>
      <c r="BC44" s="15"/>
      <c r="BD44" s="15"/>
    </row>
    <row r="45" spans="2:56" ht="18.649999999999999" customHeight="1" x14ac:dyDescent="0.25">
      <c r="B45" s="70" t="s">
        <v>41</v>
      </c>
      <c r="C45" s="4" t="s">
        <v>31</v>
      </c>
      <c r="D45" s="5">
        <v>5</v>
      </c>
      <c r="E45" s="14">
        <v>5000</v>
      </c>
      <c r="F45" s="14">
        <v>5000</v>
      </c>
      <c r="G45" s="14">
        <v>5000</v>
      </c>
      <c r="H45" s="14">
        <v>5000</v>
      </c>
      <c r="I45" s="14">
        <v>5000</v>
      </c>
      <c r="J45" s="14">
        <v>5000</v>
      </c>
      <c r="K45" s="14">
        <v>5000</v>
      </c>
      <c r="L45" s="14">
        <v>5000</v>
      </c>
      <c r="M45" s="14">
        <v>5000</v>
      </c>
      <c r="N45" s="14">
        <v>5000</v>
      </c>
      <c r="O45" s="14">
        <v>5000</v>
      </c>
      <c r="P45" s="14">
        <v>5000</v>
      </c>
      <c r="Q45" s="14">
        <v>5000</v>
      </c>
      <c r="R45" s="14">
        <v>5000</v>
      </c>
      <c r="S45" s="14">
        <v>5000</v>
      </c>
      <c r="T45" s="14">
        <v>5000</v>
      </c>
      <c r="U45" s="14">
        <v>5000</v>
      </c>
      <c r="V45" s="14">
        <v>5000</v>
      </c>
      <c r="W45" s="14">
        <v>5000</v>
      </c>
      <c r="X45" s="14">
        <v>5000</v>
      </c>
      <c r="Y45" s="14">
        <v>5000</v>
      </c>
      <c r="Z45" s="14">
        <v>5000</v>
      </c>
      <c r="AA45" s="14">
        <v>5000</v>
      </c>
      <c r="AB45" s="14">
        <v>5000</v>
      </c>
      <c r="AC45" s="77"/>
      <c r="AG45" s="15"/>
      <c r="AH45" s="15"/>
      <c r="AI45" s="15"/>
      <c r="AJ45" s="15"/>
      <c r="AK45" s="15"/>
      <c r="AL45" s="15"/>
      <c r="AM45" s="15"/>
      <c r="AN45" s="15"/>
      <c r="AO45" s="15"/>
      <c r="AP45" s="15"/>
      <c r="AQ45" s="15"/>
      <c r="AR45" s="15"/>
      <c r="AS45" s="15"/>
      <c r="AT45" s="15"/>
      <c r="AU45" s="15"/>
      <c r="AV45" s="15"/>
      <c r="AW45" s="15"/>
      <c r="AX45" s="15"/>
      <c r="AY45" s="15"/>
      <c r="AZ45" s="15"/>
      <c r="BA45" s="15"/>
      <c r="BB45" s="15"/>
      <c r="BC45" s="15"/>
      <c r="BD45" s="15"/>
    </row>
    <row r="46" spans="2:56" ht="18.649999999999999" customHeight="1" x14ac:dyDescent="0.25">
      <c r="B46" s="70" t="s">
        <v>41</v>
      </c>
      <c r="C46" s="4" t="s">
        <v>32</v>
      </c>
      <c r="D46" s="5">
        <v>1</v>
      </c>
      <c r="E46" s="14">
        <v>5000</v>
      </c>
      <c r="F46" s="14">
        <v>5000</v>
      </c>
      <c r="G46" s="14">
        <v>5000</v>
      </c>
      <c r="H46" s="14">
        <v>5000</v>
      </c>
      <c r="I46" s="14">
        <v>5000</v>
      </c>
      <c r="J46" s="14">
        <v>5000</v>
      </c>
      <c r="K46" s="14">
        <v>5000</v>
      </c>
      <c r="L46" s="14">
        <v>5000</v>
      </c>
      <c r="M46" s="14">
        <v>5000</v>
      </c>
      <c r="N46" s="14">
        <v>5000</v>
      </c>
      <c r="O46" s="14">
        <v>5000</v>
      </c>
      <c r="P46" s="14">
        <v>5000</v>
      </c>
      <c r="Q46" s="14">
        <v>5000</v>
      </c>
      <c r="R46" s="14">
        <v>5000</v>
      </c>
      <c r="S46" s="14">
        <v>5000</v>
      </c>
      <c r="T46" s="14">
        <v>5000</v>
      </c>
      <c r="U46" s="14">
        <v>5000</v>
      </c>
      <c r="V46" s="14">
        <v>5000</v>
      </c>
      <c r="W46" s="14">
        <v>5000</v>
      </c>
      <c r="X46" s="14">
        <v>5000</v>
      </c>
      <c r="Y46" s="14">
        <v>5000</v>
      </c>
      <c r="Z46" s="14">
        <v>5000</v>
      </c>
      <c r="AA46" s="14">
        <v>5000</v>
      </c>
      <c r="AB46" s="14">
        <v>5000</v>
      </c>
      <c r="AC46" s="78"/>
      <c r="AG46" s="15"/>
      <c r="AH46" s="15"/>
      <c r="AI46" s="15"/>
      <c r="AJ46" s="15"/>
      <c r="AK46" s="15"/>
      <c r="AL46" s="15"/>
      <c r="AM46" s="15"/>
      <c r="AN46" s="15"/>
      <c r="AO46" s="15"/>
      <c r="AP46" s="15"/>
      <c r="AQ46" s="15"/>
      <c r="AR46" s="15"/>
      <c r="AS46" s="15"/>
      <c r="AT46" s="15"/>
      <c r="AU46" s="15"/>
      <c r="AV46" s="15"/>
      <c r="AW46" s="15"/>
      <c r="AX46" s="15"/>
      <c r="AY46" s="15"/>
      <c r="AZ46" s="15"/>
      <c r="BA46" s="15"/>
      <c r="BB46" s="15"/>
      <c r="BC46" s="15"/>
      <c r="BD46" s="15"/>
    </row>
    <row r="47" spans="2:56" ht="18.649999999999999" customHeight="1" x14ac:dyDescent="0.25">
      <c r="B47" s="70" t="s">
        <v>42</v>
      </c>
      <c r="C47" s="4" t="s">
        <v>29</v>
      </c>
      <c r="D47" s="5">
        <v>20</v>
      </c>
      <c r="E47" s="14">
        <v>5000</v>
      </c>
      <c r="F47" s="14">
        <v>5000</v>
      </c>
      <c r="G47" s="14">
        <v>5000</v>
      </c>
      <c r="H47" s="14">
        <v>5000</v>
      </c>
      <c r="I47" s="14">
        <v>5000</v>
      </c>
      <c r="J47" s="14">
        <v>5000</v>
      </c>
      <c r="K47" s="14">
        <v>5000</v>
      </c>
      <c r="L47" s="14">
        <v>5000</v>
      </c>
      <c r="M47" s="14">
        <v>5000</v>
      </c>
      <c r="N47" s="14">
        <v>5000</v>
      </c>
      <c r="O47" s="14">
        <v>5000</v>
      </c>
      <c r="P47" s="14">
        <v>5000</v>
      </c>
      <c r="Q47" s="14">
        <v>5000</v>
      </c>
      <c r="R47" s="14">
        <v>5000</v>
      </c>
      <c r="S47" s="14">
        <v>5000</v>
      </c>
      <c r="T47" s="14">
        <v>5000</v>
      </c>
      <c r="U47" s="14">
        <v>5000</v>
      </c>
      <c r="V47" s="14">
        <v>5000</v>
      </c>
      <c r="W47" s="14">
        <v>5000</v>
      </c>
      <c r="X47" s="14">
        <v>5000</v>
      </c>
      <c r="Y47" s="14">
        <v>5000</v>
      </c>
      <c r="Z47" s="14">
        <v>5000</v>
      </c>
      <c r="AA47" s="14">
        <v>5000</v>
      </c>
      <c r="AB47" s="14">
        <v>5000</v>
      </c>
      <c r="AC47" s="76">
        <f>+SUM(E47:AB47)*D47+SUM(E48:AB48)*D48+SUM(E49:AB49)*D49+SUM(E50:AB50)*D50</f>
        <v>3600000</v>
      </c>
      <c r="AG47" s="15"/>
      <c r="AH47" s="15"/>
      <c r="AI47" s="15"/>
      <c r="AJ47" s="15"/>
      <c r="AK47" s="15"/>
      <c r="AL47" s="15"/>
      <c r="AM47" s="15"/>
      <c r="AN47" s="15"/>
      <c r="AO47" s="15"/>
      <c r="AP47" s="15"/>
      <c r="AQ47" s="15"/>
      <c r="AR47" s="15"/>
      <c r="AS47" s="15"/>
      <c r="AT47" s="15"/>
      <c r="AU47" s="15"/>
      <c r="AV47" s="15"/>
      <c r="AW47" s="15"/>
      <c r="AX47" s="15"/>
      <c r="AY47" s="15"/>
      <c r="AZ47" s="15"/>
      <c r="BA47" s="15"/>
      <c r="BB47" s="15"/>
      <c r="BC47" s="15"/>
      <c r="BD47" s="15"/>
    </row>
    <row r="48" spans="2:56" ht="18.649999999999999" customHeight="1" x14ac:dyDescent="0.25">
      <c r="B48" s="70" t="s">
        <v>42</v>
      </c>
      <c r="C48" s="4" t="s">
        <v>30</v>
      </c>
      <c r="D48" s="5">
        <v>4</v>
      </c>
      <c r="E48" s="14">
        <v>5000</v>
      </c>
      <c r="F48" s="14">
        <v>5000</v>
      </c>
      <c r="G48" s="14">
        <v>5000</v>
      </c>
      <c r="H48" s="14">
        <v>5000</v>
      </c>
      <c r="I48" s="14">
        <v>5000</v>
      </c>
      <c r="J48" s="14">
        <v>5000</v>
      </c>
      <c r="K48" s="14">
        <v>5000</v>
      </c>
      <c r="L48" s="14">
        <v>5000</v>
      </c>
      <c r="M48" s="14">
        <v>5000</v>
      </c>
      <c r="N48" s="14">
        <v>5000</v>
      </c>
      <c r="O48" s="14">
        <v>5000</v>
      </c>
      <c r="P48" s="14">
        <v>5000</v>
      </c>
      <c r="Q48" s="14">
        <v>5000</v>
      </c>
      <c r="R48" s="14">
        <v>5000</v>
      </c>
      <c r="S48" s="14">
        <v>5000</v>
      </c>
      <c r="T48" s="14">
        <v>5000</v>
      </c>
      <c r="U48" s="14">
        <v>5000</v>
      </c>
      <c r="V48" s="14">
        <v>5000</v>
      </c>
      <c r="W48" s="14">
        <v>5000</v>
      </c>
      <c r="X48" s="14">
        <v>5000</v>
      </c>
      <c r="Y48" s="14">
        <v>5000</v>
      </c>
      <c r="Z48" s="14">
        <v>5000</v>
      </c>
      <c r="AA48" s="14">
        <v>5000</v>
      </c>
      <c r="AB48" s="14">
        <v>5000</v>
      </c>
      <c r="AC48" s="77"/>
      <c r="AG48" s="15"/>
      <c r="AH48" s="15"/>
      <c r="AI48" s="15"/>
      <c r="AJ48" s="15"/>
      <c r="AK48" s="15"/>
      <c r="AL48" s="15"/>
      <c r="AM48" s="15"/>
      <c r="AN48" s="15"/>
      <c r="AO48" s="15"/>
      <c r="AP48" s="15"/>
      <c r="AQ48" s="15"/>
      <c r="AR48" s="15"/>
      <c r="AS48" s="15"/>
      <c r="AT48" s="15"/>
      <c r="AU48" s="15"/>
      <c r="AV48" s="15"/>
      <c r="AW48" s="15"/>
      <c r="AX48" s="15"/>
      <c r="AY48" s="15"/>
      <c r="AZ48" s="15"/>
      <c r="BA48" s="15"/>
      <c r="BB48" s="15"/>
      <c r="BC48" s="15"/>
      <c r="BD48" s="15"/>
    </row>
    <row r="49" spans="2:56" ht="18.649999999999999" customHeight="1" x14ac:dyDescent="0.25">
      <c r="B49" s="70" t="s">
        <v>42</v>
      </c>
      <c r="C49" s="4" t="s">
        <v>31</v>
      </c>
      <c r="D49" s="5">
        <v>4</v>
      </c>
      <c r="E49" s="14">
        <v>5000</v>
      </c>
      <c r="F49" s="14">
        <v>5000</v>
      </c>
      <c r="G49" s="14">
        <v>5000</v>
      </c>
      <c r="H49" s="14">
        <v>5000</v>
      </c>
      <c r="I49" s="14">
        <v>5000</v>
      </c>
      <c r="J49" s="14">
        <v>5000</v>
      </c>
      <c r="K49" s="14">
        <v>5000</v>
      </c>
      <c r="L49" s="14">
        <v>5000</v>
      </c>
      <c r="M49" s="14">
        <v>5000</v>
      </c>
      <c r="N49" s="14">
        <v>5000</v>
      </c>
      <c r="O49" s="14">
        <v>5000</v>
      </c>
      <c r="P49" s="14">
        <v>5000</v>
      </c>
      <c r="Q49" s="14">
        <v>5000</v>
      </c>
      <c r="R49" s="14">
        <v>5000</v>
      </c>
      <c r="S49" s="14">
        <v>5000</v>
      </c>
      <c r="T49" s="14">
        <v>5000</v>
      </c>
      <c r="U49" s="14">
        <v>5000</v>
      </c>
      <c r="V49" s="14">
        <v>5000</v>
      </c>
      <c r="W49" s="14">
        <v>5000</v>
      </c>
      <c r="X49" s="14">
        <v>5000</v>
      </c>
      <c r="Y49" s="14">
        <v>5000</v>
      </c>
      <c r="Z49" s="14">
        <v>5000</v>
      </c>
      <c r="AA49" s="14">
        <v>5000</v>
      </c>
      <c r="AB49" s="14">
        <v>5000</v>
      </c>
      <c r="AC49" s="77"/>
      <c r="AG49" s="15"/>
      <c r="AH49" s="15"/>
      <c r="AI49" s="15"/>
      <c r="AJ49" s="15"/>
      <c r="AK49" s="15"/>
      <c r="AL49" s="15"/>
      <c r="AM49" s="15"/>
      <c r="AN49" s="15"/>
      <c r="AO49" s="15"/>
      <c r="AP49" s="15"/>
      <c r="AQ49" s="15"/>
      <c r="AR49" s="15"/>
      <c r="AS49" s="15"/>
      <c r="AT49" s="15"/>
      <c r="AU49" s="15"/>
      <c r="AV49" s="15"/>
      <c r="AW49" s="15"/>
      <c r="AX49" s="15"/>
      <c r="AY49" s="15"/>
      <c r="AZ49" s="15"/>
      <c r="BA49" s="15"/>
      <c r="BB49" s="15"/>
      <c r="BC49" s="15"/>
      <c r="BD49" s="15"/>
    </row>
    <row r="50" spans="2:56" ht="18.649999999999999" customHeight="1" x14ac:dyDescent="0.25">
      <c r="B50" s="70" t="s">
        <v>42</v>
      </c>
      <c r="C50" s="4" t="s">
        <v>32</v>
      </c>
      <c r="D50" s="5">
        <v>2</v>
      </c>
      <c r="E50" s="14">
        <v>5000</v>
      </c>
      <c r="F50" s="14">
        <v>5000</v>
      </c>
      <c r="G50" s="14">
        <v>5000</v>
      </c>
      <c r="H50" s="14">
        <v>5000</v>
      </c>
      <c r="I50" s="14">
        <v>5000</v>
      </c>
      <c r="J50" s="14">
        <v>5000</v>
      </c>
      <c r="K50" s="14">
        <v>5000</v>
      </c>
      <c r="L50" s="14">
        <v>5000</v>
      </c>
      <c r="M50" s="14">
        <v>5000</v>
      </c>
      <c r="N50" s="14">
        <v>5000</v>
      </c>
      <c r="O50" s="14">
        <v>5000</v>
      </c>
      <c r="P50" s="14">
        <v>5000</v>
      </c>
      <c r="Q50" s="14">
        <v>5000</v>
      </c>
      <c r="R50" s="14">
        <v>5000</v>
      </c>
      <c r="S50" s="14">
        <v>5000</v>
      </c>
      <c r="T50" s="14">
        <v>5000</v>
      </c>
      <c r="U50" s="14">
        <v>5000</v>
      </c>
      <c r="V50" s="14">
        <v>5000</v>
      </c>
      <c r="W50" s="14">
        <v>5000</v>
      </c>
      <c r="X50" s="14">
        <v>5000</v>
      </c>
      <c r="Y50" s="14">
        <v>5000</v>
      </c>
      <c r="Z50" s="14">
        <v>5000</v>
      </c>
      <c r="AA50" s="14">
        <v>5000</v>
      </c>
      <c r="AB50" s="14">
        <v>5000</v>
      </c>
      <c r="AC50" s="78"/>
      <c r="AG50" s="15"/>
      <c r="AH50" s="15"/>
      <c r="AI50" s="15"/>
      <c r="AJ50" s="15"/>
      <c r="AK50" s="15"/>
      <c r="AL50" s="15"/>
      <c r="AM50" s="15"/>
      <c r="AN50" s="15"/>
      <c r="AO50" s="15"/>
      <c r="AP50" s="15"/>
      <c r="AQ50" s="15"/>
      <c r="AR50" s="15"/>
      <c r="AS50" s="15"/>
      <c r="AT50" s="15"/>
      <c r="AU50" s="15"/>
      <c r="AV50" s="15"/>
      <c r="AW50" s="15"/>
      <c r="AX50" s="15"/>
      <c r="AY50" s="15"/>
      <c r="AZ50" s="15"/>
      <c r="BA50" s="15"/>
      <c r="BB50" s="15"/>
      <c r="BC50" s="15"/>
      <c r="BD50" s="15"/>
    </row>
    <row r="51" spans="2:56" ht="18.649999999999999" customHeight="1" x14ac:dyDescent="0.25">
      <c r="B51" s="70" t="s">
        <v>43</v>
      </c>
      <c r="C51" s="4" t="s">
        <v>29</v>
      </c>
      <c r="D51" s="5">
        <v>19</v>
      </c>
      <c r="E51" s="14">
        <v>5000</v>
      </c>
      <c r="F51" s="14">
        <v>5000</v>
      </c>
      <c r="G51" s="14">
        <v>5000</v>
      </c>
      <c r="H51" s="14">
        <v>5000</v>
      </c>
      <c r="I51" s="14">
        <v>5000</v>
      </c>
      <c r="J51" s="14">
        <v>5000</v>
      </c>
      <c r="K51" s="14">
        <v>5000</v>
      </c>
      <c r="L51" s="14">
        <v>5000</v>
      </c>
      <c r="M51" s="14">
        <v>5000</v>
      </c>
      <c r="N51" s="14">
        <v>5000</v>
      </c>
      <c r="O51" s="14">
        <v>5000</v>
      </c>
      <c r="P51" s="14">
        <v>5000</v>
      </c>
      <c r="Q51" s="14">
        <v>5000</v>
      </c>
      <c r="R51" s="14">
        <v>5000</v>
      </c>
      <c r="S51" s="14">
        <v>5000</v>
      </c>
      <c r="T51" s="14">
        <v>5000</v>
      </c>
      <c r="U51" s="14">
        <v>5000</v>
      </c>
      <c r="V51" s="14">
        <v>5000</v>
      </c>
      <c r="W51" s="14">
        <v>5000</v>
      </c>
      <c r="X51" s="14">
        <v>5000</v>
      </c>
      <c r="Y51" s="14">
        <v>5000</v>
      </c>
      <c r="Z51" s="14">
        <v>5000</v>
      </c>
      <c r="AA51" s="14">
        <v>5000</v>
      </c>
      <c r="AB51" s="14">
        <v>5000</v>
      </c>
      <c r="AC51" s="76">
        <f>+SUM(E51:AB51)*D51+SUM(E52:AB52)*D52+SUM(E53:AB53)*D53+SUM(E54:AB54)*D54</f>
        <v>3720000</v>
      </c>
      <c r="AG51" s="15"/>
      <c r="AH51" s="15"/>
      <c r="AI51" s="15"/>
      <c r="AJ51" s="15"/>
      <c r="AK51" s="15"/>
      <c r="AL51" s="15"/>
      <c r="AM51" s="15"/>
      <c r="AN51" s="15"/>
      <c r="AO51" s="15"/>
      <c r="AP51" s="15"/>
      <c r="AQ51" s="15"/>
      <c r="AR51" s="15"/>
      <c r="AS51" s="15"/>
      <c r="AT51" s="15"/>
      <c r="AU51" s="15"/>
      <c r="AV51" s="15"/>
      <c r="AW51" s="15"/>
      <c r="AX51" s="15"/>
      <c r="AY51" s="15"/>
      <c r="AZ51" s="15"/>
      <c r="BA51" s="15"/>
      <c r="BB51" s="15"/>
      <c r="BC51" s="15"/>
      <c r="BD51" s="15"/>
    </row>
    <row r="52" spans="2:56" ht="18.649999999999999" customHeight="1" x14ac:dyDescent="0.25">
      <c r="B52" s="70" t="s">
        <v>43</v>
      </c>
      <c r="C52" s="4" t="s">
        <v>30</v>
      </c>
      <c r="D52" s="5">
        <v>5</v>
      </c>
      <c r="E52" s="14">
        <v>5000</v>
      </c>
      <c r="F52" s="14">
        <v>5000</v>
      </c>
      <c r="G52" s="14">
        <v>5000</v>
      </c>
      <c r="H52" s="14">
        <v>5000</v>
      </c>
      <c r="I52" s="14">
        <v>5000</v>
      </c>
      <c r="J52" s="14">
        <v>5000</v>
      </c>
      <c r="K52" s="14">
        <v>5000</v>
      </c>
      <c r="L52" s="14">
        <v>5000</v>
      </c>
      <c r="M52" s="14">
        <v>5000</v>
      </c>
      <c r="N52" s="14">
        <v>5000</v>
      </c>
      <c r="O52" s="14">
        <v>5000</v>
      </c>
      <c r="P52" s="14">
        <v>5000</v>
      </c>
      <c r="Q52" s="14">
        <v>5000</v>
      </c>
      <c r="R52" s="14">
        <v>5000</v>
      </c>
      <c r="S52" s="14">
        <v>5000</v>
      </c>
      <c r="T52" s="14">
        <v>5000</v>
      </c>
      <c r="U52" s="14">
        <v>5000</v>
      </c>
      <c r="V52" s="14">
        <v>5000</v>
      </c>
      <c r="W52" s="14">
        <v>5000</v>
      </c>
      <c r="X52" s="14">
        <v>5000</v>
      </c>
      <c r="Y52" s="14">
        <v>5000</v>
      </c>
      <c r="Z52" s="14">
        <v>5000</v>
      </c>
      <c r="AA52" s="14">
        <v>5000</v>
      </c>
      <c r="AB52" s="14">
        <v>5000</v>
      </c>
      <c r="AC52" s="77"/>
      <c r="AG52" s="15"/>
      <c r="AH52" s="15"/>
      <c r="AI52" s="15"/>
      <c r="AJ52" s="15"/>
      <c r="AK52" s="15"/>
      <c r="AL52" s="15"/>
      <c r="AM52" s="15"/>
      <c r="AN52" s="15"/>
      <c r="AO52" s="15"/>
      <c r="AP52" s="15"/>
      <c r="AQ52" s="15"/>
      <c r="AR52" s="15"/>
      <c r="AS52" s="15"/>
      <c r="AT52" s="15"/>
      <c r="AU52" s="15"/>
      <c r="AV52" s="15"/>
      <c r="AW52" s="15"/>
      <c r="AX52" s="15"/>
      <c r="AY52" s="15"/>
      <c r="AZ52" s="15"/>
      <c r="BA52" s="15"/>
      <c r="BB52" s="15"/>
      <c r="BC52" s="15"/>
      <c r="BD52" s="15"/>
    </row>
    <row r="53" spans="2:56" ht="18.649999999999999" customHeight="1" x14ac:dyDescent="0.25">
      <c r="B53" s="70" t="s">
        <v>43</v>
      </c>
      <c r="C53" s="4" t="s">
        <v>31</v>
      </c>
      <c r="D53" s="5">
        <v>5</v>
      </c>
      <c r="E53" s="14">
        <v>5000</v>
      </c>
      <c r="F53" s="14">
        <v>5000</v>
      </c>
      <c r="G53" s="14">
        <v>5000</v>
      </c>
      <c r="H53" s="14">
        <v>5000</v>
      </c>
      <c r="I53" s="14">
        <v>5000</v>
      </c>
      <c r="J53" s="14">
        <v>5000</v>
      </c>
      <c r="K53" s="14">
        <v>5000</v>
      </c>
      <c r="L53" s="14">
        <v>5000</v>
      </c>
      <c r="M53" s="14">
        <v>5000</v>
      </c>
      <c r="N53" s="14">
        <v>5000</v>
      </c>
      <c r="O53" s="14">
        <v>5000</v>
      </c>
      <c r="P53" s="14">
        <v>5000</v>
      </c>
      <c r="Q53" s="14">
        <v>5000</v>
      </c>
      <c r="R53" s="14">
        <v>5000</v>
      </c>
      <c r="S53" s="14">
        <v>5000</v>
      </c>
      <c r="T53" s="14">
        <v>5000</v>
      </c>
      <c r="U53" s="14">
        <v>5000</v>
      </c>
      <c r="V53" s="14">
        <v>5000</v>
      </c>
      <c r="W53" s="14">
        <v>5000</v>
      </c>
      <c r="X53" s="14">
        <v>5000</v>
      </c>
      <c r="Y53" s="14">
        <v>5000</v>
      </c>
      <c r="Z53" s="14">
        <v>5000</v>
      </c>
      <c r="AA53" s="14">
        <v>5000</v>
      </c>
      <c r="AB53" s="14">
        <v>5000</v>
      </c>
      <c r="AC53" s="77"/>
      <c r="AG53" s="15"/>
      <c r="AH53" s="15"/>
      <c r="AI53" s="15"/>
      <c r="AJ53" s="15"/>
      <c r="AK53" s="15"/>
      <c r="AL53" s="15"/>
      <c r="AM53" s="15"/>
      <c r="AN53" s="15"/>
      <c r="AO53" s="15"/>
      <c r="AP53" s="15"/>
      <c r="AQ53" s="15"/>
      <c r="AR53" s="15"/>
      <c r="AS53" s="15"/>
      <c r="AT53" s="15"/>
      <c r="AU53" s="15"/>
      <c r="AV53" s="15"/>
      <c r="AW53" s="15"/>
      <c r="AX53" s="15"/>
      <c r="AY53" s="15"/>
      <c r="AZ53" s="15"/>
      <c r="BA53" s="15"/>
      <c r="BB53" s="15"/>
      <c r="BC53" s="15"/>
      <c r="BD53" s="15"/>
    </row>
    <row r="54" spans="2:56" ht="18.649999999999999" customHeight="1" x14ac:dyDescent="0.25">
      <c r="B54" s="70" t="s">
        <v>43</v>
      </c>
      <c r="C54" s="4" t="s">
        <v>32</v>
      </c>
      <c r="D54" s="5">
        <v>2</v>
      </c>
      <c r="E54" s="14">
        <v>5000</v>
      </c>
      <c r="F54" s="14">
        <v>5000</v>
      </c>
      <c r="G54" s="14">
        <v>5000</v>
      </c>
      <c r="H54" s="14">
        <v>5000</v>
      </c>
      <c r="I54" s="14">
        <v>5000</v>
      </c>
      <c r="J54" s="14">
        <v>5000</v>
      </c>
      <c r="K54" s="14">
        <v>5000</v>
      </c>
      <c r="L54" s="14">
        <v>5000</v>
      </c>
      <c r="M54" s="14">
        <v>5000</v>
      </c>
      <c r="N54" s="14">
        <v>5000</v>
      </c>
      <c r="O54" s="14">
        <v>5000</v>
      </c>
      <c r="P54" s="14">
        <v>5000</v>
      </c>
      <c r="Q54" s="14">
        <v>5000</v>
      </c>
      <c r="R54" s="14">
        <v>5000</v>
      </c>
      <c r="S54" s="14">
        <v>5000</v>
      </c>
      <c r="T54" s="14">
        <v>5000</v>
      </c>
      <c r="U54" s="14">
        <v>5000</v>
      </c>
      <c r="V54" s="14">
        <v>5000</v>
      </c>
      <c r="W54" s="14">
        <v>5000</v>
      </c>
      <c r="X54" s="14">
        <v>5000</v>
      </c>
      <c r="Y54" s="14">
        <v>5000</v>
      </c>
      <c r="Z54" s="14">
        <v>5000</v>
      </c>
      <c r="AA54" s="14">
        <v>5000</v>
      </c>
      <c r="AB54" s="14">
        <v>5000</v>
      </c>
      <c r="AC54" s="78"/>
      <c r="AG54" s="15"/>
      <c r="AH54" s="15"/>
      <c r="AI54" s="15"/>
      <c r="AJ54" s="15"/>
      <c r="AK54" s="15"/>
      <c r="AL54" s="15"/>
      <c r="AM54" s="15"/>
      <c r="AN54" s="15"/>
      <c r="AO54" s="15"/>
      <c r="AP54" s="15"/>
      <c r="AQ54" s="15"/>
      <c r="AR54" s="15"/>
      <c r="AS54" s="15"/>
      <c r="AT54" s="15"/>
      <c r="AU54" s="15"/>
      <c r="AV54" s="15"/>
      <c r="AW54" s="15"/>
      <c r="AX54" s="15"/>
      <c r="AY54" s="15"/>
      <c r="AZ54" s="15"/>
      <c r="BA54" s="15"/>
      <c r="BB54" s="15"/>
      <c r="BC54" s="15"/>
      <c r="BD54" s="15"/>
    </row>
    <row r="55" spans="2:56" ht="18.649999999999999" customHeight="1" x14ac:dyDescent="0.25">
      <c r="E55" s="12"/>
      <c r="F55" s="12"/>
      <c r="G55" s="12"/>
      <c r="H55" s="12"/>
      <c r="I55" s="12"/>
      <c r="J55" s="12"/>
      <c r="K55" s="12"/>
      <c r="L55" s="12"/>
      <c r="M55" s="12"/>
      <c r="N55" s="12"/>
      <c r="O55" s="12"/>
      <c r="P55" s="12"/>
      <c r="Q55" s="12"/>
      <c r="R55" s="12"/>
      <c r="S55" s="12"/>
      <c r="T55" s="12"/>
      <c r="U55" s="12"/>
      <c r="V55" s="12"/>
      <c r="W55" s="12"/>
      <c r="X55" s="12"/>
      <c r="Y55" s="12"/>
      <c r="Z55" s="80" t="s">
        <v>46</v>
      </c>
      <c r="AA55" s="80"/>
      <c r="AB55" s="80"/>
      <c r="AC55" s="21">
        <f>SUM(AC7:AC54)</f>
        <v>43920000</v>
      </c>
    </row>
    <row r="56" spans="2:56" x14ac:dyDescent="0.25">
      <c r="AC56" s="10"/>
    </row>
    <row r="61" spans="2:56" x14ac:dyDescent="0.25">
      <c r="G61" s="7">
        <v>1000</v>
      </c>
    </row>
  </sheetData>
  <mergeCells count="28">
    <mergeCell ref="B51:B54"/>
    <mergeCell ref="AC51:AC54"/>
    <mergeCell ref="Z55:AB55"/>
    <mergeCell ref="B39:B42"/>
    <mergeCell ref="AC39:AC42"/>
    <mergeCell ref="B43:B46"/>
    <mergeCell ref="AC43:AC46"/>
    <mergeCell ref="B47:B50"/>
    <mergeCell ref="AC47:AC50"/>
    <mergeCell ref="B27:B30"/>
    <mergeCell ref="AC27:AC30"/>
    <mergeCell ref="B31:B34"/>
    <mergeCell ref="AC31:AC34"/>
    <mergeCell ref="B35:B38"/>
    <mergeCell ref="AC35:AC38"/>
    <mergeCell ref="B15:B18"/>
    <mergeCell ref="AC15:AC18"/>
    <mergeCell ref="B19:B22"/>
    <mergeCell ref="AC19:AC22"/>
    <mergeCell ref="B23:B26"/>
    <mergeCell ref="AC23:AC26"/>
    <mergeCell ref="B11:B14"/>
    <mergeCell ref="AC11:AC14"/>
    <mergeCell ref="B2:AC2"/>
    <mergeCell ref="B3:AC3"/>
    <mergeCell ref="B4:AC4"/>
    <mergeCell ref="B7:B10"/>
    <mergeCell ref="AC7:AC10"/>
  </mergeCell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FDD6EF-F766-428E-AB1F-E1914DC5CA5D}">
  <dimension ref="B1:BD61"/>
  <sheetViews>
    <sheetView showGridLines="0" topLeftCell="K38" zoomScale="70" zoomScaleNormal="70" workbookViewId="0">
      <selection activeCell="A5" sqref="A5:AD56"/>
    </sheetView>
  </sheetViews>
  <sheetFormatPr baseColWidth="10" defaultColWidth="11.453125" defaultRowHeight="11.5" x14ac:dyDescent="0.25"/>
  <cols>
    <col min="1" max="1" width="6.54296875" style="7" customWidth="1"/>
    <col min="2" max="2" width="6.26953125" style="7" bestFit="1" customWidth="1"/>
    <col min="3" max="3" width="10.1796875" style="7" bestFit="1" customWidth="1"/>
    <col min="4" max="4" width="6" style="7" bestFit="1" customWidth="1"/>
    <col min="5" max="11" width="9.7265625" style="7" bestFit="1" customWidth="1"/>
    <col min="12" max="14" width="9.81640625" style="7" bestFit="1" customWidth="1"/>
    <col min="15" max="16" width="10" style="7" bestFit="1" customWidth="1"/>
    <col min="17" max="17" width="9.81640625" style="7" bestFit="1" customWidth="1"/>
    <col min="18" max="18" width="10" style="7" bestFit="1" customWidth="1"/>
    <col min="19" max="21" width="10.1796875" style="7" bestFit="1" customWidth="1"/>
    <col min="22" max="22" width="9.81640625" style="7" bestFit="1" customWidth="1"/>
    <col min="23" max="25" width="10.1796875" style="7" bestFit="1" customWidth="1"/>
    <col min="26" max="26" width="9.81640625" style="7" bestFit="1" customWidth="1"/>
    <col min="27" max="27" width="10" style="7" bestFit="1" customWidth="1"/>
    <col min="28" max="28" width="10.1796875" style="7" bestFit="1" customWidth="1"/>
    <col min="29" max="29" width="18.1796875" style="7" customWidth="1"/>
    <col min="30" max="30" width="2.81640625" style="7" customWidth="1"/>
    <col min="31" max="31" width="20.1796875" style="7" customWidth="1"/>
    <col min="32" max="257" width="11.453125" style="7"/>
    <col min="258" max="258" width="7" style="7" customWidth="1"/>
    <col min="259" max="259" width="10.7265625" style="7" customWidth="1"/>
    <col min="260" max="260" width="9.26953125" style="7" customWidth="1"/>
    <col min="261" max="284" width="7.26953125" style="7" customWidth="1"/>
    <col min="285" max="285" width="11.26953125" style="7" bestFit="1" customWidth="1"/>
    <col min="286" max="513" width="11.453125" style="7"/>
    <col min="514" max="514" width="7" style="7" customWidth="1"/>
    <col min="515" max="515" width="10.7265625" style="7" customWidth="1"/>
    <col min="516" max="516" width="9.26953125" style="7" customWidth="1"/>
    <col min="517" max="540" width="7.26953125" style="7" customWidth="1"/>
    <col min="541" max="541" width="11.26953125" style="7" bestFit="1" customWidth="1"/>
    <col min="542" max="769" width="11.453125" style="7"/>
    <col min="770" max="770" width="7" style="7" customWidth="1"/>
    <col min="771" max="771" width="10.7265625" style="7" customWidth="1"/>
    <col min="772" max="772" width="9.26953125" style="7" customWidth="1"/>
    <col min="773" max="796" width="7.26953125" style="7" customWidth="1"/>
    <col min="797" max="797" width="11.26953125" style="7" bestFit="1" customWidth="1"/>
    <col min="798" max="1025" width="11.453125" style="7"/>
    <col min="1026" max="1026" width="7" style="7" customWidth="1"/>
    <col min="1027" max="1027" width="10.7265625" style="7" customWidth="1"/>
    <col min="1028" max="1028" width="9.26953125" style="7" customWidth="1"/>
    <col min="1029" max="1052" width="7.26953125" style="7" customWidth="1"/>
    <col min="1053" max="1053" width="11.26953125" style="7" bestFit="1" customWidth="1"/>
    <col min="1054" max="1281" width="11.453125" style="7"/>
    <col min="1282" max="1282" width="7" style="7" customWidth="1"/>
    <col min="1283" max="1283" width="10.7265625" style="7" customWidth="1"/>
    <col min="1284" max="1284" width="9.26953125" style="7" customWidth="1"/>
    <col min="1285" max="1308" width="7.26953125" style="7" customWidth="1"/>
    <col min="1309" max="1309" width="11.26953125" style="7" bestFit="1" customWidth="1"/>
    <col min="1310" max="1537" width="11.453125" style="7"/>
    <col min="1538" max="1538" width="7" style="7" customWidth="1"/>
    <col min="1539" max="1539" width="10.7265625" style="7" customWidth="1"/>
    <col min="1540" max="1540" width="9.26953125" style="7" customWidth="1"/>
    <col min="1541" max="1564" width="7.26953125" style="7" customWidth="1"/>
    <col min="1565" max="1565" width="11.26953125" style="7" bestFit="1" customWidth="1"/>
    <col min="1566" max="1793" width="11.453125" style="7"/>
    <col min="1794" max="1794" width="7" style="7" customWidth="1"/>
    <col min="1795" max="1795" width="10.7265625" style="7" customWidth="1"/>
    <col min="1796" max="1796" width="9.26953125" style="7" customWidth="1"/>
    <col min="1797" max="1820" width="7.26953125" style="7" customWidth="1"/>
    <col min="1821" max="1821" width="11.26953125" style="7" bestFit="1" customWidth="1"/>
    <col min="1822" max="2049" width="11.453125" style="7"/>
    <col min="2050" max="2050" width="7" style="7" customWidth="1"/>
    <col min="2051" max="2051" width="10.7265625" style="7" customWidth="1"/>
    <col min="2052" max="2052" width="9.26953125" style="7" customWidth="1"/>
    <col min="2053" max="2076" width="7.26953125" style="7" customWidth="1"/>
    <col min="2077" max="2077" width="11.26953125" style="7" bestFit="1" customWidth="1"/>
    <col min="2078" max="2305" width="11.453125" style="7"/>
    <col min="2306" max="2306" width="7" style="7" customWidth="1"/>
    <col min="2307" max="2307" width="10.7265625" style="7" customWidth="1"/>
    <col min="2308" max="2308" width="9.26953125" style="7" customWidth="1"/>
    <col min="2309" max="2332" width="7.26953125" style="7" customWidth="1"/>
    <col min="2333" max="2333" width="11.26953125" style="7" bestFit="1" customWidth="1"/>
    <col min="2334" max="2561" width="11.453125" style="7"/>
    <col min="2562" max="2562" width="7" style="7" customWidth="1"/>
    <col min="2563" max="2563" width="10.7265625" style="7" customWidth="1"/>
    <col min="2564" max="2564" width="9.26953125" style="7" customWidth="1"/>
    <col min="2565" max="2588" width="7.26953125" style="7" customWidth="1"/>
    <col min="2589" max="2589" width="11.26953125" style="7" bestFit="1" customWidth="1"/>
    <col min="2590" max="2817" width="11.453125" style="7"/>
    <col min="2818" max="2818" width="7" style="7" customWidth="1"/>
    <col min="2819" max="2819" width="10.7265625" style="7" customWidth="1"/>
    <col min="2820" max="2820" width="9.26953125" style="7" customWidth="1"/>
    <col min="2821" max="2844" width="7.26953125" style="7" customWidth="1"/>
    <col min="2845" max="2845" width="11.26953125" style="7" bestFit="1" customWidth="1"/>
    <col min="2846" max="3073" width="11.453125" style="7"/>
    <col min="3074" max="3074" width="7" style="7" customWidth="1"/>
    <col min="3075" max="3075" width="10.7265625" style="7" customWidth="1"/>
    <col min="3076" max="3076" width="9.26953125" style="7" customWidth="1"/>
    <col min="3077" max="3100" width="7.26953125" style="7" customWidth="1"/>
    <col min="3101" max="3101" width="11.26953125" style="7" bestFit="1" customWidth="1"/>
    <col min="3102" max="3329" width="11.453125" style="7"/>
    <col min="3330" max="3330" width="7" style="7" customWidth="1"/>
    <col min="3331" max="3331" width="10.7265625" style="7" customWidth="1"/>
    <col min="3332" max="3332" width="9.26953125" style="7" customWidth="1"/>
    <col min="3333" max="3356" width="7.26953125" style="7" customWidth="1"/>
    <col min="3357" max="3357" width="11.26953125" style="7" bestFit="1" customWidth="1"/>
    <col min="3358" max="3585" width="11.453125" style="7"/>
    <col min="3586" max="3586" width="7" style="7" customWidth="1"/>
    <col min="3587" max="3587" width="10.7265625" style="7" customWidth="1"/>
    <col min="3588" max="3588" width="9.26953125" style="7" customWidth="1"/>
    <col min="3589" max="3612" width="7.26953125" style="7" customWidth="1"/>
    <col min="3613" max="3613" width="11.26953125" style="7" bestFit="1" customWidth="1"/>
    <col min="3614" max="3841" width="11.453125" style="7"/>
    <col min="3842" max="3842" width="7" style="7" customWidth="1"/>
    <col min="3843" max="3843" width="10.7265625" style="7" customWidth="1"/>
    <col min="3844" max="3844" width="9.26953125" style="7" customWidth="1"/>
    <col min="3845" max="3868" width="7.26953125" style="7" customWidth="1"/>
    <col min="3869" max="3869" width="11.26953125" style="7" bestFit="1" customWidth="1"/>
    <col min="3870" max="4097" width="11.453125" style="7"/>
    <col min="4098" max="4098" width="7" style="7" customWidth="1"/>
    <col min="4099" max="4099" width="10.7265625" style="7" customWidth="1"/>
    <col min="4100" max="4100" width="9.26953125" style="7" customWidth="1"/>
    <col min="4101" max="4124" width="7.26953125" style="7" customWidth="1"/>
    <col min="4125" max="4125" width="11.26953125" style="7" bestFit="1" customWidth="1"/>
    <col min="4126" max="4353" width="11.453125" style="7"/>
    <col min="4354" max="4354" width="7" style="7" customWidth="1"/>
    <col min="4355" max="4355" width="10.7265625" style="7" customWidth="1"/>
    <col min="4356" max="4356" width="9.26953125" style="7" customWidth="1"/>
    <col min="4357" max="4380" width="7.26953125" style="7" customWidth="1"/>
    <col min="4381" max="4381" width="11.26953125" style="7" bestFit="1" customWidth="1"/>
    <col min="4382" max="4609" width="11.453125" style="7"/>
    <col min="4610" max="4610" width="7" style="7" customWidth="1"/>
    <col min="4611" max="4611" width="10.7265625" style="7" customWidth="1"/>
    <col min="4612" max="4612" width="9.26953125" style="7" customWidth="1"/>
    <col min="4613" max="4636" width="7.26953125" style="7" customWidth="1"/>
    <col min="4637" max="4637" width="11.26953125" style="7" bestFit="1" customWidth="1"/>
    <col min="4638" max="4865" width="11.453125" style="7"/>
    <col min="4866" max="4866" width="7" style="7" customWidth="1"/>
    <col min="4867" max="4867" width="10.7265625" style="7" customWidth="1"/>
    <col min="4868" max="4868" width="9.26953125" style="7" customWidth="1"/>
    <col min="4869" max="4892" width="7.26953125" style="7" customWidth="1"/>
    <col min="4893" max="4893" width="11.26953125" style="7" bestFit="1" customWidth="1"/>
    <col min="4894" max="5121" width="11.453125" style="7"/>
    <col min="5122" max="5122" width="7" style="7" customWidth="1"/>
    <col min="5123" max="5123" width="10.7265625" style="7" customWidth="1"/>
    <col min="5124" max="5124" width="9.26953125" style="7" customWidth="1"/>
    <col min="5125" max="5148" width="7.26953125" style="7" customWidth="1"/>
    <col min="5149" max="5149" width="11.26953125" style="7" bestFit="1" customWidth="1"/>
    <col min="5150" max="5377" width="11.453125" style="7"/>
    <col min="5378" max="5378" width="7" style="7" customWidth="1"/>
    <col min="5379" max="5379" width="10.7265625" style="7" customWidth="1"/>
    <col min="5380" max="5380" width="9.26953125" style="7" customWidth="1"/>
    <col min="5381" max="5404" width="7.26953125" style="7" customWidth="1"/>
    <col min="5405" max="5405" width="11.26953125" style="7" bestFit="1" customWidth="1"/>
    <col min="5406" max="5633" width="11.453125" style="7"/>
    <col min="5634" max="5634" width="7" style="7" customWidth="1"/>
    <col min="5635" max="5635" width="10.7265625" style="7" customWidth="1"/>
    <col min="5636" max="5636" width="9.26953125" style="7" customWidth="1"/>
    <col min="5637" max="5660" width="7.26953125" style="7" customWidth="1"/>
    <col min="5661" max="5661" width="11.26953125" style="7" bestFit="1" customWidth="1"/>
    <col min="5662" max="5889" width="11.453125" style="7"/>
    <col min="5890" max="5890" width="7" style="7" customWidth="1"/>
    <col min="5891" max="5891" width="10.7265625" style="7" customWidth="1"/>
    <col min="5892" max="5892" width="9.26953125" style="7" customWidth="1"/>
    <col min="5893" max="5916" width="7.26953125" style="7" customWidth="1"/>
    <col min="5917" max="5917" width="11.26953125" style="7" bestFit="1" customWidth="1"/>
    <col min="5918" max="6145" width="11.453125" style="7"/>
    <col min="6146" max="6146" width="7" style="7" customWidth="1"/>
    <col min="6147" max="6147" width="10.7265625" style="7" customWidth="1"/>
    <col min="6148" max="6148" width="9.26953125" style="7" customWidth="1"/>
    <col min="6149" max="6172" width="7.26953125" style="7" customWidth="1"/>
    <col min="6173" max="6173" width="11.26953125" style="7" bestFit="1" customWidth="1"/>
    <col min="6174" max="6401" width="11.453125" style="7"/>
    <col min="6402" max="6402" width="7" style="7" customWidth="1"/>
    <col min="6403" max="6403" width="10.7265625" style="7" customWidth="1"/>
    <col min="6404" max="6404" width="9.26953125" style="7" customWidth="1"/>
    <col min="6405" max="6428" width="7.26953125" style="7" customWidth="1"/>
    <col min="6429" max="6429" width="11.26953125" style="7" bestFit="1" customWidth="1"/>
    <col min="6430" max="6657" width="11.453125" style="7"/>
    <col min="6658" max="6658" width="7" style="7" customWidth="1"/>
    <col min="6659" max="6659" width="10.7265625" style="7" customWidth="1"/>
    <col min="6660" max="6660" width="9.26953125" style="7" customWidth="1"/>
    <col min="6661" max="6684" width="7.26953125" style="7" customWidth="1"/>
    <col min="6685" max="6685" width="11.26953125" style="7" bestFit="1" customWidth="1"/>
    <col min="6686" max="6913" width="11.453125" style="7"/>
    <col min="6914" max="6914" width="7" style="7" customWidth="1"/>
    <col min="6915" max="6915" width="10.7265625" style="7" customWidth="1"/>
    <col min="6916" max="6916" width="9.26953125" style="7" customWidth="1"/>
    <col min="6917" max="6940" width="7.26953125" style="7" customWidth="1"/>
    <col min="6941" max="6941" width="11.26953125" style="7" bestFit="1" customWidth="1"/>
    <col min="6942" max="7169" width="11.453125" style="7"/>
    <col min="7170" max="7170" width="7" style="7" customWidth="1"/>
    <col min="7171" max="7171" width="10.7265625" style="7" customWidth="1"/>
    <col min="7172" max="7172" width="9.26953125" style="7" customWidth="1"/>
    <col min="7173" max="7196" width="7.26953125" style="7" customWidth="1"/>
    <col min="7197" max="7197" width="11.26953125" style="7" bestFit="1" customWidth="1"/>
    <col min="7198" max="7425" width="11.453125" style="7"/>
    <col min="7426" max="7426" width="7" style="7" customWidth="1"/>
    <col min="7427" max="7427" width="10.7265625" style="7" customWidth="1"/>
    <col min="7428" max="7428" width="9.26953125" style="7" customWidth="1"/>
    <col min="7429" max="7452" width="7.26953125" style="7" customWidth="1"/>
    <col min="7453" max="7453" width="11.26953125" style="7" bestFit="1" customWidth="1"/>
    <col min="7454" max="7681" width="11.453125" style="7"/>
    <col min="7682" max="7682" width="7" style="7" customWidth="1"/>
    <col min="7683" max="7683" width="10.7265625" style="7" customWidth="1"/>
    <col min="7684" max="7684" width="9.26953125" style="7" customWidth="1"/>
    <col min="7685" max="7708" width="7.26953125" style="7" customWidth="1"/>
    <col min="7709" max="7709" width="11.26953125" style="7" bestFit="1" customWidth="1"/>
    <col min="7710" max="7937" width="11.453125" style="7"/>
    <col min="7938" max="7938" width="7" style="7" customWidth="1"/>
    <col min="7939" max="7939" width="10.7265625" style="7" customWidth="1"/>
    <col min="7940" max="7940" width="9.26953125" style="7" customWidth="1"/>
    <col min="7941" max="7964" width="7.26953125" style="7" customWidth="1"/>
    <col min="7965" max="7965" width="11.26953125" style="7" bestFit="1" customWidth="1"/>
    <col min="7966" max="8193" width="11.453125" style="7"/>
    <col min="8194" max="8194" width="7" style="7" customWidth="1"/>
    <col min="8195" max="8195" width="10.7265625" style="7" customWidth="1"/>
    <col min="8196" max="8196" width="9.26953125" style="7" customWidth="1"/>
    <col min="8197" max="8220" width="7.26953125" style="7" customWidth="1"/>
    <col min="8221" max="8221" width="11.26953125" style="7" bestFit="1" customWidth="1"/>
    <col min="8222" max="8449" width="11.453125" style="7"/>
    <col min="8450" max="8450" width="7" style="7" customWidth="1"/>
    <col min="8451" max="8451" width="10.7265625" style="7" customWidth="1"/>
    <col min="8452" max="8452" width="9.26953125" style="7" customWidth="1"/>
    <col min="8453" max="8476" width="7.26953125" style="7" customWidth="1"/>
    <col min="8477" max="8477" width="11.26953125" style="7" bestFit="1" customWidth="1"/>
    <col min="8478" max="8705" width="11.453125" style="7"/>
    <col min="8706" max="8706" width="7" style="7" customWidth="1"/>
    <col min="8707" max="8707" width="10.7265625" style="7" customWidth="1"/>
    <col min="8708" max="8708" width="9.26953125" style="7" customWidth="1"/>
    <col min="8709" max="8732" width="7.26953125" style="7" customWidth="1"/>
    <col min="8733" max="8733" width="11.26953125" style="7" bestFit="1" customWidth="1"/>
    <col min="8734" max="8961" width="11.453125" style="7"/>
    <col min="8962" max="8962" width="7" style="7" customWidth="1"/>
    <col min="8963" max="8963" width="10.7265625" style="7" customWidth="1"/>
    <col min="8964" max="8964" width="9.26953125" style="7" customWidth="1"/>
    <col min="8965" max="8988" width="7.26953125" style="7" customWidth="1"/>
    <col min="8989" max="8989" width="11.26953125" style="7" bestFit="1" customWidth="1"/>
    <col min="8990" max="9217" width="11.453125" style="7"/>
    <col min="9218" max="9218" width="7" style="7" customWidth="1"/>
    <col min="9219" max="9219" width="10.7265625" style="7" customWidth="1"/>
    <col min="9220" max="9220" width="9.26953125" style="7" customWidth="1"/>
    <col min="9221" max="9244" width="7.26953125" style="7" customWidth="1"/>
    <col min="9245" max="9245" width="11.26953125" style="7" bestFit="1" customWidth="1"/>
    <col min="9246" max="9473" width="11.453125" style="7"/>
    <col min="9474" max="9474" width="7" style="7" customWidth="1"/>
    <col min="9475" max="9475" width="10.7265625" style="7" customWidth="1"/>
    <col min="9476" max="9476" width="9.26953125" style="7" customWidth="1"/>
    <col min="9477" max="9500" width="7.26953125" style="7" customWidth="1"/>
    <col min="9501" max="9501" width="11.26953125" style="7" bestFit="1" customWidth="1"/>
    <col min="9502" max="9729" width="11.453125" style="7"/>
    <col min="9730" max="9730" width="7" style="7" customWidth="1"/>
    <col min="9731" max="9731" width="10.7265625" style="7" customWidth="1"/>
    <col min="9732" max="9732" width="9.26953125" style="7" customWidth="1"/>
    <col min="9733" max="9756" width="7.26953125" style="7" customWidth="1"/>
    <col min="9757" max="9757" width="11.26953125" style="7" bestFit="1" customWidth="1"/>
    <col min="9758" max="9985" width="11.453125" style="7"/>
    <col min="9986" max="9986" width="7" style="7" customWidth="1"/>
    <col min="9987" max="9987" width="10.7265625" style="7" customWidth="1"/>
    <col min="9988" max="9988" width="9.26953125" style="7" customWidth="1"/>
    <col min="9989" max="10012" width="7.26953125" style="7" customWidth="1"/>
    <col min="10013" max="10013" width="11.26953125" style="7" bestFit="1" customWidth="1"/>
    <col min="10014" max="10241" width="11.453125" style="7"/>
    <col min="10242" max="10242" width="7" style="7" customWidth="1"/>
    <col min="10243" max="10243" width="10.7265625" style="7" customWidth="1"/>
    <col min="10244" max="10244" width="9.26953125" style="7" customWidth="1"/>
    <col min="10245" max="10268" width="7.26953125" style="7" customWidth="1"/>
    <col min="10269" max="10269" width="11.26953125" style="7" bestFit="1" customWidth="1"/>
    <col min="10270" max="10497" width="11.453125" style="7"/>
    <col min="10498" max="10498" width="7" style="7" customWidth="1"/>
    <col min="10499" max="10499" width="10.7265625" style="7" customWidth="1"/>
    <col min="10500" max="10500" width="9.26953125" style="7" customWidth="1"/>
    <col min="10501" max="10524" width="7.26953125" style="7" customWidth="1"/>
    <col min="10525" max="10525" width="11.26953125" style="7" bestFit="1" customWidth="1"/>
    <col min="10526" max="10753" width="11.453125" style="7"/>
    <col min="10754" max="10754" width="7" style="7" customWidth="1"/>
    <col min="10755" max="10755" width="10.7265625" style="7" customWidth="1"/>
    <col min="10756" max="10756" width="9.26953125" style="7" customWidth="1"/>
    <col min="10757" max="10780" width="7.26953125" style="7" customWidth="1"/>
    <col min="10781" max="10781" width="11.26953125" style="7" bestFit="1" customWidth="1"/>
    <col min="10782" max="11009" width="11.453125" style="7"/>
    <col min="11010" max="11010" width="7" style="7" customWidth="1"/>
    <col min="11011" max="11011" width="10.7265625" style="7" customWidth="1"/>
    <col min="11012" max="11012" width="9.26953125" style="7" customWidth="1"/>
    <col min="11013" max="11036" width="7.26953125" style="7" customWidth="1"/>
    <col min="11037" max="11037" width="11.26953125" style="7" bestFit="1" customWidth="1"/>
    <col min="11038" max="11265" width="11.453125" style="7"/>
    <col min="11266" max="11266" width="7" style="7" customWidth="1"/>
    <col min="11267" max="11267" width="10.7265625" style="7" customWidth="1"/>
    <col min="11268" max="11268" width="9.26953125" style="7" customWidth="1"/>
    <col min="11269" max="11292" width="7.26953125" style="7" customWidth="1"/>
    <col min="11293" max="11293" width="11.26953125" style="7" bestFit="1" customWidth="1"/>
    <col min="11294" max="11521" width="11.453125" style="7"/>
    <col min="11522" max="11522" width="7" style="7" customWidth="1"/>
    <col min="11523" max="11523" width="10.7265625" style="7" customWidth="1"/>
    <col min="11524" max="11524" width="9.26953125" style="7" customWidth="1"/>
    <col min="11525" max="11548" width="7.26953125" style="7" customWidth="1"/>
    <col min="11549" max="11549" width="11.26953125" style="7" bestFit="1" customWidth="1"/>
    <col min="11550" max="11777" width="11.453125" style="7"/>
    <col min="11778" max="11778" width="7" style="7" customWidth="1"/>
    <col min="11779" max="11779" width="10.7265625" style="7" customWidth="1"/>
    <col min="11780" max="11780" width="9.26953125" style="7" customWidth="1"/>
    <col min="11781" max="11804" width="7.26953125" style="7" customWidth="1"/>
    <col min="11805" max="11805" width="11.26953125" style="7" bestFit="1" customWidth="1"/>
    <col min="11806" max="12033" width="11.453125" style="7"/>
    <col min="12034" max="12034" width="7" style="7" customWidth="1"/>
    <col min="12035" max="12035" width="10.7265625" style="7" customWidth="1"/>
    <col min="12036" max="12036" width="9.26953125" style="7" customWidth="1"/>
    <col min="12037" max="12060" width="7.26953125" style="7" customWidth="1"/>
    <col min="12061" max="12061" width="11.26953125" style="7" bestFit="1" customWidth="1"/>
    <col min="12062" max="12289" width="11.453125" style="7"/>
    <col min="12290" max="12290" width="7" style="7" customWidth="1"/>
    <col min="12291" max="12291" width="10.7265625" style="7" customWidth="1"/>
    <col min="12292" max="12292" width="9.26953125" style="7" customWidth="1"/>
    <col min="12293" max="12316" width="7.26953125" style="7" customWidth="1"/>
    <col min="12317" max="12317" width="11.26953125" style="7" bestFit="1" customWidth="1"/>
    <col min="12318" max="12545" width="11.453125" style="7"/>
    <col min="12546" max="12546" width="7" style="7" customWidth="1"/>
    <col min="12547" max="12547" width="10.7265625" style="7" customWidth="1"/>
    <col min="12548" max="12548" width="9.26953125" style="7" customWidth="1"/>
    <col min="12549" max="12572" width="7.26953125" style="7" customWidth="1"/>
    <col min="12573" max="12573" width="11.26953125" style="7" bestFit="1" customWidth="1"/>
    <col min="12574" max="12801" width="11.453125" style="7"/>
    <col min="12802" max="12802" width="7" style="7" customWidth="1"/>
    <col min="12803" max="12803" width="10.7265625" style="7" customWidth="1"/>
    <col min="12804" max="12804" width="9.26953125" style="7" customWidth="1"/>
    <col min="12805" max="12828" width="7.26953125" style="7" customWidth="1"/>
    <col min="12829" max="12829" width="11.26953125" style="7" bestFit="1" customWidth="1"/>
    <col min="12830" max="13057" width="11.453125" style="7"/>
    <col min="13058" max="13058" width="7" style="7" customWidth="1"/>
    <col min="13059" max="13059" width="10.7265625" style="7" customWidth="1"/>
    <col min="13060" max="13060" width="9.26953125" style="7" customWidth="1"/>
    <col min="13061" max="13084" width="7.26953125" style="7" customWidth="1"/>
    <col min="13085" max="13085" width="11.26953125" style="7" bestFit="1" customWidth="1"/>
    <col min="13086" max="13313" width="11.453125" style="7"/>
    <col min="13314" max="13314" width="7" style="7" customWidth="1"/>
    <col min="13315" max="13315" width="10.7265625" style="7" customWidth="1"/>
    <col min="13316" max="13316" width="9.26953125" style="7" customWidth="1"/>
    <col min="13317" max="13340" width="7.26953125" style="7" customWidth="1"/>
    <col min="13341" max="13341" width="11.26953125" style="7" bestFit="1" customWidth="1"/>
    <col min="13342" max="13569" width="11.453125" style="7"/>
    <col min="13570" max="13570" width="7" style="7" customWidth="1"/>
    <col min="13571" max="13571" width="10.7265625" style="7" customWidth="1"/>
    <col min="13572" max="13572" width="9.26953125" style="7" customWidth="1"/>
    <col min="13573" max="13596" width="7.26953125" style="7" customWidth="1"/>
    <col min="13597" max="13597" width="11.26953125" style="7" bestFit="1" customWidth="1"/>
    <col min="13598" max="13825" width="11.453125" style="7"/>
    <col min="13826" max="13826" width="7" style="7" customWidth="1"/>
    <col min="13827" max="13827" width="10.7265625" style="7" customWidth="1"/>
    <col min="13828" max="13828" width="9.26953125" style="7" customWidth="1"/>
    <col min="13829" max="13852" width="7.26953125" style="7" customWidth="1"/>
    <col min="13853" max="13853" width="11.26953125" style="7" bestFit="1" customWidth="1"/>
    <col min="13854" max="14081" width="11.453125" style="7"/>
    <col min="14082" max="14082" width="7" style="7" customWidth="1"/>
    <col min="14083" max="14083" width="10.7265625" style="7" customWidth="1"/>
    <col min="14084" max="14084" width="9.26953125" style="7" customWidth="1"/>
    <col min="14085" max="14108" width="7.26953125" style="7" customWidth="1"/>
    <col min="14109" max="14109" width="11.26953125" style="7" bestFit="1" customWidth="1"/>
    <col min="14110" max="14337" width="11.453125" style="7"/>
    <col min="14338" max="14338" width="7" style="7" customWidth="1"/>
    <col min="14339" max="14339" width="10.7265625" style="7" customWidth="1"/>
    <col min="14340" max="14340" width="9.26953125" style="7" customWidth="1"/>
    <col min="14341" max="14364" width="7.26953125" style="7" customWidth="1"/>
    <col min="14365" max="14365" width="11.26953125" style="7" bestFit="1" customWidth="1"/>
    <col min="14366" max="14593" width="11.453125" style="7"/>
    <col min="14594" max="14594" width="7" style="7" customWidth="1"/>
    <col min="14595" max="14595" width="10.7265625" style="7" customWidth="1"/>
    <col min="14596" max="14596" width="9.26953125" style="7" customWidth="1"/>
    <col min="14597" max="14620" width="7.26953125" style="7" customWidth="1"/>
    <col min="14621" max="14621" width="11.26953125" style="7" bestFit="1" customWidth="1"/>
    <col min="14622" max="14849" width="11.453125" style="7"/>
    <col min="14850" max="14850" width="7" style="7" customWidth="1"/>
    <col min="14851" max="14851" width="10.7265625" style="7" customWidth="1"/>
    <col min="14852" max="14852" width="9.26953125" style="7" customWidth="1"/>
    <col min="14853" max="14876" width="7.26953125" style="7" customWidth="1"/>
    <col min="14877" max="14877" width="11.26953125" style="7" bestFit="1" customWidth="1"/>
    <col min="14878" max="15105" width="11.453125" style="7"/>
    <col min="15106" max="15106" width="7" style="7" customWidth="1"/>
    <col min="15107" max="15107" width="10.7265625" style="7" customWidth="1"/>
    <col min="15108" max="15108" width="9.26953125" style="7" customWidth="1"/>
    <col min="15109" max="15132" width="7.26953125" style="7" customWidth="1"/>
    <col min="15133" max="15133" width="11.26953125" style="7" bestFit="1" customWidth="1"/>
    <col min="15134" max="15361" width="11.453125" style="7"/>
    <col min="15362" max="15362" width="7" style="7" customWidth="1"/>
    <col min="15363" max="15363" width="10.7265625" style="7" customWidth="1"/>
    <col min="15364" max="15364" width="9.26953125" style="7" customWidth="1"/>
    <col min="15365" max="15388" width="7.26953125" style="7" customWidth="1"/>
    <col min="15389" max="15389" width="11.26953125" style="7" bestFit="1" customWidth="1"/>
    <col min="15390" max="15617" width="11.453125" style="7"/>
    <col min="15618" max="15618" width="7" style="7" customWidth="1"/>
    <col min="15619" max="15619" width="10.7265625" style="7" customWidth="1"/>
    <col min="15620" max="15620" width="9.26953125" style="7" customWidth="1"/>
    <col min="15621" max="15644" width="7.26953125" style="7" customWidth="1"/>
    <col min="15645" max="15645" width="11.26953125" style="7" bestFit="1" customWidth="1"/>
    <col min="15646" max="15873" width="11.453125" style="7"/>
    <col min="15874" max="15874" width="7" style="7" customWidth="1"/>
    <col min="15875" max="15875" width="10.7265625" style="7" customWidth="1"/>
    <col min="15876" max="15876" width="9.26953125" style="7" customWidth="1"/>
    <col min="15877" max="15900" width="7.26953125" style="7" customWidth="1"/>
    <col min="15901" max="15901" width="11.26953125" style="7" bestFit="1" customWidth="1"/>
    <col min="15902" max="16129" width="11.453125" style="7"/>
    <col min="16130" max="16130" width="7" style="7" customWidth="1"/>
    <col min="16131" max="16131" width="10.7265625" style="7" customWidth="1"/>
    <col min="16132" max="16132" width="9.26953125" style="7" customWidth="1"/>
    <col min="16133" max="16156" width="7.26953125" style="7" customWidth="1"/>
    <col min="16157" max="16157" width="11.26953125" style="7" bestFit="1" customWidth="1"/>
    <col min="16158" max="16384" width="11.453125" style="7"/>
  </cols>
  <sheetData>
    <row r="1" spans="2:56" ht="18.649999999999999" customHeight="1" x14ac:dyDescent="0.25"/>
    <row r="2" spans="2:56" ht="18.649999999999999" customHeight="1" x14ac:dyDescent="0.25">
      <c r="B2" s="79" t="s">
        <v>45</v>
      </c>
      <c r="C2" s="79"/>
      <c r="D2" s="79"/>
      <c r="E2" s="79"/>
      <c r="F2" s="79"/>
      <c r="G2" s="79"/>
      <c r="H2" s="79"/>
      <c r="I2" s="79"/>
      <c r="J2" s="79"/>
      <c r="K2" s="79"/>
      <c r="L2" s="79"/>
      <c r="M2" s="79"/>
      <c r="N2" s="79"/>
      <c r="O2" s="79"/>
      <c r="P2" s="79"/>
      <c r="Q2" s="79"/>
      <c r="R2" s="79"/>
      <c r="S2" s="79"/>
      <c r="T2" s="79"/>
      <c r="U2" s="79"/>
      <c r="V2" s="79"/>
      <c r="W2" s="79"/>
      <c r="X2" s="79"/>
      <c r="Y2" s="79"/>
      <c r="Z2" s="79"/>
      <c r="AA2" s="79"/>
      <c r="AB2" s="79"/>
      <c r="AC2" s="79"/>
    </row>
    <row r="3" spans="2:56" ht="18.649999999999999" customHeight="1" x14ac:dyDescent="0.25">
      <c r="B3" s="79" t="s">
        <v>44</v>
      </c>
      <c r="C3" s="79"/>
      <c r="D3" s="79"/>
      <c r="E3" s="79"/>
      <c r="F3" s="79"/>
      <c r="G3" s="79"/>
      <c r="H3" s="79"/>
      <c r="I3" s="79"/>
      <c r="J3" s="79"/>
      <c r="K3" s="79"/>
      <c r="L3" s="79"/>
      <c r="M3" s="79"/>
      <c r="N3" s="79"/>
      <c r="O3" s="79"/>
      <c r="P3" s="79"/>
      <c r="Q3" s="79"/>
      <c r="R3" s="79"/>
      <c r="S3" s="79"/>
      <c r="T3" s="79"/>
      <c r="U3" s="79"/>
      <c r="V3" s="79"/>
      <c r="W3" s="79"/>
      <c r="X3" s="79"/>
      <c r="Y3" s="79"/>
      <c r="Z3" s="79"/>
      <c r="AA3" s="79"/>
      <c r="AB3" s="79"/>
      <c r="AC3" s="79"/>
    </row>
    <row r="4" spans="2:56" ht="18.649999999999999" customHeight="1" x14ac:dyDescent="0.25">
      <c r="B4" s="79">
        <v>2029</v>
      </c>
      <c r="C4" s="79"/>
      <c r="D4" s="79"/>
      <c r="E4" s="79"/>
      <c r="F4" s="79"/>
      <c r="G4" s="79"/>
      <c r="H4" s="79"/>
      <c r="I4" s="79"/>
      <c r="J4" s="79"/>
      <c r="K4" s="79"/>
      <c r="L4" s="79"/>
      <c r="M4" s="79"/>
      <c r="N4" s="79"/>
      <c r="O4" s="79"/>
      <c r="P4" s="79"/>
      <c r="Q4" s="79"/>
      <c r="R4" s="79"/>
      <c r="S4" s="79"/>
      <c r="T4" s="79"/>
      <c r="U4" s="79"/>
      <c r="V4" s="79"/>
      <c r="W4" s="79"/>
      <c r="X4" s="79"/>
      <c r="Y4" s="79"/>
      <c r="Z4" s="79"/>
      <c r="AA4" s="79"/>
      <c r="AB4" s="79"/>
      <c r="AC4" s="79"/>
    </row>
    <row r="5" spans="2:56" ht="18.649999999999999" customHeight="1" x14ac:dyDescent="0.25"/>
    <row r="6" spans="2:56" ht="15.5" x14ac:dyDescent="0.25">
      <c r="B6" s="2" t="s">
        <v>0</v>
      </c>
      <c r="C6" s="3" t="s">
        <v>1</v>
      </c>
      <c r="D6" s="2" t="s">
        <v>2</v>
      </c>
      <c r="E6" s="9" t="s">
        <v>3</v>
      </c>
      <c r="F6" s="9" t="s">
        <v>4</v>
      </c>
      <c r="G6" s="9" t="s">
        <v>5</v>
      </c>
      <c r="H6" s="9" t="s">
        <v>6</v>
      </c>
      <c r="I6" s="9" t="s">
        <v>7</v>
      </c>
      <c r="J6" s="9" t="s">
        <v>8</v>
      </c>
      <c r="K6" s="9" t="s">
        <v>9</v>
      </c>
      <c r="L6" s="9" t="s">
        <v>10</v>
      </c>
      <c r="M6" s="9" t="s">
        <v>11</v>
      </c>
      <c r="N6" s="9" t="s">
        <v>12</v>
      </c>
      <c r="O6" s="9" t="s">
        <v>13</v>
      </c>
      <c r="P6" s="9" t="s">
        <v>14</v>
      </c>
      <c r="Q6" s="9" t="s">
        <v>15</v>
      </c>
      <c r="R6" s="9" t="s">
        <v>16</v>
      </c>
      <c r="S6" s="9" t="s">
        <v>17</v>
      </c>
      <c r="T6" s="9" t="s">
        <v>18</v>
      </c>
      <c r="U6" s="9" t="s">
        <v>19</v>
      </c>
      <c r="V6" s="9" t="s">
        <v>20</v>
      </c>
      <c r="W6" s="9" t="s">
        <v>21</v>
      </c>
      <c r="X6" s="9" t="s">
        <v>22</v>
      </c>
      <c r="Y6" s="9" t="s">
        <v>23</v>
      </c>
      <c r="Z6" s="9" t="s">
        <v>24</v>
      </c>
      <c r="AA6" s="9" t="s">
        <v>25</v>
      </c>
      <c r="AB6" s="9" t="s">
        <v>26</v>
      </c>
      <c r="AC6" s="9" t="s">
        <v>27</v>
      </c>
    </row>
    <row r="7" spans="2:56" ht="18.649999999999999" customHeight="1" x14ac:dyDescent="0.25">
      <c r="B7" s="70" t="s">
        <v>28</v>
      </c>
      <c r="C7" s="4" t="s">
        <v>29</v>
      </c>
      <c r="D7" s="5">
        <v>21</v>
      </c>
      <c r="E7" s="11">
        <v>5000</v>
      </c>
      <c r="F7" s="11">
        <v>5000</v>
      </c>
      <c r="G7" s="11">
        <v>5000</v>
      </c>
      <c r="H7" s="11">
        <v>5000</v>
      </c>
      <c r="I7" s="11">
        <v>5000</v>
      </c>
      <c r="J7" s="11">
        <v>5000</v>
      </c>
      <c r="K7" s="11">
        <v>5000</v>
      </c>
      <c r="L7" s="11">
        <v>5000</v>
      </c>
      <c r="M7" s="11">
        <v>5000</v>
      </c>
      <c r="N7" s="11">
        <v>5000</v>
      </c>
      <c r="O7" s="11">
        <v>5000</v>
      </c>
      <c r="P7" s="11">
        <v>5000</v>
      </c>
      <c r="Q7" s="11">
        <v>5000</v>
      </c>
      <c r="R7" s="11">
        <v>5000</v>
      </c>
      <c r="S7" s="11">
        <v>5000</v>
      </c>
      <c r="T7" s="11">
        <v>5000</v>
      </c>
      <c r="U7" s="11">
        <v>5000</v>
      </c>
      <c r="V7" s="11">
        <v>5000</v>
      </c>
      <c r="W7" s="11">
        <v>5000</v>
      </c>
      <c r="X7" s="11">
        <v>5000</v>
      </c>
      <c r="Y7" s="11">
        <v>5000</v>
      </c>
      <c r="Z7" s="11">
        <v>5000</v>
      </c>
      <c r="AA7" s="11">
        <v>5000</v>
      </c>
      <c r="AB7" s="11">
        <v>5000</v>
      </c>
      <c r="AC7" s="76">
        <f>+SUM(E7:AB7)*D7+SUM(E8:AB8)*D8+SUM(E9:AB9)*D9+SUM(E10:AB10)*D10</f>
        <v>3720000</v>
      </c>
      <c r="AE7" s="17">
        <f>+AC7</f>
        <v>3720000</v>
      </c>
      <c r="AG7" s="15"/>
      <c r="AH7" s="15"/>
      <c r="AI7" s="15"/>
      <c r="AJ7" s="15"/>
      <c r="AK7" s="15"/>
      <c r="AL7" s="15"/>
      <c r="AM7" s="15"/>
      <c r="AN7" s="15"/>
      <c r="AO7" s="15"/>
      <c r="AP7" s="15"/>
      <c r="AQ7" s="15"/>
      <c r="AR7" s="15"/>
      <c r="AS7" s="15"/>
      <c r="AT7" s="15"/>
      <c r="AU7" s="15"/>
      <c r="AV7" s="15"/>
      <c r="AW7" s="15"/>
      <c r="AX7" s="15"/>
      <c r="AY7" s="15"/>
      <c r="AZ7" s="15"/>
      <c r="BA7" s="15"/>
      <c r="BB7" s="15"/>
      <c r="BC7" s="15"/>
      <c r="BD7" s="15"/>
    </row>
    <row r="8" spans="2:56" ht="18.649999999999999" customHeight="1" x14ac:dyDescent="0.25">
      <c r="B8" s="70" t="s">
        <v>28</v>
      </c>
      <c r="C8" s="4" t="s">
        <v>30</v>
      </c>
      <c r="D8" s="5">
        <v>4</v>
      </c>
      <c r="E8" s="11">
        <v>5000</v>
      </c>
      <c r="F8" s="11">
        <v>5000</v>
      </c>
      <c r="G8" s="11">
        <v>5000</v>
      </c>
      <c r="H8" s="11">
        <v>5000</v>
      </c>
      <c r="I8" s="11">
        <v>5000</v>
      </c>
      <c r="J8" s="11">
        <v>5000</v>
      </c>
      <c r="K8" s="11">
        <v>5000</v>
      </c>
      <c r="L8" s="11">
        <v>5000</v>
      </c>
      <c r="M8" s="11">
        <v>5000</v>
      </c>
      <c r="N8" s="11">
        <v>5000</v>
      </c>
      <c r="O8" s="11">
        <v>5000</v>
      </c>
      <c r="P8" s="11">
        <v>5000</v>
      </c>
      <c r="Q8" s="11">
        <v>5000</v>
      </c>
      <c r="R8" s="11">
        <v>5000</v>
      </c>
      <c r="S8" s="11">
        <v>5000</v>
      </c>
      <c r="T8" s="11">
        <v>5000</v>
      </c>
      <c r="U8" s="11">
        <v>5000</v>
      </c>
      <c r="V8" s="11">
        <v>5000</v>
      </c>
      <c r="W8" s="11">
        <v>5000</v>
      </c>
      <c r="X8" s="11">
        <v>5000</v>
      </c>
      <c r="Y8" s="11">
        <v>5000</v>
      </c>
      <c r="Z8" s="11">
        <v>5000</v>
      </c>
      <c r="AA8" s="11">
        <v>5000</v>
      </c>
      <c r="AB8" s="11">
        <v>5000</v>
      </c>
      <c r="AC8" s="77"/>
      <c r="AE8" s="17">
        <f>+AC11</f>
        <v>3360000</v>
      </c>
      <c r="AG8" s="15"/>
      <c r="AH8" s="15"/>
      <c r="AI8" s="15"/>
      <c r="AJ8" s="15"/>
      <c r="AK8" s="15"/>
      <c r="AL8" s="15"/>
      <c r="AM8" s="15"/>
      <c r="AN8" s="15"/>
      <c r="AO8" s="15"/>
      <c r="AP8" s="15"/>
      <c r="AQ8" s="15"/>
      <c r="AR8" s="15"/>
      <c r="AS8" s="15"/>
      <c r="AT8" s="15"/>
      <c r="AU8" s="15"/>
      <c r="AV8" s="15"/>
      <c r="AW8" s="15"/>
      <c r="AX8" s="15"/>
      <c r="AY8" s="15"/>
      <c r="AZ8" s="15"/>
      <c r="BA8" s="15"/>
      <c r="BB8" s="15"/>
      <c r="BC8" s="15"/>
      <c r="BD8" s="15"/>
    </row>
    <row r="9" spans="2:56" ht="18.649999999999999" customHeight="1" x14ac:dyDescent="0.25">
      <c r="B9" s="70" t="s">
        <v>28</v>
      </c>
      <c r="C9" s="4" t="s">
        <v>31</v>
      </c>
      <c r="D9" s="5">
        <v>4</v>
      </c>
      <c r="E9" s="11">
        <v>5000</v>
      </c>
      <c r="F9" s="11">
        <v>5000</v>
      </c>
      <c r="G9" s="11">
        <v>5000</v>
      </c>
      <c r="H9" s="11">
        <v>5000</v>
      </c>
      <c r="I9" s="11">
        <v>5000</v>
      </c>
      <c r="J9" s="11">
        <v>5000</v>
      </c>
      <c r="K9" s="11">
        <v>5000</v>
      </c>
      <c r="L9" s="11">
        <v>5000</v>
      </c>
      <c r="M9" s="11">
        <v>5000</v>
      </c>
      <c r="N9" s="11">
        <v>5000</v>
      </c>
      <c r="O9" s="11">
        <v>5000</v>
      </c>
      <c r="P9" s="11">
        <v>5000</v>
      </c>
      <c r="Q9" s="11">
        <v>5000</v>
      </c>
      <c r="R9" s="11">
        <v>5000</v>
      </c>
      <c r="S9" s="11">
        <v>5000</v>
      </c>
      <c r="T9" s="11">
        <v>5000</v>
      </c>
      <c r="U9" s="11">
        <v>5000</v>
      </c>
      <c r="V9" s="11">
        <v>5000</v>
      </c>
      <c r="W9" s="11">
        <v>5000</v>
      </c>
      <c r="X9" s="11">
        <v>5000</v>
      </c>
      <c r="Y9" s="11">
        <v>5000</v>
      </c>
      <c r="Z9" s="11">
        <v>5000</v>
      </c>
      <c r="AA9" s="11">
        <v>5000</v>
      </c>
      <c r="AB9" s="11">
        <v>5000</v>
      </c>
      <c r="AC9" s="77"/>
      <c r="AE9" s="17">
        <f>+AC15</f>
        <v>3720000</v>
      </c>
      <c r="AG9" s="15"/>
      <c r="AH9" s="15"/>
      <c r="AI9" s="15"/>
      <c r="AJ9" s="15"/>
      <c r="AK9" s="15"/>
      <c r="AL9" s="15"/>
      <c r="AM9" s="15"/>
      <c r="AN9" s="15"/>
      <c r="AO9" s="15"/>
      <c r="AP9" s="15"/>
      <c r="AQ9" s="15"/>
      <c r="AR9" s="15"/>
      <c r="AS9" s="15"/>
      <c r="AT9" s="15"/>
      <c r="AU9" s="15"/>
      <c r="AV9" s="15"/>
      <c r="AW9" s="15"/>
      <c r="AX9" s="15"/>
      <c r="AY9" s="15"/>
      <c r="AZ9" s="15"/>
      <c r="BA9" s="15"/>
      <c r="BB9" s="15"/>
      <c r="BC9" s="15"/>
      <c r="BD9" s="15"/>
    </row>
    <row r="10" spans="2:56" ht="18.649999999999999" customHeight="1" x14ac:dyDescent="0.25">
      <c r="B10" s="70" t="s">
        <v>28</v>
      </c>
      <c r="C10" s="4" t="s">
        <v>32</v>
      </c>
      <c r="D10" s="5">
        <v>2</v>
      </c>
      <c r="E10" s="11">
        <v>5000</v>
      </c>
      <c r="F10" s="11">
        <v>5000</v>
      </c>
      <c r="G10" s="11">
        <v>5000</v>
      </c>
      <c r="H10" s="11">
        <v>5000</v>
      </c>
      <c r="I10" s="11">
        <v>5000</v>
      </c>
      <c r="J10" s="11">
        <v>5000</v>
      </c>
      <c r="K10" s="11">
        <v>5000</v>
      </c>
      <c r="L10" s="11">
        <v>5000</v>
      </c>
      <c r="M10" s="11">
        <v>5000</v>
      </c>
      <c r="N10" s="11">
        <v>5000</v>
      </c>
      <c r="O10" s="11">
        <v>5000</v>
      </c>
      <c r="P10" s="11">
        <v>5000</v>
      </c>
      <c r="Q10" s="11">
        <v>5000</v>
      </c>
      <c r="R10" s="11">
        <v>5000</v>
      </c>
      <c r="S10" s="11">
        <v>5000</v>
      </c>
      <c r="T10" s="11">
        <v>5000</v>
      </c>
      <c r="U10" s="11">
        <v>5000</v>
      </c>
      <c r="V10" s="11">
        <v>5000</v>
      </c>
      <c r="W10" s="11">
        <v>5000</v>
      </c>
      <c r="X10" s="11">
        <v>5000</v>
      </c>
      <c r="Y10" s="11">
        <v>5000</v>
      </c>
      <c r="Z10" s="11">
        <v>5000</v>
      </c>
      <c r="AA10" s="11">
        <v>5000</v>
      </c>
      <c r="AB10" s="11">
        <v>5000</v>
      </c>
      <c r="AC10" s="78"/>
      <c r="AE10" s="17">
        <f>+AC19</f>
        <v>3600000</v>
      </c>
      <c r="AG10" s="15"/>
      <c r="AH10" s="15"/>
      <c r="AI10" s="15"/>
      <c r="AJ10" s="15"/>
      <c r="AK10" s="15"/>
      <c r="AL10" s="15"/>
      <c r="AM10" s="15"/>
      <c r="AN10" s="15"/>
      <c r="AO10" s="15"/>
      <c r="AP10" s="15"/>
      <c r="AQ10" s="15"/>
      <c r="AR10" s="15"/>
      <c r="AS10" s="15"/>
      <c r="AT10" s="15"/>
      <c r="AU10" s="15"/>
      <c r="AV10" s="15"/>
      <c r="AW10" s="15"/>
      <c r="AX10" s="15"/>
      <c r="AY10" s="15"/>
      <c r="AZ10" s="15"/>
      <c r="BA10" s="15"/>
      <c r="BB10" s="15"/>
      <c r="BC10" s="15"/>
      <c r="BD10" s="15"/>
    </row>
    <row r="11" spans="2:56" ht="18.649999999999999" customHeight="1" x14ac:dyDescent="0.25">
      <c r="B11" s="70" t="s">
        <v>33</v>
      </c>
      <c r="C11" s="4" t="s">
        <v>29</v>
      </c>
      <c r="D11" s="5">
        <v>20</v>
      </c>
      <c r="E11" s="11">
        <v>5000</v>
      </c>
      <c r="F11" s="11">
        <v>5000</v>
      </c>
      <c r="G11" s="11">
        <v>5000</v>
      </c>
      <c r="H11" s="11">
        <v>5000</v>
      </c>
      <c r="I11" s="11">
        <v>5000</v>
      </c>
      <c r="J11" s="11">
        <v>5000</v>
      </c>
      <c r="K11" s="11">
        <v>5000</v>
      </c>
      <c r="L11" s="11">
        <v>5000</v>
      </c>
      <c r="M11" s="11">
        <v>5000</v>
      </c>
      <c r="N11" s="11">
        <v>5000</v>
      </c>
      <c r="O11" s="11">
        <v>5000</v>
      </c>
      <c r="P11" s="11">
        <v>5000</v>
      </c>
      <c r="Q11" s="11">
        <v>5000</v>
      </c>
      <c r="R11" s="11">
        <v>5000</v>
      </c>
      <c r="S11" s="11">
        <v>5000</v>
      </c>
      <c r="T11" s="11">
        <v>5000</v>
      </c>
      <c r="U11" s="11">
        <v>5000</v>
      </c>
      <c r="V11" s="11">
        <v>5000</v>
      </c>
      <c r="W11" s="11">
        <v>5000</v>
      </c>
      <c r="X11" s="11">
        <v>5000</v>
      </c>
      <c r="Y11" s="11">
        <v>5000</v>
      </c>
      <c r="Z11" s="11">
        <v>5000</v>
      </c>
      <c r="AA11" s="11">
        <v>5000</v>
      </c>
      <c r="AB11" s="11">
        <v>5000</v>
      </c>
      <c r="AC11" s="76">
        <f>+SUM(E11:AB11)*D11+SUM(E12:AB12)*D12+SUM(E13:AB13)*D13+SUM(E14:AB14)*D14</f>
        <v>3360000</v>
      </c>
      <c r="AE11" s="17">
        <f>+AC23</f>
        <v>3720000</v>
      </c>
      <c r="AG11" s="15"/>
      <c r="AH11" s="15"/>
      <c r="AI11" s="15"/>
      <c r="AJ11" s="15"/>
      <c r="AK11" s="15"/>
      <c r="AL11" s="15"/>
      <c r="AM11" s="15"/>
      <c r="AN11" s="15"/>
      <c r="AO11" s="15"/>
      <c r="AP11" s="15"/>
      <c r="AQ11" s="15"/>
      <c r="AR11" s="15"/>
      <c r="AS11" s="15"/>
      <c r="AT11" s="15"/>
      <c r="AU11" s="15"/>
      <c r="AV11" s="15"/>
      <c r="AW11" s="15"/>
      <c r="AX11" s="15"/>
      <c r="AY11" s="15"/>
      <c r="AZ11" s="15"/>
      <c r="BA11" s="15"/>
      <c r="BB11" s="15"/>
      <c r="BC11" s="15"/>
      <c r="BD11" s="15"/>
    </row>
    <row r="12" spans="2:56" ht="18.649999999999999" customHeight="1" x14ac:dyDescent="0.25">
      <c r="B12" s="70" t="s">
        <v>33</v>
      </c>
      <c r="C12" s="4" t="s">
        <v>30</v>
      </c>
      <c r="D12" s="5">
        <v>4</v>
      </c>
      <c r="E12" s="11">
        <v>5000</v>
      </c>
      <c r="F12" s="11">
        <v>5000</v>
      </c>
      <c r="G12" s="11">
        <v>5000</v>
      </c>
      <c r="H12" s="11">
        <v>5000</v>
      </c>
      <c r="I12" s="11">
        <v>5000</v>
      </c>
      <c r="J12" s="11">
        <v>5000</v>
      </c>
      <c r="K12" s="11">
        <v>5000</v>
      </c>
      <c r="L12" s="11">
        <v>5000</v>
      </c>
      <c r="M12" s="11">
        <v>5000</v>
      </c>
      <c r="N12" s="11">
        <v>5000</v>
      </c>
      <c r="O12" s="11">
        <v>5000</v>
      </c>
      <c r="P12" s="11">
        <v>5000</v>
      </c>
      <c r="Q12" s="11">
        <v>5000</v>
      </c>
      <c r="R12" s="11">
        <v>5000</v>
      </c>
      <c r="S12" s="11">
        <v>5000</v>
      </c>
      <c r="T12" s="11">
        <v>5000</v>
      </c>
      <c r="U12" s="11">
        <v>5000</v>
      </c>
      <c r="V12" s="11">
        <v>5000</v>
      </c>
      <c r="W12" s="11">
        <v>5000</v>
      </c>
      <c r="X12" s="11">
        <v>5000</v>
      </c>
      <c r="Y12" s="11">
        <v>5000</v>
      </c>
      <c r="Z12" s="11">
        <v>5000</v>
      </c>
      <c r="AA12" s="11">
        <v>5000</v>
      </c>
      <c r="AB12" s="11">
        <v>5000</v>
      </c>
      <c r="AC12" s="77"/>
      <c r="AE12" s="17">
        <f>+AC27</f>
        <v>3600000</v>
      </c>
      <c r="AG12" s="15"/>
      <c r="AH12" s="15"/>
      <c r="AI12" s="15"/>
      <c r="AJ12" s="15"/>
      <c r="AK12" s="15"/>
      <c r="AL12" s="15"/>
      <c r="AM12" s="15"/>
      <c r="AN12" s="15"/>
      <c r="AO12" s="15"/>
      <c r="AP12" s="15"/>
      <c r="AQ12" s="15"/>
      <c r="AR12" s="15"/>
      <c r="AS12" s="15"/>
      <c r="AT12" s="15"/>
      <c r="AU12" s="15"/>
      <c r="AV12" s="15"/>
      <c r="AW12" s="15"/>
      <c r="AX12" s="15"/>
      <c r="AY12" s="15"/>
      <c r="AZ12" s="15"/>
      <c r="BA12" s="15"/>
      <c r="BB12" s="15"/>
      <c r="BC12" s="15"/>
      <c r="BD12" s="15"/>
    </row>
    <row r="13" spans="2:56" ht="18.649999999999999" customHeight="1" x14ac:dyDescent="0.25">
      <c r="B13" s="70" t="s">
        <v>33</v>
      </c>
      <c r="C13" s="4" t="s">
        <v>31</v>
      </c>
      <c r="D13" s="5">
        <v>4</v>
      </c>
      <c r="E13" s="11">
        <v>5000</v>
      </c>
      <c r="F13" s="11">
        <v>5000</v>
      </c>
      <c r="G13" s="11">
        <v>5000</v>
      </c>
      <c r="H13" s="11">
        <v>5000</v>
      </c>
      <c r="I13" s="11">
        <v>5000</v>
      </c>
      <c r="J13" s="11">
        <v>5000</v>
      </c>
      <c r="K13" s="11">
        <v>5000</v>
      </c>
      <c r="L13" s="11">
        <v>5000</v>
      </c>
      <c r="M13" s="11">
        <v>5000</v>
      </c>
      <c r="N13" s="11">
        <v>5000</v>
      </c>
      <c r="O13" s="11">
        <v>5000</v>
      </c>
      <c r="P13" s="11">
        <v>5000</v>
      </c>
      <c r="Q13" s="11">
        <v>5000</v>
      </c>
      <c r="R13" s="11">
        <v>5000</v>
      </c>
      <c r="S13" s="11">
        <v>5000</v>
      </c>
      <c r="T13" s="11">
        <v>5000</v>
      </c>
      <c r="U13" s="11">
        <v>5000</v>
      </c>
      <c r="V13" s="11">
        <v>5000</v>
      </c>
      <c r="W13" s="11">
        <v>5000</v>
      </c>
      <c r="X13" s="11">
        <v>5000</v>
      </c>
      <c r="Y13" s="11">
        <v>5000</v>
      </c>
      <c r="Z13" s="11">
        <v>5000</v>
      </c>
      <c r="AA13" s="11">
        <v>5000</v>
      </c>
      <c r="AB13" s="11">
        <v>5000</v>
      </c>
      <c r="AC13" s="77"/>
      <c r="AE13" s="17">
        <f>+AC31</f>
        <v>3720000</v>
      </c>
      <c r="AG13" s="15"/>
      <c r="AH13" s="15"/>
      <c r="AI13" s="15"/>
      <c r="AJ13" s="15"/>
      <c r="AK13" s="15"/>
      <c r="AL13" s="15"/>
      <c r="AM13" s="15"/>
      <c r="AN13" s="15"/>
      <c r="AO13" s="15"/>
      <c r="AP13" s="15"/>
      <c r="AQ13" s="15"/>
      <c r="AR13" s="15"/>
      <c r="AS13" s="15"/>
      <c r="AT13" s="15"/>
      <c r="AU13" s="15"/>
      <c r="AV13" s="15"/>
      <c r="AW13" s="15"/>
      <c r="AX13" s="15"/>
      <c r="AY13" s="15"/>
      <c r="AZ13" s="15"/>
      <c r="BA13" s="15"/>
      <c r="BB13" s="15"/>
      <c r="BC13" s="15"/>
      <c r="BD13" s="15"/>
    </row>
    <row r="14" spans="2:56" ht="18.649999999999999" customHeight="1" x14ac:dyDescent="0.25">
      <c r="B14" s="70" t="s">
        <v>33</v>
      </c>
      <c r="C14" s="4" t="s">
        <v>32</v>
      </c>
      <c r="D14" s="5">
        <v>0</v>
      </c>
      <c r="E14" s="11"/>
      <c r="F14" s="11"/>
      <c r="G14" s="11"/>
      <c r="H14" s="11"/>
      <c r="I14" s="11"/>
      <c r="J14" s="11"/>
      <c r="K14" s="11"/>
      <c r="L14" s="11"/>
      <c r="M14" s="11"/>
      <c r="N14" s="11"/>
      <c r="O14" s="11"/>
      <c r="P14" s="11"/>
      <c r="Q14" s="11"/>
      <c r="R14" s="11"/>
      <c r="S14" s="11"/>
      <c r="T14" s="11"/>
      <c r="U14" s="11"/>
      <c r="V14" s="11"/>
      <c r="W14" s="11"/>
      <c r="X14" s="11"/>
      <c r="Y14" s="11"/>
      <c r="Z14" s="11"/>
      <c r="AA14" s="11"/>
      <c r="AB14" s="11"/>
      <c r="AC14" s="78"/>
      <c r="AE14" s="17">
        <f>+AC35</f>
        <v>3720000</v>
      </c>
      <c r="AG14" s="15"/>
      <c r="AH14" s="15"/>
      <c r="AI14" s="15"/>
      <c r="AJ14" s="15"/>
      <c r="AK14" s="15"/>
      <c r="AL14" s="15"/>
      <c r="AM14" s="15"/>
      <c r="AN14" s="15"/>
      <c r="AO14" s="15"/>
      <c r="AP14" s="15"/>
      <c r="AQ14" s="15"/>
      <c r="AR14" s="15"/>
      <c r="AS14" s="15"/>
      <c r="AT14" s="15"/>
      <c r="AU14" s="15"/>
      <c r="AV14" s="15"/>
      <c r="AW14" s="15"/>
      <c r="AX14" s="15"/>
      <c r="AY14" s="15"/>
      <c r="AZ14" s="15"/>
      <c r="BA14" s="15"/>
      <c r="BB14" s="15"/>
      <c r="BC14" s="15"/>
      <c r="BD14" s="15"/>
    </row>
    <row r="15" spans="2:56" ht="18.649999999999999" customHeight="1" x14ac:dyDescent="0.25">
      <c r="B15" s="70" t="s">
        <v>34</v>
      </c>
      <c r="C15" s="4" t="s">
        <v>29</v>
      </c>
      <c r="D15" s="5">
        <v>19</v>
      </c>
      <c r="E15" s="11">
        <v>5000</v>
      </c>
      <c r="F15" s="11">
        <v>5000</v>
      </c>
      <c r="G15" s="11">
        <v>5000</v>
      </c>
      <c r="H15" s="11">
        <v>5000</v>
      </c>
      <c r="I15" s="11">
        <v>5000</v>
      </c>
      <c r="J15" s="11">
        <v>5000</v>
      </c>
      <c r="K15" s="11">
        <v>5000</v>
      </c>
      <c r="L15" s="11">
        <v>5000</v>
      </c>
      <c r="M15" s="11">
        <v>5000</v>
      </c>
      <c r="N15" s="11">
        <v>5000</v>
      </c>
      <c r="O15" s="11">
        <v>5000</v>
      </c>
      <c r="P15" s="11">
        <v>5000</v>
      </c>
      <c r="Q15" s="11">
        <v>5000</v>
      </c>
      <c r="R15" s="11">
        <v>5000</v>
      </c>
      <c r="S15" s="11">
        <v>5000</v>
      </c>
      <c r="T15" s="11">
        <v>5000</v>
      </c>
      <c r="U15" s="11">
        <v>5000</v>
      </c>
      <c r="V15" s="11">
        <v>5000</v>
      </c>
      <c r="W15" s="11">
        <v>5000</v>
      </c>
      <c r="X15" s="11">
        <v>5000</v>
      </c>
      <c r="Y15" s="11">
        <v>5000</v>
      </c>
      <c r="Z15" s="11">
        <v>5000</v>
      </c>
      <c r="AA15" s="11">
        <v>5000</v>
      </c>
      <c r="AB15" s="11">
        <v>5000</v>
      </c>
      <c r="AC15" s="76">
        <f>+SUM(E15:AB15)*D15+SUM(E16:AB16)*D16+SUM(E17:AB17)*D17+SUM(E18:AB18)*D18</f>
        <v>3720000</v>
      </c>
      <c r="AE15" s="17">
        <f>+AC39</f>
        <v>3600000</v>
      </c>
      <c r="AG15" s="15"/>
      <c r="AH15" s="15"/>
      <c r="AI15" s="15"/>
      <c r="AJ15" s="15"/>
      <c r="AK15" s="15"/>
      <c r="AL15" s="15"/>
      <c r="AM15" s="15"/>
      <c r="AN15" s="15"/>
      <c r="AO15" s="15"/>
      <c r="AP15" s="15"/>
      <c r="AQ15" s="15"/>
      <c r="AR15" s="15"/>
      <c r="AS15" s="15"/>
      <c r="AT15" s="15"/>
      <c r="AU15" s="15"/>
      <c r="AV15" s="15"/>
      <c r="AW15" s="15"/>
      <c r="AX15" s="15"/>
      <c r="AY15" s="15"/>
      <c r="AZ15" s="15"/>
      <c r="BA15" s="15"/>
      <c r="BB15" s="15"/>
      <c r="BC15" s="15"/>
      <c r="BD15" s="15"/>
    </row>
    <row r="16" spans="2:56" ht="18.649999999999999" customHeight="1" x14ac:dyDescent="0.25">
      <c r="B16" s="70" t="s">
        <v>34</v>
      </c>
      <c r="C16" s="4" t="s">
        <v>30</v>
      </c>
      <c r="D16" s="5">
        <v>5</v>
      </c>
      <c r="E16" s="11">
        <v>5000</v>
      </c>
      <c r="F16" s="11">
        <v>5000</v>
      </c>
      <c r="G16" s="11">
        <v>5000</v>
      </c>
      <c r="H16" s="11">
        <v>5000</v>
      </c>
      <c r="I16" s="11">
        <v>5000</v>
      </c>
      <c r="J16" s="11">
        <v>5000</v>
      </c>
      <c r="K16" s="11">
        <v>5000</v>
      </c>
      <c r="L16" s="11">
        <v>5000</v>
      </c>
      <c r="M16" s="11">
        <v>5000</v>
      </c>
      <c r="N16" s="11">
        <v>5000</v>
      </c>
      <c r="O16" s="11">
        <v>5000</v>
      </c>
      <c r="P16" s="11">
        <v>5000</v>
      </c>
      <c r="Q16" s="11">
        <v>5000</v>
      </c>
      <c r="R16" s="11">
        <v>5000</v>
      </c>
      <c r="S16" s="11">
        <v>5000</v>
      </c>
      <c r="T16" s="11">
        <v>5000</v>
      </c>
      <c r="U16" s="11">
        <v>5000</v>
      </c>
      <c r="V16" s="11">
        <v>5000</v>
      </c>
      <c r="W16" s="11">
        <v>5000</v>
      </c>
      <c r="X16" s="11">
        <v>5000</v>
      </c>
      <c r="Y16" s="11">
        <v>5000</v>
      </c>
      <c r="Z16" s="11">
        <v>5000</v>
      </c>
      <c r="AA16" s="11">
        <v>5000</v>
      </c>
      <c r="AB16" s="11">
        <v>5000</v>
      </c>
      <c r="AC16" s="77"/>
      <c r="AE16" s="17">
        <f>+AC43</f>
        <v>3720000</v>
      </c>
      <c r="AG16" s="15"/>
      <c r="AH16" s="15"/>
      <c r="AI16" s="15"/>
      <c r="AJ16" s="15"/>
      <c r="AK16" s="15"/>
      <c r="AL16" s="15"/>
      <c r="AM16" s="15"/>
      <c r="AN16" s="15"/>
      <c r="AO16" s="15"/>
      <c r="AP16" s="15"/>
      <c r="AQ16" s="15"/>
      <c r="AR16" s="15"/>
      <c r="AS16" s="15"/>
      <c r="AT16" s="15"/>
      <c r="AU16" s="15"/>
      <c r="AV16" s="15"/>
      <c r="AW16" s="15"/>
      <c r="AX16" s="15"/>
      <c r="AY16" s="15"/>
      <c r="AZ16" s="15"/>
      <c r="BA16" s="15"/>
      <c r="BB16" s="15"/>
      <c r="BC16" s="15"/>
      <c r="BD16" s="15"/>
    </row>
    <row r="17" spans="2:56" ht="18.649999999999999" customHeight="1" x14ac:dyDescent="0.25">
      <c r="B17" s="70" t="s">
        <v>34</v>
      </c>
      <c r="C17" s="4" t="s">
        <v>31</v>
      </c>
      <c r="D17" s="5">
        <v>4</v>
      </c>
      <c r="E17" s="11">
        <v>5000</v>
      </c>
      <c r="F17" s="11">
        <v>5000</v>
      </c>
      <c r="G17" s="11">
        <v>5000</v>
      </c>
      <c r="H17" s="11">
        <v>5000</v>
      </c>
      <c r="I17" s="11">
        <v>5000</v>
      </c>
      <c r="J17" s="11">
        <v>5000</v>
      </c>
      <c r="K17" s="11">
        <v>5000</v>
      </c>
      <c r="L17" s="11">
        <v>5000</v>
      </c>
      <c r="M17" s="11">
        <v>5000</v>
      </c>
      <c r="N17" s="11">
        <v>5000</v>
      </c>
      <c r="O17" s="11">
        <v>5000</v>
      </c>
      <c r="P17" s="11">
        <v>5000</v>
      </c>
      <c r="Q17" s="11">
        <v>5000</v>
      </c>
      <c r="R17" s="11">
        <v>5000</v>
      </c>
      <c r="S17" s="11">
        <v>5000</v>
      </c>
      <c r="T17" s="11">
        <v>5000</v>
      </c>
      <c r="U17" s="11">
        <v>5000</v>
      </c>
      <c r="V17" s="11">
        <v>5000</v>
      </c>
      <c r="W17" s="11">
        <v>5000</v>
      </c>
      <c r="X17" s="11">
        <v>5000</v>
      </c>
      <c r="Y17" s="11">
        <v>5000</v>
      </c>
      <c r="Z17" s="11">
        <v>5000</v>
      </c>
      <c r="AA17" s="11">
        <v>5000</v>
      </c>
      <c r="AB17" s="11">
        <v>5000</v>
      </c>
      <c r="AC17" s="77"/>
      <c r="AE17" s="17">
        <f>+AC47</f>
        <v>3600000</v>
      </c>
      <c r="AG17" s="15"/>
      <c r="AH17" s="15"/>
      <c r="AI17" s="15"/>
      <c r="AJ17" s="15"/>
      <c r="AK17" s="15"/>
      <c r="AL17" s="15"/>
      <c r="AM17" s="15"/>
      <c r="AN17" s="15"/>
      <c r="AO17" s="15"/>
      <c r="AP17" s="15"/>
      <c r="AQ17" s="15"/>
      <c r="AR17" s="15"/>
      <c r="AS17" s="15"/>
      <c r="AT17" s="15"/>
      <c r="AU17" s="15"/>
      <c r="AV17" s="15"/>
      <c r="AW17" s="15"/>
      <c r="AX17" s="15"/>
      <c r="AY17" s="15"/>
      <c r="AZ17" s="15"/>
      <c r="BA17" s="15"/>
      <c r="BB17" s="15"/>
      <c r="BC17" s="15"/>
      <c r="BD17" s="15"/>
    </row>
    <row r="18" spans="2:56" ht="18.649999999999999" customHeight="1" x14ac:dyDescent="0.25">
      <c r="B18" s="70" t="s">
        <v>34</v>
      </c>
      <c r="C18" s="4" t="s">
        <v>32</v>
      </c>
      <c r="D18" s="5">
        <v>3</v>
      </c>
      <c r="E18" s="11">
        <v>5000</v>
      </c>
      <c r="F18" s="11">
        <v>5000</v>
      </c>
      <c r="G18" s="11">
        <v>5000</v>
      </c>
      <c r="H18" s="11">
        <v>5000</v>
      </c>
      <c r="I18" s="11">
        <v>5000</v>
      </c>
      <c r="J18" s="11">
        <v>5000</v>
      </c>
      <c r="K18" s="11">
        <v>5000</v>
      </c>
      <c r="L18" s="11">
        <v>5000</v>
      </c>
      <c r="M18" s="11">
        <v>5000</v>
      </c>
      <c r="N18" s="11">
        <v>5000</v>
      </c>
      <c r="O18" s="11">
        <v>5000</v>
      </c>
      <c r="P18" s="11">
        <v>5000</v>
      </c>
      <c r="Q18" s="11">
        <v>5000</v>
      </c>
      <c r="R18" s="11">
        <v>5000</v>
      </c>
      <c r="S18" s="11">
        <v>5000</v>
      </c>
      <c r="T18" s="11">
        <v>5000</v>
      </c>
      <c r="U18" s="11">
        <v>5000</v>
      </c>
      <c r="V18" s="11">
        <v>5000</v>
      </c>
      <c r="W18" s="11">
        <v>5000</v>
      </c>
      <c r="X18" s="11">
        <v>5000</v>
      </c>
      <c r="Y18" s="11">
        <v>5000</v>
      </c>
      <c r="Z18" s="11">
        <v>5000</v>
      </c>
      <c r="AA18" s="11">
        <v>5000</v>
      </c>
      <c r="AB18" s="11">
        <v>5000</v>
      </c>
      <c r="AC18" s="78"/>
      <c r="AE18" s="17">
        <f>+AC51</f>
        <v>3720000</v>
      </c>
      <c r="AG18" s="15"/>
      <c r="AH18" s="15"/>
      <c r="AI18" s="15"/>
      <c r="AJ18" s="15"/>
      <c r="AK18" s="15"/>
      <c r="AL18" s="15"/>
      <c r="AM18" s="15"/>
      <c r="AN18" s="15"/>
      <c r="AO18" s="15"/>
      <c r="AP18" s="15"/>
      <c r="AQ18" s="15"/>
      <c r="AR18" s="15"/>
      <c r="AS18" s="15"/>
      <c r="AT18" s="15"/>
      <c r="AU18" s="15"/>
      <c r="AV18" s="15"/>
      <c r="AW18" s="15"/>
      <c r="AX18" s="15"/>
      <c r="AY18" s="15"/>
      <c r="AZ18" s="15"/>
      <c r="BA18" s="15"/>
      <c r="BB18" s="15"/>
      <c r="BC18" s="15"/>
      <c r="BD18" s="15"/>
    </row>
    <row r="19" spans="2:56" ht="18.649999999999999" customHeight="1" x14ac:dyDescent="0.3">
      <c r="B19" s="70" t="s">
        <v>35</v>
      </c>
      <c r="C19" s="4" t="s">
        <v>29</v>
      </c>
      <c r="D19" s="5">
        <v>21</v>
      </c>
      <c r="E19" s="11">
        <v>5000</v>
      </c>
      <c r="F19" s="11">
        <v>5000</v>
      </c>
      <c r="G19" s="11">
        <v>5000</v>
      </c>
      <c r="H19" s="11">
        <v>5000</v>
      </c>
      <c r="I19" s="11">
        <v>5000</v>
      </c>
      <c r="J19" s="11">
        <v>5000</v>
      </c>
      <c r="K19" s="11">
        <v>5000</v>
      </c>
      <c r="L19" s="11">
        <v>5000</v>
      </c>
      <c r="M19" s="11">
        <v>5000</v>
      </c>
      <c r="N19" s="11">
        <v>5000</v>
      </c>
      <c r="O19" s="11">
        <v>5000</v>
      </c>
      <c r="P19" s="11">
        <v>5000</v>
      </c>
      <c r="Q19" s="11">
        <v>5000</v>
      </c>
      <c r="R19" s="11">
        <v>5000</v>
      </c>
      <c r="S19" s="11">
        <v>5000</v>
      </c>
      <c r="T19" s="11">
        <v>5000</v>
      </c>
      <c r="U19" s="11">
        <v>5000</v>
      </c>
      <c r="V19" s="11">
        <v>5000</v>
      </c>
      <c r="W19" s="11">
        <v>5000</v>
      </c>
      <c r="X19" s="11">
        <v>5000</v>
      </c>
      <c r="Y19" s="11">
        <v>5000</v>
      </c>
      <c r="Z19" s="11">
        <v>5000</v>
      </c>
      <c r="AA19" s="11">
        <v>5000</v>
      </c>
      <c r="AB19" s="11">
        <v>5000</v>
      </c>
      <c r="AC19" s="76">
        <f>+SUM(E19:AB19)*D19+SUM(E20:AB20)*D20+SUM(E21:AB21)*D21+SUM(E22:AB22)*D22</f>
        <v>3600000</v>
      </c>
      <c r="AE19" s="19">
        <f>SUM(AE7:AE18)</f>
        <v>43800000</v>
      </c>
      <c r="AG19" s="15"/>
      <c r="AH19" s="15"/>
      <c r="AI19" s="15"/>
      <c r="AJ19" s="15"/>
      <c r="AK19" s="15"/>
      <c r="AL19" s="15"/>
      <c r="AM19" s="15"/>
      <c r="AN19" s="15"/>
      <c r="AO19" s="15"/>
      <c r="AP19" s="15"/>
      <c r="AQ19" s="15"/>
      <c r="AR19" s="15"/>
      <c r="AS19" s="15"/>
      <c r="AT19" s="15"/>
      <c r="AU19" s="15"/>
      <c r="AV19" s="15"/>
      <c r="AW19" s="15"/>
      <c r="AX19" s="15"/>
      <c r="AY19" s="15"/>
      <c r="AZ19" s="15"/>
      <c r="BA19" s="15"/>
      <c r="BB19" s="15"/>
      <c r="BC19" s="15"/>
      <c r="BD19" s="15"/>
    </row>
    <row r="20" spans="2:56" ht="18.649999999999999" customHeight="1" x14ac:dyDescent="0.25">
      <c r="B20" s="70" t="s">
        <v>35</v>
      </c>
      <c r="C20" s="4" t="s">
        <v>30</v>
      </c>
      <c r="D20" s="5">
        <v>4</v>
      </c>
      <c r="E20" s="11">
        <v>5000</v>
      </c>
      <c r="F20" s="11">
        <v>5000</v>
      </c>
      <c r="G20" s="11">
        <v>5000</v>
      </c>
      <c r="H20" s="11">
        <v>5000</v>
      </c>
      <c r="I20" s="11">
        <v>5000</v>
      </c>
      <c r="J20" s="11">
        <v>5000</v>
      </c>
      <c r="K20" s="11">
        <v>5000</v>
      </c>
      <c r="L20" s="11">
        <v>5000</v>
      </c>
      <c r="M20" s="11">
        <v>5000</v>
      </c>
      <c r="N20" s="11">
        <v>5000</v>
      </c>
      <c r="O20" s="11">
        <v>5000</v>
      </c>
      <c r="P20" s="11">
        <v>5000</v>
      </c>
      <c r="Q20" s="11">
        <v>5000</v>
      </c>
      <c r="R20" s="11">
        <v>5000</v>
      </c>
      <c r="S20" s="11">
        <v>5000</v>
      </c>
      <c r="T20" s="11">
        <v>5000</v>
      </c>
      <c r="U20" s="11">
        <v>5000</v>
      </c>
      <c r="V20" s="11">
        <v>5000</v>
      </c>
      <c r="W20" s="11">
        <v>5000</v>
      </c>
      <c r="X20" s="11">
        <v>5000</v>
      </c>
      <c r="Y20" s="11">
        <v>5000</v>
      </c>
      <c r="Z20" s="11">
        <v>5000</v>
      </c>
      <c r="AA20" s="11">
        <v>5000</v>
      </c>
      <c r="AB20" s="11">
        <v>5000</v>
      </c>
      <c r="AC20" s="77"/>
      <c r="AG20" s="15"/>
      <c r="AH20" s="15"/>
      <c r="AI20" s="15"/>
      <c r="AJ20" s="15"/>
      <c r="AK20" s="15"/>
      <c r="AL20" s="15"/>
      <c r="AM20" s="15"/>
      <c r="AN20" s="15"/>
      <c r="AO20" s="15"/>
      <c r="AP20" s="15"/>
      <c r="AQ20" s="15"/>
      <c r="AR20" s="15"/>
      <c r="AS20" s="15"/>
      <c r="AT20" s="15"/>
      <c r="AU20" s="15"/>
      <c r="AV20" s="15"/>
      <c r="AW20" s="15"/>
      <c r="AX20" s="15"/>
      <c r="AY20" s="15"/>
      <c r="AZ20" s="15"/>
      <c r="BA20" s="15"/>
      <c r="BB20" s="15"/>
      <c r="BC20" s="15"/>
      <c r="BD20" s="15"/>
    </row>
    <row r="21" spans="2:56" ht="18.649999999999999" customHeight="1" x14ac:dyDescent="0.25">
      <c r="B21" s="70" t="s">
        <v>35</v>
      </c>
      <c r="C21" s="4" t="s">
        <v>31</v>
      </c>
      <c r="D21" s="5">
        <v>5</v>
      </c>
      <c r="E21" s="11">
        <v>5000</v>
      </c>
      <c r="F21" s="11">
        <v>5000</v>
      </c>
      <c r="G21" s="11">
        <v>5000</v>
      </c>
      <c r="H21" s="11">
        <v>5000</v>
      </c>
      <c r="I21" s="11">
        <v>5000</v>
      </c>
      <c r="J21" s="11">
        <v>5000</v>
      </c>
      <c r="K21" s="11">
        <v>5000</v>
      </c>
      <c r="L21" s="11">
        <v>5000</v>
      </c>
      <c r="M21" s="11">
        <v>5000</v>
      </c>
      <c r="N21" s="11">
        <v>5000</v>
      </c>
      <c r="O21" s="11">
        <v>5000</v>
      </c>
      <c r="P21" s="11">
        <v>5000</v>
      </c>
      <c r="Q21" s="11">
        <v>5000</v>
      </c>
      <c r="R21" s="11">
        <v>5000</v>
      </c>
      <c r="S21" s="11">
        <v>5000</v>
      </c>
      <c r="T21" s="11">
        <v>5000</v>
      </c>
      <c r="U21" s="11">
        <v>5000</v>
      </c>
      <c r="V21" s="11">
        <v>5000</v>
      </c>
      <c r="W21" s="11">
        <v>5000</v>
      </c>
      <c r="X21" s="11">
        <v>5000</v>
      </c>
      <c r="Y21" s="11">
        <v>5000</v>
      </c>
      <c r="Z21" s="11">
        <v>5000</v>
      </c>
      <c r="AA21" s="11">
        <v>5000</v>
      </c>
      <c r="AB21" s="11">
        <v>5000</v>
      </c>
      <c r="AC21" s="77"/>
      <c r="AG21" s="15"/>
      <c r="AH21" s="15"/>
      <c r="AI21" s="15"/>
      <c r="AJ21" s="15"/>
      <c r="AK21" s="15"/>
      <c r="AL21" s="15"/>
      <c r="AM21" s="15"/>
      <c r="AN21" s="15"/>
      <c r="AO21" s="15"/>
      <c r="AP21" s="15"/>
      <c r="AQ21" s="15"/>
      <c r="AR21" s="15"/>
      <c r="AS21" s="15"/>
      <c r="AT21" s="15"/>
      <c r="AU21" s="15"/>
      <c r="AV21" s="15"/>
      <c r="AW21" s="15"/>
      <c r="AX21" s="15"/>
      <c r="AY21" s="15"/>
      <c r="AZ21" s="15"/>
      <c r="BA21" s="15"/>
      <c r="BB21" s="15"/>
      <c r="BC21" s="15"/>
      <c r="BD21" s="15"/>
    </row>
    <row r="22" spans="2:56" ht="18.649999999999999" customHeight="1" x14ac:dyDescent="0.25">
      <c r="B22" s="70" t="s">
        <v>35</v>
      </c>
      <c r="C22" s="4" t="s">
        <v>32</v>
      </c>
      <c r="D22" s="5">
        <v>0</v>
      </c>
      <c r="E22" s="11">
        <v>5000</v>
      </c>
      <c r="F22" s="11">
        <v>5000</v>
      </c>
      <c r="G22" s="11">
        <v>5000</v>
      </c>
      <c r="H22" s="11">
        <v>5000</v>
      </c>
      <c r="I22" s="11">
        <v>5000</v>
      </c>
      <c r="J22" s="11">
        <v>5000</v>
      </c>
      <c r="K22" s="11">
        <v>5000</v>
      </c>
      <c r="L22" s="11">
        <v>5000</v>
      </c>
      <c r="M22" s="11">
        <v>5000</v>
      </c>
      <c r="N22" s="11">
        <v>5000</v>
      </c>
      <c r="O22" s="11">
        <v>5000</v>
      </c>
      <c r="P22" s="11">
        <v>5000</v>
      </c>
      <c r="Q22" s="11">
        <v>5000</v>
      </c>
      <c r="R22" s="11">
        <v>5000</v>
      </c>
      <c r="S22" s="11">
        <v>5000</v>
      </c>
      <c r="T22" s="11">
        <v>5000</v>
      </c>
      <c r="U22" s="11">
        <v>5000</v>
      </c>
      <c r="V22" s="11">
        <v>5000</v>
      </c>
      <c r="W22" s="11">
        <v>5000</v>
      </c>
      <c r="X22" s="11">
        <v>5000</v>
      </c>
      <c r="Y22" s="11">
        <v>5000</v>
      </c>
      <c r="Z22" s="11">
        <v>5000</v>
      </c>
      <c r="AA22" s="11">
        <v>5000</v>
      </c>
      <c r="AB22" s="11">
        <v>5000</v>
      </c>
      <c r="AC22" s="78"/>
      <c r="AG22" s="15"/>
      <c r="AH22" s="15"/>
      <c r="AI22" s="15"/>
      <c r="AJ22" s="15"/>
      <c r="AK22" s="15"/>
      <c r="AL22" s="15"/>
      <c r="AM22" s="15"/>
      <c r="AN22" s="15"/>
      <c r="AO22" s="15"/>
      <c r="AP22" s="15"/>
      <c r="AQ22" s="15"/>
      <c r="AR22" s="15"/>
      <c r="AS22" s="15"/>
      <c r="AT22" s="15"/>
      <c r="AU22" s="15"/>
      <c r="AV22" s="15"/>
      <c r="AW22" s="15"/>
      <c r="AX22" s="15"/>
      <c r="AY22" s="15"/>
      <c r="AZ22" s="15"/>
      <c r="BA22" s="15"/>
      <c r="BB22" s="15"/>
      <c r="BC22" s="15"/>
      <c r="BD22" s="15"/>
    </row>
    <row r="23" spans="2:56" ht="18.649999999999999" customHeight="1" x14ac:dyDescent="0.25">
      <c r="B23" s="70" t="s">
        <v>36</v>
      </c>
      <c r="C23" s="4" t="s">
        <v>29</v>
      </c>
      <c r="D23" s="5">
        <v>21</v>
      </c>
      <c r="E23" s="11">
        <v>5000</v>
      </c>
      <c r="F23" s="11">
        <v>5000</v>
      </c>
      <c r="G23" s="11">
        <v>5000</v>
      </c>
      <c r="H23" s="11">
        <v>5000</v>
      </c>
      <c r="I23" s="11">
        <v>5000</v>
      </c>
      <c r="J23" s="11">
        <v>5000</v>
      </c>
      <c r="K23" s="11">
        <v>5000</v>
      </c>
      <c r="L23" s="11">
        <v>5000</v>
      </c>
      <c r="M23" s="11">
        <v>5000</v>
      </c>
      <c r="N23" s="11">
        <v>5000</v>
      </c>
      <c r="O23" s="11">
        <v>5000</v>
      </c>
      <c r="P23" s="11">
        <v>5000</v>
      </c>
      <c r="Q23" s="11">
        <v>5000</v>
      </c>
      <c r="R23" s="11">
        <v>5000</v>
      </c>
      <c r="S23" s="11">
        <v>5000</v>
      </c>
      <c r="T23" s="11">
        <v>5000</v>
      </c>
      <c r="U23" s="11">
        <v>5000</v>
      </c>
      <c r="V23" s="11">
        <v>5000</v>
      </c>
      <c r="W23" s="11">
        <v>5000</v>
      </c>
      <c r="X23" s="11">
        <v>5000</v>
      </c>
      <c r="Y23" s="11">
        <v>5000</v>
      </c>
      <c r="Z23" s="11">
        <v>5000</v>
      </c>
      <c r="AA23" s="11">
        <v>5000</v>
      </c>
      <c r="AB23" s="11">
        <v>5000</v>
      </c>
      <c r="AC23" s="76">
        <f>+SUM(E23:AB23)*D23+SUM(E24:AB24)*D24+SUM(E25:AB25)*D25+SUM(E26:AB26)*D26</f>
        <v>3720000</v>
      </c>
      <c r="AG23" s="15"/>
      <c r="AH23" s="15"/>
      <c r="AI23" s="15"/>
      <c r="AJ23" s="15"/>
      <c r="AK23" s="15"/>
      <c r="AL23" s="15"/>
      <c r="AM23" s="15"/>
      <c r="AN23" s="15"/>
      <c r="AO23" s="15"/>
      <c r="AP23" s="15"/>
      <c r="AQ23" s="15"/>
      <c r="AR23" s="15"/>
      <c r="AS23" s="15"/>
      <c r="AT23" s="15"/>
      <c r="AU23" s="15"/>
      <c r="AV23" s="15"/>
      <c r="AW23" s="15"/>
      <c r="AX23" s="15"/>
      <c r="AY23" s="15"/>
      <c r="AZ23" s="15"/>
      <c r="BA23" s="15"/>
      <c r="BB23" s="15"/>
      <c r="BC23" s="15"/>
      <c r="BD23" s="15"/>
    </row>
    <row r="24" spans="2:56" ht="18.649999999999999" customHeight="1" x14ac:dyDescent="0.25">
      <c r="B24" s="70" t="s">
        <v>36</v>
      </c>
      <c r="C24" s="4" t="s">
        <v>30</v>
      </c>
      <c r="D24" s="5">
        <v>4</v>
      </c>
      <c r="E24" s="11">
        <v>5000</v>
      </c>
      <c r="F24" s="11">
        <v>5000</v>
      </c>
      <c r="G24" s="11">
        <v>5000</v>
      </c>
      <c r="H24" s="11">
        <v>5000</v>
      </c>
      <c r="I24" s="11">
        <v>5000</v>
      </c>
      <c r="J24" s="11">
        <v>5000</v>
      </c>
      <c r="K24" s="11">
        <v>5000</v>
      </c>
      <c r="L24" s="11">
        <v>5000</v>
      </c>
      <c r="M24" s="11">
        <v>5000</v>
      </c>
      <c r="N24" s="11">
        <v>5000</v>
      </c>
      <c r="O24" s="11">
        <v>5000</v>
      </c>
      <c r="P24" s="11">
        <v>5000</v>
      </c>
      <c r="Q24" s="11">
        <v>5000</v>
      </c>
      <c r="R24" s="11">
        <v>5000</v>
      </c>
      <c r="S24" s="11">
        <v>5000</v>
      </c>
      <c r="T24" s="11">
        <v>5000</v>
      </c>
      <c r="U24" s="11">
        <v>5000</v>
      </c>
      <c r="V24" s="11">
        <v>5000</v>
      </c>
      <c r="W24" s="11">
        <v>5000</v>
      </c>
      <c r="X24" s="11">
        <v>5000</v>
      </c>
      <c r="Y24" s="11">
        <v>5000</v>
      </c>
      <c r="Z24" s="11">
        <v>5000</v>
      </c>
      <c r="AA24" s="11">
        <v>5000</v>
      </c>
      <c r="AB24" s="11">
        <v>5000</v>
      </c>
      <c r="AC24" s="77"/>
      <c r="AG24" s="15"/>
      <c r="AH24" s="15"/>
      <c r="AI24" s="15"/>
      <c r="AJ24" s="15"/>
      <c r="AK24" s="15"/>
      <c r="AL24" s="15"/>
      <c r="AM24" s="15"/>
      <c r="AN24" s="15"/>
      <c r="AO24" s="15"/>
      <c r="AP24" s="15"/>
      <c r="AQ24" s="15"/>
      <c r="AR24" s="15"/>
      <c r="AS24" s="15"/>
      <c r="AT24" s="15"/>
      <c r="AU24" s="15"/>
      <c r="AV24" s="15"/>
      <c r="AW24" s="15"/>
      <c r="AX24" s="15"/>
      <c r="AY24" s="15"/>
      <c r="AZ24" s="15"/>
      <c r="BA24" s="15"/>
      <c r="BB24" s="15"/>
      <c r="BC24" s="15"/>
      <c r="BD24" s="15"/>
    </row>
    <row r="25" spans="2:56" ht="18.649999999999999" customHeight="1" x14ac:dyDescent="0.25">
      <c r="B25" s="70" t="s">
        <v>36</v>
      </c>
      <c r="C25" s="4" t="s">
        <v>31</v>
      </c>
      <c r="D25" s="5">
        <v>4</v>
      </c>
      <c r="E25" s="11">
        <v>5000</v>
      </c>
      <c r="F25" s="11">
        <v>5000</v>
      </c>
      <c r="G25" s="11">
        <v>5000</v>
      </c>
      <c r="H25" s="11">
        <v>5000</v>
      </c>
      <c r="I25" s="11">
        <v>5000</v>
      </c>
      <c r="J25" s="11">
        <v>5000</v>
      </c>
      <c r="K25" s="11">
        <v>5000</v>
      </c>
      <c r="L25" s="11">
        <v>5000</v>
      </c>
      <c r="M25" s="11">
        <v>5000</v>
      </c>
      <c r="N25" s="11">
        <v>5000</v>
      </c>
      <c r="O25" s="11">
        <v>5000</v>
      </c>
      <c r="P25" s="11">
        <v>5000</v>
      </c>
      <c r="Q25" s="11">
        <v>5000</v>
      </c>
      <c r="R25" s="11">
        <v>5000</v>
      </c>
      <c r="S25" s="11">
        <v>5000</v>
      </c>
      <c r="T25" s="11">
        <v>5000</v>
      </c>
      <c r="U25" s="11">
        <v>5000</v>
      </c>
      <c r="V25" s="11">
        <v>5000</v>
      </c>
      <c r="W25" s="11">
        <v>5000</v>
      </c>
      <c r="X25" s="11">
        <v>5000</v>
      </c>
      <c r="Y25" s="11">
        <v>5000</v>
      </c>
      <c r="Z25" s="11">
        <v>5000</v>
      </c>
      <c r="AA25" s="11">
        <v>5000</v>
      </c>
      <c r="AB25" s="11">
        <v>5000</v>
      </c>
      <c r="AC25" s="77"/>
      <c r="AG25" s="15"/>
      <c r="AH25" s="15"/>
      <c r="AI25" s="15"/>
      <c r="AJ25" s="15"/>
      <c r="AK25" s="15"/>
      <c r="AL25" s="15"/>
      <c r="AM25" s="15"/>
      <c r="AN25" s="15"/>
      <c r="AO25" s="15"/>
      <c r="AP25" s="15"/>
      <c r="AQ25" s="15"/>
      <c r="AR25" s="15"/>
      <c r="AS25" s="15"/>
      <c r="AT25" s="15"/>
      <c r="AU25" s="15"/>
      <c r="AV25" s="15"/>
      <c r="AW25" s="15"/>
      <c r="AX25" s="15"/>
      <c r="AY25" s="15"/>
      <c r="AZ25" s="15"/>
      <c r="BA25" s="15"/>
      <c r="BB25" s="15"/>
      <c r="BC25" s="15"/>
      <c r="BD25" s="15"/>
    </row>
    <row r="26" spans="2:56" ht="18.649999999999999" customHeight="1" x14ac:dyDescent="0.25">
      <c r="B26" s="70" t="s">
        <v>36</v>
      </c>
      <c r="C26" s="4" t="s">
        <v>32</v>
      </c>
      <c r="D26" s="5">
        <v>2</v>
      </c>
      <c r="E26" s="11">
        <v>5000</v>
      </c>
      <c r="F26" s="11">
        <v>5000</v>
      </c>
      <c r="G26" s="11">
        <v>5000</v>
      </c>
      <c r="H26" s="11">
        <v>5000</v>
      </c>
      <c r="I26" s="11">
        <v>5000</v>
      </c>
      <c r="J26" s="11">
        <v>5000</v>
      </c>
      <c r="K26" s="11">
        <v>5000</v>
      </c>
      <c r="L26" s="11">
        <v>5000</v>
      </c>
      <c r="M26" s="11">
        <v>5000</v>
      </c>
      <c r="N26" s="11">
        <v>5000</v>
      </c>
      <c r="O26" s="11">
        <v>5000</v>
      </c>
      <c r="P26" s="11">
        <v>5000</v>
      </c>
      <c r="Q26" s="11">
        <v>5000</v>
      </c>
      <c r="R26" s="11">
        <v>5000</v>
      </c>
      <c r="S26" s="11">
        <v>5000</v>
      </c>
      <c r="T26" s="11">
        <v>5000</v>
      </c>
      <c r="U26" s="11">
        <v>5000</v>
      </c>
      <c r="V26" s="11">
        <v>5000</v>
      </c>
      <c r="W26" s="11">
        <v>5000</v>
      </c>
      <c r="X26" s="11">
        <v>5000</v>
      </c>
      <c r="Y26" s="11">
        <v>5000</v>
      </c>
      <c r="Z26" s="11">
        <v>5000</v>
      </c>
      <c r="AA26" s="11">
        <v>5000</v>
      </c>
      <c r="AB26" s="11">
        <v>5000</v>
      </c>
      <c r="AC26" s="78"/>
      <c r="AG26" s="15"/>
      <c r="AH26" s="15"/>
      <c r="AI26" s="15"/>
      <c r="AJ26" s="15"/>
      <c r="AK26" s="15"/>
      <c r="AL26" s="15"/>
      <c r="AM26" s="15"/>
      <c r="AN26" s="15"/>
      <c r="AO26" s="15"/>
      <c r="AP26" s="15"/>
      <c r="AQ26" s="15"/>
      <c r="AR26" s="15"/>
      <c r="AS26" s="15"/>
      <c r="AT26" s="15"/>
      <c r="AU26" s="15"/>
      <c r="AV26" s="15"/>
      <c r="AW26" s="15"/>
      <c r="AX26" s="15"/>
      <c r="AY26" s="15"/>
      <c r="AZ26" s="15"/>
      <c r="BA26" s="15"/>
      <c r="BB26" s="15"/>
      <c r="BC26" s="15"/>
      <c r="BD26" s="15"/>
    </row>
    <row r="27" spans="2:56" ht="18.649999999999999" customHeight="1" x14ac:dyDescent="0.25">
      <c r="B27" s="70" t="s">
        <v>37</v>
      </c>
      <c r="C27" s="4" t="s">
        <v>29</v>
      </c>
      <c r="D27" s="5">
        <v>19</v>
      </c>
      <c r="E27" s="11">
        <v>5000</v>
      </c>
      <c r="F27" s="11">
        <v>5000</v>
      </c>
      <c r="G27" s="11">
        <v>5000</v>
      </c>
      <c r="H27" s="11">
        <v>5000</v>
      </c>
      <c r="I27" s="11">
        <v>5000</v>
      </c>
      <c r="J27" s="11">
        <v>5000</v>
      </c>
      <c r="K27" s="11">
        <v>5000</v>
      </c>
      <c r="L27" s="11">
        <v>5000</v>
      </c>
      <c r="M27" s="11">
        <v>5000</v>
      </c>
      <c r="N27" s="11">
        <v>5000</v>
      </c>
      <c r="O27" s="11">
        <v>5000</v>
      </c>
      <c r="P27" s="11">
        <v>5000</v>
      </c>
      <c r="Q27" s="11">
        <v>5000</v>
      </c>
      <c r="R27" s="11">
        <v>5000</v>
      </c>
      <c r="S27" s="11">
        <v>5000</v>
      </c>
      <c r="T27" s="11">
        <v>5000</v>
      </c>
      <c r="U27" s="11">
        <v>5000</v>
      </c>
      <c r="V27" s="11">
        <v>5000</v>
      </c>
      <c r="W27" s="11">
        <v>5000</v>
      </c>
      <c r="X27" s="11">
        <v>5000</v>
      </c>
      <c r="Y27" s="11">
        <v>5000</v>
      </c>
      <c r="Z27" s="11">
        <v>5000</v>
      </c>
      <c r="AA27" s="11">
        <v>5000</v>
      </c>
      <c r="AB27" s="11">
        <v>5000</v>
      </c>
      <c r="AC27" s="76">
        <f>+SUM(E27:AB27)*D27+SUM(E28:AB28)*D28+SUM(E29:AB29)*D29+SUM(E30:AB30)*D30</f>
        <v>3600000</v>
      </c>
      <c r="AG27" s="15"/>
      <c r="AH27" s="15"/>
      <c r="AI27" s="15"/>
      <c r="AJ27" s="15"/>
      <c r="AK27" s="15"/>
      <c r="AL27" s="15"/>
      <c r="AM27" s="15"/>
      <c r="AN27" s="15"/>
      <c r="AO27" s="15"/>
      <c r="AP27" s="15"/>
      <c r="AQ27" s="15"/>
      <c r="AR27" s="15"/>
      <c r="AS27" s="15"/>
      <c r="AT27" s="15"/>
      <c r="AU27" s="15"/>
      <c r="AV27" s="15"/>
      <c r="AW27" s="15"/>
      <c r="AX27" s="15"/>
      <c r="AY27" s="15"/>
      <c r="AZ27" s="15"/>
      <c r="BA27" s="15"/>
      <c r="BB27" s="15"/>
      <c r="BC27" s="15"/>
      <c r="BD27" s="15"/>
    </row>
    <row r="28" spans="2:56" ht="18.649999999999999" customHeight="1" x14ac:dyDescent="0.25">
      <c r="B28" s="70" t="s">
        <v>37</v>
      </c>
      <c r="C28" s="4" t="s">
        <v>30</v>
      </c>
      <c r="D28" s="5">
        <v>5</v>
      </c>
      <c r="E28" s="11">
        <v>5000</v>
      </c>
      <c r="F28" s="11">
        <v>5000</v>
      </c>
      <c r="G28" s="11">
        <v>5000</v>
      </c>
      <c r="H28" s="11">
        <v>5000</v>
      </c>
      <c r="I28" s="11">
        <v>5000</v>
      </c>
      <c r="J28" s="11">
        <v>5000</v>
      </c>
      <c r="K28" s="11">
        <v>5000</v>
      </c>
      <c r="L28" s="11">
        <v>5000</v>
      </c>
      <c r="M28" s="11">
        <v>5000</v>
      </c>
      <c r="N28" s="11">
        <v>5000</v>
      </c>
      <c r="O28" s="11">
        <v>5000</v>
      </c>
      <c r="P28" s="11">
        <v>5000</v>
      </c>
      <c r="Q28" s="11">
        <v>5000</v>
      </c>
      <c r="R28" s="11">
        <v>5000</v>
      </c>
      <c r="S28" s="11">
        <v>5000</v>
      </c>
      <c r="T28" s="11">
        <v>5000</v>
      </c>
      <c r="U28" s="11">
        <v>5000</v>
      </c>
      <c r="V28" s="11">
        <v>5000</v>
      </c>
      <c r="W28" s="11">
        <v>5000</v>
      </c>
      <c r="X28" s="11">
        <v>5000</v>
      </c>
      <c r="Y28" s="11">
        <v>5000</v>
      </c>
      <c r="Z28" s="11">
        <v>5000</v>
      </c>
      <c r="AA28" s="11">
        <v>5000</v>
      </c>
      <c r="AB28" s="11">
        <v>5000</v>
      </c>
      <c r="AC28" s="77"/>
      <c r="AG28" s="15"/>
      <c r="AH28" s="15"/>
      <c r="AI28" s="15"/>
      <c r="AJ28" s="15"/>
      <c r="AK28" s="15"/>
      <c r="AL28" s="15"/>
      <c r="AM28" s="15"/>
      <c r="AN28" s="15"/>
      <c r="AO28" s="15"/>
      <c r="AP28" s="15"/>
      <c r="AQ28" s="15"/>
      <c r="AR28" s="15"/>
      <c r="AS28" s="15"/>
      <c r="AT28" s="15"/>
      <c r="AU28" s="15"/>
      <c r="AV28" s="15"/>
      <c r="AW28" s="15"/>
      <c r="AX28" s="15"/>
      <c r="AY28" s="15"/>
      <c r="AZ28" s="15"/>
      <c r="BA28" s="15"/>
      <c r="BB28" s="15"/>
      <c r="BC28" s="15"/>
      <c r="BD28" s="15"/>
    </row>
    <row r="29" spans="2:56" ht="18.649999999999999" customHeight="1" x14ac:dyDescent="0.25">
      <c r="B29" s="70" t="s">
        <v>37</v>
      </c>
      <c r="C29" s="4" t="s">
        <v>31</v>
      </c>
      <c r="D29" s="5">
        <v>4</v>
      </c>
      <c r="E29" s="11">
        <v>5000</v>
      </c>
      <c r="F29" s="11">
        <v>5000</v>
      </c>
      <c r="G29" s="11">
        <v>5000</v>
      </c>
      <c r="H29" s="11">
        <v>5000</v>
      </c>
      <c r="I29" s="11">
        <v>5000</v>
      </c>
      <c r="J29" s="11">
        <v>5000</v>
      </c>
      <c r="K29" s="11">
        <v>5000</v>
      </c>
      <c r="L29" s="11">
        <v>5000</v>
      </c>
      <c r="M29" s="11">
        <v>5000</v>
      </c>
      <c r="N29" s="11">
        <v>5000</v>
      </c>
      <c r="O29" s="11">
        <v>5000</v>
      </c>
      <c r="P29" s="11">
        <v>5000</v>
      </c>
      <c r="Q29" s="11">
        <v>5000</v>
      </c>
      <c r="R29" s="11">
        <v>5000</v>
      </c>
      <c r="S29" s="11">
        <v>5000</v>
      </c>
      <c r="T29" s="11">
        <v>5000</v>
      </c>
      <c r="U29" s="11">
        <v>5000</v>
      </c>
      <c r="V29" s="11">
        <v>5000</v>
      </c>
      <c r="W29" s="11">
        <v>5000</v>
      </c>
      <c r="X29" s="11">
        <v>5000</v>
      </c>
      <c r="Y29" s="11">
        <v>5000</v>
      </c>
      <c r="Z29" s="11">
        <v>5000</v>
      </c>
      <c r="AA29" s="11">
        <v>5000</v>
      </c>
      <c r="AB29" s="11">
        <v>5000</v>
      </c>
      <c r="AC29" s="77"/>
      <c r="AG29" s="15"/>
      <c r="AH29" s="15"/>
      <c r="AI29" s="15"/>
      <c r="AJ29" s="15"/>
      <c r="AK29" s="15"/>
      <c r="AL29" s="15"/>
      <c r="AM29" s="15"/>
      <c r="AN29" s="15"/>
      <c r="AO29" s="15"/>
      <c r="AP29" s="15"/>
      <c r="AQ29" s="15"/>
      <c r="AR29" s="15"/>
      <c r="AS29" s="15"/>
      <c r="AT29" s="15"/>
      <c r="AU29" s="15"/>
      <c r="AV29" s="15"/>
      <c r="AW29" s="15"/>
      <c r="AX29" s="15"/>
      <c r="AY29" s="15"/>
      <c r="AZ29" s="15"/>
      <c r="BA29" s="15"/>
      <c r="BB29" s="15"/>
      <c r="BC29" s="15"/>
      <c r="BD29" s="15"/>
    </row>
    <row r="30" spans="2:56" ht="18.649999999999999" customHeight="1" x14ac:dyDescent="0.25">
      <c r="B30" s="70" t="s">
        <v>37</v>
      </c>
      <c r="C30" s="4" t="s">
        <v>32</v>
      </c>
      <c r="D30" s="5">
        <v>2</v>
      </c>
      <c r="E30" s="11">
        <v>5000</v>
      </c>
      <c r="F30" s="11">
        <v>5000</v>
      </c>
      <c r="G30" s="11">
        <v>5000</v>
      </c>
      <c r="H30" s="11">
        <v>5000</v>
      </c>
      <c r="I30" s="11">
        <v>5000</v>
      </c>
      <c r="J30" s="11">
        <v>5000</v>
      </c>
      <c r="K30" s="11">
        <v>5000</v>
      </c>
      <c r="L30" s="11">
        <v>5000</v>
      </c>
      <c r="M30" s="11">
        <v>5000</v>
      </c>
      <c r="N30" s="11">
        <v>5000</v>
      </c>
      <c r="O30" s="11">
        <v>5000</v>
      </c>
      <c r="P30" s="11">
        <v>5000</v>
      </c>
      <c r="Q30" s="11">
        <v>5000</v>
      </c>
      <c r="R30" s="11">
        <v>5000</v>
      </c>
      <c r="S30" s="11">
        <v>5000</v>
      </c>
      <c r="T30" s="11">
        <v>5000</v>
      </c>
      <c r="U30" s="11">
        <v>5000</v>
      </c>
      <c r="V30" s="11">
        <v>5000</v>
      </c>
      <c r="W30" s="11">
        <v>5000</v>
      </c>
      <c r="X30" s="11">
        <v>5000</v>
      </c>
      <c r="Y30" s="11">
        <v>5000</v>
      </c>
      <c r="Z30" s="11">
        <v>5000</v>
      </c>
      <c r="AA30" s="11">
        <v>5000</v>
      </c>
      <c r="AB30" s="11">
        <v>5000</v>
      </c>
      <c r="AC30" s="78"/>
      <c r="AG30" s="15"/>
      <c r="AH30" s="15"/>
      <c r="AI30" s="15"/>
      <c r="AJ30" s="15"/>
      <c r="AK30" s="15"/>
      <c r="AL30" s="15"/>
      <c r="AM30" s="15"/>
      <c r="AN30" s="15"/>
      <c r="AO30" s="15"/>
      <c r="AP30" s="15"/>
      <c r="AQ30" s="15"/>
      <c r="AR30" s="15"/>
      <c r="AS30" s="15"/>
      <c r="AT30" s="15"/>
      <c r="AU30" s="15"/>
      <c r="AV30" s="15"/>
      <c r="AW30" s="15"/>
      <c r="AX30" s="15"/>
      <c r="AY30" s="15"/>
      <c r="AZ30" s="15"/>
      <c r="BA30" s="15"/>
      <c r="BB30" s="15"/>
      <c r="BC30" s="15"/>
      <c r="BD30" s="15"/>
    </row>
    <row r="31" spans="2:56" ht="18.649999999999999" customHeight="1" x14ac:dyDescent="0.25">
      <c r="B31" s="70" t="s">
        <v>38</v>
      </c>
      <c r="C31" s="4" t="s">
        <v>29</v>
      </c>
      <c r="D31" s="5">
        <v>20</v>
      </c>
      <c r="E31" s="11">
        <v>5000</v>
      </c>
      <c r="F31" s="11">
        <v>5000</v>
      </c>
      <c r="G31" s="11">
        <v>5000</v>
      </c>
      <c r="H31" s="11">
        <v>5000</v>
      </c>
      <c r="I31" s="11">
        <v>5000</v>
      </c>
      <c r="J31" s="11">
        <v>5000</v>
      </c>
      <c r="K31" s="11">
        <v>5000</v>
      </c>
      <c r="L31" s="11">
        <v>5000</v>
      </c>
      <c r="M31" s="11">
        <v>5000</v>
      </c>
      <c r="N31" s="11">
        <v>5000</v>
      </c>
      <c r="O31" s="11">
        <v>5000</v>
      </c>
      <c r="P31" s="11">
        <v>5000</v>
      </c>
      <c r="Q31" s="11">
        <v>5000</v>
      </c>
      <c r="R31" s="11">
        <v>5000</v>
      </c>
      <c r="S31" s="11">
        <v>5000</v>
      </c>
      <c r="T31" s="11">
        <v>5000</v>
      </c>
      <c r="U31" s="11">
        <v>5000</v>
      </c>
      <c r="V31" s="11">
        <v>5000</v>
      </c>
      <c r="W31" s="11">
        <v>5000</v>
      </c>
      <c r="X31" s="11">
        <v>5000</v>
      </c>
      <c r="Y31" s="11">
        <v>5000</v>
      </c>
      <c r="Z31" s="11">
        <v>5000</v>
      </c>
      <c r="AA31" s="11">
        <v>5000</v>
      </c>
      <c r="AB31" s="11">
        <v>5000</v>
      </c>
      <c r="AC31" s="76">
        <f>+SUM(E31:AB31)*D31+SUM(E32:AB32)*D32+SUM(E33:AB33)*D33+SUM(E34:AB34)*D34</f>
        <v>3720000</v>
      </c>
      <c r="AG31" s="15"/>
      <c r="AH31" s="15"/>
      <c r="AI31" s="15"/>
      <c r="AJ31" s="15"/>
      <c r="AK31" s="15"/>
      <c r="AL31" s="15"/>
      <c r="AM31" s="15"/>
      <c r="AN31" s="15"/>
      <c r="AO31" s="15"/>
      <c r="AP31" s="15"/>
      <c r="AQ31" s="15"/>
      <c r="AR31" s="15"/>
      <c r="AS31" s="15"/>
      <c r="AT31" s="15"/>
      <c r="AU31" s="15"/>
      <c r="AV31" s="15"/>
      <c r="AW31" s="15"/>
      <c r="AX31" s="15"/>
      <c r="AY31" s="15"/>
      <c r="AZ31" s="15"/>
      <c r="BA31" s="15"/>
      <c r="BB31" s="15"/>
      <c r="BC31" s="15"/>
      <c r="BD31" s="15"/>
    </row>
    <row r="32" spans="2:56" ht="18.649999999999999" customHeight="1" x14ac:dyDescent="0.25">
      <c r="B32" s="70" t="s">
        <v>38</v>
      </c>
      <c r="C32" s="4" t="s">
        <v>30</v>
      </c>
      <c r="D32" s="5">
        <v>4</v>
      </c>
      <c r="E32" s="11">
        <v>5000</v>
      </c>
      <c r="F32" s="11">
        <v>5000</v>
      </c>
      <c r="G32" s="11">
        <v>5000</v>
      </c>
      <c r="H32" s="11">
        <v>5000</v>
      </c>
      <c r="I32" s="11">
        <v>5000</v>
      </c>
      <c r="J32" s="11">
        <v>5000</v>
      </c>
      <c r="K32" s="11">
        <v>5000</v>
      </c>
      <c r="L32" s="11">
        <v>5000</v>
      </c>
      <c r="M32" s="11">
        <v>5000</v>
      </c>
      <c r="N32" s="11">
        <v>5000</v>
      </c>
      <c r="O32" s="11">
        <v>5000</v>
      </c>
      <c r="P32" s="11">
        <v>5000</v>
      </c>
      <c r="Q32" s="11">
        <v>5000</v>
      </c>
      <c r="R32" s="11">
        <v>5000</v>
      </c>
      <c r="S32" s="11">
        <v>5000</v>
      </c>
      <c r="T32" s="11">
        <v>5000</v>
      </c>
      <c r="U32" s="11">
        <v>5000</v>
      </c>
      <c r="V32" s="11">
        <v>5000</v>
      </c>
      <c r="W32" s="11">
        <v>5000</v>
      </c>
      <c r="X32" s="11">
        <v>5000</v>
      </c>
      <c r="Y32" s="11">
        <v>5000</v>
      </c>
      <c r="Z32" s="11">
        <v>5000</v>
      </c>
      <c r="AA32" s="11">
        <v>5000</v>
      </c>
      <c r="AB32" s="11">
        <v>5000</v>
      </c>
      <c r="AC32" s="77"/>
      <c r="AG32" s="15"/>
      <c r="AH32" s="15"/>
      <c r="AI32" s="15"/>
      <c r="AJ32" s="15"/>
      <c r="AK32" s="15"/>
      <c r="AL32" s="15"/>
      <c r="AM32" s="15"/>
      <c r="AN32" s="15"/>
      <c r="AO32" s="15"/>
      <c r="AP32" s="15"/>
      <c r="AQ32" s="15"/>
      <c r="AR32" s="15"/>
      <c r="AS32" s="15"/>
      <c r="AT32" s="15"/>
      <c r="AU32" s="15"/>
      <c r="AV32" s="15"/>
      <c r="AW32" s="15"/>
      <c r="AX32" s="15"/>
      <c r="AY32" s="15"/>
      <c r="AZ32" s="15"/>
      <c r="BA32" s="15"/>
      <c r="BB32" s="15"/>
      <c r="BC32" s="15"/>
      <c r="BD32" s="15"/>
    </row>
    <row r="33" spans="2:56" ht="18.649999999999999" customHeight="1" x14ac:dyDescent="0.25">
      <c r="B33" s="70" t="s">
        <v>38</v>
      </c>
      <c r="C33" s="4" t="s">
        <v>31</v>
      </c>
      <c r="D33" s="5">
        <v>5</v>
      </c>
      <c r="E33" s="11">
        <v>5000</v>
      </c>
      <c r="F33" s="11">
        <v>5000</v>
      </c>
      <c r="G33" s="11">
        <v>5000</v>
      </c>
      <c r="H33" s="11">
        <v>5000</v>
      </c>
      <c r="I33" s="11">
        <v>5000</v>
      </c>
      <c r="J33" s="11">
        <v>5000</v>
      </c>
      <c r="K33" s="11">
        <v>5000</v>
      </c>
      <c r="L33" s="11">
        <v>5000</v>
      </c>
      <c r="M33" s="11">
        <v>5000</v>
      </c>
      <c r="N33" s="11">
        <v>5000</v>
      </c>
      <c r="O33" s="11">
        <v>5000</v>
      </c>
      <c r="P33" s="11">
        <v>5000</v>
      </c>
      <c r="Q33" s="11">
        <v>5000</v>
      </c>
      <c r="R33" s="11">
        <v>5000</v>
      </c>
      <c r="S33" s="11">
        <v>5000</v>
      </c>
      <c r="T33" s="11">
        <v>5000</v>
      </c>
      <c r="U33" s="11">
        <v>5000</v>
      </c>
      <c r="V33" s="11">
        <v>5000</v>
      </c>
      <c r="W33" s="11">
        <v>5000</v>
      </c>
      <c r="X33" s="11">
        <v>5000</v>
      </c>
      <c r="Y33" s="11">
        <v>5000</v>
      </c>
      <c r="Z33" s="11">
        <v>5000</v>
      </c>
      <c r="AA33" s="11">
        <v>5000</v>
      </c>
      <c r="AB33" s="11">
        <v>5000</v>
      </c>
      <c r="AC33" s="77"/>
      <c r="AG33" s="15"/>
      <c r="AH33" s="15"/>
      <c r="AI33" s="15"/>
      <c r="AJ33" s="15"/>
      <c r="AK33" s="15"/>
      <c r="AL33" s="15"/>
      <c r="AM33" s="15"/>
      <c r="AN33" s="15"/>
      <c r="AO33" s="15"/>
      <c r="AP33" s="15"/>
      <c r="AQ33" s="15"/>
      <c r="AR33" s="15"/>
      <c r="AS33" s="15"/>
      <c r="AT33" s="15"/>
      <c r="AU33" s="15"/>
      <c r="AV33" s="15"/>
      <c r="AW33" s="15"/>
      <c r="AX33" s="15"/>
      <c r="AY33" s="15"/>
      <c r="AZ33" s="15"/>
      <c r="BA33" s="15"/>
      <c r="BB33" s="15"/>
      <c r="BC33" s="15"/>
      <c r="BD33" s="15"/>
    </row>
    <row r="34" spans="2:56" ht="18.649999999999999" customHeight="1" x14ac:dyDescent="0.25">
      <c r="B34" s="70" t="s">
        <v>38</v>
      </c>
      <c r="C34" s="4" t="s">
        <v>32</v>
      </c>
      <c r="D34" s="5">
        <v>2</v>
      </c>
      <c r="E34" s="11">
        <v>5000</v>
      </c>
      <c r="F34" s="11">
        <v>5000</v>
      </c>
      <c r="G34" s="11">
        <v>5000</v>
      </c>
      <c r="H34" s="11">
        <v>5000</v>
      </c>
      <c r="I34" s="11">
        <v>5000</v>
      </c>
      <c r="J34" s="11">
        <v>5000</v>
      </c>
      <c r="K34" s="11">
        <v>5000</v>
      </c>
      <c r="L34" s="11">
        <v>5000</v>
      </c>
      <c r="M34" s="11">
        <v>5000</v>
      </c>
      <c r="N34" s="11">
        <v>5000</v>
      </c>
      <c r="O34" s="11">
        <v>5000</v>
      </c>
      <c r="P34" s="11">
        <v>5000</v>
      </c>
      <c r="Q34" s="11">
        <v>5000</v>
      </c>
      <c r="R34" s="11">
        <v>5000</v>
      </c>
      <c r="S34" s="11">
        <v>5000</v>
      </c>
      <c r="T34" s="11">
        <v>5000</v>
      </c>
      <c r="U34" s="11">
        <v>5000</v>
      </c>
      <c r="V34" s="11">
        <v>5000</v>
      </c>
      <c r="W34" s="11">
        <v>5000</v>
      </c>
      <c r="X34" s="11">
        <v>5000</v>
      </c>
      <c r="Y34" s="11">
        <v>5000</v>
      </c>
      <c r="Z34" s="11">
        <v>5000</v>
      </c>
      <c r="AA34" s="11">
        <v>5000</v>
      </c>
      <c r="AB34" s="11">
        <v>5000</v>
      </c>
      <c r="AC34" s="78"/>
      <c r="AG34" s="15"/>
      <c r="AH34" s="15"/>
      <c r="AI34" s="15"/>
      <c r="AJ34" s="15"/>
      <c r="AK34" s="15"/>
      <c r="AL34" s="15"/>
      <c r="AM34" s="15"/>
      <c r="AN34" s="15"/>
      <c r="AO34" s="15"/>
      <c r="AP34" s="15"/>
      <c r="AQ34" s="15"/>
      <c r="AR34" s="15"/>
      <c r="AS34" s="15"/>
      <c r="AT34" s="15"/>
      <c r="AU34" s="15"/>
      <c r="AV34" s="15"/>
      <c r="AW34" s="15"/>
      <c r="AX34" s="15"/>
      <c r="AY34" s="15"/>
      <c r="AZ34" s="15"/>
      <c r="BA34" s="15"/>
      <c r="BB34" s="15"/>
      <c r="BC34" s="15"/>
      <c r="BD34" s="15"/>
    </row>
    <row r="35" spans="2:56" ht="18.649999999999999" customHeight="1" x14ac:dyDescent="0.25">
      <c r="B35" s="70" t="s">
        <v>39</v>
      </c>
      <c r="C35" s="4" t="s">
        <v>29</v>
      </c>
      <c r="D35" s="5">
        <v>21</v>
      </c>
      <c r="E35" s="11">
        <v>5000</v>
      </c>
      <c r="F35" s="11">
        <v>5000</v>
      </c>
      <c r="G35" s="11">
        <v>5000</v>
      </c>
      <c r="H35" s="11">
        <v>5000</v>
      </c>
      <c r="I35" s="11">
        <v>5000</v>
      </c>
      <c r="J35" s="11">
        <v>5000</v>
      </c>
      <c r="K35" s="11">
        <v>5000</v>
      </c>
      <c r="L35" s="11">
        <v>5000</v>
      </c>
      <c r="M35" s="11">
        <v>5000</v>
      </c>
      <c r="N35" s="11">
        <v>5000</v>
      </c>
      <c r="O35" s="11">
        <v>5000</v>
      </c>
      <c r="P35" s="11">
        <v>5000</v>
      </c>
      <c r="Q35" s="11">
        <v>5000</v>
      </c>
      <c r="R35" s="11">
        <v>5000</v>
      </c>
      <c r="S35" s="11">
        <v>5000</v>
      </c>
      <c r="T35" s="11">
        <v>5000</v>
      </c>
      <c r="U35" s="11">
        <v>5000</v>
      </c>
      <c r="V35" s="11">
        <v>5000</v>
      </c>
      <c r="W35" s="11">
        <v>5000</v>
      </c>
      <c r="X35" s="11">
        <v>5000</v>
      </c>
      <c r="Y35" s="11">
        <v>5000</v>
      </c>
      <c r="Z35" s="11">
        <v>5000</v>
      </c>
      <c r="AA35" s="11">
        <v>5000</v>
      </c>
      <c r="AB35" s="11">
        <v>5000</v>
      </c>
      <c r="AC35" s="76">
        <f>+SUM(E35:AB35)*D35+SUM(E36:AB36)*D36+SUM(E37:AB37)*D37+SUM(E38:AB38)*D38</f>
        <v>3720000</v>
      </c>
      <c r="AG35" s="15"/>
      <c r="AH35" s="15"/>
      <c r="AI35" s="15"/>
      <c r="AJ35" s="15"/>
      <c r="AK35" s="15"/>
      <c r="AL35" s="15"/>
      <c r="AM35" s="15"/>
      <c r="AN35" s="15"/>
      <c r="AO35" s="15"/>
      <c r="AP35" s="15"/>
      <c r="AQ35" s="15"/>
      <c r="AR35" s="15"/>
      <c r="AS35" s="15"/>
      <c r="AT35" s="15"/>
      <c r="AU35" s="15"/>
      <c r="AV35" s="15"/>
      <c r="AW35" s="15"/>
      <c r="AX35" s="15"/>
      <c r="AY35" s="15"/>
      <c r="AZ35" s="15"/>
      <c r="BA35" s="15"/>
      <c r="BB35" s="15"/>
      <c r="BC35" s="15"/>
      <c r="BD35" s="15"/>
    </row>
    <row r="36" spans="2:56" ht="18.649999999999999" customHeight="1" x14ac:dyDescent="0.25">
      <c r="B36" s="70" t="s">
        <v>39</v>
      </c>
      <c r="C36" s="4" t="s">
        <v>30</v>
      </c>
      <c r="D36" s="5">
        <v>4</v>
      </c>
      <c r="E36" s="11">
        <v>5000</v>
      </c>
      <c r="F36" s="11">
        <v>5000</v>
      </c>
      <c r="G36" s="11">
        <v>5000</v>
      </c>
      <c r="H36" s="11">
        <v>5000</v>
      </c>
      <c r="I36" s="11">
        <v>5000</v>
      </c>
      <c r="J36" s="11">
        <v>5000</v>
      </c>
      <c r="K36" s="11">
        <v>5000</v>
      </c>
      <c r="L36" s="11">
        <v>5000</v>
      </c>
      <c r="M36" s="11">
        <v>5000</v>
      </c>
      <c r="N36" s="11">
        <v>5000</v>
      </c>
      <c r="O36" s="11">
        <v>5000</v>
      </c>
      <c r="P36" s="11">
        <v>5000</v>
      </c>
      <c r="Q36" s="11">
        <v>5000</v>
      </c>
      <c r="R36" s="11">
        <v>5000</v>
      </c>
      <c r="S36" s="11">
        <v>5000</v>
      </c>
      <c r="T36" s="11">
        <v>5000</v>
      </c>
      <c r="U36" s="11">
        <v>5000</v>
      </c>
      <c r="V36" s="11">
        <v>5000</v>
      </c>
      <c r="W36" s="11">
        <v>5000</v>
      </c>
      <c r="X36" s="11">
        <v>5000</v>
      </c>
      <c r="Y36" s="11">
        <v>5000</v>
      </c>
      <c r="Z36" s="11">
        <v>5000</v>
      </c>
      <c r="AA36" s="11">
        <v>5000</v>
      </c>
      <c r="AB36" s="11">
        <v>5000</v>
      </c>
      <c r="AC36" s="77"/>
      <c r="AG36" s="15"/>
      <c r="AH36" s="15"/>
      <c r="AI36" s="15"/>
      <c r="AJ36" s="15"/>
      <c r="AK36" s="15"/>
      <c r="AL36" s="15"/>
      <c r="AM36" s="15"/>
      <c r="AN36" s="15"/>
      <c r="AO36" s="15"/>
      <c r="AP36" s="15"/>
      <c r="AQ36" s="15"/>
      <c r="AR36" s="15"/>
      <c r="AS36" s="15"/>
      <c r="AT36" s="15"/>
      <c r="AU36" s="15"/>
      <c r="AV36" s="15"/>
      <c r="AW36" s="15"/>
      <c r="AX36" s="15"/>
      <c r="AY36" s="15"/>
      <c r="AZ36" s="15"/>
      <c r="BA36" s="15"/>
      <c r="BB36" s="15"/>
      <c r="BC36" s="15"/>
      <c r="BD36" s="15"/>
    </row>
    <row r="37" spans="2:56" ht="18.649999999999999" customHeight="1" x14ac:dyDescent="0.25">
      <c r="B37" s="70" t="s">
        <v>39</v>
      </c>
      <c r="C37" s="4" t="s">
        <v>31</v>
      </c>
      <c r="D37" s="5">
        <v>4</v>
      </c>
      <c r="E37" s="11">
        <v>5000</v>
      </c>
      <c r="F37" s="11">
        <v>5000</v>
      </c>
      <c r="G37" s="11">
        <v>5000</v>
      </c>
      <c r="H37" s="11">
        <v>5000</v>
      </c>
      <c r="I37" s="11">
        <v>5000</v>
      </c>
      <c r="J37" s="11">
        <v>5000</v>
      </c>
      <c r="K37" s="11">
        <v>5000</v>
      </c>
      <c r="L37" s="11">
        <v>5000</v>
      </c>
      <c r="M37" s="11">
        <v>5000</v>
      </c>
      <c r="N37" s="11">
        <v>5000</v>
      </c>
      <c r="O37" s="11">
        <v>5000</v>
      </c>
      <c r="P37" s="11">
        <v>5000</v>
      </c>
      <c r="Q37" s="11">
        <v>5000</v>
      </c>
      <c r="R37" s="11">
        <v>5000</v>
      </c>
      <c r="S37" s="11">
        <v>5000</v>
      </c>
      <c r="T37" s="11">
        <v>5000</v>
      </c>
      <c r="U37" s="11">
        <v>5000</v>
      </c>
      <c r="V37" s="11">
        <v>5000</v>
      </c>
      <c r="W37" s="11">
        <v>5000</v>
      </c>
      <c r="X37" s="11">
        <v>5000</v>
      </c>
      <c r="Y37" s="11">
        <v>5000</v>
      </c>
      <c r="Z37" s="11">
        <v>5000</v>
      </c>
      <c r="AA37" s="11">
        <v>5000</v>
      </c>
      <c r="AB37" s="11">
        <v>5000</v>
      </c>
      <c r="AC37" s="77"/>
      <c r="AG37" s="15"/>
      <c r="AH37" s="15"/>
      <c r="AI37" s="15"/>
      <c r="AJ37" s="15"/>
      <c r="AK37" s="15"/>
      <c r="AL37" s="15"/>
      <c r="AM37" s="15"/>
      <c r="AN37" s="15"/>
      <c r="AO37" s="15"/>
      <c r="AP37" s="15"/>
      <c r="AQ37" s="15"/>
      <c r="AR37" s="15"/>
      <c r="AS37" s="15"/>
      <c r="AT37" s="15"/>
      <c r="AU37" s="15"/>
      <c r="AV37" s="15"/>
      <c r="AW37" s="15"/>
      <c r="AX37" s="15"/>
      <c r="AY37" s="15"/>
      <c r="AZ37" s="15"/>
      <c r="BA37" s="15"/>
      <c r="BB37" s="15"/>
      <c r="BC37" s="15"/>
      <c r="BD37" s="15"/>
    </row>
    <row r="38" spans="2:56" ht="18.649999999999999" customHeight="1" x14ac:dyDescent="0.25">
      <c r="B38" s="70" t="s">
        <v>39</v>
      </c>
      <c r="C38" s="4" t="s">
        <v>32</v>
      </c>
      <c r="D38" s="5">
        <v>2</v>
      </c>
      <c r="E38" s="11">
        <v>5000</v>
      </c>
      <c r="F38" s="11">
        <v>5000</v>
      </c>
      <c r="G38" s="11">
        <v>5000</v>
      </c>
      <c r="H38" s="11">
        <v>5000</v>
      </c>
      <c r="I38" s="11">
        <v>5000</v>
      </c>
      <c r="J38" s="11">
        <v>5000</v>
      </c>
      <c r="K38" s="11">
        <v>5000</v>
      </c>
      <c r="L38" s="11">
        <v>5000</v>
      </c>
      <c r="M38" s="11">
        <v>5000</v>
      </c>
      <c r="N38" s="11">
        <v>5000</v>
      </c>
      <c r="O38" s="11">
        <v>5000</v>
      </c>
      <c r="P38" s="11">
        <v>5000</v>
      </c>
      <c r="Q38" s="11">
        <v>5000</v>
      </c>
      <c r="R38" s="11">
        <v>5000</v>
      </c>
      <c r="S38" s="11">
        <v>5000</v>
      </c>
      <c r="T38" s="11">
        <v>5000</v>
      </c>
      <c r="U38" s="11">
        <v>5000</v>
      </c>
      <c r="V38" s="11">
        <v>5000</v>
      </c>
      <c r="W38" s="11">
        <v>5000</v>
      </c>
      <c r="X38" s="11">
        <v>5000</v>
      </c>
      <c r="Y38" s="11">
        <v>5000</v>
      </c>
      <c r="Z38" s="11">
        <v>5000</v>
      </c>
      <c r="AA38" s="11">
        <v>5000</v>
      </c>
      <c r="AB38" s="11">
        <v>5000</v>
      </c>
      <c r="AC38" s="78"/>
      <c r="AG38" s="15"/>
      <c r="AH38" s="15"/>
      <c r="AI38" s="15"/>
      <c r="AJ38" s="15"/>
      <c r="AK38" s="15"/>
      <c r="AL38" s="15"/>
      <c r="AM38" s="15"/>
      <c r="AN38" s="15"/>
      <c r="AO38" s="15"/>
      <c r="AP38" s="15"/>
      <c r="AQ38" s="15"/>
      <c r="AR38" s="15"/>
      <c r="AS38" s="15"/>
      <c r="AT38" s="15"/>
      <c r="AU38" s="15"/>
      <c r="AV38" s="15"/>
      <c r="AW38" s="15"/>
      <c r="AX38" s="15"/>
      <c r="AY38" s="15"/>
      <c r="AZ38" s="15"/>
      <c r="BA38" s="15"/>
      <c r="BB38" s="15"/>
      <c r="BC38" s="15"/>
      <c r="BD38" s="15"/>
    </row>
    <row r="39" spans="2:56" ht="18.649999999999999" customHeight="1" x14ac:dyDescent="0.25">
      <c r="B39" s="70" t="s">
        <v>40</v>
      </c>
      <c r="C39" s="4" t="s">
        <v>29</v>
      </c>
      <c r="D39" s="5">
        <v>20</v>
      </c>
      <c r="E39" s="11">
        <v>5000</v>
      </c>
      <c r="F39" s="11">
        <v>5000</v>
      </c>
      <c r="G39" s="11">
        <v>5000</v>
      </c>
      <c r="H39" s="11">
        <v>5000</v>
      </c>
      <c r="I39" s="11">
        <v>5000</v>
      </c>
      <c r="J39" s="11">
        <v>5000</v>
      </c>
      <c r="K39" s="11">
        <v>5000</v>
      </c>
      <c r="L39" s="11">
        <v>5000</v>
      </c>
      <c r="M39" s="11">
        <v>5000</v>
      </c>
      <c r="N39" s="11">
        <v>5000</v>
      </c>
      <c r="O39" s="11">
        <v>5000</v>
      </c>
      <c r="P39" s="11">
        <v>5000</v>
      </c>
      <c r="Q39" s="11">
        <v>5000</v>
      </c>
      <c r="R39" s="11">
        <v>5000</v>
      </c>
      <c r="S39" s="11">
        <v>5000</v>
      </c>
      <c r="T39" s="11">
        <v>5000</v>
      </c>
      <c r="U39" s="11">
        <v>5000</v>
      </c>
      <c r="V39" s="11">
        <v>5000</v>
      </c>
      <c r="W39" s="11">
        <v>5000</v>
      </c>
      <c r="X39" s="11">
        <v>5000</v>
      </c>
      <c r="Y39" s="11">
        <v>5000</v>
      </c>
      <c r="Z39" s="11">
        <v>5000</v>
      </c>
      <c r="AA39" s="11">
        <v>5000</v>
      </c>
      <c r="AB39" s="11">
        <v>5000</v>
      </c>
      <c r="AC39" s="76">
        <f>+SUM(E39:AB39)*D39+SUM(E40:AB40)*D40+SUM(E41:AB41)*D41+SUM(E42:AB42)*D42</f>
        <v>3600000</v>
      </c>
      <c r="AG39" s="15"/>
      <c r="AH39" s="15"/>
      <c r="AI39" s="15"/>
      <c r="AJ39" s="15"/>
      <c r="AK39" s="15"/>
      <c r="AL39" s="15"/>
      <c r="AM39" s="15"/>
      <c r="AN39" s="15"/>
      <c r="AO39" s="15"/>
      <c r="AP39" s="15"/>
      <c r="AQ39" s="15"/>
      <c r="AR39" s="15"/>
      <c r="AS39" s="15"/>
      <c r="AT39" s="15"/>
      <c r="AU39" s="15"/>
      <c r="AV39" s="15"/>
      <c r="AW39" s="15"/>
      <c r="AX39" s="15"/>
      <c r="AY39" s="15"/>
      <c r="AZ39" s="15"/>
      <c r="BA39" s="15"/>
      <c r="BB39" s="15"/>
      <c r="BC39" s="15"/>
      <c r="BD39" s="15"/>
    </row>
    <row r="40" spans="2:56" ht="18.649999999999999" customHeight="1" x14ac:dyDescent="0.25">
      <c r="B40" s="70" t="s">
        <v>40</v>
      </c>
      <c r="C40" s="4" t="s">
        <v>30</v>
      </c>
      <c r="D40" s="5">
        <v>5</v>
      </c>
      <c r="E40" s="11">
        <v>5000</v>
      </c>
      <c r="F40" s="11">
        <v>5000</v>
      </c>
      <c r="G40" s="11">
        <v>5000</v>
      </c>
      <c r="H40" s="11">
        <v>5000</v>
      </c>
      <c r="I40" s="11">
        <v>5000</v>
      </c>
      <c r="J40" s="11">
        <v>5000</v>
      </c>
      <c r="K40" s="11">
        <v>5000</v>
      </c>
      <c r="L40" s="11">
        <v>5000</v>
      </c>
      <c r="M40" s="11">
        <v>5000</v>
      </c>
      <c r="N40" s="11">
        <v>5000</v>
      </c>
      <c r="O40" s="11">
        <v>5000</v>
      </c>
      <c r="P40" s="11">
        <v>5000</v>
      </c>
      <c r="Q40" s="11">
        <v>5000</v>
      </c>
      <c r="R40" s="11">
        <v>5000</v>
      </c>
      <c r="S40" s="11">
        <v>5000</v>
      </c>
      <c r="T40" s="11">
        <v>5000</v>
      </c>
      <c r="U40" s="11">
        <v>5000</v>
      </c>
      <c r="V40" s="11">
        <v>5000</v>
      </c>
      <c r="W40" s="11">
        <v>5000</v>
      </c>
      <c r="X40" s="11">
        <v>5000</v>
      </c>
      <c r="Y40" s="11">
        <v>5000</v>
      </c>
      <c r="Z40" s="11">
        <v>5000</v>
      </c>
      <c r="AA40" s="11">
        <v>5000</v>
      </c>
      <c r="AB40" s="11">
        <v>5000</v>
      </c>
      <c r="AC40" s="77"/>
      <c r="AG40" s="15"/>
      <c r="AH40" s="15"/>
      <c r="AI40" s="15"/>
      <c r="AJ40" s="15"/>
      <c r="AK40" s="15"/>
      <c r="AL40" s="15"/>
      <c r="AM40" s="15"/>
      <c r="AN40" s="15"/>
      <c r="AO40" s="15"/>
      <c r="AP40" s="15"/>
      <c r="AQ40" s="15"/>
      <c r="AR40" s="15"/>
      <c r="AS40" s="15"/>
      <c r="AT40" s="15"/>
      <c r="AU40" s="15"/>
      <c r="AV40" s="15"/>
      <c r="AW40" s="15"/>
      <c r="AX40" s="15"/>
      <c r="AY40" s="15"/>
      <c r="AZ40" s="15"/>
      <c r="BA40" s="15"/>
      <c r="BB40" s="15"/>
      <c r="BC40" s="15"/>
      <c r="BD40" s="15"/>
    </row>
    <row r="41" spans="2:56" ht="18.649999999999999" customHeight="1" x14ac:dyDescent="0.25">
      <c r="B41" s="70" t="s">
        <v>40</v>
      </c>
      <c r="C41" s="4" t="s">
        <v>31</v>
      </c>
      <c r="D41" s="5">
        <v>5</v>
      </c>
      <c r="E41" s="11">
        <v>5000</v>
      </c>
      <c r="F41" s="11">
        <v>5000</v>
      </c>
      <c r="G41" s="11">
        <v>5000</v>
      </c>
      <c r="H41" s="11">
        <v>5000</v>
      </c>
      <c r="I41" s="11">
        <v>5000</v>
      </c>
      <c r="J41" s="11">
        <v>5000</v>
      </c>
      <c r="K41" s="11">
        <v>5000</v>
      </c>
      <c r="L41" s="11">
        <v>5000</v>
      </c>
      <c r="M41" s="11">
        <v>5000</v>
      </c>
      <c r="N41" s="11">
        <v>5000</v>
      </c>
      <c r="O41" s="11">
        <v>5000</v>
      </c>
      <c r="P41" s="11">
        <v>5000</v>
      </c>
      <c r="Q41" s="11">
        <v>5000</v>
      </c>
      <c r="R41" s="11">
        <v>5000</v>
      </c>
      <c r="S41" s="11">
        <v>5000</v>
      </c>
      <c r="T41" s="11">
        <v>5000</v>
      </c>
      <c r="U41" s="11">
        <v>5000</v>
      </c>
      <c r="V41" s="11">
        <v>5000</v>
      </c>
      <c r="W41" s="11">
        <v>5000</v>
      </c>
      <c r="X41" s="11">
        <v>5000</v>
      </c>
      <c r="Y41" s="11">
        <v>5000</v>
      </c>
      <c r="Z41" s="11">
        <v>5000</v>
      </c>
      <c r="AA41" s="11">
        <v>5000</v>
      </c>
      <c r="AB41" s="11">
        <v>5000</v>
      </c>
      <c r="AC41" s="77"/>
      <c r="AG41" s="15"/>
      <c r="AH41" s="15"/>
      <c r="AI41" s="15"/>
      <c r="AJ41" s="15"/>
      <c r="AK41" s="15"/>
      <c r="AL41" s="15"/>
      <c r="AM41" s="15"/>
      <c r="AN41" s="15"/>
      <c r="AO41" s="15"/>
      <c r="AP41" s="15"/>
      <c r="AQ41" s="15"/>
      <c r="AR41" s="15"/>
      <c r="AS41" s="15"/>
      <c r="AT41" s="15"/>
      <c r="AU41" s="15"/>
      <c r="AV41" s="15"/>
      <c r="AW41" s="15"/>
      <c r="AX41" s="15"/>
      <c r="AY41" s="15"/>
      <c r="AZ41" s="15"/>
      <c r="BA41" s="15"/>
      <c r="BB41" s="15"/>
      <c r="BC41" s="15"/>
      <c r="BD41" s="15"/>
    </row>
    <row r="42" spans="2:56" ht="18.649999999999999" customHeight="1" x14ac:dyDescent="0.25">
      <c r="B42" s="70" t="s">
        <v>40</v>
      </c>
      <c r="C42" s="4" t="s">
        <v>32</v>
      </c>
      <c r="D42" s="5">
        <v>0</v>
      </c>
      <c r="E42" s="11"/>
      <c r="F42" s="11"/>
      <c r="G42" s="11"/>
      <c r="H42" s="11"/>
      <c r="I42" s="11"/>
      <c r="J42" s="11"/>
      <c r="K42" s="11"/>
      <c r="L42" s="11"/>
      <c r="M42" s="11"/>
      <c r="N42" s="11"/>
      <c r="O42" s="11"/>
      <c r="P42" s="11"/>
      <c r="Q42" s="11"/>
      <c r="R42" s="11"/>
      <c r="S42" s="11"/>
      <c r="T42" s="11"/>
      <c r="U42" s="11"/>
      <c r="V42" s="11"/>
      <c r="W42" s="11"/>
      <c r="X42" s="11"/>
      <c r="Y42" s="11"/>
      <c r="Z42" s="11"/>
      <c r="AA42" s="11"/>
      <c r="AB42" s="11"/>
      <c r="AC42" s="78"/>
      <c r="AG42" s="15"/>
      <c r="AH42" s="15"/>
      <c r="AI42" s="15"/>
      <c r="AJ42" s="15"/>
      <c r="AK42" s="15"/>
      <c r="AL42" s="15"/>
      <c r="AM42" s="15"/>
      <c r="AN42" s="15"/>
      <c r="AO42" s="15"/>
      <c r="AP42" s="15"/>
      <c r="AQ42" s="15"/>
      <c r="AR42" s="15"/>
      <c r="AS42" s="15"/>
      <c r="AT42" s="15"/>
      <c r="AU42" s="15"/>
      <c r="AV42" s="15"/>
      <c r="AW42" s="15"/>
      <c r="AX42" s="15"/>
      <c r="AY42" s="15"/>
      <c r="AZ42" s="15"/>
      <c r="BA42" s="15"/>
      <c r="BB42" s="15"/>
      <c r="BC42" s="15"/>
      <c r="BD42" s="15"/>
    </row>
    <row r="43" spans="2:56" ht="18.649999999999999" customHeight="1" x14ac:dyDescent="0.25">
      <c r="B43" s="70" t="s">
        <v>41</v>
      </c>
      <c r="C43" s="4" t="s">
        <v>29</v>
      </c>
      <c r="D43" s="5">
        <v>22</v>
      </c>
      <c r="E43" s="11">
        <v>5000</v>
      </c>
      <c r="F43" s="11">
        <v>5000</v>
      </c>
      <c r="G43" s="11">
        <v>5000</v>
      </c>
      <c r="H43" s="11">
        <v>5000</v>
      </c>
      <c r="I43" s="11">
        <v>5000</v>
      </c>
      <c r="J43" s="11">
        <v>5000</v>
      </c>
      <c r="K43" s="11">
        <v>5000</v>
      </c>
      <c r="L43" s="11">
        <v>5000</v>
      </c>
      <c r="M43" s="11">
        <v>5000</v>
      </c>
      <c r="N43" s="11">
        <v>5000</v>
      </c>
      <c r="O43" s="11">
        <v>5000</v>
      </c>
      <c r="P43" s="11">
        <v>5000</v>
      </c>
      <c r="Q43" s="11">
        <v>5000</v>
      </c>
      <c r="R43" s="11">
        <v>5000</v>
      </c>
      <c r="S43" s="11">
        <v>5000</v>
      </c>
      <c r="T43" s="11">
        <v>5000</v>
      </c>
      <c r="U43" s="11">
        <v>5000</v>
      </c>
      <c r="V43" s="11">
        <v>5000</v>
      </c>
      <c r="W43" s="11">
        <v>5000</v>
      </c>
      <c r="X43" s="11">
        <v>5000</v>
      </c>
      <c r="Y43" s="11">
        <v>5000</v>
      </c>
      <c r="Z43" s="11">
        <v>5000</v>
      </c>
      <c r="AA43" s="11">
        <v>5000</v>
      </c>
      <c r="AB43" s="11">
        <v>5000</v>
      </c>
      <c r="AC43" s="76">
        <f>+SUM(E43:AB43)*D43+SUM(E44:AB44)*D44+SUM(E45:AB45)*D45+SUM(E46:AB46)*D46</f>
        <v>3720000</v>
      </c>
      <c r="AG43" s="15"/>
      <c r="AH43" s="15"/>
      <c r="AI43" s="15"/>
      <c r="AJ43" s="15"/>
      <c r="AK43" s="15"/>
      <c r="AL43" s="15"/>
      <c r="AM43" s="15"/>
      <c r="AN43" s="15"/>
      <c r="AO43" s="15"/>
      <c r="AP43" s="15"/>
      <c r="AQ43" s="15"/>
      <c r="AR43" s="15"/>
      <c r="AS43" s="15"/>
      <c r="AT43" s="15"/>
      <c r="AU43" s="15"/>
      <c r="AV43" s="15"/>
      <c r="AW43" s="15"/>
      <c r="AX43" s="15"/>
      <c r="AY43" s="15"/>
      <c r="AZ43" s="15"/>
      <c r="BA43" s="15"/>
      <c r="BB43" s="15"/>
      <c r="BC43" s="15"/>
      <c r="BD43" s="15"/>
    </row>
    <row r="44" spans="2:56" ht="18.649999999999999" customHeight="1" x14ac:dyDescent="0.25">
      <c r="B44" s="70" t="s">
        <v>41</v>
      </c>
      <c r="C44" s="4" t="s">
        <v>30</v>
      </c>
      <c r="D44" s="5">
        <v>4</v>
      </c>
      <c r="E44" s="11">
        <v>5000</v>
      </c>
      <c r="F44" s="11">
        <v>5000</v>
      </c>
      <c r="G44" s="11">
        <v>5000</v>
      </c>
      <c r="H44" s="11">
        <v>5000</v>
      </c>
      <c r="I44" s="11">
        <v>5000</v>
      </c>
      <c r="J44" s="11">
        <v>5000</v>
      </c>
      <c r="K44" s="11">
        <v>5000</v>
      </c>
      <c r="L44" s="11">
        <v>5000</v>
      </c>
      <c r="M44" s="11">
        <v>5000</v>
      </c>
      <c r="N44" s="11">
        <v>5000</v>
      </c>
      <c r="O44" s="11">
        <v>5000</v>
      </c>
      <c r="P44" s="11">
        <v>5000</v>
      </c>
      <c r="Q44" s="11">
        <v>5000</v>
      </c>
      <c r="R44" s="11">
        <v>5000</v>
      </c>
      <c r="S44" s="11">
        <v>5000</v>
      </c>
      <c r="T44" s="11">
        <v>5000</v>
      </c>
      <c r="U44" s="11">
        <v>5000</v>
      </c>
      <c r="V44" s="11">
        <v>5000</v>
      </c>
      <c r="W44" s="11">
        <v>5000</v>
      </c>
      <c r="X44" s="11">
        <v>5000</v>
      </c>
      <c r="Y44" s="11">
        <v>5000</v>
      </c>
      <c r="Z44" s="11">
        <v>5000</v>
      </c>
      <c r="AA44" s="11">
        <v>5000</v>
      </c>
      <c r="AB44" s="11">
        <v>5000</v>
      </c>
      <c r="AC44" s="77"/>
      <c r="AG44" s="15"/>
      <c r="AH44" s="15"/>
      <c r="AI44" s="15"/>
      <c r="AJ44" s="15"/>
      <c r="AK44" s="15"/>
      <c r="AL44" s="15"/>
      <c r="AM44" s="15"/>
      <c r="AN44" s="15"/>
      <c r="AO44" s="15"/>
      <c r="AP44" s="15"/>
      <c r="AQ44" s="15"/>
      <c r="AR44" s="15"/>
      <c r="AS44" s="15"/>
      <c r="AT44" s="15"/>
      <c r="AU44" s="15"/>
      <c r="AV44" s="15"/>
      <c r="AW44" s="15"/>
      <c r="AX44" s="15"/>
      <c r="AY44" s="15"/>
      <c r="AZ44" s="15"/>
      <c r="BA44" s="15"/>
      <c r="BB44" s="15"/>
      <c r="BC44" s="15"/>
      <c r="BD44" s="15"/>
    </row>
    <row r="45" spans="2:56" ht="18.649999999999999" customHeight="1" x14ac:dyDescent="0.25">
      <c r="B45" s="70" t="s">
        <v>41</v>
      </c>
      <c r="C45" s="4" t="s">
        <v>31</v>
      </c>
      <c r="D45" s="5">
        <v>4</v>
      </c>
      <c r="E45" s="11">
        <v>5000</v>
      </c>
      <c r="F45" s="11">
        <v>5000</v>
      </c>
      <c r="G45" s="11">
        <v>5000</v>
      </c>
      <c r="H45" s="11">
        <v>5000</v>
      </c>
      <c r="I45" s="11">
        <v>5000</v>
      </c>
      <c r="J45" s="11">
        <v>5000</v>
      </c>
      <c r="K45" s="11">
        <v>5000</v>
      </c>
      <c r="L45" s="11">
        <v>5000</v>
      </c>
      <c r="M45" s="11">
        <v>5000</v>
      </c>
      <c r="N45" s="11">
        <v>5000</v>
      </c>
      <c r="O45" s="11">
        <v>5000</v>
      </c>
      <c r="P45" s="11">
        <v>5000</v>
      </c>
      <c r="Q45" s="11">
        <v>5000</v>
      </c>
      <c r="R45" s="11">
        <v>5000</v>
      </c>
      <c r="S45" s="11">
        <v>5000</v>
      </c>
      <c r="T45" s="11">
        <v>5000</v>
      </c>
      <c r="U45" s="11">
        <v>5000</v>
      </c>
      <c r="V45" s="11">
        <v>5000</v>
      </c>
      <c r="W45" s="11">
        <v>5000</v>
      </c>
      <c r="X45" s="11">
        <v>5000</v>
      </c>
      <c r="Y45" s="11">
        <v>5000</v>
      </c>
      <c r="Z45" s="11">
        <v>5000</v>
      </c>
      <c r="AA45" s="11">
        <v>5000</v>
      </c>
      <c r="AB45" s="11">
        <v>5000</v>
      </c>
      <c r="AC45" s="77"/>
      <c r="AG45" s="15"/>
      <c r="AH45" s="15"/>
      <c r="AI45" s="15"/>
      <c r="AJ45" s="15"/>
      <c r="AK45" s="15"/>
      <c r="AL45" s="15"/>
      <c r="AM45" s="15"/>
      <c r="AN45" s="15"/>
      <c r="AO45" s="15"/>
      <c r="AP45" s="15"/>
      <c r="AQ45" s="15"/>
      <c r="AR45" s="15"/>
      <c r="AS45" s="15"/>
      <c r="AT45" s="15"/>
      <c r="AU45" s="15"/>
      <c r="AV45" s="15"/>
      <c r="AW45" s="15"/>
      <c r="AX45" s="15"/>
      <c r="AY45" s="15"/>
      <c r="AZ45" s="15"/>
      <c r="BA45" s="15"/>
      <c r="BB45" s="15"/>
      <c r="BC45" s="15"/>
      <c r="BD45" s="15"/>
    </row>
    <row r="46" spans="2:56" ht="18.649999999999999" customHeight="1" x14ac:dyDescent="0.25">
      <c r="B46" s="70" t="s">
        <v>41</v>
      </c>
      <c r="C46" s="4" t="s">
        <v>32</v>
      </c>
      <c r="D46" s="5">
        <v>1</v>
      </c>
      <c r="E46" s="11">
        <v>5000</v>
      </c>
      <c r="F46" s="11">
        <v>5000</v>
      </c>
      <c r="G46" s="11">
        <v>5000</v>
      </c>
      <c r="H46" s="11">
        <v>5000</v>
      </c>
      <c r="I46" s="11">
        <v>5000</v>
      </c>
      <c r="J46" s="11">
        <v>5000</v>
      </c>
      <c r="K46" s="11">
        <v>5000</v>
      </c>
      <c r="L46" s="11">
        <v>5000</v>
      </c>
      <c r="M46" s="11">
        <v>5000</v>
      </c>
      <c r="N46" s="11">
        <v>5000</v>
      </c>
      <c r="O46" s="11">
        <v>5000</v>
      </c>
      <c r="P46" s="11">
        <v>5000</v>
      </c>
      <c r="Q46" s="11">
        <v>5000</v>
      </c>
      <c r="R46" s="11">
        <v>5000</v>
      </c>
      <c r="S46" s="11">
        <v>5000</v>
      </c>
      <c r="T46" s="11">
        <v>5000</v>
      </c>
      <c r="U46" s="11">
        <v>5000</v>
      </c>
      <c r="V46" s="11">
        <v>5000</v>
      </c>
      <c r="W46" s="11">
        <v>5000</v>
      </c>
      <c r="X46" s="11">
        <v>5000</v>
      </c>
      <c r="Y46" s="11">
        <v>5000</v>
      </c>
      <c r="Z46" s="11">
        <v>5000</v>
      </c>
      <c r="AA46" s="11">
        <v>5000</v>
      </c>
      <c r="AB46" s="11">
        <v>5000</v>
      </c>
      <c r="AC46" s="78"/>
      <c r="AG46" s="15"/>
      <c r="AH46" s="15"/>
      <c r="AI46" s="15"/>
      <c r="AJ46" s="15"/>
      <c r="AK46" s="15"/>
      <c r="AL46" s="15"/>
      <c r="AM46" s="15"/>
      <c r="AN46" s="15"/>
      <c r="AO46" s="15"/>
      <c r="AP46" s="15"/>
      <c r="AQ46" s="15"/>
      <c r="AR46" s="15"/>
      <c r="AS46" s="15"/>
      <c r="AT46" s="15"/>
      <c r="AU46" s="15"/>
      <c r="AV46" s="15"/>
      <c r="AW46" s="15"/>
      <c r="AX46" s="15"/>
      <c r="AY46" s="15"/>
      <c r="AZ46" s="15"/>
      <c r="BA46" s="15"/>
      <c r="BB46" s="15"/>
      <c r="BC46" s="15"/>
      <c r="BD46" s="15"/>
    </row>
    <row r="47" spans="2:56" ht="18.649999999999999" customHeight="1" x14ac:dyDescent="0.25">
      <c r="B47" s="70" t="s">
        <v>42</v>
      </c>
      <c r="C47" s="4" t="s">
        <v>29</v>
      </c>
      <c r="D47" s="5">
        <v>20</v>
      </c>
      <c r="E47" s="11">
        <v>5000</v>
      </c>
      <c r="F47" s="11">
        <v>5000</v>
      </c>
      <c r="G47" s="11">
        <v>5000</v>
      </c>
      <c r="H47" s="11">
        <v>5000</v>
      </c>
      <c r="I47" s="11">
        <v>5000</v>
      </c>
      <c r="J47" s="11">
        <v>5000</v>
      </c>
      <c r="K47" s="11">
        <v>5000</v>
      </c>
      <c r="L47" s="11">
        <v>5000</v>
      </c>
      <c r="M47" s="11">
        <v>5000</v>
      </c>
      <c r="N47" s="11">
        <v>5000</v>
      </c>
      <c r="O47" s="11">
        <v>5000</v>
      </c>
      <c r="P47" s="11">
        <v>5000</v>
      </c>
      <c r="Q47" s="11">
        <v>5000</v>
      </c>
      <c r="R47" s="11">
        <v>5000</v>
      </c>
      <c r="S47" s="11">
        <v>5000</v>
      </c>
      <c r="T47" s="11">
        <v>5000</v>
      </c>
      <c r="U47" s="11">
        <v>5000</v>
      </c>
      <c r="V47" s="11">
        <v>5000</v>
      </c>
      <c r="W47" s="11">
        <v>5000</v>
      </c>
      <c r="X47" s="11">
        <v>5000</v>
      </c>
      <c r="Y47" s="11">
        <v>5000</v>
      </c>
      <c r="Z47" s="11">
        <v>5000</v>
      </c>
      <c r="AA47" s="11">
        <v>5000</v>
      </c>
      <c r="AB47" s="11">
        <v>5000</v>
      </c>
      <c r="AC47" s="76">
        <f>+SUM(E47:AB47)*D47+SUM(E48:AB48)*D48+SUM(E49:AB49)*D49+SUM(E50:AB50)*D50</f>
        <v>3600000</v>
      </c>
      <c r="AG47" s="15"/>
      <c r="AH47" s="15"/>
      <c r="AI47" s="15"/>
      <c r="AJ47" s="15"/>
      <c r="AK47" s="15"/>
      <c r="AL47" s="15"/>
      <c r="AM47" s="15"/>
      <c r="AN47" s="15"/>
      <c r="AO47" s="15"/>
      <c r="AP47" s="15"/>
      <c r="AQ47" s="15"/>
      <c r="AR47" s="15"/>
      <c r="AS47" s="15"/>
      <c r="AT47" s="15"/>
      <c r="AU47" s="15"/>
      <c r="AV47" s="15"/>
      <c r="AW47" s="15"/>
      <c r="AX47" s="15"/>
      <c r="AY47" s="15"/>
      <c r="AZ47" s="15"/>
      <c r="BA47" s="15"/>
      <c r="BB47" s="15"/>
      <c r="BC47" s="15"/>
      <c r="BD47" s="15"/>
    </row>
    <row r="48" spans="2:56" ht="18.649999999999999" customHeight="1" x14ac:dyDescent="0.25">
      <c r="B48" s="70" t="s">
        <v>42</v>
      </c>
      <c r="C48" s="4" t="s">
        <v>30</v>
      </c>
      <c r="D48" s="5">
        <v>4</v>
      </c>
      <c r="E48" s="11">
        <v>5000</v>
      </c>
      <c r="F48" s="11">
        <v>5000</v>
      </c>
      <c r="G48" s="11">
        <v>5000</v>
      </c>
      <c r="H48" s="11">
        <v>5000</v>
      </c>
      <c r="I48" s="11">
        <v>5000</v>
      </c>
      <c r="J48" s="11">
        <v>5000</v>
      </c>
      <c r="K48" s="11">
        <v>5000</v>
      </c>
      <c r="L48" s="11">
        <v>5000</v>
      </c>
      <c r="M48" s="11">
        <v>5000</v>
      </c>
      <c r="N48" s="11">
        <v>5000</v>
      </c>
      <c r="O48" s="11">
        <v>5000</v>
      </c>
      <c r="P48" s="11">
        <v>5000</v>
      </c>
      <c r="Q48" s="11">
        <v>5000</v>
      </c>
      <c r="R48" s="11">
        <v>5000</v>
      </c>
      <c r="S48" s="11">
        <v>5000</v>
      </c>
      <c r="T48" s="11">
        <v>5000</v>
      </c>
      <c r="U48" s="11">
        <v>5000</v>
      </c>
      <c r="V48" s="11">
        <v>5000</v>
      </c>
      <c r="W48" s="11">
        <v>5000</v>
      </c>
      <c r="X48" s="11">
        <v>5000</v>
      </c>
      <c r="Y48" s="11">
        <v>5000</v>
      </c>
      <c r="Z48" s="11">
        <v>5000</v>
      </c>
      <c r="AA48" s="11">
        <v>5000</v>
      </c>
      <c r="AB48" s="11">
        <v>5000</v>
      </c>
      <c r="AC48" s="77"/>
      <c r="AG48" s="15"/>
      <c r="AH48" s="15"/>
      <c r="AI48" s="15"/>
      <c r="AJ48" s="15"/>
      <c r="AK48" s="15"/>
      <c r="AL48" s="15"/>
      <c r="AM48" s="15"/>
      <c r="AN48" s="15"/>
      <c r="AO48" s="15"/>
      <c r="AP48" s="15"/>
      <c r="AQ48" s="15"/>
      <c r="AR48" s="15"/>
      <c r="AS48" s="15"/>
      <c r="AT48" s="15"/>
      <c r="AU48" s="15"/>
      <c r="AV48" s="15"/>
      <c r="AW48" s="15"/>
      <c r="AX48" s="15"/>
      <c r="AY48" s="15"/>
      <c r="AZ48" s="15"/>
      <c r="BA48" s="15"/>
      <c r="BB48" s="15"/>
      <c r="BC48" s="15"/>
      <c r="BD48" s="15"/>
    </row>
    <row r="49" spans="2:56" ht="18.649999999999999" customHeight="1" x14ac:dyDescent="0.25">
      <c r="B49" s="70" t="s">
        <v>42</v>
      </c>
      <c r="C49" s="4" t="s">
        <v>31</v>
      </c>
      <c r="D49" s="5">
        <v>4</v>
      </c>
      <c r="E49" s="11">
        <v>5000</v>
      </c>
      <c r="F49" s="11">
        <v>5000</v>
      </c>
      <c r="G49" s="11">
        <v>5000</v>
      </c>
      <c r="H49" s="11">
        <v>5000</v>
      </c>
      <c r="I49" s="11">
        <v>5000</v>
      </c>
      <c r="J49" s="11">
        <v>5000</v>
      </c>
      <c r="K49" s="11">
        <v>5000</v>
      </c>
      <c r="L49" s="11">
        <v>5000</v>
      </c>
      <c r="M49" s="11">
        <v>5000</v>
      </c>
      <c r="N49" s="11">
        <v>5000</v>
      </c>
      <c r="O49" s="11">
        <v>5000</v>
      </c>
      <c r="P49" s="11">
        <v>5000</v>
      </c>
      <c r="Q49" s="11">
        <v>5000</v>
      </c>
      <c r="R49" s="11">
        <v>5000</v>
      </c>
      <c r="S49" s="11">
        <v>5000</v>
      </c>
      <c r="T49" s="11">
        <v>5000</v>
      </c>
      <c r="U49" s="11">
        <v>5000</v>
      </c>
      <c r="V49" s="11">
        <v>5000</v>
      </c>
      <c r="W49" s="11">
        <v>5000</v>
      </c>
      <c r="X49" s="11">
        <v>5000</v>
      </c>
      <c r="Y49" s="11">
        <v>5000</v>
      </c>
      <c r="Z49" s="11">
        <v>5000</v>
      </c>
      <c r="AA49" s="11">
        <v>5000</v>
      </c>
      <c r="AB49" s="11">
        <v>5000</v>
      </c>
      <c r="AC49" s="77"/>
      <c r="AG49" s="15"/>
      <c r="AH49" s="15"/>
      <c r="AI49" s="15"/>
      <c r="AJ49" s="15"/>
      <c r="AK49" s="15"/>
      <c r="AL49" s="15"/>
      <c r="AM49" s="15"/>
      <c r="AN49" s="15"/>
      <c r="AO49" s="15"/>
      <c r="AP49" s="15"/>
      <c r="AQ49" s="15"/>
      <c r="AR49" s="15"/>
      <c r="AS49" s="15"/>
      <c r="AT49" s="15"/>
      <c r="AU49" s="15"/>
      <c r="AV49" s="15"/>
      <c r="AW49" s="15"/>
      <c r="AX49" s="15"/>
      <c r="AY49" s="15"/>
      <c r="AZ49" s="15"/>
      <c r="BA49" s="15"/>
      <c r="BB49" s="15"/>
      <c r="BC49" s="15"/>
      <c r="BD49" s="15"/>
    </row>
    <row r="50" spans="2:56" ht="18.649999999999999" customHeight="1" x14ac:dyDescent="0.25">
      <c r="B50" s="70" t="s">
        <v>42</v>
      </c>
      <c r="C50" s="4" t="s">
        <v>32</v>
      </c>
      <c r="D50" s="5">
        <v>2</v>
      </c>
      <c r="E50" s="11">
        <v>5000</v>
      </c>
      <c r="F50" s="11">
        <v>5000</v>
      </c>
      <c r="G50" s="11">
        <v>5000</v>
      </c>
      <c r="H50" s="11">
        <v>5000</v>
      </c>
      <c r="I50" s="11">
        <v>5000</v>
      </c>
      <c r="J50" s="11">
        <v>5000</v>
      </c>
      <c r="K50" s="11">
        <v>5000</v>
      </c>
      <c r="L50" s="11">
        <v>5000</v>
      </c>
      <c r="M50" s="11">
        <v>5000</v>
      </c>
      <c r="N50" s="11">
        <v>5000</v>
      </c>
      <c r="O50" s="11">
        <v>5000</v>
      </c>
      <c r="P50" s="11">
        <v>5000</v>
      </c>
      <c r="Q50" s="11">
        <v>5000</v>
      </c>
      <c r="R50" s="11">
        <v>5000</v>
      </c>
      <c r="S50" s="11">
        <v>5000</v>
      </c>
      <c r="T50" s="11">
        <v>5000</v>
      </c>
      <c r="U50" s="11">
        <v>5000</v>
      </c>
      <c r="V50" s="11">
        <v>5000</v>
      </c>
      <c r="W50" s="11">
        <v>5000</v>
      </c>
      <c r="X50" s="11">
        <v>5000</v>
      </c>
      <c r="Y50" s="11">
        <v>5000</v>
      </c>
      <c r="Z50" s="11">
        <v>5000</v>
      </c>
      <c r="AA50" s="11">
        <v>5000</v>
      </c>
      <c r="AB50" s="11">
        <v>5000</v>
      </c>
      <c r="AC50" s="78"/>
      <c r="AG50" s="15"/>
      <c r="AH50" s="15"/>
      <c r="AI50" s="15"/>
      <c r="AJ50" s="15"/>
      <c r="AK50" s="15"/>
      <c r="AL50" s="15"/>
      <c r="AM50" s="15"/>
      <c r="AN50" s="15"/>
      <c r="AO50" s="15"/>
      <c r="AP50" s="15"/>
      <c r="AQ50" s="15"/>
      <c r="AR50" s="15"/>
      <c r="AS50" s="15"/>
      <c r="AT50" s="15"/>
      <c r="AU50" s="15"/>
      <c r="AV50" s="15"/>
      <c r="AW50" s="15"/>
      <c r="AX50" s="15"/>
      <c r="AY50" s="15"/>
      <c r="AZ50" s="15"/>
      <c r="BA50" s="15"/>
      <c r="BB50" s="15"/>
      <c r="BC50" s="15"/>
      <c r="BD50" s="15"/>
    </row>
    <row r="51" spans="2:56" ht="18.649999999999999" customHeight="1" x14ac:dyDescent="0.25">
      <c r="B51" s="70" t="s">
        <v>43</v>
      </c>
      <c r="C51" s="4" t="s">
        <v>29</v>
      </c>
      <c r="D51" s="5">
        <v>20</v>
      </c>
      <c r="E51" s="11">
        <v>5000</v>
      </c>
      <c r="F51" s="11">
        <v>5000</v>
      </c>
      <c r="G51" s="11">
        <v>5000</v>
      </c>
      <c r="H51" s="11">
        <v>5000</v>
      </c>
      <c r="I51" s="11">
        <v>5000</v>
      </c>
      <c r="J51" s="11">
        <v>5000</v>
      </c>
      <c r="K51" s="11">
        <v>5000</v>
      </c>
      <c r="L51" s="11">
        <v>5000</v>
      </c>
      <c r="M51" s="11">
        <v>5000</v>
      </c>
      <c r="N51" s="11">
        <v>5000</v>
      </c>
      <c r="O51" s="11">
        <v>5000</v>
      </c>
      <c r="P51" s="11">
        <v>5000</v>
      </c>
      <c r="Q51" s="11">
        <v>5000</v>
      </c>
      <c r="R51" s="11">
        <v>5000</v>
      </c>
      <c r="S51" s="11">
        <v>5000</v>
      </c>
      <c r="T51" s="11">
        <v>5000</v>
      </c>
      <c r="U51" s="11">
        <v>5000</v>
      </c>
      <c r="V51" s="11">
        <v>5000</v>
      </c>
      <c r="W51" s="11">
        <v>5000</v>
      </c>
      <c r="X51" s="11">
        <v>5000</v>
      </c>
      <c r="Y51" s="11">
        <v>5000</v>
      </c>
      <c r="Z51" s="11">
        <v>5000</v>
      </c>
      <c r="AA51" s="11">
        <v>5000</v>
      </c>
      <c r="AB51" s="11">
        <v>5000</v>
      </c>
      <c r="AC51" s="76">
        <f>+SUM(E51:AB51)*D51+SUM(E52:AB52)*D52+SUM(E53:AB53)*D53+SUM(E54:AB54)*D54</f>
        <v>3720000</v>
      </c>
      <c r="AG51" s="15"/>
      <c r="AH51" s="15"/>
      <c r="AI51" s="15"/>
      <c r="AJ51" s="15"/>
      <c r="AK51" s="15"/>
      <c r="AL51" s="15"/>
      <c r="AM51" s="15"/>
      <c r="AN51" s="15"/>
      <c r="AO51" s="15"/>
      <c r="AP51" s="15"/>
      <c r="AQ51" s="15"/>
      <c r="AR51" s="15"/>
      <c r="AS51" s="15"/>
      <c r="AT51" s="15"/>
      <c r="AU51" s="15"/>
      <c r="AV51" s="15"/>
      <c r="AW51" s="15"/>
      <c r="AX51" s="15"/>
      <c r="AY51" s="15"/>
      <c r="AZ51" s="15"/>
      <c r="BA51" s="15"/>
      <c r="BB51" s="15"/>
      <c r="BC51" s="15"/>
      <c r="BD51" s="15"/>
    </row>
    <row r="52" spans="2:56" ht="18.649999999999999" customHeight="1" x14ac:dyDescent="0.25">
      <c r="B52" s="70" t="s">
        <v>43</v>
      </c>
      <c r="C52" s="4" t="s">
        <v>30</v>
      </c>
      <c r="D52" s="5">
        <v>4</v>
      </c>
      <c r="E52" s="11">
        <v>5000</v>
      </c>
      <c r="F52" s="11">
        <v>5000</v>
      </c>
      <c r="G52" s="11">
        <v>5000</v>
      </c>
      <c r="H52" s="11">
        <v>5000</v>
      </c>
      <c r="I52" s="11">
        <v>5000</v>
      </c>
      <c r="J52" s="11">
        <v>5000</v>
      </c>
      <c r="K52" s="11">
        <v>5000</v>
      </c>
      <c r="L52" s="11">
        <v>5000</v>
      </c>
      <c r="M52" s="11">
        <v>5000</v>
      </c>
      <c r="N52" s="11">
        <v>5000</v>
      </c>
      <c r="O52" s="11">
        <v>5000</v>
      </c>
      <c r="P52" s="11">
        <v>5000</v>
      </c>
      <c r="Q52" s="11">
        <v>5000</v>
      </c>
      <c r="R52" s="11">
        <v>5000</v>
      </c>
      <c r="S52" s="11">
        <v>5000</v>
      </c>
      <c r="T52" s="11">
        <v>5000</v>
      </c>
      <c r="U52" s="11">
        <v>5000</v>
      </c>
      <c r="V52" s="11">
        <v>5000</v>
      </c>
      <c r="W52" s="11">
        <v>5000</v>
      </c>
      <c r="X52" s="11">
        <v>5000</v>
      </c>
      <c r="Y52" s="11">
        <v>5000</v>
      </c>
      <c r="Z52" s="11">
        <v>5000</v>
      </c>
      <c r="AA52" s="11">
        <v>5000</v>
      </c>
      <c r="AB52" s="11">
        <v>5000</v>
      </c>
      <c r="AC52" s="77"/>
      <c r="AG52" s="15"/>
      <c r="AH52" s="15"/>
      <c r="AI52" s="15"/>
      <c r="AJ52" s="15"/>
      <c r="AK52" s="15"/>
      <c r="AL52" s="15"/>
      <c r="AM52" s="15"/>
      <c r="AN52" s="15"/>
      <c r="AO52" s="15"/>
      <c r="AP52" s="15"/>
      <c r="AQ52" s="15"/>
      <c r="AR52" s="15"/>
      <c r="AS52" s="15"/>
      <c r="AT52" s="15"/>
      <c r="AU52" s="15"/>
      <c r="AV52" s="15"/>
      <c r="AW52" s="15"/>
      <c r="AX52" s="15"/>
      <c r="AY52" s="15"/>
      <c r="AZ52" s="15"/>
      <c r="BA52" s="15"/>
      <c r="BB52" s="15"/>
      <c r="BC52" s="15"/>
      <c r="BD52" s="15"/>
    </row>
    <row r="53" spans="2:56" ht="18.649999999999999" customHeight="1" x14ac:dyDescent="0.25">
      <c r="B53" s="70" t="s">
        <v>43</v>
      </c>
      <c r="C53" s="4" t="s">
        <v>31</v>
      </c>
      <c r="D53" s="5">
        <v>5</v>
      </c>
      <c r="E53" s="11">
        <v>5000</v>
      </c>
      <c r="F53" s="11">
        <v>5000</v>
      </c>
      <c r="G53" s="11">
        <v>5000</v>
      </c>
      <c r="H53" s="11">
        <v>5000</v>
      </c>
      <c r="I53" s="11">
        <v>5000</v>
      </c>
      <c r="J53" s="11">
        <v>5000</v>
      </c>
      <c r="K53" s="11">
        <v>5000</v>
      </c>
      <c r="L53" s="11">
        <v>5000</v>
      </c>
      <c r="M53" s="11">
        <v>5000</v>
      </c>
      <c r="N53" s="11">
        <v>5000</v>
      </c>
      <c r="O53" s="11">
        <v>5000</v>
      </c>
      <c r="P53" s="11">
        <v>5000</v>
      </c>
      <c r="Q53" s="11">
        <v>5000</v>
      </c>
      <c r="R53" s="11">
        <v>5000</v>
      </c>
      <c r="S53" s="11">
        <v>5000</v>
      </c>
      <c r="T53" s="11">
        <v>5000</v>
      </c>
      <c r="U53" s="11">
        <v>5000</v>
      </c>
      <c r="V53" s="11">
        <v>5000</v>
      </c>
      <c r="W53" s="11">
        <v>5000</v>
      </c>
      <c r="X53" s="11">
        <v>5000</v>
      </c>
      <c r="Y53" s="11">
        <v>5000</v>
      </c>
      <c r="Z53" s="11">
        <v>5000</v>
      </c>
      <c r="AA53" s="11">
        <v>5000</v>
      </c>
      <c r="AB53" s="11">
        <v>5000</v>
      </c>
      <c r="AC53" s="77"/>
      <c r="AG53" s="15"/>
      <c r="AH53" s="15"/>
      <c r="AI53" s="15"/>
      <c r="AJ53" s="15"/>
      <c r="AK53" s="15"/>
      <c r="AL53" s="15"/>
      <c r="AM53" s="15"/>
      <c r="AN53" s="15"/>
      <c r="AO53" s="15"/>
      <c r="AP53" s="15"/>
      <c r="AQ53" s="15"/>
      <c r="AR53" s="15"/>
      <c r="AS53" s="15"/>
      <c r="AT53" s="15"/>
      <c r="AU53" s="15"/>
      <c r="AV53" s="15"/>
      <c r="AW53" s="15"/>
      <c r="AX53" s="15"/>
      <c r="AY53" s="15"/>
      <c r="AZ53" s="15"/>
      <c r="BA53" s="15"/>
      <c r="BB53" s="15"/>
      <c r="BC53" s="15"/>
      <c r="BD53" s="15"/>
    </row>
    <row r="54" spans="2:56" ht="18.649999999999999" customHeight="1" x14ac:dyDescent="0.25">
      <c r="B54" s="70" t="s">
        <v>43</v>
      </c>
      <c r="C54" s="4" t="s">
        <v>32</v>
      </c>
      <c r="D54" s="5">
        <v>2</v>
      </c>
      <c r="E54" s="11">
        <v>5000</v>
      </c>
      <c r="F54" s="11">
        <v>5000</v>
      </c>
      <c r="G54" s="11">
        <v>5000</v>
      </c>
      <c r="H54" s="11">
        <v>5000</v>
      </c>
      <c r="I54" s="11">
        <v>5000</v>
      </c>
      <c r="J54" s="11">
        <v>5000</v>
      </c>
      <c r="K54" s="11">
        <v>5000</v>
      </c>
      <c r="L54" s="11">
        <v>5000</v>
      </c>
      <c r="M54" s="11">
        <v>5000</v>
      </c>
      <c r="N54" s="11">
        <v>5000</v>
      </c>
      <c r="O54" s="11">
        <v>5000</v>
      </c>
      <c r="P54" s="11">
        <v>5000</v>
      </c>
      <c r="Q54" s="11">
        <v>5000</v>
      </c>
      <c r="R54" s="11">
        <v>5000</v>
      </c>
      <c r="S54" s="11">
        <v>5000</v>
      </c>
      <c r="T54" s="11">
        <v>5000</v>
      </c>
      <c r="U54" s="11">
        <v>5000</v>
      </c>
      <c r="V54" s="11">
        <v>5000</v>
      </c>
      <c r="W54" s="11">
        <v>5000</v>
      </c>
      <c r="X54" s="11">
        <v>5000</v>
      </c>
      <c r="Y54" s="11">
        <v>5000</v>
      </c>
      <c r="Z54" s="11">
        <v>5000</v>
      </c>
      <c r="AA54" s="11">
        <v>5000</v>
      </c>
      <c r="AB54" s="11">
        <v>5000</v>
      </c>
      <c r="AC54" s="78"/>
      <c r="AG54" s="15"/>
      <c r="AH54" s="15"/>
      <c r="AI54" s="15"/>
      <c r="AJ54" s="15"/>
      <c r="AK54" s="15"/>
      <c r="AL54" s="15"/>
      <c r="AM54" s="15"/>
      <c r="AN54" s="15"/>
      <c r="AO54" s="15"/>
      <c r="AP54" s="15"/>
      <c r="AQ54" s="15"/>
      <c r="AR54" s="15"/>
      <c r="AS54" s="15"/>
      <c r="AT54" s="15"/>
      <c r="AU54" s="15"/>
      <c r="AV54" s="15"/>
      <c r="AW54" s="15"/>
      <c r="AX54" s="15"/>
      <c r="AY54" s="15"/>
      <c r="AZ54" s="15"/>
      <c r="BA54" s="15"/>
      <c r="BB54" s="15"/>
      <c r="BC54" s="15"/>
      <c r="BD54" s="15"/>
    </row>
    <row r="55" spans="2:56" ht="27.75" customHeight="1" x14ac:dyDescent="0.25">
      <c r="E55" s="12"/>
      <c r="F55" s="12"/>
      <c r="G55" s="12"/>
      <c r="H55" s="12"/>
      <c r="I55" s="12"/>
      <c r="J55" s="12"/>
      <c r="K55" s="12"/>
      <c r="L55" s="12"/>
      <c r="M55" s="12"/>
      <c r="N55" s="12"/>
      <c r="O55" s="12"/>
      <c r="P55" s="12"/>
      <c r="Q55" s="12"/>
      <c r="R55" s="12"/>
      <c r="S55" s="12"/>
      <c r="T55" s="12"/>
      <c r="U55" s="12"/>
      <c r="V55" s="12"/>
      <c r="W55" s="12"/>
      <c r="X55" s="12"/>
      <c r="Y55" s="12"/>
      <c r="Z55" s="80" t="s">
        <v>46</v>
      </c>
      <c r="AA55" s="80"/>
      <c r="AB55" s="80"/>
      <c r="AC55" s="13">
        <f>SUM(AC7:AC54)</f>
        <v>43800000</v>
      </c>
    </row>
    <row r="56" spans="2:56" x14ac:dyDescent="0.25">
      <c r="AC56" s="10"/>
    </row>
    <row r="61" spans="2:56" x14ac:dyDescent="0.25">
      <c r="G61" s="7">
        <v>1000</v>
      </c>
    </row>
  </sheetData>
  <mergeCells count="28">
    <mergeCell ref="B51:B54"/>
    <mergeCell ref="AC51:AC54"/>
    <mergeCell ref="Z55:AB55"/>
    <mergeCell ref="B39:B42"/>
    <mergeCell ref="AC39:AC42"/>
    <mergeCell ref="B43:B46"/>
    <mergeCell ref="AC43:AC46"/>
    <mergeCell ref="B47:B50"/>
    <mergeCell ref="AC47:AC50"/>
    <mergeCell ref="B27:B30"/>
    <mergeCell ref="AC27:AC30"/>
    <mergeCell ref="B31:B34"/>
    <mergeCell ref="AC31:AC34"/>
    <mergeCell ref="B35:B38"/>
    <mergeCell ref="AC35:AC38"/>
    <mergeCell ref="B15:B18"/>
    <mergeCell ref="AC15:AC18"/>
    <mergeCell ref="B19:B22"/>
    <mergeCell ref="AC19:AC22"/>
    <mergeCell ref="B23:B26"/>
    <mergeCell ref="AC23:AC26"/>
    <mergeCell ref="B11:B14"/>
    <mergeCell ref="AC11:AC14"/>
    <mergeCell ref="B2:AC2"/>
    <mergeCell ref="B3:AC3"/>
    <mergeCell ref="B4:AC4"/>
    <mergeCell ref="B7:B10"/>
    <mergeCell ref="AC7:AC10"/>
  </mergeCell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A6E11D-3224-4AF9-9573-C2931CB23353}">
  <dimension ref="B1:BD57"/>
  <sheetViews>
    <sheetView showGridLines="0" topLeftCell="J36" zoomScale="70" zoomScaleNormal="70" workbookViewId="0">
      <selection activeCell="A5" sqref="A5:AD56"/>
    </sheetView>
  </sheetViews>
  <sheetFormatPr baseColWidth="10" defaultColWidth="11.453125" defaultRowHeight="11.5" x14ac:dyDescent="0.25"/>
  <cols>
    <col min="1" max="1" width="7.26953125" style="7" customWidth="1"/>
    <col min="2" max="2" width="6.26953125" style="7" bestFit="1" customWidth="1"/>
    <col min="3" max="3" width="11.1796875" style="7" customWidth="1"/>
    <col min="4" max="4" width="7" style="7" customWidth="1"/>
    <col min="5" max="7" width="10.1796875" style="7" bestFit="1" customWidth="1"/>
    <col min="8" max="8" width="9.81640625" style="7" bestFit="1" customWidth="1"/>
    <col min="9" max="9" width="9.7265625" style="7" bestFit="1" customWidth="1"/>
    <col min="10" max="27" width="10.1796875" style="7" bestFit="1" customWidth="1"/>
    <col min="28" max="28" width="10.26953125" style="7" bestFit="1" customWidth="1"/>
    <col min="29" max="29" width="16.7265625" style="7" customWidth="1"/>
    <col min="30" max="30" width="3" style="7" customWidth="1"/>
    <col min="31" max="31" width="14.81640625" style="7" bestFit="1" customWidth="1"/>
    <col min="32" max="257" width="11.453125" style="7"/>
    <col min="258" max="258" width="7" style="7" customWidth="1"/>
    <col min="259" max="259" width="10.7265625" style="7" customWidth="1"/>
    <col min="260" max="260" width="9.26953125" style="7" customWidth="1"/>
    <col min="261" max="284" width="7.26953125" style="7" customWidth="1"/>
    <col min="285" max="285" width="11.26953125" style="7" bestFit="1" customWidth="1"/>
    <col min="286" max="513" width="11.453125" style="7"/>
    <col min="514" max="514" width="7" style="7" customWidth="1"/>
    <col min="515" max="515" width="10.7265625" style="7" customWidth="1"/>
    <col min="516" max="516" width="9.26953125" style="7" customWidth="1"/>
    <col min="517" max="540" width="7.26953125" style="7" customWidth="1"/>
    <col min="541" max="541" width="11.26953125" style="7" bestFit="1" customWidth="1"/>
    <col min="542" max="769" width="11.453125" style="7"/>
    <col min="770" max="770" width="7" style="7" customWidth="1"/>
    <col min="771" max="771" width="10.7265625" style="7" customWidth="1"/>
    <col min="772" max="772" width="9.26953125" style="7" customWidth="1"/>
    <col min="773" max="796" width="7.26953125" style="7" customWidth="1"/>
    <col min="797" max="797" width="11.26953125" style="7" bestFit="1" customWidth="1"/>
    <col min="798" max="1025" width="11.453125" style="7"/>
    <col min="1026" max="1026" width="7" style="7" customWidth="1"/>
    <col min="1027" max="1027" width="10.7265625" style="7" customWidth="1"/>
    <col min="1028" max="1028" width="9.26953125" style="7" customWidth="1"/>
    <col min="1029" max="1052" width="7.26953125" style="7" customWidth="1"/>
    <col min="1053" max="1053" width="11.26953125" style="7" bestFit="1" customWidth="1"/>
    <col min="1054" max="1281" width="11.453125" style="7"/>
    <col min="1282" max="1282" width="7" style="7" customWidth="1"/>
    <col min="1283" max="1283" width="10.7265625" style="7" customWidth="1"/>
    <col min="1284" max="1284" width="9.26953125" style="7" customWidth="1"/>
    <col min="1285" max="1308" width="7.26953125" style="7" customWidth="1"/>
    <col min="1309" max="1309" width="11.26953125" style="7" bestFit="1" customWidth="1"/>
    <col min="1310" max="1537" width="11.453125" style="7"/>
    <col min="1538" max="1538" width="7" style="7" customWidth="1"/>
    <col min="1539" max="1539" width="10.7265625" style="7" customWidth="1"/>
    <col min="1540" max="1540" width="9.26953125" style="7" customWidth="1"/>
    <col min="1541" max="1564" width="7.26953125" style="7" customWidth="1"/>
    <col min="1565" max="1565" width="11.26953125" style="7" bestFit="1" customWidth="1"/>
    <col min="1566" max="1793" width="11.453125" style="7"/>
    <col min="1794" max="1794" width="7" style="7" customWidth="1"/>
    <col min="1795" max="1795" width="10.7265625" style="7" customWidth="1"/>
    <col min="1796" max="1796" width="9.26953125" style="7" customWidth="1"/>
    <col min="1797" max="1820" width="7.26953125" style="7" customWidth="1"/>
    <col min="1821" max="1821" width="11.26953125" style="7" bestFit="1" customWidth="1"/>
    <col min="1822" max="2049" width="11.453125" style="7"/>
    <col min="2050" max="2050" width="7" style="7" customWidth="1"/>
    <col min="2051" max="2051" width="10.7265625" style="7" customWidth="1"/>
    <col min="2052" max="2052" width="9.26953125" style="7" customWidth="1"/>
    <col min="2053" max="2076" width="7.26953125" style="7" customWidth="1"/>
    <col min="2077" max="2077" width="11.26953125" style="7" bestFit="1" customWidth="1"/>
    <col min="2078" max="2305" width="11.453125" style="7"/>
    <col min="2306" max="2306" width="7" style="7" customWidth="1"/>
    <col min="2307" max="2307" width="10.7265625" style="7" customWidth="1"/>
    <col min="2308" max="2308" width="9.26953125" style="7" customWidth="1"/>
    <col min="2309" max="2332" width="7.26953125" style="7" customWidth="1"/>
    <col min="2333" max="2333" width="11.26953125" style="7" bestFit="1" customWidth="1"/>
    <col min="2334" max="2561" width="11.453125" style="7"/>
    <col min="2562" max="2562" width="7" style="7" customWidth="1"/>
    <col min="2563" max="2563" width="10.7265625" style="7" customWidth="1"/>
    <col min="2564" max="2564" width="9.26953125" style="7" customWidth="1"/>
    <col min="2565" max="2588" width="7.26953125" style="7" customWidth="1"/>
    <col min="2589" max="2589" width="11.26953125" style="7" bestFit="1" customWidth="1"/>
    <col min="2590" max="2817" width="11.453125" style="7"/>
    <col min="2818" max="2818" width="7" style="7" customWidth="1"/>
    <col min="2819" max="2819" width="10.7265625" style="7" customWidth="1"/>
    <col min="2820" max="2820" width="9.26953125" style="7" customWidth="1"/>
    <col min="2821" max="2844" width="7.26953125" style="7" customWidth="1"/>
    <col min="2845" max="2845" width="11.26953125" style="7" bestFit="1" customWidth="1"/>
    <col min="2846" max="3073" width="11.453125" style="7"/>
    <col min="3074" max="3074" width="7" style="7" customWidth="1"/>
    <col min="3075" max="3075" width="10.7265625" style="7" customWidth="1"/>
    <col min="3076" max="3076" width="9.26953125" style="7" customWidth="1"/>
    <col min="3077" max="3100" width="7.26953125" style="7" customWidth="1"/>
    <col min="3101" max="3101" width="11.26953125" style="7" bestFit="1" customWidth="1"/>
    <col min="3102" max="3329" width="11.453125" style="7"/>
    <col min="3330" max="3330" width="7" style="7" customWidth="1"/>
    <col min="3331" max="3331" width="10.7265625" style="7" customWidth="1"/>
    <col min="3332" max="3332" width="9.26953125" style="7" customWidth="1"/>
    <col min="3333" max="3356" width="7.26953125" style="7" customWidth="1"/>
    <col min="3357" max="3357" width="11.26953125" style="7" bestFit="1" customWidth="1"/>
    <col min="3358" max="3585" width="11.453125" style="7"/>
    <col min="3586" max="3586" width="7" style="7" customWidth="1"/>
    <col min="3587" max="3587" width="10.7265625" style="7" customWidth="1"/>
    <col min="3588" max="3588" width="9.26953125" style="7" customWidth="1"/>
    <col min="3589" max="3612" width="7.26953125" style="7" customWidth="1"/>
    <col min="3613" max="3613" width="11.26953125" style="7" bestFit="1" customWidth="1"/>
    <col min="3614" max="3841" width="11.453125" style="7"/>
    <col min="3842" max="3842" width="7" style="7" customWidth="1"/>
    <col min="3843" max="3843" width="10.7265625" style="7" customWidth="1"/>
    <col min="3844" max="3844" width="9.26953125" style="7" customWidth="1"/>
    <col min="3845" max="3868" width="7.26953125" style="7" customWidth="1"/>
    <col min="3869" max="3869" width="11.26953125" style="7" bestFit="1" customWidth="1"/>
    <col min="3870" max="4097" width="11.453125" style="7"/>
    <col min="4098" max="4098" width="7" style="7" customWidth="1"/>
    <col min="4099" max="4099" width="10.7265625" style="7" customWidth="1"/>
    <col min="4100" max="4100" width="9.26953125" style="7" customWidth="1"/>
    <col min="4101" max="4124" width="7.26953125" style="7" customWidth="1"/>
    <col min="4125" max="4125" width="11.26953125" style="7" bestFit="1" customWidth="1"/>
    <col min="4126" max="4353" width="11.453125" style="7"/>
    <col min="4354" max="4354" width="7" style="7" customWidth="1"/>
    <col min="4355" max="4355" width="10.7265625" style="7" customWidth="1"/>
    <col min="4356" max="4356" width="9.26953125" style="7" customWidth="1"/>
    <col min="4357" max="4380" width="7.26953125" style="7" customWidth="1"/>
    <col min="4381" max="4381" width="11.26953125" style="7" bestFit="1" customWidth="1"/>
    <col min="4382" max="4609" width="11.453125" style="7"/>
    <col min="4610" max="4610" width="7" style="7" customWidth="1"/>
    <col min="4611" max="4611" width="10.7265625" style="7" customWidth="1"/>
    <col min="4612" max="4612" width="9.26953125" style="7" customWidth="1"/>
    <col min="4613" max="4636" width="7.26953125" style="7" customWidth="1"/>
    <col min="4637" max="4637" width="11.26953125" style="7" bestFit="1" customWidth="1"/>
    <col min="4638" max="4865" width="11.453125" style="7"/>
    <col min="4866" max="4866" width="7" style="7" customWidth="1"/>
    <col min="4867" max="4867" width="10.7265625" style="7" customWidth="1"/>
    <col min="4868" max="4868" width="9.26953125" style="7" customWidth="1"/>
    <col min="4869" max="4892" width="7.26953125" style="7" customWidth="1"/>
    <col min="4893" max="4893" width="11.26953125" style="7" bestFit="1" customWidth="1"/>
    <col min="4894" max="5121" width="11.453125" style="7"/>
    <col min="5122" max="5122" width="7" style="7" customWidth="1"/>
    <col min="5123" max="5123" width="10.7265625" style="7" customWidth="1"/>
    <col min="5124" max="5124" width="9.26953125" style="7" customWidth="1"/>
    <col min="5125" max="5148" width="7.26953125" style="7" customWidth="1"/>
    <col min="5149" max="5149" width="11.26953125" style="7" bestFit="1" customWidth="1"/>
    <col min="5150" max="5377" width="11.453125" style="7"/>
    <col min="5378" max="5378" width="7" style="7" customWidth="1"/>
    <col min="5379" max="5379" width="10.7265625" style="7" customWidth="1"/>
    <col min="5380" max="5380" width="9.26953125" style="7" customWidth="1"/>
    <col min="5381" max="5404" width="7.26953125" style="7" customWidth="1"/>
    <col min="5405" max="5405" width="11.26953125" style="7" bestFit="1" customWidth="1"/>
    <col min="5406" max="5633" width="11.453125" style="7"/>
    <col min="5634" max="5634" width="7" style="7" customWidth="1"/>
    <col min="5635" max="5635" width="10.7265625" style="7" customWidth="1"/>
    <col min="5636" max="5636" width="9.26953125" style="7" customWidth="1"/>
    <col min="5637" max="5660" width="7.26953125" style="7" customWidth="1"/>
    <col min="5661" max="5661" width="11.26953125" style="7" bestFit="1" customWidth="1"/>
    <col min="5662" max="5889" width="11.453125" style="7"/>
    <col min="5890" max="5890" width="7" style="7" customWidth="1"/>
    <col min="5891" max="5891" width="10.7265625" style="7" customWidth="1"/>
    <col min="5892" max="5892" width="9.26953125" style="7" customWidth="1"/>
    <col min="5893" max="5916" width="7.26953125" style="7" customWidth="1"/>
    <col min="5917" max="5917" width="11.26953125" style="7" bestFit="1" customWidth="1"/>
    <col min="5918" max="6145" width="11.453125" style="7"/>
    <col min="6146" max="6146" width="7" style="7" customWidth="1"/>
    <col min="6147" max="6147" width="10.7265625" style="7" customWidth="1"/>
    <col min="6148" max="6148" width="9.26953125" style="7" customWidth="1"/>
    <col min="6149" max="6172" width="7.26953125" style="7" customWidth="1"/>
    <col min="6173" max="6173" width="11.26953125" style="7" bestFit="1" customWidth="1"/>
    <col min="6174" max="6401" width="11.453125" style="7"/>
    <col min="6402" max="6402" width="7" style="7" customWidth="1"/>
    <col min="6403" max="6403" width="10.7265625" style="7" customWidth="1"/>
    <col min="6404" max="6404" width="9.26953125" style="7" customWidth="1"/>
    <col min="6405" max="6428" width="7.26953125" style="7" customWidth="1"/>
    <col min="6429" max="6429" width="11.26953125" style="7" bestFit="1" customWidth="1"/>
    <col min="6430" max="6657" width="11.453125" style="7"/>
    <col min="6658" max="6658" width="7" style="7" customWidth="1"/>
    <col min="6659" max="6659" width="10.7265625" style="7" customWidth="1"/>
    <col min="6660" max="6660" width="9.26953125" style="7" customWidth="1"/>
    <col min="6661" max="6684" width="7.26953125" style="7" customWidth="1"/>
    <col min="6685" max="6685" width="11.26953125" style="7" bestFit="1" customWidth="1"/>
    <col min="6686" max="6913" width="11.453125" style="7"/>
    <col min="6914" max="6914" width="7" style="7" customWidth="1"/>
    <col min="6915" max="6915" width="10.7265625" style="7" customWidth="1"/>
    <col min="6916" max="6916" width="9.26953125" style="7" customWidth="1"/>
    <col min="6917" max="6940" width="7.26953125" style="7" customWidth="1"/>
    <col min="6941" max="6941" width="11.26953125" style="7" bestFit="1" customWidth="1"/>
    <col min="6942" max="7169" width="11.453125" style="7"/>
    <col min="7170" max="7170" width="7" style="7" customWidth="1"/>
    <col min="7171" max="7171" width="10.7265625" style="7" customWidth="1"/>
    <col min="7172" max="7172" width="9.26953125" style="7" customWidth="1"/>
    <col min="7173" max="7196" width="7.26953125" style="7" customWidth="1"/>
    <col min="7197" max="7197" width="11.26953125" style="7" bestFit="1" customWidth="1"/>
    <col min="7198" max="7425" width="11.453125" style="7"/>
    <col min="7426" max="7426" width="7" style="7" customWidth="1"/>
    <col min="7427" max="7427" width="10.7265625" style="7" customWidth="1"/>
    <col min="7428" max="7428" width="9.26953125" style="7" customWidth="1"/>
    <col min="7429" max="7452" width="7.26953125" style="7" customWidth="1"/>
    <col min="7453" max="7453" width="11.26953125" style="7" bestFit="1" customWidth="1"/>
    <col min="7454" max="7681" width="11.453125" style="7"/>
    <col min="7682" max="7682" width="7" style="7" customWidth="1"/>
    <col min="7683" max="7683" width="10.7265625" style="7" customWidth="1"/>
    <col min="7684" max="7684" width="9.26953125" style="7" customWidth="1"/>
    <col min="7685" max="7708" width="7.26953125" style="7" customWidth="1"/>
    <col min="7709" max="7709" width="11.26953125" style="7" bestFit="1" customWidth="1"/>
    <col min="7710" max="7937" width="11.453125" style="7"/>
    <col min="7938" max="7938" width="7" style="7" customWidth="1"/>
    <col min="7939" max="7939" width="10.7265625" style="7" customWidth="1"/>
    <col min="7940" max="7940" width="9.26953125" style="7" customWidth="1"/>
    <col min="7941" max="7964" width="7.26953125" style="7" customWidth="1"/>
    <col min="7965" max="7965" width="11.26953125" style="7" bestFit="1" customWidth="1"/>
    <col min="7966" max="8193" width="11.453125" style="7"/>
    <col min="8194" max="8194" width="7" style="7" customWidth="1"/>
    <col min="8195" max="8195" width="10.7265625" style="7" customWidth="1"/>
    <col min="8196" max="8196" width="9.26953125" style="7" customWidth="1"/>
    <col min="8197" max="8220" width="7.26953125" style="7" customWidth="1"/>
    <col min="8221" max="8221" width="11.26953125" style="7" bestFit="1" customWidth="1"/>
    <col min="8222" max="8449" width="11.453125" style="7"/>
    <col min="8450" max="8450" width="7" style="7" customWidth="1"/>
    <col min="8451" max="8451" width="10.7265625" style="7" customWidth="1"/>
    <col min="8452" max="8452" width="9.26953125" style="7" customWidth="1"/>
    <col min="8453" max="8476" width="7.26953125" style="7" customWidth="1"/>
    <col min="8477" max="8477" width="11.26953125" style="7" bestFit="1" customWidth="1"/>
    <col min="8478" max="8705" width="11.453125" style="7"/>
    <col min="8706" max="8706" width="7" style="7" customWidth="1"/>
    <col min="8707" max="8707" width="10.7265625" style="7" customWidth="1"/>
    <col min="8708" max="8708" width="9.26953125" style="7" customWidth="1"/>
    <col min="8709" max="8732" width="7.26953125" style="7" customWidth="1"/>
    <col min="8733" max="8733" width="11.26953125" style="7" bestFit="1" customWidth="1"/>
    <col min="8734" max="8961" width="11.453125" style="7"/>
    <col min="8962" max="8962" width="7" style="7" customWidth="1"/>
    <col min="8963" max="8963" width="10.7265625" style="7" customWidth="1"/>
    <col min="8964" max="8964" width="9.26953125" style="7" customWidth="1"/>
    <col min="8965" max="8988" width="7.26953125" style="7" customWidth="1"/>
    <col min="8989" max="8989" width="11.26953125" style="7" bestFit="1" customWidth="1"/>
    <col min="8990" max="9217" width="11.453125" style="7"/>
    <col min="9218" max="9218" width="7" style="7" customWidth="1"/>
    <col min="9219" max="9219" width="10.7265625" style="7" customWidth="1"/>
    <col min="9220" max="9220" width="9.26953125" style="7" customWidth="1"/>
    <col min="9221" max="9244" width="7.26953125" style="7" customWidth="1"/>
    <col min="9245" max="9245" width="11.26953125" style="7" bestFit="1" customWidth="1"/>
    <col min="9246" max="9473" width="11.453125" style="7"/>
    <col min="9474" max="9474" width="7" style="7" customWidth="1"/>
    <col min="9475" max="9475" width="10.7265625" style="7" customWidth="1"/>
    <col min="9476" max="9476" width="9.26953125" style="7" customWidth="1"/>
    <col min="9477" max="9500" width="7.26953125" style="7" customWidth="1"/>
    <col min="9501" max="9501" width="11.26953125" style="7" bestFit="1" customWidth="1"/>
    <col min="9502" max="9729" width="11.453125" style="7"/>
    <col min="9730" max="9730" width="7" style="7" customWidth="1"/>
    <col min="9731" max="9731" width="10.7265625" style="7" customWidth="1"/>
    <col min="9732" max="9732" width="9.26953125" style="7" customWidth="1"/>
    <col min="9733" max="9756" width="7.26953125" style="7" customWidth="1"/>
    <col min="9757" max="9757" width="11.26953125" style="7" bestFit="1" customWidth="1"/>
    <col min="9758" max="9985" width="11.453125" style="7"/>
    <col min="9986" max="9986" width="7" style="7" customWidth="1"/>
    <col min="9987" max="9987" width="10.7265625" style="7" customWidth="1"/>
    <col min="9988" max="9988" width="9.26953125" style="7" customWidth="1"/>
    <col min="9989" max="10012" width="7.26953125" style="7" customWidth="1"/>
    <col min="10013" max="10013" width="11.26953125" style="7" bestFit="1" customWidth="1"/>
    <col min="10014" max="10241" width="11.453125" style="7"/>
    <col min="10242" max="10242" width="7" style="7" customWidth="1"/>
    <col min="10243" max="10243" width="10.7265625" style="7" customWidth="1"/>
    <col min="10244" max="10244" width="9.26953125" style="7" customWidth="1"/>
    <col min="10245" max="10268" width="7.26953125" style="7" customWidth="1"/>
    <col min="10269" max="10269" width="11.26953125" style="7" bestFit="1" customWidth="1"/>
    <col min="10270" max="10497" width="11.453125" style="7"/>
    <col min="10498" max="10498" width="7" style="7" customWidth="1"/>
    <col min="10499" max="10499" width="10.7265625" style="7" customWidth="1"/>
    <col min="10500" max="10500" width="9.26953125" style="7" customWidth="1"/>
    <col min="10501" max="10524" width="7.26953125" style="7" customWidth="1"/>
    <col min="10525" max="10525" width="11.26953125" style="7" bestFit="1" customWidth="1"/>
    <col min="10526" max="10753" width="11.453125" style="7"/>
    <col min="10754" max="10754" width="7" style="7" customWidth="1"/>
    <col min="10755" max="10755" width="10.7265625" style="7" customWidth="1"/>
    <col min="10756" max="10756" width="9.26953125" style="7" customWidth="1"/>
    <col min="10757" max="10780" width="7.26953125" style="7" customWidth="1"/>
    <col min="10781" max="10781" width="11.26953125" style="7" bestFit="1" customWidth="1"/>
    <col min="10782" max="11009" width="11.453125" style="7"/>
    <col min="11010" max="11010" width="7" style="7" customWidth="1"/>
    <col min="11011" max="11011" width="10.7265625" style="7" customWidth="1"/>
    <col min="11012" max="11012" width="9.26953125" style="7" customWidth="1"/>
    <col min="11013" max="11036" width="7.26953125" style="7" customWidth="1"/>
    <col min="11037" max="11037" width="11.26953125" style="7" bestFit="1" customWidth="1"/>
    <col min="11038" max="11265" width="11.453125" style="7"/>
    <col min="11266" max="11266" width="7" style="7" customWidth="1"/>
    <col min="11267" max="11267" width="10.7265625" style="7" customWidth="1"/>
    <col min="11268" max="11268" width="9.26953125" style="7" customWidth="1"/>
    <col min="11269" max="11292" width="7.26953125" style="7" customWidth="1"/>
    <col min="11293" max="11293" width="11.26953125" style="7" bestFit="1" customWidth="1"/>
    <col min="11294" max="11521" width="11.453125" style="7"/>
    <col min="11522" max="11522" width="7" style="7" customWidth="1"/>
    <col min="11523" max="11523" width="10.7265625" style="7" customWidth="1"/>
    <col min="11524" max="11524" width="9.26953125" style="7" customWidth="1"/>
    <col min="11525" max="11548" width="7.26953125" style="7" customWidth="1"/>
    <col min="11549" max="11549" width="11.26953125" style="7" bestFit="1" customWidth="1"/>
    <col min="11550" max="11777" width="11.453125" style="7"/>
    <col min="11778" max="11778" width="7" style="7" customWidth="1"/>
    <col min="11779" max="11779" width="10.7265625" style="7" customWidth="1"/>
    <col min="11780" max="11780" width="9.26953125" style="7" customWidth="1"/>
    <col min="11781" max="11804" width="7.26953125" style="7" customWidth="1"/>
    <col min="11805" max="11805" width="11.26953125" style="7" bestFit="1" customWidth="1"/>
    <col min="11806" max="12033" width="11.453125" style="7"/>
    <col min="12034" max="12034" width="7" style="7" customWidth="1"/>
    <col min="12035" max="12035" width="10.7265625" style="7" customWidth="1"/>
    <col min="12036" max="12036" width="9.26953125" style="7" customWidth="1"/>
    <col min="12037" max="12060" width="7.26953125" style="7" customWidth="1"/>
    <col min="12061" max="12061" width="11.26953125" style="7" bestFit="1" customWidth="1"/>
    <col min="12062" max="12289" width="11.453125" style="7"/>
    <col min="12290" max="12290" width="7" style="7" customWidth="1"/>
    <col min="12291" max="12291" width="10.7265625" style="7" customWidth="1"/>
    <col min="12292" max="12292" width="9.26953125" style="7" customWidth="1"/>
    <col min="12293" max="12316" width="7.26953125" style="7" customWidth="1"/>
    <col min="12317" max="12317" width="11.26953125" style="7" bestFit="1" customWidth="1"/>
    <col min="12318" max="12545" width="11.453125" style="7"/>
    <col min="12546" max="12546" width="7" style="7" customWidth="1"/>
    <col min="12547" max="12547" width="10.7265625" style="7" customWidth="1"/>
    <col min="12548" max="12548" width="9.26953125" style="7" customWidth="1"/>
    <col min="12549" max="12572" width="7.26953125" style="7" customWidth="1"/>
    <col min="12573" max="12573" width="11.26953125" style="7" bestFit="1" customWidth="1"/>
    <col min="12574" max="12801" width="11.453125" style="7"/>
    <col min="12802" max="12802" width="7" style="7" customWidth="1"/>
    <col min="12803" max="12803" width="10.7265625" style="7" customWidth="1"/>
    <col min="12804" max="12804" width="9.26953125" style="7" customWidth="1"/>
    <col min="12805" max="12828" width="7.26953125" style="7" customWidth="1"/>
    <col min="12829" max="12829" width="11.26953125" style="7" bestFit="1" customWidth="1"/>
    <col min="12830" max="13057" width="11.453125" style="7"/>
    <col min="13058" max="13058" width="7" style="7" customWidth="1"/>
    <col min="13059" max="13059" width="10.7265625" style="7" customWidth="1"/>
    <col min="13060" max="13060" width="9.26953125" style="7" customWidth="1"/>
    <col min="13061" max="13084" width="7.26953125" style="7" customWidth="1"/>
    <col min="13085" max="13085" width="11.26953125" style="7" bestFit="1" customWidth="1"/>
    <col min="13086" max="13313" width="11.453125" style="7"/>
    <col min="13314" max="13314" width="7" style="7" customWidth="1"/>
    <col min="13315" max="13315" width="10.7265625" style="7" customWidth="1"/>
    <col min="13316" max="13316" width="9.26953125" style="7" customWidth="1"/>
    <col min="13317" max="13340" width="7.26953125" style="7" customWidth="1"/>
    <col min="13341" max="13341" width="11.26953125" style="7" bestFit="1" customWidth="1"/>
    <col min="13342" max="13569" width="11.453125" style="7"/>
    <col min="13570" max="13570" width="7" style="7" customWidth="1"/>
    <col min="13571" max="13571" width="10.7265625" style="7" customWidth="1"/>
    <col min="13572" max="13572" width="9.26953125" style="7" customWidth="1"/>
    <col min="13573" max="13596" width="7.26953125" style="7" customWidth="1"/>
    <col min="13597" max="13597" width="11.26953125" style="7" bestFit="1" customWidth="1"/>
    <col min="13598" max="13825" width="11.453125" style="7"/>
    <col min="13826" max="13826" width="7" style="7" customWidth="1"/>
    <col min="13827" max="13827" width="10.7265625" style="7" customWidth="1"/>
    <col min="13828" max="13828" width="9.26953125" style="7" customWidth="1"/>
    <col min="13829" max="13852" width="7.26953125" style="7" customWidth="1"/>
    <col min="13853" max="13853" width="11.26953125" style="7" bestFit="1" customWidth="1"/>
    <col min="13854" max="14081" width="11.453125" style="7"/>
    <col min="14082" max="14082" width="7" style="7" customWidth="1"/>
    <col min="14083" max="14083" width="10.7265625" style="7" customWidth="1"/>
    <col min="14084" max="14084" width="9.26953125" style="7" customWidth="1"/>
    <col min="14085" max="14108" width="7.26953125" style="7" customWidth="1"/>
    <col min="14109" max="14109" width="11.26953125" style="7" bestFit="1" customWidth="1"/>
    <col min="14110" max="14337" width="11.453125" style="7"/>
    <col min="14338" max="14338" width="7" style="7" customWidth="1"/>
    <col min="14339" max="14339" width="10.7265625" style="7" customWidth="1"/>
    <col min="14340" max="14340" width="9.26953125" style="7" customWidth="1"/>
    <col min="14341" max="14364" width="7.26953125" style="7" customWidth="1"/>
    <col min="14365" max="14365" width="11.26953125" style="7" bestFit="1" customWidth="1"/>
    <col min="14366" max="14593" width="11.453125" style="7"/>
    <col min="14594" max="14594" width="7" style="7" customWidth="1"/>
    <col min="14595" max="14595" width="10.7265625" style="7" customWidth="1"/>
    <col min="14596" max="14596" width="9.26953125" style="7" customWidth="1"/>
    <col min="14597" max="14620" width="7.26953125" style="7" customWidth="1"/>
    <col min="14621" max="14621" width="11.26953125" style="7" bestFit="1" customWidth="1"/>
    <col min="14622" max="14849" width="11.453125" style="7"/>
    <col min="14850" max="14850" width="7" style="7" customWidth="1"/>
    <col min="14851" max="14851" width="10.7265625" style="7" customWidth="1"/>
    <col min="14852" max="14852" width="9.26953125" style="7" customWidth="1"/>
    <col min="14853" max="14876" width="7.26953125" style="7" customWidth="1"/>
    <col min="14877" max="14877" width="11.26953125" style="7" bestFit="1" customWidth="1"/>
    <col min="14878" max="15105" width="11.453125" style="7"/>
    <col min="15106" max="15106" width="7" style="7" customWidth="1"/>
    <col min="15107" max="15107" width="10.7265625" style="7" customWidth="1"/>
    <col min="15108" max="15108" width="9.26953125" style="7" customWidth="1"/>
    <col min="15109" max="15132" width="7.26953125" style="7" customWidth="1"/>
    <col min="15133" max="15133" width="11.26953125" style="7" bestFit="1" customWidth="1"/>
    <col min="15134" max="15361" width="11.453125" style="7"/>
    <col min="15362" max="15362" width="7" style="7" customWidth="1"/>
    <col min="15363" max="15363" width="10.7265625" style="7" customWidth="1"/>
    <col min="15364" max="15364" width="9.26953125" style="7" customWidth="1"/>
    <col min="15365" max="15388" width="7.26953125" style="7" customWidth="1"/>
    <col min="15389" max="15389" width="11.26953125" style="7" bestFit="1" customWidth="1"/>
    <col min="15390" max="15617" width="11.453125" style="7"/>
    <col min="15618" max="15618" width="7" style="7" customWidth="1"/>
    <col min="15619" max="15619" width="10.7265625" style="7" customWidth="1"/>
    <col min="15620" max="15620" width="9.26953125" style="7" customWidth="1"/>
    <col min="15621" max="15644" width="7.26953125" style="7" customWidth="1"/>
    <col min="15645" max="15645" width="11.26953125" style="7" bestFit="1" customWidth="1"/>
    <col min="15646" max="15873" width="11.453125" style="7"/>
    <col min="15874" max="15874" width="7" style="7" customWidth="1"/>
    <col min="15875" max="15875" width="10.7265625" style="7" customWidth="1"/>
    <col min="15876" max="15876" width="9.26953125" style="7" customWidth="1"/>
    <col min="15877" max="15900" width="7.26953125" style="7" customWidth="1"/>
    <col min="15901" max="15901" width="11.26953125" style="7" bestFit="1" customWidth="1"/>
    <col min="15902" max="16129" width="11.453125" style="7"/>
    <col min="16130" max="16130" width="7" style="7" customWidth="1"/>
    <col min="16131" max="16131" width="10.7265625" style="7" customWidth="1"/>
    <col min="16132" max="16132" width="9.26953125" style="7" customWidth="1"/>
    <col min="16133" max="16156" width="7.26953125" style="7" customWidth="1"/>
    <col min="16157" max="16157" width="11.26953125" style="7" bestFit="1" customWidth="1"/>
    <col min="16158" max="16384" width="11.453125" style="7"/>
  </cols>
  <sheetData>
    <row r="1" spans="2:56" ht="18.649999999999999" customHeight="1" x14ac:dyDescent="0.25"/>
    <row r="2" spans="2:56" ht="18.649999999999999" customHeight="1" x14ac:dyDescent="0.25">
      <c r="B2" s="79" t="s">
        <v>45</v>
      </c>
      <c r="C2" s="79"/>
      <c r="D2" s="79"/>
      <c r="E2" s="79"/>
      <c r="F2" s="79"/>
      <c r="G2" s="79"/>
      <c r="H2" s="79"/>
      <c r="I2" s="79"/>
      <c r="J2" s="79"/>
      <c r="K2" s="79"/>
      <c r="L2" s="79"/>
      <c r="M2" s="79"/>
      <c r="N2" s="79"/>
      <c r="O2" s="79"/>
      <c r="P2" s="79"/>
      <c r="Q2" s="79"/>
      <c r="R2" s="79"/>
      <c r="S2" s="79"/>
      <c r="T2" s="79"/>
      <c r="U2" s="79"/>
      <c r="V2" s="79"/>
      <c r="W2" s="79"/>
      <c r="X2" s="79"/>
      <c r="Y2" s="79"/>
      <c r="Z2" s="79"/>
      <c r="AA2" s="79"/>
      <c r="AB2" s="79"/>
      <c r="AC2" s="79"/>
    </row>
    <row r="3" spans="2:56" ht="18.649999999999999" customHeight="1" x14ac:dyDescent="0.25">
      <c r="B3" s="79" t="s">
        <v>44</v>
      </c>
      <c r="C3" s="79"/>
      <c r="D3" s="79"/>
      <c r="E3" s="79"/>
      <c r="F3" s="79"/>
      <c r="G3" s="79"/>
      <c r="H3" s="79"/>
      <c r="I3" s="79"/>
      <c r="J3" s="79"/>
      <c r="K3" s="79"/>
      <c r="L3" s="79"/>
      <c r="M3" s="79"/>
      <c r="N3" s="79"/>
      <c r="O3" s="79"/>
      <c r="P3" s="79"/>
      <c r="Q3" s="79"/>
      <c r="R3" s="79"/>
      <c r="S3" s="79"/>
      <c r="T3" s="79"/>
      <c r="U3" s="79"/>
      <c r="V3" s="79"/>
      <c r="W3" s="79"/>
      <c r="X3" s="79"/>
      <c r="Y3" s="79"/>
      <c r="Z3" s="79"/>
      <c r="AA3" s="79"/>
      <c r="AB3" s="79"/>
      <c r="AC3" s="79"/>
    </row>
    <row r="4" spans="2:56" ht="18.649999999999999" customHeight="1" x14ac:dyDescent="0.25">
      <c r="B4" s="79">
        <v>2030</v>
      </c>
      <c r="C4" s="79"/>
      <c r="D4" s="79"/>
      <c r="E4" s="79"/>
      <c r="F4" s="79"/>
      <c r="G4" s="79"/>
      <c r="H4" s="79"/>
      <c r="I4" s="79"/>
      <c r="J4" s="79"/>
      <c r="K4" s="79"/>
      <c r="L4" s="79"/>
      <c r="M4" s="79"/>
      <c r="N4" s="79"/>
      <c r="O4" s="79"/>
      <c r="P4" s="79"/>
      <c r="Q4" s="79"/>
      <c r="R4" s="79"/>
      <c r="S4" s="79"/>
      <c r="T4" s="79"/>
      <c r="U4" s="79"/>
      <c r="V4" s="79"/>
      <c r="W4" s="79"/>
      <c r="X4" s="79"/>
      <c r="Y4" s="79"/>
      <c r="Z4" s="79"/>
      <c r="AA4" s="79"/>
      <c r="AB4" s="79"/>
      <c r="AC4" s="79"/>
    </row>
    <row r="5" spans="2:56" ht="18.649999999999999" customHeight="1" x14ac:dyDescent="0.25"/>
    <row r="6" spans="2:56" ht="15.5" x14ac:dyDescent="0.25">
      <c r="B6" s="2" t="s">
        <v>0</v>
      </c>
      <c r="C6" s="3" t="s">
        <v>1</v>
      </c>
      <c r="D6" s="2" t="s">
        <v>2</v>
      </c>
      <c r="E6" s="9" t="s">
        <v>3</v>
      </c>
      <c r="F6" s="9" t="s">
        <v>4</v>
      </c>
      <c r="G6" s="9" t="s">
        <v>5</v>
      </c>
      <c r="H6" s="9" t="s">
        <v>6</v>
      </c>
      <c r="I6" s="9" t="s">
        <v>7</v>
      </c>
      <c r="J6" s="9" t="s">
        <v>8</v>
      </c>
      <c r="K6" s="9" t="s">
        <v>9</v>
      </c>
      <c r="L6" s="9" t="s">
        <v>10</v>
      </c>
      <c r="M6" s="9" t="s">
        <v>11</v>
      </c>
      <c r="N6" s="9" t="s">
        <v>12</v>
      </c>
      <c r="O6" s="9" t="s">
        <v>13</v>
      </c>
      <c r="P6" s="9" t="s">
        <v>14</v>
      </c>
      <c r="Q6" s="9" t="s">
        <v>15</v>
      </c>
      <c r="R6" s="9" t="s">
        <v>16</v>
      </c>
      <c r="S6" s="9" t="s">
        <v>17</v>
      </c>
      <c r="T6" s="9" t="s">
        <v>18</v>
      </c>
      <c r="U6" s="9" t="s">
        <v>19</v>
      </c>
      <c r="V6" s="9" t="s">
        <v>20</v>
      </c>
      <c r="W6" s="9" t="s">
        <v>21</v>
      </c>
      <c r="X6" s="9" t="s">
        <v>22</v>
      </c>
      <c r="Y6" s="9" t="s">
        <v>23</v>
      </c>
      <c r="Z6" s="9" t="s">
        <v>24</v>
      </c>
      <c r="AA6" s="9" t="s">
        <v>25</v>
      </c>
      <c r="AB6" s="9" t="s">
        <v>26</v>
      </c>
      <c r="AC6" s="9" t="s">
        <v>27</v>
      </c>
    </row>
    <row r="7" spans="2:56" ht="18.649999999999999" customHeight="1" x14ac:dyDescent="0.25">
      <c r="B7" s="70" t="s">
        <v>28</v>
      </c>
      <c r="C7" s="4" t="s">
        <v>29</v>
      </c>
      <c r="D7" s="5">
        <v>21</v>
      </c>
      <c r="E7" s="11">
        <v>5000</v>
      </c>
      <c r="F7" s="11">
        <v>5000</v>
      </c>
      <c r="G7" s="11">
        <v>5000</v>
      </c>
      <c r="H7" s="11">
        <v>5000</v>
      </c>
      <c r="I7" s="11">
        <v>5000</v>
      </c>
      <c r="J7" s="11">
        <v>5000</v>
      </c>
      <c r="K7" s="11">
        <v>5000</v>
      </c>
      <c r="L7" s="11">
        <v>5000</v>
      </c>
      <c r="M7" s="11">
        <v>5000</v>
      </c>
      <c r="N7" s="11">
        <v>5000</v>
      </c>
      <c r="O7" s="11">
        <v>5000</v>
      </c>
      <c r="P7" s="11">
        <v>5000</v>
      </c>
      <c r="Q7" s="11">
        <v>5000</v>
      </c>
      <c r="R7" s="11">
        <v>5000</v>
      </c>
      <c r="S7" s="11">
        <v>5000</v>
      </c>
      <c r="T7" s="11">
        <v>5000</v>
      </c>
      <c r="U7" s="11">
        <v>5000</v>
      </c>
      <c r="V7" s="11">
        <v>5000</v>
      </c>
      <c r="W7" s="11">
        <v>5000</v>
      </c>
      <c r="X7" s="11">
        <v>5000</v>
      </c>
      <c r="Y7" s="11">
        <v>5000</v>
      </c>
      <c r="Z7" s="11">
        <v>5000</v>
      </c>
      <c r="AA7" s="11">
        <v>5000</v>
      </c>
      <c r="AB7" s="11">
        <v>5000</v>
      </c>
      <c r="AC7" s="76">
        <f>+SUM(E7:AB7)*D7+SUM(E8:AB8)*D8+SUM(E9:AB9)*D9+SUM(E10:AB10)*D10</f>
        <v>3720000</v>
      </c>
      <c r="AE7" s="17">
        <f>+AC7</f>
        <v>3720000</v>
      </c>
      <c r="AG7" s="15"/>
      <c r="AH7" s="15"/>
      <c r="AI7" s="15"/>
      <c r="AJ7" s="15"/>
      <c r="AK7" s="15"/>
      <c r="AL7" s="15"/>
      <c r="AM7" s="15"/>
      <c r="AN7" s="15"/>
      <c r="AO7" s="15"/>
      <c r="AP7" s="15"/>
      <c r="AQ7" s="15"/>
      <c r="AR7" s="15"/>
      <c r="AS7" s="15"/>
      <c r="AT7" s="15"/>
      <c r="AU7" s="15"/>
      <c r="AV7" s="15"/>
      <c r="AW7" s="15"/>
      <c r="AX7" s="15"/>
      <c r="AY7" s="15"/>
      <c r="AZ7" s="15"/>
      <c r="BA7" s="15"/>
      <c r="BB7" s="15"/>
      <c r="BC7" s="15"/>
      <c r="BD7" s="15"/>
    </row>
    <row r="8" spans="2:56" ht="18.649999999999999" customHeight="1" x14ac:dyDescent="0.25">
      <c r="B8" s="70" t="s">
        <v>28</v>
      </c>
      <c r="C8" s="4" t="s">
        <v>30</v>
      </c>
      <c r="D8" s="5">
        <v>4</v>
      </c>
      <c r="E8" s="11">
        <v>5000</v>
      </c>
      <c r="F8" s="11">
        <v>5000</v>
      </c>
      <c r="G8" s="11">
        <v>5000</v>
      </c>
      <c r="H8" s="11">
        <v>5000</v>
      </c>
      <c r="I8" s="11">
        <v>5000</v>
      </c>
      <c r="J8" s="11">
        <v>5000</v>
      </c>
      <c r="K8" s="11">
        <v>5000</v>
      </c>
      <c r="L8" s="11">
        <v>5000</v>
      </c>
      <c r="M8" s="11">
        <v>5000</v>
      </c>
      <c r="N8" s="11">
        <v>5000</v>
      </c>
      <c r="O8" s="11">
        <v>5000</v>
      </c>
      <c r="P8" s="11">
        <v>5000</v>
      </c>
      <c r="Q8" s="11">
        <v>5000</v>
      </c>
      <c r="R8" s="11">
        <v>5000</v>
      </c>
      <c r="S8" s="11">
        <v>5000</v>
      </c>
      <c r="T8" s="11">
        <v>5000</v>
      </c>
      <c r="U8" s="11">
        <v>5000</v>
      </c>
      <c r="V8" s="11">
        <v>5000</v>
      </c>
      <c r="W8" s="11">
        <v>5000</v>
      </c>
      <c r="X8" s="11">
        <v>5000</v>
      </c>
      <c r="Y8" s="11">
        <v>5000</v>
      </c>
      <c r="Z8" s="11">
        <v>5000</v>
      </c>
      <c r="AA8" s="11">
        <v>5000</v>
      </c>
      <c r="AB8" s="11">
        <v>5000</v>
      </c>
      <c r="AC8" s="77"/>
      <c r="AE8" s="17">
        <f>+AC11</f>
        <v>3360000</v>
      </c>
      <c r="AG8" s="15"/>
      <c r="AH8" s="15"/>
      <c r="AI8" s="15"/>
      <c r="AJ8" s="15"/>
      <c r="AK8" s="15"/>
      <c r="AL8" s="15"/>
      <c r="AM8" s="15"/>
      <c r="AN8" s="15"/>
      <c r="AO8" s="15"/>
      <c r="AP8" s="15"/>
      <c r="AQ8" s="15"/>
      <c r="AR8" s="15"/>
      <c r="AS8" s="15"/>
      <c r="AT8" s="15"/>
      <c r="AU8" s="15"/>
      <c r="AV8" s="15"/>
      <c r="AW8" s="15"/>
      <c r="AX8" s="15"/>
      <c r="AY8" s="15"/>
      <c r="AZ8" s="15"/>
      <c r="BA8" s="15"/>
      <c r="BB8" s="15"/>
      <c r="BC8" s="15"/>
      <c r="BD8" s="15"/>
    </row>
    <row r="9" spans="2:56" ht="18.649999999999999" customHeight="1" x14ac:dyDescent="0.25">
      <c r="B9" s="70" t="s">
        <v>28</v>
      </c>
      <c r="C9" s="4" t="s">
        <v>31</v>
      </c>
      <c r="D9" s="5">
        <v>4</v>
      </c>
      <c r="E9" s="11">
        <v>5000</v>
      </c>
      <c r="F9" s="11">
        <v>5000</v>
      </c>
      <c r="G9" s="11">
        <v>5000</v>
      </c>
      <c r="H9" s="11">
        <v>5000</v>
      </c>
      <c r="I9" s="11">
        <v>5000</v>
      </c>
      <c r="J9" s="11">
        <v>5000</v>
      </c>
      <c r="K9" s="11">
        <v>5000</v>
      </c>
      <c r="L9" s="11">
        <v>5000</v>
      </c>
      <c r="M9" s="11">
        <v>5000</v>
      </c>
      <c r="N9" s="11">
        <v>5000</v>
      </c>
      <c r="O9" s="11">
        <v>5000</v>
      </c>
      <c r="P9" s="11">
        <v>5000</v>
      </c>
      <c r="Q9" s="11">
        <v>5000</v>
      </c>
      <c r="R9" s="11">
        <v>5000</v>
      </c>
      <c r="S9" s="11">
        <v>5000</v>
      </c>
      <c r="T9" s="11">
        <v>5000</v>
      </c>
      <c r="U9" s="11">
        <v>5000</v>
      </c>
      <c r="V9" s="11">
        <v>5000</v>
      </c>
      <c r="W9" s="11">
        <v>5000</v>
      </c>
      <c r="X9" s="11">
        <v>5000</v>
      </c>
      <c r="Y9" s="11">
        <v>5000</v>
      </c>
      <c r="Z9" s="11">
        <v>5000</v>
      </c>
      <c r="AA9" s="11">
        <v>5000</v>
      </c>
      <c r="AB9" s="11">
        <v>5000</v>
      </c>
      <c r="AC9" s="77"/>
      <c r="AE9" s="17">
        <f>+AC15</f>
        <v>3720000</v>
      </c>
      <c r="AG9" s="15"/>
      <c r="AH9" s="15"/>
      <c r="AI9" s="15"/>
      <c r="AJ9" s="15"/>
      <c r="AK9" s="15"/>
      <c r="AL9" s="15"/>
      <c r="AM9" s="15"/>
      <c r="AN9" s="15"/>
      <c r="AO9" s="15"/>
      <c r="AP9" s="15"/>
      <c r="AQ9" s="15"/>
      <c r="AR9" s="15"/>
      <c r="AS9" s="15"/>
      <c r="AT9" s="15"/>
      <c r="AU9" s="15"/>
      <c r="AV9" s="15"/>
      <c r="AW9" s="15"/>
      <c r="AX9" s="15"/>
      <c r="AY9" s="15"/>
      <c r="AZ9" s="15"/>
      <c r="BA9" s="15"/>
      <c r="BB9" s="15"/>
      <c r="BC9" s="15"/>
      <c r="BD9" s="15"/>
    </row>
    <row r="10" spans="2:56" ht="18.649999999999999" customHeight="1" x14ac:dyDescent="0.25">
      <c r="B10" s="70" t="s">
        <v>28</v>
      </c>
      <c r="C10" s="4" t="s">
        <v>32</v>
      </c>
      <c r="D10" s="5">
        <v>2</v>
      </c>
      <c r="E10" s="11">
        <v>5000</v>
      </c>
      <c r="F10" s="11">
        <v>5000</v>
      </c>
      <c r="G10" s="11">
        <v>5000</v>
      </c>
      <c r="H10" s="11">
        <v>5000</v>
      </c>
      <c r="I10" s="11">
        <v>5000</v>
      </c>
      <c r="J10" s="11">
        <v>5000</v>
      </c>
      <c r="K10" s="11">
        <v>5000</v>
      </c>
      <c r="L10" s="11">
        <v>5000</v>
      </c>
      <c r="M10" s="11">
        <v>5000</v>
      </c>
      <c r="N10" s="11">
        <v>5000</v>
      </c>
      <c r="O10" s="11">
        <v>5000</v>
      </c>
      <c r="P10" s="11">
        <v>5000</v>
      </c>
      <c r="Q10" s="11">
        <v>5000</v>
      </c>
      <c r="R10" s="11">
        <v>5000</v>
      </c>
      <c r="S10" s="11">
        <v>5000</v>
      </c>
      <c r="T10" s="11">
        <v>5000</v>
      </c>
      <c r="U10" s="11">
        <v>5000</v>
      </c>
      <c r="V10" s="11">
        <v>5000</v>
      </c>
      <c r="W10" s="11">
        <v>5000</v>
      </c>
      <c r="X10" s="11">
        <v>5000</v>
      </c>
      <c r="Y10" s="11">
        <v>5000</v>
      </c>
      <c r="Z10" s="11">
        <v>5000</v>
      </c>
      <c r="AA10" s="11">
        <v>5000</v>
      </c>
      <c r="AB10" s="11">
        <v>5000</v>
      </c>
      <c r="AC10" s="78"/>
      <c r="AE10" s="17">
        <f>+AC19</f>
        <v>3600000</v>
      </c>
      <c r="AG10" s="15"/>
      <c r="AH10" s="15"/>
      <c r="AI10" s="15"/>
      <c r="AJ10" s="15"/>
      <c r="AK10" s="15"/>
      <c r="AL10" s="15"/>
      <c r="AM10" s="15"/>
      <c r="AN10" s="15"/>
      <c r="AO10" s="15"/>
      <c r="AP10" s="15"/>
      <c r="AQ10" s="15"/>
      <c r="AR10" s="15"/>
      <c r="AS10" s="15"/>
      <c r="AT10" s="15"/>
      <c r="AU10" s="15"/>
      <c r="AV10" s="15"/>
      <c r="AW10" s="15"/>
      <c r="AX10" s="15"/>
      <c r="AY10" s="15"/>
      <c r="AZ10" s="15"/>
      <c r="BA10" s="15"/>
      <c r="BB10" s="15"/>
      <c r="BC10" s="15"/>
      <c r="BD10" s="15"/>
    </row>
    <row r="11" spans="2:56" ht="18.649999999999999" customHeight="1" x14ac:dyDescent="0.25">
      <c r="B11" s="70" t="s">
        <v>33</v>
      </c>
      <c r="C11" s="4" t="s">
        <v>29</v>
      </c>
      <c r="D11" s="5">
        <v>20</v>
      </c>
      <c r="E11" s="11">
        <v>5000</v>
      </c>
      <c r="F11" s="11">
        <v>5000</v>
      </c>
      <c r="G11" s="11">
        <v>5000</v>
      </c>
      <c r="H11" s="11">
        <v>5000</v>
      </c>
      <c r="I11" s="11">
        <v>5000</v>
      </c>
      <c r="J11" s="11">
        <v>5000</v>
      </c>
      <c r="K11" s="11">
        <v>5000</v>
      </c>
      <c r="L11" s="11">
        <v>5000</v>
      </c>
      <c r="M11" s="11">
        <v>5000</v>
      </c>
      <c r="N11" s="11">
        <v>5000</v>
      </c>
      <c r="O11" s="11">
        <v>5000</v>
      </c>
      <c r="P11" s="11">
        <v>5000</v>
      </c>
      <c r="Q11" s="11">
        <v>5000</v>
      </c>
      <c r="R11" s="11">
        <v>5000</v>
      </c>
      <c r="S11" s="11">
        <v>5000</v>
      </c>
      <c r="T11" s="11">
        <v>5000</v>
      </c>
      <c r="U11" s="11">
        <v>5000</v>
      </c>
      <c r="V11" s="11">
        <v>5000</v>
      </c>
      <c r="W11" s="11">
        <v>5000</v>
      </c>
      <c r="X11" s="11">
        <v>5000</v>
      </c>
      <c r="Y11" s="11">
        <v>5000</v>
      </c>
      <c r="Z11" s="11">
        <v>5000</v>
      </c>
      <c r="AA11" s="11">
        <v>5000</v>
      </c>
      <c r="AB11" s="11">
        <v>5000</v>
      </c>
      <c r="AC11" s="76">
        <f>+SUM(E11:AB11)*D11+SUM(E12:AB12)*D12+SUM(E13:AB13)*D13+SUM(E14:AB14)*D14</f>
        <v>3360000</v>
      </c>
      <c r="AE11" s="17">
        <f>+AC23</f>
        <v>3720000</v>
      </c>
      <c r="AG11" s="15"/>
      <c r="AH11" s="15"/>
      <c r="AI11" s="15"/>
      <c r="AJ11" s="15"/>
      <c r="AK11" s="15"/>
      <c r="AL11" s="15"/>
      <c r="AM11" s="15"/>
      <c r="AN11" s="15"/>
      <c r="AO11" s="15"/>
      <c r="AP11" s="15"/>
      <c r="AQ11" s="15"/>
      <c r="AR11" s="15"/>
      <c r="AS11" s="15"/>
      <c r="AT11" s="15"/>
      <c r="AU11" s="15"/>
      <c r="AV11" s="15"/>
      <c r="AW11" s="15"/>
      <c r="AX11" s="15"/>
      <c r="AY11" s="15"/>
      <c r="AZ11" s="15"/>
      <c r="BA11" s="15"/>
      <c r="BB11" s="15"/>
      <c r="BC11" s="15"/>
      <c r="BD11" s="15"/>
    </row>
    <row r="12" spans="2:56" ht="18.649999999999999" customHeight="1" x14ac:dyDescent="0.25">
      <c r="B12" s="70" t="s">
        <v>33</v>
      </c>
      <c r="C12" s="4" t="s">
        <v>30</v>
      </c>
      <c r="D12" s="5">
        <v>4</v>
      </c>
      <c r="E12" s="11">
        <v>5000</v>
      </c>
      <c r="F12" s="11">
        <v>5000</v>
      </c>
      <c r="G12" s="11">
        <v>5000</v>
      </c>
      <c r="H12" s="11">
        <v>5000</v>
      </c>
      <c r="I12" s="11">
        <v>5000</v>
      </c>
      <c r="J12" s="11">
        <v>5000</v>
      </c>
      <c r="K12" s="11">
        <v>5000</v>
      </c>
      <c r="L12" s="11">
        <v>5000</v>
      </c>
      <c r="M12" s="11">
        <v>5000</v>
      </c>
      <c r="N12" s="11">
        <v>5000</v>
      </c>
      <c r="O12" s="11">
        <v>5000</v>
      </c>
      <c r="P12" s="11">
        <v>5000</v>
      </c>
      <c r="Q12" s="11">
        <v>5000</v>
      </c>
      <c r="R12" s="11">
        <v>5000</v>
      </c>
      <c r="S12" s="11">
        <v>5000</v>
      </c>
      <c r="T12" s="11">
        <v>5000</v>
      </c>
      <c r="U12" s="11">
        <v>5000</v>
      </c>
      <c r="V12" s="11">
        <v>5000</v>
      </c>
      <c r="W12" s="11">
        <v>5000</v>
      </c>
      <c r="X12" s="11">
        <v>5000</v>
      </c>
      <c r="Y12" s="11">
        <v>5000</v>
      </c>
      <c r="Z12" s="11">
        <v>5000</v>
      </c>
      <c r="AA12" s="11">
        <v>5000</v>
      </c>
      <c r="AB12" s="11">
        <v>5000</v>
      </c>
      <c r="AC12" s="77"/>
      <c r="AE12" s="17">
        <f>+AC27</f>
        <v>3600000</v>
      </c>
      <c r="AG12" s="15"/>
      <c r="AH12" s="15"/>
      <c r="AI12" s="15"/>
      <c r="AJ12" s="15"/>
      <c r="AK12" s="15"/>
      <c r="AL12" s="15"/>
      <c r="AM12" s="15"/>
      <c r="AN12" s="15"/>
      <c r="AO12" s="15"/>
      <c r="AP12" s="15"/>
      <c r="AQ12" s="15"/>
      <c r="AR12" s="15"/>
      <c r="AS12" s="15"/>
      <c r="AT12" s="15"/>
      <c r="AU12" s="15"/>
      <c r="AV12" s="15"/>
      <c r="AW12" s="15"/>
      <c r="AX12" s="15"/>
      <c r="AY12" s="15"/>
      <c r="AZ12" s="15"/>
      <c r="BA12" s="15"/>
      <c r="BB12" s="15"/>
      <c r="BC12" s="15"/>
      <c r="BD12" s="15"/>
    </row>
    <row r="13" spans="2:56" ht="18.649999999999999" customHeight="1" x14ac:dyDescent="0.25">
      <c r="B13" s="70" t="s">
        <v>33</v>
      </c>
      <c r="C13" s="4" t="s">
        <v>31</v>
      </c>
      <c r="D13" s="5">
        <v>4</v>
      </c>
      <c r="E13" s="11">
        <v>5000</v>
      </c>
      <c r="F13" s="11">
        <v>5000</v>
      </c>
      <c r="G13" s="11">
        <v>5000</v>
      </c>
      <c r="H13" s="11">
        <v>5000</v>
      </c>
      <c r="I13" s="11">
        <v>5000</v>
      </c>
      <c r="J13" s="11">
        <v>5000</v>
      </c>
      <c r="K13" s="11">
        <v>5000</v>
      </c>
      <c r="L13" s="11">
        <v>5000</v>
      </c>
      <c r="M13" s="11">
        <v>5000</v>
      </c>
      <c r="N13" s="11">
        <v>5000</v>
      </c>
      <c r="O13" s="11">
        <v>5000</v>
      </c>
      <c r="P13" s="11">
        <v>5000</v>
      </c>
      <c r="Q13" s="11">
        <v>5000</v>
      </c>
      <c r="R13" s="11">
        <v>5000</v>
      </c>
      <c r="S13" s="11">
        <v>5000</v>
      </c>
      <c r="T13" s="11">
        <v>5000</v>
      </c>
      <c r="U13" s="11">
        <v>5000</v>
      </c>
      <c r="V13" s="11">
        <v>5000</v>
      </c>
      <c r="W13" s="11">
        <v>5000</v>
      </c>
      <c r="X13" s="11">
        <v>5000</v>
      </c>
      <c r="Y13" s="11">
        <v>5000</v>
      </c>
      <c r="Z13" s="11">
        <v>5000</v>
      </c>
      <c r="AA13" s="11">
        <v>5000</v>
      </c>
      <c r="AB13" s="11">
        <v>5000</v>
      </c>
      <c r="AC13" s="77"/>
      <c r="AE13" s="17">
        <f>+AC31</f>
        <v>3720000</v>
      </c>
      <c r="AG13" s="15"/>
      <c r="AH13" s="15"/>
      <c r="AI13" s="15"/>
      <c r="AJ13" s="15"/>
      <c r="AK13" s="15"/>
      <c r="AL13" s="15"/>
      <c r="AM13" s="15"/>
      <c r="AN13" s="15"/>
      <c r="AO13" s="15"/>
      <c r="AP13" s="15"/>
      <c r="AQ13" s="15"/>
      <c r="AR13" s="15"/>
      <c r="AS13" s="15"/>
      <c r="AT13" s="15"/>
      <c r="AU13" s="15"/>
      <c r="AV13" s="15"/>
      <c r="AW13" s="15"/>
      <c r="AX13" s="15"/>
      <c r="AY13" s="15"/>
      <c r="AZ13" s="15"/>
      <c r="BA13" s="15"/>
      <c r="BB13" s="15"/>
      <c r="BC13" s="15"/>
      <c r="BD13" s="15"/>
    </row>
    <row r="14" spans="2:56" ht="18.649999999999999" customHeight="1" x14ac:dyDescent="0.25">
      <c r="B14" s="70" t="s">
        <v>33</v>
      </c>
      <c r="C14" s="4" t="s">
        <v>32</v>
      </c>
      <c r="D14" s="5">
        <v>0</v>
      </c>
      <c r="E14" s="11"/>
      <c r="F14" s="11"/>
      <c r="G14" s="11"/>
      <c r="H14" s="11"/>
      <c r="I14" s="11"/>
      <c r="J14" s="11"/>
      <c r="K14" s="11"/>
      <c r="L14" s="11"/>
      <c r="M14" s="11"/>
      <c r="N14" s="11"/>
      <c r="O14" s="11"/>
      <c r="P14" s="11"/>
      <c r="Q14" s="11"/>
      <c r="R14" s="11"/>
      <c r="S14" s="11"/>
      <c r="T14" s="11"/>
      <c r="U14" s="11"/>
      <c r="V14" s="11"/>
      <c r="W14" s="11"/>
      <c r="X14" s="11"/>
      <c r="Y14" s="11"/>
      <c r="Z14" s="11"/>
      <c r="AA14" s="11"/>
      <c r="AB14" s="11"/>
      <c r="AC14" s="78"/>
      <c r="AE14" s="17">
        <f>+AC35</f>
        <v>3720000</v>
      </c>
      <c r="AG14" s="15"/>
      <c r="AH14" s="15"/>
      <c r="AI14" s="15"/>
      <c r="AJ14" s="15"/>
      <c r="AK14" s="15"/>
      <c r="AL14" s="15"/>
      <c r="AM14" s="15"/>
      <c r="AN14" s="15"/>
      <c r="AO14" s="15"/>
      <c r="AP14" s="15"/>
      <c r="AQ14" s="15"/>
      <c r="AR14" s="15"/>
      <c r="AS14" s="15"/>
      <c r="AT14" s="15"/>
      <c r="AU14" s="15"/>
      <c r="AV14" s="15"/>
      <c r="AW14" s="15"/>
      <c r="AX14" s="15"/>
      <c r="AY14" s="15"/>
      <c r="AZ14" s="15"/>
      <c r="BA14" s="15"/>
      <c r="BB14" s="15"/>
      <c r="BC14" s="15"/>
      <c r="BD14" s="15"/>
    </row>
    <row r="15" spans="2:56" ht="18.649999999999999" customHeight="1" x14ac:dyDescent="0.25">
      <c r="B15" s="70" t="s">
        <v>34</v>
      </c>
      <c r="C15" s="4" t="s">
        <v>29</v>
      </c>
      <c r="D15" s="5">
        <v>20</v>
      </c>
      <c r="E15" s="11">
        <v>5000</v>
      </c>
      <c r="F15" s="11">
        <v>5000</v>
      </c>
      <c r="G15" s="11">
        <v>5000</v>
      </c>
      <c r="H15" s="11">
        <v>5000</v>
      </c>
      <c r="I15" s="11">
        <v>5000</v>
      </c>
      <c r="J15" s="11">
        <v>5000</v>
      </c>
      <c r="K15" s="11">
        <v>5000</v>
      </c>
      <c r="L15" s="11">
        <v>5000</v>
      </c>
      <c r="M15" s="11">
        <v>5000</v>
      </c>
      <c r="N15" s="11">
        <v>5000</v>
      </c>
      <c r="O15" s="11">
        <v>5000</v>
      </c>
      <c r="P15" s="11">
        <v>5000</v>
      </c>
      <c r="Q15" s="11">
        <v>5000</v>
      </c>
      <c r="R15" s="11">
        <v>5000</v>
      </c>
      <c r="S15" s="11">
        <v>5000</v>
      </c>
      <c r="T15" s="11">
        <v>5000</v>
      </c>
      <c r="U15" s="11">
        <v>5000</v>
      </c>
      <c r="V15" s="11">
        <v>5000</v>
      </c>
      <c r="W15" s="11">
        <v>5000</v>
      </c>
      <c r="X15" s="11">
        <v>5000</v>
      </c>
      <c r="Y15" s="11">
        <v>5000</v>
      </c>
      <c r="Z15" s="11">
        <v>5000</v>
      </c>
      <c r="AA15" s="11">
        <v>5000</v>
      </c>
      <c r="AB15" s="11">
        <v>5000</v>
      </c>
      <c r="AC15" s="76">
        <f>+SUM(E15:AB15)*D15+SUM(E16:AB16)*D16+SUM(E17:AB17)*D17+SUM(E18:AB18)*D18</f>
        <v>3720000</v>
      </c>
      <c r="AE15" s="17">
        <f>+AC39</f>
        <v>3600000</v>
      </c>
      <c r="AG15" s="15"/>
      <c r="AH15" s="15"/>
      <c r="AI15" s="15"/>
      <c r="AJ15" s="15"/>
      <c r="AK15" s="15"/>
      <c r="AL15" s="15"/>
      <c r="AM15" s="15"/>
      <c r="AN15" s="15"/>
      <c r="AO15" s="15"/>
      <c r="AP15" s="15"/>
      <c r="AQ15" s="15"/>
      <c r="AR15" s="15"/>
      <c r="AS15" s="15"/>
      <c r="AT15" s="15"/>
      <c r="AU15" s="15"/>
      <c r="AV15" s="15"/>
      <c r="AW15" s="15"/>
      <c r="AX15" s="15"/>
      <c r="AY15" s="15"/>
      <c r="AZ15" s="15"/>
      <c r="BA15" s="15"/>
      <c r="BB15" s="15"/>
      <c r="BC15" s="15"/>
      <c r="BD15" s="15"/>
    </row>
    <row r="16" spans="2:56" ht="18.649999999999999" customHeight="1" x14ac:dyDescent="0.25">
      <c r="B16" s="70" t="s">
        <v>34</v>
      </c>
      <c r="C16" s="4" t="s">
        <v>30</v>
      </c>
      <c r="D16" s="5">
        <v>5</v>
      </c>
      <c r="E16" s="11">
        <v>5000</v>
      </c>
      <c r="F16" s="11">
        <v>5000</v>
      </c>
      <c r="G16" s="11">
        <v>5000</v>
      </c>
      <c r="H16" s="11">
        <v>5000</v>
      </c>
      <c r="I16" s="11">
        <v>5000</v>
      </c>
      <c r="J16" s="11">
        <v>5000</v>
      </c>
      <c r="K16" s="11">
        <v>5000</v>
      </c>
      <c r="L16" s="11">
        <v>5000</v>
      </c>
      <c r="M16" s="11">
        <v>5000</v>
      </c>
      <c r="N16" s="11">
        <v>5000</v>
      </c>
      <c r="O16" s="11">
        <v>5000</v>
      </c>
      <c r="P16" s="11">
        <v>5000</v>
      </c>
      <c r="Q16" s="11">
        <v>5000</v>
      </c>
      <c r="R16" s="11">
        <v>5000</v>
      </c>
      <c r="S16" s="11">
        <v>5000</v>
      </c>
      <c r="T16" s="11">
        <v>5000</v>
      </c>
      <c r="U16" s="11">
        <v>5000</v>
      </c>
      <c r="V16" s="11">
        <v>5000</v>
      </c>
      <c r="W16" s="11">
        <v>5000</v>
      </c>
      <c r="X16" s="11">
        <v>5000</v>
      </c>
      <c r="Y16" s="11">
        <v>5000</v>
      </c>
      <c r="Z16" s="11">
        <v>5000</v>
      </c>
      <c r="AA16" s="11">
        <v>5000</v>
      </c>
      <c r="AB16" s="11">
        <v>5000</v>
      </c>
      <c r="AC16" s="77"/>
      <c r="AE16" s="17">
        <f>+AC43</f>
        <v>3720000</v>
      </c>
      <c r="AG16" s="15"/>
      <c r="AH16" s="15"/>
      <c r="AI16" s="15"/>
      <c r="AJ16" s="15"/>
      <c r="AK16" s="15"/>
      <c r="AL16" s="15"/>
      <c r="AM16" s="15"/>
      <c r="AN16" s="15"/>
      <c r="AO16" s="15"/>
      <c r="AP16" s="15"/>
      <c r="AQ16" s="15"/>
      <c r="AR16" s="15"/>
      <c r="AS16" s="15"/>
      <c r="AT16" s="15"/>
      <c r="AU16" s="15"/>
      <c r="AV16" s="15"/>
      <c r="AW16" s="15"/>
      <c r="AX16" s="15"/>
      <c r="AY16" s="15"/>
      <c r="AZ16" s="15"/>
      <c r="BA16" s="15"/>
      <c r="BB16" s="15"/>
      <c r="BC16" s="15"/>
      <c r="BD16" s="15"/>
    </row>
    <row r="17" spans="2:56" ht="18.649999999999999" customHeight="1" x14ac:dyDescent="0.25">
      <c r="B17" s="70" t="s">
        <v>34</v>
      </c>
      <c r="C17" s="4" t="s">
        <v>31</v>
      </c>
      <c r="D17" s="5">
        <v>5</v>
      </c>
      <c r="E17" s="11">
        <v>5000</v>
      </c>
      <c r="F17" s="11">
        <v>5000</v>
      </c>
      <c r="G17" s="11">
        <v>5000</v>
      </c>
      <c r="H17" s="11">
        <v>5000</v>
      </c>
      <c r="I17" s="11">
        <v>5000</v>
      </c>
      <c r="J17" s="11">
        <v>5000</v>
      </c>
      <c r="K17" s="11">
        <v>5000</v>
      </c>
      <c r="L17" s="11">
        <v>5000</v>
      </c>
      <c r="M17" s="11">
        <v>5000</v>
      </c>
      <c r="N17" s="11">
        <v>5000</v>
      </c>
      <c r="O17" s="11">
        <v>5000</v>
      </c>
      <c r="P17" s="11">
        <v>5000</v>
      </c>
      <c r="Q17" s="11">
        <v>5000</v>
      </c>
      <c r="R17" s="11">
        <v>5000</v>
      </c>
      <c r="S17" s="11">
        <v>5000</v>
      </c>
      <c r="T17" s="11">
        <v>5000</v>
      </c>
      <c r="U17" s="11">
        <v>5000</v>
      </c>
      <c r="V17" s="11">
        <v>5000</v>
      </c>
      <c r="W17" s="11">
        <v>5000</v>
      </c>
      <c r="X17" s="11">
        <v>5000</v>
      </c>
      <c r="Y17" s="11">
        <v>5000</v>
      </c>
      <c r="Z17" s="11">
        <v>5000</v>
      </c>
      <c r="AA17" s="11">
        <v>5000</v>
      </c>
      <c r="AB17" s="11">
        <v>5000</v>
      </c>
      <c r="AC17" s="77"/>
      <c r="AE17" s="17">
        <f>+AC47</f>
        <v>3600000</v>
      </c>
      <c r="AG17" s="15"/>
      <c r="AH17" s="15"/>
      <c r="AI17" s="15"/>
      <c r="AJ17" s="15"/>
      <c r="AK17" s="15"/>
      <c r="AL17" s="15"/>
      <c r="AM17" s="15"/>
      <c r="AN17" s="15"/>
      <c r="AO17" s="15"/>
      <c r="AP17" s="15"/>
      <c r="AQ17" s="15"/>
      <c r="AR17" s="15"/>
      <c r="AS17" s="15"/>
      <c r="AT17" s="15"/>
      <c r="AU17" s="15"/>
      <c r="AV17" s="15"/>
      <c r="AW17" s="15"/>
      <c r="AX17" s="15"/>
      <c r="AY17" s="15"/>
      <c r="AZ17" s="15"/>
      <c r="BA17" s="15"/>
      <c r="BB17" s="15"/>
      <c r="BC17" s="15"/>
      <c r="BD17" s="15"/>
    </row>
    <row r="18" spans="2:56" ht="18.649999999999999" customHeight="1" x14ac:dyDescent="0.25">
      <c r="B18" s="70" t="s">
        <v>34</v>
      </c>
      <c r="C18" s="4" t="s">
        <v>32</v>
      </c>
      <c r="D18" s="5">
        <v>1</v>
      </c>
      <c r="E18" s="11">
        <v>5000</v>
      </c>
      <c r="F18" s="11">
        <v>5000</v>
      </c>
      <c r="G18" s="11">
        <v>5000</v>
      </c>
      <c r="H18" s="11">
        <v>5000</v>
      </c>
      <c r="I18" s="11">
        <v>5000</v>
      </c>
      <c r="J18" s="11">
        <v>5000</v>
      </c>
      <c r="K18" s="11">
        <v>5000</v>
      </c>
      <c r="L18" s="11">
        <v>5000</v>
      </c>
      <c r="M18" s="11">
        <v>5000</v>
      </c>
      <c r="N18" s="11">
        <v>5000</v>
      </c>
      <c r="O18" s="11">
        <v>5000</v>
      </c>
      <c r="P18" s="11">
        <v>5000</v>
      </c>
      <c r="Q18" s="11">
        <v>5000</v>
      </c>
      <c r="R18" s="11">
        <v>5000</v>
      </c>
      <c r="S18" s="11">
        <v>5000</v>
      </c>
      <c r="T18" s="11">
        <v>5000</v>
      </c>
      <c r="U18" s="11">
        <v>5000</v>
      </c>
      <c r="V18" s="11">
        <v>5000</v>
      </c>
      <c r="W18" s="11">
        <v>5000</v>
      </c>
      <c r="X18" s="11">
        <v>5000</v>
      </c>
      <c r="Y18" s="11">
        <v>5000</v>
      </c>
      <c r="Z18" s="11">
        <v>5000</v>
      </c>
      <c r="AA18" s="11">
        <v>5000</v>
      </c>
      <c r="AB18" s="11">
        <v>5000</v>
      </c>
      <c r="AC18" s="78"/>
      <c r="AE18" s="17">
        <f>+AC51</f>
        <v>3720000</v>
      </c>
      <c r="AG18" s="15"/>
      <c r="AH18" s="15"/>
      <c r="AI18" s="15"/>
      <c r="AJ18" s="15"/>
      <c r="AK18" s="15"/>
      <c r="AL18" s="15"/>
      <c r="AM18" s="15"/>
      <c r="AN18" s="15"/>
      <c r="AO18" s="15"/>
      <c r="AP18" s="15"/>
      <c r="AQ18" s="15"/>
      <c r="AR18" s="15"/>
      <c r="AS18" s="15"/>
      <c r="AT18" s="15"/>
      <c r="AU18" s="15"/>
      <c r="AV18" s="15"/>
      <c r="AW18" s="15"/>
      <c r="AX18" s="15"/>
      <c r="AY18" s="15"/>
      <c r="AZ18" s="15"/>
      <c r="BA18" s="15"/>
      <c r="BB18" s="15"/>
      <c r="BC18" s="15"/>
      <c r="BD18" s="15"/>
    </row>
    <row r="19" spans="2:56" ht="18.649999999999999" customHeight="1" x14ac:dyDescent="0.3">
      <c r="B19" s="70" t="s">
        <v>35</v>
      </c>
      <c r="C19" s="4" t="s">
        <v>29</v>
      </c>
      <c r="D19" s="5">
        <v>20</v>
      </c>
      <c r="E19" s="11">
        <v>5000</v>
      </c>
      <c r="F19" s="11">
        <v>5000</v>
      </c>
      <c r="G19" s="11">
        <v>5000</v>
      </c>
      <c r="H19" s="11">
        <v>5000</v>
      </c>
      <c r="I19" s="11">
        <v>5000</v>
      </c>
      <c r="J19" s="11">
        <v>5000</v>
      </c>
      <c r="K19" s="11">
        <v>5000</v>
      </c>
      <c r="L19" s="11">
        <v>5000</v>
      </c>
      <c r="M19" s="11">
        <v>5000</v>
      </c>
      <c r="N19" s="11">
        <v>5000</v>
      </c>
      <c r="O19" s="11">
        <v>5000</v>
      </c>
      <c r="P19" s="11">
        <v>5000</v>
      </c>
      <c r="Q19" s="11">
        <v>5000</v>
      </c>
      <c r="R19" s="11">
        <v>5000</v>
      </c>
      <c r="S19" s="11">
        <v>5000</v>
      </c>
      <c r="T19" s="11">
        <v>5000</v>
      </c>
      <c r="U19" s="11">
        <v>5000</v>
      </c>
      <c r="V19" s="11">
        <v>5000</v>
      </c>
      <c r="W19" s="11">
        <v>5000</v>
      </c>
      <c r="X19" s="11">
        <v>5000</v>
      </c>
      <c r="Y19" s="11">
        <v>5000</v>
      </c>
      <c r="Z19" s="11">
        <v>5000</v>
      </c>
      <c r="AA19" s="11">
        <v>5000</v>
      </c>
      <c r="AB19" s="11">
        <v>5000</v>
      </c>
      <c r="AC19" s="76">
        <f>+SUM(E19:AB19)*D19+SUM(E20:AB20)*D20+SUM(E21:AB21)*D21+SUM(E22:AB22)*D22</f>
        <v>3600000</v>
      </c>
      <c r="AE19" s="19">
        <f>SUM(AE7:AE18)</f>
        <v>43800000</v>
      </c>
      <c r="AG19" s="15"/>
      <c r="AH19" s="15"/>
      <c r="AI19" s="15"/>
      <c r="AJ19" s="15"/>
      <c r="AK19" s="15"/>
      <c r="AL19" s="15"/>
      <c r="AM19" s="15"/>
      <c r="AN19" s="15"/>
      <c r="AO19" s="15"/>
      <c r="AP19" s="15"/>
      <c r="AQ19" s="15"/>
      <c r="AR19" s="15"/>
      <c r="AS19" s="15"/>
      <c r="AT19" s="15"/>
      <c r="AU19" s="15"/>
      <c r="AV19" s="15"/>
      <c r="AW19" s="15"/>
      <c r="AX19" s="15"/>
      <c r="AY19" s="15"/>
      <c r="AZ19" s="15"/>
      <c r="BA19" s="15"/>
      <c r="BB19" s="15"/>
      <c r="BC19" s="15"/>
      <c r="BD19" s="15"/>
    </row>
    <row r="20" spans="2:56" ht="18.649999999999999" customHeight="1" x14ac:dyDescent="0.25">
      <c r="B20" s="70" t="s">
        <v>35</v>
      </c>
      <c r="C20" s="4" t="s">
        <v>30</v>
      </c>
      <c r="D20" s="5">
        <v>4</v>
      </c>
      <c r="E20" s="11">
        <v>5000</v>
      </c>
      <c r="F20" s="11">
        <v>5000</v>
      </c>
      <c r="G20" s="11">
        <v>5000</v>
      </c>
      <c r="H20" s="11">
        <v>5000</v>
      </c>
      <c r="I20" s="11">
        <v>5000</v>
      </c>
      <c r="J20" s="11">
        <v>5000</v>
      </c>
      <c r="K20" s="11">
        <v>5000</v>
      </c>
      <c r="L20" s="11">
        <v>5000</v>
      </c>
      <c r="M20" s="11">
        <v>5000</v>
      </c>
      <c r="N20" s="11">
        <v>5000</v>
      </c>
      <c r="O20" s="11">
        <v>5000</v>
      </c>
      <c r="P20" s="11">
        <v>5000</v>
      </c>
      <c r="Q20" s="11">
        <v>5000</v>
      </c>
      <c r="R20" s="11">
        <v>5000</v>
      </c>
      <c r="S20" s="11">
        <v>5000</v>
      </c>
      <c r="T20" s="11">
        <v>5000</v>
      </c>
      <c r="U20" s="11">
        <v>5000</v>
      </c>
      <c r="V20" s="11">
        <v>5000</v>
      </c>
      <c r="W20" s="11">
        <v>5000</v>
      </c>
      <c r="X20" s="11">
        <v>5000</v>
      </c>
      <c r="Y20" s="11">
        <v>5000</v>
      </c>
      <c r="Z20" s="11">
        <v>5000</v>
      </c>
      <c r="AA20" s="11">
        <v>5000</v>
      </c>
      <c r="AB20" s="11">
        <v>5000</v>
      </c>
      <c r="AC20" s="77"/>
      <c r="AG20" s="15"/>
      <c r="AH20" s="15"/>
      <c r="AI20" s="15"/>
      <c r="AJ20" s="15"/>
      <c r="AK20" s="15"/>
      <c r="AL20" s="15"/>
      <c r="AM20" s="15"/>
      <c r="AN20" s="15"/>
      <c r="AO20" s="15"/>
      <c r="AP20" s="15"/>
      <c r="AQ20" s="15"/>
      <c r="AR20" s="15"/>
      <c r="AS20" s="15"/>
      <c r="AT20" s="15"/>
      <c r="AU20" s="15"/>
      <c r="AV20" s="15"/>
      <c r="AW20" s="15"/>
      <c r="AX20" s="15"/>
      <c r="AY20" s="15"/>
      <c r="AZ20" s="15"/>
      <c r="BA20" s="15"/>
      <c r="BB20" s="15"/>
      <c r="BC20" s="15"/>
      <c r="BD20" s="15"/>
    </row>
    <row r="21" spans="2:56" ht="18.649999999999999" customHeight="1" x14ac:dyDescent="0.25">
      <c r="B21" s="70" t="s">
        <v>35</v>
      </c>
      <c r="C21" s="4" t="s">
        <v>31</v>
      </c>
      <c r="D21" s="5">
        <v>4</v>
      </c>
      <c r="E21" s="11">
        <v>5000</v>
      </c>
      <c r="F21" s="11">
        <v>5000</v>
      </c>
      <c r="G21" s="11">
        <v>5000</v>
      </c>
      <c r="H21" s="11">
        <v>5000</v>
      </c>
      <c r="I21" s="11">
        <v>5000</v>
      </c>
      <c r="J21" s="11">
        <v>5000</v>
      </c>
      <c r="K21" s="11">
        <v>5000</v>
      </c>
      <c r="L21" s="11">
        <v>5000</v>
      </c>
      <c r="M21" s="11">
        <v>5000</v>
      </c>
      <c r="N21" s="11">
        <v>5000</v>
      </c>
      <c r="O21" s="11">
        <v>5000</v>
      </c>
      <c r="P21" s="11">
        <v>5000</v>
      </c>
      <c r="Q21" s="11">
        <v>5000</v>
      </c>
      <c r="R21" s="11">
        <v>5000</v>
      </c>
      <c r="S21" s="11">
        <v>5000</v>
      </c>
      <c r="T21" s="11">
        <v>5000</v>
      </c>
      <c r="U21" s="11">
        <v>5000</v>
      </c>
      <c r="V21" s="11">
        <v>5000</v>
      </c>
      <c r="W21" s="11">
        <v>5000</v>
      </c>
      <c r="X21" s="11">
        <v>5000</v>
      </c>
      <c r="Y21" s="11">
        <v>5000</v>
      </c>
      <c r="Z21" s="11">
        <v>5000</v>
      </c>
      <c r="AA21" s="11">
        <v>5000</v>
      </c>
      <c r="AB21" s="11">
        <v>5000</v>
      </c>
      <c r="AC21" s="77"/>
      <c r="AG21" s="15"/>
      <c r="AH21" s="15"/>
      <c r="AI21" s="15"/>
      <c r="AJ21" s="15"/>
      <c r="AK21" s="15"/>
      <c r="AL21" s="15"/>
      <c r="AM21" s="15"/>
      <c r="AN21" s="15"/>
      <c r="AO21" s="15"/>
      <c r="AP21" s="15"/>
      <c r="AQ21" s="15"/>
      <c r="AR21" s="15"/>
      <c r="AS21" s="15"/>
      <c r="AT21" s="15"/>
      <c r="AU21" s="15"/>
      <c r="AV21" s="15"/>
      <c r="AW21" s="15"/>
      <c r="AX21" s="15"/>
      <c r="AY21" s="15"/>
      <c r="AZ21" s="15"/>
      <c r="BA21" s="15"/>
      <c r="BB21" s="15"/>
      <c r="BC21" s="15"/>
      <c r="BD21" s="15"/>
    </row>
    <row r="22" spans="2:56" ht="18.649999999999999" customHeight="1" x14ac:dyDescent="0.25">
      <c r="B22" s="70" t="s">
        <v>35</v>
      </c>
      <c r="C22" s="4" t="s">
        <v>32</v>
      </c>
      <c r="D22" s="5">
        <v>2</v>
      </c>
      <c r="E22" s="11">
        <v>5000</v>
      </c>
      <c r="F22" s="11">
        <v>5000</v>
      </c>
      <c r="G22" s="11">
        <v>5000</v>
      </c>
      <c r="H22" s="11">
        <v>5000</v>
      </c>
      <c r="I22" s="11">
        <v>5000</v>
      </c>
      <c r="J22" s="11">
        <v>5000</v>
      </c>
      <c r="K22" s="11">
        <v>5000</v>
      </c>
      <c r="L22" s="11">
        <v>5000</v>
      </c>
      <c r="M22" s="11">
        <v>5000</v>
      </c>
      <c r="N22" s="11">
        <v>5000</v>
      </c>
      <c r="O22" s="11">
        <v>5000</v>
      </c>
      <c r="P22" s="11">
        <v>5000</v>
      </c>
      <c r="Q22" s="11">
        <v>5000</v>
      </c>
      <c r="R22" s="11">
        <v>5000</v>
      </c>
      <c r="S22" s="11">
        <v>5000</v>
      </c>
      <c r="T22" s="11">
        <v>5000</v>
      </c>
      <c r="U22" s="11">
        <v>5000</v>
      </c>
      <c r="V22" s="11">
        <v>5000</v>
      </c>
      <c r="W22" s="11">
        <v>5000</v>
      </c>
      <c r="X22" s="11">
        <v>5000</v>
      </c>
      <c r="Y22" s="11">
        <v>5000</v>
      </c>
      <c r="Z22" s="11">
        <v>5000</v>
      </c>
      <c r="AA22" s="11">
        <v>5000</v>
      </c>
      <c r="AB22" s="11">
        <v>5000</v>
      </c>
      <c r="AC22" s="78"/>
      <c r="AG22" s="15"/>
      <c r="AH22" s="15"/>
      <c r="AI22" s="15"/>
      <c r="AJ22" s="15"/>
      <c r="AK22" s="15"/>
      <c r="AL22" s="15"/>
      <c r="AM22" s="15"/>
      <c r="AN22" s="15"/>
      <c r="AO22" s="15"/>
      <c r="AP22" s="15"/>
      <c r="AQ22" s="15"/>
      <c r="AR22" s="15"/>
      <c r="AS22" s="15"/>
      <c r="AT22" s="15"/>
      <c r="AU22" s="15"/>
      <c r="AV22" s="15"/>
      <c r="AW22" s="15"/>
      <c r="AX22" s="15"/>
      <c r="AY22" s="15"/>
      <c r="AZ22" s="15"/>
      <c r="BA22" s="15"/>
      <c r="BB22" s="15"/>
      <c r="BC22" s="15"/>
      <c r="BD22" s="15"/>
    </row>
    <row r="23" spans="2:56" ht="18.649999999999999" customHeight="1" x14ac:dyDescent="0.25">
      <c r="B23" s="70" t="s">
        <v>36</v>
      </c>
      <c r="C23" s="4" t="s">
        <v>29</v>
      </c>
      <c r="D23" s="5">
        <v>22</v>
      </c>
      <c r="E23" s="11">
        <v>5000</v>
      </c>
      <c r="F23" s="11">
        <v>5000</v>
      </c>
      <c r="G23" s="11">
        <v>5000</v>
      </c>
      <c r="H23" s="11">
        <v>5000</v>
      </c>
      <c r="I23" s="11">
        <v>5000</v>
      </c>
      <c r="J23" s="11">
        <v>5000</v>
      </c>
      <c r="K23" s="11">
        <v>5000</v>
      </c>
      <c r="L23" s="11">
        <v>5000</v>
      </c>
      <c r="M23" s="11">
        <v>5000</v>
      </c>
      <c r="N23" s="11">
        <v>5000</v>
      </c>
      <c r="O23" s="11">
        <v>5000</v>
      </c>
      <c r="P23" s="11">
        <v>5000</v>
      </c>
      <c r="Q23" s="11">
        <v>5000</v>
      </c>
      <c r="R23" s="11">
        <v>5000</v>
      </c>
      <c r="S23" s="11">
        <v>5000</v>
      </c>
      <c r="T23" s="11">
        <v>5000</v>
      </c>
      <c r="U23" s="11">
        <v>5000</v>
      </c>
      <c r="V23" s="11">
        <v>5000</v>
      </c>
      <c r="W23" s="11">
        <v>5000</v>
      </c>
      <c r="X23" s="11">
        <v>5000</v>
      </c>
      <c r="Y23" s="11">
        <v>5000</v>
      </c>
      <c r="Z23" s="11">
        <v>5000</v>
      </c>
      <c r="AA23" s="11">
        <v>5000</v>
      </c>
      <c r="AB23" s="11">
        <v>5000</v>
      </c>
      <c r="AC23" s="76">
        <f>+SUM(E23:AB23)*D23+SUM(E24:AB24)*D24+SUM(E25:AB25)*D25+SUM(E26:AB26)*D26</f>
        <v>3720000</v>
      </c>
      <c r="AG23" s="15"/>
      <c r="AH23" s="15"/>
      <c r="AI23" s="15"/>
      <c r="AJ23" s="15"/>
      <c r="AK23" s="15"/>
      <c r="AL23" s="15"/>
      <c r="AM23" s="15"/>
      <c r="AN23" s="15"/>
      <c r="AO23" s="15"/>
      <c r="AP23" s="15"/>
      <c r="AQ23" s="15"/>
      <c r="AR23" s="15"/>
      <c r="AS23" s="15"/>
      <c r="AT23" s="15"/>
      <c r="AU23" s="15"/>
      <c r="AV23" s="15"/>
      <c r="AW23" s="15"/>
      <c r="AX23" s="15"/>
      <c r="AY23" s="15"/>
      <c r="AZ23" s="15"/>
      <c r="BA23" s="15"/>
      <c r="BB23" s="15"/>
      <c r="BC23" s="15"/>
      <c r="BD23" s="15"/>
    </row>
    <row r="24" spans="2:56" ht="18.649999999999999" customHeight="1" x14ac:dyDescent="0.25">
      <c r="B24" s="70" t="s">
        <v>36</v>
      </c>
      <c r="C24" s="4" t="s">
        <v>30</v>
      </c>
      <c r="D24" s="5">
        <v>4</v>
      </c>
      <c r="E24" s="11">
        <v>5000</v>
      </c>
      <c r="F24" s="11">
        <v>5000</v>
      </c>
      <c r="G24" s="11">
        <v>5000</v>
      </c>
      <c r="H24" s="11">
        <v>5000</v>
      </c>
      <c r="I24" s="11">
        <v>5000</v>
      </c>
      <c r="J24" s="11">
        <v>5000</v>
      </c>
      <c r="K24" s="11">
        <v>5000</v>
      </c>
      <c r="L24" s="11">
        <v>5000</v>
      </c>
      <c r="M24" s="11">
        <v>5000</v>
      </c>
      <c r="N24" s="11">
        <v>5000</v>
      </c>
      <c r="O24" s="11">
        <v>5000</v>
      </c>
      <c r="P24" s="11">
        <v>5000</v>
      </c>
      <c r="Q24" s="11">
        <v>5000</v>
      </c>
      <c r="R24" s="11">
        <v>5000</v>
      </c>
      <c r="S24" s="11">
        <v>5000</v>
      </c>
      <c r="T24" s="11">
        <v>5000</v>
      </c>
      <c r="U24" s="11">
        <v>5000</v>
      </c>
      <c r="V24" s="11">
        <v>5000</v>
      </c>
      <c r="W24" s="11">
        <v>5000</v>
      </c>
      <c r="X24" s="11">
        <v>5000</v>
      </c>
      <c r="Y24" s="11">
        <v>5000</v>
      </c>
      <c r="Z24" s="11">
        <v>5000</v>
      </c>
      <c r="AA24" s="11">
        <v>5000</v>
      </c>
      <c r="AB24" s="11">
        <v>5000</v>
      </c>
      <c r="AC24" s="77"/>
      <c r="AG24" s="15"/>
      <c r="AH24" s="15"/>
      <c r="AI24" s="15"/>
      <c r="AJ24" s="15"/>
      <c r="AK24" s="15"/>
      <c r="AL24" s="15"/>
      <c r="AM24" s="15"/>
      <c r="AN24" s="15"/>
      <c r="AO24" s="15"/>
      <c r="AP24" s="15"/>
      <c r="AQ24" s="15"/>
      <c r="AR24" s="15"/>
      <c r="AS24" s="15"/>
      <c r="AT24" s="15"/>
      <c r="AU24" s="15"/>
      <c r="AV24" s="15"/>
      <c r="AW24" s="15"/>
      <c r="AX24" s="15"/>
      <c r="AY24" s="15"/>
      <c r="AZ24" s="15"/>
      <c r="BA24" s="15"/>
      <c r="BB24" s="15"/>
      <c r="BC24" s="15"/>
      <c r="BD24" s="15"/>
    </row>
    <row r="25" spans="2:56" ht="18.649999999999999" customHeight="1" x14ac:dyDescent="0.25">
      <c r="B25" s="70" t="s">
        <v>36</v>
      </c>
      <c r="C25" s="4" t="s">
        <v>31</v>
      </c>
      <c r="D25" s="5">
        <v>4</v>
      </c>
      <c r="E25" s="11">
        <v>5000</v>
      </c>
      <c r="F25" s="11">
        <v>5000</v>
      </c>
      <c r="G25" s="11">
        <v>5000</v>
      </c>
      <c r="H25" s="11">
        <v>5000</v>
      </c>
      <c r="I25" s="11">
        <v>5000</v>
      </c>
      <c r="J25" s="11">
        <v>5000</v>
      </c>
      <c r="K25" s="11">
        <v>5000</v>
      </c>
      <c r="L25" s="11">
        <v>5000</v>
      </c>
      <c r="M25" s="11">
        <v>5000</v>
      </c>
      <c r="N25" s="11">
        <v>5000</v>
      </c>
      <c r="O25" s="11">
        <v>5000</v>
      </c>
      <c r="P25" s="11">
        <v>5000</v>
      </c>
      <c r="Q25" s="11">
        <v>5000</v>
      </c>
      <c r="R25" s="11">
        <v>5000</v>
      </c>
      <c r="S25" s="11">
        <v>5000</v>
      </c>
      <c r="T25" s="11">
        <v>5000</v>
      </c>
      <c r="U25" s="11">
        <v>5000</v>
      </c>
      <c r="V25" s="11">
        <v>5000</v>
      </c>
      <c r="W25" s="11">
        <v>5000</v>
      </c>
      <c r="X25" s="11">
        <v>5000</v>
      </c>
      <c r="Y25" s="11">
        <v>5000</v>
      </c>
      <c r="Z25" s="11">
        <v>5000</v>
      </c>
      <c r="AA25" s="11">
        <v>5000</v>
      </c>
      <c r="AB25" s="11">
        <v>5000</v>
      </c>
      <c r="AC25" s="77"/>
      <c r="AG25" s="15"/>
      <c r="AH25" s="15"/>
      <c r="AI25" s="15"/>
      <c r="AJ25" s="15"/>
      <c r="AK25" s="15"/>
      <c r="AL25" s="15"/>
      <c r="AM25" s="15"/>
      <c r="AN25" s="15"/>
      <c r="AO25" s="15"/>
      <c r="AP25" s="15"/>
      <c r="AQ25" s="15"/>
      <c r="AR25" s="15"/>
      <c r="AS25" s="15"/>
      <c r="AT25" s="15"/>
      <c r="AU25" s="15"/>
      <c r="AV25" s="15"/>
      <c r="AW25" s="15"/>
      <c r="AX25" s="15"/>
      <c r="AY25" s="15"/>
      <c r="AZ25" s="15"/>
      <c r="BA25" s="15"/>
      <c r="BB25" s="15"/>
      <c r="BC25" s="15"/>
      <c r="BD25" s="15"/>
    </row>
    <row r="26" spans="2:56" ht="18.649999999999999" customHeight="1" x14ac:dyDescent="0.25">
      <c r="B26" s="70" t="s">
        <v>36</v>
      </c>
      <c r="C26" s="4" t="s">
        <v>32</v>
      </c>
      <c r="D26" s="5">
        <v>1</v>
      </c>
      <c r="E26" s="11">
        <v>5000</v>
      </c>
      <c r="F26" s="11">
        <v>5000</v>
      </c>
      <c r="G26" s="11">
        <v>5000</v>
      </c>
      <c r="H26" s="11">
        <v>5000</v>
      </c>
      <c r="I26" s="11">
        <v>5000</v>
      </c>
      <c r="J26" s="11">
        <v>5000</v>
      </c>
      <c r="K26" s="11">
        <v>5000</v>
      </c>
      <c r="L26" s="11">
        <v>5000</v>
      </c>
      <c r="M26" s="11">
        <v>5000</v>
      </c>
      <c r="N26" s="11">
        <v>5000</v>
      </c>
      <c r="O26" s="11">
        <v>5000</v>
      </c>
      <c r="P26" s="11">
        <v>5000</v>
      </c>
      <c r="Q26" s="11">
        <v>5000</v>
      </c>
      <c r="R26" s="11">
        <v>5000</v>
      </c>
      <c r="S26" s="11">
        <v>5000</v>
      </c>
      <c r="T26" s="11">
        <v>5000</v>
      </c>
      <c r="U26" s="11">
        <v>5000</v>
      </c>
      <c r="V26" s="11">
        <v>5000</v>
      </c>
      <c r="W26" s="11">
        <v>5000</v>
      </c>
      <c r="X26" s="11">
        <v>5000</v>
      </c>
      <c r="Y26" s="11">
        <v>5000</v>
      </c>
      <c r="Z26" s="11">
        <v>5000</v>
      </c>
      <c r="AA26" s="11">
        <v>5000</v>
      </c>
      <c r="AB26" s="11">
        <v>5000</v>
      </c>
      <c r="AC26" s="78"/>
      <c r="AG26" s="15"/>
      <c r="AH26" s="15"/>
      <c r="AI26" s="15"/>
      <c r="AJ26" s="15"/>
      <c r="AK26" s="15"/>
      <c r="AL26" s="15"/>
      <c r="AM26" s="15"/>
      <c r="AN26" s="15"/>
      <c r="AO26" s="15"/>
      <c r="AP26" s="15"/>
      <c r="AQ26" s="15"/>
      <c r="AR26" s="15"/>
      <c r="AS26" s="15"/>
      <c r="AT26" s="15"/>
      <c r="AU26" s="15"/>
      <c r="AV26" s="15"/>
      <c r="AW26" s="15"/>
      <c r="AX26" s="15"/>
      <c r="AY26" s="15"/>
      <c r="AZ26" s="15"/>
      <c r="BA26" s="15"/>
      <c r="BB26" s="15"/>
      <c r="BC26" s="15"/>
      <c r="BD26" s="15"/>
    </row>
    <row r="27" spans="2:56" ht="18.649999999999999" customHeight="1" x14ac:dyDescent="0.25">
      <c r="B27" s="70" t="s">
        <v>37</v>
      </c>
      <c r="C27" s="4" t="s">
        <v>29</v>
      </c>
      <c r="D27" s="5">
        <v>18</v>
      </c>
      <c r="E27" s="11">
        <v>5000</v>
      </c>
      <c r="F27" s="11">
        <v>5000</v>
      </c>
      <c r="G27" s="11">
        <v>5000</v>
      </c>
      <c r="H27" s="11">
        <v>5000</v>
      </c>
      <c r="I27" s="11">
        <v>5000</v>
      </c>
      <c r="J27" s="11">
        <v>5000</v>
      </c>
      <c r="K27" s="11">
        <v>5000</v>
      </c>
      <c r="L27" s="11">
        <v>5000</v>
      </c>
      <c r="M27" s="11">
        <v>5000</v>
      </c>
      <c r="N27" s="11">
        <v>5000</v>
      </c>
      <c r="O27" s="11">
        <v>5000</v>
      </c>
      <c r="P27" s="11">
        <v>5000</v>
      </c>
      <c r="Q27" s="11">
        <v>5000</v>
      </c>
      <c r="R27" s="11">
        <v>5000</v>
      </c>
      <c r="S27" s="11">
        <v>5000</v>
      </c>
      <c r="T27" s="11">
        <v>5000</v>
      </c>
      <c r="U27" s="11">
        <v>5000</v>
      </c>
      <c r="V27" s="11">
        <v>5000</v>
      </c>
      <c r="W27" s="11">
        <v>5000</v>
      </c>
      <c r="X27" s="11">
        <v>5000</v>
      </c>
      <c r="Y27" s="11">
        <v>5000</v>
      </c>
      <c r="Z27" s="11">
        <v>5000</v>
      </c>
      <c r="AA27" s="11">
        <v>5000</v>
      </c>
      <c r="AB27" s="11">
        <v>5000</v>
      </c>
      <c r="AC27" s="76">
        <f>+SUM(E27:AB27)*D27+SUM(E28:AB28)*D28+SUM(E29:AB29)*D29+SUM(E30:AB30)*D30</f>
        <v>3600000</v>
      </c>
      <c r="AG27" s="15"/>
      <c r="AH27" s="15"/>
      <c r="AI27" s="15"/>
      <c r="AJ27" s="15"/>
      <c r="AK27" s="15"/>
      <c r="AL27" s="15"/>
      <c r="AM27" s="15"/>
      <c r="AN27" s="15"/>
      <c r="AO27" s="15"/>
      <c r="AP27" s="15"/>
      <c r="AQ27" s="15"/>
      <c r="AR27" s="15"/>
      <c r="AS27" s="15"/>
      <c r="AT27" s="15"/>
      <c r="AU27" s="15"/>
      <c r="AV27" s="15"/>
      <c r="AW27" s="15"/>
      <c r="AX27" s="15"/>
      <c r="AY27" s="15"/>
      <c r="AZ27" s="15"/>
      <c r="BA27" s="15"/>
      <c r="BB27" s="15"/>
      <c r="BC27" s="15"/>
      <c r="BD27" s="15"/>
    </row>
    <row r="28" spans="2:56" ht="18.649999999999999" customHeight="1" x14ac:dyDescent="0.25">
      <c r="B28" s="70" t="s">
        <v>37</v>
      </c>
      <c r="C28" s="4" t="s">
        <v>30</v>
      </c>
      <c r="D28" s="5">
        <v>5</v>
      </c>
      <c r="E28" s="11">
        <v>5000</v>
      </c>
      <c r="F28" s="11">
        <v>5000</v>
      </c>
      <c r="G28" s="11">
        <v>5000</v>
      </c>
      <c r="H28" s="11">
        <v>5000</v>
      </c>
      <c r="I28" s="11">
        <v>5000</v>
      </c>
      <c r="J28" s="11">
        <v>5000</v>
      </c>
      <c r="K28" s="11">
        <v>5000</v>
      </c>
      <c r="L28" s="11">
        <v>5000</v>
      </c>
      <c r="M28" s="11">
        <v>5000</v>
      </c>
      <c r="N28" s="11">
        <v>5000</v>
      </c>
      <c r="O28" s="11">
        <v>5000</v>
      </c>
      <c r="P28" s="11">
        <v>5000</v>
      </c>
      <c r="Q28" s="11">
        <v>5000</v>
      </c>
      <c r="R28" s="11">
        <v>5000</v>
      </c>
      <c r="S28" s="11">
        <v>5000</v>
      </c>
      <c r="T28" s="11">
        <v>5000</v>
      </c>
      <c r="U28" s="11">
        <v>5000</v>
      </c>
      <c r="V28" s="11">
        <v>5000</v>
      </c>
      <c r="W28" s="11">
        <v>5000</v>
      </c>
      <c r="X28" s="11">
        <v>5000</v>
      </c>
      <c r="Y28" s="11">
        <v>5000</v>
      </c>
      <c r="Z28" s="11">
        <v>5000</v>
      </c>
      <c r="AA28" s="11">
        <v>5000</v>
      </c>
      <c r="AB28" s="11">
        <v>5000</v>
      </c>
      <c r="AC28" s="77"/>
      <c r="AG28" s="15"/>
      <c r="AH28" s="15"/>
      <c r="AI28" s="15"/>
      <c r="AJ28" s="15"/>
      <c r="AK28" s="15"/>
      <c r="AL28" s="15"/>
      <c r="AM28" s="15"/>
      <c r="AN28" s="15"/>
      <c r="AO28" s="15"/>
      <c r="AP28" s="15"/>
      <c r="AQ28" s="15"/>
      <c r="AR28" s="15"/>
      <c r="AS28" s="15"/>
      <c r="AT28" s="15"/>
      <c r="AU28" s="15"/>
      <c r="AV28" s="15"/>
      <c r="AW28" s="15"/>
      <c r="AX28" s="15"/>
      <c r="AY28" s="15"/>
      <c r="AZ28" s="15"/>
      <c r="BA28" s="15"/>
      <c r="BB28" s="15"/>
      <c r="BC28" s="15"/>
      <c r="BD28" s="15"/>
    </row>
    <row r="29" spans="2:56" ht="18.649999999999999" customHeight="1" x14ac:dyDescent="0.25">
      <c r="B29" s="70" t="s">
        <v>37</v>
      </c>
      <c r="C29" s="4" t="s">
        <v>31</v>
      </c>
      <c r="D29" s="5">
        <v>5</v>
      </c>
      <c r="E29" s="11">
        <v>5000</v>
      </c>
      <c r="F29" s="11">
        <v>5000</v>
      </c>
      <c r="G29" s="11">
        <v>5000</v>
      </c>
      <c r="H29" s="11">
        <v>5000</v>
      </c>
      <c r="I29" s="11">
        <v>5000</v>
      </c>
      <c r="J29" s="11">
        <v>5000</v>
      </c>
      <c r="K29" s="11">
        <v>5000</v>
      </c>
      <c r="L29" s="11">
        <v>5000</v>
      </c>
      <c r="M29" s="11">
        <v>5000</v>
      </c>
      <c r="N29" s="11">
        <v>5000</v>
      </c>
      <c r="O29" s="11">
        <v>5000</v>
      </c>
      <c r="P29" s="11">
        <v>5000</v>
      </c>
      <c r="Q29" s="11">
        <v>5000</v>
      </c>
      <c r="R29" s="11">
        <v>5000</v>
      </c>
      <c r="S29" s="11">
        <v>5000</v>
      </c>
      <c r="T29" s="11">
        <v>5000</v>
      </c>
      <c r="U29" s="11">
        <v>5000</v>
      </c>
      <c r="V29" s="11">
        <v>5000</v>
      </c>
      <c r="W29" s="11">
        <v>5000</v>
      </c>
      <c r="X29" s="11">
        <v>5000</v>
      </c>
      <c r="Y29" s="11">
        <v>5000</v>
      </c>
      <c r="Z29" s="11">
        <v>5000</v>
      </c>
      <c r="AA29" s="11">
        <v>5000</v>
      </c>
      <c r="AB29" s="11">
        <v>5000</v>
      </c>
      <c r="AC29" s="77"/>
      <c r="AG29" s="15"/>
      <c r="AH29" s="15"/>
      <c r="AI29" s="15"/>
      <c r="AJ29" s="15"/>
      <c r="AK29" s="15"/>
      <c r="AL29" s="15"/>
      <c r="AM29" s="15"/>
      <c r="AN29" s="15"/>
      <c r="AO29" s="15"/>
      <c r="AP29" s="15"/>
      <c r="AQ29" s="15"/>
      <c r="AR29" s="15"/>
      <c r="AS29" s="15"/>
      <c r="AT29" s="15"/>
      <c r="AU29" s="15"/>
      <c r="AV29" s="15"/>
      <c r="AW29" s="15"/>
      <c r="AX29" s="15"/>
      <c r="AY29" s="15"/>
      <c r="AZ29" s="15"/>
      <c r="BA29" s="15"/>
      <c r="BB29" s="15"/>
      <c r="BC29" s="15"/>
      <c r="BD29" s="15"/>
    </row>
    <row r="30" spans="2:56" ht="18.649999999999999" customHeight="1" x14ac:dyDescent="0.25">
      <c r="B30" s="70" t="s">
        <v>37</v>
      </c>
      <c r="C30" s="4" t="s">
        <v>32</v>
      </c>
      <c r="D30" s="5">
        <v>2</v>
      </c>
      <c r="E30" s="11">
        <v>5000</v>
      </c>
      <c r="F30" s="11">
        <v>5000</v>
      </c>
      <c r="G30" s="11">
        <v>5000</v>
      </c>
      <c r="H30" s="11">
        <v>5000</v>
      </c>
      <c r="I30" s="11">
        <v>5000</v>
      </c>
      <c r="J30" s="11">
        <v>5000</v>
      </c>
      <c r="K30" s="11">
        <v>5000</v>
      </c>
      <c r="L30" s="11">
        <v>5000</v>
      </c>
      <c r="M30" s="11">
        <v>5000</v>
      </c>
      <c r="N30" s="11">
        <v>5000</v>
      </c>
      <c r="O30" s="11">
        <v>5000</v>
      </c>
      <c r="P30" s="11">
        <v>5000</v>
      </c>
      <c r="Q30" s="11">
        <v>5000</v>
      </c>
      <c r="R30" s="11">
        <v>5000</v>
      </c>
      <c r="S30" s="11">
        <v>5000</v>
      </c>
      <c r="T30" s="11">
        <v>5000</v>
      </c>
      <c r="U30" s="11">
        <v>5000</v>
      </c>
      <c r="V30" s="11">
        <v>5000</v>
      </c>
      <c r="W30" s="11">
        <v>5000</v>
      </c>
      <c r="X30" s="11">
        <v>5000</v>
      </c>
      <c r="Y30" s="11">
        <v>5000</v>
      </c>
      <c r="Z30" s="11">
        <v>5000</v>
      </c>
      <c r="AA30" s="11">
        <v>5000</v>
      </c>
      <c r="AB30" s="11">
        <v>5000</v>
      </c>
      <c r="AC30" s="78"/>
      <c r="AG30" s="15"/>
      <c r="AH30" s="15"/>
      <c r="AI30" s="15"/>
      <c r="AJ30" s="15"/>
      <c r="AK30" s="15"/>
      <c r="AL30" s="15"/>
      <c r="AM30" s="15"/>
      <c r="AN30" s="15"/>
      <c r="AO30" s="15"/>
      <c r="AP30" s="15"/>
      <c r="AQ30" s="15"/>
      <c r="AR30" s="15"/>
      <c r="AS30" s="15"/>
      <c r="AT30" s="15"/>
      <c r="AU30" s="15"/>
      <c r="AV30" s="15"/>
      <c r="AW30" s="15"/>
      <c r="AX30" s="15"/>
      <c r="AY30" s="15"/>
      <c r="AZ30" s="15"/>
      <c r="BA30" s="15"/>
      <c r="BB30" s="15"/>
      <c r="BC30" s="15"/>
      <c r="BD30" s="15"/>
    </row>
    <row r="31" spans="2:56" ht="18.649999999999999" customHeight="1" x14ac:dyDescent="0.25">
      <c r="B31" s="70" t="s">
        <v>38</v>
      </c>
      <c r="C31" s="4" t="s">
        <v>29</v>
      </c>
      <c r="D31" s="5">
        <v>22</v>
      </c>
      <c r="E31" s="11">
        <v>5000</v>
      </c>
      <c r="F31" s="11">
        <v>5000</v>
      </c>
      <c r="G31" s="11">
        <v>5000</v>
      </c>
      <c r="H31" s="11">
        <v>5000</v>
      </c>
      <c r="I31" s="11">
        <v>5000</v>
      </c>
      <c r="J31" s="11">
        <v>5000</v>
      </c>
      <c r="K31" s="11">
        <v>5000</v>
      </c>
      <c r="L31" s="11">
        <v>5000</v>
      </c>
      <c r="M31" s="11">
        <v>5000</v>
      </c>
      <c r="N31" s="11">
        <v>5000</v>
      </c>
      <c r="O31" s="11">
        <v>5000</v>
      </c>
      <c r="P31" s="11">
        <v>5000</v>
      </c>
      <c r="Q31" s="11">
        <v>5000</v>
      </c>
      <c r="R31" s="11">
        <v>5000</v>
      </c>
      <c r="S31" s="11">
        <v>5000</v>
      </c>
      <c r="T31" s="11">
        <v>5000</v>
      </c>
      <c r="U31" s="11">
        <v>5000</v>
      </c>
      <c r="V31" s="11">
        <v>5000</v>
      </c>
      <c r="W31" s="11">
        <v>5000</v>
      </c>
      <c r="X31" s="11">
        <v>5000</v>
      </c>
      <c r="Y31" s="11">
        <v>5000</v>
      </c>
      <c r="Z31" s="11">
        <v>5000</v>
      </c>
      <c r="AA31" s="11">
        <v>5000</v>
      </c>
      <c r="AB31" s="11">
        <v>5000</v>
      </c>
      <c r="AC31" s="76">
        <f>+SUM(E31:AB31)*D31+SUM(E32:AB32)*D32+SUM(E33:AB33)*D33+SUM(E34:AB34)*D34</f>
        <v>3720000</v>
      </c>
      <c r="AG31" s="15"/>
      <c r="AH31" s="15"/>
      <c r="AI31" s="15"/>
      <c r="AJ31" s="15"/>
      <c r="AK31" s="15"/>
      <c r="AL31" s="15"/>
      <c r="AM31" s="15"/>
      <c r="AN31" s="15"/>
      <c r="AO31" s="15"/>
      <c r="AP31" s="15"/>
      <c r="AQ31" s="15"/>
      <c r="AR31" s="15"/>
      <c r="AS31" s="15"/>
      <c r="AT31" s="15"/>
      <c r="AU31" s="15"/>
      <c r="AV31" s="15"/>
      <c r="AW31" s="15"/>
      <c r="AX31" s="15"/>
      <c r="AY31" s="15"/>
      <c r="AZ31" s="15"/>
      <c r="BA31" s="15"/>
      <c r="BB31" s="15"/>
      <c r="BC31" s="15"/>
      <c r="BD31" s="15"/>
    </row>
    <row r="32" spans="2:56" ht="18.649999999999999" customHeight="1" x14ac:dyDescent="0.25">
      <c r="B32" s="70" t="s">
        <v>38</v>
      </c>
      <c r="C32" s="4" t="s">
        <v>30</v>
      </c>
      <c r="D32" s="5">
        <v>3</v>
      </c>
      <c r="E32" s="11">
        <v>5000</v>
      </c>
      <c r="F32" s="11">
        <v>5000</v>
      </c>
      <c r="G32" s="11">
        <v>5000</v>
      </c>
      <c r="H32" s="11">
        <v>5000</v>
      </c>
      <c r="I32" s="11">
        <v>5000</v>
      </c>
      <c r="J32" s="11">
        <v>5000</v>
      </c>
      <c r="K32" s="11">
        <v>5000</v>
      </c>
      <c r="L32" s="11">
        <v>5000</v>
      </c>
      <c r="M32" s="11">
        <v>5000</v>
      </c>
      <c r="N32" s="11">
        <v>5000</v>
      </c>
      <c r="O32" s="11">
        <v>5000</v>
      </c>
      <c r="P32" s="11">
        <v>5000</v>
      </c>
      <c r="Q32" s="11">
        <v>5000</v>
      </c>
      <c r="R32" s="11">
        <v>5000</v>
      </c>
      <c r="S32" s="11">
        <v>5000</v>
      </c>
      <c r="T32" s="11">
        <v>5000</v>
      </c>
      <c r="U32" s="11">
        <v>5000</v>
      </c>
      <c r="V32" s="11">
        <v>5000</v>
      </c>
      <c r="W32" s="11">
        <v>5000</v>
      </c>
      <c r="X32" s="11">
        <v>5000</v>
      </c>
      <c r="Y32" s="11">
        <v>5000</v>
      </c>
      <c r="Z32" s="11">
        <v>5000</v>
      </c>
      <c r="AA32" s="11">
        <v>5000</v>
      </c>
      <c r="AB32" s="11">
        <v>5000</v>
      </c>
      <c r="AC32" s="77"/>
      <c r="AG32" s="15"/>
      <c r="AH32" s="15"/>
      <c r="AI32" s="15"/>
      <c r="AJ32" s="15"/>
      <c r="AK32" s="15"/>
      <c r="AL32" s="15"/>
      <c r="AM32" s="15"/>
      <c r="AN32" s="15"/>
      <c r="AO32" s="15"/>
      <c r="AP32" s="15"/>
      <c r="AQ32" s="15"/>
      <c r="AR32" s="15"/>
      <c r="AS32" s="15"/>
      <c r="AT32" s="15"/>
      <c r="AU32" s="15"/>
      <c r="AV32" s="15"/>
      <c r="AW32" s="15"/>
      <c r="AX32" s="15"/>
      <c r="AY32" s="15"/>
      <c r="AZ32" s="15"/>
      <c r="BA32" s="15"/>
      <c r="BB32" s="15"/>
      <c r="BC32" s="15"/>
      <c r="BD32" s="15"/>
    </row>
    <row r="33" spans="2:56" ht="18.649999999999999" customHeight="1" x14ac:dyDescent="0.25">
      <c r="B33" s="70" t="s">
        <v>38</v>
      </c>
      <c r="C33" s="4" t="s">
        <v>31</v>
      </c>
      <c r="D33" s="5">
        <v>4</v>
      </c>
      <c r="E33" s="11">
        <v>5000</v>
      </c>
      <c r="F33" s="11">
        <v>5000</v>
      </c>
      <c r="G33" s="11">
        <v>5000</v>
      </c>
      <c r="H33" s="11">
        <v>5000</v>
      </c>
      <c r="I33" s="11">
        <v>5000</v>
      </c>
      <c r="J33" s="11">
        <v>5000</v>
      </c>
      <c r="K33" s="11">
        <v>5000</v>
      </c>
      <c r="L33" s="11">
        <v>5000</v>
      </c>
      <c r="M33" s="11">
        <v>5000</v>
      </c>
      <c r="N33" s="11">
        <v>5000</v>
      </c>
      <c r="O33" s="11">
        <v>5000</v>
      </c>
      <c r="P33" s="11">
        <v>5000</v>
      </c>
      <c r="Q33" s="11">
        <v>5000</v>
      </c>
      <c r="R33" s="11">
        <v>5000</v>
      </c>
      <c r="S33" s="11">
        <v>5000</v>
      </c>
      <c r="T33" s="11">
        <v>5000</v>
      </c>
      <c r="U33" s="11">
        <v>5000</v>
      </c>
      <c r="V33" s="11">
        <v>5000</v>
      </c>
      <c r="W33" s="11">
        <v>5000</v>
      </c>
      <c r="X33" s="11">
        <v>5000</v>
      </c>
      <c r="Y33" s="11">
        <v>5000</v>
      </c>
      <c r="Z33" s="11">
        <v>5000</v>
      </c>
      <c r="AA33" s="11">
        <v>5000</v>
      </c>
      <c r="AB33" s="11">
        <v>5000</v>
      </c>
      <c r="AC33" s="77"/>
      <c r="AG33" s="15"/>
      <c r="AH33" s="15"/>
      <c r="AI33" s="15"/>
      <c r="AJ33" s="15"/>
      <c r="AK33" s="15"/>
      <c r="AL33" s="15"/>
      <c r="AM33" s="15"/>
      <c r="AN33" s="15"/>
      <c r="AO33" s="15"/>
      <c r="AP33" s="15"/>
      <c r="AQ33" s="15"/>
      <c r="AR33" s="15"/>
      <c r="AS33" s="15"/>
      <c r="AT33" s="15"/>
      <c r="AU33" s="15"/>
      <c r="AV33" s="15"/>
      <c r="AW33" s="15"/>
      <c r="AX33" s="15"/>
      <c r="AY33" s="15"/>
      <c r="AZ33" s="15"/>
      <c r="BA33" s="15"/>
      <c r="BB33" s="15"/>
      <c r="BC33" s="15"/>
      <c r="BD33" s="15"/>
    </row>
    <row r="34" spans="2:56" ht="18.649999999999999" customHeight="1" x14ac:dyDescent="0.25">
      <c r="B34" s="70" t="s">
        <v>38</v>
      </c>
      <c r="C34" s="4" t="s">
        <v>32</v>
      </c>
      <c r="D34" s="5">
        <v>2</v>
      </c>
      <c r="E34" s="11">
        <v>5000</v>
      </c>
      <c r="F34" s="11">
        <v>5000</v>
      </c>
      <c r="G34" s="11">
        <v>5000</v>
      </c>
      <c r="H34" s="11">
        <v>5000</v>
      </c>
      <c r="I34" s="11">
        <v>5000</v>
      </c>
      <c r="J34" s="11">
        <v>5000</v>
      </c>
      <c r="K34" s="11">
        <v>5000</v>
      </c>
      <c r="L34" s="11">
        <v>5000</v>
      </c>
      <c r="M34" s="11">
        <v>5000</v>
      </c>
      <c r="N34" s="11">
        <v>5000</v>
      </c>
      <c r="O34" s="11">
        <v>5000</v>
      </c>
      <c r="P34" s="11">
        <v>5000</v>
      </c>
      <c r="Q34" s="11">
        <v>5000</v>
      </c>
      <c r="R34" s="11">
        <v>5000</v>
      </c>
      <c r="S34" s="11">
        <v>5000</v>
      </c>
      <c r="T34" s="11">
        <v>5000</v>
      </c>
      <c r="U34" s="11">
        <v>5000</v>
      </c>
      <c r="V34" s="11">
        <v>5000</v>
      </c>
      <c r="W34" s="11">
        <v>5000</v>
      </c>
      <c r="X34" s="11">
        <v>5000</v>
      </c>
      <c r="Y34" s="11">
        <v>5000</v>
      </c>
      <c r="Z34" s="11">
        <v>5000</v>
      </c>
      <c r="AA34" s="11">
        <v>5000</v>
      </c>
      <c r="AB34" s="11">
        <v>5000</v>
      </c>
      <c r="AC34" s="78"/>
      <c r="AG34" s="15"/>
      <c r="AH34" s="15"/>
      <c r="AI34" s="15"/>
      <c r="AJ34" s="15"/>
      <c r="AK34" s="15"/>
      <c r="AL34" s="15"/>
      <c r="AM34" s="15"/>
      <c r="AN34" s="15"/>
      <c r="AO34" s="15"/>
      <c r="AP34" s="15"/>
      <c r="AQ34" s="15"/>
      <c r="AR34" s="15"/>
      <c r="AS34" s="15"/>
      <c r="AT34" s="15"/>
      <c r="AU34" s="15"/>
      <c r="AV34" s="15"/>
      <c r="AW34" s="15"/>
      <c r="AX34" s="15"/>
      <c r="AY34" s="15"/>
      <c r="AZ34" s="15"/>
      <c r="BA34" s="15"/>
      <c r="BB34" s="15"/>
      <c r="BC34" s="15"/>
      <c r="BD34" s="15"/>
    </row>
    <row r="35" spans="2:56" ht="18.649999999999999" customHeight="1" x14ac:dyDescent="0.25">
      <c r="B35" s="70" t="s">
        <v>39</v>
      </c>
      <c r="C35" s="4" t="s">
        <v>29</v>
      </c>
      <c r="D35" s="5">
        <v>20</v>
      </c>
      <c r="E35" s="11">
        <v>5000</v>
      </c>
      <c r="F35" s="11">
        <v>5000</v>
      </c>
      <c r="G35" s="11">
        <v>5000</v>
      </c>
      <c r="H35" s="11">
        <v>5000</v>
      </c>
      <c r="I35" s="11">
        <v>5000</v>
      </c>
      <c r="J35" s="11">
        <v>5000</v>
      </c>
      <c r="K35" s="11">
        <v>5000</v>
      </c>
      <c r="L35" s="11">
        <v>5000</v>
      </c>
      <c r="M35" s="11">
        <v>5000</v>
      </c>
      <c r="N35" s="11">
        <v>5000</v>
      </c>
      <c r="O35" s="11">
        <v>5000</v>
      </c>
      <c r="P35" s="11">
        <v>5000</v>
      </c>
      <c r="Q35" s="11">
        <v>5000</v>
      </c>
      <c r="R35" s="11">
        <v>5000</v>
      </c>
      <c r="S35" s="11">
        <v>5000</v>
      </c>
      <c r="T35" s="11">
        <v>5000</v>
      </c>
      <c r="U35" s="11">
        <v>5000</v>
      </c>
      <c r="V35" s="11">
        <v>5000</v>
      </c>
      <c r="W35" s="11">
        <v>5000</v>
      </c>
      <c r="X35" s="11">
        <v>5000</v>
      </c>
      <c r="Y35" s="11">
        <v>5000</v>
      </c>
      <c r="Z35" s="11">
        <v>5000</v>
      </c>
      <c r="AA35" s="11">
        <v>5000</v>
      </c>
      <c r="AB35" s="11">
        <v>5000</v>
      </c>
      <c r="AC35" s="76">
        <f>+SUM(E35:AB35)*D35+SUM(E36:AB36)*D36+SUM(E37:AB37)*D37+SUM(E38:AB38)*D38</f>
        <v>3720000</v>
      </c>
      <c r="AG35" s="15"/>
      <c r="AH35" s="15"/>
      <c r="AI35" s="15"/>
      <c r="AJ35" s="15"/>
      <c r="AK35" s="15"/>
      <c r="AL35" s="15"/>
      <c r="AM35" s="15"/>
      <c r="AN35" s="15"/>
      <c r="AO35" s="15"/>
      <c r="AP35" s="15"/>
      <c r="AQ35" s="15"/>
      <c r="AR35" s="15"/>
      <c r="AS35" s="15"/>
      <c r="AT35" s="15"/>
      <c r="AU35" s="15"/>
      <c r="AV35" s="15"/>
      <c r="AW35" s="15"/>
      <c r="AX35" s="15"/>
      <c r="AY35" s="15"/>
      <c r="AZ35" s="15"/>
      <c r="BA35" s="15"/>
      <c r="BB35" s="15"/>
      <c r="BC35" s="15"/>
      <c r="BD35" s="15"/>
    </row>
    <row r="36" spans="2:56" ht="18.649999999999999" customHeight="1" x14ac:dyDescent="0.25">
      <c r="B36" s="70" t="s">
        <v>39</v>
      </c>
      <c r="C36" s="4" t="s">
        <v>30</v>
      </c>
      <c r="D36" s="5">
        <v>5</v>
      </c>
      <c r="E36" s="11">
        <v>5000</v>
      </c>
      <c r="F36" s="11">
        <v>5000</v>
      </c>
      <c r="G36" s="11">
        <v>5000</v>
      </c>
      <c r="H36" s="11">
        <v>5000</v>
      </c>
      <c r="I36" s="11">
        <v>5000</v>
      </c>
      <c r="J36" s="11">
        <v>5000</v>
      </c>
      <c r="K36" s="11">
        <v>5000</v>
      </c>
      <c r="L36" s="11">
        <v>5000</v>
      </c>
      <c r="M36" s="11">
        <v>5000</v>
      </c>
      <c r="N36" s="11">
        <v>5000</v>
      </c>
      <c r="O36" s="11">
        <v>5000</v>
      </c>
      <c r="P36" s="11">
        <v>5000</v>
      </c>
      <c r="Q36" s="11">
        <v>5000</v>
      </c>
      <c r="R36" s="11">
        <v>5000</v>
      </c>
      <c r="S36" s="11">
        <v>5000</v>
      </c>
      <c r="T36" s="11">
        <v>5000</v>
      </c>
      <c r="U36" s="11">
        <v>5000</v>
      </c>
      <c r="V36" s="11">
        <v>5000</v>
      </c>
      <c r="W36" s="11">
        <v>5000</v>
      </c>
      <c r="X36" s="11">
        <v>5000</v>
      </c>
      <c r="Y36" s="11">
        <v>5000</v>
      </c>
      <c r="Z36" s="11">
        <v>5000</v>
      </c>
      <c r="AA36" s="11">
        <v>5000</v>
      </c>
      <c r="AB36" s="11">
        <v>5000</v>
      </c>
      <c r="AC36" s="77"/>
      <c r="AG36" s="15"/>
      <c r="AH36" s="15"/>
      <c r="AI36" s="15"/>
      <c r="AJ36" s="15"/>
      <c r="AK36" s="15"/>
      <c r="AL36" s="15"/>
      <c r="AM36" s="15"/>
      <c r="AN36" s="15"/>
      <c r="AO36" s="15"/>
      <c r="AP36" s="15"/>
      <c r="AQ36" s="15"/>
      <c r="AR36" s="15"/>
      <c r="AS36" s="15"/>
      <c r="AT36" s="15"/>
      <c r="AU36" s="15"/>
      <c r="AV36" s="15"/>
      <c r="AW36" s="15"/>
      <c r="AX36" s="15"/>
      <c r="AY36" s="15"/>
      <c r="AZ36" s="15"/>
      <c r="BA36" s="15"/>
      <c r="BB36" s="15"/>
      <c r="BC36" s="15"/>
      <c r="BD36" s="15"/>
    </row>
    <row r="37" spans="2:56" ht="18.649999999999999" customHeight="1" x14ac:dyDescent="0.25">
      <c r="B37" s="70" t="s">
        <v>39</v>
      </c>
      <c r="C37" s="4" t="s">
        <v>31</v>
      </c>
      <c r="D37" s="5">
        <v>4</v>
      </c>
      <c r="E37" s="11">
        <v>5000</v>
      </c>
      <c r="F37" s="11">
        <v>5000</v>
      </c>
      <c r="G37" s="11">
        <v>5000</v>
      </c>
      <c r="H37" s="11">
        <v>5000</v>
      </c>
      <c r="I37" s="11">
        <v>5000</v>
      </c>
      <c r="J37" s="11">
        <v>5000</v>
      </c>
      <c r="K37" s="11">
        <v>5000</v>
      </c>
      <c r="L37" s="11">
        <v>5000</v>
      </c>
      <c r="M37" s="11">
        <v>5000</v>
      </c>
      <c r="N37" s="11">
        <v>5000</v>
      </c>
      <c r="O37" s="11">
        <v>5000</v>
      </c>
      <c r="P37" s="11">
        <v>5000</v>
      </c>
      <c r="Q37" s="11">
        <v>5000</v>
      </c>
      <c r="R37" s="11">
        <v>5000</v>
      </c>
      <c r="S37" s="11">
        <v>5000</v>
      </c>
      <c r="T37" s="11">
        <v>5000</v>
      </c>
      <c r="U37" s="11">
        <v>5000</v>
      </c>
      <c r="V37" s="11">
        <v>5000</v>
      </c>
      <c r="W37" s="11">
        <v>5000</v>
      </c>
      <c r="X37" s="11">
        <v>5000</v>
      </c>
      <c r="Y37" s="11">
        <v>5000</v>
      </c>
      <c r="Z37" s="11">
        <v>5000</v>
      </c>
      <c r="AA37" s="11">
        <v>5000</v>
      </c>
      <c r="AB37" s="11">
        <v>5000</v>
      </c>
      <c r="AC37" s="77"/>
      <c r="AG37" s="15"/>
      <c r="AH37" s="15"/>
      <c r="AI37" s="15"/>
      <c r="AJ37" s="15"/>
      <c r="AK37" s="15"/>
      <c r="AL37" s="15"/>
      <c r="AM37" s="15"/>
      <c r="AN37" s="15"/>
      <c r="AO37" s="15"/>
      <c r="AP37" s="15"/>
      <c r="AQ37" s="15"/>
      <c r="AR37" s="15"/>
      <c r="AS37" s="15"/>
      <c r="AT37" s="15"/>
      <c r="AU37" s="15"/>
      <c r="AV37" s="15"/>
      <c r="AW37" s="15"/>
      <c r="AX37" s="15"/>
      <c r="AY37" s="15"/>
      <c r="AZ37" s="15"/>
      <c r="BA37" s="15"/>
      <c r="BB37" s="15"/>
      <c r="BC37" s="15"/>
      <c r="BD37" s="15"/>
    </row>
    <row r="38" spans="2:56" ht="18.649999999999999" customHeight="1" x14ac:dyDescent="0.25">
      <c r="B38" s="70" t="s">
        <v>39</v>
      </c>
      <c r="C38" s="4" t="s">
        <v>32</v>
      </c>
      <c r="D38" s="5">
        <v>2</v>
      </c>
      <c r="E38" s="11">
        <v>5000</v>
      </c>
      <c r="F38" s="11">
        <v>5000</v>
      </c>
      <c r="G38" s="11">
        <v>5000</v>
      </c>
      <c r="H38" s="11">
        <v>5000</v>
      </c>
      <c r="I38" s="11">
        <v>5000</v>
      </c>
      <c r="J38" s="11">
        <v>5000</v>
      </c>
      <c r="K38" s="11">
        <v>5000</v>
      </c>
      <c r="L38" s="11">
        <v>5000</v>
      </c>
      <c r="M38" s="11">
        <v>5000</v>
      </c>
      <c r="N38" s="11">
        <v>5000</v>
      </c>
      <c r="O38" s="11">
        <v>5000</v>
      </c>
      <c r="P38" s="11">
        <v>5000</v>
      </c>
      <c r="Q38" s="11">
        <v>5000</v>
      </c>
      <c r="R38" s="11">
        <v>5000</v>
      </c>
      <c r="S38" s="11">
        <v>5000</v>
      </c>
      <c r="T38" s="11">
        <v>5000</v>
      </c>
      <c r="U38" s="11">
        <v>5000</v>
      </c>
      <c r="V38" s="11">
        <v>5000</v>
      </c>
      <c r="W38" s="11">
        <v>5000</v>
      </c>
      <c r="X38" s="11">
        <v>5000</v>
      </c>
      <c r="Y38" s="11">
        <v>5000</v>
      </c>
      <c r="Z38" s="11">
        <v>5000</v>
      </c>
      <c r="AA38" s="11">
        <v>5000</v>
      </c>
      <c r="AB38" s="11">
        <v>5000</v>
      </c>
      <c r="AC38" s="78"/>
      <c r="AG38" s="15"/>
      <c r="AH38" s="15"/>
      <c r="AI38" s="15"/>
      <c r="AJ38" s="15"/>
      <c r="AK38" s="15"/>
      <c r="AL38" s="15"/>
      <c r="AM38" s="15"/>
      <c r="AN38" s="15"/>
      <c r="AO38" s="15"/>
      <c r="AP38" s="15"/>
      <c r="AQ38" s="15"/>
      <c r="AR38" s="15"/>
      <c r="AS38" s="15"/>
      <c r="AT38" s="15"/>
      <c r="AU38" s="15"/>
      <c r="AV38" s="15"/>
      <c r="AW38" s="15"/>
      <c r="AX38" s="15"/>
      <c r="AY38" s="15"/>
      <c r="AZ38" s="15"/>
      <c r="BA38" s="15"/>
      <c r="BB38" s="15"/>
      <c r="BC38" s="15"/>
      <c r="BD38" s="15"/>
    </row>
    <row r="39" spans="2:56" ht="18.649999999999999" customHeight="1" x14ac:dyDescent="0.25">
      <c r="B39" s="70" t="s">
        <v>40</v>
      </c>
      <c r="C39" s="4" t="s">
        <v>29</v>
      </c>
      <c r="D39" s="5">
        <v>21</v>
      </c>
      <c r="E39" s="11">
        <v>5000</v>
      </c>
      <c r="F39" s="11">
        <v>5000</v>
      </c>
      <c r="G39" s="11">
        <v>5000</v>
      </c>
      <c r="H39" s="11">
        <v>5000</v>
      </c>
      <c r="I39" s="11">
        <v>5000</v>
      </c>
      <c r="J39" s="11">
        <v>5000</v>
      </c>
      <c r="K39" s="11">
        <v>5000</v>
      </c>
      <c r="L39" s="11">
        <v>5000</v>
      </c>
      <c r="M39" s="11">
        <v>5000</v>
      </c>
      <c r="N39" s="11">
        <v>5000</v>
      </c>
      <c r="O39" s="11">
        <v>5000</v>
      </c>
      <c r="P39" s="11">
        <v>5000</v>
      </c>
      <c r="Q39" s="11">
        <v>5000</v>
      </c>
      <c r="R39" s="11">
        <v>5000</v>
      </c>
      <c r="S39" s="11">
        <v>5000</v>
      </c>
      <c r="T39" s="11">
        <v>5000</v>
      </c>
      <c r="U39" s="11">
        <v>5000</v>
      </c>
      <c r="V39" s="11">
        <v>5000</v>
      </c>
      <c r="W39" s="11">
        <v>5000</v>
      </c>
      <c r="X39" s="11">
        <v>5000</v>
      </c>
      <c r="Y39" s="11">
        <v>5000</v>
      </c>
      <c r="Z39" s="11">
        <v>5000</v>
      </c>
      <c r="AA39" s="11">
        <v>5000</v>
      </c>
      <c r="AB39" s="11">
        <v>5000</v>
      </c>
      <c r="AC39" s="76">
        <f>+SUM(E39:AB39)*D39+SUM(E40:AB40)*D40+SUM(E41:AB41)*D41+SUM(E42:AB42)*D42</f>
        <v>3600000</v>
      </c>
      <c r="AG39" s="15"/>
      <c r="AH39" s="15"/>
      <c r="AI39" s="15"/>
      <c r="AJ39" s="15"/>
      <c r="AK39" s="15"/>
      <c r="AL39" s="15"/>
      <c r="AM39" s="15"/>
      <c r="AN39" s="15"/>
      <c r="AO39" s="15"/>
      <c r="AP39" s="15"/>
      <c r="AQ39" s="15"/>
      <c r="AR39" s="15"/>
      <c r="AS39" s="15"/>
      <c r="AT39" s="15"/>
      <c r="AU39" s="15"/>
      <c r="AV39" s="15"/>
      <c r="AW39" s="15"/>
      <c r="AX39" s="15"/>
      <c r="AY39" s="15"/>
      <c r="AZ39" s="15"/>
      <c r="BA39" s="15"/>
      <c r="BB39" s="15"/>
      <c r="BC39" s="15"/>
      <c r="BD39" s="15"/>
    </row>
    <row r="40" spans="2:56" ht="18.649999999999999" customHeight="1" x14ac:dyDescent="0.25">
      <c r="B40" s="70" t="s">
        <v>40</v>
      </c>
      <c r="C40" s="4" t="s">
        <v>30</v>
      </c>
      <c r="D40" s="5">
        <v>4</v>
      </c>
      <c r="E40" s="11">
        <v>5000</v>
      </c>
      <c r="F40" s="11">
        <v>5000</v>
      </c>
      <c r="G40" s="11">
        <v>5000</v>
      </c>
      <c r="H40" s="11">
        <v>5000</v>
      </c>
      <c r="I40" s="11">
        <v>5000</v>
      </c>
      <c r="J40" s="11">
        <v>5000</v>
      </c>
      <c r="K40" s="11">
        <v>5000</v>
      </c>
      <c r="L40" s="11">
        <v>5000</v>
      </c>
      <c r="M40" s="11">
        <v>5000</v>
      </c>
      <c r="N40" s="11">
        <v>5000</v>
      </c>
      <c r="O40" s="11">
        <v>5000</v>
      </c>
      <c r="P40" s="11">
        <v>5000</v>
      </c>
      <c r="Q40" s="11">
        <v>5000</v>
      </c>
      <c r="R40" s="11">
        <v>5000</v>
      </c>
      <c r="S40" s="11">
        <v>5000</v>
      </c>
      <c r="T40" s="11">
        <v>5000</v>
      </c>
      <c r="U40" s="11">
        <v>5000</v>
      </c>
      <c r="V40" s="11">
        <v>5000</v>
      </c>
      <c r="W40" s="11">
        <v>5000</v>
      </c>
      <c r="X40" s="11">
        <v>5000</v>
      </c>
      <c r="Y40" s="11">
        <v>5000</v>
      </c>
      <c r="Z40" s="11">
        <v>5000</v>
      </c>
      <c r="AA40" s="11">
        <v>5000</v>
      </c>
      <c r="AB40" s="11">
        <v>5000</v>
      </c>
      <c r="AC40" s="77"/>
      <c r="AG40" s="15"/>
      <c r="AH40" s="15"/>
      <c r="AI40" s="15"/>
      <c r="AJ40" s="15"/>
      <c r="AK40" s="15"/>
      <c r="AL40" s="15"/>
      <c r="AM40" s="15"/>
      <c r="AN40" s="15"/>
      <c r="AO40" s="15"/>
      <c r="AP40" s="15"/>
      <c r="AQ40" s="15"/>
      <c r="AR40" s="15"/>
      <c r="AS40" s="15"/>
      <c r="AT40" s="15"/>
      <c r="AU40" s="15"/>
      <c r="AV40" s="15"/>
      <c r="AW40" s="15"/>
      <c r="AX40" s="15"/>
      <c r="AY40" s="15"/>
      <c r="AZ40" s="15"/>
      <c r="BA40" s="15"/>
      <c r="BB40" s="15"/>
      <c r="BC40" s="15"/>
      <c r="BD40" s="15"/>
    </row>
    <row r="41" spans="2:56" ht="18.649999999999999" customHeight="1" x14ac:dyDescent="0.25">
      <c r="B41" s="70" t="s">
        <v>40</v>
      </c>
      <c r="C41" s="4" t="s">
        <v>31</v>
      </c>
      <c r="D41" s="5">
        <v>5</v>
      </c>
      <c r="E41" s="11">
        <v>5000</v>
      </c>
      <c r="F41" s="11">
        <v>5000</v>
      </c>
      <c r="G41" s="11">
        <v>5000</v>
      </c>
      <c r="H41" s="11">
        <v>5000</v>
      </c>
      <c r="I41" s="11">
        <v>5000</v>
      </c>
      <c r="J41" s="11">
        <v>5000</v>
      </c>
      <c r="K41" s="11">
        <v>5000</v>
      </c>
      <c r="L41" s="11">
        <v>5000</v>
      </c>
      <c r="M41" s="11">
        <v>5000</v>
      </c>
      <c r="N41" s="11">
        <v>5000</v>
      </c>
      <c r="O41" s="11">
        <v>5000</v>
      </c>
      <c r="P41" s="11">
        <v>5000</v>
      </c>
      <c r="Q41" s="11">
        <v>5000</v>
      </c>
      <c r="R41" s="11">
        <v>5000</v>
      </c>
      <c r="S41" s="11">
        <v>5000</v>
      </c>
      <c r="T41" s="11">
        <v>5000</v>
      </c>
      <c r="U41" s="11">
        <v>5000</v>
      </c>
      <c r="V41" s="11">
        <v>5000</v>
      </c>
      <c r="W41" s="11">
        <v>5000</v>
      </c>
      <c r="X41" s="11">
        <v>5000</v>
      </c>
      <c r="Y41" s="11">
        <v>5000</v>
      </c>
      <c r="Z41" s="11">
        <v>5000</v>
      </c>
      <c r="AA41" s="11">
        <v>5000</v>
      </c>
      <c r="AB41" s="11">
        <v>5000</v>
      </c>
      <c r="AC41" s="77"/>
      <c r="AG41" s="15"/>
      <c r="AH41" s="15"/>
      <c r="AI41" s="15"/>
      <c r="AJ41" s="15"/>
      <c r="AK41" s="15"/>
      <c r="AL41" s="15"/>
      <c r="AM41" s="15"/>
      <c r="AN41" s="15"/>
      <c r="AO41" s="15"/>
      <c r="AP41" s="15"/>
      <c r="AQ41" s="15"/>
      <c r="AR41" s="15"/>
      <c r="AS41" s="15"/>
      <c r="AT41" s="15"/>
      <c r="AU41" s="15"/>
      <c r="AV41" s="15"/>
      <c r="AW41" s="15"/>
      <c r="AX41" s="15"/>
      <c r="AY41" s="15"/>
      <c r="AZ41" s="15"/>
      <c r="BA41" s="15"/>
      <c r="BB41" s="15"/>
      <c r="BC41" s="15"/>
      <c r="BD41" s="15"/>
    </row>
    <row r="42" spans="2:56" ht="18.649999999999999" customHeight="1" x14ac:dyDescent="0.25">
      <c r="B42" s="70" t="s">
        <v>40</v>
      </c>
      <c r="C42" s="4" t="s">
        <v>32</v>
      </c>
      <c r="D42" s="5">
        <v>0</v>
      </c>
      <c r="E42" s="11"/>
      <c r="F42" s="11"/>
      <c r="G42" s="11"/>
      <c r="H42" s="11"/>
      <c r="I42" s="11"/>
      <c r="J42" s="11"/>
      <c r="K42" s="11"/>
      <c r="L42" s="11"/>
      <c r="M42" s="11"/>
      <c r="N42" s="11"/>
      <c r="O42" s="11"/>
      <c r="P42" s="11"/>
      <c r="Q42" s="11"/>
      <c r="R42" s="11"/>
      <c r="S42" s="11"/>
      <c r="T42" s="11"/>
      <c r="U42" s="11"/>
      <c r="V42" s="11"/>
      <c r="W42" s="11"/>
      <c r="X42" s="11"/>
      <c r="Y42" s="11"/>
      <c r="Z42" s="11"/>
      <c r="AA42" s="11"/>
      <c r="AB42" s="11"/>
      <c r="AC42" s="78"/>
      <c r="AG42" s="15"/>
      <c r="AH42" s="15"/>
      <c r="AI42" s="15"/>
      <c r="AJ42" s="15"/>
      <c r="AK42" s="15"/>
      <c r="AL42" s="15"/>
      <c r="AM42" s="15"/>
      <c r="AN42" s="15"/>
      <c r="AO42" s="15"/>
      <c r="AP42" s="15"/>
      <c r="AQ42" s="15"/>
      <c r="AR42" s="15"/>
      <c r="AS42" s="15"/>
      <c r="AT42" s="15"/>
      <c r="AU42" s="15"/>
      <c r="AV42" s="15"/>
      <c r="AW42" s="15"/>
      <c r="AX42" s="15"/>
      <c r="AY42" s="15"/>
      <c r="AZ42" s="15"/>
      <c r="BA42" s="15"/>
      <c r="BB42" s="15"/>
      <c r="BC42" s="15"/>
      <c r="BD42" s="15"/>
    </row>
    <row r="43" spans="2:56" ht="18.649999999999999" customHeight="1" x14ac:dyDescent="0.25">
      <c r="B43" s="70" t="s">
        <v>41</v>
      </c>
      <c r="C43" s="4" t="s">
        <v>29</v>
      </c>
      <c r="D43" s="5">
        <v>22</v>
      </c>
      <c r="E43" s="11">
        <v>5000</v>
      </c>
      <c r="F43" s="11">
        <v>5000</v>
      </c>
      <c r="G43" s="11">
        <v>5000</v>
      </c>
      <c r="H43" s="11">
        <v>5000</v>
      </c>
      <c r="I43" s="11">
        <v>5000</v>
      </c>
      <c r="J43" s="11">
        <v>5000</v>
      </c>
      <c r="K43" s="11">
        <v>5000</v>
      </c>
      <c r="L43" s="11">
        <v>5000</v>
      </c>
      <c r="M43" s="11">
        <v>5000</v>
      </c>
      <c r="N43" s="11">
        <v>5000</v>
      </c>
      <c r="O43" s="11">
        <v>5000</v>
      </c>
      <c r="P43" s="11">
        <v>5000</v>
      </c>
      <c r="Q43" s="11">
        <v>5000</v>
      </c>
      <c r="R43" s="11">
        <v>5000</v>
      </c>
      <c r="S43" s="11">
        <v>5000</v>
      </c>
      <c r="T43" s="11">
        <v>5000</v>
      </c>
      <c r="U43" s="11">
        <v>5000</v>
      </c>
      <c r="V43" s="11">
        <v>5000</v>
      </c>
      <c r="W43" s="11">
        <v>5000</v>
      </c>
      <c r="X43" s="11">
        <v>5000</v>
      </c>
      <c r="Y43" s="11">
        <v>5000</v>
      </c>
      <c r="Z43" s="11">
        <v>5000</v>
      </c>
      <c r="AA43" s="11">
        <v>5000</v>
      </c>
      <c r="AB43" s="11">
        <v>5000</v>
      </c>
      <c r="AC43" s="76">
        <f>+SUM(E43:AB43)*D43+SUM(E44:AB44)*D44+SUM(E45:AB45)*D45+SUM(E46:AB46)*D46</f>
        <v>3720000</v>
      </c>
      <c r="AG43" s="15"/>
      <c r="AH43" s="15"/>
      <c r="AI43" s="15"/>
      <c r="AJ43" s="15"/>
      <c r="AK43" s="15"/>
      <c r="AL43" s="15"/>
      <c r="AM43" s="15"/>
      <c r="AN43" s="15"/>
      <c r="AO43" s="15"/>
      <c r="AP43" s="15"/>
      <c r="AQ43" s="15"/>
      <c r="AR43" s="15"/>
      <c r="AS43" s="15"/>
      <c r="AT43" s="15"/>
      <c r="AU43" s="15"/>
      <c r="AV43" s="15"/>
      <c r="AW43" s="15"/>
      <c r="AX43" s="15"/>
      <c r="AY43" s="15"/>
      <c r="AZ43" s="15"/>
      <c r="BA43" s="15"/>
      <c r="BB43" s="15"/>
      <c r="BC43" s="15"/>
      <c r="BD43" s="15"/>
    </row>
    <row r="44" spans="2:56" ht="18.649999999999999" customHeight="1" x14ac:dyDescent="0.25">
      <c r="B44" s="70" t="s">
        <v>41</v>
      </c>
      <c r="C44" s="4" t="s">
        <v>30</v>
      </c>
      <c r="D44" s="5">
        <v>4</v>
      </c>
      <c r="E44" s="11">
        <v>5000</v>
      </c>
      <c r="F44" s="11">
        <v>5000</v>
      </c>
      <c r="G44" s="11">
        <v>5000</v>
      </c>
      <c r="H44" s="11">
        <v>5000</v>
      </c>
      <c r="I44" s="11">
        <v>5000</v>
      </c>
      <c r="J44" s="11">
        <v>5000</v>
      </c>
      <c r="K44" s="11">
        <v>5000</v>
      </c>
      <c r="L44" s="11">
        <v>5000</v>
      </c>
      <c r="M44" s="11">
        <v>5000</v>
      </c>
      <c r="N44" s="11">
        <v>5000</v>
      </c>
      <c r="O44" s="11">
        <v>5000</v>
      </c>
      <c r="P44" s="11">
        <v>5000</v>
      </c>
      <c r="Q44" s="11">
        <v>5000</v>
      </c>
      <c r="R44" s="11">
        <v>5000</v>
      </c>
      <c r="S44" s="11">
        <v>5000</v>
      </c>
      <c r="T44" s="11">
        <v>5000</v>
      </c>
      <c r="U44" s="11">
        <v>5000</v>
      </c>
      <c r="V44" s="11">
        <v>5000</v>
      </c>
      <c r="W44" s="11">
        <v>5000</v>
      </c>
      <c r="X44" s="11">
        <v>5000</v>
      </c>
      <c r="Y44" s="11">
        <v>5000</v>
      </c>
      <c r="Z44" s="11">
        <v>5000</v>
      </c>
      <c r="AA44" s="11">
        <v>5000</v>
      </c>
      <c r="AB44" s="11">
        <v>5000</v>
      </c>
      <c r="AC44" s="77"/>
      <c r="AG44" s="15"/>
      <c r="AH44" s="15"/>
      <c r="AI44" s="15"/>
      <c r="AJ44" s="15"/>
      <c r="AK44" s="15"/>
      <c r="AL44" s="15"/>
      <c r="AM44" s="15"/>
      <c r="AN44" s="15"/>
      <c r="AO44" s="15"/>
      <c r="AP44" s="15"/>
      <c r="AQ44" s="15"/>
      <c r="AR44" s="15"/>
      <c r="AS44" s="15"/>
      <c r="AT44" s="15"/>
      <c r="AU44" s="15"/>
      <c r="AV44" s="15"/>
      <c r="AW44" s="15"/>
      <c r="AX44" s="15"/>
      <c r="AY44" s="15"/>
      <c r="AZ44" s="15"/>
      <c r="BA44" s="15"/>
      <c r="BB44" s="15"/>
      <c r="BC44" s="15"/>
      <c r="BD44" s="15"/>
    </row>
    <row r="45" spans="2:56" ht="18.649999999999999" customHeight="1" x14ac:dyDescent="0.25">
      <c r="B45" s="70" t="s">
        <v>41</v>
      </c>
      <c r="C45" s="4" t="s">
        <v>31</v>
      </c>
      <c r="D45" s="5">
        <v>4</v>
      </c>
      <c r="E45" s="11">
        <v>5000</v>
      </c>
      <c r="F45" s="11">
        <v>5000</v>
      </c>
      <c r="G45" s="11">
        <v>5000</v>
      </c>
      <c r="H45" s="11">
        <v>5000</v>
      </c>
      <c r="I45" s="11">
        <v>5000</v>
      </c>
      <c r="J45" s="11">
        <v>5000</v>
      </c>
      <c r="K45" s="11">
        <v>5000</v>
      </c>
      <c r="L45" s="11">
        <v>5000</v>
      </c>
      <c r="M45" s="11">
        <v>5000</v>
      </c>
      <c r="N45" s="11">
        <v>5000</v>
      </c>
      <c r="O45" s="11">
        <v>5000</v>
      </c>
      <c r="P45" s="11">
        <v>5000</v>
      </c>
      <c r="Q45" s="11">
        <v>5000</v>
      </c>
      <c r="R45" s="11">
        <v>5000</v>
      </c>
      <c r="S45" s="11">
        <v>5000</v>
      </c>
      <c r="T45" s="11">
        <v>5000</v>
      </c>
      <c r="U45" s="11">
        <v>5000</v>
      </c>
      <c r="V45" s="11">
        <v>5000</v>
      </c>
      <c r="W45" s="11">
        <v>5000</v>
      </c>
      <c r="X45" s="11">
        <v>5000</v>
      </c>
      <c r="Y45" s="11">
        <v>5000</v>
      </c>
      <c r="Z45" s="11">
        <v>5000</v>
      </c>
      <c r="AA45" s="11">
        <v>5000</v>
      </c>
      <c r="AB45" s="11">
        <v>5000</v>
      </c>
      <c r="AC45" s="77"/>
      <c r="AG45" s="15"/>
      <c r="AH45" s="15"/>
      <c r="AI45" s="15"/>
      <c r="AJ45" s="15"/>
      <c r="AK45" s="15"/>
      <c r="AL45" s="15"/>
      <c r="AM45" s="15"/>
      <c r="AN45" s="15"/>
      <c r="AO45" s="15"/>
      <c r="AP45" s="15"/>
      <c r="AQ45" s="15"/>
      <c r="AR45" s="15"/>
      <c r="AS45" s="15"/>
      <c r="AT45" s="15"/>
      <c r="AU45" s="15"/>
      <c r="AV45" s="15"/>
      <c r="AW45" s="15"/>
      <c r="AX45" s="15"/>
      <c r="AY45" s="15"/>
      <c r="AZ45" s="15"/>
      <c r="BA45" s="15"/>
      <c r="BB45" s="15"/>
      <c r="BC45" s="15"/>
      <c r="BD45" s="15"/>
    </row>
    <row r="46" spans="2:56" ht="18.649999999999999" customHeight="1" x14ac:dyDescent="0.25">
      <c r="B46" s="70" t="s">
        <v>41</v>
      </c>
      <c r="C46" s="4" t="s">
        <v>32</v>
      </c>
      <c r="D46" s="5">
        <v>1</v>
      </c>
      <c r="E46" s="11">
        <v>5000</v>
      </c>
      <c r="F46" s="11">
        <v>5000</v>
      </c>
      <c r="G46" s="11">
        <v>5000</v>
      </c>
      <c r="H46" s="11">
        <v>5000</v>
      </c>
      <c r="I46" s="11">
        <v>5000</v>
      </c>
      <c r="J46" s="11">
        <v>5000</v>
      </c>
      <c r="K46" s="11">
        <v>5000</v>
      </c>
      <c r="L46" s="11">
        <v>5000</v>
      </c>
      <c r="M46" s="11">
        <v>5000</v>
      </c>
      <c r="N46" s="11">
        <v>5000</v>
      </c>
      <c r="O46" s="11">
        <v>5000</v>
      </c>
      <c r="P46" s="11">
        <v>5000</v>
      </c>
      <c r="Q46" s="11">
        <v>5000</v>
      </c>
      <c r="R46" s="11">
        <v>5000</v>
      </c>
      <c r="S46" s="11">
        <v>5000</v>
      </c>
      <c r="T46" s="11">
        <v>5000</v>
      </c>
      <c r="U46" s="11">
        <v>5000</v>
      </c>
      <c r="V46" s="11">
        <v>5000</v>
      </c>
      <c r="W46" s="11">
        <v>5000</v>
      </c>
      <c r="X46" s="11">
        <v>5000</v>
      </c>
      <c r="Y46" s="11">
        <v>5000</v>
      </c>
      <c r="Z46" s="11">
        <v>5000</v>
      </c>
      <c r="AA46" s="11">
        <v>5000</v>
      </c>
      <c r="AB46" s="11">
        <v>5000</v>
      </c>
      <c r="AC46" s="78"/>
      <c r="AG46" s="15"/>
      <c r="AH46" s="15"/>
      <c r="AI46" s="15"/>
      <c r="AJ46" s="15"/>
      <c r="AK46" s="15"/>
      <c r="AL46" s="15"/>
      <c r="AM46" s="15"/>
      <c r="AN46" s="15"/>
      <c r="AO46" s="15"/>
      <c r="AP46" s="15"/>
      <c r="AQ46" s="15"/>
      <c r="AR46" s="15"/>
      <c r="AS46" s="15"/>
      <c r="AT46" s="15"/>
      <c r="AU46" s="15"/>
      <c r="AV46" s="15"/>
      <c r="AW46" s="15"/>
      <c r="AX46" s="15"/>
      <c r="AY46" s="15"/>
      <c r="AZ46" s="15"/>
      <c r="BA46" s="15"/>
      <c r="BB46" s="15"/>
      <c r="BC46" s="15"/>
      <c r="BD46" s="15"/>
    </row>
    <row r="47" spans="2:56" ht="18.649999999999999" customHeight="1" x14ac:dyDescent="0.25">
      <c r="B47" s="70" t="s">
        <v>42</v>
      </c>
      <c r="C47" s="4" t="s">
        <v>29</v>
      </c>
      <c r="D47" s="5">
        <v>19</v>
      </c>
      <c r="E47" s="11">
        <v>5000</v>
      </c>
      <c r="F47" s="11">
        <v>5000</v>
      </c>
      <c r="G47" s="11">
        <v>5000</v>
      </c>
      <c r="H47" s="11">
        <v>5000</v>
      </c>
      <c r="I47" s="11">
        <v>5000</v>
      </c>
      <c r="J47" s="11">
        <v>5000</v>
      </c>
      <c r="K47" s="11">
        <v>5000</v>
      </c>
      <c r="L47" s="11">
        <v>5000</v>
      </c>
      <c r="M47" s="11">
        <v>5000</v>
      </c>
      <c r="N47" s="11">
        <v>5000</v>
      </c>
      <c r="O47" s="11">
        <v>5000</v>
      </c>
      <c r="P47" s="11">
        <v>5000</v>
      </c>
      <c r="Q47" s="11">
        <v>5000</v>
      </c>
      <c r="R47" s="11">
        <v>5000</v>
      </c>
      <c r="S47" s="11">
        <v>5000</v>
      </c>
      <c r="T47" s="11">
        <v>5000</v>
      </c>
      <c r="U47" s="11">
        <v>5000</v>
      </c>
      <c r="V47" s="11">
        <v>5000</v>
      </c>
      <c r="W47" s="11">
        <v>5000</v>
      </c>
      <c r="X47" s="11">
        <v>5000</v>
      </c>
      <c r="Y47" s="11">
        <v>5000</v>
      </c>
      <c r="Z47" s="11">
        <v>5000</v>
      </c>
      <c r="AA47" s="11">
        <v>5000</v>
      </c>
      <c r="AB47" s="11">
        <v>5000</v>
      </c>
      <c r="AC47" s="76">
        <f>+SUM(E47:AB47)*D47+SUM(E48:AB48)*D48+SUM(E49:AB49)*D49+SUM(E50:AB50)*D50</f>
        <v>3600000</v>
      </c>
      <c r="AG47" s="15"/>
      <c r="AH47" s="15"/>
      <c r="AI47" s="15"/>
      <c r="AJ47" s="15"/>
      <c r="AK47" s="15"/>
      <c r="AL47" s="15"/>
      <c r="AM47" s="15"/>
      <c r="AN47" s="15"/>
      <c r="AO47" s="15"/>
      <c r="AP47" s="15"/>
      <c r="AQ47" s="15"/>
      <c r="AR47" s="15"/>
      <c r="AS47" s="15"/>
      <c r="AT47" s="15"/>
      <c r="AU47" s="15"/>
      <c r="AV47" s="15"/>
      <c r="AW47" s="15"/>
      <c r="AX47" s="15"/>
      <c r="AY47" s="15"/>
      <c r="AZ47" s="15"/>
      <c r="BA47" s="15"/>
      <c r="BB47" s="15"/>
      <c r="BC47" s="15"/>
      <c r="BD47" s="15"/>
    </row>
    <row r="48" spans="2:56" ht="18.649999999999999" customHeight="1" x14ac:dyDescent="0.25">
      <c r="B48" s="70" t="s">
        <v>42</v>
      </c>
      <c r="C48" s="4" t="s">
        <v>30</v>
      </c>
      <c r="D48" s="5">
        <v>5</v>
      </c>
      <c r="E48" s="11">
        <v>5000</v>
      </c>
      <c r="F48" s="11">
        <v>5000</v>
      </c>
      <c r="G48" s="11">
        <v>5000</v>
      </c>
      <c r="H48" s="11">
        <v>5000</v>
      </c>
      <c r="I48" s="11">
        <v>5000</v>
      </c>
      <c r="J48" s="11">
        <v>5000</v>
      </c>
      <c r="K48" s="11">
        <v>5000</v>
      </c>
      <c r="L48" s="11">
        <v>5000</v>
      </c>
      <c r="M48" s="11">
        <v>5000</v>
      </c>
      <c r="N48" s="11">
        <v>5000</v>
      </c>
      <c r="O48" s="11">
        <v>5000</v>
      </c>
      <c r="P48" s="11">
        <v>5000</v>
      </c>
      <c r="Q48" s="11">
        <v>5000</v>
      </c>
      <c r="R48" s="11">
        <v>5000</v>
      </c>
      <c r="S48" s="11">
        <v>5000</v>
      </c>
      <c r="T48" s="11">
        <v>5000</v>
      </c>
      <c r="U48" s="11">
        <v>5000</v>
      </c>
      <c r="V48" s="11">
        <v>5000</v>
      </c>
      <c r="W48" s="11">
        <v>5000</v>
      </c>
      <c r="X48" s="11">
        <v>5000</v>
      </c>
      <c r="Y48" s="11">
        <v>5000</v>
      </c>
      <c r="Z48" s="11">
        <v>5000</v>
      </c>
      <c r="AA48" s="11">
        <v>5000</v>
      </c>
      <c r="AB48" s="11">
        <v>5000</v>
      </c>
      <c r="AC48" s="77"/>
      <c r="AG48" s="15"/>
      <c r="AH48" s="15"/>
      <c r="AI48" s="15"/>
      <c r="AJ48" s="15"/>
      <c r="AK48" s="15"/>
      <c r="AL48" s="15"/>
      <c r="AM48" s="15"/>
      <c r="AN48" s="15"/>
      <c r="AO48" s="15"/>
      <c r="AP48" s="15"/>
      <c r="AQ48" s="15"/>
      <c r="AR48" s="15"/>
      <c r="AS48" s="15"/>
      <c r="AT48" s="15"/>
      <c r="AU48" s="15"/>
      <c r="AV48" s="15"/>
      <c r="AW48" s="15"/>
      <c r="AX48" s="15"/>
      <c r="AY48" s="15"/>
      <c r="AZ48" s="15"/>
      <c r="BA48" s="15"/>
      <c r="BB48" s="15"/>
      <c r="BC48" s="15"/>
      <c r="BD48" s="15"/>
    </row>
    <row r="49" spans="2:56" ht="18.649999999999999" customHeight="1" x14ac:dyDescent="0.25">
      <c r="B49" s="70" t="s">
        <v>42</v>
      </c>
      <c r="C49" s="4" t="s">
        <v>31</v>
      </c>
      <c r="D49" s="5">
        <v>4</v>
      </c>
      <c r="E49" s="11">
        <v>5000</v>
      </c>
      <c r="F49" s="11">
        <v>5000</v>
      </c>
      <c r="G49" s="11">
        <v>5000</v>
      </c>
      <c r="H49" s="11">
        <v>5000</v>
      </c>
      <c r="I49" s="11">
        <v>5000</v>
      </c>
      <c r="J49" s="11">
        <v>5000</v>
      </c>
      <c r="K49" s="11">
        <v>5000</v>
      </c>
      <c r="L49" s="11">
        <v>5000</v>
      </c>
      <c r="M49" s="11">
        <v>5000</v>
      </c>
      <c r="N49" s="11">
        <v>5000</v>
      </c>
      <c r="O49" s="11">
        <v>5000</v>
      </c>
      <c r="P49" s="11">
        <v>5000</v>
      </c>
      <c r="Q49" s="11">
        <v>5000</v>
      </c>
      <c r="R49" s="11">
        <v>5000</v>
      </c>
      <c r="S49" s="11">
        <v>5000</v>
      </c>
      <c r="T49" s="11">
        <v>5000</v>
      </c>
      <c r="U49" s="11">
        <v>5000</v>
      </c>
      <c r="V49" s="11">
        <v>5000</v>
      </c>
      <c r="W49" s="11">
        <v>5000</v>
      </c>
      <c r="X49" s="11">
        <v>5000</v>
      </c>
      <c r="Y49" s="11">
        <v>5000</v>
      </c>
      <c r="Z49" s="11">
        <v>5000</v>
      </c>
      <c r="AA49" s="11">
        <v>5000</v>
      </c>
      <c r="AB49" s="11">
        <v>5000</v>
      </c>
      <c r="AC49" s="77"/>
      <c r="AG49" s="15"/>
      <c r="AH49" s="15"/>
      <c r="AI49" s="15"/>
      <c r="AJ49" s="15"/>
      <c r="AK49" s="15"/>
      <c r="AL49" s="15"/>
      <c r="AM49" s="15"/>
      <c r="AN49" s="15"/>
      <c r="AO49" s="15"/>
      <c r="AP49" s="15"/>
      <c r="AQ49" s="15"/>
      <c r="AR49" s="15"/>
      <c r="AS49" s="15"/>
      <c r="AT49" s="15"/>
      <c r="AU49" s="15"/>
      <c r="AV49" s="15"/>
      <c r="AW49" s="15"/>
      <c r="AX49" s="15"/>
      <c r="AY49" s="15"/>
      <c r="AZ49" s="15"/>
      <c r="BA49" s="15"/>
      <c r="BB49" s="15"/>
      <c r="BC49" s="15"/>
      <c r="BD49" s="15"/>
    </row>
    <row r="50" spans="2:56" ht="18.649999999999999" customHeight="1" x14ac:dyDescent="0.25">
      <c r="B50" s="70" t="s">
        <v>42</v>
      </c>
      <c r="C50" s="4" t="s">
        <v>32</v>
      </c>
      <c r="D50" s="5">
        <v>2</v>
      </c>
      <c r="E50" s="11">
        <v>5000</v>
      </c>
      <c r="F50" s="11">
        <v>5000</v>
      </c>
      <c r="G50" s="11">
        <v>5000</v>
      </c>
      <c r="H50" s="11">
        <v>5000</v>
      </c>
      <c r="I50" s="11">
        <v>5000</v>
      </c>
      <c r="J50" s="11">
        <v>5000</v>
      </c>
      <c r="K50" s="11">
        <v>5000</v>
      </c>
      <c r="L50" s="11">
        <v>5000</v>
      </c>
      <c r="M50" s="11">
        <v>5000</v>
      </c>
      <c r="N50" s="11">
        <v>5000</v>
      </c>
      <c r="O50" s="11">
        <v>5000</v>
      </c>
      <c r="P50" s="11">
        <v>5000</v>
      </c>
      <c r="Q50" s="11">
        <v>5000</v>
      </c>
      <c r="R50" s="11">
        <v>5000</v>
      </c>
      <c r="S50" s="11">
        <v>5000</v>
      </c>
      <c r="T50" s="11">
        <v>5000</v>
      </c>
      <c r="U50" s="11">
        <v>5000</v>
      </c>
      <c r="V50" s="11">
        <v>5000</v>
      </c>
      <c r="W50" s="11">
        <v>5000</v>
      </c>
      <c r="X50" s="11">
        <v>5000</v>
      </c>
      <c r="Y50" s="11">
        <v>5000</v>
      </c>
      <c r="Z50" s="11">
        <v>5000</v>
      </c>
      <c r="AA50" s="11">
        <v>5000</v>
      </c>
      <c r="AB50" s="11">
        <v>5000</v>
      </c>
      <c r="AC50" s="78"/>
      <c r="AG50" s="15"/>
      <c r="AH50" s="15"/>
      <c r="AI50" s="15"/>
      <c r="AJ50" s="15"/>
      <c r="AK50" s="15"/>
      <c r="AL50" s="15"/>
      <c r="AM50" s="15"/>
      <c r="AN50" s="15"/>
      <c r="AO50" s="15"/>
      <c r="AP50" s="15"/>
      <c r="AQ50" s="15"/>
      <c r="AR50" s="15"/>
      <c r="AS50" s="15"/>
      <c r="AT50" s="15"/>
      <c r="AU50" s="15"/>
      <c r="AV50" s="15"/>
      <c r="AW50" s="15"/>
      <c r="AX50" s="15"/>
      <c r="AY50" s="15"/>
      <c r="AZ50" s="15"/>
      <c r="BA50" s="15"/>
      <c r="BB50" s="15"/>
      <c r="BC50" s="15"/>
      <c r="BD50" s="15"/>
    </row>
    <row r="51" spans="2:56" ht="18.649999999999999" customHeight="1" x14ac:dyDescent="0.25">
      <c r="B51" s="70" t="s">
        <v>43</v>
      </c>
      <c r="C51" s="4" t="s">
        <v>29</v>
      </c>
      <c r="D51" s="5">
        <v>21</v>
      </c>
      <c r="E51" s="11">
        <v>5000</v>
      </c>
      <c r="F51" s="11">
        <v>5000</v>
      </c>
      <c r="G51" s="11">
        <v>5000</v>
      </c>
      <c r="H51" s="11">
        <v>5000</v>
      </c>
      <c r="I51" s="11">
        <v>5000</v>
      </c>
      <c r="J51" s="11">
        <v>5000</v>
      </c>
      <c r="K51" s="11">
        <v>5000</v>
      </c>
      <c r="L51" s="11">
        <v>5000</v>
      </c>
      <c r="M51" s="11">
        <v>5000</v>
      </c>
      <c r="N51" s="11">
        <v>5000</v>
      </c>
      <c r="O51" s="11">
        <v>5000</v>
      </c>
      <c r="P51" s="11">
        <v>5000</v>
      </c>
      <c r="Q51" s="11">
        <v>5000</v>
      </c>
      <c r="R51" s="11">
        <v>5000</v>
      </c>
      <c r="S51" s="11">
        <v>5000</v>
      </c>
      <c r="T51" s="11">
        <v>5000</v>
      </c>
      <c r="U51" s="11">
        <v>5000</v>
      </c>
      <c r="V51" s="11">
        <v>5000</v>
      </c>
      <c r="W51" s="11">
        <v>5000</v>
      </c>
      <c r="X51" s="11">
        <v>5000</v>
      </c>
      <c r="Y51" s="11">
        <v>5000</v>
      </c>
      <c r="Z51" s="11">
        <v>5000</v>
      </c>
      <c r="AA51" s="11">
        <v>5000</v>
      </c>
      <c r="AB51" s="11">
        <v>5000</v>
      </c>
      <c r="AC51" s="76">
        <f>+SUM(E51:AB51)*D51+SUM(E52:AB52)*D52+SUM(E53:AB53)*D53+SUM(E54:AB54)*D54</f>
        <v>3720000</v>
      </c>
      <c r="AG51" s="15"/>
      <c r="AH51" s="15"/>
      <c r="AI51" s="15"/>
      <c r="AJ51" s="15"/>
      <c r="AK51" s="15"/>
      <c r="AL51" s="15"/>
      <c r="AM51" s="15"/>
      <c r="AN51" s="15"/>
      <c r="AO51" s="15"/>
      <c r="AP51" s="15"/>
      <c r="AQ51" s="15"/>
      <c r="AR51" s="15"/>
      <c r="AS51" s="15"/>
      <c r="AT51" s="15"/>
      <c r="AU51" s="15"/>
      <c r="AV51" s="15"/>
      <c r="AW51" s="15"/>
      <c r="AX51" s="15"/>
      <c r="AY51" s="15"/>
      <c r="AZ51" s="15"/>
      <c r="BA51" s="15"/>
      <c r="BB51" s="15"/>
      <c r="BC51" s="15"/>
      <c r="BD51" s="15"/>
    </row>
    <row r="52" spans="2:56" ht="18.649999999999999" customHeight="1" x14ac:dyDescent="0.25">
      <c r="B52" s="70" t="s">
        <v>43</v>
      </c>
      <c r="C52" s="4" t="s">
        <v>30</v>
      </c>
      <c r="D52" s="5">
        <v>4</v>
      </c>
      <c r="E52" s="11">
        <v>5000</v>
      </c>
      <c r="F52" s="11">
        <v>5000</v>
      </c>
      <c r="G52" s="11">
        <v>5000</v>
      </c>
      <c r="H52" s="11">
        <v>5000</v>
      </c>
      <c r="I52" s="11">
        <v>5000</v>
      </c>
      <c r="J52" s="11">
        <v>5000</v>
      </c>
      <c r="K52" s="11">
        <v>5000</v>
      </c>
      <c r="L52" s="11">
        <v>5000</v>
      </c>
      <c r="M52" s="11">
        <v>5000</v>
      </c>
      <c r="N52" s="11">
        <v>5000</v>
      </c>
      <c r="O52" s="11">
        <v>5000</v>
      </c>
      <c r="P52" s="11">
        <v>5000</v>
      </c>
      <c r="Q52" s="11">
        <v>5000</v>
      </c>
      <c r="R52" s="11">
        <v>5000</v>
      </c>
      <c r="S52" s="11">
        <v>5000</v>
      </c>
      <c r="T52" s="11">
        <v>5000</v>
      </c>
      <c r="U52" s="11">
        <v>5000</v>
      </c>
      <c r="V52" s="11">
        <v>5000</v>
      </c>
      <c r="W52" s="11">
        <v>5000</v>
      </c>
      <c r="X52" s="11">
        <v>5000</v>
      </c>
      <c r="Y52" s="11">
        <v>5000</v>
      </c>
      <c r="Z52" s="11">
        <v>5000</v>
      </c>
      <c r="AA52" s="11">
        <v>5000</v>
      </c>
      <c r="AB52" s="11">
        <v>5000</v>
      </c>
      <c r="AC52" s="77"/>
      <c r="AG52" s="15"/>
      <c r="AH52" s="15"/>
      <c r="AI52" s="15"/>
      <c r="AJ52" s="15"/>
      <c r="AK52" s="15"/>
      <c r="AL52" s="15"/>
      <c r="AM52" s="15"/>
      <c r="AN52" s="15"/>
      <c r="AO52" s="15"/>
      <c r="AP52" s="15"/>
      <c r="AQ52" s="15"/>
      <c r="AR52" s="15"/>
      <c r="AS52" s="15"/>
      <c r="AT52" s="15"/>
      <c r="AU52" s="15"/>
      <c r="AV52" s="15"/>
      <c r="AW52" s="15"/>
      <c r="AX52" s="15"/>
      <c r="AY52" s="15"/>
      <c r="AZ52" s="15"/>
      <c r="BA52" s="15"/>
      <c r="BB52" s="15"/>
      <c r="BC52" s="15"/>
      <c r="BD52" s="15"/>
    </row>
    <row r="53" spans="2:56" ht="18.649999999999999" customHeight="1" x14ac:dyDescent="0.25">
      <c r="B53" s="70" t="s">
        <v>43</v>
      </c>
      <c r="C53" s="4" t="s">
        <v>31</v>
      </c>
      <c r="D53" s="5">
        <v>4</v>
      </c>
      <c r="E53" s="11">
        <v>5000</v>
      </c>
      <c r="F53" s="11">
        <v>5000</v>
      </c>
      <c r="G53" s="11">
        <v>5000</v>
      </c>
      <c r="H53" s="11">
        <v>5000</v>
      </c>
      <c r="I53" s="11">
        <v>5000</v>
      </c>
      <c r="J53" s="11">
        <v>5000</v>
      </c>
      <c r="K53" s="11">
        <v>5000</v>
      </c>
      <c r="L53" s="11">
        <v>5000</v>
      </c>
      <c r="M53" s="11">
        <v>5000</v>
      </c>
      <c r="N53" s="11">
        <v>5000</v>
      </c>
      <c r="O53" s="11">
        <v>5000</v>
      </c>
      <c r="P53" s="11">
        <v>5000</v>
      </c>
      <c r="Q53" s="11">
        <v>5000</v>
      </c>
      <c r="R53" s="11">
        <v>5000</v>
      </c>
      <c r="S53" s="11">
        <v>5000</v>
      </c>
      <c r="T53" s="11">
        <v>5000</v>
      </c>
      <c r="U53" s="11">
        <v>5000</v>
      </c>
      <c r="V53" s="11">
        <v>5000</v>
      </c>
      <c r="W53" s="11">
        <v>5000</v>
      </c>
      <c r="X53" s="11">
        <v>5000</v>
      </c>
      <c r="Y53" s="11">
        <v>5000</v>
      </c>
      <c r="Z53" s="11">
        <v>5000</v>
      </c>
      <c r="AA53" s="11">
        <v>5000</v>
      </c>
      <c r="AB53" s="11">
        <v>5000</v>
      </c>
      <c r="AC53" s="77"/>
      <c r="AG53" s="15"/>
      <c r="AH53" s="15"/>
      <c r="AI53" s="15"/>
      <c r="AJ53" s="15"/>
      <c r="AK53" s="15"/>
      <c r="AL53" s="15"/>
      <c r="AM53" s="15"/>
      <c r="AN53" s="15"/>
      <c r="AO53" s="15"/>
      <c r="AP53" s="15"/>
      <c r="AQ53" s="15"/>
      <c r="AR53" s="15"/>
      <c r="AS53" s="15"/>
      <c r="AT53" s="15"/>
      <c r="AU53" s="15"/>
      <c r="AV53" s="15"/>
      <c r="AW53" s="15"/>
      <c r="AX53" s="15"/>
      <c r="AY53" s="15"/>
      <c r="AZ53" s="15"/>
      <c r="BA53" s="15"/>
      <c r="BB53" s="15"/>
      <c r="BC53" s="15"/>
      <c r="BD53" s="15"/>
    </row>
    <row r="54" spans="2:56" ht="18.649999999999999" customHeight="1" x14ac:dyDescent="0.25">
      <c r="B54" s="70" t="s">
        <v>43</v>
      </c>
      <c r="C54" s="4" t="s">
        <v>32</v>
      </c>
      <c r="D54" s="5">
        <v>2</v>
      </c>
      <c r="E54" s="11">
        <v>5000</v>
      </c>
      <c r="F54" s="11">
        <v>5000</v>
      </c>
      <c r="G54" s="11">
        <v>5000</v>
      </c>
      <c r="H54" s="11">
        <v>5000</v>
      </c>
      <c r="I54" s="11">
        <v>5000</v>
      </c>
      <c r="J54" s="11">
        <v>5000</v>
      </c>
      <c r="K54" s="11">
        <v>5000</v>
      </c>
      <c r="L54" s="11">
        <v>5000</v>
      </c>
      <c r="M54" s="11">
        <v>5000</v>
      </c>
      <c r="N54" s="11">
        <v>5000</v>
      </c>
      <c r="O54" s="11">
        <v>5000</v>
      </c>
      <c r="P54" s="11">
        <v>5000</v>
      </c>
      <c r="Q54" s="11">
        <v>5000</v>
      </c>
      <c r="R54" s="11">
        <v>5000</v>
      </c>
      <c r="S54" s="11">
        <v>5000</v>
      </c>
      <c r="T54" s="11">
        <v>5000</v>
      </c>
      <c r="U54" s="11">
        <v>5000</v>
      </c>
      <c r="V54" s="11">
        <v>5000</v>
      </c>
      <c r="W54" s="11">
        <v>5000</v>
      </c>
      <c r="X54" s="11">
        <v>5000</v>
      </c>
      <c r="Y54" s="11">
        <v>5000</v>
      </c>
      <c r="Z54" s="11">
        <v>5000</v>
      </c>
      <c r="AA54" s="11">
        <v>5000</v>
      </c>
      <c r="AB54" s="11">
        <v>5000</v>
      </c>
      <c r="AC54" s="78"/>
      <c r="AG54" s="15"/>
      <c r="AH54" s="15"/>
      <c r="AI54" s="15"/>
      <c r="AJ54" s="15"/>
      <c r="AK54" s="15"/>
      <c r="AL54" s="15"/>
      <c r="AM54" s="15"/>
      <c r="AN54" s="15"/>
      <c r="AO54" s="15"/>
      <c r="AP54" s="15"/>
      <c r="AQ54" s="15"/>
      <c r="AR54" s="15"/>
      <c r="AS54" s="15"/>
      <c r="AT54" s="15"/>
      <c r="AU54" s="15"/>
      <c r="AV54" s="15"/>
      <c r="AW54" s="15"/>
      <c r="AX54" s="15"/>
      <c r="AY54" s="15"/>
      <c r="AZ54" s="15"/>
      <c r="BA54" s="15"/>
      <c r="BB54" s="15"/>
      <c r="BC54" s="15"/>
      <c r="BD54" s="15"/>
    </row>
    <row r="55" spans="2:56" ht="18.649999999999999" customHeight="1" x14ac:dyDescent="0.25">
      <c r="E55" s="12"/>
      <c r="F55" s="12"/>
      <c r="G55" s="12"/>
      <c r="H55" s="12"/>
      <c r="I55" s="12"/>
      <c r="J55" s="12"/>
      <c r="K55" s="12"/>
      <c r="L55" s="12"/>
      <c r="M55" s="12"/>
      <c r="N55" s="12"/>
      <c r="O55" s="12"/>
      <c r="P55" s="12"/>
      <c r="Q55" s="12"/>
      <c r="R55" s="12"/>
      <c r="S55" s="12"/>
      <c r="T55" s="12"/>
      <c r="U55" s="12"/>
      <c r="V55" s="12"/>
      <c r="W55" s="12"/>
      <c r="X55" s="12"/>
      <c r="Y55" s="12"/>
      <c r="Z55" s="80" t="s">
        <v>46</v>
      </c>
      <c r="AA55" s="80"/>
      <c r="AB55" s="80"/>
      <c r="AC55" s="13">
        <f>SUM(AC7:AC54)</f>
        <v>43800000</v>
      </c>
    </row>
    <row r="57" spans="2:56" x14ac:dyDescent="0.25">
      <c r="AC57" s="10"/>
    </row>
  </sheetData>
  <mergeCells count="28">
    <mergeCell ref="B51:B54"/>
    <mergeCell ref="AC51:AC54"/>
    <mergeCell ref="Z55:AB55"/>
    <mergeCell ref="B39:B42"/>
    <mergeCell ref="AC39:AC42"/>
    <mergeCell ref="B43:B46"/>
    <mergeCell ref="AC43:AC46"/>
    <mergeCell ref="B47:B50"/>
    <mergeCell ref="AC47:AC50"/>
    <mergeCell ref="B27:B30"/>
    <mergeCell ref="AC27:AC30"/>
    <mergeCell ref="B31:B34"/>
    <mergeCell ref="AC31:AC34"/>
    <mergeCell ref="B35:B38"/>
    <mergeCell ref="AC35:AC38"/>
    <mergeCell ref="B15:B18"/>
    <mergeCell ref="AC15:AC18"/>
    <mergeCell ref="B19:B22"/>
    <mergeCell ref="AC19:AC22"/>
    <mergeCell ref="B23:B26"/>
    <mergeCell ref="AC23:AC26"/>
    <mergeCell ref="B11:B14"/>
    <mergeCell ref="AC11:AC14"/>
    <mergeCell ref="B2:AC2"/>
    <mergeCell ref="B3:AC3"/>
    <mergeCell ref="B4:AC4"/>
    <mergeCell ref="B7:B10"/>
    <mergeCell ref="AC7:AC10"/>
  </mergeCell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5F2A0E-CB10-44AD-824C-430F60D3460C}">
  <dimension ref="B1:BD57"/>
  <sheetViews>
    <sheetView showGridLines="0" tabSelected="1" topLeftCell="G38" zoomScale="70" zoomScaleNormal="70" workbookViewId="0">
      <selection activeCell="S59" sqref="S59"/>
    </sheetView>
  </sheetViews>
  <sheetFormatPr baseColWidth="10" defaultColWidth="11.453125" defaultRowHeight="11.5" x14ac:dyDescent="0.25"/>
  <cols>
    <col min="1" max="1" width="7.26953125" style="7" customWidth="1"/>
    <col min="2" max="2" width="6.26953125" style="7" bestFit="1" customWidth="1"/>
    <col min="3" max="3" width="11.1796875" style="7" customWidth="1"/>
    <col min="4" max="4" width="7" style="7" customWidth="1"/>
    <col min="5" max="7" width="10.1796875" style="7" bestFit="1" customWidth="1"/>
    <col min="8" max="8" width="9.81640625" style="7" bestFit="1" customWidth="1"/>
    <col min="9" max="9" width="9.7265625" style="7" bestFit="1" customWidth="1"/>
    <col min="10" max="27" width="10.1796875" style="7" bestFit="1" customWidth="1"/>
    <col min="28" max="28" width="10.26953125" style="7" bestFit="1" customWidth="1"/>
    <col min="29" max="29" width="16.7265625" style="7" customWidth="1"/>
    <col min="30" max="30" width="3" style="7" customWidth="1"/>
    <col min="31" max="31" width="14.81640625" style="7" bestFit="1" customWidth="1"/>
    <col min="32" max="257" width="11.453125" style="7"/>
    <col min="258" max="258" width="7" style="7" customWidth="1"/>
    <col min="259" max="259" width="10.7265625" style="7" customWidth="1"/>
    <col min="260" max="260" width="9.26953125" style="7" customWidth="1"/>
    <col min="261" max="284" width="7.26953125" style="7" customWidth="1"/>
    <col min="285" max="285" width="11.26953125" style="7" bestFit="1" customWidth="1"/>
    <col min="286" max="513" width="11.453125" style="7"/>
    <col min="514" max="514" width="7" style="7" customWidth="1"/>
    <col min="515" max="515" width="10.7265625" style="7" customWidth="1"/>
    <col min="516" max="516" width="9.26953125" style="7" customWidth="1"/>
    <col min="517" max="540" width="7.26953125" style="7" customWidth="1"/>
    <col min="541" max="541" width="11.26953125" style="7" bestFit="1" customWidth="1"/>
    <col min="542" max="769" width="11.453125" style="7"/>
    <col min="770" max="770" width="7" style="7" customWidth="1"/>
    <col min="771" max="771" width="10.7265625" style="7" customWidth="1"/>
    <col min="772" max="772" width="9.26953125" style="7" customWidth="1"/>
    <col min="773" max="796" width="7.26953125" style="7" customWidth="1"/>
    <col min="797" max="797" width="11.26953125" style="7" bestFit="1" customWidth="1"/>
    <col min="798" max="1025" width="11.453125" style="7"/>
    <col min="1026" max="1026" width="7" style="7" customWidth="1"/>
    <col min="1027" max="1027" width="10.7265625" style="7" customWidth="1"/>
    <col min="1028" max="1028" width="9.26953125" style="7" customWidth="1"/>
    <col min="1029" max="1052" width="7.26953125" style="7" customWidth="1"/>
    <col min="1053" max="1053" width="11.26953125" style="7" bestFit="1" customWidth="1"/>
    <col min="1054" max="1281" width="11.453125" style="7"/>
    <col min="1282" max="1282" width="7" style="7" customWidth="1"/>
    <col min="1283" max="1283" width="10.7265625" style="7" customWidth="1"/>
    <col min="1284" max="1284" width="9.26953125" style="7" customWidth="1"/>
    <col min="1285" max="1308" width="7.26953125" style="7" customWidth="1"/>
    <col min="1309" max="1309" width="11.26953125" style="7" bestFit="1" customWidth="1"/>
    <col min="1310" max="1537" width="11.453125" style="7"/>
    <col min="1538" max="1538" width="7" style="7" customWidth="1"/>
    <col min="1539" max="1539" width="10.7265625" style="7" customWidth="1"/>
    <col min="1540" max="1540" width="9.26953125" style="7" customWidth="1"/>
    <col min="1541" max="1564" width="7.26953125" style="7" customWidth="1"/>
    <col min="1565" max="1565" width="11.26953125" style="7" bestFit="1" customWidth="1"/>
    <col min="1566" max="1793" width="11.453125" style="7"/>
    <col min="1794" max="1794" width="7" style="7" customWidth="1"/>
    <col min="1795" max="1795" width="10.7265625" style="7" customWidth="1"/>
    <col min="1796" max="1796" width="9.26953125" style="7" customWidth="1"/>
    <col min="1797" max="1820" width="7.26953125" style="7" customWidth="1"/>
    <col min="1821" max="1821" width="11.26953125" style="7" bestFit="1" customWidth="1"/>
    <col min="1822" max="2049" width="11.453125" style="7"/>
    <col min="2050" max="2050" width="7" style="7" customWidth="1"/>
    <col min="2051" max="2051" width="10.7265625" style="7" customWidth="1"/>
    <col min="2052" max="2052" width="9.26953125" style="7" customWidth="1"/>
    <col min="2053" max="2076" width="7.26953125" style="7" customWidth="1"/>
    <col min="2077" max="2077" width="11.26953125" style="7" bestFit="1" customWidth="1"/>
    <col min="2078" max="2305" width="11.453125" style="7"/>
    <col min="2306" max="2306" width="7" style="7" customWidth="1"/>
    <col min="2307" max="2307" width="10.7265625" style="7" customWidth="1"/>
    <col min="2308" max="2308" width="9.26953125" style="7" customWidth="1"/>
    <col min="2309" max="2332" width="7.26953125" style="7" customWidth="1"/>
    <col min="2333" max="2333" width="11.26953125" style="7" bestFit="1" customWidth="1"/>
    <col min="2334" max="2561" width="11.453125" style="7"/>
    <col min="2562" max="2562" width="7" style="7" customWidth="1"/>
    <col min="2563" max="2563" width="10.7265625" style="7" customWidth="1"/>
    <col min="2564" max="2564" width="9.26953125" style="7" customWidth="1"/>
    <col min="2565" max="2588" width="7.26953125" style="7" customWidth="1"/>
    <col min="2589" max="2589" width="11.26953125" style="7" bestFit="1" customWidth="1"/>
    <col min="2590" max="2817" width="11.453125" style="7"/>
    <col min="2818" max="2818" width="7" style="7" customWidth="1"/>
    <col min="2819" max="2819" width="10.7265625" style="7" customWidth="1"/>
    <col min="2820" max="2820" width="9.26953125" style="7" customWidth="1"/>
    <col min="2821" max="2844" width="7.26953125" style="7" customWidth="1"/>
    <col min="2845" max="2845" width="11.26953125" style="7" bestFit="1" customWidth="1"/>
    <col min="2846" max="3073" width="11.453125" style="7"/>
    <col min="3074" max="3074" width="7" style="7" customWidth="1"/>
    <col min="3075" max="3075" width="10.7265625" style="7" customWidth="1"/>
    <col min="3076" max="3076" width="9.26953125" style="7" customWidth="1"/>
    <col min="3077" max="3100" width="7.26953125" style="7" customWidth="1"/>
    <col min="3101" max="3101" width="11.26953125" style="7" bestFit="1" customWidth="1"/>
    <col min="3102" max="3329" width="11.453125" style="7"/>
    <col min="3330" max="3330" width="7" style="7" customWidth="1"/>
    <col min="3331" max="3331" width="10.7265625" style="7" customWidth="1"/>
    <col min="3332" max="3332" width="9.26953125" style="7" customWidth="1"/>
    <col min="3333" max="3356" width="7.26953125" style="7" customWidth="1"/>
    <col min="3357" max="3357" width="11.26953125" style="7" bestFit="1" customWidth="1"/>
    <col min="3358" max="3585" width="11.453125" style="7"/>
    <col min="3586" max="3586" width="7" style="7" customWidth="1"/>
    <col min="3587" max="3587" width="10.7265625" style="7" customWidth="1"/>
    <col min="3588" max="3588" width="9.26953125" style="7" customWidth="1"/>
    <col min="3589" max="3612" width="7.26953125" style="7" customWidth="1"/>
    <col min="3613" max="3613" width="11.26953125" style="7" bestFit="1" customWidth="1"/>
    <col min="3614" max="3841" width="11.453125" style="7"/>
    <col min="3842" max="3842" width="7" style="7" customWidth="1"/>
    <col min="3843" max="3843" width="10.7265625" style="7" customWidth="1"/>
    <col min="3844" max="3844" width="9.26953125" style="7" customWidth="1"/>
    <col min="3845" max="3868" width="7.26953125" style="7" customWidth="1"/>
    <col min="3869" max="3869" width="11.26953125" style="7" bestFit="1" customWidth="1"/>
    <col min="3870" max="4097" width="11.453125" style="7"/>
    <col min="4098" max="4098" width="7" style="7" customWidth="1"/>
    <col min="4099" max="4099" width="10.7265625" style="7" customWidth="1"/>
    <col min="4100" max="4100" width="9.26953125" style="7" customWidth="1"/>
    <col min="4101" max="4124" width="7.26953125" style="7" customWidth="1"/>
    <col min="4125" max="4125" width="11.26953125" style="7" bestFit="1" customWidth="1"/>
    <col min="4126" max="4353" width="11.453125" style="7"/>
    <col min="4354" max="4354" width="7" style="7" customWidth="1"/>
    <col min="4355" max="4355" width="10.7265625" style="7" customWidth="1"/>
    <col min="4356" max="4356" width="9.26953125" style="7" customWidth="1"/>
    <col min="4357" max="4380" width="7.26953125" style="7" customWidth="1"/>
    <col min="4381" max="4381" width="11.26953125" style="7" bestFit="1" customWidth="1"/>
    <col min="4382" max="4609" width="11.453125" style="7"/>
    <col min="4610" max="4610" width="7" style="7" customWidth="1"/>
    <col min="4611" max="4611" width="10.7265625" style="7" customWidth="1"/>
    <col min="4612" max="4612" width="9.26953125" style="7" customWidth="1"/>
    <col min="4613" max="4636" width="7.26953125" style="7" customWidth="1"/>
    <col min="4637" max="4637" width="11.26953125" style="7" bestFit="1" customWidth="1"/>
    <col min="4638" max="4865" width="11.453125" style="7"/>
    <col min="4866" max="4866" width="7" style="7" customWidth="1"/>
    <col min="4867" max="4867" width="10.7265625" style="7" customWidth="1"/>
    <col min="4868" max="4868" width="9.26953125" style="7" customWidth="1"/>
    <col min="4869" max="4892" width="7.26953125" style="7" customWidth="1"/>
    <col min="4893" max="4893" width="11.26953125" style="7" bestFit="1" customWidth="1"/>
    <col min="4894" max="5121" width="11.453125" style="7"/>
    <col min="5122" max="5122" width="7" style="7" customWidth="1"/>
    <col min="5123" max="5123" width="10.7265625" style="7" customWidth="1"/>
    <col min="5124" max="5124" width="9.26953125" style="7" customWidth="1"/>
    <col min="5125" max="5148" width="7.26953125" style="7" customWidth="1"/>
    <col min="5149" max="5149" width="11.26953125" style="7" bestFit="1" customWidth="1"/>
    <col min="5150" max="5377" width="11.453125" style="7"/>
    <col min="5378" max="5378" width="7" style="7" customWidth="1"/>
    <col min="5379" max="5379" width="10.7265625" style="7" customWidth="1"/>
    <col min="5380" max="5380" width="9.26953125" style="7" customWidth="1"/>
    <col min="5381" max="5404" width="7.26953125" style="7" customWidth="1"/>
    <col min="5405" max="5405" width="11.26953125" style="7" bestFit="1" customWidth="1"/>
    <col min="5406" max="5633" width="11.453125" style="7"/>
    <col min="5634" max="5634" width="7" style="7" customWidth="1"/>
    <col min="5635" max="5635" width="10.7265625" style="7" customWidth="1"/>
    <col min="5636" max="5636" width="9.26953125" style="7" customWidth="1"/>
    <col min="5637" max="5660" width="7.26953125" style="7" customWidth="1"/>
    <col min="5661" max="5661" width="11.26953125" style="7" bestFit="1" customWidth="1"/>
    <col min="5662" max="5889" width="11.453125" style="7"/>
    <col min="5890" max="5890" width="7" style="7" customWidth="1"/>
    <col min="5891" max="5891" width="10.7265625" style="7" customWidth="1"/>
    <col min="5892" max="5892" width="9.26953125" style="7" customWidth="1"/>
    <col min="5893" max="5916" width="7.26953125" style="7" customWidth="1"/>
    <col min="5917" max="5917" width="11.26953125" style="7" bestFit="1" customWidth="1"/>
    <col min="5918" max="6145" width="11.453125" style="7"/>
    <col min="6146" max="6146" width="7" style="7" customWidth="1"/>
    <col min="6147" max="6147" width="10.7265625" style="7" customWidth="1"/>
    <col min="6148" max="6148" width="9.26953125" style="7" customWidth="1"/>
    <col min="6149" max="6172" width="7.26953125" style="7" customWidth="1"/>
    <col min="6173" max="6173" width="11.26953125" style="7" bestFit="1" customWidth="1"/>
    <col min="6174" max="6401" width="11.453125" style="7"/>
    <col min="6402" max="6402" width="7" style="7" customWidth="1"/>
    <col min="6403" max="6403" width="10.7265625" style="7" customWidth="1"/>
    <col min="6404" max="6404" width="9.26953125" style="7" customWidth="1"/>
    <col min="6405" max="6428" width="7.26953125" style="7" customWidth="1"/>
    <col min="6429" max="6429" width="11.26953125" style="7" bestFit="1" customWidth="1"/>
    <col min="6430" max="6657" width="11.453125" style="7"/>
    <col min="6658" max="6658" width="7" style="7" customWidth="1"/>
    <col min="6659" max="6659" width="10.7265625" style="7" customWidth="1"/>
    <col min="6660" max="6660" width="9.26953125" style="7" customWidth="1"/>
    <col min="6661" max="6684" width="7.26953125" style="7" customWidth="1"/>
    <col min="6685" max="6685" width="11.26953125" style="7" bestFit="1" customWidth="1"/>
    <col min="6686" max="6913" width="11.453125" style="7"/>
    <col min="6914" max="6914" width="7" style="7" customWidth="1"/>
    <col min="6915" max="6915" width="10.7265625" style="7" customWidth="1"/>
    <col min="6916" max="6916" width="9.26953125" style="7" customWidth="1"/>
    <col min="6917" max="6940" width="7.26953125" style="7" customWidth="1"/>
    <col min="6941" max="6941" width="11.26953125" style="7" bestFit="1" customWidth="1"/>
    <col min="6942" max="7169" width="11.453125" style="7"/>
    <col min="7170" max="7170" width="7" style="7" customWidth="1"/>
    <col min="7171" max="7171" width="10.7265625" style="7" customWidth="1"/>
    <col min="7172" max="7172" width="9.26953125" style="7" customWidth="1"/>
    <col min="7173" max="7196" width="7.26953125" style="7" customWidth="1"/>
    <col min="7197" max="7197" width="11.26953125" style="7" bestFit="1" customWidth="1"/>
    <col min="7198" max="7425" width="11.453125" style="7"/>
    <col min="7426" max="7426" width="7" style="7" customWidth="1"/>
    <col min="7427" max="7427" width="10.7265625" style="7" customWidth="1"/>
    <col min="7428" max="7428" width="9.26953125" style="7" customWidth="1"/>
    <col min="7429" max="7452" width="7.26953125" style="7" customWidth="1"/>
    <col min="7453" max="7453" width="11.26953125" style="7" bestFit="1" customWidth="1"/>
    <col min="7454" max="7681" width="11.453125" style="7"/>
    <col min="7682" max="7682" width="7" style="7" customWidth="1"/>
    <col min="7683" max="7683" width="10.7265625" style="7" customWidth="1"/>
    <col min="7684" max="7684" width="9.26953125" style="7" customWidth="1"/>
    <col min="7685" max="7708" width="7.26953125" style="7" customWidth="1"/>
    <col min="7709" max="7709" width="11.26953125" style="7" bestFit="1" customWidth="1"/>
    <col min="7710" max="7937" width="11.453125" style="7"/>
    <col min="7938" max="7938" width="7" style="7" customWidth="1"/>
    <col min="7939" max="7939" width="10.7265625" style="7" customWidth="1"/>
    <col min="7940" max="7940" width="9.26953125" style="7" customWidth="1"/>
    <col min="7941" max="7964" width="7.26953125" style="7" customWidth="1"/>
    <col min="7965" max="7965" width="11.26953125" style="7" bestFit="1" customWidth="1"/>
    <col min="7966" max="8193" width="11.453125" style="7"/>
    <col min="8194" max="8194" width="7" style="7" customWidth="1"/>
    <col min="8195" max="8195" width="10.7265625" style="7" customWidth="1"/>
    <col min="8196" max="8196" width="9.26953125" style="7" customWidth="1"/>
    <col min="8197" max="8220" width="7.26953125" style="7" customWidth="1"/>
    <col min="8221" max="8221" width="11.26953125" style="7" bestFit="1" customWidth="1"/>
    <col min="8222" max="8449" width="11.453125" style="7"/>
    <col min="8450" max="8450" width="7" style="7" customWidth="1"/>
    <col min="8451" max="8451" width="10.7265625" style="7" customWidth="1"/>
    <col min="8452" max="8452" width="9.26953125" style="7" customWidth="1"/>
    <col min="8453" max="8476" width="7.26953125" style="7" customWidth="1"/>
    <col min="8477" max="8477" width="11.26953125" style="7" bestFit="1" customWidth="1"/>
    <col min="8478" max="8705" width="11.453125" style="7"/>
    <col min="8706" max="8706" width="7" style="7" customWidth="1"/>
    <col min="8707" max="8707" width="10.7265625" style="7" customWidth="1"/>
    <col min="8708" max="8708" width="9.26953125" style="7" customWidth="1"/>
    <col min="8709" max="8732" width="7.26953125" style="7" customWidth="1"/>
    <col min="8733" max="8733" width="11.26953125" style="7" bestFit="1" customWidth="1"/>
    <col min="8734" max="8961" width="11.453125" style="7"/>
    <col min="8962" max="8962" width="7" style="7" customWidth="1"/>
    <col min="8963" max="8963" width="10.7265625" style="7" customWidth="1"/>
    <col min="8964" max="8964" width="9.26953125" style="7" customWidth="1"/>
    <col min="8965" max="8988" width="7.26953125" style="7" customWidth="1"/>
    <col min="8989" max="8989" width="11.26953125" style="7" bestFit="1" customWidth="1"/>
    <col min="8990" max="9217" width="11.453125" style="7"/>
    <col min="9218" max="9218" width="7" style="7" customWidth="1"/>
    <col min="9219" max="9219" width="10.7265625" style="7" customWidth="1"/>
    <col min="9220" max="9220" width="9.26953125" style="7" customWidth="1"/>
    <col min="9221" max="9244" width="7.26953125" style="7" customWidth="1"/>
    <col min="9245" max="9245" width="11.26953125" style="7" bestFit="1" customWidth="1"/>
    <col min="9246" max="9473" width="11.453125" style="7"/>
    <col min="9474" max="9474" width="7" style="7" customWidth="1"/>
    <col min="9475" max="9475" width="10.7265625" style="7" customWidth="1"/>
    <col min="9476" max="9476" width="9.26953125" style="7" customWidth="1"/>
    <col min="9477" max="9500" width="7.26953125" style="7" customWidth="1"/>
    <col min="9501" max="9501" width="11.26953125" style="7" bestFit="1" customWidth="1"/>
    <col min="9502" max="9729" width="11.453125" style="7"/>
    <col min="9730" max="9730" width="7" style="7" customWidth="1"/>
    <col min="9731" max="9731" width="10.7265625" style="7" customWidth="1"/>
    <col min="9732" max="9732" width="9.26953125" style="7" customWidth="1"/>
    <col min="9733" max="9756" width="7.26953125" style="7" customWidth="1"/>
    <col min="9757" max="9757" width="11.26953125" style="7" bestFit="1" customWidth="1"/>
    <col min="9758" max="9985" width="11.453125" style="7"/>
    <col min="9986" max="9986" width="7" style="7" customWidth="1"/>
    <col min="9987" max="9987" width="10.7265625" style="7" customWidth="1"/>
    <col min="9988" max="9988" width="9.26953125" style="7" customWidth="1"/>
    <col min="9989" max="10012" width="7.26953125" style="7" customWidth="1"/>
    <col min="10013" max="10013" width="11.26953125" style="7" bestFit="1" customWidth="1"/>
    <col min="10014" max="10241" width="11.453125" style="7"/>
    <col min="10242" max="10242" width="7" style="7" customWidth="1"/>
    <col min="10243" max="10243" width="10.7265625" style="7" customWidth="1"/>
    <col min="10244" max="10244" width="9.26953125" style="7" customWidth="1"/>
    <col min="10245" max="10268" width="7.26953125" style="7" customWidth="1"/>
    <col min="10269" max="10269" width="11.26953125" style="7" bestFit="1" customWidth="1"/>
    <col min="10270" max="10497" width="11.453125" style="7"/>
    <col min="10498" max="10498" width="7" style="7" customWidth="1"/>
    <col min="10499" max="10499" width="10.7265625" style="7" customWidth="1"/>
    <col min="10500" max="10500" width="9.26953125" style="7" customWidth="1"/>
    <col min="10501" max="10524" width="7.26953125" style="7" customWidth="1"/>
    <col min="10525" max="10525" width="11.26953125" style="7" bestFit="1" customWidth="1"/>
    <col min="10526" max="10753" width="11.453125" style="7"/>
    <col min="10754" max="10754" width="7" style="7" customWidth="1"/>
    <col min="10755" max="10755" width="10.7265625" style="7" customWidth="1"/>
    <col min="10756" max="10756" width="9.26953125" style="7" customWidth="1"/>
    <col min="10757" max="10780" width="7.26953125" style="7" customWidth="1"/>
    <col min="10781" max="10781" width="11.26953125" style="7" bestFit="1" customWidth="1"/>
    <col min="10782" max="11009" width="11.453125" style="7"/>
    <col min="11010" max="11010" width="7" style="7" customWidth="1"/>
    <col min="11011" max="11011" width="10.7265625" style="7" customWidth="1"/>
    <col min="11012" max="11012" width="9.26953125" style="7" customWidth="1"/>
    <col min="11013" max="11036" width="7.26953125" style="7" customWidth="1"/>
    <col min="11037" max="11037" width="11.26953125" style="7" bestFit="1" customWidth="1"/>
    <col min="11038" max="11265" width="11.453125" style="7"/>
    <col min="11266" max="11266" width="7" style="7" customWidth="1"/>
    <col min="11267" max="11267" width="10.7265625" style="7" customWidth="1"/>
    <col min="11268" max="11268" width="9.26953125" style="7" customWidth="1"/>
    <col min="11269" max="11292" width="7.26953125" style="7" customWidth="1"/>
    <col min="11293" max="11293" width="11.26953125" style="7" bestFit="1" customWidth="1"/>
    <col min="11294" max="11521" width="11.453125" style="7"/>
    <col min="11522" max="11522" width="7" style="7" customWidth="1"/>
    <col min="11523" max="11523" width="10.7265625" style="7" customWidth="1"/>
    <col min="11524" max="11524" width="9.26953125" style="7" customWidth="1"/>
    <col min="11525" max="11548" width="7.26953125" style="7" customWidth="1"/>
    <col min="11549" max="11549" width="11.26953125" style="7" bestFit="1" customWidth="1"/>
    <col min="11550" max="11777" width="11.453125" style="7"/>
    <col min="11778" max="11778" width="7" style="7" customWidth="1"/>
    <col min="11779" max="11779" width="10.7265625" style="7" customWidth="1"/>
    <col min="11780" max="11780" width="9.26953125" style="7" customWidth="1"/>
    <col min="11781" max="11804" width="7.26953125" style="7" customWidth="1"/>
    <col min="11805" max="11805" width="11.26953125" style="7" bestFit="1" customWidth="1"/>
    <col min="11806" max="12033" width="11.453125" style="7"/>
    <col min="12034" max="12034" width="7" style="7" customWidth="1"/>
    <col min="12035" max="12035" width="10.7265625" style="7" customWidth="1"/>
    <col min="12036" max="12036" width="9.26953125" style="7" customWidth="1"/>
    <col min="12037" max="12060" width="7.26953125" style="7" customWidth="1"/>
    <col min="12061" max="12061" width="11.26953125" style="7" bestFit="1" customWidth="1"/>
    <col min="12062" max="12289" width="11.453125" style="7"/>
    <col min="12290" max="12290" width="7" style="7" customWidth="1"/>
    <col min="12291" max="12291" width="10.7265625" style="7" customWidth="1"/>
    <col min="12292" max="12292" width="9.26953125" style="7" customWidth="1"/>
    <col min="12293" max="12316" width="7.26953125" style="7" customWidth="1"/>
    <col min="12317" max="12317" width="11.26953125" style="7" bestFit="1" customWidth="1"/>
    <col min="12318" max="12545" width="11.453125" style="7"/>
    <col min="12546" max="12546" width="7" style="7" customWidth="1"/>
    <col min="12547" max="12547" width="10.7265625" style="7" customWidth="1"/>
    <col min="12548" max="12548" width="9.26953125" style="7" customWidth="1"/>
    <col min="12549" max="12572" width="7.26953125" style="7" customWidth="1"/>
    <col min="12573" max="12573" width="11.26953125" style="7" bestFit="1" customWidth="1"/>
    <col min="12574" max="12801" width="11.453125" style="7"/>
    <col min="12802" max="12802" width="7" style="7" customWidth="1"/>
    <col min="12803" max="12803" width="10.7265625" style="7" customWidth="1"/>
    <col min="12804" max="12804" width="9.26953125" style="7" customWidth="1"/>
    <col min="12805" max="12828" width="7.26953125" style="7" customWidth="1"/>
    <col min="12829" max="12829" width="11.26953125" style="7" bestFit="1" customWidth="1"/>
    <col min="12830" max="13057" width="11.453125" style="7"/>
    <col min="13058" max="13058" width="7" style="7" customWidth="1"/>
    <col min="13059" max="13059" width="10.7265625" style="7" customWidth="1"/>
    <col min="13060" max="13060" width="9.26953125" style="7" customWidth="1"/>
    <col min="13061" max="13084" width="7.26953125" style="7" customWidth="1"/>
    <col min="13085" max="13085" width="11.26953125" style="7" bestFit="1" customWidth="1"/>
    <col min="13086" max="13313" width="11.453125" style="7"/>
    <col min="13314" max="13314" width="7" style="7" customWidth="1"/>
    <col min="13315" max="13315" width="10.7265625" style="7" customWidth="1"/>
    <col min="13316" max="13316" width="9.26953125" style="7" customWidth="1"/>
    <col min="13317" max="13340" width="7.26953125" style="7" customWidth="1"/>
    <col min="13341" max="13341" width="11.26953125" style="7" bestFit="1" customWidth="1"/>
    <col min="13342" max="13569" width="11.453125" style="7"/>
    <col min="13570" max="13570" width="7" style="7" customWidth="1"/>
    <col min="13571" max="13571" width="10.7265625" style="7" customWidth="1"/>
    <col min="13572" max="13572" width="9.26953125" style="7" customWidth="1"/>
    <col min="13573" max="13596" width="7.26953125" style="7" customWidth="1"/>
    <col min="13597" max="13597" width="11.26953125" style="7" bestFit="1" customWidth="1"/>
    <col min="13598" max="13825" width="11.453125" style="7"/>
    <col min="13826" max="13826" width="7" style="7" customWidth="1"/>
    <col min="13827" max="13827" width="10.7265625" style="7" customWidth="1"/>
    <col min="13828" max="13828" width="9.26953125" style="7" customWidth="1"/>
    <col min="13829" max="13852" width="7.26953125" style="7" customWidth="1"/>
    <col min="13853" max="13853" width="11.26953125" style="7" bestFit="1" customWidth="1"/>
    <col min="13854" max="14081" width="11.453125" style="7"/>
    <col min="14082" max="14082" width="7" style="7" customWidth="1"/>
    <col min="14083" max="14083" width="10.7265625" style="7" customWidth="1"/>
    <col min="14084" max="14084" width="9.26953125" style="7" customWidth="1"/>
    <col min="14085" max="14108" width="7.26953125" style="7" customWidth="1"/>
    <col min="14109" max="14109" width="11.26953125" style="7" bestFit="1" customWidth="1"/>
    <col min="14110" max="14337" width="11.453125" style="7"/>
    <col min="14338" max="14338" width="7" style="7" customWidth="1"/>
    <col min="14339" max="14339" width="10.7265625" style="7" customWidth="1"/>
    <col min="14340" max="14340" width="9.26953125" style="7" customWidth="1"/>
    <col min="14341" max="14364" width="7.26953125" style="7" customWidth="1"/>
    <col min="14365" max="14365" width="11.26953125" style="7" bestFit="1" customWidth="1"/>
    <col min="14366" max="14593" width="11.453125" style="7"/>
    <col min="14594" max="14594" width="7" style="7" customWidth="1"/>
    <col min="14595" max="14595" width="10.7265625" style="7" customWidth="1"/>
    <col min="14596" max="14596" width="9.26953125" style="7" customWidth="1"/>
    <col min="14597" max="14620" width="7.26953125" style="7" customWidth="1"/>
    <col min="14621" max="14621" width="11.26953125" style="7" bestFit="1" customWidth="1"/>
    <col min="14622" max="14849" width="11.453125" style="7"/>
    <col min="14850" max="14850" width="7" style="7" customWidth="1"/>
    <col min="14851" max="14851" width="10.7265625" style="7" customWidth="1"/>
    <col min="14852" max="14852" width="9.26953125" style="7" customWidth="1"/>
    <col min="14853" max="14876" width="7.26953125" style="7" customWidth="1"/>
    <col min="14877" max="14877" width="11.26953125" style="7" bestFit="1" customWidth="1"/>
    <col min="14878" max="15105" width="11.453125" style="7"/>
    <col min="15106" max="15106" width="7" style="7" customWidth="1"/>
    <col min="15107" max="15107" width="10.7265625" style="7" customWidth="1"/>
    <col min="15108" max="15108" width="9.26953125" style="7" customWidth="1"/>
    <col min="15109" max="15132" width="7.26953125" style="7" customWidth="1"/>
    <col min="15133" max="15133" width="11.26953125" style="7" bestFit="1" customWidth="1"/>
    <col min="15134" max="15361" width="11.453125" style="7"/>
    <col min="15362" max="15362" width="7" style="7" customWidth="1"/>
    <col min="15363" max="15363" width="10.7265625" style="7" customWidth="1"/>
    <col min="15364" max="15364" width="9.26953125" style="7" customWidth="1"/>
    <col min="15365" max="15388" width="7.26953125" style="7" customWidth="1"/>
    <col min="15389" max="15389" width="11.26953125" style="7" bestFit="1" customWidth="1"/>
    <col min="15390" max="15617" width="11.453125" style="7"/>
    <col min="15618" max="15618" width="7" style="7" customWidth="1"/>
    <col min="15619" max="15619" width="10.7265625" style="7" customWidth="1"/>
    <col min="15620" max="15620" width="9.26953125" style="7" customWidth="1"/>
    <col min="15621" max="15644" width="7.26953125" style="7" customWidth="1"/>
    <col min="15645" max="15645" width="11.26953125" style="7" bestFit="1" customWidth="1"/>
    <col min="15646" max="15873" width="11.453125" style="7"/>
    <col min="15874" max="15874" width="7" style="7" customWidth="1"/>
    <col min="15875" max="15875" width="10.7265625" style="7" customWidth="1"/>
    <col min="15876" max="15876" width="9.26953125" style="7" customWidth="1"/>
    <col min="15877" max="15900" width="7.26953125" style="7" customWidth="1"/>
    <col min="15901" max="15901" width="11.26953125" style="7" bestFit="1" customWidth="1"/>
    <col min="15902" max="16129" width="11.453125" style="7"/>
    <col min="16130" max="16130" width="7" style="7" customWidth="1"/>
    <col min="16131" max="16131" width="10.7265625" style="7" customWidth="1"/>
    <col min="16132" max="16132" width="9.26953125" style="7" customWidth="1"/>
    <col min="16133" max="16156" width="7.26953125" style="7" customWidth="1"/>
    <col min="16157" max="16157" width="11.26953125" style="7" bestFit="1" customWidth="1"/>
    <col min="16158" max="16384" width="11.453125" style="7"/>
  </cols>
  <sheetData>
    <row r="1" spans="2:56" ht="18.649999999999999" customHeight="1" x14ac:dyDescent="0.25"/>
    <row r="2" spans="2:56" ht="18.649999999999999" customHeight="1" x14ac:dyDescent="0.25">
      <c r="B2" s="79" t="s">
        <v>45</v>
      </c>
      <c r="C2" s="79"/>
      <c r="D2" s="79"/>
      <c r="E2" s="79"/>
      <c r="F2" s="79"/>
      <c r="G2" s="79"/>
      <c r="H2" s="79"/>
      <c r="I2" s="79"/>
      <c r="J2" s="79"/>
      <c r="K2" s="79"/>
      <c r="L2" s="79"/>
      <c r="M2" s="79"/>
      <c r="N2" s="79"/>
      <c r="O2" s="79"/>
      <c r="P2" s="79"/>
      <c r="Q2" s="79"/>
      <c r="R2" s="79"/>
      <c r="S2" s="79"/>
      <c r="T2" s="79"/>
      <c r="U2" s="79"/>
      <c r="V2" s="79"/>
      <c r="W2" s="79"/>
      <c r="X2" s="79"/>
      <c r="Y2" s="79"/>
      <c r="Z2" s="79"/>
      <c r="AA2" s="79"/>
      <c r="AB2" s="79"/>
      <c r="AC2" s="79"/>
    </row>
    <row r="3" spans="2:56" ht="18.649999999999999" customHeight="1" x14ac:dyDescent="0.25">
      <c r="B3" s="79" t="s">
        <v>44</v>
      </c>
      <c r="C3" s="79"/>
      <c r="D3" s="79"/>
      <c r="E3" s="79"/>
      <c r="F3" s="79"/>
      <c r="G3" s="79"/>
      <c r="H3" s="79"/>
      <c r="I3" s="79"/>
      <c r="J3" s="79"/>
      <c r="K3" s="79"/>
      <c r="L3" s="79"/>
      <c r="M3" s="79"/>
      <c r="N3" s="79"/>
      <c r="O3" s="79"/>
      <c r="P3" s="79"/>
      <c r="Q3" s="79"/>
      <c r="R3" s="79"/>
      <c r="S3" s="79"/>
      <c r="T3" s="79"/>
      <c r="U3" s="79"/>
      <c r="V3" s="79"/>
      <c r="W3" s="79"/>
      <c r="X3" s="79"/>
      <c r="Y3" s="79"/>
      <c r="Z3" s="79"/>
      <c r="AA3" s="79"/>
      <c r="AB3" s="79"/>
      <c r="AC3" s="79"/>
    </row>
    <row r="4" spans="2:56" ht="18.649999999999999" customHeight="1" x14ac:dyDescent="0.25">
      <c r="B4" s="79">
        <v>2031</v>
      </c>
      <c r="C4" s="79"/>
      <c r="D4" s="79"/>
      <c r="E4" s="79"/>
      <c r="F4" s="79"/>
      <c r="G4" s="79"/>
      <c r="H4" s="79"/>
      <c r="I4" s="79"/>
      <c r="J4" s="79"/>
      <c r="K4" s="79"/>
      <c r="L4" s="79"/>
      <c r="M4" s="79"/>
      <c r="N4" s="79"/>
      <c r="O4" s="79"/>
      <c r="P4" s="79"/>
      <c r="Q4" s="79"/>
      <c r="R4" s="79"/>
      <c r="S4" s="79"/>
      <c r="T4" s="79"/>
      <c r="U4" s="79"/>
      <c r="V4" s="79"/>
      <c r="W4" s="79"/>
      <c r="X4" s="79"/>
      <c r="Y4" s="79"/>
      <c r="Z4" s="79"/>
      <c r="AA4" s="79"/>
      <c r="AB4" s="79"/>
      <c r="AC4" s="79"/>
    </row>
    <row r="5" spans="2:56" ht="18.649999999999999" customHeight="1" x14ac:dyDescent="0.25"/>
    <row r="6" spans="2:56" ht="15.5" x14ac:dyDescent="0.25">
      <c r="B6" s="2" t="s">
        <v>0</v>
      </c>
      <c r="C6" s="3" t="s">
        <v>1</v>
      </c>
      <c r="D6" s="2" t="s">
        <v>2</v>
      </c>
      <c r="E6" s="9" t="s">
        <v>3</v>
      </c>
      <c r="F6" s="9" t="s">
        <v>4</v>
      </c>
      <c r="G6" s="9" t="s">
        <v>5</v>
      </c>
      <c r="H6" s="9" t="s">
        <v>6</v>
      </c>
      <c r="I6" s="9" t="s">
        <v>7</v>
      </c>
      <c r="J6" s="9" t="s">
        <v>8</v>
      </c>
      <c r="K6" s="9" t="s">
        <v>9</v>
      </c>
      <c r="L6" s="9" t="s">
        <v>10</v>
      </c>
      <c r="M6" s="9" t="s">
        <v>11</v>
      </c>
      <c r="N6" s="9" t="s">
        <v>12</v>
      </c>
      <c r="O6" s="9" t="s">
        <v>13</v>
      </c>
      <c r="P6" s="9" t="s">
        <v>14</v>
      </c>
      <c r="Q6" s="9" t="s">
        <v>15</v>
      </c>
      <c r="R6" s="9" t="s">
        <v>16</v>
      </c>
      <c r="S6" s="9" t="s">
        <v>17</v>
      </c>
      <c r="T6" s="9" t="s">
        <v>18</v>
      </c>
      <c r="U6" s="9" t="s">
        <v>19</v>
      </c>
      <c r="V6" s="9" t="s">
        <v>20</v>
      </c>
      <c r="W6" s="9" t="s">
        <v>21</v>
      </c>
      <c r="X6" s="9" t="s">
        <v>22</v>
      </c>
      <c r="Y6" s="9" t="s">
        <v>23</v>
      </c>
      <c r="Z6" s="9" t="s">
        <v>24</v>
      </c>
      <c r="AA6" s="9" t="s">
        <v>25</v>
      </c>
      <c r="AB6" s="9" t="s">
        <v>26</v>
      </c>
      <c r="AC6" s="9" t="s">
        <v>27</v>
      </c>
    </row>
    <row r="7" spans="2:56" ht="18.649999999999999" customHeight="1" x14ac:dyDescent="0.25">
      <c r="B7" s="70" t="s">
        <v>28</v>
      </c>
      <c r="C7" s="4" t="s">
        <v>29</v>
      </c>
      <c r="D7" s="5">
        <v>21</v>
      </c>
      <c r="E7" s="11">
        <v>5000</v>
      </c>
      <c r="F7" s="11">
        <v>5000</v>
      </c>
      <c r="G7" s="11">
        <v>5000</v>
      </c>
      <c r="H7" s="11">
        <v>5000</v>
      </c>
      <c r="I7" s="11">
        <v>5000</v>
      </c>
      <c r="J7" s="11">
        <v>5000</v>
      </c>
      <c r="K7" s="11">
        <v>5000</v>
      </c>
      <c r="L7" s="11">
        <v>5000</v>
      </c>
      <c r="M7" s="11">
        <v>5000</v>
      </c>
      <c r="N7" s="11">
        <v>5000</v>
      </c>
      <c r="O7" s="11">
        <v>5000</v>
      </c>
      <c r="P7" s="11">
        <v>5000</v>
      </c>
      <c r="Q7" s="11">
        <v>5000</v>
      </c>
      <c r="R7" s="11">
        <v>5000</v>
      </c>
      <c r="S7" s="11">
        <v>5000</v>
      </c>
      <c r="T7" s="11">
        <v>5000</v>
      </c>
      <c r="U7" s="11">
        <v>5000</v>
      </c>
      <c r="V7" s="11">
        <v>5000</v>
      </c>
      <c r="W7" s="11">
        <v>5000</v>
      </c>
      <c r="X7" s="11">
        <v>5000</v>
      </c>
      <c r="Y7" s="11">
        <v>5000</v>
      </c>
      <c r="Z7" s="11">
        <v>5000</v>
      </c>
      <c r="AA7" s="11">
        <v>5000</v>
      </c>
      <c r="AB7" s="11">
        <v>5000</v>
      </c>
      <c r="AC7" s="76">
        <f>+SUM(E7:AB7)*D7+SUM(E8:AB8)*D8+SUM(E9:AB9)*D9+SUM(E10:AB10)*D10</f>
        <v>3720000</v>
      </c>
      <c r="AE7" s="17">
        <f>+AC7</f>
        <v>3720000</v>
      </c>
      <c r="AG7" s="15"/>
      <c r="AH7" s="15"/>
      <c r="AI7" s="15"/>
      <c r="AJ7" s="15"/>
      <c r="AK7" s="15"/>
      <c r="AL7" s="15"/>
      <c r="AM7" s="15"/>
      <c r="AN7" s="15"/>
      <c r="AO7" s="15"/>
      <c r="AP7" s="15"/>
      <c r="AQ7" s="15"/>
      <c r="AR7" s="15"/>
      <c r="AS7" s="15"/>
      <c r="AT7" s="15"/>
      <c r="AU7" s="15"/>
      <c r="AV7" s="15"/>
      <c r="AW7" s="15"/>
      <c r="AX7" s="15"/>
      <c r="AY7" s="15"/>
      <c r="AZ7" s="15"/>
      <c r="BA7" s="15"/>
      <c r="BB7" s="15"/>
      <c r="BC7" s="15"/>
      <c r="BD7" s="15"/>
    </row>
    <row r="8" spans="2:56" ht="18.649999999999999" customHeight="1" x14ac:dyDescent="0.25">
      <c r="B8" s="70" t="s">
        <v>28</v>
      </c>
      <c r="C8" s="4" t="s">
        <v>30</v>
      </c>
      <c r="D8" s="5">
        <v>4</v>
      </c>
      <c r="E8" s="11">
        <v>5000</v>
      </c>
      <c r="F8" s="11">
        <v>5000</v>
      </c>
      <c r="G8" s="11">
        <v>5000</v>
      </c>
      <c r="H8" s="11">
        <v>5000</v>
      </c>
      <c r="I8" s="11">
        <v>5000</v>
      </c>
      <c r="J8" s="11">
        <v>5000</v>
      </c>
      <c r="K8" s="11">
        <v>5000</v>
      </c>
      <c r="L8" s="11">
        <v>5000</v>
      </c>
      <c r="M8" s="11">
        <v>5000</v>
      </c>
      <c r="N8" s="11">
        <v>5000</v>
      </c>
      <c r="O8" s="11">
        <v>5000</v>
      </c>
      <c r="P8" s="11">
        <v>5000</v>
      </c>
      <c r="Q8" s="11">
        <v>5000</v>
      </c>
      <c r="R8" s="11">
        <v>5000</v>
      </c>
      <c r="S8" s="11">
        <v>5000</v>
      </c>
      <c r="T8" s="11">
        <v>5000</v>
      </c>
      <c r="U8" s="11">
        <v>5000</v>
      </c>
      <c r="V8" s="11">
        <v>5000</v>
      </c>
      <c r="W8" s="11">
        <v>5000</v>
      </c>
      <c r="X8" s="11">
        <v>5000</v>
      </c>
      <c r="Y8" s="11">
        <v>5000</v>
      </c>
      <c r="Z8" s="11">
        <v>5000</v>
      </c>
      <c r="AA8" s="11">
        <v>5000</v>
      </c>
      <c r="AB8" s="11">
        <v>5000</v>
      </c>
      <c r="AC8" s="77"/>
      <c r="AE8" s="17">
        <f>+AC11</f>
        <v>3360000</v>
      </c>
      <c r="AG8" s="15"/>
      <c r="AH8" s="15"/>
      <c r="AI8" s="15"/>
      <c r="AJ8" s="15"/>
      <c r="AK8" s="15"/>
      <c r="AL8" s="15"/>
      <c r="AM8" s="15"/>
      <c r="AN8" s="15"/>
      <c r="AO8" s="15"/>
      <c r="AP8" s="15"/>
      <c r="AQ8" s="15"/>
      <c r="AR8" s="15"/>
      <c r="AS8" s="15"/>
      <c r="AT8" s="15"/>
      <c r="AU8" s="15"/>
      <c r="AV8" s="15"/>
      <c r="AW8" s="15"/>
      <c r="AX8" s="15"/>
      <c r="AY8" s="15"/>
      <c r="AZ8" s="15"/>
      <c r="BA8" s="15"/>
      <c r="BB8" s="15"/>
      <c r="BC8" s="15"/>
      <c r="BD8" s="15"/>
    </row>
    <row r="9" spans="2:56" ht="18.649999999999999" customHeight="1" x14ac:dyDescent="0.25">
      <c r="B9" s="70" t="s">
        <v>28</v>
      </c>
      <c r="C9" s="4" t="s">
        <v>31</v>
      </c>
      <c r="D9" s="5">
        <v>4</v>
      </c>
      <c r="E9" s="11">
        <v>5000</v>
      </c>
      <c r="F9" s="11">
        <v>5000</v>
      </c>
      <c r="G9" s="11">
        <v>5000</v>
      </c>
      <c r="H9" s="11">
        <v>5000</v>
      </c>
      <c r="I9" s="11">
        <v>5000</v>
      </c>
      <c r="J9" s="11">
        <v>5000</v>
      </c>
      <c r="K9" s="11">
        <v>5000</v>
      </c>
      <c r="L9" s="11">
        <v>5000</v>
      </c>
      <c r="M9" s="11">
        <v>5000</v>
      </c>
      <c r="N9" s="11">
        <v>5000</v>
      </c>
      <c r="O9" s="11">
        <v>5000</v>
      </c>
      <c r="P9" s="11">
        <v>5000</v>
      </c>
      <c r="Q9" s="11">
        <v>5000</v>
      </c>
      <c r="R9" s="11">
        <v>5000</v>
      </c>
      <c r="S9" s="11">
        <v>5000</v>
      </c>
      <c r="T9" s="11">
        <v>5000</v>
      </c>
      <c r="U9" s="11">
        <v>5000</v>
      </c>
      <c r="V9" s="11">
        <v>5000</v>
      </c>
      <c r="W9" s="11">
        <v>5000</v>
      </c>
      <c r="X9" s="11">
        <v>5000</v>
      </c>
      <c r="Y9" s="11">
        <v>5000</v>
      </c>
      <c r="Z9" s="11">
        <v>5000</v>
      </c>
      <c r="AA9" s="11">
        <v>5000</v>
      </c>
      <c r="AB9" s="11">
        <v>5000</v>
      </c>
      <c r="AC9" s="77"/>
      <c r="AE9" s="17">
        <f>+AC15</f>
        <v>3720000</v>
      </c>
      <c r="AG9" s="15"/>
      <c r="AH9" s="15"/>
      <c r="AI9" s="15"/>
      <c r="AJ9" s="15"/>
      <c r="AK9" s="15"/>
      <c r="AL9" s="15"/>
      <c r="AM9" s="15"/>
      <c r="AN9" s="15"/>
      <c r="AO9" s="15"/>
      <c r="AP9" s="15"/>
      <c r="AQ9" s="15"/>
      <c r="AR9" s="15"/>
      <c r="AS9" s="15"/>
      <c r="AT9" s="15"/>
      <c r="AU9" s="15"/>
      <c r="AV9" s="15"/>
      <c r="AW9" s="15"/>
      <c r="AX9" s="15"/>
      <c r="AY9" s="15"/>
      <c r="AZ9" s="15"/>
      <c r="BA9" s="15"/>
      <c r="BB9" s="15"/>
      <c r="BC9" s="15"/>
      <c r="BD9" s="15"/>
    </row>
    <row r="10" spans="2:56" ht="18.649999999999999" customHeight="1" x14ac:dyDescent="0.25">
      <c r="B10" s="70" t="s">
        <v>28</v>
      </c>
      <c r="C10" s="4" t="s">
        <v>32</v>
      </c>
      <c r="D10" s="5">
        <v>2</v>
      </c>
      <c r="E10" s="11">
        <v>5000</v>
      </c>
      <c r="F10" s="11">
        <v>5000</v>
      </c>
      <c r="G10" s="11">
        <v>5000</v>
      </c>
      <c r="H10" s="11">
        <v>5000</v>
      </c>
      <c r="I10" s="11">
        <v>5000</v>
      </c>
      <c r="J10" s="11">
        <v>5000</v>
      </c>
      <c r="K10" s="11">
        <v>5000</v>
      </c>
      <c r="L10" s="11">
        <v>5000</v>
      </c>
      <c r="M10" s="11">
        <v>5000</v>
      </c>
      <c r="N10" s="11">
        <v>5000</v>
      </c>
      <c r="O10" s="11">
        <v>5000</v>
      </c>
      <c r="P10" s="11">
        <v>5000</v>
      </c>
      <c r="Q10" s="11">
        <v>5000</v>
      </c>
      <c r="R10" s="11">
        <v>5000</v>
      </c>
      <c r="S10" s="11">
        <v>5000</v>
      </c>
      <c r="T10" s="11">
        <v>5000</v>
      </c>
      <c r="U10" s="11">
        <v>5000</v>
      </c>
      <c r="V10" s="11">
        <v>5000</v>
      </c>
      <c r="W10" s="11">
        <v>5000</v>
      </c>
      <c r="X10" s="11">
        <v>5000</v>
      </c>
      <c r="Y10" s="11">
        <v>5000</v>
      </c>
      <c r="Z10" s="11">
        <v>5000</v>
      </c>
      <c r="AA10" s="11">
        <v>5000</v>
      </c>
      <c r="AB10" s="11">
        <v>5000</v>
      </c>
      <c r="AC10" s="78"/>
      <c r="AE10" s="17">
        <f>+AC19</f>
        <v>3600000</v>
      </c>
      <c r="AG10" s="15"/>
      <c r="AH10" s="15"/>
      <c r="AI10" s="15"/>
      <c r="AJ10" s="15"/>
      <c r="AK10" s="15"/>
      <c r="AL10" s="15"/>
      <c r="AM10" s="15"/>
      <c r="AN10" s="15"/>
      <c r="AO10" s="15"/>
      <c r="AP10" s="15"/>
      <c r="AQ10" s="15"/>
      <c r="AR10" s="15"/>
      <c r="AS10" s="15"/>
      <c r="AT10" s="15"/>
      <c r="AU10" s="15"/>
      <c r="AV10" s="15"/>
      <c r="AW10" s="15"/>
      <c r="AX10" s="15"/>
      <c r="AY10" s="15"/>
      <c r="AZ10" s="15"/>
      <c r="BA10" s="15"/>
      <c r="BB10" s="15"/>
      <c r="BC10" s="15"/>
      <c r="BD10" s="15"/>
    </row>
    <row r="11" spans="2:56" ht="18.649999999999999" customHeight="1" x14ac:dyDescent="0.25">
      <c r="B11" s="70" t="s">
        <v>33</v>
      </c>
      <c r="C11" s="4" t="s">
        <v>29</v>
      </c>
      <c r="D11" s="5">
        <v>20</v>
      </c>
      <c r="E11" s="11">
        <v>5000</v>
      </c>
      <c r="F11" s="11">
        <v>5000</v>
      </c>
      <c r="G11" s="11">
        <v>5000</v>
      </c>
      <c r="H11" s="11">
        <v>5000</v>
      </c>
      <c r="I11" s="11">
        <v>5000</v>
      </c>
      <c r="J11" s="11">
        <v>5000</v>
      </c>
      <c r="K11" s="11">
        <v>5000</v>
      </c>
      <c r="L11" s="11">
        <v>5000</v>
      </c>
      <c r="M11" s="11">
        <v>5000</v>
      </c>
      <c r="N11" s="11">
        <v>5000</v>
      </c>
      <c r="O11" s="11">
        <v>5000</v>
      </c>
      <c r="P11" s="11">
        <v>5000</v>
      </c>
      <c r="Q11" s="11">
        <v>5000</v>
      </c>
      <c r="R11" s="11">
        <v>5000</v>
      </c>
      <c r="S11" s="11">
        <v>5000</v>
      </c>
      <c r="T11" s="11">
        <v>5000</v>
      </c>
      <c r="U11" s="11">
        <v>5000</v>
      </c>
      <c r="V11" s="11">
        <v>5000</v>
      </c>
      <c r="W11" s="11">
        <v>5000</v>
      </c>
      <c r="X11" s="11">
        <v>5000</v>
      </c>
      <c r="Y11" s="11">
        <v>5000</v>
      </c>
      <c r="Z11" s="11">
        <v>5000</v>
      </c>
      <c r="AA11" s="11">
        <v>5000</v>
      </c>
      <c r="AB11" s="11">
        <v>5000</v>
      </c>
      <c r="AC11" s="76">
        <f>+SUM(E11:AB11)*D11+SUM(E12:AB12)*D12+SUM(E13:AB13)*D13+SUM(E14:AB14)*D14</f>
        <v>3360000</v>
      </c>
      <c r="AE11" s="17">
        <f>+AC23</f>
        <v>3720000</v>
      </c>
      <c r="AG11" s="15"/>
      <c r="AH11" s="15"/>
      <c r="AI11" s="15"/>
      <c r="AJ11" s="15"/>
      <c r="AK11" s="15"/>
      <c r="AL11" s="15"/>
      <c r="AM11" s="15"/>
      <c r="AN11" s="15"/>
      <c r="AO11" s="15"/>
      <c r="AP11" s="15"/>
      <c r="AQ11" s="15"/>
      <c r="AR11" s="15"/>
      <c r="AS11" s="15"/>
      <c r="AT11" s="15"/>
      <c r="AU11" s="15"/>
      <c r="AV11" s="15"/>
      <c r="AW11" s="15"/>
      <c r="AX11" s="15"/>
      <c r="AY11" s="15"/>
      <c r="AZ11" s="15"/>
      <c r="BA11" s="15"/>
      <c r="BB11" s="15"/>
      <c r="BC11" s="15"/>
      <c r="BD11" s="15"/>
    </row>
    <row r="12" spans="2:56" ht="18.649999999999999" customHeight="1" x14ac:dyDescent="0.25">
      <c r="B12" s="70" t="s">
        <v>33</v>
      </c>
      <c r="C12" s="4" t="s">
        <v>30</v>
      </c>
      <c r="D12" s="5">
        <v>4</v>
      </c>
      <c r="E12" s="11">
        <v>5000</v>
      </c>
      <c r="F12" s="11">
        <v>5000</v>
      </c>
      <c r="G12" s="11">
        <v>5000</v>
      </c>
      <c r="H12" s="11">
        <v>5000</v>
      </c>
      <c r="I12" s="11">
        <v>5000</v>
      </c>
      <c r="J12" s="11">
        <v>5000</v>
      </c>
      <c r="K12" s="11">
        <v>5000</v>
      </c>
      <c r="L12" s="11">
        <v>5000</v>
      </c>
      <c r="M12" s="11">
        <v>5000</v>
      </c>
      <c r="N12" s="11">
        <v>5000</v>
      </c>
      <c r="O12" s="11">
        <v>5000</v>
      </c>
      <c r="P12" s="11">
        <v>5000</v>
      </c>
      <c r="Q12" s="11">
        <v>5000</v>
      </c>
      <c r="R12" s="11">
        <v>5000</v>
      </c>
      <c r="S12" s="11">
        <v>5000</v>
      </c>
      <c r="T12" s="11">
        <v>5000</v>
      </c>
      <c r="U12" s="11">
        <v>5000</v>
      </c>
      <c r="V12" s="11">
        <v>5000</v>
      </c>
      <c r="W12" s="11">
        <v>5000</v>
      </c>
      <c r="X12" s="11">
        <v>5000</v>
      </c>
      <c r="Y12" s="11">
        <v>5000</v>
      </c>
      <c r="Z12" s="11">
        <v>5000</v>
      </c>
      <c r="AA12" s="11">
        <v>5000</v>
      </c>
      <c r="AB12" s="11">
        <v>5000</v>
      </c>
      <c r="AC12" s="77"/>
      <c r="AE12" s="17">
        <f>+AC27</f>
        <v>3600000</v>
      </c>
      <c r="AG12" s="15"/>
      <c r="AH12" s="15"/>
      <c r="AI12" s="15"/>
      <c r="AJ12" s="15"/>
      <c r="AK12" s="15"/>
      <c r="AL12" s="15"/>
      <c r="AM12" s="15"/>
      <c r="AN12" s="15"/>
      <c r="AO12" s="15"/>
      <c r="AP12" s="15"/>
      <c r="AQ12" s="15"/>
      <c r="AR12" s="15"/>
      <c r="AS12" s="15"/>
      <c r="AT12" s="15"/>
      <c r="AU12" s="15"/>
      <c r="AV12" s="15"/>
      <c r="AW12" s="15"/>
      <c r="AX12" s="15"/>
      <c r="AY12" s="15"/>
      <c r="AZ12" s="15"/>
      <c r="BA12" s="15"/>
      <c r="BB12" s="15"/>
      <c r="BC12" s="15"/>
      <c r="BD12" s="15"/>
    </row>
    <row r="13" spans="2:56" ht="18.649999999999999" customHeight="1" x14ac:dyDescent="0.25">
      <c r="B13" s="70" t="s">
        <v>33</v>
      </c>
      <c r="C13" s="4" t="s">
        <v>31</v>
      </c>
      <c r="D13" s="5">
        <v>4</v>
      </c>
      <c r="E13" s="11">
        <v>5000</v>
      </c>
      <c r="F13" s="11">
        <v>5000</v>
      </c>
      <c r="G13" s="11">
        <v>5000</v>
      </c>
      <c r="H13" s="11">
        <v>5000</v>
      </c>
      <c r="I13" s="11">
        <v>5000</v>
      </c>
      <c r="J13" s="11">
        <v>5000</v>
      </c>
      <c r="K13" s="11">
        <v>5000</v>
      </c>
      <c r="L13" s="11">
        <v>5000</v>
      </c>
      <c r="M13" s="11">
        <v>5000</v>
      </c>
      <c r="N13" s="11">
        <v>5000</v>
      </c>
      <c r="O13" s="11">
        <v>5000</v>
      </c>
      <c r="P13" s="11">
        <v>5000</v>
      </c>
      <c r="Q13" s="11">
        <v>5000</v>
      </c>
      <c r="R13" s="11">
        <v>5000</v>
      </c>
      <c r="S13" s="11">
        <v>5000</v>
      </c>
      <c r="T13" s="11">
        <v>5000</v>
      </c>
      <c r="U13" s="11">
        <v>5000</v>
      </c>
      <c r="V13" s="11">
        <v>5000</v>
      </c>
      <c r="W13" s="11">
        <v>5000</v>
      </c>
      <c r="X13" s="11">
        <v>5000</v>
      </c>
      <c r="Y13" s="11">
        <v>5000</v>
      </c>
      <c r="Z13" s="11">
        <v>5000</v>
      </c>
      <c r="AA13" s="11">
        <v>5000</v>
      </c>
      <c r="AB13" s="11">
        <v>5000</v>
      </c>
      <c r="AC13" s="77"/>
      <c r="AE13" s="17">
        <f>+AC31</f>
        <v>3720000</v>
      </c>
      <c r="AG13" s="15"/>
      <c r="AH13" s="15"/>
      <c r="AI13" s="15"/>
      <c r="AJ13" s="15"/>
      <c r="AK13" s="15"/>
      <c r="AL13" s="15"/>
      <c r="AM13" s="15"/>
      <c r="AN13" s="15"/>
      <c r="AO13" s="15"/>
      <c r="AP13" s="15"/>
      <c r="AQ13" s="15"/>
      <c r="AR13" s="15"/>
      <c r="AS13" s="15"/>
      <c r="AT13" s="15"/>
      <c r="AU13" s="15"/>
      <c r="AV13" s="15"/>
      <c r="AW13" s="15"/>
      <c r="AX13" s="15"/>
      <c r="AY13" s="15"/>
      <c r="AZ13" s="15"/>
      <c r="BA13" s="15"/>
      <c r="BB13" s="15"/>
      <c r="BC13" s="15"/>
      <c r="BD13" s="15"/>
    </row>
    <row r="14" spans="2:56" ht="18.649999999999999" customHeight="1" x14ac:dyDescent="0.25">
      <c r="B14" s="70" t="s">
        <v>33</v>
      </c>
      <c r="C14" s="4" t="s">
        <v>32</v>
      </c>
      <c r="D14" s="5">
        <v>0</v>
      </c>
      <c r="E14" s="11"/>
      <c r="F14" s="11"/>
      <c r="G14" s="11"/>
      <c r="H14" s="11"/>
      <c r="I14" s="11"/>
      <c r="J14" s="11"/>
      <c r="K14" s="11"/>
      <c r="L14" s="11"/>
      <c r="M14" s="11"/>
      <c r="N14" s="11"/>
      <c r="O14" s="11"/>
      <c r="P14" s="11"/>
      <c r="Q14" s="11"/>
      <c r="R14" s="11"/>
      <c r="S14" s="11"/>
      <c r="T14" s="11"/>
      <c r="U14" s="11"/>
      <c r="V14" s="11"/>
      <c r="W14" s="11"/>
      <c r="X14" s="11"/>
      <c r="Y14" s="11"/>
      <c r="Z14" s="11"/>
      <c r="AA14" s="11"/>
      <c r="AB14" s="11"/>
      <c r="AC14" s="78"/>
      <c r="AE14" s="17">
        <f>+AC35</f>
        <v>3720000</v>
      </c>
      <c r="AG14" s="15"/>
      <c r="AH14" s="15"/>
      <c r="AI14" s="15"/>
      <c r="AJ14" s="15"/>
      <c r="AK14" s="15"/>
      <c r="AL14" s="15"/>
      <c r="AM14" s="15"/>
      <c r="AN14" s="15"/>
      <c r="AO14" s="15"/>
      <c r="AP14" s="15"/>
      <c r="AQ14" s="15"/>
      <c r="AR14" s="15"/>
      <c r="AS14" s="15"/>
      <c r="AT14" s="15"/>
      <c r="AU14" s="15"/>
      <c r="AV14" s="15"/>
      <c r="AW14" s="15"/>
      <c r="AX14" s="15"/>
      <c r="AY14" s="15"/>
      <c r="AZ14" s="15"/>
      <c r="BA14" s="15"/>
      <c r="BB14" s="15"/>
      <c r="BC14" s="15"/>
      <c r="BD14" s="15"/>
    </row>
    <row r="15" spans="2:56" ht="18.649999999999999" customHeight="1" x14ac:dyDescent="0.25">
      <c r="B15" s="70" t="s">
        <v>34</v>
      </c>
      <c r="C15" s="4" t="s">
        <v>29</v>
      </c>
      <c r="D15" s="5">
        <v>20</v>
      </c>
      <c r="E15" s="11">
        <v>5000</v>
      </c>
      <c r="F15" s="11">
        <v>5000</v>
      </c>
      <c r="G15" s="11">
        <v>5000</v>
      </c>
      <c r="H15" s="11">
        <v>5000</v>
      </c>
      <c r="I15" s="11">
        <v>5000</v>
      </c>
      <c r="J15" s="11">
        <v>5000</v>
      </c>
      <c r="K15" s="11">
        <v>5000</v>
      </c>
      <c r="L15" s="11">
        <v>5000</v>
      </c>
      <c r="M15" s="11">
        <v>5000</v>
      </c>
      <c r="N15" s="11">
        <v>5000</v>
      </c>
      <c r="O15" s="11">
        <v>5000</v>
      </c>
      <c r="P15" s="11">
        <v>5000</v>
      </c>
      <c r="Q15" s="11">
        <v>5000</v>
      </c>
      <c r="R15" s="11">
        <v>5000</v>
      </c>
      <c r="S15" s="11">
        <v>5000</v>
      </c>
      <c r="T15" s="11">
        <v>5000</v>
      </c>
      <c r="U15" s="11">
        <v>5000</v>
      </c>
      <c r="V15" s="11">
        <v>5000</v>
      </c>
      <c r="W15" s="11">
        <v>5000</v>
      </c>
      <c r="X15" s="11">
        <v>5000</v>
      </c>
      <c r="Y15" s="11">
        <v>5000</v>
      </c>
      <c r="Z15" s="11">
        <v>5000</v>
      </c>
      <c r="AA15" s="11">
        <v>5000</v>
      </c>
      <c r="AB15" s="11">
        <v>5000</v>
      </c>
      <c r="AC15" s="76">
        <f>+SUM(E15:AB15)*D15+SUM(E16:AB16)*D16+SUM(E17:AB17)*D17+SUM(E18:AB18)*D18</f>
        <v>3720000</v>
      </c>
      <c r="AE15" s="17">
        <f>+AC39</f>
        <v>3600000</v>
      </c>
      <c r="AG15" s="15"/>
      <c r="AH15" s="15"/>
      <c r="AI15" s="15"/>
      <c r="AJ15" s="15"/>
      <c r="AK15" s="15"/>
      <c r="AL15" s="15"/>
      <c r="AM15" s="15"/>
      <c r="AN15" s="15"/>
      <c r="AO15" s="15"/>
      <c r="AP15" s="15"/>
      <c r="AQ15" s="15"/>
      <c r="AR15" s="15"/>
      <c r="AS15" s="15"/>
      <c r="AT15" s="15"/>
      <c r="AU15" s="15"/>
      <c r="AV15" s="15"/>
      <c r="AW15" s="15"/>
      <c r="AX15" s="15"/>
      <c r="AY15" s="15"/>
      <c r="AZ15" s="15"/>
      <c r="BA15" s="15"/>
      <c r="BB15" s="15"/>
      <c r="BC15" s="15"/>
      <c r="BD15" s="15"/>
    </row>
    <row r="16" spans="2:56" ht="18.649999999999999" customHeight="1" x14ac:dyDescent="0.25">
      <c r="B16" s="70" t="s">
        <v>34</v>
      </c>
      <c r="C16" s="4" t="s">
        <v>30</v>
      </c>
      <c r="D16" s="5">
        <v>5</v>
      </c>
      <c r="E16" s="11">
        <v>5000</v>
      </c>
      <c r="F16" s="11">
        <v>5000</v>
      </c>
      <c r="G16" s="11">
        <v>5000</v>
      </c>
      <c r="H16" s="11">
        <v>5000</v>
      </c>
      <c r="I16" s="11">
        <v>5000</v>
      </c>
      <c r="J16" s="11">
        <v>5000</v>
      </c>
      <c r="K16" s="11">
        <v>5000</v>
      </c>
      <c r="L16" s="11">
        <v>5000</v>
      </c>
      <c r="M16" s="11">
        <v>5000</v>
      </c>
      <c r="N16" s="11">
        <v>5000</v>
      </c>
      <c r="O16" s="11">
        <v>5000</v>
      </c>
      <c r="P16" s="11">
        <v>5000</v>
      </c>
      <c r="Q16" s="11">
        <v>5000</v>
      </c>
      <c r="R16" s="11">
        <v>5000</v>
      </c>
      <c r="S16" s="11">
        <v>5000</v>
      </c>
      <c r="T16" s="11">
        <v>5000</v>
      </c>
      <c r="U16" s="11">
        <v>5000</v>
      </c>
      <c r="V16" s="11">
        <v>5000</v>
      </c>
      <c r="W16" s="11">
        <v>5000</v>
      </c>
      <c r="X16" s="11">
        <v>5000</v>
      </c>
      <c r="Y16" s="11">
        <v>5000</v>
      </c>
      <c r="Z16" s="11">
        <v>5000</v>
      </c>
      <c r="AA16" s="11">
        <v>5000</v>
      </c>
      <c r="AB16" s="11">
        <v>5000</v>
      </c>
      <c r="AC16" s="77"/>
      <c r="AE16" s="17">
        <f>+AC43</f>
        <v>3720000</v>
      </c>
      <c r="AG16" s="15"/>
      <c r="AH16" s="15"/>
      <c r="AI16" s="15"/>
      <c r="AJ16" s="15"/>
      <c r="AK16" s="15"/>
      <c r="AL16" s="15"/>
      <c r="AM16" s="15"/>
      <c r="AN16" s="15"/>
      <c r="AO16" s="15"/>
      <c r="AP16" s="15"/>
      <c r="AQ16" s="15"/>
      <c r="AR16" s="15"/>
      <c r="AS16" s="15"/>
      <c r="AT16" s="15"/>
      <c r="AU16" s="15"/>
      <c r="AV16" s="15"/>
      <c r="AW16" s="15"/>
      <c r="AX16" s="15"/>
      <c r="AY16" s="15"/>
      <c r="AZ16" s="15"/>
      <c r="BA16" s="15"/>
      <c r="BB16" s="15"/>
      <c r="BC16" s="15"/>
      <c r="BD16" s="15"/>
    </row>
    <row r="17" spans="2:56" ht="18.649999999999999" customHeight="1" x14ac:dyDescent="0.25">
      <c r="B17" s="70" t="s">
        <v>34</v>
      </c>
      <c r="C17" s="4" t="s">
        <v>31</v>
      </c>
      <c r="D17" s="5">
        <v>5</v>
      </c>
      <c r="E17" s="11">
        <v>5000</v>
      </c>
      <c r="F17" s="11">
        <v>5000</v>
      </c>
      <c r="G17" s="11">
        <v>5000</v>
      </c>
      <c r="H17" s="11">
        <v>5000</v>
      </c>
      <c r="I17" s="11">
        <v>5000</v>
      </c>
      <c r="J17" s="11">
        <v>5000</v>
      </c>
      <c r="K17" s="11">
        <v>5000</v>
      </c>
      <c r="L17" s="11">
        <v>5000</v>
      </c>
      <c r="M17" s="11">
        <v>5000</v>
      </c>
      <c r="N17" s="11">
        <v>5000</v>
      </c>
      <c r="O17" s="11">
        <v>5000</v>
      </c>
      <c r="P17" s="11">
        <v>5000</v>
      </c>
      <c r="Q17" s="11">
        <v>5000</v>
      </c>
      <c r="R17" s="11">
        <v>5000</v>
      </c>
      <c r="S17" s="11">
        <v>5000</v>
      </c>
      <c r="T17" s="11">
        <v>5000</v>
      </c>
      <c r="U17" s="11">
        <v>5000</v>
      </c>
      <c r="V17" s="11">
        <v>5000</v>
      </c>
      <c r="W17" s="11">
        <v>5000</v>
      </c>
      <c r="X17" s="11">
        <v>5000</v>
      </c>
      <c r="Y17" s="11">
        <v>5000</v>
      </c>
      <c r="Z17" s="11">
        <v>5000</v>
      </c>
      <c r="AA17" s="11">
        <v>5000</v>
      </c>
      <c r="AB17" s="11">
        <v>5000</v>
      </c>
      <c r="AC17" s="77"/>
      <c r="AE17" s="17">
        <f>+AC47</f>
        <v>3600000</v>
      </c>
      <c r="AG17" s="15"/>
      <c r="AH17" s="15"/>
      <c r="AI17" s="15"/>
      <c r="AJ17" s="15"/>
      <c r="AK17" s="15"/>
      <c r="AL17" s="15"/>
      <c r="AM17" s="15"/>
      <c r="AN17" s="15"/>
      <c r="AO17" s="15"/>
      <c r="AP17" s="15"/>
      <c r="AQ17" s="15"/>
      <c r="AR17" s="15"/>
      <c r="AS17" s="15"/>
      <c r="AT17" s="15"/>
      <c r="AU17" s="15"/>
      <c r="AV17" s="15"/>
      <c r="AW17" s="15"/>
      <c r="AX17" s="15"/>
      <c r="AY17" s="15"/>
      <c r="AZ17" s="15"/>
      <c r="BA17" s="15"/>
      <c r="BB17" s="15"/>
      <c r="BC17" s="15"/>
      <c r="BD17" s="15"/>
    </row>
    <row r="18" spans="2:56" ht="18.649999999999999" customHeight="1" x14ac:dyDescent="0.25">
      <c r="B18" s="70" t="s">
        <v>34</v>
      </c>
      <c r="C18" s="4" t="s">
        <v>32</v>
      </c>
      <c r="D18" s="5">
        <v>1</v>
      </c>
      <c r="E18" s="11">
        <v>5000</v>
      </c>
      <c r="F18" s="11">
        <v>5000</v>
      </c>
      <c r="G18" s="11">
        <v>5000</v>
      </c>
      <c r="H18" s="11">
        <v>5000</v>
      </c>
      <c r="I18" s="11">
        <v>5000</v>
      </c>
      <c r="J18" s="11">
        <v>5000</v>
      </c>
      <c r="K18" s="11">
        <v>5000</v>
      </c>
      <c r="L18" s="11">
        <v>5000</v>
      </c>
      <c r="M18" s="11">
        <v>5000</v>
      </c>
      <c r="N18" s="11">
        <v>5000</v>
      </c>
      <c r="O18" s="11">
        <v>5000</v>
      </c>
      <c r="P18" s="11">
        <v>5000</v>
      </c>
      <c r="Q18" s="11">
        <v>5000</v>
      </c>
      <c r="R18" s="11">
        <v>5000</v>
      </c>
      <c r="S18" s="11">
        <v>5000</v>
      </c>
      <c r="T18" s="11">
        <v>5000</v>
      </c>
      <c r="U18" s="11">
        <v>5000</v>
      </c>
      <c r="V18" s="11">
        <v>5000</v>
      </c>
      <c r="W18" s="11">
        <v>5000</v>
      </c>
      <c r="X18" s="11">
        <v>5000</v>
      </c>
      <c r="Y18" s="11">
        <v>5000</v>
      </c>
      <c r="Z18" s="11">
        <v>5000</v>
      </c>
      <c r="AA18" s="11">
        <v>5000</v>
      </c>
      <c r="AB18" s="11">
        <v>5000</v>
      </c>
      <c r="AC18" s="78"/>
      <c r="AE18" s="17">
        <f>+AC51</f>
        <v>3720000</v>
      </c>
      <c r="AG18" s="15"/>
      <c r="AH18" s="15"/>
      <c r="AI18" s="15"/>
      <c r="AJ18" s="15"/>
      <c r="AK18" s="15"/>
      <c r="AL18" s="15"/>
      <c r="AM18" s="15"/>
      <c r="AN18" s="15"/>
      <c r="AO18" s="15"/>
      <c r="AP18" s="15"/>
      <c r="AQ18" s="15"/>
      <c r="AR18" s="15"/>
      <c r="AS18" s="15"/>
      <c r="AT18" s="15"/>
      <c r="AU18" s="15"/>
      <c r="AV18" s="15"/>
      <c r="AW18" s="15"/>
      <c r="AX18" s="15"/>
      <c r="AY18" s="15"/>
      <c r="AZ18" s="15"/>
      <c r="BA18" s="15"/>
      <c r="BB18" s="15"/>
      <c r="BC18" s="15"/>
      <c r="BD18" s="15"/>
    </row>
    <row r="19" spans="2:56" ht="18.649999999999999" customHeight="1" x14ac:dyDescent="0.3">
      <c r="B19" s="70" t="s">
        <v>35</v>
      </c>
      <c r="C19" s="4" t="s">
        <v>29</v>
      </c>
      <c r="D19" s="5">
        <v>20</v>
      </c>
      <c r="E19" s="11">
        <v>5000</v>
      </c>
      <c r="F19" s="11">
        <v>5000</v>
      </c>
      <c r="G19" s="11">
        <v>5000</v>
      </c>
      <c r="H19" s="11">
        <v>5000</v>
      </c>
      <c r="I19" s="11">
        <v>5000</v>
      </c>
      <c r="J19" s="11">
        <v>5000</v>
      </c>
      <c r="K19" s="11">
        <v>5000</v>
      </c>
      <c r="L19" s="11">
        <v>5000</v>
      </c>
      <c r="M19" s="11">
        <v>5000</v>
      </c>
      <c r="N19" s="11">
        <v>5000</v>
      </c>
      <c r="O19" s="11">
        <v>5000</v>
      </c>
      <c r="P19" s="11">
        <v>5000</v>
      </c>
      <c r="Q19" s="11">
        <v>5000</v>
      </c>
      <c r="R19" s="11">
        <v>5000</v>
      </c>
      <c r="S19" s="11">
        <v>5000</v>
      </c>
      <c r="T19" s="11">
        <v>5000</v>
      </c>
      <c r="U19" s="11">
        <v>5000</v>
      </c>
      <c r="V19" s="11">
        <v>5000</v>
      </c>
      <c r="W19" s="11">
        <v>5000</v>
      </c>
      <c r="X19" s="11">
        <v>5000</v>
      </c>
      <c r="Y19" s="11">
        <v>5000</v>
      </c>
      <c r="Z19" s="11">
        <v>5000</v>
      </c>
      <c r="AA19" s="11">
        <v>5000</v>
      </c>
      <c r="AB19" s="11">
        <v>5000</v>
      </c>
      <c r="AC19" s="76">
        <f>+SUM(E19:AB19)*D19+SUM(E20:AB20)*D20+SUM(E21:AB21)*D21+SUM(E22:AB22)*D22</f>
        <v>3600000</v>
      </c>
      <c r="AE19" s="19">
        <f>SUM(AE7:AE18)</f>
        <v>43800000</v>
      </c>
      <c r="AG19" s="15"/>
      <c r="AH19" s="15"/>
      <c r="AI19" s="15"/>
      <c r="AJ19" s="15"/>
      <c r="AK19" s="15"/>
      <c r="AL19" s="15"/>
      <c r="AM19" s="15"/>
      <c r="AN19" s="15"/>
      <c r="AO19" s="15"/>
      <c r="AP19" s="15"/>
      <c r="AQ19" s="15"/>
      <c r="AR19" s="15"/>
      <c r="AS19" s="15"/>
      <c r="AT19" s="15"/>
      <c r="AU19" s="15"/>
      <c r="AV19" s="15"/>
      <c r="AW19" s="15"/>
      <c r="AX19" s="15"/>
      <c r="AY19" s="15"/>
      <c r="AZ19" s="15"/>
      <c r="BA19" s="15"/>
      <c r="BB19" s="15"/>
      <c r="BC19" s="15"/>
      <c r="BD19" s="15"/>
    </row>
    <row r="20" spans="2:56" ht="18.649999999999999" customHeight="1" x14ac:dyDescent="0.25">
      <c r="B20" s="70" t="s">
        <v>35</v>
      </c>
      <c r="C20" s="4" t="s">
        <v>30</v>
      </c>
      <c r="D20" s="5">
        <v>4</v>
      </c>
      <c r="E20" s="11">
        <v>5000</v>
      </c>
      <c r="F20" s="11">
        <v>5000</v>
      </c>
      <c r="G20" s="11">
        <v>5000</v>
      </c>
      <c r="H20" s="11">
        <v>5000</v>
      </c>
      <c r="I20" s="11">
        <v>5000</v>
      </c>
      <c r="J20" s="11">
        <v>5000</v>
      </c>
      <c r="K20" s="11">
        <v>5000</v>
      </c>
      <c r="L20" s="11">
        <v>5000</v>
      </c>
      <c r="M20" s="11">
        <v>5000</v>
      </c>
      <c r="N20" s="11">
        <v>5000</v>
      </c>
      <c r="O20" s="11">
        <v>5000</v>
      </c>
      <c r="P20" s="11">
        <v>5000</v>
      </c>
      <c r="Q20" s="11">
        <v>5000</v>
      </c>
      <c r="R20" s="11">
        <v>5000</v>
      </c>
      <c r="S20" s="11">
        <v>5000</v>
      </c>
      <c r="T20" s="11">
        <v>5000</v>
      </c>
      <c r="U20" s="11">
        <v>5000</v>
      </c>
      <c r="V20" s="11">
        <v>5000</v>
      </c>
      <c r="W20" s="11">
        <v>5000</v>
      </c>
      <c r="X20" s="11">
        <v>5000</v>
      </c>
      <c r="Y20" s="11">
        <v>5000</v>
      </c>
      <c r="Z20" s="11">
        <v>5000</v>
      </c>
      <c r="AA20" s="11">
        <v>5000</v>
      </c>
      <c r="AB20" s="11">
        <v>5000</v>
      </c>
      <c r="AC20" s="77"/>
      <c r="AG20" s="15"/>
      <c r="AH20" s="15"/>
      <c r="AI20" s="15"/>
      <c r="AJ20" s="15"/>
      <c r="AK20" s="15"/>
      <c r="AL20" s="15"/>
      <c r="AM20" s="15"/>
      <c r="AN20" s="15"/>
      <c r="AO20" s="15"/>
      <c r="AP20" s="15"/>
      <c r="AQ20" s="15"/>
      <c r="AR20" s="15"/>
      <c r="AS20" s="15"/>
      <c r="AT20" s="15"/>
      <c r="AU20" s="15"/>
      <c r="AV20" s="15"/>
      <c r="AW20" s="15"/>
      <c r="AX20" s="15"/>
      <c r="AY20" s="15"/>
      <c r="AZ20" s="15"/>
      <c r="BA20" s="15"/>
      <c r="BB20" s="15"/>
      <c r="BC20" s="15"/>
      <c r="BD20" s="15"/>
    </row>
    <row r="21" spans="2:56" ht="18.649999999999999" customHeight="1" x14ac:dyDescent="0.25">
      <c r="B21" s="70" t="s">
        <v>35</v>
      </c>
      <c r="C21" s="4" t="s">
        <v>31</v>
      </c>
      <c r="D21" s="5">
        <v>4</v>
      </c>
      <c r="E21" s="11">
        <v>5000</v>
      </c>
      <c r="F21" s="11">
        <v>5000</v>
      </c>
      <c r="G21" s="11">
        <v>5000</v>
      </c>
      <c r="H21" s="11">
        <v>5000</v>
      </c>
      <c r="I21" s="11">
        <v>5000</v>
      </c>
      <c r="J21" s="11">
        <v>5000</v>
      </c>
      <c r="K21" s="11">
        <v>5000</v>
      </c>
      <c r="L21" s="11">
        <v>5000</v>
      </c>
      <c r="M21" s="11">
        <v>5000</v>
      </c>
      <c r="N21" s="11">
        <v>5000</v>
      </c>
      <c r="O21" s="11">
        <v>5000</v>
      </c>
      <c r="P21" s="11">
        <v>5000</v>
      </c>
      <c r="Q21" s="11">
        <v>5000</v>
      </c>
      <c r="R21" s="11">
        <v>5000</v>
      </c>
      <c r="S21" s="11">
        <v>5000</v>
      </c>
      <c r="T21" s="11">
        <v>5000</v>
      </c>
      <c r="U21" s="11">
        <v>5000</v>
      </c>
      <c r="V21" s="11">
        <v>5000</v>
      </c>
      <c r="W21" s="11">
        <v>5000</v>
      </c>
      <c r="X21" s="11">
        <v>5000</v>
      </c>
      <c r="Y21" s="11">
        <v>5000</v>
      </c>
      <c r="Z21" s="11">
        <v>5000</v>
      </c>
      <c r="AA21" s="11">
        <v>5000</v>
      </c>
      <c r="AB21" s="11">
        <v>5000</v>
      </c>
      <c r="AC21" s="77"/>
      <c r="AG21" s="15"/>
      <c r="AH21" s="15"/>
      <c r="AI21" s="15"/>
      <c r="AJ21" s="15"/>
      <c r="AK21" s="15"/>
      <c r="AL21" s="15"/>
      <c r="AM21" s="15"/>
      <c r="AN21" s="15"/>
      <c r="AO21" s="15"/>
      <c r="AP21" s="15"/>
      <c r="AQ21" s="15"/>
      <c r="AR21" s="15"/>
      <c r="AS21" s="15"/>
      <c r="AT21" s="15"/>
      <c r="AU21" s="15"/>
      <c r="AV21" s="15"/>
      <c r="AW21" s="15"/>
      <c r="AX21" s="15"/>
      <c r="AY21" s="15"/>
      <c r="AZ21" s="15"/>
      <c r="BA21" s="15"/>
      <c r="BB21" s="15"/>
      <c r="BC21" s="15"/>
      <c r="BD21" s="15"/>
    </row>
    <row r="22" spans="2:56" ht="18.649999999999999" customHeight="1" x14ac:dyDescent="0.25">
      <c r="B22" s="70" t="s">
        <v>35</v>
      </c>
      <c r="C22" s="4" t="s">
        <v>32</v>
      </c>
      <c r="D22" s="5">
        <v>2</v>
      </c>
      <c r="E22" s="11">
        <v>5000</v>
      </c>
      <c r="F22" s="11">
        <v>5000</v>
      </c>
      <c r="G22" s="11">
        <v>5000</v>
      </c>
      <c r="H22" s="11">
        <v>5000</v>
      </c>
      <c r="I22" s="11">
        <v>5000</v>
      </c>
      <c r="J22" s="11">
        <v>5000</v>
      </c>
      <c r="K22" s="11">
        <v>5000</v>
      </c>
      <c r="L22" s="11">
        <v>5000</v>
      </c>
      <c r="M22" s="11">
        <v>5000</v>
      </c>
      <c r="N22" s="11">
        <v>5000</v>
      </c>
      <c r="O22" s="11">
        <v>5000</v>
      </c>
      <c r="P22" s="11">
        <v>5000</v>
      </c>
      <c r="Q22" s="11">
        <v>5000</v>
      </c>
      <c r="R22" s="11">
        <v>5000</v>
      </c>
      <c r="S22" s="11">
        <v>5000</v>
      </c>
      <c r="T22" s="11">
        <v>5000</v>
      </c>
      <c r="U22" s="11">
        <v>5000</v>
      </c>
      <c r="V22" s="11">
        <v>5000</v>
      </c>
      <c r="W22" s="11">
        <v>5000</v>
      </c>
      <c r="X22" s="11">
        <v>5000</v>
      </c>
      <c r="Y22" s="11">
        <v>5000</v>
      </c>
      <c r="Z22" s="11">
        <v>5000</v>
      </c>
      <c r="AA22" s="11">
        <v>5000</v>
      </c>
      <c r="AB22" s="11">
        <v>5000</v>
      </c>
      <c r="AC22" s="78"/>
      <c r="AG22" s="15"/>
      <c r="AH22" s="15"/>
      <c r="AI22" s="15"/>
      <c r="AJ22" s="15"/>
      <c r="AK22" s="15"/>
      <c r="AL22" s="15"/>
      <c r="AM22" s="15"/>
      <c r="AN22" s="15"/>
      <c r="AO22" s="15"/>
      <c r="AP22" s="15"/>
      <c r="AQ22" s="15"/>
      <c r="AR22" s="15"/>
      <c r="AS22" s="15"/>
      <c r="AT22" s="15"/>
      <c r="AU22" s="15"/>
      <c r="AV22" s="15"/>
      <c r="AW22" s="15"/>
      <c r="AX22" s="15"/>
      <c r="AY22" s="15"/>
      <c r="AZ22" s="15"/>
      <c r="BA22" s="15"/>
      <c r="BB22" s="15"/>
      <c r="BC22" s="15"/>
      <c r="BD22" s="15"/>
    </row>
    <row r="23" spans="2:56" ht="18.649999999999999" customHeight="1" x14ac:dyDescent="0.25">
      <c r="B23" s="70" t="s">
        <v>36</v>
      </c>
      <c r="C23" s="4" t="s">
        <v>29</v>
      </c>
      <c r="D23" s="5">
        <v>20</v>
      </c>
      <c r="E23" s="11">
        <v>5000</v>
      </c>
      <c r="F23" s="11">
        <v>5000</v>
      </c>
      <c r="G23" s="11">
        <v>5000</v>
      </c>
      <c r="H23" s="11">
        <v>5000</v>
      </c>
      <c r="I23" s="11">
        <v>5000</v>
      </c>
      <c r="J23" s="11">
        <v>5000</v>
      </c>
      <c r="K23" s="11">
        <v>5000</v>
      </c>
      <c r="L23" s="11">
        <v>5000</v>
      </c>
      <c r="M23" s="11">
        <v>5000</v>
      </c>
      <c r="N23" s="11">
        <v>5000</v>
      </c>
      <c r="O23" s="11">
        <v>5000</v>
      </c>
      <c r="P23" s="11">
        <v>5000</v>
      </c>
      <c r="Q23" s="11">
        <v>5000</v>
      </c>
      <c r="R23" s="11">
        <v>5000</v>
      </c>
      <c r="S23" s="11">
        <v>5000</v>
      </c>
      <c r="T23" s="11">
        <v>5000</v>
      </c>
      <c r="U23" s="11">
        <v>5000</v>
      </c>
      <c r="V23" s="11">
        <v>5000</v>
      </c>
      <c r="W23" s="11">
        <v>5000</v>
      </c>
      <c r="X23" s="11">
        <v>5000</v>
      </c>
      <c r="Y23" s="11">
        <v>5000</v>
      </c>
      <c r="Z23" s="11">
        <v>5000</v>
      </c>
      <c r="AA23" s="11">
        <v>5000</v>
      </c>
      <c r="AB23" s="11">
        <v>5000</v>
      </c>
      <c r="AC23" s="76">
        <f>+SUM(E23:AB23)*D23+SUM(E24:AB24)*D24+SUM(E25:AB25)*D25+SUM(E26:AB26)*D26</f>
        <v>3720000</v>
      </c>
      <c r="AG23" s="15"/>
      <c r="AH23" s="15"/>
      <c r="AI23" s="15"/>
      <c r="AJ23" s="15"/>
      <c r="AK23" s="15"/>
      <c r="AL23" s="15"/>
      <c r="AM23" s="15"/>
      <c r="AN23" s="15"/>
      <c r="AO23" s="15"/>
      <c r="AP23" s="15"/>
      <c r="AQ23" s="15"/>
      <c r="AR23" s="15"/>
      <c r="AS23" s="15"/>
      <c r="AT23" s="15"/>
      <c r="AU23" s="15"/>
      <c r="AV23" s="15"/>
      <c r="AW23" s="15"/>
      <c r="AX23" s="15"/>
      <c r="AY23" s="15"/>
      <c r="AZ23" s="15"/>
      <c r="BA23" s="15"/>
      <c r="BB23" s="15"/>
      <c r="BC23" s="15"/>
      <c r="BD23" s="15"/>
    </row>
    <row r="24" spans="2:56" ht="18.649999999999999" customHeight="1" x14ac:dyDescent="0.25">
      <c r="B24" s="70" t="s">
        <v>36</v>
      </c>
      <c r="C24" s="4" t="s">
        <v>30</v>
      </c>
      <c r="D24" s="5">
        <v>5</v>
      </c>
      <c r="E24" s="11">
        <v>5000</v>
      </c>
      <c r="F24" s="11">
        <v>5000</v>
      </c>
      <c r="G24" s="11">
        <v>5000</v>
      </c>
      <c r="H24" s="11">
        <v>5000</v>
      </c>
      <c r="I24" s="11">
        <v>5000</v>
      </c>
      <c r="J24" s="11">
        <v>5000</v>
      </c>
      <c r="K24" s="11">
        <v>5000</v>
      </c>
      <c r="L24" s="11">
        <v>5000</v>
      </c>
      <c r="M24" s="11">
        <v>5000</v>
      </c>
      <c r="N24" s="11">
        <v>5000</v>
      </c>
      <c r="O24" s="11">
        <v>5000</v>
      </c>
      <c r="P24" s="11">
        <v>5000</v>
      </c>
      <c r="Q24" s="11">
        <v>5000</v>
      </c>
      <c r="R24" s="11">
        <v>5000</v>
      </c>
      <c r="S24" s="11">
        <v>5000</v>
      </c>
      <c r="T24" s="11">
        <v>5000</v>
      </c>
      <c r="U24" s="11">
        <v>5000</v>
      </c>
      <c r="V24" s="11">
        <v>5000</v>
      </c>
      <c r="W24" s="11">
        <v>5000</v>
      </c>
      <c r="X24" s="11">
        <v>5000</v>
      </c>
      <c r="Y24" s="11">
        <v>5000</v>
      </c>
      <c r="Z24" s="11">
        <v>5000</v>
      </c>
      <c r="AA24" s="11">
        <v>5000</v>
      </c>
      <c r="AB24" s="11">
        <v>5000</v>
      </c>
      <c r="AC24" s="77"/>
      <c r="AG24" s="15"/>
      <c r="AH24" s="15"/>
      <c r="AI24" s="15"/>
      <c r="AJ24" s="15"/>
      <c r="AK24" s="15"/>
      <c r="AL24" s="15"/>
      <c r="AM24" s="15"/>
      <c r="AN24" s="15"/>
      <c r="AO24" s="15"/>
      <c r="AP24" s="15"/>
      <c r="AQ24" s="15"/>
      <c r="AR24" s="15"/>
      <c r="AS24" s="15"/>
      <c r="AT24" s="15"/>
      <c r="AU24" s="15"/>
      <c r="AV24" s="15"/>
      <c r="AW24" s="15"/>
      <c r="AX24" s="15"/>
      <c r="AY24" s="15"/>
      <c r="AZ24" s="15"/>
      <c r="BA24" s="15"/>
      <c r="BB24" s="15"/>
      <c r="BC24" s="15"/>
      <c r="BD24" s="15"/>
    </row>
    <row r="25" spans="2:56" ht="18.649999999999999" customHeight="1" x14ac:dyDescent="0.25">
      <c r="B25" s="70" t="s">
        <v>36</v>
      </c>
      <c r="C25" s="4" t="s">
        <v>31</v>
      </c>
      <c r="D25" s="5">
        <v>4</v>
      </c>
      <c r="E25" s="11">
        <v>5000</v>
      </c>
      <c r="F25" s="11">
        <v>5000</v>
      </c>
      <c r="G25" s="11">
        <v>5000</v>
      </c>
      <c r="H25" s="11">
        <v>5000</v>
      </c>
      <c r="I25" s="11">
        <v>5000</v>
      </c>
      <c r="J25" s="11">
        <v>5000</v>
      </c>
      <c r="K25" s="11">
        <v>5000</v>
      </c>
      <c r="L25" s="11">
        <v>5000</v>
      </c>
      <c r="M25" s="11">
        <v>5000</v>
      </c>
      <c r="N25" s="11">
        <v>5000</v>
      </c>
      <c r="O25" s="11">
        <v>5000</v>
      </c>
      <c r="P25" s="11">
        <v>5000</v>
      </c>
      <c r="Q25" s="11">
        <v>5000</v>
      </c>
      <c r="R25" s="11">
        <v>5000</v>
      </c>
      <c r="S25" s="11">
        <v>5000</v>
      </c>
      <c r="T25" s="11">
        <v>5000</v>
      </c>
      <c r="U25" s="11">
        <v>5000</v>
      </c>
      <c r="V25" s="11">
        <v>5000</v>
      </c>
      <c r="W25" s="11">
        <v>5000</v>
      </c>
      <c r="X25" s="11">
        <v>5000</v>
      </c>
      <c r="Y25" s="11">
        <v>5000</v>
      </c>
      <c r="Z25" s="11">
        <v>5000</v>
      </c>
      <c r="AA25" s="11">
        <v>5000</v>
      </c>
      <c r="AB25" s="11">
        <v>5000</v>
      </c>
      <c r="AC25" s="77"/>
      <c r="AG25" s="15"/>
      <c r="AH25" s="15"/>
      <c r="AI25" s="15"/>
      <c r="AJ25" s="15"/>
      <c r="AK25" s="15"/>
      <c r="AL25" s="15"/>
      <c r="AM25" s="15"/>
      <c r="AN25" s="15"/>
      <c r="AO25" s="15"/>
      <c r="AP25" s="15"/>
      <c r="AQ25" s="15"/>
      <c r="AR25" s="15"/>
      <c r="AS25" s="15"/>
      <c r="AT25" s="15"/>
      <c r="AU25" s="15"/>
      <c r="AV25" s="15"/>
      <c r="AW25" s="15"/>
      <c r="AX25" s="15"/>
      <c r="AY25" s="15"/>
      <c r="AZ25" s="15"/>
      <c r="BA25" s="15"/>
      <c r="BB25" s="15"/>
      <c r="BC25" s="15"/>
      <c r="BD25" s="15"/>
    </row>
    <row r="26" spans="2:56" ht="18.649999999999999" customHeight="1" x14ac:dyDescent="0.25">
      <c r="B26" s="70" t="s">
        <v>36</v>
      </c>
      <c r="C26" s="4" t="s">
        <v>32</v>
      </c>
      <c r="D26" s="5">
        <v>2</v>
      </c>
      <c r="E26" s="11">
        <v>5000</v>
      </c>
      <c r="F26" s="11">
        <v>5000</v>
      </c>
      <c r="G26" s="11">
        <v>5000</v>
      </c>
      <c r="H26" s="11">
        <v>5000</v>
      </c>
      <c r="I26" s="11">
        <v>5000</v>
      </c>
      <c r="J26" s="11">
        <v>5000</v>
      </c>
      <c r="K26" s="11">
        <v>5000</v>
      </c>
      <c r="L26" s="11">
        <v>5000</v>
      </c>
      <c r="M26" s="11">
        <v>5000</v>
      </c>
      <c r="N26" s="11">
        <v>5000</v>
      </c>
      <c r="O26" s="11">
        <v>5000</v>
      </c>
      <c r="P26" s="11">
        <v>5000</v>
      </c>
      <c r="Q26" s="11">
        <v>5000</v>
      </c>
      <c r="R26" s="11">
        <v>5000</v>
      </c>
      <c r="S26" s="11">
        <v>5000</v>
      </c>
      <c r="T26" s="11">
        <v>5000</v>
      </c>
      <c r="U26" s="11">
        <v>5000</v>
      </c>
      <c r="V26" s="11">
        <v>5000</v>
      </c>
      <c r="W26" s="11">
        <v>5000</v>
      </c>
      <c r="X26" s="11">
        <v>5000</v>
      </c>
      <c r="Y26" s="11">
        <v>5000</v>
      </c>
      <c r="Z26" s="11">
        <v>5000</v>
      </c>
      <c r="AA26" s="11">
        <v>5000</v>
      </c>
      <c r="AB26" s="11">
        <v>5000</v>
      </c>
      <c r="AC26" s="78"/>
      <c r="AG26" s="15"/>
      <c r="AH26" s="15"/>
      <c r="AI26" s="15"/>
      <c r="AJ26" s="15"/>
      <c r="AK26" s="15"/>
      <c r="AL26" s="15"/>
      <c r="AM26" s="15"/>
      <c r="AN26" s="15"/>
      <c r="AO26" s="15"/>
      <c r="AP26" s="15"/>
      <c r="AQ26" s="15"/>
      <c r="AR26" s="15"/>
      <c r="AS26" s="15"/>
      <c r="AT26" s="15"/>
      <c r="AU26" s="15"/>
      <c r="AV26" s="15"/>
      <c r="AW26" s="15"/>
      <c r="AX26" s="15"/>
      <c r="AY26" s="15"/>
      <c r="AZ26" s="15"/>
      <c r="BA26" s="15"/>
      <c r="BB26" s="15"/>
      <c r="BC26" s="15"/>
      <c r="BD26" s="15"/>
    </row>
    <row r="27" spans="2:56" ht="18.649999999999999" customHeight="1" x14ac:dyDescent="0.25">
      <c r="B27" s="70" t="s">
        <v>37</v>
      </c>
      <c r="C27" s="4" t="s">
        <v>29</v>
      </c>
      <c r="D27" s="5">
        <v>18</v>
      </c>
      <c r="E27" s="11">
        <v>5000</v>
      </c>
      <c r="F27" s="11">
        <v>5000</v>
      </c>
      <c r="G27" s="11">
        <v>5000</v>
      </c>
      <c r="H27" s="11">
        <v>5000</v>
      </c>
      <c r="I27" s="11">
        <v>5000</v>
      </c>
      <c r="J27" s="11">
        <v>5000</v>
      </c>
      <c r="K27" s="11">
        <v>5000</v>
      </c>
      <c r="L27" s="11">
        <v>5000</v>
      </c>
      <c r="M27" s="11">
        <v>5000</v>
      </c>
      <c r="N27" s="11">
        <v>5000</v>
      </c>
      <c r="O27" s="11">
        <v>5000</v>
      </c>
      <c r="P27" s="11">
        <v>5000</v>
      </c>
      <c r="Q27" s="11">
        <v>5000</v>
      </c>
      <c r="R27" s="11">
        <v>5000</v>
      </c>
      <c r="S27" s="11">
        <v>5000</v>
      </c>
      <c r="T27" s="11">
        <v>5000</v>
      </c>
      <c r="U27" s="11">
        <v>5000</v>
      </c>
      <c r="V27" s="11">
        <v>5000</v>
      </c>
      <c r="W27" s="11">
        <v>5000</v>
      </c>
      <c r="X27" s="11">
        <v>5000</v>
      </c>
      <c r="Y27" s="11">
        <v>5000</v>
      </c>
      <c r="Z27" s="11">
        <v>5000</v>
      </c>
      <c r="AA27" s="11">
        <v>5000</v>
      </c>
      <c r="AB27" s="11">
        <v>5000</v>
      </c>
      <c r="AC27" s="76">
        <f>+SUM(E27:AB27)*D27+SUM(E28:AB28)*D28+SUM(E29:AB29)*D29+SUM(E30:AB30)*D30</f>
        <v>3600000</v>
      </c>
      <c r="AG27" s="15"/>
      <c r="AH27" s="15"/>
      <c r="AI27" s="15"/>
      <c r="AJ27" s="15"/>
      <c r="AK27" s="15"/>
      <c r="AL27" s="15"/>
      <c r="AM27" s="15"/>
      <c r="AN27" s="15"/>
      <c r="AO27" s="15"/>
      <c r="AP27" s="15"/>
      <c r="AQ27" s="15"/>
      <c r="AR27" s="15"/>
      <c r="AS27" s="15"/>
      <c r="AT27" s="15"/>
      <c r="AU27" s="15"/>
      <c r="AV27" s="15"/>
      <c r="AW27" s="15"/>
      <c r="AX27" s="15"/>
      <c r="AY27" s="15"/>
      <c r="AZ27" s="15"/>
      <c r="BA27" s="15"/>
      <c r="BB27" s="15"/>
      <c r="BC27" s="15"/>
      <c r="BD27" s="15"/>
    </row>
    <row r="28" spans="2:56" ht="18.649999999999999" customHeight="1" x14ac:dyDescent="0.25">
      <c r="B28" s="70" t="s">
        <v>37</v>
      </c>
      <c r="C28" s="4" t="s">
        <v>30</v>
      </c>
      <c r="D28" s="5">
        <v>4</v>
      </c>
      <c r="E28" s="11">
        <v>5000</v>
      </c>
      <c r="F28" s="11">
        <v>5000</v>
      </c>
      <c r="G28" s="11">
        <v>5000</v>
      </c>
      <c r="H28" s="11">
        <v>5000</v>
      </c>
      <c r="I28" s="11">
        <v>5000</v>
      </c>
      <c r="J28" s="11">
        <v>5000</v>
      </c>
      <c r="K28" s="11">
        <v>5000</v>
      </c>
      <c r="L28" s="11">
        <v>5000</v>
      </c>
      <c r="M28" s="11">
        <v>5000</v>
      </c>
      <c r="N28" s="11">
        <v>5000</v>
      </c>
      <c r="O28" s="11">
        <v>5000</v>
      </c>
      <c r="P28" s="11">
        <v>5000</v>
      </c>
      <c r="Q28" s="11">
        <v>5000</v>
      </c>
      <c r="R28" s="11">
        <v>5000</v>
      </c>
      <c r="S28" s="11">
        <v>5000</v>
      </c>
      <c r="T28" s="11">
        <v>5000</v>
      </c>
      <c r="U28" s="11">
        <v>5000</v>
      </c>
      <c r="V28" s="11">
        <v>5000</v>
      </c>
      <c r="W28" s="11">
        <v>5000</v>
      </c>
      <c r="X28" s="11">
        <v>5000</v>
      </c>
      <c r="Y28" s="11">
        <v>5000</v>
      </c>
      <c r="Z28" s="11">
        <v>5000</v>
      </c>
      <c r="AA28" s="11">
        <v>5000</v>
      </c>
      <c r="AB28" s="11">
        <v>5000</v>
      </c>
      <c r="AC28" s="77"/>
      <c r="AG28" s="15"/>
      <c r="AH28" s="15"/>
      <c r="AI28" s="15"/>
      <c r="AJ28" s="15"/>
      <c r="AK28" s="15"/>
      <c r="AL28" s="15"/>
      <c r="AM28" s="15"/>
      <c r="AN28" s="15"/>
      <c r="AO28" s="15"/>
      <c r="AP28" s="15"/>
      <c r="AQ28" s="15"/>
      <c r="AR28" s="15"/>
      <c r="AS28" s="15"/>
      <c r="AT28" s="15"/>
      <c r="AU28" s="15"/>
      <c r="AV28" s="15"/>
      <c r="AW28" s="15"/>
      <c r="AX28" s="15"/>
      <c r="AY28" s="15"/>
      <c r="AZ28" s="15"/>
      <c r="BA28" s="15"/>
      <c r="BB28" s="15"/>
      <c r="BC28" s="15"/>
      <c r="BD28" s="15"/>
    </row>
    <row r="29" spans="2:56" ht="18.649999999999999" customHeight="1" x14ac:dyDescent="0.25">
      <c r="B29" s="70" t="s">
        <v>37</v>
      </c>
      <c r="C29" s="4" t="s">
        <v>31</v>
      </c>
      <c r="D29" s="5">
        <v>5</v>
      </c>
      <c r="E29" s="11">
        <v>5000</v>
      </c>
      <c r="F29" s="11">
        <v>5000</v>
      </c>
      <c r="G29" s="11">
        <v>5000</v>
      </c>
      <c r="H29" s="11">
        <v>5000</v>
      </c>
      <c r="I29" s="11">
        <v>5000</v>
      </c>
      <c r="J29" s="11">
        <v>5000</v>
      </c>
      <c r="K29" s="11">
        <v>5000</v>
      </c>
      <c r="L29" s="11">
        <v>5000</v>
      </c>
      <c r="M29" s="11">
        <v>5000</v>
      </c>
      <c r="N29" s="11">
        <v>5000</v>
      </c>
      <c r="O29" s="11">
        <v>5000</v>
      </c>
      <c r="P29" s="11">
        <v>5000</v>
      </c>
      <c r="Q29" s="11">
        <v>5000</v>
      </c>
      <c r="R29" s="11">
        <v>5000</v>
      </c>
      <c r="S29" s="11">
        <v>5000</v>
      </c>
      <c r="T29" s="11">
        <v>5000</v>
      </c>
      <c r="U29" s="11">
        <v>5000</v>
      </c>
      <c r="V29" s="11">
        <v>5000</v>
      </c>
      <c r="W29" s="11">
        <v>5000</v>
      </c>
      <c r="X29" s="11">
        <v>5000</v>
      </c>
      <c r="Y29" s="11">
        <v>5000</v>
      </c>
      <c r="Z29" s="11">
        <v>5000</v>
      </c>
      <c r="AA29" s="11">
        <v>5000</v>
      </c>
      <c r="AB29" s="11">
        <v>5000</v>
      </c>
      <c r="AC29" s="77"/>
      <c r="AG29" s="15"/>
      <c r="AH29" s="15"/>
      <c r="AI29" s="15"/>
      <c r="AJ29" s="15"/>
      <c r="AK29" s="15"/>
      <c r="AL29" s="15"/>
      <c r="AM29" s="15"/>
      <c r="AN29" s="15"/>
      <c r="AO29" s="15"/>
      <c r="AP29" s="15"/>
      <c r="AQ29" s="15"/>
      <c r="AR29" s="15"/>
      <c r="AS29" s="15"/>
      <c r="AT29" s="15"/>
      <c r="AU29" s="15"/>
      <c r="AV29" s="15"/>
      <c r="AW29" s="15"/>
      <c r="AX29" s="15"/>
      <c r="AY29" s="15"/>
      <c r="AZ29" s="15"/>
      <c r="BA29" s="15"/>
      <c r="BB29" s="15"/>
      <c r="BC29" s="15"/>
      <c r="BD29" s="15"/>
    </row>
    <row r="30" spans="2:56" ht="18.649999999999999" customHeight="1" x14ac:dyDescent="0.25">
      <c r="B30" s="70" t="s">
        <v>37</v>
      </c>
      <c r="C30" s="4" t="s">
        <v>32</v>
      </c>
      <c r="D30" s="5">
        <v>3</v>
      </c>
      <c r="E30" s="11">
        <v>5000</v>
      </c>
      <c r="F30" s="11">
        <v>5000</v>
      </c>
      <c r="G30" s="11">
        <v>5000</v>
      </c>
      <c r="H30" s="11">
        <v>5000</v>
      </c>
      <c r="I30" s="11">
        <v>5000</v>
      </c>
      <c r="J30" s="11">
        <v>5000</v>
      </c>
      <c r="K30" s="11">
        <v>5000</v>
      </c>
      <c r="L30" s="11">
        <v>5000</v>
      </c>
      <c r="M30" s="11">
        <v>5000</v>
      </c>
      <c r="N30" s="11">
        <v>5000</v>
      </c>
      <c r="O30" s="11">
        <v>5000</v>
      </c>
      <c r="P30" s="11">
        <v>5000</v>
      </c>
      <c r="Q30" s="11">
        <v>5000</v>
      </c>
      <c r="R30" s="11">
        <v>5000</v>
      </c>
      <c r="S30" s="11">
        <v>5000</v>
      </c>
      <c r="T30" s="11">
        <v>5000</v>
      </c>
      <c r="U30" s="11">
        <v>5000</v>
      </c>
      <c r="V30" s="11">
        <v>5000</v>
      </c>
      <c r="W30" s="11">
        <v>5000</v>
      </c>
      <c r="X30" s="11">
        <v>5000</v>
      </c>
      <c r="Y30" s="11">
        <v>5000</v>
      </c>
      <c r="Z30" s="11">
        <v>5000</v>
      </c>
      <c r="AA30" s="11">
        <v>5000</v>
      </c>
      <c r="AB30" s="11">
        <v>5000</v>
      </c>
      <c r="AC30" s="78"/>
      <c r="AG30" s="15"/>
      <c r="AH30" s="15"/>
      <c r="AI30" s="15"/>
      <c r="AJ30" s="15"/>
      <c r="AK30" s="15"/>
      <c r="AL30" s="15"/>
      <c r="AM30" s="15"/>
      <c r="AN30" s="15"/>
      <c r="AO30" s="15"/>
      <c r="AP30" s="15"/>
      <c r="AQ30" s="15"/>
      <c r="AR30" s="15"/>
      <c r="AS30" s="15"/>
      <c r="AT30" s="15"/>
      <c r="AU30" s="15"/>
      <c r="AV30" s="15"/>
      <c r="AW30" s="15"/>
      <c r="AX30" s="15"/>
      <c r="AY30" s="15"/>
      <c r="AZ30" s="15"/>
      <c r="BA30" s="15"/>
      <c r="BB30" s="15"/>
      <c r="BC30" s="15"/>
      <c r="BD30" s="15"/>
    </row>
    <row r="31" spans="2:56" ht="18.649999999999999" customHeight="1" x14ac:dyDescent="0.25">
      <c r="B31" s="70" t="s">
        <v>38</v>
      </c>
      <c r="C31" s="4" t="s">
        <v>29</v>
      </c>
      <c r="D31" s="5">
        <v>23</v>
      </c>
      <c r="E31" s="11">
        <v>5000</v>
      </c>
      <c r="F31" s="11">
        <v>5000</v>
      </c>
      <c r="G31" s="11">
        <v>5000</v>
      </c>
      <c r="H31" s="11">
        <v>5000</v>
      </c>
      <c r="I31" s="11">
        <v>5000</v>
      </c>
      <c r="J31" s="11">
        <v>5000</v>
      </c>
      <c r="K31" s="11">
        <v>5000</v>
      </c>
      <c r="L31" s="11">
        <v>5000</v>
      </c>
      <c r="M31" s="11">
        <v>5000</v>
      </c>
      <c r="N31" s="11">
        <v>5000</v>
      </c>
      <c r="O31" s="11">
        <v>5000</v>
      </c>
      <c r="P31" s="11">
        <v>5000</v>
      </c>
      <c r="Q31" s="11">
        <v>5000</v>
      </c>
      <c r="R31" s="11">
        <v>5000</v>
      </c>
      <c r="S31" s="11">
        <v>5000</v>
      </c>
      <c r="T31" s="11">
        <v>5000</v>
      </c>
      <c r="U31" s="11">
        <v>5000</v>
      </c>
      <c r="V31" s="11">
        <v>5000</v>
      </c>
      <c r="W31" s="11">
        <v>5000</v>
      </c>
      <c r="X31" s="11">
        <v>5000</v>
      </c>
      <c r="Y31" s="11">
        <v>5000</v>
      </c>
      <c r="Z31" s="11">
        <v>5000</v>
      </c>
      <c r="AA31" s="11">
        <v>5000</v>
      </c>
      <c r="AB31" s="11">
        <v>5000</v>
      </c>
      <c r="AC31" s="76">
        <f>+SUM(E31:AB31)*D31+SUM(E32:AB32)*D32+SUM(E33:AB33)*D33+SUM(E34:AB34)*D34</f>
        <v>3720000</v>
      </c>
      <c r="AG31" s="15"/>
      <c r="AH31" s="15"/>
      <c r="AI31" s="15"/>
      <c r="AJ31" s="15"/>
      <c r="AK31" s="15"/>
      <c r="AL31" s="15"/>
      <c r="AM31" s="15"/>
      <c r="AN31" s="15"/>
      <c r="AO31" s="15"/>
      <c r="AP31" s="15"/>
      <c r="AQ31" s="15"/>
      <c r="AR31" s="15"/>
      <c r="AS31" s="15"/>
      <c r="AT31" s="15"/>
      <c r="AU31" s="15"/>
      <c r="AV31" s="15"/>
      <c r="AW31" s="15"/>
      <c r="AX31" s="15"/>
      <c r="AY31" s="15"/>
      <c r="AZ31" s="15"/>
      <c r="BA31" s="15"/>
      <c r="BB31" s="15"/>
      <c r="BC31" s="15"/>
      <c r="BD31" s="15"/>
    </row>
    <row r="32" spans="2:56" ht="18.649999999999999" customHeight="1" x14ac:dyDescent="0.25">
      <c r="B32" s="70" t="s">
        <v>38</v>
      </c>
      <c r="C32" s="4" t="s">
        <v>30</v>
      </c>
      <c r="D32" s="5">
        <v>4</v>
      </c>
      <c r="E32" s="11">
        <v>5000</v>
      </c>
      <c r="F32" s="11">
        <v>5000</v>
      </c>
      <c r="G32" s="11">
        <v>5000</v>
      </c>
      <c r="H32" s="11">
        <v>5000</v>
      </c>
      <c r="I32" s="11">
        <v>5000</v>
      </c>
      <c r="J32" s="11">
        <v>5000</v>
      </c>
      <c r="K32" s="11">
        <v>5000</v>
      </c>
      <c r="L32" s="11">
        <v>5000</v>
      </c>
      <c r="M32" s="11">
        <v>5000</v>
      </c>
      <c r="N32" s="11">
        <v>5000</v>
      </c>
      <c r="O32" s="11">
        <v>5000</v>
      </c>
      <c r="P32" s="11">
        <v>5000</v>
      </c>
      <c r="Q32" s="11">
        <v>5000</v>
      </c>
      <c r="R32" s="11">
        <v>5000</v>
      </c>
      <c r="S32" s="11">
        <v>5000</v>
      </c>
      <c r="T32" s="11">
        <v>5000</v>
      </c>
      <c r="U32" s="11">
        <v>5000</v>
      </c>
      <c r="V32" s="11">
        <v>5000</v>
      </c>
      <c r="W32" s="11">
        <v>5000</v>
      </c>
      <c r="X32" s="11">
        <v>5000</v>
      </c>
      <c r="Y32" s="11">
        <v>5000</v>
      </c>
      <c r="Z32" s="11">
        <v>5000</v>
      </c>
      <c r="AA32" s="11">
        <v>5000</v>
      </c>
      <c r="AB32" s="11">
        <v>5000</v>
      </c>
      <c r="AC32" s="77"/>
      <c r="AG32" s="15"/>
      <c r="AH32" s="15"/>
      <c r="AI32" s="15"/>
      <c r="AJ32" s="15"/>
      <c r="AK32" s="15"/>
      <c r="AL32" s="15"/>
      <c r="AM32" s="15"/>
      <c r="AN32" s="15"/>
      <c r="AO32" s="15"/>
      <c r="AP32" s="15"/>
      <c r="AQ32" s="15"/>
      <c r="AR32" s="15"/>
      <c r="AS32" s="15"/>
      <c r="AT32" s="15"/>
      <c r="AU32" s="15"/>
      <c r="AV32" s="15"/>
      <c r="AW32" s="15"/>
      <c r="AX32" s="15"/>
      <c r="AY32" s="15"/>
      <c r="AZ32" s="15"/>
      <c r="BA32" s="15"/>
      <c r="BB32" s="15"/>
      <c r="BC32" s="15"/>
      <c r="BD32" s="15"/>
    </row>
    <row r="33" spans="2:56" ht="18.649999999999999" customHeight="1" x14ac:dyDescent="0.25">
      <c r="B33" s="70" t="s">
        <v>38</v>
      </c>
      <c r="C33" s="4" t="s">
        <v>31</v>
      </c>
      <c r="D33" s="5">
        <v>3</v>
      </c>
      <c r="E33" s="11">
        <v>5000</v>
      </c>
      <c r="F33" s="11">
        <v>5000</v>
      </c>
      <c r="G33" s="11">
        <v>5000</v>
      </c>
      <c r="H33" s="11">
        <v>5000</v>
      </c>
      <c r="I33" s="11">
        <v>5000</v>
      </c>
      <c r="J33" s="11">
        <v>5000</v>
      </c>
      <c r="K33" s="11">
        <v>5000</v>
      </c>
      <c r="L33" s="11">
        <v>5000</v>
      </c>
      <c r="M33" s="11">
        <v>5000</v>
      </c>
      <c r="N33" s="11">
        <v>5000</v>
      </c>
      <c r="O33" s="11">
        <v>5000</v>
      </c>
      <c r="P33" s="11">
        <v>5000</v>
      </c>
      <c r="Q33" s="11">
        <v>5000</v>
      </c>
      <c r="R33" s="11">
        <v>5000</v>
      </c>
      <c r="S33" s="11">
        <v>5000</v>
      </c>
      <c r="T33" s="11">
        <v>5000</v>
      </c>
      <c r="U33" s="11">
        <v>5000</v>
      </c>
      <c r="V33" s="11">
        <v>5000</v>
      </c>
      <c r="W33" s="11">
        <v>5000</v>
      </c>
      <c r="X33" s="11">
        <v>5000</v>
      </c>
      <c r="Y33" s="11">
        <v>5000</v>
      </c>
      <c r="Z33" s="11">
        <v>5000</v>
      </c>
      <c r="AA33" s="11">
        <v>5000</v>
      </c>
      <c r="AB33" s="11">
        <v>5000</v>
      </c>
      <c r="AC33" s="77"/>
      <c r="AG33" s="15"/>
      <c r="AH33" s="15"/>
      <c r="AI33" s="15"/>
      <c r="AJ33" s="15"/>
      <c r="AK33" s="15"/>
      <c r="AL33" s="15"/>
      <c r="AM33" s="15"/>
      <c r="AN33" s="15"/>
      <c r="AO33" s="15"/>
      <c r="AP33" s="15"/>
      <c r="AQ33" s="15"/>
      <c r="AR33" s="15"/>
      <c r="AS33" s="15"/>
      <c r="AT33" s="15"/>
      <c r="AU33" s="15"/>
      <c r="AV33" s="15"/>
      <c r="AW33" s="15"/>
      <c r="AX33" s="15"/>
      <c r="AY33" s="15"/>
      <c r="AZ33" s="15"/>
      <c r="BA33" s="15"/>
      <c r="BB33" s="15"/>
      <c r="BC33" s="15"/>
      <c r="BD33" s="15"/>
    </row>
    <row r="34" spans="2:56" ht="18.649999999999999" customHeight="1" x14ac:dyDescent="0.25">
      <c r="B34" s="70" t="s">
        <v>38</v>
      </c>
      <c r="C34" s="4" t="s">
        <v>32</v>
      </c>
      <c r="D34" s="5">
        <v>1</v>
      </c>
      <c r="E34" s="11">
        <v>5000</v>
      </c>
      <c r="F34" s="11">
        <v>5000</v>
      </c>
      <c r="G34" s="11">
        <v>5000</v>
      </c>
      <c r="H34" s="11">
        <v>5000</v>
      </c>
      <c r="I34" s="11">
        <v>5000</v>
      </c>
      <c r="J34" s="11">
        <v>5000</v>
      </c>
      <c r="K34" s="11">
        <v>5000</v>
      </c>
      <c r="L34" s="11">
        <v>5000</v>
      </c>
      <c r="M34" s="11">
        <v>5000</v>
      </c>
      <c r="N34" s="11">
        <v>5000</v>
      </c>
      <c r="O34" s="11">
        <v>5000</v>
      </c>
      <c r="P34" s="11">
        <v>5000</v>
      </c>
      <c r="Q34" s="11">
        <v>5000</v>
      </c>
      <c r="R34" s="11">
        <v>5000</v>
      </c>
      <c r="S34" s="11">
        <v>5000</v>
      </c>
      <c r="T34" s="11">
        <v>5000</v>
      </c>
      <c r="U34" s="11">
        <v>5000</v>
      </c>
      <c r="V34" s="11">
        <v>5000</v>
      </c>
      <c r="W34" s="11">
        <v>5000</v>
      </c>
      <c r="X34" s="11">
        <v>5000</v>
      </c>
      <c r="Y34" s="11">
        <v>5000</v>
      </c>
      <c r="Z34" s="11">
        <v>5000</v>
      </c>
      <c r="AA34" s="11">
        <v>5000</v>
      </c>
      <c r="AB34" s="11">
        <v>5000</v>
      </c>
      <c r="AC34" s="78"/>
      <c r="AG34" s="15"/>
      <c r="AH34" s="15"/>
      <c r="AI34" s="15"/>
      <c r="AJ34" s="15"/>
      <c r="AK34" s="15"/>
      <c r="AL34" s="15"/>
      <c r="AM34" s="15"/>
      <c r="AN34" s="15"/>
      <c r="AO34" s="15"/>
      <c r="AP34" s="15"/>
      <c r="AQ34" s="15"/>
      <c r="AR34" s="15"/>
      <c r="AS34" s="15"/>
      <c r="AT34" s="15"/>
      <c r="AU34" s="15"/>
      <c r="AV34" s="15"/>
      <c r="AW34" s="15"/>
      <c r="AX34" s="15"/>
      <c r="AY34" s="15"/>
      <c r="AZ34" s="15"/>
      <c r="BA34" s="15"/>
      <c r="BB34" s="15"/>
      <c r="BC34" s="15"/>
      <c r="BD34" s="15"/>
    </row>
    <row r="35" spans="2:56" ht="18.649999999999999" customHeight="1" x14ac:dyDescent="0.25">
      <c r="B35" s="70" t="s">
        <v>39</v>
      </c>
      <c r="C35" s="4" t="s">
        <v>29</v>
      </c>
      <c r="D35" s="5">
        <v>19</v>
      </c>
      <c r="E35" s="11">
        <v>5000</v>
      </c>
      <c r="F35" s="11">
        <v>5000</v>
      </c>
      <c r="G35" s="11">
        <v>5000</v>
      </c>
      <c r="H35" s="11">
        <v>5000</v>
      </c>
      <c r="I35" s="11">
        <v>5000</v>
      </c>
      <c r="J35" s="11">
        <v>5000</v>
      </c>
      <c r="K35" s="11">
        <v>5000</v>
      </c>
      <c r="L35" s="11">
        <v>5000</v>
      </c>
      <c r="M35" s="11">
        <v>5000</v>
      </c>
      <c r="N35" s="11">
        <v>5000</v>
      </c>
      <c r="O35" s="11">
        <v>5000</v>
      </c>
      <c r="P35" s="11">
        <v>5000</v>
      </c>
      <c r="Q35" s="11">
        <v>5000</v>
      </c>
      <c r="R35" s="11">
        <v>5000</v>
      </c>
      <c r="S35" s="11">
        <v>5000</v>
      </c>
      <c r="T35" s="11">
        <v>5000</v>
      </c>
      <c r="U35" s="11">
        <v>5000</v>
      </c>
      <c r="V35" s="11">
        <v>5000</v>
      </c>
      <c r="W35" s="11">
        <v>5000</v>
      </c>
      <c r="X35" s="11">
        <v>5000</v>
      </c>
      <c r="Y35" s="11">
        <v>5000</v>
      </c>
      <c r="Z35" s="11">
        <v>5000</v>
      </c>
      <c r="AA35" s="11">
        <v>5000</v>
      </c>
      <c r="AB35" s="11">
        <v>5000</v>
      </c>
      <c r="AC35" s="76">
        <f>+SUM(E35:AB35)*D35+SUM(E36:AB36)*D36+SUM(E37:AB37)*D37+SUM(E38:AB38)*D38</f>
        <v>3720000</v>
      </c>
      <c r="AG35" s="15"/>
      <c r="AH35" s="15"/>
      <c r="AI35" s="15"/>
      <c r="AJ35" s="15"/>
      <c r="AK35" s="15"/>
      <c r="AL35" s="15"/>
      <c r="AM35" s="15"/>
      <c r="AN35" s="15"/>
      <c r="AO35" s="15"/>
      <c r="AP35" s="15"/>
      <c r="AQ35" s="15"/>
      <c r="AR35" s="15"/>
      <c r="AS35" s="15"/>
      <c r="AT35" s="15"/>
      <c r="AU35" s="15"/>
      <c r="AV35" s="15"/>
      <c r="AW35" s="15"/>
      <c r="AX35" s="15"/>
      <c r="AY35" s="15"/>
      <c r="AZ35" s="15"/>
      <c r="BA35" s="15"/>
      <c r="BB35" s="15"/>
      <c r="BC35" s="15"/>
      <c r="BD35" s="15"/>
    </row>
    <row r="36" spans="2:56" ht="18.649999999999999" customHeight="1" x14ac:dyDescent="0.25">
      <c r="B36" s="70" t="s">
        <v>39</v>
      </c>
      <c r="C36" s="4" t="s">
        <v>30</v>
      </c>
      <c r="D36" s="5">
        <v>5</v>
      </c>
      <c r="E36" s="11">
        <v>5000</v>
      </c>
      <c r="F36" s="11">
        <v>5000</v>
      </c>
      <c r="G36" s="11">
        <v>5000</v>
      </c>
      <c r="H36" s="11">
        <v>5000</v>
      </c>
      <c r="I36" s="11">
        <v>5000</v>
      </c>
      <c r="J36" s="11">
        <v>5000</v>
      </c>
      <c r="K36" s="11">
        <v>5000</v>
      </c>
      <c r="L36" s="11">
        <v>5000</v>
      </c>
      <c r="M36" s="11">
        <v>5000</v>
      </c>
      <c r="N36" s="11">
        <v>5000</v>
      </c>
      <c r="O36" s="11">
        <v>5000</v>
      </c>
      <c r="P36" s="11">
        <v>5000</v>
      </c>
      <c r="Q36" s="11">
        <v>5000</v>
      </c>
      <c r="R36" s="11">
        <v>5000</v>
      </c>
      <c r="S36" s="11">
        <v>5000</v>
      </c>
      <c r="T36" s="11">
        <v>5000</v>
      </c>
      <c r="U36" s="11">
        <v>5000</v>
      </c>
      <c r="V36" s="11">
        <v>5000</v>
      </c>
      <c r="W36" s="11">
        <v>5000</v>
      </c>
      <c r="X36" s="11">
        <v>5000</v>
      </c>
      <c r="Y36" s="11">
        <v>5000</v>
      </c>
      <c r="Z36" s="11">
        <v>5000</v>
      </c>
      <c r="AA36" s="11">
        <v>5000</v>
      </c>
      <c r="AB36" s="11">
        <v>5000</v>
      </c>
      <c r="AC36" s="77"/>
      <c r="AG36" s="15"/>
      <c r="AH36" s="15"/>
      <c r="AI36" s="15"/>
      <c r="AJ36" s="15"/>
      <c r="AK36" s="15"/>
      <c r="AL36" s="15"/>
      <c r="AM36" s="15"/>
      <c r="AN36" s="15"/>
      <c r="AO36" s="15"/>
      <c r="AP36" s="15"/>
      <c r="AQ36" s="15"/>
      <c r="AR36" s="15"/>
      <c r="AS36" s="15"/>
      <c r="AT36" s="15"/>
      <c r="AU36" s="15"/>
      <c r="AV36" s="15"/>
      <c r="AW36" s="15"/>
      <c r="AX36" s="15"/>
      <c r="AY36" s="15"/>
      <c r="AZ36" s="15"/>
      <c r="BA36" s="15"/>
      <c r="BB36" s="15"/>
      <c r="BC36" s="15"/>
      <c r="BD36" s="15"/>
    </row>
    <row r="37" spans="2:56" ht="18.649999999999999" customHeight="1" x14ac:dyDescent="0.25">
      <c r="B37" s="70" t="s">
        <v>39</v>
      </c>
      <c r="C37" s="4" t="s">
        <v>31</v>
      </c>
      <c r="D37" s="5">
        <v>5</v>
      </c>
      <c r="E37" s="11">
        <v>5000</v>
      </c>
      <c r="F37" s="11">
        <v>5000</v>
      </c>
      <c r="G37" s="11">
        <v>5000</v>
      </c>
      <c r="H37" s="11">
        <v>5000</v>
      </c>
      <c r="I37" s="11">
        <v>5000</v>
      </c>
      <c r="J37" s="11">
        <v>5000</v>
      </c>
      <c r="K37" s="11">
        <v>5000</v>
      </c>
      <c r="L37" s="11">
        <v>5000</v>
      </c>
      <c r="M37" s="11">
        <v>5000</v>
      </c>
      <c r="N37" s="11">
        <v>5000</v>
      </c>
      <c r="O37" s="11">
        <v>5000</v>
      </c>
      <c r="P37" s="11">
        <v>5000</v>
      </c>
      <c r="Q37" s="11">
        <v>5000</v>
      </c>
      <c r="R37" s="11">
        <v>5000</v>
      </c>
      <c r="S37" s="11">
        <v>5000</v>
      </c>
      <c r="T37" s="11">
        <v>5000</v>
      </c>
      <c r="U37" s="11">
        <v>5000</v>
      </c>
      <c r="V37" s="11">
        <v>5000</v>
      </c>
      <c r="W37" s="11">
        <v>5000</v>
      </c>
      <c r="X37" s="11">
        <v>5000</v>
      </c>
      <c r="Y37" s="11">
        <v>5000</v>
      </c>
      <c r="Z37" s="11">
        <v>5000</v>
      </c>
      <c r="AA37" s="11">
        <v>5000</v>
      </c>
      <c r="AB37" s="11">
        <v>5000</v>
      </c>
      <c r="AC37" s="77"/>
      <c r="AG37" s="15"/>
      <c r="AH37" s="15"/>
      <c r="AI37" s="15"/>
      <c r="AJ37" s="15"/>
      <c r="AK37" s="15"/>
      <c r="AL37" s="15"/>
      <c r="AM37" s="15"/>
      <c r="AN37" s="15"/>
      <c r="AO37" s="15"/>
      <c r="AP37" s="15"/>
      <c r="AQ37" s="15"/>
      <c r="AR37" s="15"/>
      <c r="AS37" s="15"/>
      <c r="AT37" s="15"/>
      <c r="AU37" s="15"/>
      <c r="AV37" s="15"/>
      <c r="AW37" s="15"/>
      <c r="AX37" s="15"/>
      <c r="AY37" s="15"/>
      <c r="AZ37" s="15"/>
      <c r="BA37" s="15"/>
      <c r="BB37" s="15"/>
      <c r="BC37" s="15"/>
      <c r="BD37" s="15"/>
    </row>
    <row r="38" spans="2:56" ht="18.649999999999999" customHeight="1" x14ac:dyDescent="0.25">
      <c r="B38" s="70" t="s">
        <v>39</v>
      </c>
      <c r="C38" s="4" t="s">
        <v>32</v>
      </c>
      <c r="D38" s="5">
        <v>2</v>
      </c>
      <c r="E38" s="11">
        <v>5000</v>
      </c>
      <c r="F38" s="11">
        <v>5000</v>
      </c>
      <c r="G38" s="11">
        <v>5000</v>
      </c>
      <c r="H38" s="11">
        <v>5000</v>
      </c>
      <c r="I38" s="11">
        <v>5000</v>
      </c>
      <c r="J38" s="11">
        <v>5000</v>
      </c>
      <c r="K38" s="11">
        <v>5000</v>
      </c>
      <c r="L38" s="11">
        <v>5000</v>
      </c>
      <c r="M38" s="11">
        <v>5000</v>
      </c>
      <c r="N38" s="11">
        <v>5000</v>
      </c>
      <c r="O38" s="11">
        <v>5000</v>
      </c>
      <c r="P38" s="11">
        <v>5000</v>
      </c>
      <c r="Q38" s="11">
        <v>5000</v>
      </c>
      <c r="R38" s="11">
        <v>5000</v>
      </c>
      <c r="S38" s="11">
        <v>5000</v>
      </c>
      <c r="T38" s="11">
        <v>5000</v>
      </c>
      <c r="U38" s="11">
        <v>5000</v>
      </c>
      <c r="V38" s="11">
        <v>5000</v>
      </c>
      <c r="W38" s="11">
        <v>5000</v>
      </c>
      <c r="X38" s="11">
        <v>5000</v>
      </c>
      <c r="Y38" s="11">
        <v>5000</v>
      </c>
      <c r="Z38" s="11">
        <v>5000</v>
      </c>
      <c r="AA38" s="11">
        <v>5000</v>
      </c>
      <c r="AB38" s="11">
        <v>5000</v>
      </c>
      <c r="AC38" s="78"/>
      <c r="AG38" s="15"/>
      <c r="AH38" s="15"/>
      <c r="AI38" s="15"/>
      <c r="AJ38" s="15"/>
      <c r="AK38" s="15"/>
      <c r="AL38" s="15"/>
      <c r="AM38" s="15"/>
      <c r="AN38" s="15"/>
      <c r="AO38" s="15"/>
      <c r="AP38" s="15"/>
      <c r="AQ38" s="15"/>
      <c r="AR38" s="15"/>
      <c r="AS38" s="15"/>
      <c r="AT38" s="15"/>
      <c r="AU38" s="15"/>
      <c r="AV38" s="15"/>
      <c r="AW38" s="15"/>
      <c r="AX38" s="15"/>
      <c r="AY38" s="15"/>
      <c r="AZ38" s="15"/>
      <c r="BA38" s="15"/>
      <c r="BB38" s="15"/>
      <c r="BC38" s="15"/>
      <c r="BD38" s="15"/>
    </row>
    <row r="39" spans="2:56" ht="18.649999999999999" customHeight="1" x14ac:dyDescent="0.25">
      <c r="B39" s="70" t="s">
        <v>40</v>
      </c>
      <c r="C39" s="4" t="s">
        <v>29</v>
      </c>
      <c r="D39" s="5">
        <v>22</v>
      </c>
      <c r="E39" s="11">
        <v>5000</v>
      </c>
      <c r="F39" s="11">
        <v>5000</v>
      </c>
      <c r="G39" s="11">
        <v>5000</v>
      </c>
      <c r="H39" s="11">
        <v>5000</v>
      </c>
      <c r="I39" s="11">
        <v>5000</v>
      </c>
      <c r="J39" s="11">
        <v>5000</v>
      </c>
      <c r="K39" s="11">
        <v>5000</v>
      </c>
      <c r="L39" s="11">
        <v>5000</v>
      </c>
      <c r="M39" s="11">
        <v>5000</v>
      </c>
      <c r="N39" s="11">
        <v>5000</v>
      </c>
      <c r="O39" s="11">
        <v>5000</v>
      </c>
      <c r="P39" s="11">
        <v>5000</v>
      </c>
      <c r="Q39" s="11">
        <v>5000</v>
      </c>
      <c r="R39" s="11">
        <v>5000</v>
      </c>
      <c r="S39" s="11">
        <v>5000</v>
      </c>
      <c r="T39" s="11">
        <v>5000</v>
      </c>
      <c r="U39" s="11">
        <v>5000</v>
      </c>
      <c r="V39" s="11">
        <v>5000</v>
      </c>
      <c r="W39" s="11">
        <v>5000</v>
      </c>
      <c r="X39" s="11">
        <v>5000</v>
      </c>
      <c r="Y39" s="11">
        <v>5000</v>
      </c>
      <c r="Z39" s="11">
        <v>5000</v>
      </c>
      <c r="AA39" s="11">
        <v>5000</v>
      </c>
      <c r="AB39" s="11">
        <v>5000</v>
      </c>
      <c r="AC39" s="76">
        <f>+SUM(E39:AB39)*D39+SUM(E40:AB40)*D40+SUM(E41:AB41)*D41+SUM(E42:AB42)*D42</f>
        <v>3600000</v>
      </c>
      <c r="AG39" s="15"/>
      <c r="AH39" s="15"/>
      <c r="AI39" s="15"/>
      <c r="AJ39" s="15"/>
      <c r="AK39" s="15"/>
      <c r="AL39" s="15"/>
      <c r="AM39" s="15"/>
      <c r="AN39" s="15"/>
      <c r="AO39" s="15"/>
      <c r="AP39" s="15"/>
      <c r="AQ39" s="15"/>
      <c r="AR39" s="15"/>
      <c r="AS39" s="15"/>
      <c r="AT39" s="15"/>
      <c r="AU39" s="15"/>
      <c r="AV39" s="15"/>
      <c r="AW39" s="15"/>
      <c r="AX39" s="15"/>
      <c r="AY39" s="15"/>
      <c r="AZ39" s="15"/>
      <c r="BA39" s="15"/>
      <c r="BB39" s="15"/>
      <c r="BC39" s="15"/>
      <c r="BD39" s="15"/>
    </row>
    <row r="40" spans="2:56" ht="18.649999999999999" customHeight="1" x14ac:dyDescent="0.25">
      <c r="B40" s="70" t="s">
        <v>40</v>
      </c>
      <c r="C40" s="4" t="s">
        <v>30</v>
      </c>
      <c r="D40" s="5">
        <v>4</v>
      </c>
      <c r="E40" s="11">
        <v>5000</v>
      </c>
      <c r="F40" s="11">
        <v>5000</v>
      </c>
      <c r="G40" s="11">
        <v>5000</v>
      </c>
      <c r="H40" s="11">
        <v>5000</v>
      </c>
      <c r="I40" s="11">
        <v>5000</v>
      </c>
      <c r="J40" s="11">
        <v>5000</v>
      </c>
      <c r="K40" s="11">
        <v>5000</v>
      </c>
      <c r="L40" s="11">
        <v>5000</v>
      </c>
      <c r="M40" s="11">
        <v>5000</v>
      </c>
      <c r="N40" s="11">
        <v>5000</v>
      </c>
      <c r="O40" s="11">
        <v>5000</v>
      </c>
      <c r="P40" s="11">
        <v>5000</v>
      </c>
      <c r="Q40" s="11">
        <v>5000</v>
      </c>
      <c r="R40" s="11">
        <v>5000</v>
      </c>
      <c r="S40" s="11">
        <v>5000</v>
      </c>
      <c r="T40" s="11">
        <v>5000</v>
      </c>
      <c r="U40" s="11">
        <v>5000</v>
      </c>
      <c r="V40" s="11">
        <v>5000</v>
      </c>
      <c r="W40" s="11">
        <v>5000</v>
      </c>
      <c r="X40" s="11">
        <v>5000</v>
      </c>
      <c r="Y40" s="11">
        <v>5000</v>
      </c>
      <c r="Z40" s="11">
        <v>5000</v>
      </c>
      <c r="AA40" s="11">
        <v>5000</v>
      </c>
      <c r="AB40" s="11">
        <v>5000</v>
      </c>
      <c r="AC40" s="77"/>
      <c r="AG40" s="15"/>
      <c r="AH40" s="15"/>
      <c r="AI40" s="15"/>
      <c r="AJ40" s="15"/>
      <c r="AK40" s="15"/>
      <c r="AL40" s="15"/>
      <c r="AM40" s="15"/>
      <c r="AN40" s="15"/>
      <c r="AO40" s="15"/>
      <c r="AP40" s="15"/>
      <c r="AQ40" s="15"/>
      <c r="AR40" s="15"/>
      <c r="AS40" s="15"/>
      <c r="AT40" s="15"/>
      <c r="AU40" s="15"/>
      <c r="AV40" s="15"/>
      <c r="AW40" s="15"/>
      <c r="AX40" s="15"/>
      <c r="AY40" s="15"/>
      <c r="AZ40" s="15"/>
      <c r="BA40" s="15"/>
      <c r="BB40" s="15"/>
      <c r="BC40" s="15"/>
      <c r="BD40" s="15"/>
    </row>
    <row r="41" spans="2:56" ht="18.649999999999999" customHeight="1" x14ac:dyDescent="0.25">
      <c r="B41" s="70" t="s">
        <v>40</v>
      </c>
      <c r="C41" s="4" t="s">
        <v>31</v>
      </c>
      <c r="D41" s="5">
        <v>4</v>
      </c>
      <c r="E41" s="11">
        <v>5000</v>
      </c>
      <c r="F41" s="11">
        <v>5000</v>
      </c>
      <c r="G41" s="11">
        <v>5000</v>
      </c>
      <c r="H41" s="11">
        <v>5000</v>
      </c>
      <c r="I41" s="11">
        <v>5000</v>
      </c>
      <c r="J41" s="11">
        <v>5000</v>
      </c>
      <c r="K41" s="11">
        <v>5000</v>
      </c>
      <c r="L41" s="11">
        <v>5000</v>
      </c>
      <c r="M41" s="11">
        <v>5000</v>
      </c>
      <c r="N41" s="11">
        <v>5000</v>
      </c>
      <c r="O41" s="11">
        <v>5000</v>
      </c>
      <c r="P41" s="11">
        <v>5000</v>
      </c>
      <c r="Q41" s="11">
        <v>5000</v>
      </c>
      <c r="R41" s="11">
        <v>5000</v>
      </c>
      <c r="S41" s="11">
        <v>5000</v>
      </c>
      <c r="T41" s="11">
        <v>5000</v>
      </c>
      <c r="U41" s="11">
        <v>5000</v>
      </c>
      <c r="V41" s="11">
        <v>5000</v>
      </c>
      <c r="W41" s="11">
        <v>5000</v>
      </c>
      <c r="X41" s="11">
        <v>5000</v>
      </c>
      <c r="Y41" s="11">
        <v>5000</v>
      </c>
      <c r="Z41" s="11">
        <v>5000</v>
      </c>
      <c r="AA41" s="11">
        <v>5000</v>
      </c>
      <c r="AB41" s="11">
        <v>5000</v>
      </c>
      <c r="AC41" s="77"/>
      <c r="AG41" s="15"/>
      <c r="AH41" s="15"/>
      <c r="AI41" s="15"/>
      <c r="AJ41" s="15"/>
      <c r="AK41" s="15"/>
      <c r="AL41" s="15"/>
      <c r="AM41" s="15"/>
      <c r="AN41" s="15"/>
      <c r="AO41" s="15"/>
      <c r="AP41" s="15"/>
      <c r="AQ41" s="15"/>
      <c r="AR41" s="15"/>
      <c r="AS41" s="15"/>
      <c r="AT41" s="15"/>
      <c r="AU41" s="15"/>
      <c r="AV41" s="15"/>
      <c r="AW41" s="15"/>
      <c r="AX41" s="15"/>
      <c r="AY41" s="15"/>
      <c r="AZ41" s="15"/>
      <c r="BA41" s="15"/>
      <c r="BB41" s="15"/>
      <c r="BC41" s="15"/>
      <c r="BD41" s="15"/>
    </row>
    <row r="42" spans="2:56" ht="18.649999999999999" customHeight="1" x14ac:dyDescent="0.25">
      <c r="B42" s="70" t="s">
        <v>40</v>
      </c>
      <c r="C42" s="4" t="s">
        <v>32</v>
      </c>
      <c r="D42" s="5">
        <v>0</v>
      </c>
      <c r="E42" s="11"/>
      <c r="F42" s="11"/>
      <c r="G42" s="11"/>
      <c r="H42" s="11"/>
      <c r="I42" s="11"/>
      <c r="J42" s="11"/>
      <c r="K42" s="11"/>
      <c r="L42" s="11"/>
      <c r="M42" s="11"/>
      <c r="N42" s="11"/>
      <c r="O42" s="11"/>
      <c r="P42" s="11"/>
      <c r="Q42" s="11"/>
      <c r="R42" s="11"/>
      <c r="S42" s="11"/>
      <c r="T42" s="11"/>
      <c r="U42" s="11"/>
      <c r="V42" s="11"/>
      <c r="W42" s="11"/>
      <c r="X42" s="11"/>
      <c r="Y42" s="11"/>
      <c r="Z42" s="11"/>
      <c r="AA42" s="11"/>
      <c r="AB42" s="11"/>
      <c r="AC42" s="78"/>
      <c r="AG42" s="15"/>
      <c r="AH42" s="15"/>
      <c r="AI42" s="15"/>
      <c r="AJ42" s="15"/>
      <c r="AK42" s="15"/>
      <c r="AL42" s="15"/>
      <c r="AM42" s="15"/>
      <c r="AN42" s="15"/>
      <c r="AO42" s="15"/>
      <c r="AP42" s="15"/>
      <c r="AQ42" s="15"/>
      <c r="AR42" s="15"/>
      <c r="AS42" s="15"/>
      <c r="AT42" s="15"/>
      <c r="AU42" s="15"/>
      <c r="AV42" s="15"/>
      <c r="AW42" s="15"/>
      <c r="AX42" s="15"/>
      <c r="AY42" s="15"/>
      <c r="AZ42" s="15"/>
      <c r="BA42" s="15"/>
      <c r="BB42" s="15"/>
      <c r="BC42" s="15"/>
      <c r="BD42" s="15"/>
    </row>
    <row r="43" spans="2:56" ht="18.649999999999999" customHeight="1" x14ac:dyDescent="0.25">
      <c r="B43" s="70" t="s">
        <v>41</v>
      </c>
      <c r="C43" s="4" t="s">
        <v>29</v>
      </c>
      <c r="D43" s="5">
        <v>22</v>
      </c>
      <c r="E43" s="11">
        <v>5000</v>
      </c>
      <c r="F43" s="11">
        <v>5000</v>
      </c>
      <c r="G43" s="11">
        <v>5000</v>
      </c>
      <c r="H43" s="11">
        <v>5000</v>
      </c>
      <c r="I43" s="11">
        <v>5000</v>
      </c>
      <c r="J43" s="11">
        <v>5000</v>
      </c>
      <c r="K43" s="11">
        <v>5000</v>
      </c>
      <c r="L43" s="11">
        <v>5000</v>
      </c>
      <c r="M43" s="11">
        <v>5000</v>
      </c>
      <c r="N43" s="11">
        <v>5000</v>
      </c>
      <c r="O43" s="11">
        <v>5000</v>
      </c>
      <c r="P43" s="11">
        <v>5000</v>
      </c>
      <c r="Q43" s="11">
        <v>5000</v>
      </c>
      <c r="R43" s="11">
        <v>5000</v>
      </c>
      <c r="S43" s="11">
        <v>5000</v>
      </c>
      <c r="T43" s="11">
        <v>5000</v>
      </c>
      <c r="U43" s="11">
        <v>5000</v>
      </c>
      <c r="V43" s="11">
        <v>5000</v>
      </c>
      <c r="W43" s="11">
        <v>5000</v>
      </c>
      <c r="X43" s="11">
        <v>5000</v>
      </c>
      <c r="Y43" s="11">
        <v>5000</v>
      </c>
      <c r="Z43" s="11">
        <v>5000</v>
      </c>
      <c r="AA43" s="11">
        <v>5000</v>
      </c>
      <c r="AB43" s="11">
        <v>5000</v>
      </c>
      <c r="AC43" s="76">
        <f>+SUM(E43:AB43)*D43+SUM(E44:AB44)*D44+SUM(E45:AB45)*D45+SUM(E46:AB46)*D46</f>
        <v>3720000</v>
      </c>
      <c r="AG43" s="15"/>
      <c r="AH43" s="15"/>
      <c r="AI43" s="15"/>
      <c r="AJ43" s="15"/>
      <c r="AK43" s="15"/>
      <c r="AL43" s="15"/>
      <c r="AM43" s="15"/>
      <c r="AN43" s="15"/>
      <c r="AO43" s="15"/>
      <c r="AP43" s="15"/>
      <c r="AQ43" s="15"/>
      <c r="AR43" s="15"/>
      <c r="AS43" s="15"/>
      <c r="AT43" s="15"/>
      <c r="AU43" s="15"/>
      <c r="AV43" s="15"/>
      <c r="AW43" s="15"/>
      <c r="AX43" s="15"/>
      <c r="AY43" s="15"/>
      <c r="AZ43" s="15"/>
      <c r="BA43" s="15"/>
      <c r="BB43" s="15"/>
      <c r="BC43" s="15"/>
      <c r="BD43" s="15"/>
    </row>
    <row r="44" spans="2:56" ht="18.649999999999999" customHeight="1" x14ac:dyDescent="0.25">
      <c r="B44" s="70" t="s">
        <v>41</v>
      </c>
      <c r="C44" s="4" t="s">
        <v>30</v>
      </c>
      <c r="D44" s="5">
        <v>4</v>
      </c>
      <c r="E44" s="11">
        <v>5000</v>
      </c>
      <c r="F44" s="11">
        <v>5000</v>
      </c>
      <c r="G44" s="11">
        <v>5000</v>
      </c>
      <c r="H44" s="11">
        <v>5000</v>
      </c>
      <c r="I44" s="11">
        <v>5000</v>
      </c>
      <c r="J44" s="11">
        <v>5000</v>
      </c>
      <c r="K44" s="11">
        <v>5000</v>
      </c>
      <c r="L44" s="11">
        <v>5000</v>
      </c>
      <c r="M44" s="11">
        <v>5000</v>
      </c>
      <c r="N44" s="11">
        <v>5000</v>
      </c>
      <c r="O44" s="11">
        <v>5000</v>
      </c>
      <c r="P44" s="11">
        <v>5000</v>
      </c>
      <c r="Q44" s="11">
        <v>5000</v>
      </c>
      <c r="R44" s="11">
        <v>5000</v>
      </c>
      <c r="S44" s="11">
        <v>5000</v>
      </c>
      <c r="T44" s="11">
        <v>5000</v>
      </c>
      <c r="U44" s="11">
        <v>5000</v>
      </c>
      <c r="V44" s="11">
        <v>5000</v>
      </c>
      <c r="W44" s="11">
        <v>5000</v>
      </c>
      <c r="X44" s="11">
        <v>5000</v>
      </c>
      <c r="Y44" s="11">
        <v>5000</v>
      </c>
      <c r="Z44" s="11">
        <v>5000</v>
      </c>
      <c r="AA44" s="11">
        <v>5000</v>
      </c>
      <c r="AB44" s="11">
        <v>5000</v>
      </c>
      <c r="AC44" s="77"/>
      <c r="AG44" s="15"/>
      <c r="AH44" s="15"/>
      <c r="AI44" s="15"/>
      <c r="AJ44" s="15"/>
      <c r="AK44" s="15"/>
      <c r="AL44" s="15"/>
      <c r="AM44" s="15"/>
      <c r="AN44" s="15"/>
      <c r="AO44" s="15"/>
      <c r="AP44" s="15"/>
      <c r="AQ44" s="15"/>
      <c r="AR44" s="15"/>
      <c r="AS44" s="15"/>
      <c r="AT44" s="15"/>
      <c r="AU44" s="15"/>
      <c r="AV44" s="15"/>
      <c r="AW44" s="15"/>
      <c r="AX44" s="15"/>
      <c r="AY44" s="15"/>
      <c r="AZ44" s="15"/>
      <c r="BA44" s="15"/>
      <c r="BB44" s="15"/>
      <c r="BC44" s="15"/>
      <c r="BD44" s="15"/>
    </row>
    <row r="45" spans="2:56" ht="18.649999999999999" customHeight="1" x14ac:dyDescent="0.25">
      <c r="B45" s="70" t="s">
        <v>41</v>
      </c>
      <c r="C45" s="4" t="s">
        <v>31</v>
      </c>
      <c r="D45" s="5">
        <v>4</v>
      </c>
      <c r="E45" s="11">
        <v>5000</v>
      </c>
      <c r="F45" s="11">
        <v>5000</v>
      </c>
      <c r="G45" s="11">
        <v>5000</v>
      </c>
      <c r="H45" s="11">
        <v>5000</v>
      </c>
      <c r="I45" s="11">
        <v>5000</v>
      </c>
      <c r="J45" s="11">
        <v>5000</v>
      </c>
      <c r="K45" s="11">
        <v>5000</v>
      </c>
      <c r="L45" s="11">
        <v>5000</v>
      </c>
      <c r="M45" s="11">
        <v>5000</v>
      </c>
      <c r="N45" s="11">
        <v>5000</v>
      </c>
      <c r="O45" s="11">
        <v>5000</v>
      </c>
      <c r="P45" s="11">
        <v>5000</v>
      </c>
      <c r="Q45" s="11">
        <v>5000</v>
      </c>
      <c r="R45" s="11">
        <v>5000</v>
      </c>
      <c r="S45" s="11">
        <v>5000</v>
      </c>
      <c r="T45" s="11">
        <v>5000</v>
      </c>
      <c r="U45" s="11">
        <v>5000</v>
      </c>
      <c r="V45" s="11">
        <v>5000</v>
      </c>
      <c r="W45" s="11">
        <v>5000</v>
      </c>
      <c r="X45" s="11">
        <v>5000</v>
      </c>
      <c r="Y45" s="11">
        <v>5000</v>
      </c>
      <c r="Z45" s="11">
        <v>5000</v>
      </c>
      <c r="AA45" s="11">
        <v>5000</v>
      </c>
      <c r="AB45" s="11">
        <v>5000</v>
      </c>
      <c r="AC45" s="77"/>
      <c r="AG45" s="15"/>
      <c r="AH45" s="15"/>
      <c r="AI45" s="15"/>
      <c r="AJ45" s="15"/>
      <c r="AK45" s="15"/>
      <c r="AL45" s="15"/>
      <c r="AM45" s="15"/>
      <c r="AN45" s="15"/>
      <c r="AO45" s="15"/>
      <c r="AP45" s="15"/>
      <c r="AQ45" s="15"/>
      <c r="AR45" s="15"/>
      <c r="AS45" s="15"/>
      <c r="AT45" s="15"/>
      <c r="AU45" s="15"/>
      <c r="AV45" s="15"/>
      <c r="AW45" s="15"/>
      <c r="AX45" s="15"/>
      <c r="AY45" s="15"/>
      <c r="AZ45" s="15"/>
      <c r="BA45" s="15"/>
      <c r="BB45" s="15"/>
      <c r="BC45" s="15"/>
      <c r="BD45" s="15"/>
    </row>
    <row r="46" spans="2:56" ht="18.649999999999999" customHeight="1" x14ac:dyDescent="0.25">
      <c r="B46" s="70" t="s">
        <v>41</v>
      </c>
      <c r="C46" s="4" t="s">
        <v>32</v>
      </c>
      <c r="D46" s="5">
        <v>1</v>
      </c>
      <c r="E46" s="11">
        <v>5000</v>
      </c>
      <c r="F46" s="11">
        <v>5000</v>
      </c>
      <c r="G46" s="11">
        <v>5000</v>
      </c>
      <c r="H46" s="11">
        <v>5000</v>
      </c>
      <c r="I46" s="11">
        <v>5000</v>
      </c>
      <c r="J46" s="11">
        <v>5000</v>
      </c>
      <c r="K46" s="11">
        <v>5000</v>
      </c>
      <c r="L46" s="11">
        <v>5000</v>
      </c>
      <c r="M46" s="11">
        <v>5000</v>
      </c>
      <c r="N46" s="11">
        <v>5000</v>
      </c>
      <c r="O46" s="11">
        <v>5000</v>
      </c>
      <c r="P46" s="11">
        <v>5000</v>
      </c>
      <c r="Q46" s="11">
        <v>5000</v>
      </c>
      <c r="R46" s="11">
        <v>5000</v>
      </c>
      <c r="S46" s="11">
        <v>5000</v>
      </c>
      <c r="T46" s="11">
        <v>5000</v>
      </c>
      <c r="U46" s="11">
        <v>5000</v>
      </c>
      <c r="V46" s="11">
        <v>5000</v>
      </c>
      <c r="W46" s="11">
        <v>5000</v>
      </c>
      <c r="X46" s="11">
        <v>5000</v>
      </c>
      <c r="Y46" s="11">
        <v>5000</v>
      </c>
      <c r="Z46" s="11">
        <v>5000</v>
      </c>
      <c r="AA46" s="11">
        <v>5000</v>
      </c>
      <c r="AB46" s="11">
        <v>5000</v>
      </c>
      <c r="AC46" s="78"/>
      <c r="AG46" s="15"/>
      <c r="AH46" s="15"/>
      <c r="AI46" s="15"/>
      <c r="AJ46" s="15"/>
      <c r="AK46" s="15"/>
      <c r="AL46" s="15"/>
      <c r="AM46" s="15"/>
      <c r="AN46" s="15"/>
      <c r="AO46" s="15"/>
      <c r="AP46" s="15"/>
      <c r="AQ46" s="15"/>
      <c r="AR46" s="15"/>
      <c r="AS46" s="15"/>
      <c r="AT46" s="15"/>
      <c r="AU46" s="15"/>
      <c r="AV46" s="15"/>
      <c r="AW46" s="15"/>
      <c r="AX46" s="15"/>
      <c r="AY46" s="15"/>
      <c r="AZ46" s="15"/>
      <c r="BA46" s="15"/>
      <c r="BB46" s="15"/>
      <c r="BC46" s="15"/>
      <c r="BD46" s="15"/>
    </row>
    <row r="47" spans="2:56" ht="18.649999999999999" customHeight="1" x14ac:dyDescent="0.25">
      <c r="B47" s="70" t="s">
        <v>42</v>
      </c>
      <c r="C47" s="4" t="s">
        <v>29</v>
      </c>
      <c r="D47" s="5">
        <v>18</v>
      </c>
      <c r="E47" s="11">
        <v>5000</v>
      </c>
      <c r="F47" s="11">
        <v>5000</v>
      </c>
      <c r="G47" s="11">
        <v>5000</v>
      </c>
      <c r="H47" s="11">
        <v>5000</v>
      </c>
      <c r="I47" s="11">
        <v>5000</v>
      </c>
      <c r="J47" s="11">
        <v>5000</v>
      </c>
      <c r="K47" s="11">
        <v>5000</v>
      </c>
      <c r="L47" s="11">
        <v>5000</v>
      </c>
      <c r="M47" s="11">
        <v>5000</v>
      </c>
      <c r="N47" s="11">
        <v>5000</v>
      </c>
      <c r="O47" s="11">
        <v>5000</v>
      </c>
      <c r="P47" s="11">
        <v>5000</v>
      </c>
      <c r="Q47" s="11">
        <v>5000</v>
      </c>
      <c r="R47" s="11">
        <v>5000</v>
      </c>
      <c r="S47" s="11">
        <v>5000</v>
      </c>
      <c r="T47" s="11">
        <v>5000</v>
      </c>
      <c r="U47" s="11">
        <v>5000</v>
      </c>
      <c r="V47" s="11">
        <v>5000</v>
      </c>
      <c r="W47" s="11">
        <v>5000</v>
      </c>
      <c r="X47" s="11">
        <v>5000</v>
      </c>
      <c r="Y47" s="11">
        <v>5000</v>
      </c>
      <c r="Z47" s="11">
        <v>5000</v>
      </c>
      <c r="AA47" s="11">
        <v>5000</v>
      </c>
      <c r="AB47" s="11">
        <v>5000</v>
      </c>
      <c r="AC47" s="76">
        <f>+SUM(E47:AB47)*D47+SUM(E48:AB48)*D48+SUM(E49:AB49)*D49+SUM(E50:AB50)*D50</f>
        <v>3600000</v>
      </c>
      <c r="AG47" s="15"/>
      <c r="AH47" s="15"/>
      <c r="AI47" s="15"/>
      <c r="AJ47" s="15"/>
      <c r="AK47" s="15"/>
      <c r="AL47" s="15"/>
      <c r="AM47" s="15"/>
      <c r="AN47" s="15"/>
      <c r="AO47" s="15"/>
      <c r="AP47" s="15"/>
      <c r="AQ47" s="15"/>
      <c r="AR47" s="15"/>
      <c r="AS47" s="15"/>
      <c r="AT47" s="15"/>
      <c r="AU47" s="15"/>
      <c r="AV47" s="15"/>
      <c r="AW47" s="15"/>
      <c r="AX47" s="15"/>
      <c r="AY47" s="15"/>
      <c r="AZ47" s="15"/>
      <c r="BA47" s="15"/>
      <c r="BB47" s="15"/>
      <c r="BC47" s="15"/>
      <c r="BD47" s="15"/>
    </row>
    <row r="48" spans="2:56" ht="18.649999999999999" customHeight="1" x14ac:dyDescent="0.25">
      <c r="B48" s="70" t="s">
        <v>42</v>
      </c>
      <c r="C48" s="4" t="s">
        <v>30</v>
      </c>
      <c r="D48" s="5">
        <v>5</v>
      </c>
      <c r="E48" s="11">
        <v>5000</v>
      </c>
      <c r="F48" s="11">
        <v>5000</v>
      </c>
      <c r="G48" s="11">
        <v>5000</v>
      </c>
      <c r="H48" s="11">
        <v>5000</v>
      </c>
      <c r="I48" s="11">
        <v>5000</v>
      </c>
      <c r="J48" s="11">
        <v>5000</v>
      </c>
      <c r="K48" s="11">
        <v>5000</v>
      </c>
      <c r="L48" s="11">
        <v>5000</v>
      </c>
      <c r="M48" s="11">
        <v>5000</v>
      </c>
      <c r="N48" s="11">
        <v>5000</v>
      </c>
      <c r="O48" s="11">
        <v>5000</v>
      </c>
      <c r="P48" s="11">
        <v>5000</v>
      </c>
      <c r="Q48" s="11">
        <v>5000</v>
      </c>
      <c r="R48" s="11">
        <v>5000</v>
      </c>
      <c r="S48" s="11">
        <v>5000</v>
      </c>
      <c r="T48" s="11">
        <v>5000</v>
      </c>
      <c r="U48" s="11">
        <v>5000</v>
      </c>
      <c r="V48" s="11">
        <v>5000</v>
      </c>
      <c r="W48" s="11">
        <v>5000</v>
      </c>
      <c r="X48" s="11">
        <v>5000</v>
      </c>
      <c r="Y48" s="11">
        <v>5000</v>
      </c>
      <c r="Z48" s="11">
        <v>5000</v>
      </c>
      <c r="AA48" s="11">
        <v>5000</v>
      </c>
      <c r="AB48" s="11">
        <v>5000</v>
      </c>
      <c r="AC48" s="77"/>
      <c r="AG48" s="15"/>
      <c r="AH48" s="15"/>
      <c r="AI48" s="15"/>
      <c r="AJ48" s="15"/>
      <c r="AK48" s="15"/>
      <c r="AL48" s="15"/>
      <c r="AM48" s="15"/>
      <c r="AN48" s="15"/>
      <c r="AO48" s="15"/>
      <c r="AP48" s="15"/>
      <c r="AQ48" s="15"/>
      <c r="AR48" s="15"/>
      <c r="AS48" s="15"/>
      <c r="AT48" s="15"/>
      <c r="AU48" s="15"/>
      <c r="AV48" s="15"/>
      <c r="AW48" s="15"/>
      <c r="AX48" s="15"/>
      <c r="AY48" s="15"/>
      <c r="AZ48" s="15"/>
      <c r="BA48" s="15"/>
      <c r="BB48" s="15"/>
      <c r="BC48" s="15"/>
      <c r="BD48" s="15"/>
    </row>
    <row r="49" spans="2:56" ht="18.649999999999999" customHeight="1" x14ac:dyDescent="0.25">
      <c r="B49" s="70" t="s">
        <v>42</v>
      </c>
      <c r="C49" s="4" t="s">
        <v>31</v>
      </c>
      <c r="D49" s="5">
        <v>5</v>
      </c>
      <c r="E49" s="11">
        <v>5000</v>
      </c>
      <c r="F49" s="11">
        <v>5000</v>
      </c>
      <c r="G49" s="11">
        <v>5000</v>
      </c>
      <c r="H49" s="11">
        <v>5000</v>
      </c>
      <c r="I49" s="11">
        <v>5000</v>
      </c>
      <c r="J49" s="11">
        <v>5000</v>
      </c>
      <c r="K49" s="11">
        <v>5000</v>
      </c>
      <c r="L49" s="11">
        <v>5000</v>
      </c>
      <c r="M49" s="11">
        <v>5000</v>
      </c>
      <c r="N49" s="11">
        <v>5000</v>
      </c>
      <c r="O49" s="11">
        <v>5000</v>
      </c>
      <c r="P49" s="11">
        <v>5000</v>
      </c>
      <c r="Q49" s="11">
        <v>5000</v>
      </c>
      <c r="R49" s="11">
        <v>5000</v>
      </c>
      <c r="S49" s="11">
        <v>5000</v>
      </c>
      <c r="T49" s="11">
        <v>5000</v>
      </c>
      <c r="U49" s="11">
        <v>5000</v>
      </c>
      <c r="V49" s="11">
        <v>5000</v>
      </c>
      <c r="W49" s="11">
        <v>5000</v>
      </c>
      <c r="X49" s="11">
        <v>5000</v>
      </c>
      <c r="Y49" s="11">
        <v>5000</v>
      </c>
      <c r="Z49" s="11">
        <v>5000</v>
      </c>
      <c r="AA49" s="11">
        <v>5000</v>
      </c>
      <c r="AB49" s="11">
        <v>5000</v>
      </c>
      <c r="AC49" s="77"/>
      <c r="AG49" s="15"/>
      <c r="AH49" s="15"/>
      <c r="AI49" s="15"/>
      <c r="AJ49" s="15"/>
      <c r="AK49" s="15"/>
      <c r="AL49" s="15"/>
      <c r="AM49" s="15"/>
      <c r="AN49" s="15"/>
      <c r="AO49" s="15"/>
      <c r="AP49" s="15"/>
      <c r="AQ49" s="15"/>
      <c r="AR49" s="15"/>
      <c r="AS49" s="15"/>
      <c r="AT49" s="15"/>
      <c r="AU49" s="15"/>
      <c r="AV49" s="15"/>
      <c r="AW49" s="15"/>
      <c r="AX49" s="15"/>
      <c r="AY49" s="15"/>
      <c r="AZ49" s="15"/>
      <c r="BA49" s="15"/>
      <c r="BB49" s="15"/>
      <c r="BC49" s="15"/>
      <c r="BD49" s="15"/>
    </row>
    <row r="50" spans="2:56" ht="18.649999999999999" customHeight="1" x14ac:dyDescent="0.25">
      <c r="B50" s="70" t="s">
        <v>42</v>
      </c>
      <c r="C50" s="4" t="s">
        <v>32</v>
      </c>
      <c r="D50" s="5">
        <v>2</v>
      </c>
      <c r="E50" s="11">
        <v>5000</v>
      </c>
      <c r="F50" s="11">
        <v>5000</v>
      </c>
      <c r="G50" s="11">
        <v>5000</v>
      </c>
      <c r="H50" s="11">
        <v>5000</v>
      </c>
      <c r="I50" s="11">
        <v>5000</v>
      </c>
      <c r="J50" s="11">
        <v>5000</v>
      </c>
      <c r="K50" s="11">
        <v>5000</v>
      </c>
      <c r="L50" s="11">
        <v>5000</v>
      </c>
      <c r="M50" s="11">
        <v>5000</v>
      </c>
      <c r="N50" s="11">
        <v>5000</v>
      </c>
      <c r="O50" s="11">
        <v>5000</v>
      </c>
      <c r="P50" s="11">
        <v>5000</v>
      </c>
      <c r="Q50" s="11">
        <v>5000</v>
      </c>
      <c r="R50" s="11">
        <v>5000</v>
      </c>
      <c r="S50" s="11">
        <v>5000</v>
      </c>
      <c r="T50" s="11">
        <v>5000</v>
      </c>
      <c r="U50" s="11">
        <v>5000</v>
      </c>
      <c r="V50" s="11">
        <v>5000</v>
      </c>
      <c r="W50" s="11">
        <v>5000</v>
      </c>
      <c r="X50" s="11">
        <v>5000</v>
      </c>
      <c r="Y50" s="11">
        <v>5000</v>
      </c>
      <c r="Z50" s="11">
        <v>5000</v>
      </c>
      <c r="AA50" s="11">
        <v>5000</v>
      </c>
      <c r="AB50" s="11">
        <v>5000</v>
      </c>
      <c r="AC50" s="78"/>
      <c r="AG50" s="15"/>
      <c r="AH50" s="15"/>
      <c r="AI50" s="15"/>
      <c r="AJ50" s="15"/>
      <c r="AK50" s="15"/>
      <c r="AL50" s="15"/>
      <c r="AM50" s="15"/>
      <c r="AN50" s="15"/>
      <c r="AO50" s="15"/>
      <c r="AP50" s="15"/>
      <c r="AQ50" s="15"/>
      <c r="AR50" s="15"/>
      <c r="AS50" s="15"/>
      <c r="AT50" s="15"/>
      <c r="AU50" s="15"/>
      <c r="AV50" s="15"/>
      <c r="AW50" s="15"/>
      <c r="AX50" s="15"/>
      <c r="AY50" s="15"/>
      <c r="AZ50" s="15"/>
      <c r="BA50" s="15"/>
      <c r="BB50" s="15"/>
      <c r="BC50" s="15"/>
      <c r="BD50" s="15"/>
    </row>
    <row r="51" spans="2:56" ht="18.649999999999999" customHeight="1" x14ac:dyDescent="0.25">
      <c r="B51" s="70" t="s">
        <v>43</v>
      </c>
      <c r="C51" s="4" t="s">
        <v>29</v>
      </c>
      <c r="D51" s="5">
        <v>21</v>
      </c>
      <c r="E51" s="11">
        <v>5000</v>
      </c>
      <c r="F51" s="11">
        <v>5000</v>
      </c>
      <c r="G51" s="11">
        <v>5000</v>
      </c>
      <c r="H51" s="11">
        <v>5000</v>
      </c>
      <c r="I51" s="11">
        <v>5000</v>
      </c>
      <c r="J51" s="11">
        <v>5000</v>
      </c>
      <c r="K51" s="11">
        <v>5000</v>
      </c>
      <c r="L51" s="11">
        <v>5000</v>
      </c>
      <c r="M51" s="11">
        <v>5000</v>
      </c>
      <c r="N51" s="11">
        <v>5000</v>
      </c>
      <c r="O51" s="11">
        <v>5000</v>
      </c>
      <c r="P51" s="11">
        <v>5000</v>
      </c>
      <c r="Q51" s="11">
        <v>5000</v>
      </c>
      <c r="R51" s="11">
        <v>5000</v>
      </c>
      <c r="S51" s="11">
        <v>5000</v>
      </c>
      <c r="T51" s="11">
        <v>5000</v>
      </c>
      <c r="U51" s="11">
        <v>5000</v>
      </c>
      <c r="V51" s="11">
        <v>5000</v>
      </c>
      <c r="W51" s="11">
        <v>5000</v>
      </c>
      <c r="X51" s="11">
        <v>5000</v>
      </c>
      <c r="Y51" s="11">
        <v>5000</v>
      </c>
      <c r="Z51" s="11">
        <v>5000</v>
      </c>
      <c r="AA51" s="11">
        <v>5000</v>
      </c>
      <c r="AB51" s="11">
        <v>5000</v>
      </c>
      <c r="AC51" s="76">
        <f>+SUM(E51:AB51)*D51+SUM(E52:AB52)*D52+SUM(E53:AB53)*D53+SUM(E54:AB54)*D54</f>
        <v>3720000</v>
      </c>
      <c r="AG51" s="15"/>
      <c r="AH51" s="15"/>
      <c r="AI51" s="15"/>
      <c r="AJ51" s="15"/>
      <c r="AK51" s="15"/>
      <c r="AL51" s="15"/>
      <c r="AM51" s="15"/>
      <c r="AN51" s="15"/>
      <c r="AO51" s="15"/>
      <c r="AP51" s="15"/>
      <c r="AQ51" s="15"/>
      <c r="AR51" s="15"/>
      <c r="AS51" s="15"/>
      <c r="AT51" s="15"/>
      <c r="AU51" s="15"/>
      <c r="AV51" s="15"/>
      <c r="AW51" s="15"/>
      <c r="AX51" s="15"/>
      <c r="AY51" s="15"/>
      <c r="AZ51" s="15"/>
      <c r="BA51" s="15"/>
      <c r="BB51" s="15"/>
      <c r="BC51" s="15"/>
      <c r="BD51" s="15"/>
    </row>
    <row r="52" spans="2:56" ht="18.649999999999999" customHeight="1" x14ac:dyDescent="0.25">
      <c r="B52" s="70" t="s">
        <v>43</v>
      </c>
      <c r="C52" s="4" t="s">
        <v>30</v>
      </c>
      <c r="D52" s="5">
        <v>4</v>
      </c>
      <c r="E52" s="11">
        <v>5000</v>
      </c>
      <c r="F52" s="11">
        <v>5000</v>
      </c>
      <c r="G52" s="11">
        <v>5000</v>
      </c>
      <c r="H52" s="11">
        <v>5000</v>
      </c>
      <c r="I52" s="11">
        <v>5000</v>
      </c>
      <c r="J52" s="11">
        <v>5000</v>
      </c>
      <c r="K52" s="11">
        <v>5000</v>
      </c>
      <c r="L52" s="11">
        <v>5000</v>
      </c>
      <c r="M52" s="11">
        <v>5000</v>
      </c>
      <c r="N52" s="11">
        <v>5000</v>
      </c>
      <c r="O52" s="11">
        <v>5000</v>
      </c>
      <c r="P52" s="11">
        <v>5000</v>
      </c>
      <c r="Q52" s="11">
        <v>5000</v>
      </c>
      <c r="R52" s="11">
        <v>5000</v>
      </c>
      <c r="S52" s="11">
        <v>5000</v>
      </c>
      <c r="T52" s="11">
        <v>5000</v>
      </c>
      <c r="U52" s="11">
        <v>5000</v>
      </c>
      <c r="V52" s="11">
        <v>5000</v>
      </c>
      <c r="W52" s="11">
        <v>5000</v>
      </c>
      <c r="X52" s="11">
        <v>5000</v>
      </c>
      <c r="Y52" s="11">
        <v>5000</v>
      </c>
      <c r="Z52" s="11">
        <v>5000</v>
      </c>
      <c r="AA52" s="11">
        <v>5000</v>
      </c>
      <c r="AB52" s="11">
        <v>5000</v>
      </c>
      <c r="AC52" s="77"/>
      <c r="AG52" s="15"/>
      <c r="AH52" s="15"/>
      <c r="AI52" s="15"/>
      <c r="AJ52" s="15"/>
      <c r="AK52" s="15"/>
      <c r="AL52" s="15"/>
      <c r="AM52" s="15"/>
      <c r="AN52" s="15"/>
      <c r="AO52" s="15"/>
      <c r="AP52" s="15"/>
      <c r="AQ52" s="15"/>
      <c r="AR52" s="15"/>
      <c r="AS52" s="15"/>
      <c r="AT52" s="15"/>
      <c r="AU52" s="15"/>
      <c r="AV52" s="15"/>
      <c r="AW52" s="15"/>
      <c r="AX52" s="15"/>
      <c r="AY52" s="15"/>
      <c r="AZ52" s="15"/>
      <c r="BA52" s="15"/>
      <c r="BB52" s="15"/>
      <c r="BC52" s="15"/>
      <c r="BD52" s="15"/>
    </row>
    <row r="53" spans="2:56" ht="18.649999999999999" customHeight="1" x14ac:dyDescent="0.25">
      <c r="B53" s="70" t="s">
        <v>43</v>
      </c>
      <c r="C53" s="4" t="s">
        <v>31</v>
      </c>
      <c r="D53" s="5">
        <v>4</v>
      </c>
      <c r="E53" s="11">
        <v>5000</v>
      </c>
      <c r="F53" s="11">
        <v>5000</v>
      </c>
      <c r="G53" s="11">
        <v>5000</v>
      </c>
      <c r="H53" s="11">
        <v>5000</v>
      </c>
      <c r="I53" s="11">
        <v>5000</v>
      </c>
      <c r="J53" s="11">
        <v>5000</v>
      </c>
      <c r="K53" s="11">
        <v>5000</v>
      </c>
      <c r="L53" s="11">
        <v>5000</v>
      </c>
      <c r="M53" s="11">
        <v>5000</v>
      </c>
      <c r="N53" s="11">
        <v>5000</v>
      </c>
      <c r="O53" s="11">
        <v>5000</v>
      </c>
      <c r="P53" s="11">
        <v>5000</v>
      </c>
      <c r="Q53" s="11">
        <v>5000</v>
      </c>
      <c r="R53" s="11">
        <v>5000</v>
      </c>
      <c r="S53" s="11">
        <v>5000</v>
      </c>
      <c r="T53" s="11">
        <v>5000</v>
      </c>
      <c r="U53" s="11">
        <v>5000</v>
      </c>
      <c r="V53" s="11">
        <v>5000</v>
      </c>
      <c r="W53" s="11">
        <v>5000</v>
      </c>
      <c r="X53" s="11">
        <v>5000</v>
      </c>
      <c r="Y53" s="11">
        <v>5000</v>
      </c>
      <c r="Z53" s="11">
        <v>5000</v>
      </c>
      <c r="AA53" s="11">
        <v>5000</v>
      </c>
      <c r="AB53" s="11">
        <v>5000</v>
      </c>
      <c r="AC53" s="77"/>
      <c r="AG53" s="15"/>
      <c r="AH53" s="15"/>
      <c r="AI53" s="15"/>
      <c r="AJ53" s="15"/>
      <c r="AK53" s="15"/>
      <c r="AL53" s="15"/>
      <c r="AM53" s="15"/>
      <c r="AN53" s="15"/>
      <c r="AO53" s="15"/>
      <c r="AP53" s="15"/>
      <c r="AQ53" s="15"/>
      <c r="AR53" s="15"/>
      <c r="AS53" s="15"/>
      <c r="AT53" s="15"/>
      <c r="AU53" s="15"/>
      <c r="AV53" s="15"/>
      <c r="AW53" s="15"/>
      <c r="AX53" s="15"/>
      <c r="AY53" s="15"/>
      <c r="AZ53" s="15"/>
      <c r="BA53" s="15"/>
      <c r="BB53" s="15"/>
      <c r="BC53" s="15"/>
      <c r="BD53" s="15"/>
    </row>
    <row r="54" spans="2:56" ht="18.649999999999999" customHeight="1" x14ac:dyDescent="0.25">
      <c r="B54" s="70" t="s">
        <v>43</v>
      </c>
      <c r="C54" s="4" t="s">
        <v>32</v>
      </c>
      <c r="D54" s="5">
        <v>2</v>
      </c>
      <c r="E54" s="11">
        <v>5000</v>
      </c>
      <c r="F54" s="11">
        <v>5000</v>
      </c>
      <c r="G54" s="11">
        <v>5000</v>
      </c>
      <c r="H54" s="11">
        <v>5000</v>
      </c>
      <c r="I54" s="11">
        <v>5000</v>
      </c>
      <c r="J54" s="11">
        <v>5000</v>
      </c>
      <c r="K54" s="11">
        <v>5000</v>
      </c>
      <c r="L54" s="11">
        <v>5000</v>
      </c>
      <c r="M54" s="11">
        <v>5000</v>
      </c>
      <c r="N54" s="11">
        <v>5000</v>
      </c>
      <c r="O54" s="11">
        <v>5000</v>
      </c>
      <c r="P54" s="11">
        <v>5000</v>
      </c>
      <c r="Q54" s="11">
        <v>5000</v>
      </c>
      <c r="R54" s="11">
        <v>5000</v>
      </c>
      <c r="S54" s="11">
        <v>5000</v>
      </c>
      <c r="T54" s="11">
        <v>5000</v>
      </c>
      <c r="U54" s="11">
        <v>5000</v>
      </c>
      <c r="V54" s="11">
        <v>5000</v>
      </c>
      <c r="W54" s="11">
        <v>5000</v>
      </c>
      <c r="X54" s="11">
        <v>5000</v>
      </c>
      <c r="Y54" s="11">
        <v>5000</v>
      </c>
      <c r="Z54" s="11">
        <v>5000</v>
      </c>
      <c r="AA54" s="11">
        <v>5000</v>
      </c>
      <c r="AB54" s="11">
        <v>5000</v>
      </c>
      <c r="AC54" s="78"/>
      <c r="AG54" s="15"/>
      <c r="AH54" s="15"/>
      <c r="AI54" s="15"/>
      <c r="AJ54" s="15"/>
      <c r="AK54" s="15"/>
      <c r="AL54" s="15"/>
      <c r="AM54" s="15"/>
      <c r="AN54" s="15"/>
      <c r="AO54" s="15"/>
      <c r="AP54" s="15"/>
      <c r="AQ54" s="15"/>
      <c r="AR54" s="15"/>
      <c r="AS54" s="15"/>
      <c r="AT54" s="15"/>
      <c r="AU54" s="15"/>
      <c r="AV54" s="15"/>
      <c r="AW54" s="15"/>
      <c r="AX54" s="15"/>
      <c r="AY54" s="15"/>
      <c r="AZ54" s="15"/>
      <c r="BA54" s="15"/>
      <c r="BB54" s="15"/>
      <c r="BC54" s="15"/>
      <c r="BD54" s="15"/>
    </row>
    <row r="55" spans="2:56" ht="18.649999999999999" customHeight="1" x14ac:dyDescent="0.25">
      <c r="E55" s="12"/>
      <c r="F55" s="12"/>
      <c r="G55" s="12"/>
      <c r="H55" s="12"/>
      <c r="I55" s="12"/>
      <c r="J55" s="12"/>
      <c r="K55" s="12"/>
      <c r="L55" s="12"/>
      <c r="M55" s="12"/>
      <c r="N55" s="12"/>
      <c r="O55" s="12"/>
      <c r="P55" s="12"/>
      <c r="Q55" s="12"/>
      <c r="R55" s="12"/>
      <c r="S55" s="12"/>
      <c r="T55" s="12"/>
      <c r="U55" s="12"/>
      <c r="V55" s="12"/>
      <c r="W55" s="12"/>
      <c r="X55" s="12"/>
      <c r="Y55" s="12"/>
      <c r="Z55" s="80" t="s">
        <v>46</v>
      </c>
      <c r="AA55" s="80"/>
      <c r="AB55" s="80"/>
      <c r="AC55" s="13">
        <f>SUM(AC7:AC54)</f>
        <v>43800000</v>
      </c>
    </row>
    <row r="57" spans="2:56" x14ac:dyDescent="0.25">
      <c r="AC57" s="10"/>
    </row>
  </sheetData>
  <mergeCells count="28">
    <mergeCell ref="B51:B54"/>
    <mergeCell ref="AC51:AC54"/>
    <mergeCell ref="Z55:AB55"/>
    <mergeCell ref="B39:B42"/>
    <mergeCell ref="AC39:AC42"/>
    <mergeCell ref="B43:B46"/>
    <mergeCell ref="AC43:AC46"/>
    <mergeCell ref="B47:B50"/>
    <mergeCell ref="AC47:AC50"/>
    <mergeCell ref="B27:B30"/>
    <mergeCell ref="AC27:AC30"/>
    <mergeCell ref="B31:B34"/>
    <mergeCell ref="AC31:AC34"/>
    <mergeCell ref="B35:B38"/>
    <mergeCell ref="AC35:AC38"/>
    <mergeCell ref="B15:B18"/>
    <mergeCell ref="AC15:AC18"/>
    <mergeCell ref="B19:B22"/>
    <mergeCell ref="AC19:AC22"/>
    <mergeCell ref="B23:B26"/>
    <mergeCell ref="AC23:AC26"/>
    <mergeCell ref="B11:B14"/>
    <mergeCell ref="AC11:AC14"/>
    <mergeCell ref="B2:AC2"/>
    <mergeCell ref="B3:AC3"/>
    <mergeCell ref="B4:AC4"/>
    <mergeCell ref="B7:B10"/>
    <mergeCell ref="AC7:AC10"/>
  </mergeCells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6ebbfa72-b3b6-4c1f-8b23-058d4f67f013}" enabled="1" method="Privileged" siteId="{bf1ce8b5-5d39-4bc5-ad6e-07b3e4d7d67a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16</vt:i4>
      </vt:variant>
    </vt:vector>
  </HeadingPairs>
  <TitlesOfParts>
    <vt:vector size="16" baseType="lpstr">
      <vt:lpstr>Oferta Producto 1</vt:lpstr>
      <vt:lpstr>Oferta Producto 2</vt:lpstr>
      <vt:lpstr>Oferta Producto 3</vt:lpstr>
      <vt:lpstr>Oferta Producto 4</vt:lpstr>
      <vt:lpstr>Oferta Producto 5</vt:lpstr>
      <vt:lpstr>Oferta Producto 6 </vt:lpstr>
      <vt:lpstr>Cantidad Producto 1-2027</vt:lpstr>
      <vt:lpstr>Cantidad Producto 2-2028</vt:lpstr>
      <vt:lpstr>Cantidad Producto3-2029</vt:lpstr>
      <vt:lpstr>Cantidad Producto 4-2030</vt:lpstr>
      <vt:lpstr>Cantidad Producto 5-2031</vt:lpstr>
      <vt:lpstr>Cantidad Producto6-2027</vt:lpstr>
      <vt:lpstr>Cantidad Producto 6-2028 </vt:lpstr>
      <vt:lpstr>Cantidad Producto 6-2029</vt:lpstr>
      <vt:lpstr>Cantidad Producto 6-2030</vt:lpstr>
      <vt:lpstr>Cantidad Producto 6-2031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LUZ ELENA QUICENO PEREZ</dc:creator>
  <cp:lastModifiedBy>LUZ ELENA QUICENO PEREZ</cp:lastModifiedBy>
  <dcterms:created xsi:type="dcterms:W3CDTF">2024-09-16T15:42:34Z</dcterms:created>
  <dcterms:modified xsi:type="dcterms:W3CDTF">2026-03-19T17:35:10Z</dcterms:modified>
</cp:coreProperties>
</file>