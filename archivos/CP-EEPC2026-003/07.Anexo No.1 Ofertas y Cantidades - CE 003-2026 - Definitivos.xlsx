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empresaenergiadepereira-my.sharepoint.com/personal/jperillar_eep_com_co/Documents/Escritorio/Gestión Mercado/07. Julio 2026/Balance de energía/Cargue SICEP/"/>
    </mc:Choice>
  </mc:AlternateContent>
  <xr:revisionPtr revIDLastSave="11" documentId="13_ncr:1_{9431A950-6095-40D8-9942-0FAABC7C5346}" xr6:coauthVersionLast="47" xr6:coauthVersionMax="47" xr10:uidLastSave="{E11F9979-3E2B-49C3-A8BE-C9CD628BC247}"/>
  <bookViews>
    <workbookView xWindow="-28920" yWindow="-180" windowWidth="29040" windowHeight="15720" tabRatio="857" xr2:uid="{AB74ADC7-B8B7-4791-9BEB-E1A35E7802FC}"/>
  </bookViews>
  <sheets>
    <sheet name="Oferta Producto No. 1" sheetId="14" r:id="rId1"/>
    <sheet name="Cantidades Producto No. 1" sheetId="15" r:id="rId2"/>
    <sheet name="Oferta Producto No. 2" sheetId="16" r:id="rId3"/>
    <sheet name="Cantidades Producto No. 2" sheetId="23" r:id="rId4"/>
    <sheet name="Oferta Producto No. 3" sheetId="13" r:id="rId5"/>
    <sheet name="Cantidades Producto No. 3" sheetId="1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7" i="13" l="1"/>
  <c r="B24" i="16"/>
  <c r="B31" i="14"/>
  <c r="AB48" i="17" l="1"/>
  <c r="AB47" i="17"/>
  <c r="AB46" i="17"/>
  <c r="AB45" i="17"/>
  <c r="AB44" i="17"/>
  <c r="AB43" i="17"/>
  <c r="AB42" i="17"/>
  <c r="AB37" i="17"/>
  <c r="AB36" i="17"/>
  <c r="AB35" i="17"/>
  <c r="AB34" i="17"/>
  <c r="AB33" i="17"/>
  <c r="AB32" i="17"/>
  <c r="AB31" i="17"/>
  <c r="AB26" i="17"/>
  <c r="AB25" i="17"/>
  <c r="AB24" i="17"/>
  <c r="AB23" i="17"/>
  <c r="AB22" i="17"/>
  <c r="AB21" i="17"/>
  <c r="AB20" i="17"/>
  <c r="AB14" i="17"/>
  <c r="AB13" i="17"/>
  <c r="AB12" i="17"/>
  <c r="AB11" i="17"/>
  <c r="AB10" i="17"/>
  <c r="AB9" i="17"/>
  <c r="AB8" i="17"/>
  <c r="Z48" i="17"/>
  <c r="Z47" i="17"/>
  <c r="Z46" i="17"/>
  <c r="Z45" i="17"/>
  <c r="Z44" i="17"/>
  <c r="Z43" i="17"/>
  <c r="Z42" i="17"/>
  <c r="Z37" i="17"/>
  <c r="Z36" i="17"/>
  <c r="Z35" i="17"/>
  <c r="Z34" i="17"/>
  <c r="Z33" i="17"/>
  <c r="Z32" i="17"/>
  <c r="Z31" i="17"/>
  <c r="Z26" i="17"/>
  <c r="Z25" i="17"/>
  <c r="Z24" i="17"/>
  <c r="Z23" i="17"/>
  <c r="Z22" i="17"/>
  <c r="Z21" i="17"/>
  <c r="Z20" i="17"/>
  <c r="Z14" i="17"/>
  <c r="Z13" i="17"/>
  <c r="Z12" i="17"/>
  <c r="Z11" i="17"/>
  <c r="Z10" i="17"/>
  <c r="Z9" i="17"/>
  <c r="Z8" i="17"/>
  <c r="Z36" i="23"/>
  <c r="Z35" i="23"/>
  <c r="Z34" i="23"/>
  <c r="Z33" i="23"/>
  <c r="Z28" i="23"/>
  <c r="Z27" i="23"/>
  <c r="Z26" i="23"/>
  <c r="Z25" i="23"/>
  <c r="Z20" i="23"/>
  <c r="Z19" i="23"/>
  <c r="Z18" i="23"/>
  <c r="Z17" i="23"/>
  <c r="Z11" i="23"/>
  <c r="Z10" i="23"/>
  <c r="Z9" i="23"/>
  <c r="Z8" i="23"/>
  <c r="Z66" i="15"/>
  <c r="Z65" i="15"/>
  <c r="Z64" i="15"/>
  <c r="Z63" i="15"/>
  <c r="Z62" i="15"/>
  <c r="Z61" i="15"/>
  <c r="Z60" i="15"/>
  <c r="Z59" i="15"/>
  <c r="Z58" i="15"/>
  <c r="Z57" i="15"/>
  <c r="Z56" i="15"/>
  <c r="Z50" i="15"/>
  <c r="Z49" i="15"/>
  <c r="Z48" i="15"/>
  <c r="Z47" i="15"/>
  <c r="Z46" i="15"/>
  <c r="AB46" i="15" s="1"/>
  <c r="Z45" i="15"/>
  <c r="AB45" i="15" s="1"/>
  <c r="Z44" i="15"/>
  <c r="Z43" i="15"/>
  <c r="Z42" i="15"/>
  <c r="Z41" i="15"/>
  <c r="Z40" i="15"/>
  <c r="Z34" i="15"/>
  <c r="Z33" i="15"/>
  <c r="Z32" i="15"/>
  <c r="Z31" i="15"/>
  <c r="Z30" i="15"/>
  <c r="Z29" i="15"/>
  <c r="Z28" i="15"/>
  <c r="Z27" i="15"/>
  <c r="Z26" i="15"/>
  <c r="Z25" i="15"/>
  <c r="Z24" i="15"/>
  <c r="Z18" i="15"/>
  <c r="Z17" i="15"/>
  <c r="Z16" i="15"/>
  <c r="Z15" i="15"/>
  <c r="Z14" i="15"/>
  <c r="Z13" i="15"/>
  <c r="Z12" i="15"/>
  <c r="Z11" i="15"/>
  <c r="Z10" i="15"/>
  <c r="Z9" i="15"/>
  <c r="AB9" i="15" s="1"/>
  <c r="Z8" i="15"/>
  <c r="AB36" i="23"/>
  <c r="AB35" i="23"/>
  <c r="AB34" i="23"/>
  <c r="AB33" i="23"/>
  <c r="AB28" i="23"/>
  <c r="AB27" i="23"/>
  <c r="AB26" i="23"/>
  <c r="AB25" i="23"/>
  <c r="AB20" i="23"/>
  <c r="AB19" i="23"/>
  <c r="AB18" i="23"/>
  <c r="AB17" i="23"/>
  <c r="AB11" i="23"/>
  <c r="AB10" i="23"/>
  <c r="AB9" i="23"/>
  <c r="AB8" i="23"/>
  <c r="AB66" i="15"/>
  <c r="AB65" i="15"/>
  <c r="AB64" i="15"/>
  <c r="AB63" i="15"/>
  <c r="AB62" i="15"/>
  <c r="AB61" i="15"/>
  <c r="AB60" i="15"/>
  <c r="AB59" i="15"/>
  <c r="AB58" i="15"/>
  <c r="AB57" i="15"/>
  <c r="AB56" i="15"/>
  <c r="AB50" i="15"/>
  <c r="AB49" i="15"/>
  <c r="AB48" i="15"/>
  <c r="AB47" i="15"/>
  <c r="AB44" i="15"/>
  <c r="AB43" i="15"/>
  <c r="AB42" i="15"/>
  <c r="AB41" i="15"/>
  <c r="AB40" i="15"/>
  <c r="AB34" i="15"/>
  <c r="AB33" i="15"/>
  <c r="AB32" i="15"/>
  <c r="AB31" i="15"/>
  <c r="AB30" i="15"/>
  <c r="AB29" i="15"/>
  <c r="AB28" i="15"/>
  <c r="AB27" i="15"/>
  <c r="AB26" i="15"/>
  <c r="AB25" i="15"/>
  <c r="AB24" i="15"/>
  <c r="AB18" i="15"/>
  <c r="AB17" i="15"/>
  <c r="AB16" i="15"/>
  <c r="AB15" i="15"/>
  <c r="AB14" i="15"/>
  <c r="AB13" i="15"/>
  <c r="AB12" i="15"/>
  <c r="AB11" i="15"/>
  <c r="AB10" i="15"/>
  <c r="AB8" i="15"/>
  <c r="A44" i="23" l="1"/>
  <c r="A43" i="23"/>
  <c r="A42" i="23"/>
  <c r="A41" i="23"/>
  <c r="AA53" i="17"/>
  <c r="AA43" i="23" l="1"/>
  <c r="AA42" i="23"/>
  <c r="AA44" i="23"/>
  <c r="AA41" i="23"/>
  <c r="AA82" i="15"/>
  <c r="AA81" i="15"/>
  <c r="AA80" i="15"/>
  <c r="AA79" i="15"/>
  <c r="AA78" i="15"/>
  <c r="AA77" i="15"/>
  <c r="AA76" i="15"/>
  <c r="AA75" i="15"/>
  <c r="AA74" i="15"/>
  <c r="AA73" i="15"/>
  <c r="AA72" i="15"/>
  <c r="F42" i="23"/>
  <c r="I42" i="23"/>
  <c r="J43" i="23"/>
  <c r="R43" i="23"/>
  <c r="C42" i="23"/>
  <c r="D42" i="23"/>
  <c r="G42" i="23"/>
  <c r="H42" i="23"/>
  <c r="Q42" i="23"/>
  <c r="S42" i="23"/>
  <c r="V42" i="23"/>
  <c r="D43" i="23"/>
  <c r="L43" i="23"/>
  <c r="T43" i="23"/>
  <c r="W82" i="15"/>
  <c r="U82" i="15"/>
  <c r="S82" i="15"/>
  <c r="Q82" i="15"/>
  <c r="P82" i="15"/>
  <c r="O82" i="15"/>
  <c r="L82" i="15"/>
  <c r="K82" i="15"/>
  <c r="H82" i="15"/>
  <c r="G82" i="15"/>
  <c r="E82" i="15"/>
  <c r="C82" i="15"/>
  <c r="X81" i="15"/>
  <c r="V81" i="15"/>
  <c r="U81" i="15"/>
  <c r="T81" i="15"/>
  <c r="R81" i="15"/>
  <c r="Q81" i="15"/>
  <c r="P81" i="15"/>
  <c r="N81" i="15"/>
  <c r="L81" i="15"/>
  <c r="I81" i="15"/>
  <c r="H81" i="15"/>
  <c r="F81" i="15"/>
  <c r="E81" i="15"/>
  <c r="C81" i="15"/>
  <c r="Y80" i="15"/>
  <c r="W80" i="15"/>
  <c r="V80" i="15"/>
  <c r="U80" i="15"/>
  <c r="T80" i="15"/>
  <c r="S80" i="15"/>
  <c r="Q80" i="15"/>
  <c r="O80" i="15"/>
  <c r="N80" i="15"/>
  <c r="M80" i="15"/>
  <c r="K80" i="15"/>
  <c r="I80" i="15"/>
  <c r="F80" i="15"/>
  <c r="E80" i="15"/>
  <c r="D80" i="15"/>
  <c r="C80" i="15"/>
  <c r="W79" i="15"/>
  <c r="V79" i="15"/>
  <c r="T79" i="15"/>
  <c r="S79" i="15"/>
  <c r="Q79" i="15"/>
  <c r="P79" i="15"/>
  <c r="N79" i="15"/>
  <c r="M79" i="15"/>
  <c r="K79" i="15"/>
  <c r="J79" i="15"/>
  <c r="H79" i="15"/>
  <c r="G79" i="15"/>
  <c r="F79" i="15"/>
  <c r="D79" i="15"/>
  <c r="X78" i="15"/>
  <c r="W78" i="15"/>
  <c r="V78" i="15"/>
  <c r="T78" i="15"/>
  <c r="S78" i="15"/>
  <c r="P78" i="15"/>
  <c r="N78" i="15"/>
  <c r="K78" i="15"/>
  <c r="J78" i="15"/>
  <c r="H78" i="15"/>
  <c r="G78" i="15"/>
  <c r="F78" i="15"/>
  <c r="D78" i="15"/>
  <c r="Y77" i="15"/>
  <c r="X77" i="15"/>
  <c r="W77" i="15"/>
  <c r="U77" i="15"/>
  <c r="S77" i="15"/>
  <c r="R77" i="15"/>
  <c r="Q77" i="15"/>
  <c r="O77" i="15"/>
  <c r="M77" i="15"/>
  <c r="J77" i="15"/>
  <c r="G77" i="15"/>
  <c r="E77" i="15"/>
  <c r="C77" i="15"/>
  <c r="Y76" i="15"/>
  <c r="V76" i="15"/>
  <c r="U76" i="15"/>
  <c r="T76" i="15"/>
  <c r="R76" i="15"/>
  <c r="Q76" i="15"/>
  <c r="P76" i="15"/>
  <c r="N76" i="15"/>
  <c r="M76" i="15"/>
  <c r="J76" i="15"/>
  <c r="H76" i="15"/>
  <c r="E76" i="15"/>
  <c r="D76" i="15"/>
  <c r="X75" i="15"/>
  <c r="W75" i="15"/>
  <c r="L75" i="15"/>
  <c r="J75" i="15"/>
  <c r="F75" i="15"/>
  <c r="E75" i="15"/>
  <c r="X74" i="15"/>
  <c r="W74" i="15"/>
  <c r="T74" i="15"/>
  <c r="S74" i="15"/>
  <c r="R74" i="15"/>
  <c r="P74" i="15"/>
  <c r="O74" i="15"/>
  <c r="M74" i="15"/>
  <c r="L74" i="15"/>
  <c r="K74" i="15"/>
  <c r="I74" i="15"/>
  <c r="G74" i="15"/>
  <c r="E74" i="15"/>
  <c r="D74" i="15"/>
  <c r="C74" i="15"/>
  <c r="Y73" i="15"/>
  <c r="X73" i="15"/>
  <c r="W73" i="15"/>
  <c r="V73" i="15"/>
  <c r="U73" i="15"/>
  <c r="T73" i="15"/>
  <c r="S73" i="15"/>
  <c r="R73" i="15"/>
  <c r="Q73" i="15"/>
  <c r="P73" i="15"/>
  <c r="N73" i="15"/>
  <c r="L73" i="15"/>
  <c r="J73" i="15"/>
  <c r="I73" i="15"/>
  <c r="F73" i="15"/>
  <c r="E73" i="15"/>
  <c r="D73" i="15"/>
  <c r="C73" i="15"/>
  <c r="A82" i="15"/>
  <c r="A81" i="15"/>
  <c r="A80" i="15"/>
  <c r="A79" i="15"/>
  <c r="A78" i="15"/>
  <c r="A77" i="15"/>
  <c r="A76" i="15"/>
  <c r="A75" i="15"/>
  <c r="A74" i="15"/>
  <c r="A73" i="15"/>
  <c r="Y42" i="23" l="1"/>
  <c r="E44" i="23"/>
  <c r="S43" i="23"/>
  <c r="X44" i="23"/>
  <c r="M44" i="23"/>
  <c r="D44" i="23"/>
  <c r="I43" i="23"/>
  <c r="X42" i="23"/>
  <c r="P42" i="23"/>
  <c r="Y44" i="23"/>
  <c r="W42" i="23"/>
  <c r="O42" i="23"/>
  <c r="E42" i="23"/>
  <c r="W44" i="23"/>
  <c r="P43" i="23"/>
  <c r="G43" i="23"/>
  <c r="N42" i="23"/>
  <c r="L44" i="23"/>
  <c r="X43" i="23"/>
  <c r="O43" i="23"/>
  <c r="F43" i="23"/>
  <c r="L42" i="23"/>
  <c r="U44" i="23"/>
  <c r="J44" i="23"/>
  <c r="W43" i="23"/>
  <c r="N43" i="23"/>
  <c r="U42" i="23"/>
  <c r="T42" i="23"/>
  <c r="J42" i="23"/>
  <c r="V43" i="23"/>
  <c r="E43" i="23"/>
  <c r="M43" i="23"/>
  <c r="R44" i="23"/>
  <c r="H44" i="23"/>
  <c r="C43" i="23"/>
  <c r="Q44" i="23"/>
  <c r="F44" i="23"/>
  <c r="K43" i="23"/>
  <c r="R42" i="23"/>
  <c r="T44" i="23"/>
  <c r="T75" i="15"/>
  <c r="L76" i="15"/>
  <c r="S44" i="23"/>
  <c r="S75" i="15"/>
  <c r="K75" i="15"/>
  <c r="Y79" i="15"/>
  <c r="C44" i="23"/>
  <c r="S76" i="15"/>
  <c r="C75" i="15"/>
  <c r="I77" i="15"/>
  <c r="I76" i="15"/>
  <c r="C79" i="15"/>
  <c r="P44" i="23"/>
  <c r="P75" i="15"/>
  <c r="Y78" i="15"/>
  <c r="J81" i="15"/>
  <c r="H43" i="23"/>
  <c r="H74" i="15"/>
  <c r="G44" i="23"/>
  <c r="G75" i="15"/>
  <c r="L77" i="15"/>
  <c r="T82" i="15"/>
  <c r="K44" i="23"/>
  <c r="V44" i="23"/>
  <c r="V75" i="15"/>
  <c r="U43" i="23"/>
  <c r="U74" i="15"/>
  <c r="B42" i="23"/>
  <c r="S81" i="15"/>
  <c r="J80" i="15"/>
  <c r="X79" i="15"/>
  <c r="L79" i="15"/>
  <c r="L78" i="15"/>
  <c r="C78" i="15"/>
  <c r="H77" i="15"/>
  <c r="F76" i="15"/>
  <c r="C76" i="15"/>
  <c r="O75" i="15"/>
  <c r="O44" i="23"/>
  <c r="I75" i="15"/>
  <c r="I44" i="23"/>
  <c r="Q74" i="15"/>
  <c r="Q43" i="23"/>
  <c r="M73" i="15"/>
  <c r="M42" i="23"/>
  <c r="K73" i="15"/>
  <c r="K42" i="23"/>
  <c r="K81" i="15"/>
  <c r="D81" i="15"/>
  <c r="R80" i="15"/>
  <c r="R79" i="15"/>
  <c r="R78" i="15"/>
  <c r="P77" i="15"/>
  <c r="N75" i="15"/>
  <c r="N44" i="23"/>
  <c r="Y74" i="15"/>
  <c r="Y43" i="23"/>
  <c r="X82" i="15"/>
  <c r="Y81" i="15"/>
  <c r="G73" i="15"/>
  <c r="D77" i="15"/>
  <c r="D82" i="15"/>
  <c r="Y82" i="15"/>
  <c r="M81" i="15"/>
  <c r="P80" i="15"/>
  <c r="T77" i="15"/>
  <c r="I82" i="15"/>
  <c r="G80" i="15"/>
  <c r="O79" i="15"/>
  <c r="H73" i="15"/>
  <c r="W76" i="15"/>
  <c r="U79" i="15"/>
  <c r="O78" i="15"/>
  <c r="R75" i="15"/>
  <c r="M82" i="15"/>
  <c r="K76" i="15"/>
  <c r="I79" i="15"/>
  <c r="F82" i="15"/>
  <c r="X80" i="15"/>
  <c r="V82" i="15"/>
  <c r="O81" i="15"/>
  <c r="W81" i="15"/>
  <c r="H80" i="15"/>
  <c r="B80" i="15"/>
  <c r="B82" i="15"/>
  <c r="B78" i="15"/>
  <c r="B74" i="15"/>
  <c r="B73" i="15"/>
  <c r="B76" i="15"/>
  <c r="B81" i="15"/>
  <c r="B75" i="15"/>
  <c r="AB75" i="15"/>
  <c r="B79" i="15"/>
  <c r="N74" i="15"/>
  <c r="U75" i="15"/>
  <c r="K77" i="15"/>
  <c r="E78" i="15"/>
  <c r="J82" i="15"/>
  <c r="O73" i="15"/>
  <c r="J74" i="15"/>
  <c r="V74" i="15"/>
  <c r="D75" i="15"/>
  <c r="Q75" i="15"/>
  <c r="X76" i="15"/>
  <c r="F77" i="15"/>
  <c r="M78" i="15"/>
  <c r="R82" i="15"/>
  <c r="Y75" i="15"/>
  <c r="G76" i="15"/>
  <c r="B77" i="15"/>
  <c r="N77" i="15"/>
  <c r="I78" i="15"/>
  <c r="U78" i="15"/>
  <c r="F74" i="15"/>
  <c r="H75" i="15"/>
  <c r="M75" i="15"/>
  <c r="O76" i="15"/>
  <c r="V77" i="15"/>
  <c r="Q78" i="15"/>
  <c r="E79" i="15"/>
  <c r="L80" i="15"/>
  <c r="G81" i="15"/>
  <c r="N82" i="15"/>
  <c r="Z42" i="23" l="1"/>
  <c r="B44" i="23"/>
  <c r="Z44" i="23" s="1"/>
  <c r="AB44" i="23"/>
  <c r="G18" i="16" s="1"/>
  <c r="AB42" i="23"/>
  <c r="G16" i="16" s="1"/>
  <c r="B43" i="23"/>
  <c r="Z43" i="23" s="1"/>
  <c r="AB77" i="15"/>
  <c r="AB81" i="15"/>
  <c r="AB74" i="15"/>
  <c r="AB78" i="15"/>
  <c r="Z77" i="15"/>
  <c r="Z81" i="15"/>
  <c r="Z74" i="15"/>
  <c r="Z78" i="15"/>
  <c r="AB76" i="15"/>
  <c r="Z76" i="15"/>
  <c r="AB82" i="15"/>
  <c r="Z75" i="15"/>
  <c r="AD75" i="15" s="1"/>
  <c r="AB73" i="15"/>
  <c r="Z82" i="15"/>
  <c r="AB79" i="15"/>
  <c r="Z73" i="15"/>
  <c r="AB80" i="15"/>
  <c r="Z79" i="15"/>
  <c r="Z80" i="15"/>
  <c r="AD44" i="23" l="1"/>
  <c r="AD42" i="23"/>
  <c r="AB43" i="23"/>
  <c r="G17" i="16" s="1"/>
  <c r="AD78" i="15"/>
  <c r="AD79" i="15"/>
  <c r="AD77" i="15"/>
  <c r="AD81" i="15"/>
  <c r="AD74" i="15"/>
  <c r="A72" i="15"/>
  <c r="K41" i="23"/>
  <c r="T41" i="23"/>
  <c r="H41" i="23"/>
  <c r="Q41" i="23"/>
  <c r="V41" i="23"/>
  <c r="D41" i="23"/>
  <c r="M41" i="23"/>
  <c r="R41" i="23"/>
  <c r="F41" i="23"/>
  <c r="O41" i="23"/>
  <c r="X41" i="23"/>
  <c r="C41" i="23"/>
  <c r="L41" i="23"/>
  <c r="U41" i="23"/>
  <c r="N41" i="23"/>
  <c r="W41" i="23"/>
  <c r="E41" i="23"/>
  <c r="G41" i="23"/>
  <c r="P41" i="23"/>
  <c r="Y41" i="23"/>
  <c r="I41" i="23"/>
  <c r="J41" i="23"/>
  <c r="S41" i="23"/>
  <c r="AD80" i="15"/>
  <c r="AD82" i="15"/>
  <c r="AD76" i="15"/>
  <c r="AD73" i="15"/>
  <c r="AD43" i="23" l="1"/>
  <c r="G18" i="14"/>
  <c r="G25" i="14"/>
  <c r="G17" i="14"/>
  <c r="G20" i="14"/>
  <c r="G23" i="14"/>
  <c r="G21" i="14"/>
  <c r="G22" i="14"/>
  <c r="G24" i="14"/>
  <c r="G19" i="14"/>
  <c r="G16" i="14"/>
  <c r="B72" i="15"/>
  <c r="AB41" i="23" l="1"/>
  <c r="B41" i="23"/>
  <c r="Z41" i="23" s="1"/>
  <c r="AA59" i="17"/>
  <c r="Y59" i="17"/>
  <c r="X59" i="17"/>
  <c r="W59" i="17"/>
  <c r="V59" i="17"/>
  <c r="U59" i="17"/>
  <c r="T59" i="17"/>
  <c r="S59" i="17"/>
  <c r="R59" i="17"/>
  <c r="Q59" i="17"/>
  <c r="P59" i="17"/>
  <c r="O59" i="17"/>
  <c r="N59" i="17"/>
  <c r="M59" i="17"/>
  <c r="L59" i="17"/>
  <c r="K59" i="17"/>
  <c r="J59" i="17"/>
  <c r="I59" i="17"/>
  <c r="H59" i="17"/>
  <c r="G59" i="17"/>
  <c r="F59" i="17"/>
  <c r="E59" i="17"/>
  <c r="D59" i="17"/>
  <c r="C59" i="17"/>
  <c r="B59" i="17"/>
  <c r="AA58" i="17"/>
  <c r="Y58" i="17"/>
  <c r="X58" i="17"/>
  <c r="W58" i="17"/>
  <c r="V58" i="17"/>
  <c r="U58" i="17"/>
  <c r="T58" i="17"/>
  <c r="S58" i="17"/>
  <c r="R58" i="17"/>
  <c r="Q58" i="17"/>
  <c r="P58" i="17"/>
  <c r="O58" i="17"/>
  <c r="N58" i="17"/>
  <c r="M58" i="17"/>
  <c r="L58" i="17"/>
  <c r="K58" i="17"/>
  <c r="J58" i="17"/>
  <c r="I58" i="17"/>
  <c r="H58" i="17"/>
  <c r="G58" i="17"/>
  <c r="F58" i="17"/>
  <c r="E58" i="17"/>
  <c r="D58" i="17"/>
  <c r="C58" i="17"/>
  <c r="B58" i="17"/>
  <c r="AA57" i="17"/>
  <c r="Y57" i="17"/>
  <c r="X57" i="17"/>
  <c r="W57" i="17"/>
  <c r="V57" i="17"/>
  <c r="U57" i="17"/>
  <c r="T57" i="17"/>
  <c r="S57" i="17"/>
  <c r="R57" i="17"/>
  <c r="Q57" i="17"/>
  <c r="P57" i="17"/>
  <c r="O57" i="17"/>
  <c r="N57" i="17"/>
  <c r="M57" i="17"/>
  <c r="L57" i="17"/>
  <c r="K57" i="17"/>
  <c r="J57" i="17"/>
  <c r="I57" i="17"/>
  <c r="H57" i="17"/>
  <c r="G57" i="17"/>
  <c r="F57" i="17"/>
  <c r="E57" i="17"/>
  <c r="D57" i="17"/>
  <c r="C57" i="17"/>
  <c r="B57" i="17"/>
  <c r="AA56" i="17"/>
  <c r="Y56" i="17"/>
  <c r="X56" i="17"/>
  <c r="W56" i="17"/>
  <c r="V56" i="17"/>
  <c r="U56" i="17"/>
  <c r="T56" i="17"/>
  <c r="S56" i="17"/>
  <c r="R56" i="17"/>
  <c r="Q56" i="17"/>
  <c r="P56" i="17"/>
  <c r="O56" i="17"/>
  <c r="N56" i="17"/>
  <c r="M56" i="17"/>
  <c r="L56" i="17"/>
  <c r="K56" i="17"/>
  <c r="J56" i="17"/>
  <c r="I56" i="17"/>
  <c r="H56" i="17"/>
  <c r="G56" i="17"/>
  <c r="F56" i="17"/>
  <c r="E56" i="17"/>
  <c r="D56" i="17"/>
  <c r="C56" i="17"/>
  <c r="B56" i="17"/>
  <c r="AA55" i="17"/>
  <c r="Y55" i="17"/>
  <c r="X55" i="17"/>
  <c r="W55" i="17"/>
  <c r="V55" i="17"/>
  <c r="U55" i="17"/>
  <c r="T55" i="17"/>
  <c r="S55" i="17"/>
  <c r="R55" i="17"/>
  <c r="Q55" i="17"/>
  <c r="P55" i="17"/>
  <c r="O55" i="17"/>
  <c r="N55" i="17"/>
  <c r="M55" i="17"/>
  <c r="L55" i="17"/>
  <c r="K55" i="17"/>
  <c r="J55" i="17"/>
  <c r="I55" i="17"/>
  <c r="H55" i="17"/>
  <c r="G55" i="17"/>
  <c r="F55" i="17"/>
  <c r="E55" i="17"/>
  <c r="D55" i="17"/>
  <c r="C55" i="17"/>
  <c r="B55" i="17"/>
  <c r="AA54" i="17"/>
  <c r="Y54" i="17"/>
  <c r="X54" i="17"/>
  <c r="W54" i="17"/>
  <c r="V54" i="17"/>
  <c r="U54" i="17"/>
  <c r="T54" i="17"/>
  <c r="S54" i="17"/>
  <c r="R54" i="17"/>
  <c r="Q54" i="17"/>
  <c r="P54" i="17"/>
  <c r="O54" i="17"/>
  <c r="N54" i="17"/>
  <c r="M54" i="17"/>
  <c r="L54" i="17"/>
  <c r="K54" i="17"/>
  <c r="J54" i="17"/>
  <c r="I54" i="17"/>
  <c r="H54" i="17"/>
  <c r="G54" i="17"/>
  <c r="F54" i="17"/>
  <c r="E54" i="17"/>
  <c r="D54" i="17"/>
  <c r="C54" i="17"/>
  <c r="B54" i="17"/>
  <c r="Y53" i="17"/>
  <c r="X53" i="17"/>
  <c r="W53" i="17"/>
  <c r="V53" i="17"/>
  <c r="U53" i="17"/>
  <c r="T53" i="17"/>
  <c r="S53" i="17"/>
  <c r="R53" i="17"/>
  <c r="Q53" i="17"/>
  <c r="P53" i="17"/>
  <c r="O53" i="17"/>
  <c r="N53" i="17"/>
  <c r="M53" i="17"/>
  <c r="L53" i="17"/>
  <c r="K53" i="17"/>
  <c r="J53" i="17"/>
  <c r="I53" i="17"/>
  <c r="H53" i="17"/>
  <c r="G53" i="17"/>
  <c r="F53" i="17"/>
  <c r="E53" i="17"/>
  <c r="D53" i="17"/>
  <c r="C53" i="17"/>
  <c r="B53" i="17"/>
  <c r="A59" i="17"/>
  <c r="A58" i="17"/>
  <c r="A57" i="17"/>
  <c r="A56" i="17"/>
  <c r="A55" i="17"/>
  <c r="A54" i="17"/>
  <c r="A53" i="17"/>
  <c r="F13" i="16"/>
  <c r="C9" i="16"/>
  <c r="Y72" i="15"/>
  <c r="X72" i="15"/>
  <c r="W72" i="15"/>
  <c r="V72" i="15"/>
  <c r="U72" i="15"/>
  <c r="T72" i="15"/>
  <c r="S72" i="15"/>
  <c r="R72" i="15"/>
  <c r="Q72" i="15"/>
  <c r="P72" i="15"/>
  <c r="O72" i="15"/>
  <c r="N72" i="15"/>
  <c r="M72" i="15"/>
  <c r="L72" i="15"/>
  <c r="K72" i="15"/>
  <c r="J72" i="15"/>
  <c r="I72" i="15"/>
  <c r="H72" i="15"/>
  <c r="G72" i="15"/>
  <c r="F72" i="15"/>
  <c r="E72" i="15"/>
  <c r="D72" i="15"/>
  <c r="C72" i="15"/>
  <c r="F13" i="14"/>
  <c r="C9" i="14"/>
  <c r="AD41" i="23" l="1"/>
  <c r="G15" i="16"/>
  <c r="AB56" i="17"/>
  <c r="G18" i="13" s="1"/>
  <c r="AB59" i="17"/>
  <c r="G21" i="13" s="1"/>
  <c r="AB57" i="17"/>
  <c r="G19" i="13" s="1"/>
  <c r="Z54" i="17"/>
  <c r="Z55" i="17"/>
  <c r="Z56" i="17"/>
  <c r="Z57" i="17"/>
  <c r="AB58" i="17"/>
  <c r="G20" i="13" s="1"/>
  <c r="Z59" i="17"/>
  <c r="AB72" i="15"/>
  <c r="AB54" i="17"/>
  <c r="G16" i="13" s="1"/>
  <c r="Z58" i="17"/>
  <c r="AB53" i="17"/>
  <c r="G15" i="13" s="1"/>
  <c r="AB55" i="17"/>
  <c r="G17" i="13" s="1"/>
  <c r="Z53" i="17"/>
  <c r="Z72" i="15"/>
  <c r="G22" i="13" l="1"/>
  <c r="G15" i="14"/>
  <c r="G26" i="14" s="1"/>
  <c r="AD56" i="17"/>
  <c r="AD59" i="17"/>
  <c r="AD57" i="17"/>
  <c r="AD54" i="17"/>
  <c r="AD58" i="17"/>
  <c r="AD55" i="17"/>
  <c r="AD53" i="17"/>
  <c r="AD72" i="15"/>
  <c r="G19" i="16" l="1"/>
  <c r="F13" i="13"/>
  <c r="C9" i="13" l="1"/>
</calcChain>
</file>

<file path=xl/sharedStrings.xml><?xml version="1.0" encoding="utf-8"?>
<sst xmlns="http://schemas.openxmlformats.org/spreadsheetml/2006/main" count="583" uniqueCount="61">
  <si>
    <t>ANEXO No. 1 OFERTAS Y CANTIDADES</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</si>
  <si>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</si>
  <si>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</si>
  <si>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</si>
  <si>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</si>
  <si>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</si>
  <si>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</si>
  <si>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</si>
  <si>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</si>
  <si>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</si>
  <si>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</si>
  <si>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</si>
  <si>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</si>
  <si>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</si>
  <si>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</si>
  <si>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</si>
  <si>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</si>
  <si>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</si>
  <si>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</si>
  <si>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</si>
  <si>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</si>
  <si>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</si>
  <si>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</si>
  <si>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</si>
  <si>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</si>
  <si>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</si>
  <si>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</si>
  <si>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</si>
  <si>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</si>
  <si>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</si>
  <si>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</si>
  <si>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</si>
  <si>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</si>
  <si>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</si>
  <si>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</si>
  <si>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</si>
  <si>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</si>
  <si>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</si>
  <si>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ofertada (%)</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</si>
  <si>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</si>
  <si>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</si>
  <si>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</si>
  <si>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</si>
  <si>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</si>
  <si>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</si>
  <si>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</si>
  <si>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</si>
  <si>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</si>
  <si>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</si>
  <si>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</si>
  <si>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Energía requerida (MWh-año)</t>
  </si>
  <si>
    <t>Energía ofertada (MWh-año)</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</si>
  <si>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</si>
  <si>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PRODUCTO No. 2</t>
  </si>
  <si>
    <t>PRODUCTO No. 3</t>
  </si>
  <si>
    <t>OFERTA A LA EMPRESA DE ENERGIA DE PEREIRA S.A. ESP.
INVITACIÓN PARA EL SUMINISTRO DE ENERGÍA ELÉCTRICA CON DESTINO AL MERCADO REGULADO CONVOCATORIA PÚBLICA No. 003-2026 - CP-EEPC2026-003</t>
  </si>
  <si>
    <t>Las tarifas ofertadas están referidas en pesos constantes de mayo de 2026 provisional</t>
  </si>
  <si>
    <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</si>
  <si>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</si>
  <si>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</si>
  <si>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3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</si>
</sst>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_(* #,##0.00_);_(* \(#,##0.00\);_(* &quot;-&quot;??_);_(@_)"/>
  </numFmts>
  <fonts count="34"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sz val="12"/>
      <color rgb="FFFF0000"/>
      <name val="Arial"/>
      <family val="2"/>
    </font>
    <font>
      <b/>
      <sz val="12"/>
      <color rgb="FFFF0000"/>
      <name val="Arial"/>
      <family val="2"/>
    </font>
    <font>
      <sz val="8"/>
      <name val="Calibri"/>
      <family val="2"/>
      <scheme val="minor"/>
    </font>
    <font>
      <sz val="20"/>
      <color theme="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0" fontId="2" fillId="0" borderId="0" applyFont="0" applyFill="0" applyBorder="0" applyAlignment="0" applyProtection="0"/>
    <xf numFmtId="0" fontId="1" fillId="0" borderId="0"/>
    <xf numFmtId="43" fontId="1" fillId="0" borderId="0" applyFont="0" applyFill="0" applyBorder="0" applyAlignment="0" applyProtection="0"/>
  </cellStyleXfs>
  <cellXfs count="121">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10" fontId="16" fillId="2" borderId="0" xfId="6"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3" fontId="3" fillId="2" borderId="0" xfId="2" applyNumberFormat="1" applyFont="1" applyFill="1"/>
    <xf numFmtId="0" fontId="28" fillId="0" borderId="3" xfId="2" applyFont="1" applyBorder="1"/>
    <xf numFmtId="0" fontId="29" fillId="0" borderId="4" xfId="2" applyFont="1" applyBorder="1"/>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3"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6" xfId="0" quotePrefix="1" applyNumberFormat="1" applyFont="1" applyBorder="1" applyAlignment="1">
      <alignment horizontal="left"/>
    </xf>
    <xf numFmtId="168" fontId="26" fillId="0" borderId="17" xfId="0" applyNumberFormat="1" applyFont="1" applyBorder="1" applyAlignment="1">
      <alignment horizontal="left"/>
    </xf>
    <xf numFmtId="168" fontId="27" fillId="0" borderId="16" xfId="0" quotePrefix="1" applyNumberFormat="1" applyFont="1" applyBorder="1" applyAlignment="1">
      <alignment horizontal="left"/>
    </xf>
    <xf numFmtId="0" fontId="30" fillId="0" borderId="0" xfId="0" applyFont="1"/>
    <xf numFmtId="0" fontId="31"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1" xfId="0" applyNumberFormat="1" applyFont="1" applyBorder="1"/>
    <xf numFmtId="17" fontId="20" fillId="0" borderId="12" xfId="0" applyNumberFormat="1" applyFont="1" applyBorder="1" applyAlignment="1">
      <alignment horizontal="left"/>
    </xf>
    <xf numFmtId="166" fontId="19" fillId="0" borderId="14" xfId="0" applyNumberFormat="1" applyFont="1" applyBorder="1"/>
    <xf numFmtId="17" fontId="20" fillId="0" borderId="15" xfId="0" applyNumberFormat="1" applyFont="1" applyBorder="1" applyAlignment="1">
      <alignment horizontal="left"/>
    </xf>
    <xf numFmtId="166" fontId="19" fillId="0" borderId="18" xfId="0" applyNumberFormat="1" applyFont="1" applyBorder="1"/>
    <xf numFmtId="169" fontId="19" fillId="0" borderId="0" xfId="0" applyNumberFormat="1" applyFont="1"/>
    <xf numFmtId="0" fontId="20" fillId="0" borderId="0" xfId="0" applyFont="1"/>
    <xf numFmtId="43" fontId="3" fillId="2" borderId="0" xfId="11" applyFont="1" applyFill="1"/>
    <xf numFmtId="165" fontId="15" fillId="0" borderId="1" xfId="1" applyNumberFormat="1" applyFont="1" applyFill="1" applyBorder="1" applyAlignment="1">
      <alignment horizontal="center" vertical="center" wrapText="1"/>
    </xf>
    <xf numFmtId="168" fontId="2" fillId="0" borderId="0" xfId="2" applyNumberFormat="1"/>
    <xf numFmtId="17" fontId="20" fillId="0" borderId="0" xfId="0" applyNumberFormat="1" applyFont="1" applyAlignment="1">
      <alignment horizontal="left"/>
    </xf>
    <xf numFmtId="167" fontId="25" fillId="0" borderId="0" xfId="0" quotePrefix="1" applyNumberFormat="1" applyFont="1" applyAlignment="1">
      <alignment horizontal="left"/>
    </xf>
    <xf numFmtId="168" fontId="26" fillId="0" borderId="0" xfId="0" applyNumberFormat="1" applyFont="1" applyAlignment="1">
      <alignment horizontal="left"/>
    </xf>
    <xf numFmtId="168" fontId="27" fillId="0" borderId="0" xfId="0" quotePrefix="1" applyNumberFormat="1" applyFont="1" applyAlignment="1">
      <alignment horizontal="left"/>
    </xf>
    <xf numFmtId="166" fontId="19" fillId="0" borderId="0" xfId="0" applyNumberFormat="1" applyFont="1"/>
    <xf numFmtId="168" fontId="26" fillId="0" borderId="21" xfId="0" applyNumberFormat="1" applyFont="1" applyBorder="1" applyAlignment="1">
      <alignment horizontal="left"/>
    </xf>
    <xf numFmtId="17" fontId="20" fillId="0" borderId="22" xfId="0" applyNumberFormat="1" applyFont="1" applyBorder="1" applyAlignment="1">
      <alignment horizontal="left"/>
    </xf>
    <xf numFmtId="167" fontId="25" fillId="0" borderId="20" xfId="0" quotePrefix="1" applyNumberFormat="1" applyFont="1" applyBorder="1" applyAlignment="1">
      <alignment horizontal="left"/>
    </xf>
    <xf numFmtId="168" fontId="26" fillId="0" borderId="23" xfId="0" applyNumberFormat="1" applyFont="1" applyBorder="1" applyAlignment="1">
      <alignment horizontal="left"/>
    </xf>
    <xf numFmtId="168" fontId="27" fillId="0" borderId="20" xfId="0" quotePrefix="1" applyNumberFormat="1" applyFont="1" applyBorder="1" applyAlignment="1">
      <alignment horizontal="left"/>
    </xf>
    <xf numFmtId="166" fontId="19" fillId="0" borderId="24" xfId="0" applyNumberFormat="1" applyFont="1" applyBorder="1"/>
    <xf numFmtId="0" fontId="12" fillId="4" borderId="1" xfId="3" applyFont="1" applyFill="1" applyBorder="1" applyAlignment="1">
      <alignment horizontal="center" vertical="center" wrapText="1"/>
    </xf>
    <xf numFmtId="0" fontId="33" fillId="2" borderId="0" xfId="2" applyFont="1" applyFill="1"/>
    <xf numFmtId="43" fontId="2" fillId="0" borderId="0" xfId="2" applyNumberFormat="1"/>
    <xf numFmtId="17" fontId="20" fillId="0" borderId="26" xfId="0" applyNumberFormat="1" applyFont="1" applyBorder="1" applyAlignment="1">
      <alignment horizontal="left"/>
    </xf>
    <xf numFmtId="167" fontId="19" fillId="0" borderId="0" xfId="2" applyNumberFormat="1" applyFont="1"/>
    <xf numFmtId="167" fontId="25" fillId="0" borderId="10" xfId="0" quotePrefix="1" applyNumberFormat="1" applyFont="1" applyBorder="1" applyAlignment="1">
      <alignment horizontal="left"/>
    </xf>
    <xf numFmtId="168" fontId="26" fillId="0" borderId="28" xfId="0" applyNumberFormat="1" applyFont="1" applyBorder="1" applyAlignment="1">
      <alignment horizontal="left"/>
    </xf>
    <xf numFmtId="168" fontId="26" fillId="0" borderId="1" xfId="0" applyNumberFormat="1" applyFont="1" applyBorder="1" applyAlignment="1">
      <alignment horizontal="left"/>
    </xf>
    <xf numFmtId="168" fontId="26" fillId="0" borderId="10" xfId="0" applyNumberFormat="1" applyFont="1" applyBorder="1" applyAlignment="1">
      <alignment horizontal="left"/>
    </xf>
    <xf numFmtId="168" fontId="26" fillId="0" borderId="16" xfId="0" applyNumberFormat="1" applyFont="1" applyBorder="1" applyAlignment="1">
      <alignment horizontal="left"/>
    </xf>
    <xf numFmtId="167" fontId="27" fillId="0" borderId="10" xfId="0" quotePrefix="1" applyNumberFormat="1" applyFont="1" applyBorder="1" applyAlignment="1">
      <alignment horizontal="left"/>
    </xf>
    <xf numFmtId="167" fontId="27" fillId="0" borderId="1" xfId="0" quotePrefix="1" applyNumberFormat="1" applyFont="1" applyBorder="1" applyAlignment="1">
      <alignment horizontal="left"/>
    </xf>
    <xf numFmtId="167" fontId="27" fillId="0" borderId="16" xfId="0" quotePrefix="1" applyNumberFormat="1" applyFont="1" applyBorder="1" applyAlignment="1">
      <alignment horizontal="left"/>
    </xf>
    <xf numFmtId="3" fontId="15" fillId="2" borderId="0" xfId="2" applyNumberFormat="1" applyFont="1" applyFill="1"/>
    <xf numFmtId="17" fontId="20" fillId="0" borderId="29" xfId="0" applyNumberFormat="1" applyFont="1" applyBorder="1" applyAlignment="1">
      <alignment horizontal="left"/>
    </xf>
    <xf numFmtId="17" fontId="20" fillId="0" borderId="30" xfId="0" applyNumberFormat="1" applyFont="1" applyBorder="1" applyAlignment="1">
      <alignment horizontal="left"/>
    </xf>
    <xf numFmtId="0" fontId="23" fillId="6" borderId="8" xfId="0" applyFont="1" applyFill="1" applyBorder="1" applyAlignment="1">
      <alignment horizontal="center"/>
    </xf>
    <xf numFmtId="166" fontId="19" fillId="0" borderId="11" xfId="0" applyNumberFormat="1" applyFont="1" applyBorder="1" applyAlignment="1">
      <alignment horizontal="center"/>
    </xf>
    <xf numFmtId="166" fontId="19" fillId="0" borderId="14" xfId="0" applyNumberFormat="1" applyFont="1" applyBorder="1" applyAlignment="1">
      <alignment horizontal="center"/>
    </xf>
    <xf numFmtId="166" fontId="19" fillId="0" borderId="18" xfId="0" applyNumberFormat="1" applyFont="1" applyBorder="1" applyAlignment="1">
      <alignment horizontal="center"/>
    </xf>
    <xf numFmtId="17" fontId="20" fillId="0" borderId="33" xfId="0" applyNumberFormat="1" applyFont="1" applyBorder="1" applyAlignment="1">
      <alignment horizontal="left"/>
    </xf>
    <xf numFmtId="167" fontId="25" fillId="0" borderId="19" xfId="0" quotePrefix="1" applyNumberFormat="1" applyFont="1" applyBorder="1" applyAlignment="1">
      <alignment horizontal="left"/>
    </xf>
    <xf numFmtId="17" fontId="20" fillId="0" borderId="32" xfId="0" applyNumberFormat="1" applyFont="1" applyBorder="1" applyAlignment="1">
      <alignment horizontal="left"/>
    </xf>
    <xf numFmtId="167" fontId="25" fillId="0" borderId="31" xfId="0" quotePrefix="1" applyNumberFormat="1" applyFont="1" applyBorder="1" applyAlignment="1">
      <alignment horizontal="left"/>
    </xf>
    <xf numFmtId="166" fontId="19" fillId="0" borderId="34" xfId="0" applyNumberFormat="1" applyFont="1" applyBorder="1"/>
    <xf numFmtId="168" fontId="26" fillId="0" borderId="19" xfId="0" applyNumberFormat="1" applyFont="1" applyBorder="1" applyAlignment="1">
      <alignment horizontal="left"/>
    </xf>
    <xf numFmtId="167" fontId="25" fillId="0" borderId="27" xfId="0" quotePrefix="1" applyNumberFormat="1" applyFont="1" applyBorder="1" applyAlignment="1">
      <alignment horizontal="left"/>
    </xf>
    <xf numFmtId="168" fontId="26" fillId="0" borderId="35" xfId="0" applyNumberFormat="1" applyFont="1" applyBorder="1" applyAlignment="1">
      <alignment horizontal="left"/>
    </xf>
    <xf numFmtId="168" fontId="27" fillId="0" borderId="27" xfId="0" quotePrefix="1" applyNumberFormat="1" applyFont="1" applyBorder="1" applyAlignment="1">
      <alignment horizontal="left"/>
    </xf>
    <xf numFmtId="166" fontId="19" fillId="0" borderId="36" xfId="0" applyNumberFormat="1" applyFont="1" applyBorder="1"/>
    <xf numFmtId="167" fontId="27" fillId="0" borderId="19" xfId="0" quotePrefix="1" applyNumberFormat="1" applyFont="1" applyBorder="1" applyAlignment="1">
      <alignment horizontal="left"/>
    </xf>
    <xf numFmtId="0" fontId="18" fillId="0" borderId="2" xfId="2" applyFont="1" applyBorder="1" applyAlignment="1">
      <alignment horizontal="justify" vertical="justify" wrapText="1"/>
    </xf>
    <xf numFmtId="0" fontId="18" fillId="2" borderId="2" xfId="2" applyFont="1" applyFill="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165" fontId="15" fillId="0" borderId="20" xfId="1" applyNumberFormat="1" applyFont="1" applyFill="1" applyBorder="1" applyAlignment="1">
      <alignment horizontal="center" vertical="center" wrapText="1"/>
    </xf>
    <xf numFmtId="165" fontId="15" fillId="0" borderId="25" xfId="1" applyNumberFormat="1" applyFont="1" applyFill="1" applyBorder="1" applyAlignment="1">
      <alignment horizontal="center" vertical="center" wrapText="1"/>
    </xf>
    <xf numFmtId="165" fontId="15" fillId="0" borderId="19" xfId="1" applyNumberFormat="1" applyFont="1" applyFill="1" applyBorder="1" applyAlignment="1">
      <alignment horizontal="center" vertical="center" wrapText="1"/>
    </xf>
    <xf numFmtId="41" fontId="15" fillId="0" borderId="20" xfId="1" applyFont="1" applyFill="1" applyBorder="1" applyAlignment="1">
      <alignment horizontal="center" vertical="center" wrapText="1"/>
    </xf>
    <xf numFmtId="41" fontId="15" fillId="0" borderId="25" xfId="1" applyFont="1" applyFill="1" applyBorder="1" applyAlignment="1">
      <alignment horizontal="center" vertical="center" wrapText="1"/>
    </xf>
    <xf numFmtId="41" fontId="15" fillId="0" borderId="19" xfId="1" applyFont="1" applyFill="1" applyBorder="1" applyAlignment="1">
      <alignment horizontal="center" vertical="center" wrapText="1"/>
    </xf>
  </cellXfs>
  <cellStyles count="12">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2" xfId="6" xr:uid="{0017BC6E-697A-4858-BDB7-805D194BB2B3}"/>
    <cellStyle name="Porcentaje 3" xfId="8" xr:uid="{8C6E2628-1CD5-41BC-9530-6C62ACC7A9A6}"/>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FDB6F7BC-C59A-4450-A6F7-70DDBBDFD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4763DEE-5B4D-4089-A986-E691955DE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10BF66B0-6603-4F23-A2AF-0FA011D5B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761452"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82AE3159-BABB-4001-A241-ACC1CC9394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50049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2A935207-4030-4B63-901A-65026B03B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4779483"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A2FE4-55F8-4326-BE79-017C16CA7026}">
  <sheetPr>
    <tabColor theme="9" tint="0.39997558519241921"/>
  </sheetPr>
  <dimension ref="A1:M37"/>
  <sheetViews>
    <sheetView tabSelected="1" view="pageBreakPreview" zoomScale="55" zoomScaleNormal="100" zoomScaleSheetLayoutView="55" zoomScalePageLayoutView="30" workbookViewId="0">
      <selection activeCell="G26" sqref="G26"/>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4.26953125" style="1" bestFit="1" customWidth="1"/>
    <col min="6" max="6" width="21.1796875" style="1" customWidth="1"/>
    <col min="7" max="7" width="23" style="1" customWidth="1"/>
    <col min="8" max="10" width="22.7265625" style="1" customWidth="1"/>
    <col min="11" max="11" width="31.26953125" style="1" customWidth="1"/>
    <col min="12" max="12" width="15.453125" style="1" customWidth="1"/>
    <col min="13" max="13" width="8.81640625" style="1" bestFit="1" customWidth="1"/>
    <col min="14" max="16384" width="17.81640625" style="1"/>
  </cols>
  <sheetData>
    <row r="1" spans="1:13" ht="171" customHeight="1" x14ac:dyDescent="0.45"/>
    <row r="2" spans="1:13" x14ac:dyDescent="0.45">
      <c r="A2" s="2"/>
      <c r="B2" s="2"/>
      <c r="C2" s="2"/>
      <c r="D2" s="111" t="s">
        <v>0</v>
      </c>
      <c r="E2" s="111"/>
      <c r="F2" s="111"/>
      <c r="G2" s="111"/>
      <c r="H2" s="111"/>
      <c r="I2" s="111"/>
      <c r="J2" s="111"/>
      <c r="K2" s="2"/>
      <c r="L2" s="2"/>
      <c r="M2" s="2"/>
    </row>
    <row r="3" spans="1:13" ht="89.25" customHeight="1" x14ac:dyDescent="0.45">
      <c r="A3" s="2"/>
      <c r="B3" s="2"/>
      <c r="C3" s="112" t="s">
        <v>55</v>
      </c>
      <c r="D3" s="112"/>
      <c r="E3" s="112"/>
      <c r="F3" s="112"/>
      <c r="G3" s="112"/>
      <c r="H3" s="112"/>
      <c r="I3" s="112"/>
      <c r="J3" s="112"/>
      <c r="K3" s="112"/>
      <c r="L3" s="2"/>
      <c r="M3" s="2"/>
    </row>
    <row r="4" spans="1:13" x14ac:dyDescent="0.45">
      <c r="A4" s="2"/>
      <c r="B4" s="2"/>
      <c r="C4" s="3"/>
      <c r="D4" s="113" t="s">
        <v>37</v>
      </c>
      <c r="E4" s="113"/>
      <c r="F4" s="113"/>
      <c r="G4" s="113"/>
      <c r="H4" s="113"/>
      <c r="I4" s="113"/>
      <c r="J4" s="113"/>
      <c r="K4" s="3"/>
      <c r="L4" s="2"/>
      <c r="M4" s="2"/>
    </row>
    <row r="5" spans="1:13" ht="19.5" customHeight="1" x14ac:dyDescent="0.45">
      <c r="A5" s="4"/>
      <c r="B5" s="5"/>
      <c r="C5" s="5"/>
      <c r="D5" s="6"/>
      <c r="E5" s="7"/>
      <c r="F5" s="7"/>
      <c r="G5" s="7"/>
      <c r="H5" s="7"/>
      <c r="I5" s="7"/>
      <c r="J5" s="8"/>
      <c r="K5" s="9"/>
      <c r="L5" s="4"/>
      <c r="M5" s="4"/>
    </row>
    <row r="6" spans="1:13" x14ac:dyDescent="0.45">
      <c r="A6" s="4"/>
      <c r="B6" s="5"/>
      <c r="C6" s="10" t="s">
        <v>1</v>
      </c>
      <c r="D6" s="5"/>
      <c r="E6" s="5"/>
      <c r="G6" s="5"/>
      <c r="H6" s="5"/>
      <c r="I6" s="5"/>
      <c r="J6" s="5"/>
      <c r="K6" s="9"/>
      <c r="L6" s="4"/>
      <c r="M6" s="4"/>
    </row>
    <row r="7" spans="1:13" x14ac:dyDescent="0.45">
      <c r="A7" s="4"/>
      <c r="B7" s="5"/>
      <c r="C7" s="10" t="s">
        <v>2</v>
      </c>
      <c r="D7" s="5"/>
      <c r="E7" s="5"/>
      <c r="G7" s="5"/>
      <c r="H7" s="5"/>
      <c r="I7" s="5"/>
      <c r="J7" s="5"/>
      <c r="K7" s="9"/>
      <c r="L7" s="4"/>
      <c r="M7" s="4"/>
    </row>
    <row r="8" spans="1:13" x14ac:dyDescent="0.45">
      <c r="B8" s="11"/>
      <c r="C8" s="10" t="s">
        <v>3</v>
      </c>
      <c r="D8" s="5"/>
      <c r="E8" s="5"/>
      <c r="G8" s="11"/>
      <c r="H8" s="11"/>
      <c r="I8" s="11"/>
      <c r="J8" s="11"/>
      <c r="K8" s="12"/>
    </row>
    <row r="9" spans="1:13" x14ac:dyDescent="0.45">
      <c r="B9" s="11"/>
      <c r="C9" s="13" t="str">
        <f>"PRODUCTO OFERTADO: "&amp;D4</f>
        <v>PRODUCTO OFERTADO: PRODUCTO No. 1</v>
      </c>
      <c r="D9" s="5"/>
      <c r="E9" s="5"/>
      <c r="G9" s="11"/>
      <c r="H9" s="11"/>
      <c r="I9" s="11"/>
      <c r="J9" s="11"/>
      <c r="K9" s="12"/>
    </row>
    <row r="10" spans="1:13" x14ac:dyDescent="0.45">
      <c r="B10" s="11"/>
      <c r="C10" s="13"/>
      <c r="D10" s="5"/>
      <c r="E10" s="5"/>
      <c r="G10" s="11"/>
      <c r="H10" s="11"/>
      <c r="I10" s="11"/>
      <c r="J10" s="11"/>
      <c r="K10" s="12"/>
    </row>
    <row r="11" spans="1:13" x14ac:dyDescent="0.45">
      <c r="B11" s="11"/>
      <c r="C11" s="10" t="s">
        <v>56</v>
      </c>
      <c r="D11" s="14"/>
      <c r="E11" s="14"/>
      <c r="F11" s="15"/>
      <c r="G11" s="11"/>
      <c r="H11" s="11"/>
      <c r="I11" s="11"/>
      <c r="J11" s="11"/>
      <c r="K11" s="12"/>
    </row>
    <row r="12" spans="1:13" x14ac:dyDescent="0.45">
      <c r="B12" s="16"/>
      <c r="C12" s="15"/>
    </row>
    <row r="13" spans="1:13" x14ac:dyDescent="0.45">
      <c r="F13" s="114" t="str">
        <f>"Oferta " &amp; PROPER(D4)</f>
        <v>Oferta Producto No. 1</v>
      </c>
      <c r="G13" s="114"/>
      <c r="H13" s="114"/>
      <c r="I13" s="114"/>
      <c r="J13" s="114"/>
    </row>
    <row r="14" spans="1:13" ht="72.75" customHeight="1" x14ac:dyDescent="0.45">
      <c r="E14" s="79"/>
      <c r="F14" s="78" t="s">
        <v>4</v>
      </c>
      <c r="G14" s="17" t="s">
        <v>50</v>
      </c>
      <c r="H14" s="17" t="s">
        <v>38</v>
      </c>
      <c r="I14" s="17" t="s">
        <v>51</v>
      </c>
      <c r="J14" s="18" t="s">
        <v>5</v>
      </c>
    </row>
    <row r="15" spans="1:13" x14ac:dyDescent="0.45">
      <c r="A15" s="19"/>
      <c r="B15" s="20">
        <v>31</v>
      </c>
      <c r="E15" s="37"/>
      <c r="F15" s="21">
        <v>46266</v>
      </c>
      <c r="G15" s="36">
        <f>+SUMIFS('Cantidades Producto No. 1'!$AB$72:$AB$82,'Cantidades Producto No. 1'!$A$72:$A$82,'Oferta Producto No. 1'!F15)</f>
        <v>1404.7600000000002</v>
      </c>
      <c r="H15" s="118"/>
      <c r="I15" s="36"/>
      <c r="J15" s="115"/>
      <c r="K15" s="64"/>
      <c r="L15" s="22"/>
      <c r="M15" s="22"/>
    </row>
    <row r="16" spans="1:13" x14ac:dyDescent="0.45">
      <c r="A16" s="19"/>
      <c r="B16" s="20"/>
      <c r="E16" s="37"/>
      <c r="F16" s="21">
        <v>46296</v>
      </c>
      <c r="G16" s="36">
        <f>+SUMIFS('Cantidades Producto No. 1'!$AB$72:$AB$82,'Cantidades Producto No. 1'!$A$72:$A$82,'Oferta Producto No. 1'!F16)</f>
        <v>3057.9000000000005</v>
      </c>
      <c r="H16" s="119"/>
      <c r="I16" s="36"/>
      <c r="J16" s="116"/>
      <c r="K16" s="64"/>
      <c r="L16" s="22"/>
      <c r="M16" s="22"/>
    </row>
    <row r="17" spans="1:13" x14ac:dyDescent="0.45">
      <c r="A17" s="19"/>
      <c r="B17" s="20"/>
      <c r="E17" s="37"/>
      <c r="F17" s="21">
        <v>46327</v>
      </c>
      <c r="G17" s="36">
        <f>+SUMIFS('Cantidades Producto No. 1'!$AB$72:$AB$82,'Cantidades Producto No. 1'!$A$72:$A$82,'Oferta Producto No. 1'!F17)</f>
        <v>3076.8100000000004</v>
      </c>
      <c r="H17" s="119"/>
      <c r="I17" s="36"/>
      <c r="J17" s="116"/>
      <c r="K17" s="64"/>
      <c r="L17" s="22"/>
      <c r="M17" s="22"/>
    </row>
    <row r="18" spans="1:13" x14ac:dyDescent="0.45">
      <c r="A18" s="19"/>
      <c r="B18" s="20"/>
      <c r="E18" s="37"/>
      <c r="F18" s="21">
        <v>46357</v>
      </c>
      <c r="G18" s="36">
        <f>+SUMIFS('Cantidades Producto No. 1'!$AB$72:$AB$82,'Cantidades Producto No. 1'!$A$72:$A$82,'Oferta Producto No. 1'!F18)</f>
        <v>3826.3599999999992</v>
      </c>
      <c r="H18" s="119"/>
      <c r="I18" s="36"/>
      <c r="J18" s="117"/>
      <c r="K18" s="64"/>
      <c r="L18" s="22"/>
      <c r="M18" s="22"/>
    </row>
    <row r="19" spans="1:13" x14ac:dyDescent="0.45">
      <c r="A19" s="19"/>
      <c r="B19" s="20"/>
      <c r="E19" s="37"/>
      <c r="F19" s="21">
        <v>46388</v>
      </c>
      <c r="G19" s="36">
        <f>+SUMIFS('Cantidades Producto No. 1'!$AB$72:$AB$82,'Cantidades Producto No. 1'!$A$72:$A$82,'Oferta Producto No. 1'!F19)</f>
        <v>4608.25</v>
      </c>
      <c r="H19" s="119"/>
      <c r="I19" s="36"/>
      <c r="J19" s="115"/>
      <c r="K19" s="64"/>
      <c r="L19" s="22"/>
      <c r="M19" s="22"/>
    </row>
    <row r="20" spans="1:13" x14ac:dyDescent="0.45">
      <c r="A20" s="19"/>
      <c r="B20" s="20"/>
      <c r="E20" s="37"/>
      <c r="F20" s="21">
        <v>46419</v>
      </c>
      <c r="G20" s="36">
        <f>+SUMIFS('Cantidades Producto No. 1'!$AB$72:$AB$82,'Cantidades Producto No. 1'!$A$72:$A$82,'Oferta Producto No. 1'!F20)</f>
        <v>4324.3600000000006</v>
      </c>
      <c r="H20" s="119"/>
      <c r="I20" s="36"/>
      <c r="J20" s="116"/>
      <c r="K20" s="64"/>
      <c r="L20" s="22"/>
      <c r="M20" s="22"/>
    </row>
    <row r="21" spans="1:13" x14ac:dyDescent="0.45">
      <c r="A21" s="19"/>
      <c r="B21" s="20"/>
      <c r="E21" s="37"/>
      <c r="F21" s="21">
        <v>46447</v>
      </c>
      <c r="G21" s="36">
        <f>+SUMIFS('Cantidades Producto No. 1'!$AB$72:$AB$82,'Cantidades Producto No. 1'!$A$72:$A$82,'Oferta Producto No. 1'!F21)</f>
        <v>4419.2</v>
      </c>
      <c r="H21" s="119"/>
      <c r="I21" s="36"/>
      <c r="J21" s="116"/>
      <c r="K21" s="64"/>
      <c r="L21" s="22"/>
      <c r="M21" s="22"/>
    </row>
    <row r="22" spans="1:13" x14ac:dyDescent="0.45">
      <c r="A22" s="19"/>
      <c r="B22" s="20"/>
      <c r="E22" s="37"/>
      <c r="F22" s="21">
        <v>46478</v>
      </c>
      <c r="G22" s="36">
        <f>+SUMIFS('Cantidades Producto No. 1'!$AB$72:$AB$82,'Cantidades Producto No. 1'!$A$72:$A$82,'Oferta Producto No. 1'!F22)</f>
        <v>4075.9599999999996</v>
      </c>
      <c r="H22" s="119"/>
      <c r="I22" s="36"/>
      <c r="J22" s="116"/>
      <c r="K22" s="64"/>
      <c r="L22" s="22"/>
      <c r="M22" s="22"/>
    </row>
    <row r="23" spans="1:13" x14ac:dyDescent="0.45">
      <c r="A23" s="19"/>
      <c r="B23" s="20"/>
      <c r="E23" s="37"/>
      <c r="F23" s="21">
        <v>46508</v>
      </c>
      <c r="G23" s="36">
        <f>+SUMIFS('Cantidades Producto No. 1'!$AB$72:$AB$82,'Cantidades Producto No. 1'!$A$72:$A$82,'Oferta Producto No. 1'!F23)</f>
        <v>3515.72</v>
      </c>
      <c r="H23" s="119"/>
      <c r="I23" s="36"/>
      <c r="J23" s="116"/>
      <c r="K23" s="64"/>
      <c r="L23" s="22"/>
      <c r="M23" s="22"/>
    </row>
    <row r="24" spans="1:13" x14ac:dyDescent="0.45">
      <c r="A24" s="19"/>
      <c r="B24" s="20"/>
      <c r="E24" s="37"/>
      <c r="F24" s="21">
        <v>46539</v>
      </c>
      <c r="G24" s="36">
        <f>+SUMIFS('Cantidades Producto No. 1'!$AB$72:$AB$82,'Cantidades Producto No. 1'!$A$72:$A$82,'Oferta Producto No. 1'!F24)</f>
        <v>3475.5700000000006</v>
      </c>
      <c r="H24" s="119"/>
      <c r="I24" s="36"/>
      <c r="J24" s="116"/>
      <c r="K24" s="64"/>
      <c r="L24" s="22"/>
      <c r="M24" s="22"/>
    </row>
    <row r="25" spans="1:13" x14ac:dyDescent="0.45">
      <c r="A25" s="19"/>
      <c r="B25" s="20"/>
      <c r="E25" s="37"/>
      <c r="F25" s="21">
        <v>46569</v>
      </c>
      <c r="G25" s="36">
        <f>+SUMIFS('Cantidades Producto No. 1'!$AB$72:$AB$82,'Cantidades Producto No. 1'!$A$72:$A$82,'Oferta Producto No. 1'!F25)</f>
        <v>3924.58</v>
      </c>
      <c r="H25" s="119"/>
      <c r="I25" s="36"/>
      <c r="J25" s="117"/>
      <c r="K25" s="64"/>
      <c r="L25" s="22"/>
      <c r="M25" s="22"/>
    </row>
    <row r="26" spans="1:13" x14ac:dyDescent="0.45">
      <c r="F26" s="23" t="s">
        <v>6</v>
      </c>
      <c r="G26" s="25">
        <f>SUM(G15:G25)</f>
        <v>39709.470000000008</v>
      </c>
      <c r="H26" s="120"/>
      <c r="I26" s="36"/>
      <c r="J26" s="65"/>
    </row>
    <row r="27" spans="1:13" x14ac:dyDescent="0.45">
      <c r="F27" s="26"/>
      <c r="G27" s="24"/>
    </row>
    <row r="28" spans="1:13" x14ac:dyDescent="0.45">
      <c r="B28" s="27" t="s">
        <v>7</v>
      </c>
      <c r="C28" s="28"/>
      <c r="D28" s="28"/>
      <c r="E28" s="28"/>
      <c r="F28" s="28"/>
      <c r="G28" s="91"/>
      <c r="L28" s="28"/>
    </row>
    <row r="29" spans="1:13" x14ac:dyDescent="0.45">
      <c r="B29" s="27"/>
      <c r="C29" s="28"/>
      <c r="D29" s="28"/>
      <c r="E29" s="28"/>
      <c r="F29" s="28"/>
      <c r="G29" s="28"/>
      <c r="H29" s="28"/>
      <c r="I29" s="28"/>
      <c r="J29" s="28"/>
      <c r="K29" s="28"/>
      <c r="L29" s="28"/>
    </row>
    <row r="30" spans="1:13" ht="24.75" customHeight="1" x14ac:dyDescent="0.45">
      <c r="B30" s="109" t="s">
        <v>8</v>
      </c>
      <c r="C30" s="109"/>
      <c r="D30" s="109"/>
      <c r="E30" s="109"/>
      <c r="F30" s="109"/>
      <c r="G30" s="109"/>
      <c r="H30" s="109"/>
      <c r="I30" s="109"/>
      <c r="J30" s="109"/>
      <c r="K30" s="109"/>
      <c r="L30" s="109"/>
    </row>
    <row r="31" spans="1:13" ht="39" customHeight="1" x14ac:dyDescent="0.45">
      <c r="B31" s="109"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1" s="109"/>
      <c r="D31" s="109"/>
      <c r="E31" s="109"/>
      <c r="F31" s="109"/>
      <c r="G31" s="109"/>
      <c r="H31" s="109"/>
      <c r="I31" s="109"/>
      <c r="J31" s="109"/>
      <c r="K31" s="109"/>
      <c r="L31" s="109"/>
    </row>
    <row r="32" spans="1:13" ht="83.25" customHeight="1" x14ac:dyDescent="0.45">
      <c r="B32" s="110" t="s">
        <v>58</v>
      </c>
      <c r="C32" s="110"/>
      <c r="D32" s="110"/>
      <c r="E32" s="110"/>
      <c r="F32" s="110"/>
      <c r="G32" s="110"/>
      <c r="H32" s="110"/>
      <c r="I32" s="110"/>
      <c r="J32" s="110"/>
      <c r="K32" s="110"/>
      <c r="L32" s="110"/>
    </row>
    <row r="33" spans="1:12" ht="43.5" customHeight="1" x14ac:dyDescent="0.45">
      <c r="B33" s="110" t="s">
        <v>39</v>
      </c>
      <c r="C33" s="110"/>
      <c r="D33" s="110"/>
      <c r="E33" s="110"/>
      <c r="F33" s="110"/>
      <c r="G33" s="110"/>
      <c r="H33" s="110"/>
      <c r="I33" s="110"/>
      <c r="J33" s="110"/>
      <c r="K33" s="110"/>
      <c r="L33" s="110"/>
    </row>
    <row r="34" spans="1:12" ht="60" customHeight="1" x14ac:dyDescent="0.45">
      <c r="B34" s="110" t="s">
        <v>40</v>
      </c>
      <c r="C34" s="110"/>
      <c r="D34" s="110"/>
      <c r="E34" s="110"/>
      <c r="F34" s="110"/>
      <c r="G34" s="110"/>
      <c r="H34" s="110"/>
      <c r="I34" s="110"/>
      <c r="J34" s="110"/>
      <c r="K34" s="110"/>
      <c r="L34" s="110"/>
    </row>
    <row r="35" spans="1:12" ht="80.25" customHeight="1" x14ac:dyDescent="0.45">
      <c r="A35" s="15"/>
      <c r="B35" s="110" t="s">
        <v>52</v>
      </c>
      <c r="C35" s="110"/>
      <c r="D35" s="110"/>
      <c r="E35" s="110"/>
      <c r="F35" s="110"/>
      <c r="G35" s="110"/>
      <c r="H35" s="110"/>
      <c r="I35" s="110"/>
      <c r="J35" s="110"/>
      <c r="K35" s="110"/>
      <c r="L35" s="110"/>
    </row>
    <row r="37" spans="1:12" ht="24.75" customHeight="1" x14ac:dyDescent="0.45">
      <c r="B37" s="29"/>
      <c r="C37" s="29"/>
      <c r="D37" s="29"/>
      <c r="E37" s="29"/>
      <c r="F37" s="29"/>
      <c r="G37" s="29"/>
      <c r="H37" s="29"/>
      <c r="I37" s="29"/>
      <c r="J37" s="29"/>
      <c r="K37" s="29"/>
      <c r="L37" s="29"/>
    </row>
  </sheetData>
  <mergeCells count="13">
    <mergeCell ref="B30:L30"/>
    <mergeCell ref="D2:J2"/>
    <mergeCell ref="C3:K3"/>
    <mergeCell ref="D4:J4"/>
    <mergeCell ref="F13:J13"/>
    <mergeCell ref="J15:J18"/>
    <mergeCell ref="J19:J25"/>
    <mergeCell ref="H15:H26"/>
    <mergeCell ref="B31:L31"/>
    <mergeCell ref="B32:L32"/>
    <mergeCell ref="B33:L33"/>
    <mergeCell ref="B34:L34"/>
    <mergeCell ref="B35:L35"/>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749C-57C9-46DD-89A9-C1F943472117}">
  <sheetPr>
    <tabColor theme="9" tint="0.39997558519241921"/>
  </sheetPr>
  <dimension ref="A1:AG82"/>
  <sheetViews>
    <sheetView showGridLines="0" zoomScale="70" zoomScaleNormal="70" workbookViewId="0">
      <selection activeCell="A5" sqref="A5"/>
    </sheetView>
  </sheetViews>
  <sheetFormatPr baseColWidth="10" defaultColWidth="14.453125" defaultRowHeight="15.5" x14ac:dyDescent="0.35"/>
  <cols>
    <col min="1" max="1" width="13" style="30" customWidth="1"/>
    <col min="2" max="2" width="22.1796875" style="31" customWidth="1"/>
    <col min="3" max="4" width="12" style="31" customWidth="1"/>
    <col min="5" max="6" width="11.54296875" style="31" customWidth="1"/>
    <col min="7" max="8" width="12" style="31" customWidth="1"/>
    <col min="9" max="9" width="11.54296875" style="31" customWidth="1"/>
    <col min="10" max="11" width="12.81640625" style="31" customWidth="1"/>
    <col min="12" max="20" width="12.453125" style="31" customWidth="1"/>
    <col min="21" max="21" width="12.81640625" style="31" customWidth="1"/>
    <col min="22" max="22" width="12.453125" style="31" customWidth="1"/>
    <col min="23" max="23" width="12.81640625" style="31" customWidth="1"/>
    <col min="24" max="25" width="12" style="31" customWidth="1"/>
    <col min="26" max="26" width="14.54296875" style="32" customWidth="1"/>
    <col min="27" max="27" width="12.54296875" style="30" bestFit="1" customWidth="1"/>
    <col min="28" max="28" width="9.7265625" style="30" customWidth="1"/>
    <col min="29" max="29" width="5.26953125" style="30" bestFit="1" customWidth="1"/>
    <col min="30" max="16384" width="14.453125" style="30"/>
  </cols>
  <sheetData>
    <row r="1" spans="1:30" ht="93" customHeight="1" thickBot="1" x14ac:dyDescent="0.4"/>
    <row r="2" spans="1:30" ht="23" x14ac:dyDescent="0.5">
      <c r="A2" s="38" t="s">
        <v>9</v>
      </c>
      <c r="O2" s="82"/>
    </row>
    <row r="3" spans="1:30" ht="20.5" thickBot="1" x14ac:dyDescent="0.45">
      <c r="A3" s="39" t="s">
        <v>37</v>
      </c>
    </row>
    <row r="4" spans="1:30" ht="16" thickBot="1" x14ac:dyDescent="0.4"/>
    <row r="5" spans="1:30" ht="16" thickBot="1" x14ac:dyDescent="0.4">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0" ht="16" thickBot="1" x14ac:dyDescent="0.4">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0" ht="16" customHeight="1" thickBot="1" x14ac:dyDescent="0.4">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55" t="s">
        <v>6</v>
      </c>
    </row>
    <row r="8" spans="1:30" x14ac:dyDescent="0.35">
      <c r="A8" s="56">
        <v>46266</v>
      </c>
      <c r="B8" s="83">
        <v>3.1</v>
      </c>
      <c r="C8" s="83">
        <v>2.9</v>
      </c>
      <c r="D8" s="83">
        <v>2.78</v>
      </c>
      <c r="E8" s="83">
        <v>2.73</v>
      </c>
      <c r="F8" s="83">
        <v>2.82</v>
      </c>
      <c r="G8" s="83">
        <v>3.11</v>
      </c>
      <c r="H8" s="83">
        <v>3.52</v>
      </c>
      <c r="I8" s="83">
        <v>3.89</v>
      </c>
      <c r="J8" s="83">
        <v>4.3099999999999996</v>
      </c>
      <c r="K8" s="83">
        <v>4.63</v>
      </c>
      <c r="L8" s="83">
        <v>4.96</v>
      </c>
      <c r="M8" s="83">
        <v>5.24</v>
      </c>
      <c r="N8" s="83">
        <v>5.19</v>
      </c>
      <c r="O8" s="83">
        <v>5.2</v>
      </c>
      <c r="P8" s="83">
        <v>5.39</v>
      </c>
      <c r="Q8" s="83">
        <v>5.41</v>
      </c>
      <c r="R8" s="83">
        <v>5.32</v>
      </c>
      <c r="S8" s="83">
        <v>5.15</v>
      </c>
      <c r="T8" s="83">
        <v>5.29</v>
      </c>
      <c r="U8" s="83">
        <v>5.29</v>
      </c>
      <c r="V8" s="83">
        <v>5.03</v>
      </c>
      <c r="W8" s="83">
        <v>4.68</v>
      </c>
      <c r="X8" s="83">
        <v>4.09</v>
      </c>
      <c r="Y8" s="83">
        <v>3.54</v>
      </c>
      <c r="Z8" s="84">
        <f>SUM(B8:Y8)</f>
        <v>103.57000000000004</v>
      </c>
      <c r="AA8" s="40">
        <v>10</v>
      </c>
      <c r="AB8" s="57">
        <f t="shared" ref="AB8:AB18" si="0">+Z8*AA8</f>
        <v>1035.7000000000003</v>
      </c>
      <c r="AD8" s="30" t="s">
        <v>43</v>
      </c>
    </row>
    <row r="9" spans="1:30" x14ac:dyDescent="0.35">
      <c r="A9" s="98">
        <v>46296</v>
      </c>
      <c r="B9" s="99">
        <v>2.98</v>
      </c>
      <c r="C9" s="99">
        <v>2.77</v>
      </c>
      <c r="D9" s="99">
        <v>2.67</v>
      </c>
      <c r="E9" s="99">
        <v>2.63</v>
      </c>
      <c r="F9" s="99">
        <v>2.75</v>
      </c>
      <c r="G9" s="99">
        <v>3.03</v>
      </c>
      <c r="H9" s="99">
        <v>3.47</v>
      </c>
      <c r="I9" s="99">
        <v>3.88</v>
      </c>
      <c r="J9" s="99">
        <v>4.32</v>
      </c>
      <c r="K9" s="99">
        <v>4.63</v>
      </c>
      <c r="L9" s="99">
        <v>4.96</v>
      </c>
      <c r="M9" s="99">
        <v>5.24</v>
      </c>
      <c r="N9" s="99">
        <v>5.21</v>
      </c>
      <c r="O9" s="99">
        <v>5.21</v>
      </c>
      <c r="P9" s="99">
        <v>5.33</v>
      </c>
      <c r="Q9" s="99">
        <v>5.33</v>
      </c>
      <c r="R9" s="99">
        <v>5.21</v>
      </c>
      <c r="S9" s="99">
        <v>5.14</v>
      </c>
      <c r="T9" s="99">
        <v>5.34</v>
      </c>
      <c r="U9" s="99">
        <v>5.2</v>
      </c>
      <c r="V9" s="99">
        <v>4.92</v>
      </c>
      <c r="W9" s="99">
        <v>4.54</v>
      </c>
      <c r="X9" s="99">
        <v>3.97</v>
      </c>
      <c r="Y9" s="99">
        <v>3.42</v>
      </c>
      <c r="Z9" s="42">
        <f t="shared" ref="Z9:Z18" si="1">SUM(B9:Y9)</f>
        <v>102.15000000000002</v>
      </c>
      <c r="AA9" s="43">
        <v>21</v>
      </c>
      <c r="AB9" s="59">
        <f t="shared" si="0"/>
        <v>2145.1500000000005</v>
      </c>
      <c r="AD9" s="30" t="s">
        <v>43</v>
      </c>
    </row>
    <row r="10" spans="1:30" x14ac:dyDescent="0.35">
      <c r="A10" s="58">
        <v>46327</v>
      </c>
      <c r="B10" s="41">
        <v>3.19</v>
      </c>
      <c r="C10" s="41">
        <v>2.96</v>
      </c>
      <c r="D10" s="41">
        <v>2.85</v>
      </c>
      <c r="E10" s="41">
        <v>2.82</v>
      </c>
      <c r="F10" s="41">
        <v>2.93</v>
      </c>
      <c r="G10" s="41">
        <v>3.25</v>
      </c>
      <c r="H10" s="41">
        <v>3.72</v>
      </c>
      <c r="I10" s="41">
        <v>4.13</v>
      </c>
      <c r="J10" s="41">
        <v>4.5599999999999996</v>
      </c>
      <c r="K10" s="41">
        <v>4.87</v>
      </c>
      <c r="L10" s="41">
        <v>5.16</v>
      </c>
      <c r="M10" s="41">
        <v>5.44</v>
      </c>
      <c r="N10" s="41">
        <v>5.39</v>
      </c>
      <c r="O10" s="41">
        <v>5.36</v>
      </c>
      <c r="P10" s="41">
        <v>5.49</v>
      </c>
      <c r="Q10" s="41">
        <v>5.5</v>
      </c>
      <c r="R10" s="41">
        <v>5.44</v>
      </c>
      <c r="S10" s="41">
        <v>5.43</v>
      </c>
      <c r="T10" s="41">
        <v>5.69</v>
      </c>
      <c r="U10" s="41">
        <v>5.57</v>
      </c>
      <c r="V10" s="41">
        <v>5.26</v>
      </c>
      <c r="W10" s="41">
        <v>4.8499999999999996</v>
      </c>
      <c r="X10" s="41">
        <v>4.2300000000000004</v>
      </c>
      <c r="Y10" s="41">
        <v>3.65</v>
      </c>
      <c r="Z10" s="42">
        <f t="shared" si="1"/>
        <v>107.74000000000001</v>
      </c>
      <c r="AA10" s="43">
        <v>19</v>
      </c>
      <c r="AB10" s="59">
        <f t="shared" si="0"/>
        <v>2047.0600000000002</v>
      </c>
      <c r="AD10" s="30" t="s">
        <v>43</v>
      </c>
    </row>
    <row r="11" spans="1:30" ht="16" thickBot="1" x14ac:dyDescent="0.4">
      <c r="A11" s="73">
        <v>46357</v>
      </c>
      <c r="B11" s="74">
        <v>3.97</v>
      </c>
      <c r="C11" s="74">
        <v>3.67</v>
      </c>
      <c r="D11" s="74">
        <v>3.52</v>
      </c>
      <c r="E11" s="74">
        <v>3.45</v>
      </c>
      <c r="F11" s="74">
        <v>3.53</v>
      </c>
      <c r="G11" s="74">
        <v>3.77</v>
      </c>
      <c r="H11" s="74">
        <v>4.24</v>
      </c>
      <c r="I11" s="74">
        <v>4.7699999999999996</v>
      </c>
      <c r="J11" s="74">
        <v>5.38</v>
      </c>
      <c r="K11" s="74">
        <v>5.76</v>
      </c>
      <c r="L11" s="74">
        <v>6.08</v>
      </c>
      <c r="M11" s="74">
        <v>6.42</v>
      </c>
      <c r="N11" s="74">
        <v>6.45</v>
      </c>
      <c r="O11" s="74">
        <v>6.42</v>
      </c>
      <c r="P11" s="74">
        <v>6.52</v>
      </c>
      <c r="Q11" s="74">
        <v>6.53</v>
      </c>
      <c r="R11" s="74">
        <v>6.42</v>
      </c>
      <c r="S11" s="74">
        <v>6.33</v>
      </c>
      <c r="T11" s="74">
        <v>6.64</v>
      </c>
      <c r="U11" s="74">
        <v>6.61</v>
      </c>
      <c r="V11" s="74">
        <v>6.28</v>
      </c>
      <c r="W11" s="74">
        <v>5.85</v>
      </c>
      <c r="X11" s="74">
        <v>5.21</v>
      </c>
      <c r="Y11" s="74">
        <v>4.5599999999999996</v>
      </c>
      <c r="Z11" s="75">
        <f t="shared" si="1"/>
        <v>128.37999999999997</v>
      </c>
      <c r="AA11" s="76">
        <v>21</v>
      </c>
      <c r="AB11" s="77">
        <f t="shared" si="0"/>
        <v>2695.9799999999991</v>
      </c>
      <c r="AD11" s="30" t="s">
        <v>43</v>
      </c>
    </row>
    <row r="12" spans="1:30" x14ac:dyDescent="0.35">
      <c r="A12" s="56">
        <v>46388</v>
      </c>
      <c r="B12" s="83">
        <v>4.6399999999999997</v>
      </c>
      <c r="C12" s="83">
        <v>4.3099999999999996</v>
      </c>
      <c r="D12" s="83">
        <v>4.1399999999999997</v>
      </c>
      <c r="E12" s="83">
        <v>4.07</v>
      </c>
      <c r="F12" s="83">
        <v>4.1900000000000004</v>
      </c>
      <c r="G12" s="83">
        <v>4.5999999999999996</v>
      </c>
      <c r="H12" s="83">
        <v>5.19</v>
      </c>
      <c r="I12" s="83">
        <v>5.78</v>
      </c>
      <c r="J12" s="83">
        <v>6.5</v>
      </c>
      <c r="K12" s="83">
        <v>7.04</v>
      </c>
      <c r="L12" s="83">
        <v>7.56</v>
      </c>
      <c r="M12" s="83">
        <v>8.02</v>
      </c>
      <c r="N12" s="83">
        <v>7.97</v>
      </c>
      <c r="O12" s="83">
        <v>7.87</v>
      </c>
      <c r="P12" s="83">
        <v>7.98</v>
      </c>
      <c r="Q12" s="83">
        <v>7.96</v>
      </c>
      <c r="R12" s="83">
        <v>7.82</v>
      </c>
      <c r="S12" s="83">
        <v>7.61</v>
      </c>
      <c r="T12" s="83">
        <v>7.86</v>
      </c>
      <c r="U12" s="83">
        <v>8.0500000000000007</v>
      </c>
      <c r="V12" s="83">
        <v>7.69</v>
      </c>
      <c r="W12" s="83">
        <v>7.15</v>
      </c>
      <c r="X12" s="83">
        <v>6.28</v>
      </c>
      <c r="Y12" s="83">
        <v>5.33</v>
      </c>
      <c r="Z12" s="86">
        <f t="shared" si="1"/>
        <v>155.61000000000004</v>
      </c>
      <c r="AA12" s="40">
        <v>19</v>
      </c>
      <c r="AB12" s="57">
        <f t="shared" si="0"/>
        <v>2956.5900000000006</v>
      </c>
      <c r="AD12" s="30" t="s">
        <v>43</v>
      </c>
    </row>
    <row r="13" spans="1:30" x14ac:dyDescent="0.35">
      <c r="A13" s="58">
        <v>46419</v>
      </c>
      <c r="B13" s="41">
        <v>4.66</v>
      </c>
      <c r="C13" s="41">
        <v>4.3499999999999996</v>
      </c>
      <c r="D13" s="41">
        <v>4.18</v>
      </c>
      <c r="E13" s="41">
        <v>4.1399999999999997</v>
      </c>
      <c r="F13" s="41">
        <v>4.32</v>
      </c>
      <c r="G13" s="41">
        <v>5.01</v>
      </c>
      <c r="H13" s="41">
        <v>5.7</v>
      </c>
      <c r="I13" s="41">
        <v>6.15</v>
      </c>
      <c r="J13" s="41">
        <v>6.79</v>
      </c>
      <c r="K13" s="41">
        <v>7.28</v>
      </c>
      <c r="L13" s="41">
        <v>7.79</v>
      </c>
      <c r="M13" s="41">
        <v>8.2100000000000009</v>
      </c>
      <c r="N13" s="41">
        <v>8.02</v>
      </c>
      <c r="O13" s="41">
        <v>7.99</v>
      </c>
      <c r="P13" s="41">
        <v>8.17</v>
      </c>
      <c r="Q13" s="41">
        <v>8.18</v>
      </c>
      <c r="R13" s="41">
        <v>8.0500000000000007</v>
      </c>
      <c r="S13" s="41">
        <v>7.72</v>
      </c>
      <c r="T13" s="41">
        <v>7.79</v>
      </c>
      <c r="U13" s="41">
        <v>8.11</v>
      </c>
      <c r="V13" s="41">
        <v>7.82</v>
      </c>
      <c r="W13" s="41">
        <v>7.25</v>
      </c>
      <c r="X13" s="41">
        <v>6.31</v>
      </c>
      <c r="Y13" s="41">
        <v>5.33</v>
      </c>
      <c r="Z13" s="85">
        <f t="shared" si="1"/>
        <v>159.32000000000002</v>
      </c>
      <c r="AA13" s="43">
        <v>20</v>
      </c>
      <c r="AB13" s="59">
        <f t="shared" si="0"/>
        <v>3186.4000000000005</v>
      </c>
      <c r="AD13" s="30" t="s">
        <v>43</v>
      </c>
    </row>
    <row r="14" spans="1:30" x14ac:dyDescent="0.35">
      <c r="A14" s="58">
        <v>46447</v>
      </c>
      <c r="B14" s="41">
        <v>4.34</v>
      </c>
      <c r="C14" s="41">
        <v>4.0599999999999996</v>
      </c>
      <c r="D14" s="41">
        <v>3.91</v>
      </c>
      <c r="E14" s="41">
        <v>3.86</v>
      </c>
      <c r="F14" s="41">
        <v>4.03</v>
      </c>
      <c r="G14" s="41">
        <v>4.66</v>
      </c>
      <c r="H14" s="41">
        <v>5.28</v>
      </c>
      <c r="I14" s="41">
        <v>5.78</v>
      </c>
      <c r="J14" s="41">
        <v>6.39</v>
      </c>
      <c r="K14" s="41">
        <v>6.82</v>
      </c>
      <c r="L14" s="41">
        <v>7.3</v>
      </c>
      <c r="M14" s="41">
        <v>7.68</v>
      </c>
      <c r="N14" s="41">
        <v>7.55</v>
      </c>
      <c r="O14" s="41">
        <v>7.47</v>
      </c>
      <c r="P14" s="41">
        <v>7.62</v>
      </c>
      <c r="Q14" s="41">
        <v>7.6</v>
      </c>
      <c r="R14" s="41">
        <v>7.48</v>
      </c>
      <c r="S14" s="41">
        <v>7.26</v>
      </c>
      <c r="T14" s="41">
        <v>7.37</v>
      </c>
      <c r="U14" s="41">
        <v>7.67</v>
      </c>
      <c r="V14" s="41">
        <v>7.33</v>
      </c>
      <c r="W14" s="41">
        <v>6.78</v>
      </c>
      <c r="X14" s="41">
        <v>5.91</v>
      </c>
      <c r="Y14" s="41">
        <v>5</v>
      </c>
      <c r="Z14" s="85">
        <f t="shared" si="1"/>
        <v>149.15</v>
      </c>
      <c r="AA14" s="43">
        <v>20</v>
      </c>
      <c r="AB14" s="59">
        <f t="shared" si="0"/>
        <v>2983</v>
      </c>
      <c r="AD14" s="30" t="s">
        <v>43</v>
      </c>
    </row>
    <row r="15" spans="1:30" x14ac:dyDescent="0.35">
      <c r="A15" s="58">
        <v>46478</v>
      </c>
      <c r="B15" s="41">
        <v>4.08</v>
      </c>
      <c r="C15" s="41">
        <v>3.8</v>
      </c>
      <c r="D15" s="41">
        <v>3.67</v>
      </c>
      <c r="E15" s="41">
        <v>3.62</v>
      </c>
      <c r="F15" s="41">
        <v>3.78</v>
      </c>
      <c r="G15" s="41">
        <v>4.3</v>
      </c>
      <c r="H15" s="41">
        <v>4.8899999999999997</v>
      </c>
      <c r="I15" s="41">
        <v>5.44</v>
      </c>
      <c r="J15" s="41">
        <v>5.97</v>
      </c>
      <c r="K15" s="41">
        <v>6.49</v>
      </c>
      <c r="L15" s="41">
        <v>6.91</v>
      </c>
      <c r="M15" s="41">
        <v>7.26</v>
      </c>
      <c r="N15" s="41">
        <v>7.14</v>
      </c>
      <c r="O15" s="41">
        <v>7.02</v>
      </c>
      <c r="P15" s="41">
        <v>7.04</v>
      </c>
      <c r="Q15" s="41">
        <v>7.05</v>
      </c>
      <c r="R15" s="41">
        <v>6.97</v>
      </c>
      <c r="S15" s="41">
        <v>6.83</v>
      </c>
      <c r="T15" s="41">
        <v>7.05</v>
      </c>
      <c r="U15" s="41">
        <v>7.21</v>
      </c>
      <c r="V15" s="41">
        <v>6.87</v>
      </c>
      <c r="W15" s="41">
        <v>6.34</v>
      </c>
      <c r="X15" s="41">
        <v>5.53</v>
      </c>
      <c r="Y15" s="41">
        <v>4.7</v>
      </c>
      <c r="Z15" s="85">
        <f t="shared" si="1"/>
        <v>139.95999999999998</v>
      </c>
      <c r="AA15" s="43">
        <v>22</v>
      </c>
      <c r="AB15" s="59">
        <f t="shared" si="0"/>
        <v>3079.1199999999994</v>
      </c>
      <c r="AD15" s="30" t="s">
        <v>43</v>
      </c>
    </row>
    <row r="16" spans="1:30" x14ac:dyDescent="0.35">
      <c r="A16" s="58">
        <v>46508</v>
      </c>
      <c r="B16" s="41">
        <v>3.46</v>
      </c>
      <c r="C16" s="41">
        <v>3.23</v>
      </c>
      <c r="D16" s="41">
        <v>3.11</v>
      </c>
      <c r="E16" s="41">
        <v>3.06</v>
      </c>
      <c r="F16" s="41">
        <v>3.21</v>
      </c>
      <c r="G16" s="41">
        <v>3.62</v>
      </c>
      <c r="H16" s="41">
        <v>4.16</v>
      </c>
      <c r="I16" s="41">
        <v>4.62</v>
      </c>
      <c r="J16" s="41">
        <v>5.12</v>
      </c>
      <c r="K16" s="41">
        <v>5.5</v>
      </c>
      <c r="L16" s="41">
        <v>5.89</v>
      </c>
      <c r="M16" s="41">
        <v>6.21</v>
      </c>
      <c r="N16" s="41">
        <v>6.09</v>
      </c>
      <c r="O16" s="41">
        <v>5.99</v>
      </c>
      <c r="P16" s="41">
        <v>6.06</v>
      </c>
      <c r="Q16" s="41">
        <v>6.03</v>
      </c>
      <c r="R16" s="41">
        <v>5.9</v>
      </c>
      <c r="S16" s="41">
        <v>5.81</v>
      </c>
      <c r="T16" s="41">
        <v>5.99</v>
      </c>
      <c r="U16" s="41">
        <v>6.1</v>
      </c>
      <c r="V16" s="41">
        <v>5.82</v>
      </c>
      <c r="W16" s="41">
        <v>5.34</v>
      </c>
      <c r="X16" s="41">
        <v>4.6399999999999997</v>
      </c>
      <c r="Y16" s="41">
        <v>3.94</v>
      </c>
      <c r="Z16" s="85">
        <f t="shared" si="1"/>
        <v>118.89999999999999</v>
      </c>
      <c r="AA16" s="43">
        <v>19</v>
      </c>
      <c r="AB16" s="59">
        <f t="shared" si="0"/>
        <v>2259.1</v>
      </c>
      <c r="AD16" s="30" t="s">
        <v>43</v>
      </c>
    </row>
    <row r="17" spans="1:33" x14ac:dyDescent="0.35">
      <c r="A17" s="58">
        <v>46539</v>
      </c>
      <c r="B17" s="41">
        <v>3.49</v>
      </c>
      <c r="C17" s="41">
        <v>3.24</v>
      </c>
      <c r="D17" s="41">
        <v>3.11</v>
      </c>
      <c r="E17" s="41">
        <v>3.06</v>
      </c>
      <c r="F17" s="41">
        <v>3.2</v>
      </c>
      <c r="G17" s="41">
        <v>3.55</v>
      </c>
      <c r="H17" s="41">
        <v>4.1399999999999997</v>
      </c>
      <c r="I17" s="41">
        <v>4.6500000000000004</v>
      </c>
      <c r="J17" s="41">
        <v>5.18</v>
      </c>
      <c r="K17" s="41">
        <v>5.57</v>
      </c>
      <c r="L17" s="41">
        <v>5.93</v>
      </c>
      <c r="M17" s="41">
        <v>6.27</v>
      </c>
      <c r="N17" s="41">
        <v>6.18</v>
      </c>
      <c r="O17" s="41">
        <v>6.05</v>
      </c>
      <c r="P17" s="41">
        <v>6.09</v>
      </c>
      <c r="Q17" s="41">
        <v>6.07</v>
      </c>
      <c r="R17" s="41">
        <v>5.98</v>
      </c>
      <c r="S17" s="41">
        <v>5.87</v>
      </c>
      <c r="T17" s="41">
        <v>6.01</v>
      </c>
      <c r="U17" s="41">
        <v>6.24</v>
      </c>
      <c r="V17" s="41">
        <v>5.95</v>
      </c>
      <c r="W17" s="41">
        <v>5.45</v>
      </c>
      <c r="X17" s="41">
        <v>4.71</v>
      </c>
      <c r="Y17" s="41">
        <v>4.01</v>
      </c>
      <c r="Z17" s="85">
        <f t="shared" si="1"/>
        <v>120.00000000000001</v>
      </c>
      <c r="AA17" s="43">
        <v>21</v>
      </c>
      <c r="AB17" s="59">
        <f t="shared" si="0"/>
        <v>2520.0000000000005</v>
      </c>
      <c r="AD17" s="30" t="s">
        <v>43</v>
      </c>
    </row>
    <row r="18" spans="1:33" ht="16" thickBot="1" x14ac:dyDescent="0.4">
      <c r="A18" s="60">
        <v>46569</v>
      </c>
      <c r="B18" s="44">
        <v>3.8</v>
      </c>
      <c r="C18" s="44">
        <v>3.56</v>
      </c>
      <c r="D18" s="44">
        <v>3.41</v>
      </c>
      <c r="E18" s="44">
        <v>3.36</v>
      </c>
      <c r="F18" s="44">
        <v>3.51</v>
      </c>
      <c r="G18" s="44">
        <v>3.96</v>
      </c>
      <c r="H18" s="44">
        <v>4.53</v>
      </c>
      <c r="I18" s="44">
        <v>5.08</v>
      </c>
      <c r="J18" s="44">
        <v>5.67</v>
      </c>
      <c r="K18" s="44">
        <v>6.12</v>
      </c>
      <c r="L18" s="44">
        <v>6.51</v>
      </c>
      <c r="M18" s="44">
        <v>6.89</v>
      </c>
      <c r="N18" s="44">
        <v>6.76</v>
      </c>
      <c r="O18" s="44">
        <v>6.64</v>
      </c>
      <c r="P18" s="44">
        <v>6.72</v>
      </c>
      <c r="Q18" s="44">
        <v>6.74</v>
      </c>
      <c r="R18" s="44">
        <v>6.65</v>
      </c>
      <c r="S18" s="44">
        <v>6.47</v>
      </c>
      <c r="T18" s="44">
        <v>6.52</v>
      </c>
      <c r="U18" s="44">
        <v>6.85</v>
      </c>
      <c r="V18" s="44">
        <v>6.53</v>
      </c>
      <c r="W18" s="44">
        <v>5.99</v>
      </c>
      <c r="X18" s="44">
        <v>5.16</v>
      </c>
      <c r="Y18" s="44">
        <v>4.43</v>
      </c>
      <c r="Z18" s="87">
        <f t="shared" si="1"/>
        <v>131.85999999999999</v>
      </c>
      <c r="AA18" s="46">
        <v>20</v>
      </c>
      <c r="AB18" s="61">
        <f t="shared" si="0"/>
        <v>2637.2</v>
      </c>
      <c r="AD18" s="30" t="s">
        <v>43</v>
      </c>
    </row>
    <row r="19" spans="1:33" x14ac:dyDescent="0.35">
      <c r="A19" s="67"/>
      <c r="B19" s="68"/>
      <c r="C19" s="68"/>
      <c r="D19" s="68"/>
      <c r="E19" s="68"/>
      <c r="F19" s="68"/>
      <c r="G19" s="68"/>
      <c r="H19" s="68"/>
      <c r="I19" s="68"/>
      <c r="J19" s="68"/>
      <c r="K19" s="68"/>
      <c r="L19" s="68"/>
      <c r="M19" s="68"/>
      <c r="N19" s="68"/>
      <c r="O19" s="68"/>
      <c r="P19" s="68"/>
      <c r="Q19" s="68"/>
      <c r="R19" s="68"/>
      <c r="S19" s="68"/>
      <c r="T19" s="68"/>
      <c r="U19" s="68"/>
      <c r="V19" s="68"/>
      <c r="W19" s="68"/>
      <c r="X19" s="68"/>
      <c r="Y19" s="68"/>
      <c r="Z19" s="69"/>
      <c r="AA19" s="70"/>
      <c r="AB19" s="71"/>
    </row>
    <row r="20" spans="1:33" ht="16" thickBot="1" x14ac:dyDescent="0.4">
      <c r="A20"/>
      <c r="B20" s="62"/>
      <c r="C20" s="62"/>
      <c r="D20" s="62"/>
      <c r="E20" s="62"/>
      <c r="F20" s="62"/>
      <c r="G20" s="62"/>
      <c r="H20" s="62"/>
      <c r="I20" s="62"/>
      <c r="J20" s="62"/>
      <c r="K20" s="62"/>
      <c r="L20" s="62"/>
      <c r="M20" s="62"/>
      <c r="N20" s="62"/>
      <c r="O20" s="62"/>
      <c r="P20" s="62"/>
      <c r="Q20" s="62"/>
      <c r="R20" s="62"/>
      <c r="S20" s="62"/>
      <c r="T20" s="62"/>
      <c r="U20" s="62"/>
      <c r="V20" s="62"/>
      <c r="W20" s="62"/>
      <c r="X20" s="62"/>
      <c r="Y20" s="62"/>
      <c r="Z20" s="50"/>
      <c r="AA20" s="35"/>
      <c r="AB20"/>
    </row>
    <row r="21" spans="1:33" ht="16" thickBot="1" x14ac:dyDescent="0.4">
      <c r="A21" s="33" t="s">
        <v>44</v>
      </c>
      <c r="B21" s="52"/>
      <c r="C21" s="52"/>
      <c r="D21" s="52"/>
      <c r="E21" s="52"/>
      <c r="F21" s="52"/>
      <c r="G21" s="52"/>
      <c r="H21" s="52"/>
      <c r="I21" s="52"/>
      <c r="J21" s="52"/>
      <c r="K21" s="52"/>
      <c r="L21" s="52"/>
      <c r="M21" s="52"/>
      <c r="N21" s="52"/>
      <c r="O21" s="52"/>
      <c r="P21" s="52"/>
      <c r="Q21" s="52"/>
      <c r="R21" s="52"/>
      <c r="S21" s="52"/>
      <c r="T21" s="52"/>
      <c r="U21" s="52"/>
      <c r="V21" s="52"/>
      <c r="W21" s="52"/>
      <c r="X21" s="52"/>
      <c r="Y21" s="52"/>
      <c r="Z21" s="50"/>
      <c r="AA21" s="35"/>
      <c r="AB21"/>
    </row>
    <row r="22" spans="1:33" ht="16" thickBot="1" x14ac:dyDescent="0.4">
      <c r="A22"/>
      <c r="B22" s="62"/>
      <c r="C22" s="62"/>
      <c r="D22" s="62"/>
      <c r="E22" s="62"/>
      <c r="F22" s="62"/>
      <c r="G22" s="62"/>
      <c r="H22" s="62"/>
      <c r="I22" s="62"/>
      <c r="J22" s="62"/>
      <c r="K22" s="62"/>
      <c r="L22" s="62"/>
      <c r="M22" s="62"/>
      <c r="N22" s="62"/>
      <c r="O22" s="62"/>
      <c r="P22" s="62"/>
      <c r="Q22" s="62"/>
      <c r="R22" s="62"/>
      <c r="S22" s="62"/>
      <c r="T22" s="62"/>
      <c r="U22" s="62"/>
      <c r="V22" s="62"/>
      <c r="W22" s="62"/>
      <c r="X22" s="62"/>
      <c r="Y22" s="62"/>
      <c r="Z22" s="50"/>
      <c r="AA22"/>
      <c r="AB22"/>
    </row>
    <row r="23" spans="1:33" ht="16" thickBot="1" x14ac:dyDescent="0.4">
      <c r="A23" s="53" t="s">
        <v>10</v>
      </c>
      <c r="B23" s="54" t="s">
        <v>11</v>
      </c>
      <c r="C23" s="54" t="s">
        <v>12</v>
      </c>
      <c r="D23" s="54" t="s">
        <v>13</v>
      </c>
      <c r="E23" s="54" t="s">
        <v>14</v>
      </c>
      <c r="F23" s="54" t="s">
        <v>15</v>
      </c>
      <c r="G23" s="54" t="s">
        <v>16</v>
      </c>
      <c r="H23" s="54" t="s">
        <v>17</v>
      </c>
      <c r="I23" s="54" t="s">
        <v>18</v>
      </c>
      <c r="J23" s="54" t="s">
        <v>19</v>
      </c>
      <c r="K23" s="54" t="s">
        <v>20</v>
      </c>
      <c r="L23" s="54" t="s">
        <v>21</v>
      </c>
      <c r="M23" s="54" t="s">
        <v>22</v>
      </c>
      <c r="N23" s="54" t="s">
        <v>23</v>
      </c>
      <c r="O23" s="54" t="s">
        <v>24</v>
      </c>
      <c r="P23" s="54" t="s">
        <v>25</v>
      </c>
      <c r="Q23" s="54" t="s">
        <v>26</v>
      </c>
      <c r="R23" s="54" t="s">
        <v>27</v>
      </c>
      <c r="S23" s="54" t="s">
        <v>28</v>
      </c>
      <c r="T23" s="54" t="s">
        <v>29</v>
      </c>
      <c r="U23" s="54" t="s">
        <v>30</v>
      </c>
      <c r="V23" s="54" t="s">
        <v>31</v>
      </c>
      <c r="W23" s="54" t="s">
        <v>32</v>
      </c>
      <c r="X23" s="54" t="s">
        <v>33</v>
      </c>
      <c r="Y23" s="54" t="s">
        <v>34</v>
      </c>
      <c r="Z23" s="54" t="s">
        <v>6</v>
      </c>
      <c r="AA23" s="34" t="s">
        <v>35</v>
      </c>
      <c r="AB23" s="55"/>
    </row>
    <row r="24" spans="1:33" x14ac:dyDescent="0.35">
      <c r="A24" s="100">
        <v>46266</v>
      </c>
      <c r="B24" s="101">
        <v>3.27</v>
      </c>
      <c r="C24" s="101">
        <v>3.02</v>
      </c>
      <c r="D24" s="101">
        <v>2.87</v>
      </c>
      <c r="E24" s="101">
        <v>2.8</v>
      </c>
      <c r="F24" s="101">
        <v>2.83</v>
      </c>
      <c r="G24" s="101">
        <v>2.91</v>
      </c>
      <c r="H24" s="101">
        <v>3.23</v>
      </c>
      <c r="I24" s="101">
        <v>3.66</v>
      </c>
      <c r="J24" s="101">
        <v>4.1399999999999997</v>
      </c>
      <c r="K24" s="101">
        <v>4.51</v>
      </c>
      <c r="L24" s="101">
        <v>4.76</v>
      </c>
      <c r="M24" s="101">
        <v>4.91</v>
      </c>
      <c r="N24" s="101">
        <v>4.99</v>
      </c>
      <c r="O24" s="101">
        <v>4.79</v>
      </c>
      <c r="P24" s="101">
        <v>4.72</v>
      </c>
      <c r="Q24" s="101">
        <v>4.6500000000000004</v>
      </c>
      <c r="R24" s="101">
        <v>4.59</v>
      </c>
      <c r="S24" s="101">
        <v>4.6399999999999997</v>
      </c>
      <c r="T24" s="101">
        <v>4.87</v>
      </c>
      <c r="U24" s="101">
        <v>4.88</v>
      </c>
      <c r="V24" s="101">
        <v>4.6100000000000003</v>
      </c>
      <c r="W24" s="101">
        <v>4.3099999999999996</v>
      </c>
      <c r="X24" s="101">
        <v>3.93</v>
      </c>
      <c r="Y24" s="101">
        <v>3.52</v>
      </c>
      <c r="Z24" s="84">
        <f t="shared" ref="Z24:Z34" si="2">SUM(B24:Y24)</f>
        <v>97.41</v>
      </c>
      <c r="AA24" s="40">
        <v>2</v>
      </c>
      <c r="AB24" s="57">
        <f t="shared" ref="AB24:AB34" si="3">+Z24*AA24</f>
        <v>194.82</v>
      </c>
      <c r="AD24" s="30" t="s">
        <v>45</v>
      </c>
      <c r="AG24" s="66"/>
    </row>
    <row r="25" spans="1:33" x14ac:dyDescent="0.35">
      <c r="A25" s="58">
        <v>46296</v>
      </c>
      <c r="B25" s="41">
        <v>3.11</v>
      </c>
      <c r="C25" s="41">
        <v>2.89</v>
      </c>
      <c r="D25" s="41">
        <v>2.75</v>
      </c>
      <c r="E25" s="41">
        <v>2.69</v>
      </c>
      <c r="F25" s="41">
        <v>2.72</v>
      </c>
      <c r="G25" s="41">
        <v>2.8</v>
      </c>
      <c r="H25" s="41">
        <v>3.13</v>
      </c>
      <c r="I25" s="41">
        <v>3.56</v>
      </c>
      <c r="J25" s="41">
        <v>3.98</v>
      </c>
      <c r="K25" s="41">
        <v>4.3499999999999996</v>
      </c>
      <c r="L25" s="41">
        <v>4.5999999999999996</v>
      </c>
      <c r="M25" s="41">
        <v>4.84</v>
      </c>
      <c r="N25" s="41">
        <v>4.8499999999999996</v>
      </c>
      <c r="O25" s="41">
        <v>4.7</v>
      </c>
      <c r="P25" s="41">
        <v>4.7</v>
      </c>
      <c r="Q25" s="41">
        <v>4.67</v>
      </c>
      <c r="R25" s="41">
        <v>4.66</v>
      </c>
      <c r="S25" s="41">
        <v>4.72</v>
      </c>
      <c r="T25" s="41">
        <v>5.04</v>
      </c>
      <c r="U25" s="41">
        <v>4.96</v>
      </c>
      <c r="V25" s="41">
        <v>4.7</v>
      </c>
      <c r="W25" s="41">
        <v>4.4000000000000004</v>
      </c>
      <c r="X25" s="41">
        <v>3.99</v>
      </c>
      <c r="Y25" s="41">
        <v>3.56</v>
      </c>
      <c r="Z25" s="42">
        <f t="shared" si="2"/>
        <v>96.370000000000019</v>
      </c>
      <c r="AA25" s="43">
        <v>5</v>
      </c>
      <c r="AB25" s="59">
        <f t="shared" si="3"/>
        <v>481.85000000000008</v>
      </c>
      <c r="AD25" s="30" t="s">
        <v>45</v>
      </c>
      <c r="AG25" s="66"/>
    </row>
    <row r="26" spans="1:33" x14ac:dyDescent="0.35">
      <c r="A26" s="58">
        <v>46327</v>
      </c>
      <c r="B26" s="41">
        <v>3.27</v>
      </c>
      <c r="C26" s="41">
        <v>3.02</v>
      </c>
      <c r="D26" s="41">
        <v>2.89</v>
      </c>
      <c r="E26" s="41">
        <v>2.82</v>
      </c>
      <c r="F26" s="41">
        <v>2.87</v>
      </c>
      <c r="G26" s="41">
        <v>2.95</v>
      </c>
      <c r="H26" s="41">
        <v>3.31</v>
      </c>
      <c r="I26" s="41">
        <v>3.78</v>
      </c>
      <c r="J26" s="41">
        <v>4.28</v>
      </c>
      <c r="K26" s="41">
        <v>4.63</v>
      </c>
      <c r="L26" s="41">
        <v>4.8600000000000003</v>
      </c>
      <c r="M26" s="41">
        <v>5.08</v>
      </c>
      <c r="N26" s="41">
        <v>5.08</v>
      </c>
      <c r="O26" s="41">
        <v>4.9800000000000004</v>
      </c>
      <c r="P26" s="41">
        <v>4.9000000000000004</v>
      </c>
      <c r="Q26" s="41">
        <v>4.9000000000000004</v>
      </c>
      <c r="R26" s="41">
        <v>4.87</v>
      </c>
      <c r="S26" s="41">
        <v>4.9800000000000004</v>
      </c>
      <c r="T26" s="41">
        <v>5.38</v>
      </c>
      <c r="U26" s="41">
        <v>5.3</v>
      </c>
      <c r="V26" s="41">
        <v>5.0199999999999996</v>
      </c>
      <c r="W26" s="41">
        <v>4.7</v>
      </c>
      <c r="X26" s="41">
        <v>4.26</v>
      </c>
      <c r="Y26" s="41">
        <v>3.79</v>
      </c>
      <c r="Z26" s="42">
        <f t="shared" si="2"/>
        <v>101.92</v>
      </c>
      <c r="AA26" s="43">
        <v>4</v>
      </c>
      <c r="AB26" s="59">
        <f t="shared" si="3"/>
        <v>407.68</v>
      </c>
      <c r="AD26" s="30" t="s">
        <v>45</v>
      </c>
      <c r="AG26" s="66"/>
    </row>
    <row r="27" spans="1:33" ht="16" thickBot="1" x14ac:dyDescent="0.4">
      <c r="A27" s="73">
        <v>46357</v>
      </c>
      <c r="B27" s="74">
        <v>4.1100000000000003</v>
      </c>
      <c r="C27" s="74">
        <v>3.79</v>
      </c>
      <c r="D27" s="74">
        <v>3.61</v>
      </c>
      <c r="E27" s="74">
        <v>3.5</v>
      </c>
      <c r="F27" s="74">
        <v>3.53</v>
      </c>
      <c r="G27" s="74">
        <v>3.68</v>
      </c>
      <c r="H27" s="74">
        <v>4.04</v>
      </c>
      <c r="I27" s="74">
        <v>4.54</v>
      </c>
      <c r="J27" s="74">
        <v>5.12</v>
      </c>
      <c r="K27" s="74">
        <v>5.57</v>
      </c>
      <c r="L27" s="74">
        <v>5.87</v>
      </c>
      <c r="M27" s="74">
        <v>6.1</v>
      </c>
      <c r="N27" s="74">
        <v>6.1</v>
      </c>
      <c r="O27" s="74">
        <v>5.97</v>
      </c>
      <c r="P27" s="74">
        <v>5.89</v>
      </c>
      <c r="Q27" s="74">
        <v>5.83</v>
      </c>
      <c r="R27" s="74">
        <v>5.8</v>
      </c>
      <c r="S27" s="74">
        <v>5.82</v>
      </c>
      <c r="T27" s="74">
        <v>6.25</v>
      </c>
      <c r="U27" s="74">
        <v>6.23</v>
      </c>
      <c r="V27" s="74">
        <v>5.92</v>
      </c>
      <c r="W27" s="74">
        <v>5.55</v>
      </c>
      <c r="X27" s="74">
        <v>5.08</v>
      </c>
      <c r="Y27" s="74">
        <v>4.57</v>
      </c>
      <c r="Z27" s="75">
        <f t="shared" si="2"/>
        <v>122.47</v>
      </c>
      <c r="AA27" s="76">
        <v>4</v>
      </c>
      <c r="AB27" s="77">
        <f t="shared" si="3"/>
        <v>489.88</v>
      </c>
      <c r="AD27" s="30" t="s">
        <v>45</v>
      </c>
      <c r="AG27" s="66"/>
    </row>
    <row r="28" spans="1:33" x14ac:dyDescent="0.35">
      <c r="A28" s="56">
        <v>46388</v>
      </c>
      <c r="B28" s="83">
        <v>4.74</v>
      </c>
      <c r="C28" s="83">
        <v>4.38</v>
      </c>
      <c r="D28" s="83">
        <v>4.17</v>
      </c>
      <c r="E28" s="83">
        <v>4.0599999999999996</v>
      </c>
      <c r="F28" s="83">
        <v>4.1100000000000003</v>
      </c>
      <c r="G28" s="83">
        <v>4.3099999999999996</v>
      </c>
      <c r="H28" s="83">
        <v>4.74</v>
      </c>
      <c r="I28" s="83">
        <v>5.35</v>
      </c>
      <c r="J28" s="83">
        <v>6.11</v>
      </c>
      <c r="K28" s="83">
        <v>6.75</v>
      </c>
      <c r="L28" s="83">
        <v>7.21</v>
      </c>
      <c r="M28" s="83">
        <v>7.57</v>
      </c>
      <c r="N28" s="83">
        <v>7.6</v>
      </c>
      <c r="O28" s="83">
        <v>7.36</v>
      </c>
      <c r="P28" s="83">
        <v>7.16</v>
      </c>
      <c r="Q28" s="83">
        <v>7.06</v>
      </c>
      <c r="R28" s="83">
        <v>6.93</v>
      </c>
      <c r="S28" s="83">
        <v>6.95</v>
      </c>
      <c r="T28" s="83">
        <v>7.38</v>
      </c>
      <c r="U28" s="83">
        <v>7.57</v>
      </c>
      <c r="V28" s="83">
        <v>7.22</v>
      </c>
      <c r="W28" s="83">
        <v>6.73</v>
      </c>
      <c r="X28" s="83">
        <v>6.06</v>
      </c>
      <c r="Y28" s="83">
        <v>5.37</v>
      </c>
      <c r="Z28" s="86">
        <f t="shared" si="2"/>
        <v>146.88999999999999</v>
      </c>
      <c r="AA28" s="40">
        <v>5</v>
      </c>
      <c r="AB28" s="57">
        <f t="shared" si="3"/>
        <v>734.44999999999993</v>
      </c>
      <c r="AD28" s="30" t="s">
        <v>45</v>
      </c>
      <c r="AG28" s="66"/>
    </row>
    <row r="29" spans="1:33" x14ac:dyDescent="0.35">
      <c r="A29" s="58">
        <v>46419</v>
      </c>
      <c r="B29" s="41">
        <v>4.74</v>
      </c>
      <c r="C29" s="41">
        <v>4.41</v>
      </c>
      <c r="D29" s="41">
        <v>4.21</v>
      </c>
      <c r="E29" s="41">
        <v>4.1100000000000003</v>
      </c>
      <c r="F29" s="41">
        <v>4.17</v>
      </c>
      <c r="G29" s="41">
        <v>4.46</v>
      </c>
      <c r="H29" s="41">
        <v>5</v>
      </c>
      <c r="I29" s="41">
        <v>5.61</v>
      </c>
      <c r="J29" s="41">
        <v>6.37</v>
      </c>
      <c r="K29" s="41">
        <v>6.95</v>
      </c>
      <c r="L29" s="41">
        <v>7.41</v>
      </c>
      <c r="M29" s="41">
        <v>7.7</v>
      </c>
      <c r="N29" s="41">
        <v>7.67</v>
      </c>
      <c r="O29" s="41">
        <v>7.48</v>
      </c>
      <c r="P29" s="41">
        <v>7.32</v>
      </c>
      <c r="Q29" s="41">
        <v>7.24</v>
      </c>
      <c r="R29" s="41">
        <v>7.14</v>
      </c>
      <c r="S29" s="41">
        <v>7.1</v>
      </c>
      <c r="T29" s="41">
        <v>7.37</v>
      </c>
      <c r="U29" s="41">
        <v>7.76</v>
      </c>
      <c r="V29" s="41">
        <v>7.42</v>
      </c>
      <c r="W29" s="41">
        <v>6.94</v>
      </c>
      <c r="X29" s="41">
        <v>6.24</v>
      </c>
      <c r="Y29" s="41">
        <v>5.54</v>
      </c>
      <c r="Z29" s="85">
        <f t="shared" si="2"/>
        <v>150.36000000000001</v>
      </c>
      <c r="AA29" s="43">
        <v>4</v>
      </c>
      <c r="AB29" s="59">
        <f t="shared" si="3"/>
        <v>601.44000000000005</v>
      </c>
      <c r="AD29" s="30" t="s">
        <v>45</v>
      </c>
      <c r="AG29" s="66"/>
    </row>
    <row r="30" spans="1:33" x14ac:dyDescent="0.35">
      <c r="A30" s="58">
        <v>46447</v>
      </c>
      <c r="B30" s="41">
        <v>4.42</v>
      </c>
      <c r="C30" s="41">
        <v>4.09</v>
      </c>
      <c r="D30" s="41">
        <v>3.91</v>
      </c>
      <c r="E30" s="41">
        <v>3.82</v>
      </c>
      <c r="F30" s="41">
        <v>3.89</v>
      </c>
      <c r="G30" s="41">
        <v>4.16</v>
      </c>
      <c r="H30" s="41">
        <v>4.5999999999999996</v>
      </c>
      <c r="I30" s="41">
        <v>5.25</v>
      </c>
      <c r="J30" s="41">
        <v>5.99</v>
      </c>
      <c r="K30" s="41">
        <v>6.5</v>
      </c>
      <c r="L30" s="41">
        <v>6.91</v>
      </c>
      <c r="M30" s="41">
        <v>7.27</v>
      </c>
      <c r="N30" s="41">
        <v>7.24</v>
      </c>
      <c r="O30" s="41">
        <v>6.99</v>
      </c>
      <c r="P30" s="41">
        <v>6.81</v>
      </c>
      <c r="Q30" s="41">
        <v>6.71</v>
      </c>
      <c r="R30" s="41">
        <v>6.62</v>
      </c>
      <c r="S30" s="41">
        <v>6.65</v>
      </c>
      <c r="T30" s="41">
        <v>6.89</v>
      </c>
      <c r="U30" s="41">
        <v>7.11</v>
      </c>
      <c r="V30" s="41">
        <v>6.79</v>
      </c>
      <c r="W30" s="41">
        <v>6.35</v>
      </c>
      <c r="X30" s="41">
        <v>5.71</v>
      </c>
      <c r="Y30" s="41">
        <v>5.05</v>
      </c>
      <c r="Z30" s="85">
        <f t="shared" si="2"/>
        <v>139.73000000000002</v>
      </c>
      <c r="AA30" s="43">
        <v>4</v>
      </c>
      <c r="AB30" s="59">
        <f t="shared" si="3"/>
        <v>558.92000000000007</v>
      </c>
      <c r="AD30" s="30" t="s">
        <v>45</v>
      </c>
      <c r="AG30" s="66"/>
    </row>
    <row r="31" spans="1:33" x14ac:dyDescent="0.35">
      <c r="A31" s="58">
        <v>46478</v>
      </c>
      <c r="B31" s="41">
        <v>4.1900000000000004</v>
      </c>
      <c r="C31" s="41">
        <v>3.87</v>
      </c>
      <c r="D31" s="41">
        <v>3.68</v>
      </c>
      <c r="E31" s="41">
        <v>3.59</v>
      </c>
      <c r="F31" s="41">
        <v>3.64</v>
      </c>
      <c r="G31" s="41">
        <v>3.78</v>
      </c>
      <c r="H31" s="41">
        <v>4.26</v>
      </c>
      <c r="I31" s="41">
        <v>4.92</v>
      </c>
      <c r="J31" s="41">
        <v>5.59</v>
      </c>
      <c r="K31" s="41">
        <v>6.11</v>
      </c>
      <c r="L31" s="41">
        <v>6.51</v>
      </c>
      <c r="M31" s="41">
        <v>6.81</v>
      </c>
      <c r="N31" s="41">
        <v>6.82</v>
      </c>
      <c r="O31" s="41">
        <v>6.56</v>
      </c>
      <c r="P31" s="41">
        <v>6.4</v>
      </c>
      <c r="Q31" s="41">
        <v>6.32</v>
      </c>
      <c r="R31" s="41">
        <v>6.18</v>
      </c>
      <c r="S31" s="41">
        <v>6.21</v>
      </c>
      <c r="T31" s="41">
        <v>6.56</v>
      </c>
      <c r="U31" s="41">
        <v>6.76</v>
      </c>
      <c r="V31" s="41">
        <v>6.45</v>
      </c>
      <c r="W31" s="41">
        <v>6.01</v>
      </c>
      <c r="X31" s="41">
        <v>5.43</v>
      </c>
      <c r="Y31" s="41">
        <v>4.82</v>
      </c>
      <c r="Z31" s="85">
        <f t="shared" si="2"/>
        <v>131.47000000000003</v>
      </c>
      <c r="AA31" s="43">
        <v>4</v>
      </c>
      <c r="AB31" s="59">
        <f t="shared" si="3"/>
        <v>525.88000000000011</v>
      </c>
      <c r="AD31" s="30" t="s">
        <v>45</v>
      </c>
      <c r="AG31" s="66"/>
    </row>
    <row r="32" spans="1:33" x14ac:dyDescent="0.35">
      <c r="A32" s="58">
        <v>46508</v>
      </c>
      <c r="B32" s="41">
        <v>3.51</v>
      </c>
      <c r="C32" s="41">
        <v>3.26</v>
      </c>
      <c r="D32" s="41">
        <v>3.12</v>
      </c>
      <c r="E32" s="41">
        <v>3.04</v>
      </c>
      <c r="F32" s="41">
        <v>3.1</v>
      </c>
      <c r="G32" s="41">
        <v>3.22</v>
      </c>
      <c r="H32" s="41">
        <v>3.69</v>
      </c>
      <c r="I32" s="41">
        <v>4.2699999999999996</v>
      </c>
      <c r="J32" s="41">
        <v>4.8600000000000003</v>
      </c>
      <c r="K32" s="41">
        <v>5.33</v>
      </c>
      <c r="L32" s="41">
        <v>5.64</v>
      </c>
      <c r="M32" s="41">
        <v>5.88</v>
      </c>
      <c r="N32" s="41">
        <v>5.82</v>
      </c>
      <c r="O32" s="41">
        <v>5.58</v>
      </c>
      <c r="P32" s="41">
        <v>5.45</v>
      </c>
      <c r="Q32" s="41">
        <v>5.37</v>
      </c>
      <c r="R32" s="41">
        <v>5.27</v>
      </c>
      <c r="S32" s="41">
        <v>5.3</v>
      </c>
      <c r="T32" s="41">
        <v>5.62</v>
      </c>
      <c r="U32" s="41">
        <v>5.79</v>
      </c>
      <c r="V32" s="41">
        <v>5.5</v>
      </c>
      <c r="W32" s="41">
        <v>5.12</v>
      </c>
      <c r="X32" s="41">
        <v>4.5999999999999996</v>
      </c>
      <c r="Y32" s="41">
        <v>4.07</v>
      </c>
      <c r="Z32" s="85">
        <f t="shared" si="2"/>
        <v>112.41</v>
      </c>
      <c r="AA32" s="43">
        <v>4</v>
      </c>
      <c r="AB32" s="59">
        <f t="shared" si="3"/>
        <v>449.64</v>
      </c>
      <c r="AD32" s="30" t="s">
        <v>45</v>
      </c>
      <c r="AG32" s="66"/>
    </row>
    <row r="33" spans="1:33" x14ac:dyDescent="0.35">
      <c r="A33" s="58">
        <v>46539</v>
      </c>
      <c r="B33" s="41">
        <v>3.55</v>
      </c>
      <c r="C33" s="41">
        <v>3.28</v>
      </c>
      <c r="D33" s="41">
        <v>3.13</v>
      </c>
      <c r="E33" s="41">
        <v>3.06</v>
      </c>
      <c r="F33" s="41">
        <v>3.12</v>
      </c>
      <c r="G33" s="41">
        <v>3.27</v>
      </c>
      <c r="H33" s="41">
        <v>3.67</v>
      </c>
      <c r="I33" s="41">
        <v>4.24</v>
      </c>
      <c r="J33" s="41">
        <v>4.84</v>
      </c>
      <c r="K33" s="41">
        <v>5.32</v>
      </c>
      <c r="L33" s="41">
        <v>5.63</v>
      </c>
      <c r="M33" s="41">
        <v>5.89</v>
      </c>
      <c r="N33" s="41">
        <v>5.9</v>
      </c>
      <c r="O33" s="41">
        <v>5.71</v>
      </c>
      <c r="P33" s="41">
        <v>5.54</v>
      </c>
      <c r="Q33" s="41">
        <v>5.41</v>
      </c>
      <c r="R33" s="41">
        <v>5.3</v>
      </c>
      <c r="S33" s="41">
        <v>5.33</v>
      </c>
      <c r="T33" s="41">
        <v>5.62</v>
      </c>
      <c r="U33" s="41">
        <v>5.81</v>
      </c>
      <c r="V33" s="41">
        <v>5.53</v>
      </c>
      <c r="W33" s="41">
        <v>5.14</v>
      </c>
      <c r="X33" s="41">
        <v>4.59</v>
      </c>
      <c r="Y33" s="41">
        <v>4.03</v>
      </c>
      <c r="Z33" s="85">
        <f t="shared" si="2"/>
        <v>112.91000000000001</v>
      </c>
      <c r="AA33" s="43">
        <v>4</v>
      </c>
      <c r="AB33" s="59">
        <f t="shared" si="3"/>
        <v>451.64000000000004</v>
      </c>
      <c r="AD33" s="30" t="s">
        <v>45</v>
      </c>
      <c r="AG33" s="66"/>
    </row>
    <row r="34" spans="1:33" ht="16" thickBot="1" x14ac:dyDescent="0.4">
      <c r="A34" s="60">
        <v>46569</v>
      </c>
      <c r="B34" s="44">
        <v>3.95</v>
      </c>
      <c r="C34" s="44">
        <v>3.64</v>
      </c>
      <c r="D34" s="44">
        <v>3.45</v>
      </c>
      <c r="E34" s="44">
        <v>3.37</v>
      </c>
      <c r="F34" s="44">
        <v>3.42</v>
      </c>
      <c r="G34" s="44">
        <v>3.55</v>
      </c>
      <c r="H34" s="44">
        <v>4</v>
      </c>
      <c r="I34" s="44">
        <v>4.5999999999999996</v>
      </c>
      <c r="J34" s="44">
        <v>5.3</v>
      </c>
      <c r="K34" s="44">
        <v>5.83</v>
      </c>
      <c r="L34" s="44">
        <v>6.19</v>
      </c>
      <c r="M34" s="44">
        <v>6.49</v>
      </c>
      <c r="N34" s="44">
        <v>6.5</v>
      </c>
      <c r="O34" s="44">
        <v>6.27</v>
      </c>
      <c r="P34" s="44">
        <v>6.06</v>
      </c>
      <c r="Q34" s="44">
        <v>5.91</v>
      </c>
      <c r="R34" s="44">
        <v>5.8</v>
      </c>
      <c r="S34" s="44">
        <v>5.83</v>
      </c>
      <c r="T34" s="44">
        <v>6.07</v>
      </c>
      <c r="U34" s="44">
        <v>6.41</v>
      </c>
      <c r="V34" s="44">
        <v>6.1</v>
      </c>
      <c r="W34" s="44">
        <v>5.7</v>
      </c>
      <c r="X34" s="44">
        <v>5.13</v>
      </c>
      <c r="Y34" s="44">
        <v>4.53</v>
      </c>
      <c r="Z34" s="87">
        <f t="shared" si="2"/>
        <v>124.09999999999998</v>
      </c>
      <c r="AA34" s="46">
        <v>5</v>
      </c>
      <c r="AB34" s="61">
        <f t="shared" si="3"/>
        <v>620.49999999999989</v>
      </c>
      <c r="AD34" s="30" t="s">
        <v>45</v>
      </c>
      <c r="AG34" s="66"/>
    </row>
    <row r="35" spans="1:33" x14ac:dyDescent="0.35">
      <c r="A35" s="67"/>
      <c r="B35" s="68"/>
      <c r="C35" s="68"/>
      <c r="D35" s="68"/>
      <c r="E35" s="68"/>
      <c r="F35" s="68"/>
      <c r="G35" s="68"/>
      <c r="H35" s="68"/>
      <c r="I35" s="68"/>
      <c r="J35" s="68"/>
      <c r="K35" s="68"/>
      <c r="L35" s="68"/>
      <c r="M35" s="68"/>
      <c r="N35" s="68"/>
      <c r="O35" s="68"/>
      <c r="P35" s="68"/>
      <c r="Q35" s="68"/>
      <c r="R35" s="68"/>
      <c r="S35" s="68"/>
      <c r="T35" s="68"/>
      <c r="U35" s="68"/>
      <c r="V35" s="68"/>
      <c r="W35" s="68"/>
      <c r="X35" s="68"/>
      <c r="Y35" s="68"/>
      <c r="Z35" s="69"/>
      <c r="AA35" s="70"/>
      <c r="AB35" s="71"/>
      <c r="AE35" s="30" t="s">
        <v>57</v>
      </c>
      <c r="AG35" s="66"/>
    </row>
    <row r="36" spans="1:33" ht="16" thickBot="1" x14ac:dyDescent="0.4">
      <c r="A36"/>
      <c r="B36" s="62"/>
      <c r="C36" s="62"/>
      <c r="D36" s="62"/>
      <c r="E36" s="62"/>
      <c r="F36" s="62"/>
      <c r="G36" s="62"/>
      <c r="H36" s="62"/>
      <c r="I36" s="62"/>
      <c r="J36" s="62"/>
      <c r="K36" s="62"/>
      <c r="L36" s="62"/>
      <c r="M36" s="62"/>
      <c r="N36" s="62"/>
      <c r="O36" s="62"/>
      <c r="P36" s="62"/>
      <c r="Q36" s="62"/>
      <c r="R36" s="62"/>
      <c r="S36" s="62"/>
      <c r="T36" s="62"/>
      <c r="U36" s="62"/>
      <c r="V36" s="62"/>
      <c r="W36" s="62"/>
      <c r="X36" s="62"/>
      <c r="Y36" s="62"/>
      <c r="Z36" s="50"/>
      <c r="AA36" s="35"/>
      <c r="AB36"/>
      <c r="AE36" s="30" t="s">
        <v>57</v>
      </c>
    </row>
    <row r="37" spans="1:33" ht="16" thickBot="1" x14ac:dyDescent="0.4">
      <c r="A37" s="33" t="s">
        <v>46</v>
      </c>
      <c r="B37" s="52"/>
      <c r="C37" s="52"/>
      <c r="D37" s="52"/>
      <c r="E37" s="52"/>
      <c r="F37" s="52"/>
      <c r="G37" s="52"/>
      <c r="H37" s="52"/>
      <c r="I37" s="52"/>
      <c r="J37" s="52"/>
      <c r="K37" s="52"/>
      <c r="L37" s="52"/>
      <c r="M37" s="52"/>
      <c r="N37" s="52"/>
      <c r="O37" s="52"/>
      <c r="P37" s="52"/>
      <c r="Q37" s="52"/>
      <c r="R37" s="52"/>
      <c r="S37" s="52"/>
      <c r="T37" s="52"/>
      <c r="U37" s="52"/>
      <c r="V37" s="52"/>
      <c r="W37" s="52"/>
      <c r="X37" s="52"/>
      <c r="Y37" s="52"/>
      <c r="Z37" s="50"/>
      <c r="AA37" s="35"/>
      <c r="AB37"/>
      <c r="AE37" s="30" t="s">
        <v>57</v>
      </c>
    </row>
    <row r="38" spans="1:33" ht="16" thickBot="1" x14ac:dyDescent="0.4">
      <c r="A38"/>
      <c r="B38" s="62"/>
      <c r="C38" s="62"/>
      <c r="D38" s="62"/>
      <c r="E38" s="62"/>
      <c r="F38" s="62"/>
      <c r="G38" s="62"/>
      <c r="H38" s="62"/>
      <c r="I38" s="62"/>
      <c r="J38" s="62"/>
      <c r="K38" s="62"/>
      <c r="L38" s="62"/>
      <c r="M38" s="62"/>
      <c r="N38" s="62"/>
      <c r="O38" s="62"/>
      <c r="P38" s="62"/>
      <c r="Q38" s="62"/>
      <c r="R38" s="62"/>
      <c r="S38" s="62"/>
      <c r="T38" s="62"/>
      <c r="U38" s="62"/>
      <c r="V38" s="62"/>
      <c r="W38" s="62"/>
      <c r="X38" s="62"/>
      <c r="Y38" s="62"/>
      <c r="Z38" s="50"/>
      <c r="AA38"/>
      <c r="AB38"/>
      <c r="AE38" s="30" t="s">
        <v>57</v>
      </c>
    </row>
    <row r="39" spans="1:33" ht="16" thickBot="1" x14ac:dyDescent="0.4">
      <c r="A39" s="53" t="s">
        <v>10</v>
      </c>
      <c r="B39" s="54" t="s">
        <v>11</v>
      </c>
      <c r="C39" s="54" t="s">
        <v>12</v>
      </c>
      <c r="D39" s="54" t="s">
        <v>13</v>
      </c>
      <c r="E39" s="54" t="s">
        <v>14</v>
      </c>
      <c r="F39" s="54" t="s">
        <v>15</v>
      </c>
      <c r="G39" s="54" t="s">
        <v>16</v>
      </c>
      <c r="H39" s="54" t="s">
        <v>17</v>
      </c>
      <c r="I39" s="54" t="s">
        <v>18</v>
      </c>
      <c r="J39" s="54" t="s">
        <v>19</v>
      </c>
      <c r="K39" s="54" t="s">
        <v>20</v>
      </c>
      <c r="L39" s="54" t="s">
        <v>21</v>
      </c>
      <c r="M39" s="54" t="s">
        <v>22</v>
      </c>
      <c r="N39" s="54" t="s">
        <v>23</v>
      </c>
      <c r="O39" s="54" t="s">
        <v>24</v>
      </c>
      <c r="P39" s="54" t="s">
        <v>25</v>
      </c>
      <c r="Q39" s="54" t="s">
        <v>26</v>
      </c>
      <c r="R39" s="54" t="s">
        <v>27</v>
      </c>
      <c r="S39" s="54" t="s">
        <v>28</v>
      </c>
      <c r="T39" s="54" t="s">
        <v>29</v>
      </c>
      <c r="U39" s="54" t="s">
        <v>30</v>
      </c>
      <c r="V39" s="54" t="s">
        <v>31</v>
      </c>
      <c r="W39" s="54" t="s">
        <v>32</v>
      </c>
      <c r="X39" s="54" t="s">
        <v>33</v>
      </c>
      <c r="Y39" s="54" t="s">
        <v>34</v>
      </c>
      <c r="Z39" s="54" t="s">
        <v>6</v>
      </c>
      <c r="AA39" s="34" t="s">
        <v>35</v>
      </c>
      <c r="AB39" s="55"/>
      <c r="AE39" s="30" t="s">
        <v>57</v>
      </c>
    </row>
    <row r="40" spans="1:33" x14ac:dyDescent="0.35">
      <c r="A40" s="56">
        <v>46266</v>
      </c>
      <c r="B40" s="101">
        <v>3.19</v>
      </c>
      <c r="C40" s="101">
        <v>2.94</v>
      </c>
      <c r="D40" s="101">
        <v>2.8</v>
      </c>
      <c r="E40" s="101">
        <v>2.7</v>
      </c>
      <c r="F40" s="101">
        <v>2.68</v>
      </c>
      <c r="G40" s="101">
        <v>2.68</v>
      </c>
      <c r="H40" s="101">
        <v>2.8</v>
      </c>
      <c r="I40" s="101">
        <v>3</v>
      </c>
      <c r="J40" s="101">
        <v>3.29</v>
      </c>
      <c r="K40" s="101">
        <v>3.53</v>
      </c>
      <c r="L40" s="101">
        <v>3.72</v>
      </c>
      <c r="M40" s="101">
        <v>3.83</v>
      </c>
      <c r="N40" s="101">
        <v>4.09</v>
      </c>
      <c r="O40" s="101">
        <v>4.12</v>
      </c>
      <c r="P40" s="101">
        <v>4.12</v>
      </c>
      <c r="Q40" s="101">
        <v>4.0999999999999996</v>
      </c>
      <c r="R40" s="101">
        <v>4.13</v>
      </c>
      <c r="S40" s="101">
        <v>4.22</v>
      </c>
      <c r="T40" s="101">
        <v>4.54</v>
      </c>
      <c r="U40" s="101">
        <v>4.6900000000000004</v>
      </c>
      <c r="V40" s="101">
        <v>4.57</v>
      </c>
      <c r="W40" s="101">
        <v>4.2699999999999996</v>
      </c>
      <c r="X40" s="101">
        <v>3.8</v>
      </c>
      <c r="Y40" s="101">
        <v>3.31</v>
      </c>
      <c r="Z40" s="84">
        <f t="shared" ref="Z40:Z50" si="4">SUM(B40:Y40)</f>
        <v>87.12</v>
      </c>
      <c r="AA40" s="40">
        <v>2</v>
      </c>
      <c r="AB40" s="57">
        <f t="shared" ref="AB40:AB50" si="5">+Z40*AA40</f>
        <v>174.24</v>
      </c>
      <c r="AD40" s="30" t="s">
        <v>47</v>
      </c>
      <c r="AG40" s="66"/>
    </row>
    <row r="41" spans="1:33" x14ac:dyDescent="0.35">
      <c r="A41" s="58">
        <v>46296</v>
      </c>
      <c r="B41" s="41">
        <v>3.17</v>
      </c>
      <c r="C41" s="41">
        <v>2.93</v>
      </c>
      <c r="D41" s="41">
        <v>2.8</v>
      </c>
      <c r="E41" s="41">
        <v>2.71</v>
      </c>
      <c r="F41" s="41">
        <v>2.69</v>
      </c>
      <c r="G41" s="41">
        <v>2.66</v>
      </c>
      <c r="H41" s="41">
        <v>2.79</v>
      </c>
      <c r="I41" s="41">
        <v>3.02</v>
      </c>
      <c r="J41" s="41">
        <v>3.32</v>
      </c>
      <c r="K41" s="41">
        <v>3.58</v>
      </c>
      <c r="L41" s="41">
        <v>3.82</v>
      </c>
      <c r="M41" s="41">
        <v>4.01</v>
      </c>
      <c r="N41" s="41">
        <v>4.0999999999999996</v>
      </c>
      <c r="O41" s="41">
        <v>4.0599999999999996</v>
      </c>
      <c r="P41" s="41">
        <v>4.03</v>
      </c>
      <c r="Q41" s="41">
        <v>3.94</v>
      </c>
      <c r="R41" s="41">
        <v>3.93</v>
      </c>
      <c r="S41" s="41">
        <v>4.0599999999999996</v>
      </c>
      <c r="T41" s="41">
        <v>4.4400000000000004</v>
      </c>
      <c r="U41" s="41">
        <v>4.49</v>
      </c>
      <c r="V41" s="41">
        <v>4.3600000000000003</v>
      </c>
      <c r="W41" s="41">
        <v>4.07</v>
      </c>
      <c r="X41" s="41">
        <v>3.62</v>
      </c>
      <c r="Y41" s="41">
        <v>3.18</v>
      </c>
      <c r="Z41" s="42">
        <f t="shared" si="4"/>
        <v>85.78</v>
      </c>
      <c r="AA41" s="43">
        <v>4</v>
      </c>
      <c r="AB41" s="59">
        <f t="shared" si="5"/>
        <v>343.12</v>
      </c>
      <c r="AD41" s="30" t="s">
        <v>47</v>
      </c>
      <c r="AG41" s="66"/>
    </row>
    <row r="42" spans="1:33" x14ac:dyDescent="0.35">
      <c r="A42" s="58">
        <v>46327</v>
      </c>
      <c r="B42" s="41">
        <v>3.28</v>
      </c>
      <c r="C42" s="41">
        <v>3.03</v>
      </c>
      <c r="D42" s="41">
        <v>2.87</v>
      </c>
      <c r="E42" s="41">
        <v>2.78</v>
      </c>
      <c r="F42" s="41">
        <v>2.77</v>
      </c>
      <c r="G42" s="41">
        <v>2.74</v>
      </c>
      <c r="H42" s="41">
        <v>2.74</v>
      </c>
      <c r="I42" s="41">
        <v>2.72</v>
      </c>
      <c r="J42" s="41">
        <v>2.93</v>
      </c>
      <c r="K42" s="41">
        <v>3.09</v>
      </c>
      <c r="L42" s="41">
        <v>3.58</v>
      </c>
      <c r="M42" s="41">
        <v>3.85</v>
      </c>
      <c r="N42" s="41">
        <v>4.3499999999999996</v>
      </c>
      <c r="O42" s="41">
        <v>4.4000000000000004</v>
      </c>
      <c r="P42" s="41">
        <v>4.32</v>
      </c>
      <c r="Q42" s="41">
        <v>4.3099999999999996</v>
      </c>
      <c r="R42" s="41">
        <v>4.3099999999999996</v>
      </c>
      <c r="S42" s="41">
        <v>4.41</v>
      </c>
      <c r="T42" s="41">
        <v>4.7699999999999996</v>
      </c>
      <c r="U42" s="41">
        <v>4.8</v>
      </c>
      <c r="V42" s="41">
        <v>4.6900000000000004</v>
      </c>
      <c r="W42" s="41">
        <v>4.41</v>
      </c>
      <c r="X42" s="41">
        <v>3.95</v>
      </c>
      <c r="Y42" s="41">
        <v>3.47</v>
      </c>
      <c r="Z42" s="42">
        <f t="shared" si="4"/>
        <v>88.57</v>
      </c>
      <c r="AA42" s="43">
        <v>5</v>
      </c>
      <c r="AB42" s="59">
        <f t="shared" si="5"/>
        <v>442.84999999999997</v>
      </c>
      <c r="AD42" s="30" t="s">
        <v>47</v>
      </c>
      <c r="AG42" s="66"/>
    </row>
    <row r="43" spans="1:33" ht="16" thickBot="1" x14ac:dyDescent="0.4">
      <c r="A43" s="73">
        <v>46357</v>
      </c>
      <c r="B43" s="74">
        <v>4.12</v>
      </c>
      <c r="C43" s="74">
        <v>3.82</v>
      </c>
      <c r="D43" s="74">
        <v>3.62</v>
      </c>
      <c r="E43" s="74">
        <v>3.49</v>
      </c>
      <c r="F43" s="74">
        <v>3.42</v>
      </c>
      <c r="G43" s="74">
        <v>3.41</v>
      </c>
      <c r="H43" s="74">
        <v>3.47</v>
      </c>
      <c r="I43" s="74">
        <v>3.5</v>
      </c>
      <c r="J43" s="74">
        <v>3.82</v>
      </c>
      <c r="K43" s="74">
        <v>3.84</v>
      </c>
      <c r="L43" s="74">
        <v>3.9</v>
      </c>
      <c r="M43" s="74">
        <v>4.37</v>
      </c>
      <c r="N43" s="74">
        <v>4.62</v>
      </c>
      <c r="O43" s="74">
        <v>5.08</v>
      </c>
      <c r="P43" s="74">
        <v>5.13</v>
      </c>
      <c r="Q43" s="74">
        <v>5.13</v>
      </c>
      <c r="R43" s="74">
        <v>5.15</v>
      </c>
      <c r="S43" s="74">
        <v>5.23</v>
      </c>
      <c r="T43" s="74">
        <v>5.72</v>
      </c>
      <c r="U43" s="74">
        <v>5.82</v>
      </c>
      <c r="V43" s="74">
        <v>5.66</v>
      </c>
      <c r="W43" s="74">
        <v>5.34</v>
      </c>
      <c r="X43" s="74">
        <v>4.83</v>
      </c>
      <c r="Y43" s="74">
        <v>4.26</v>
      </c>
      <c r="Z43" s="75">
        <f t="shared" si="4"/>
        <v>106.75</v>
      </c>
      <c r="AA43" s="76">
        <v>6</v>
      </c>
      <c r="AB43" s="77">
        <f t="shared" si="5"/>
        <v>640.5</v>
      </c>
      <c r="AD43" s="30" t="s">
        <v>47</v>
      </c>
      <c r="AG43" s="66"/>
    </row>
    <row r="44" spans="1:33" x14ac:dyDescent="0.35">
      <c r="A44" s="56">
        <v>46388</v>
      </c>
      <c r="B44" s="83">
        <v>4.8499999999999996</v>
      </c>
      <c r="C44" s="83">
        <v>4.49</v>
      </c>
      <c r="D44" s="83">
        <v>4.21</v>
      </c>
      <c r="E44" s="83">
        <v>4.09</v>
      </c>
      <c r="F44" s="83">
        <v>4.0199999999999996</v>
      </c>
      <c r="G44" s="83">
        <v>4.04</v>
      </c>
      <c r="H44" s="83">
        <v>4.1500000000000004</v>
      </c>
      <c r="I44" s="83">
        <v>4.38</v>
      </c>
      <c r="J44" s="83">
        <v>4.84</v>
      </c>
      <c r="K44" s="83">
        <v>5.31</v>
      </c>
      <c r="L44" s="83">
        <v>5.71</v>
      </c>
      <c r="M44" s="83">
        <v>6.06</v>
      </c>
      <c r="N44" s="83">
        <v>6.28</v>
      </c>
      <c r="O44" s="83">
        <v>6.28</v>
      </c>
      <c r="P44" s="83">
        <v>6.15</v>
      </c>
      <c r="Q44" s="83">
        <v>6.07</v>
      </c>
      <c r="R44" s="83">
        <v>6.04</v>
      </c>
      <c r="S44" s="83">
        <v>6.09</v>
      </c>
      <c r="T44" s="83">
        <v>6.6</v>
      </c>
      <c r="U44" s="83">
        <v>7.04</v>
      </c>
      <c r="V44" s="83">
        <v>6.91</v>
      </c>
      <c r="W44" s="83">
        <v>6.48</v>
      </c>
      <c r="X44" s="83">
        <v>5.8</v>
      </c>
      <c r="Y44" s="83">
        <v>5.12</v>
      </c>
      <c r="Z44" s="86">
        <f t="shared" si="4"/>
        <v>131.01000000000002</v>
      </c>
      <c r="AA44" s="40">
        <v>6</v>
      </c>
      <c r="AB44" s="57">
        <f t="shared" si="5"/>
        <v>786.06000000000017</v>
      </c>
      <c r="AD44" s="30" t="s">
        <v>47</v>
      </c>
      <c r="AG44" s="66"/>
    </row>
    <row r="45" spans="1:33" x14ac:dyDescent="0.35">
      <c r="A45" s="58">
        <v>46419</v>
      </c>
      <c r="B45" s="41">
        <v>4.9000000000000004</v>
      </c>
      <c r="C45" s="41">
        <v>4.5199999999999996</v>
      </c>
      <c r="D45" s="41">
        <v>4.26</v>
      </c>
      <c r="E45" s="41">
        <v>4.1100000000000003</v>
      </c>
      <c r="F45" s="41">
        <v>4.09</v>
      </c>
      <c r="G45" s="41">
        <v>4.17</v>
      </c>
      <c r="H45" s="41">
        <v>4.3600000000000003</v>
      </c>
      <c r="I45" s="41">
        <v>4.67</v>
      </c>
      <c r="J45" s="41">
        <v>5.22</v>
      </c>
      <c r="K45" s="41">
        <v>5.74</v>
      </c>
      <c r="L45" s="41">
        <v>6.08</v>
      </c>
      <c r="M45" s="41">
        <v>6.41</v>
      </c>
      <c r="N45" s="41">
        <v>6.57</v>
      </c>
      <c r="O45" s="41">
        <v>6.48</v>
      </c>
      <c r="P45" s="41">
        <v>6.28</v>
      </c>
      <c r="Q45" s="41">
        <v>6.15</v>
      </c>
      <c r="R45" s="41">
        <v>6.07</v>
      </c>
      <c r="S45" s="41">
        <v>6.15</v>
      </c>
      <c r="T45" s="41">
        <v>6.53</v>
      </c>
      <c r="U45" s="41">
        <v>7.17</v>
      </c>
      <c r="V45" s="41">
        <v>7.02</v>
      </c>
      <c r="W45" s="41">
        <v>6.53</v>
      </c>
      <c r="X45" s="41">
        <v>5.72</v>
      </c>
      <c r="Y45" s="41">
        <v>4.93</v>
      </c>
      <c r="Z45" s="85">
        <f t="shared" si="4"/>
        <v>134.13000000000002</v>
      </c>
      <c r="AA45" s="43">
        <v>4</v>
      </c>
      <c r="AB45" s="59">
        <f t="shared" si="5"/>
        <v>536.5200000000001</v>
      </c>
      <c r="AD45" s="30" t="s">
        <v>47</v>
      </c>
      <c r="AG45" s="66"/>
    </row>
    <row r="46" spans="1:33" x14ac:dyDescent="0.35">
      <c r="A46" s="58">
        <v>46447</v>
      </c>
      <c r="B46" s="41">
        <v>4.5199999999999996</v>
      </c>
      <c r="C46" s="41">
        <v>4.17</v>
      </c>
      <c r="D46" s="41">
        <v>3.96</v>
      </c>
      <c r="E46" s="41">
        <v>3.83</v>
      </c>
      <c r="F46" s="41">
        <v>3.79</v>
      </c>
      <c r="G46" s="41">
        <v>3.87</v>
      </c>
      <c r="H46" s="41">
        <v>4.04</v>
      </c>
      <c r="I46" s="41">
        <v>4.3600000000000003</v>
      </c>
      <c r="J46" s="41">
        <v>4.84</v>
      </c>
      <c r="K46" s="41">
        <v>5.29</v>
      </c>
      <c r="L46" s="41">
        <v>5.6</v>
      </c>
      <c r="M46" s="41">
        <v>5.87</v>
      </c>
      <c r="N46" s="41">
        <v>6.06</v>
      </c>
      <c r="O46" s="41">
        <v>6.03</v>
      </c>
      <c r="P46" s="41">
        <v>5.84</v>
      </c>
      <c r="Q46" s="41">
        <v>5.75</v>
      </c>
      <c r="R46" s="41">
        <v>5.73</v>
      </c>
      <c r="S46" s="41">
        <v>5.87</v>
      </c>
      <c r="T46" s="41">
        <v>6.32</v>
      </c>
      <c r="U46" s="41">
        <v>6.73</v>
      </c>
      <c r="V46" s="41">
        <v>6.53</v>
      </c>
      <c r="W46" s="41">
        <v>6.06</v>
      </c>
      <c r="X46" s="41">
        <v>5.37</v>
      </c>
      <c r="Y46" s="41">
        <v>4.66</v>
      </c>
      <c r="Z46" s="85">
        <f t="shared" si="4"/>
        <v>125.09000000000002</v>
      </c>
      <c r="AA46" s="43">
        <v>6</v>
      </c>
      <c r="AB46" s="59">
        <f t="shared" si="5"/>
        <v>750.54000000000008</v>
      </c>
      <c r="AD46" s="30" t="s">
        <v>47</v>
      </c>
      <c r="AG46" s="66"/>
    </row>
    <row r="47" spans="1:33" x14ac:dyDescent="0.35">
      <c r="A47" s="58">
        <v>46478</v>
      </c>
      <c r="B47" s="41">
        <v>4.2</v>
      </c>
      <c r="C47" s="41">
        <v>3.86</v>
      </c>
      <c r="D47" s="41">
        <v>3.65</v>
      </c>
      <c r="E47" s="41">
        <v>3.54</v>
      </c>
      <c r="F47" s="41">
        <v>3.53</v>
      </c>
      <c r="G47" s="41">
        <v>3.53</v>
      </c>
      <c r="H47" s="41">
        <v>3.71</v>
      </c>
      <c r="I47" s="41">
        <v>4.0999999999999996</v>
      </c>
      <c r="J47" s="41">
        <v>4.57</v>
      </c>
      <c r="K47" s="41">
        <v>5.01</v>
      </c>
      <c r="L47" s="41">
        <v>5.36</v>
      </c>
      <c r="M47" s="41">
        <v>5.69</v>
      </c>
      <c r="N47" s="41">
        <v>5.84</v>
      </c>
      <c r="O47" s="41">
        <v>5.75</v>
      </c>
      <c r="P47" s="41">
        <v>5.64</v>
      </c>
      <c r="Q47" s="41">
        <v>5.45</v>
      </c>
      <c r="R47" s="41">
        <v>5.39</v>
      </c>
      <c r="S47" s="41">
        <v>5.53</v>
      </c>
      <c r="T47" s="41">
        <v>5.95</v>
      </c>
      <c r="U47" s="41">
        <v>6.24</v>
      </c>
      <c r="V47" s="41">
        <v>6.08</v>
      </c>
      <c r="W47" s="41">
        <v>5.67</v>
      </c>
      <c r="X47" s="41">
        <v>5.03</v>
      </c>
      <c r="Y47" s="41">
        <v>4.42</v>
      </c>
      <c r="Z47" s="85">
        <f t="shared" si="4"/>
        <v>117.74000000000001</v>
      </c>
      <c r="AA47" s="43">
        <v>4</v>
      </c>
      <c r="AB47" s="59">
        <f t="shared" si="5"/>
        <v>470.96000000000004</v>
      </c>
      <c r="AD47" s="30" t="s">
        <v>47</v>
      </c>
      <c r="AG47" s="66"/>
    </row>
    <row r="48" spans="1:33" x14ac:dyDescent="0.35">
      <c r="A48" s="58">
        <v>46508</v>
      </c>
      <c r="B48" s="41">
        <v>3.59</v>
      </c>
      <c r="C48" s="41">
        <v>3.3</v>
      </c>
      <c r="D48" s="41">
        <v>3.13</v>
      </c>
      <c r="E48" s="41">
        <v>3.02</v>
      </c>
      <c r="F48" s="41">
        <v>2.99</v>
      </c>
      <c r="G48" s="41">
        <v>2.93</v>
      </c>
      <c r="H48" s="41">
        <v>3.19</v>
      </c>
      <c r="I48" s="41">
        <v>3.53</v>
      </c>
      <c r="J48" s="41">
        <v>3.94</v>
      </c>
      <c r="K48" s="41">
        <v>4.3600000000000003</v>
      </c>
      <c r="L48" s="41">
        <v>4.6399999999999997</v>
      </c>
      <c r="M48" s="41">
        <v>4.8600000000000003</v>
      </c>
      <c r="N48" s="41">
        <v>4.91</v>
      </c>
      <c r="O48" s="41">
        <v>4.87</v>
      </c>
      <c r="P48" s="41">
        <v>4.67</v>
      </c>
      <c r="Q48" s="41">
        <v>4.66</v>
      </c>
      <c r="R48" s="41">
        <v>4.6399999999999997</v>
      </c>
      <c r="S48" s="41">
        <v>4.71</v>
      </c>
      <c r="T48" s="41">
        <v>5.05</v>
      </c>
      <c r="U48" s="41">
        <v>5.39</v>
      </c>
      <c r="V48" s="41">
        <v>5.27</v>
      </c>
      <c r="W48" s="41">
        <v>4.91</v>
      </c>
      <c r="X48" s="41">
        <v>4.33</v>
      </c>
      <c r="Y48" s="41">
        <v>3.76</v>
      </c>
      <c r="Z48" s="85">
        <f t="shared" si="4"/>
        <v>100.64999999999999</v>
      </c>
      <c r="AA48" s="43">
        <v>6</v>
      </c>
      <c r="AB48" s="59">
        <f t="shared" si="5"/>
        <v>603.9</v>
      </c>
      <c r="AD48" s="30" t="s">
        <v>47</v>
      </c>
      <c r="AG48" s="66"/>
    </row>
    <row r="49" spans="1:33" x14ac:dyDescent="0.35">
      <c r="A49" s="58">
        <v>46539</v>
      </c>
      <c r="B49" s="41">
        <v>3.56</v>
      </c>
      <c r="C49" s="41">
        <v>3.27</v>
      </c>
      <c r="D49" s="41">
        <v>3.1</v>
      </c>
      <c r="E49" s="41">
        <v>3</v>
      </c>
      <c r="F49" s="41">
        <v>2.98</v>
      </c>
      <c r="G49" s="41">
        <v>2.99</v>
      </c>
      <c r="H49" s="41">
        <v>3.19</v>
      </c>
      <c r="I49" s="41">
        <v>3.53</v>
      </c>
      <c r="J49" s="41">
        <v>3.94</v>
      </c>
      <c r="K49" s="41">
        <v>4.3499999999999996</v>
      </c>
      <c r="L49" s="41">
        <v>4.59</v>
      </c>
      <c r="M49" s="41">
        <v>4.8</v>
      </c>
      <c r="N49" s="41">
        <v>4.92</v>
      </c>
      <c r="O49" s="41">
        <v>4.9000000000000004</v>
      </c>
      <c r="P49" s="41">
        <v>4.76</v>
      </c>
      <c r="Q49" s="41">
        <v>4.6500000000000004</v>
      </c>
      <c r="R49" s="41">
        <v>4.59</v>
      </c>
      <c r="S49" s="41">
        <v>4.6500000000000004</v>
      </c>
      <c r="T49" s="41">
        <v>4.9800000000000004</v>
      </c>
      <c r="U49" s="41">
        <v>5.39</v>
      </c>
      <c r="V49" s="41">
        <v>5.26</v>
      </c>
      <c r="W49" s="41">
        <v>4.9000000000000004</v>
      </c>
      <c r="X49" s="41">
        <v>4.3600000000000003</v>
      </c>
      <c r="Y49" s="41">
        <v>3.79</v>
      </c>
      <c r="Z49" s="85">
        <f t="shared" si="4"/>
        <v>100.45000000000002</v>
      </c>
      <c r="AA49" s="43">
        <v>4</v>
      </c>
      <c r="AB49" s="59">
        <f t="shared" si="5"/>
        <v>401.80000000000007</v>
      </c>
      <c r="AD49" s="30" t="s">
        <v>47</v>
      </c>
      <c r="AG49" s="66"/>
    </row>
    <row r="50" spans="1:33" ht="16" thickBot="1" x14ac:dyDescent="0.4">
      <c r="A50" s="60">
        <v>46569</v>
      </c>
      <c r="B50" s="44">
        <v>3.98</v>
      </c>
      <c r="C50" s="44">
        <v>3.68</v>
      </c>
      <c r="D50" s="44">
        <v>3.49</v>
      </c>
      <c r="E50" s="44">
        <v>3.36</v>
      </c>
      <c r="F50" s="44">
        <v>3.35</v>
      </c>
      <c r="G50" s="44">
        <v>3.34</v>
      </c>
      <c r="H50" s="44">
        <v>3.52</v>
      </c>
      <c r="I50" s="44">
        <v>3.88</v>
      </c>
      <c r="J50" s="44">
        <v>4.34</v>
      </c>
      <c r="K50" s="44">
        <v>4.78</v>
      </c>
      <c r="L50" s="44">
        <v>5.0599999999999996</v>
      </c>
      <c r="M50" s="44">
        <v>5.36</v>
      </c>
      <c r="N50" s="44">
        <v>5.48</v>
      </c>
      <c r="O50" s="44">
        <v>5.38</v>
      </c>
      <c r="P50" s="44">
        <v>5.23</v>
      </c>
      <c r="Q50" s="44">
        <v>5.13</v>
      </c>
      <c r="R50" s="44">
        <v>5.1100000000000003</v>
      </c>
      <c r="S50" s="44">
        <v>5.18</v>
      </c>
      <c r="T50" s="44">
        <v>5.47</v>
      </c>
      <c r="U50" s="44">
        <v>5.94</v>
      </c>
      <c r="V50" s="44">
        <v>5.81</v>
      </c>
      <c r="W50" s="44">
        <v>5.41</v>
      </c>
      <c r="X50" s="44">
        <v>4.79</v>
      </c>
      <c r="Y50" s="44">
        <v>4.16</v>
      </c>
      <c r="Z50" s="87">
        <f t="shared" si="4"/>
        <v>111.23</v>
      </c>
      <c r="AA50" s="46">
        <v>5</v>
      </c>
      <c r="AB50" s="61">
        <f t="shared" si="5"/>
        <v>556.15</v>
      </c>
      <c r="AD50" s="30" t="s">
        <v>47</v>
      </c>
      <c r="AG50" s="66"/>
    </row>
    <row r="51" spans="1:33" x14ac:dyDescent="0.35">
      <c r="A51" s="67"/>
      <c r="B51" s="68"/>
      <c r="C51" s="68"/>
      <c r="D51" s="68"/>
      <c r="E51" s="68"/>
      <c r="F51" s="68"/>
      <c r="G51" s="68"/>
      <c r="H51" s="68"/>
      <c r="I51" s="68"/>
      <c r="J51" s="68"/>
      <c r="K51" s="68"/>
      <c r="L51" s="68"/>
      <c r="M51" s="68"/>
      <c r="N51" s="68"/>
      <c r="O51" s="68"/>
      <c r="P51" s="68"/>
      <c r="Q51" s="68"/>
      <c r="R51" s="68"/>
      <c r="S51" s="68"/>
      <c r="T51" s="68"/>
      <c r="U51" s="68"/>
      <c r="V51" s="68"/>
      <c r="W51" s="68"/>
      <c r="X51" s="68"/>
      <c r="Y51" s="68"/>
      <c r="Z51" s="69"/>
      <c r="AA51" s="70"/>
      <c r="AB51" s="71"/>
      <c r="AE51" s="30" t="s">
        <v>57</v>
      </c>
      <c r="AG51" s="66"/>
    </row>
    <row r="52" spans="1:33" ht="16" thickBot="1" x14ac:dyDescent="0.4">
      <c r="A52"/>
      <c r="B52" s="62"/>
      <c r="C52" s="62"/>
      <c r="D52" s="62"/>
      <c r="E52" s="62"/>
      <c r="F52" s="62"/>
      <c r="G52" s="62"/>
      <c r="H52" s="62"/>
      <c r="I52" s="62"/>
      <c r="J52" s="62"/>
      <c r="K52" s="62"/>
      <c r="L52" s="62"/>
      <c r="M52" s="62"/>
      <c r="N52" s="62"/>
      <c r="O52" s="62"/>
      <c r="P52" s="62"/>
      <c r="Q52" s="62"/>
      <c r="R52" s="62"/>
      <c r="S52" s="62"/>
      <c r="T52" s="62"/>
      <c r="U52" s="62"/>
      <c r="V52" s="62"/>
      <c r="W52" s="62"/>
      <c r="X52" s="62"/>
      <c r="Y52" s="62"/>
      <c r="Z52" s="50"/>
      <c r="AA52" s="35"/>
      <c r="AB52"/>
      <c r="AE52" s="30" t="s">
        <v>57</v>
      </c>
    </row>
    <row r="53" spans="1:33" ht="16" thickBot="1" x14ac:dyDescent="0.4">
      <c r="A53" s="33" t="s">
        <v>48</v>
      </c>
      <c r="B53" s="52"/>
      <c r="C53" s="52"/>
      <c r="D53" s="52"/>
      <c r="E53" s="52"/>
      <c r="F53" s="52"/>
      <c r="G53" s="52"/>
      <c r="H53" s="52"/>
      <c r="I53" s="52"/>
      <c r="J53" s="52"/>
      <c r="K53" s="52"/>
      <c r="L53" s="52"/>
      <c r="M53" s="52"/>
      <c r="N53" s="52"/>
      <c r="O53" s="52"/>
      <c r="P53" s="52"/>
      <c r="Q53" s="52"/>
      <c r="R53" s="52"/>
      <c r="S53" s="52"/>
      <c r="T53" s="52"/>
      <c r="U53" s="52"/>
      <c r="V53" s="52"/>
      <c r="W53" s="52"/>
      <c r="X53" s="52"/>
      <c r="Y53" s="52"/>
      <c r="Z53" s="50"/>
      <c r="AA53" s="35"/>
      <c r="AB53"/>
      <c r="AE53" s="30" t="s">
        <v>57</v>
      </c>
    </row>
    <row r="54" spans="1:33" ht="16" thickBot="1" x14ac:dyDescent="0.4">
      <c r="A54"/>
      <c r="B54" s="62"/>
      <c r="C54" s="62"/>
      <c r="D54" s="62"/>
      <c r="E54" s="62"/>
      <c r="F54" s="62"/>
      <c r="G54" s="62"/>
      <c r="H54" s="62"/>
      <c r="I54" s="62"/>
      <c r="J54" s="62"/>
      <c r="K54" s="62"/>
      <c r="L54" s="62"/>
      <c r="M54" s="62"/>
      <c r="N54" s="62"/>
      <c r="O54" s="62"/>
      <c r="P54" s="62"/>
      <c r="Q54" s="62"/>
      <c r="R54" s="62"/>
      <c r="S54" s="62"/>
      <c r="T54" s="62"/>
      <c r="U54" s="62"/>
      <c r="V54" s="62"/>
      <c r="W54" s="62"/>
      <c r="X54" s="62"/>
      <c r="Y54" s="62"/>
      <c r="Z54" s="50"/>
      <c r="AA54"/>
      <c r="AB54"/>
      <c r="AE54" s="30" t="s">
        <v>57</v>
      </c>
    </row>
    <row r="55" spans="1:33" ht="16" thickBot="1" x14ac:dyDescent="0.4">
      <c r="A55" s="53" t="s">
        <v>10</v>
      </c>
      <c r="B55" s="54" t="s">
        <v>11</v>
      </c>
      <c r="C55" s="54" t="s">
        <v>12</v>
      </c>
      <c r="D55" s="54" t="s">
        <v>13</v>
      </c>
      <c r="E55" s="54" t="s">
        <v>14</v>
      </c>
      <c r="F55" s="54" t="s">
        <v>15</v>
      </c>
      <c r="G55" s="54" t="s">
        <v>16</v>
      </c>
      <c r="H55" s="54" t="s">
        <v>17</v>
      </c>
      <c r="I55" s="54" t="s">
        <v>18</v>
      </c>
      <c r="J55" s="54" t="s">
        <v>19</v>
      </c>
      <c r="K55" s="54" t="s">
        <v>20</v>
      </c>
      <c r="L55" s="54" t="s">
        <v>21</v>
      </c>
      <c r="M55" s="54" t="s">
        <v>22</v>
      </c>
      <c r="N55" s="54" t="s">
        <v>23</v>
      </c>
      <c r="O55" s="54" t="s">
        <v>24</v>
      </c>
      <c r="P55" s="54" t="s">
        <v>25</v>
      </c>
      <c r="Q55" s="54" t="s">
        <v>26</v>
      </c>
      <c r="R55" s="54" t="s">
        <v>27</v>
      </c>
      <c r="S55" s="54" t="s">
        <v>28</v>
      </c>
      <c r="T55" s="54" t="s">
        <v>29</v>
      </c>
      <c r="U55" s="54" t="s">
        <v>30</v>
      </c>
      <c r="V55" s="54" t="s">
        <v>31</v>
      </c>
      <c r="W55" s="54" t="s">
        <v>32</v>
      </c>
      <c r="X55" s="54" t="s">
        <v>33</v>
      </c>
      <c r="Y55" s="54" t="s">
        <v>34</v>
      </c>
      <c r="Z55" s="54" t="s">
        <v>6</v>
      </c>
      <c r="AA55" s="34" t="s">
        <v>35</v>
      </c>
      <c r="AB55" s="55"/>
      <c r="AE55" s="30" t="s">
        <v>57</v>
      </c>
    </row>
    <row r="56" spans="1:33" x14ac:dyDescent="0.35">
      <c r="A56" s="92">
        <v>46266</v>
      </c>
      <c r="B56" s="83">
        <v>3.19</v>
      </c>
      <c r="C56" s="83">
        <v>2.94</v>
      </c>
      <c r="D56" s="83">
        <v>2.8</v>
      </c>
      <c r="E56" s="83">
        <v>2.7</v>
      </c>
      <c r="F56" s="83">
        <v>2.68</v>
      </c>
      <c r="G56" s="83">
        <v>2.68</v>
      </c>
      <c r="H56" s="83">
        <v>2.8</v>
      </c>
      <c r="I56" s="83">
        <v>3</v>
      </c>
      <c r="J56" s="83">
        <v>3.29</v>
      </c>
      <c r="K56" s="83">
        <v>3.53</v>
      </c>
      <c r="L56" s="83">
        <v>3.72</v>
      </c>
      <c r="M56" s="83">
        <v>3.83</v>
      </c>
      <c r="N56" s="83">
        <v>4.09</v>
      </c>
      <c r="O56" s="83">
        <v>4.12</v>
      </c>
      <c r="P56" s="83">
        <v>4.12</v>
      </c>
      <c r="Q56" s="83">
        <v>4.0999999999999996</v>
      </c>
      <c r="R56" s="83">
        <v>4.13</v>
      </c>
      <c r="S56" s="83">
        <v>4.22</v>
      </c>
      <c r="T56" s="83">
        <v>4.54</v>
      </c>
      <c r="U56" s="83">
        <v>4.6900000000000004</v>
      </c>
      <c r="V56" s="83">
        <v>4.57</v>
      </c>
      <c r="W56" s="83">
        <v>4.2699999999999996</v>
      </c>
      <c r="X56" s="83">
        <v>3.8</v>
      </c>
      <c r="Y56" s="83">
        <v>3.31</v>
      </c>
      <c r="Z56" s="86">
        <f t="shared" ref="Z56:Z66" si="6">SUM(B56:Y56)</f>
        <v>87.12</v>
      </c>
      <c r="AA56" s="40">
        <v>0</v>
      </c>
      <c r="AB56" s="57">
        <f t="shared" ref="AB56:AB66" si="7">+Z56*AA56</f>
        <v>0</v>
      </c>
      <c r="AD56" s="30" t="s">
        <v>49</v>
      </c>
      <c r="AG56" s="66"/>
    </row>
    <row r="57" spans="1:33" x14ac:dyDescent="0.35">
      <c r="A57" s="93">
        <v>46296</v>
      </c>
      <c r="B57" s="41">
        <v>2.93</v>
      </c>
      <c r="C57" s="41">
        <v>2.73</v>
      </c>
      <c r="D57" s="41">
        <v>2.61</v>
      </c>
      <c r="E57" s="41">
        <v>2.5499999999999998</v>
      </c>
      <c r="F57" s="41">
        <v>2.56</v>
      </c>
      <c r="G57" s="41">
        <v>2.4</v>
      </c>
      <c r="H57" s="41">
        <v>2.58</v>
      </c>
      <c r="I57" s="41">
        <v>2.84</v>
      </c>
      <c r="J57" s="41">
        <v>3.24</v>
      </c>
      <c r="K57" s="41">
        <v>3.55</v>
      </c>
      <c r="L57" s="41">
        <v>3.86</v>
      </c>
      <c r="M57" s="41">
        <v>4.18</v>
      </c>
      <c r="N57" s="41">
        <v>4.33</v>
      </c>
      <c r="O57" s="41">
        <v>4.3499999999999996</v>
      </c>
      <c r="P57" s="41">
        <v>4.34</v>
      </c>
      <c r="Q57" s="41">
        <v>4.28</v>
      </c>
      <c r="R57" s="41">
        <v>4.26</v>
      </c>
      <c r="S57" s="41">
        <v>4.37</v>
      </c>
      <c r="T57" s="41">
        <v>4.79</v>
      </c>
      <c r="U57" s="41">
        <v>4.8499999999999996</v>
      </c>
      <c r="V57" s="41">
        <v>4.6900000000000004</v>
      </c>
      <c r="W57" s="41">
        <v>4.34</v>
      </c>
      <c r="X57" s="41">
        <v>3.81</v>
      </c>
      <c r="Y57" s="41">
        <v>3.34</v>
      </c>
      <c r="Z57" s="85">
        <f t="shared" si="6"/>
        <v>87.78</v>
      </c>
      <c r="AA57" s="43">
        <v>1</v>
      </c>
      <c r="AB57" s="59">
        <f t="shared" si="7"/>
        <v>87.78</v>
      </c>
      <c r="AD57" s="30" t="s">
        <v>49</v>
      </c>
      <c r="AG57" s="66"/>
    </row>
    <row r="58" spans="1:33" x14ac:dyDescent="0.35">
      <c r="A58" s="93">
        <v>46327</v>
      </c>
      <c r="B58" s="41">
        <v>3.2</v>
      </c>
      <c r="C58" s="41">
        <v>2.96</v>
      </c>
      <c r="D58" s="41">
        <v>2.83</v>
      </c>
      <c r="E58" s="41">
        <v>2.75</v>
      </c>
      <c r="F58" s="41">
        <v>2.75</v>
      </c>
      <c r="G58" s="41">
        <v>2.75</v>
      </c>
      <c r="H58" s="41">
        <v>2.76</v>
      </c>
      <c r="I58" s="41">
        <v>2.76</v>
      </c>
      <c r="J58" s="41">
        <v>3.02</v>
      </c>
      <c r="K58" s="41">
        <v>3.25</v>
      </c>
      <c r="L58" s="41">
        <v>3.75</v>
      </c>
      <c r="M58" s="41">
        <v>4</v>
      </c>
      <c r="N58" s="41">
        <v>4.5</v>
      </c>
      <c r="O58" s="41">
        <v>4.3899999999999997</v>
      </c>
      <c r="P58" s="41">
        <v>4.28</v>
      </c>
      <c r="Q58" s="41">
        <v>4.3099999999999996</v>
      </c>
      <c r="R58" s="41">
        <v>4.29</v>
      </c>
      <c r="S58" s="41">
        <v>4.4400000000000004</v>
      </c>
      <c r="T58" s="41">
        <v>4.96</v>
      </c>
      <c r="U58" s="41">
        <v>5.01</v>
      </c>
      <c r="V58" s="41">
        <v>4.8499999999999996</v>
      </c>
      <c r="W58" s="41">
        <v>4.4800000000000004</v>
      </c>
      <c r="X58" s="41">
        <v>3.92</v>
      </c>
      <c r="Y58" s="41">
        <v>3.4</v>
      </c>
      <c r="Z58" s="85">
        <f t="shared" si="6"/>
        <v>89.610000000000014</v>
      </c>
      <c r="AA58" s="43">
        <v>2</v>
      </c>
      <c r="AB58" s="59">
        <f t="shared" si="7"/>
        <v>179.22000000000003</v>
      </c>
      <c r="AD58" s="30" t="s">
        <v>49</v>
      </c>
      <c r="AG58" s="66"/>
    </row>
    <row r="59" spans="1:33" ht="16" thickBot="1" x14ac:dyDescent="0.4">
      <c r="A59" s="60">
        <v>46357</v>
      </c>
      <c r="B59" s="104">
        <v>4.12</v>
      </c>
      <c r="C59" s="104">
        <v>3.82</v>
      </c>
      <c r="D59" s="104">
        <v>3.62</v>
      </c>
      <c r="E59" s="104">
        <v>3.49</v>
      </c>
      <c r="F59" s="104">
        <v>3.42</v>
      </c>
      <c r="G59" s="104">
        <v>3.41</v>
      </c>
      <c r="H59" s="104">
        <v>3.47</v>
      </c>
      <c r="I59" s="104">
        <v>3.5</v>
      </c>
      <c r="J59" s="104">
        <v>3.82</v>
      </c>
      <c r="K59" s="104">
        <v>3.84</v>
      </c>
      <c r="L59" s="104">
        <v>3.9</v>
      </c>
      <c r="M59" s="104">
        <v>4.37</v>
      </c>
      <c r="N59" s="104">
        <v>4.62</v>
      </c>
      <c r="O59" s="104">
        <v>5.08</v>
      </c>
      <c r="P59" s="104">
        <v>5.13</v>
      </c>
      <c r="Q59" s="104">
        <v>5.13</v>
      </c>
      <c r="R59" s="104">
        <v>5.15</v>
      </c>
      <c r="S59" s="104">
        <v>5.23</v>
      </c>
      <c r="T59" s="104">
        <v>5.72</v>
      </c>
      <c r="U59" s="104">
        <v>5.82</v>
      </c>
      <c r="V59" s="104">
        <v>5.66</v>
      </c>
      <c r="W59" s="104">
        <v>5.34</v>
      </c>
      <c r="X59" s="104">
        <v>4.83</v>
      </c>
      <c r="Y59" s="104">
        <v>4.26</v>
      </c>
      <c r="Z59" s="105">
        <f t="shared" si="6"/>
        <v>106.75</v>
      </c>
      <c r="AA59" s="106">
        <v>0</v>
      </c>
      <c r="AB59" s="107">
        <f t="shared" si="7"/>
        <v>0</v>
      </c>
      <c r="AD59" s="30" t="s">
        <v>49</v>
      </c>
      <c r="AG59" s="66"/>
    </row>
    <row r="60" spans="1:33" x14ac:dyDescent="0.35">
      <c r="A60" s="56">
        <v>46388</v>
      </c>
      <c r="B60" s="83">
        <v>4.58</v>
      </c>
      <c r="C60" s="83">
        <v>4.2300000000000004</v>
      </c>
      <c r="D60" s="83">
        <v>4.01</v>
      </c>
      <c r="E60" s="83">
        <v>3.89</v>
      </c>
      <c r="F60" s="83">
        <v>3.89</v>
      </c>
      <c r="G60" s="83">
        <v>3.98</v>
      </c>
      <c r="H60" s="83">
        <v>4.21</v>
      </c>
      <c r="I60" s="83">
        <v>4.5</v>
      </c>
      <c r="J60" s="83">
        <v>5</v>
      </c>
      <c r="K60" s="83">
        <v>5.55</v>
      </c>
      <c r="L60" s="83">
        <v>6.05</v>
      </c>
      <c r="M60" s="83">
        <v>6.45</v>
      </c>
      <c r="N60" s="83">
        <v>6.63</v>
      </c>
      <c r="O60" s="83">
        <v>6.49</v>
      </c>
      <c r="P60" s="83">
        <v>6.17</v>
      </c>
      <c r="Q60" s="83">
        <v>6.03</v>
      </c>
      <c r="R60" s="83">
        <v>6.05</v>
      </c>
      <c r="S60" s="83">
        <v>6.26</v>
      </c>
      <c r="T60" s="83">
        <v>6.81</v>
      </c>
      <c r="U60" s="83">
        <v>7.08</v>
      </c>
      <c r="V60" s="83">
        <v>6.8</v>
      </c>
      <c r="W60" s="83">
        <v>6.26</v>
      </c>
      <c r="X60" s="83">
        <v>5.49</v>
      </c>
      <c r="Y60" s="83">
        <v>4.74</v>
      </c>
      <c r="Z60" s="86">
        <f t="shared" si="6"/>
        <v>131.15</v>
      </c>
      <c r="AA60" s="40">
        <v>1</v>
      </c>
      <c r="AB60" s="57">
        <f t="shared" si="7"/>
        <v>131.15</v>
      </c>
      <c r="AD60" s="30" t="s">
        <v>49</v>
      </c>
      <c r="AG60" s="66"/>
    </row>
    <row r="61" spans="1:33" x14ac:dyDescent="0.35">
      <c r="A61" s="58">
        <v>46419</v>
      </c>
      <c r="B61" s="41">
        <v>4.9000000000000004</v>
      </c>
      <c r="C61" s="41">
        <v>4.5199999999999996</v>
      </c>
      <c r="D61" s="41">
        <v>4.26</v>
      </c>
      <c r="E61" s="41">
        <v>4.1100000000000003</v>
      </c>
      <c r="F61" s="41">
        <v>4.09</v>
      </c>
      <c r="G61" s="41">
        <v>4.17</v>
      </c>
      <c r="H61" s="41">
        <v>4.3600000000000003</v>
      </c>
      <c r="I61" s="41">
        <v>4.67</v>
      </c>
      <c r="J61" s="41">
        <v>5.22</v>
      </c>
      <c r="K61" s="41">
        <v>5.74</v>
      </c>
      <c r="L61" s="41">
        <v>6.08</v>
      </c>
      <c r="M61" s="41">
        <v>6.41</v>
      </c>
      <c r="N61" s="41">
        <v>6.57</v>
      </c>
      <c r="O61" s="41">
        <v>6.48</v>
      </c>
      <c r="P61" s="41">
        <v>6.28</v>
      </c>
      <c r="Q61" s="41">
        <v>6.15</v>
      </c>
      <c r="R61" s="41">
        <v>6.07</v>
      </c>
      <c r="S61" s="41">
        <v>6.15</v>
      </c>
      <c r="T61" s="41">
        <v>6.53</v>
      </c>
      <c r="U61" s="41">
        <v>7.17</v>
      </c>
      <c r="V61" s="41">
        <v>7.02</v>
      </c>
      <c r="W61" s="41">
        <v>6.53</v>
      </c>
      <c r="X61" s="41">
        <v>5.72</v>
      </c>
      <c r="Y61" s="41">
        <v>4.93</v>
      </c>
      <c r="Z61" s="85">
        <f t="shared" si="6"/>
        <v>134.13000000000002</v>
      </c>
      <c r="AA61" s="43">
        <v>0</v>
      </c>
      <c r="AB61" s="59">
        <f t="shared" si="7"/>
        <v>0</v>
      </c>
      <c r="AD61" s="30" t="s">
        <v>49</v>
      </c>
      <c r="AG61" s="66"/>
    </row>
    <row r="62" spans="1:33" x14ac:dyDescent="0.35">
      <c r="A62" s="58">
        <v>46447</v>
      </c>
      <c r="B62" s="41">
        <v>4.3499999999999996</v>
      </c>
      <c r="C62" s="41">
        <v>4.03</v>
      </c>
      <c r="D62" s="41">
        <v>3.84</v>
      </c>
      <c r="E62" s="41">
        <v>3.73</v>
      </c>
      <c r="F62" s="41">
        <v>3.71</v>
      </c>
      <c r="G62" s="41">
        <v>3.8</v>
      </c>
      <c r="H62" s="41">
        <v>3.95</v>
      </c>
      <c r="I62" s="41">
        <v>4.38</v>
      </c>
      <c r="J62" s="41">
        <v>4.9400000000000004</v>
      </c>
      <c r="K62" s="41">
        <v>5.41</v>
      </c>
      <c r="L62" s="41">
        <v>5.81</v>
      </c>
      <c r="M62" s="41">
        <v>6.17</v>
      </c>
      <c r="N62" s="41">
        <v>6.28</v>
      </c>
      <c r="O62" s="41">
        <v>6.2</v>
      </c>
      <c r="P62" s="41">
        <v>6.05</v>
      </c>
      <c r="Q62" s="41">
        <v>5.94</v>
      </c>
      <c r="R62" s="41">
        <v>5.92</v>
      </c>
      <c r="S62" s="41">
        <v>6.06</v>
      </c>
      <c r="T62" s="41">
        <v>6.47</v>
      </c>
      <c r="U62" s="41">
        <v>6.86</v>
      </c>
      <c r="V62" s="41">
        <v>6.68</v>
      </c>
      <c r="W62" s="41">
        <v>6.18</v>
      </c>
      <c r="X62" s="41">
        <v>5.35</v>
      </c>
      <c r="Y62" s="41">
        <v>4.63</v>
      </c>
      <c r="Z62" s="85">
        <f t="shared" si="6"/>
        <v>126.74000000000001</v>
      </c>
      <c r="AA62" s="43">
        <v>1</v>
      </c>
      <c r="AB62" s="59">
        <f t="shared" si="7"/>
        <v>126.74000000000001</v>
      </c>
      <c r="AD62" s="30" t="s">
        <v>49</v>
      </c>
      <c r="AG62" s="66"/>
    </row>
    <row r="63" spans="1:33" x14ac:dyDescent="0.35">
      <c r="A63" s="58">
        <v>46478</v>
      </c>
      <c r="B63" s="41">
        <v>4.2</v>
      </c>
      <c r="C63" s="41">
        <v>3.86</v>
      </c>
      <c r="D63" s="41">
        <v>3.65</v>
      </c>
      <c r="E63" s="41">
        <v>3.54</v>
      </c>
      <c r="F63" s="41">
        <v>3.53</v>
      </c>
      <c r="G63" s="41">
        <v>3.53</v>
      </c>
      <c r="H63" s="41">
        <v>3.71</v>
      </c>
      <c r="I63" s="41">
        <v>4.0999999999999996</v>
      </c>
      <c r="J63" s="41">
        <v>4.57</v>
      </c>
      <c r="K63" s="41">
        <v>5.01</v>
      </c>
      <c r="L63" s="41">
        <v>5.36</v>
      </c>
      <c r="M63" s="41">
        <v>5.69</v>
      </c>
      <c r="N63" s="41">
        <v>5.84</v>
      </c>
      <c r="O63" s="41">
        <v>5.75</v>
      </c>
      <c r="P63" s="41">
        <v>5.64</v>
      </c>
      <c r="Q63" s="41">
        <v>5.45</v>
      </c>
      <c r="R63" s="41">
        <v>5.39</v>
      </c>
      <c r="S63" s="41">
        <v>5.53</v>
      </c>
      <c r="T63" s="41">
        <v>5.95</v>
      </c>
      <c r="U63" s="41">
        <v>6.24</v>
      </c>
      <c r="V63" s="41">
        <v>6.08</v>
      </c>
      <c r="W63" s="41">
        <v>5.67</v>
      </c>
      <c r="X63" s="41">
        <v>5.03</v>
      </c>
      <c r="Y63" s="41">
        <v>4.42</v>
      </c>
      <c r="Z63" s="85">
        <f t="shared" si="6"/>
        <v>117.74000000000001</v>
      </c>
      <c r="AA63" s="43">
        <v>0</v>
      </c>
      <c r="AB63" s="59">
        <f t="shared" si="7"/>
        <v>0</v>
      </c>
      <c r="AD63" s="30" t="s">
        <v>49</v>
      </c>
      <c r="AG63" s="66"/>
    </row>
    <row r="64" spans="1:33" x14ac:dyDescent="0.35">
      <c r="A64" s="58">
        <v>46508</v>
      </c>
      <c r="B64" s="41">
        <v>3.35</v>
      </c>
      <c r="C64" s="41">
        <v>3.1</v>
      </c>
      <c r="D64" s="41">
        <v>2.98</v>
      </c>
      <c r="E64" s="41">
        <v>2.91</v>
      </c>
      <c r="F64" s="41">
        <v>2.93</v>
      </c>
      <c r="G64" s="41">
        <v>2.95</v>
      </c>
      <c r="H64" s="41">
        <v>3.17</v>
      </c>
      <c r="I64" s="41">
        <v>3.58</v>
      </c>
      <c r="J64" s="41">
        <v>4.07</v>
      </c>
      <c r="K64" s="41">
        <v>4.4400000000000004</v>
      </c>
      <c r="L64" s="41">
        <v>4.72</v>
      </c>
      <c r="M64" s="41">
        <v>5.0999999999999996</v>
      </c>
      <c r="N64" s="41">
        <v>5.32</v>
      </c>
      <c r="O64" s="41">
        <v>5.2</v>
      </c>
      <c r="P64" s="41">
        <v>4.9000000000000004</v>
      </c>
      <c r="Q64" s="41">
        <v>4.78</v>
      </c>
      <c r="R64" s="41">
        <v>4.72</v>
      </c>
      <c r="S64" s="41">
        <v>4.8</v>
      </c>
      <c r="T64" s="41">
        <v>5.0599999999999996</v>
      </c>
      <c r="U64" s="41">
        <v>5.46</v>
      </c>
      <c r="V64" s="41">
        <v>5.28</v>
      </c>
      <c r="W64" s="41">
        <v>4.87</v>
      </c>
      <c r="X64" s="41">
        <v>4.22</v>
      </c>
      <c r="Y64" s="41">
        <v>3.63</v>
      </c>
      <c r="Z64" s="85">
        <f t="shared" si="6"/>
        <v>101.53999999999999</v>
      </c>
      <c r="AA64" s="43">
        <v>2</v>
      </c>
      <c r="AB64" s="59">
        <f t="shared" si="7"/>
        <v>203.07999999999998</v>
      </c>
      <c r="AD64" s="30" t="s">
        <v>49</v>
      </c>
      <c r="AG64" s="66"/>
    </row>
    <row r="65" spans="1:33" x14ac:dyDescent="0.35">
      <c r="A65" s="58">
        <v>46539</v>
      </c>
      <c r="B65" s="41">
        <v>3.42</v>
      </c>
      <c r="C65" s="41">
        <v>3.15</v>
      </c>
      <c r="D65" s="41">
        <v>3</v>
      </c>
      <c r="E65" s="41">
        <v>2.94</v>
      </c>
      <c r="F65" s="41">
        <v>2.95</v>
      </c>
      <c r="G65" s="41">
        <v>2.93</v>
      </c>
      <c r="H65" s="41">
        <v>3.18</v>
      </c>
      <c r="I65" s="41">
        <v>3.53</v>
      </c>
      <c r="J65" s="41">
        <v>3.97</v>
      </c>
      <c r="K65" s="41">
        <v>4.3899999999999997</v>
      </c>
      <c r="L65" s="41">
        <v>4.71</v>
      </c>
      <c r="M65" s="41">
        <v>5.0199999999999996</v>
      </c>
      <c r="N65" s="41">
        <v>5.21</v>
      </c>
      <c r="O65" s="41">
        <v>5.15</v>
      </c>
      <c r="P65" s="41">
        <v>4.9400000000000004</v>
      </c>
      <c r="Q65" s="41">
        <v>4.84</v>
      </c>
      <c r="R65" s="41">
        <v>4.76</v>
      </c>
      <c r="S65" s="41">
        <v>4.88</v>
      </c>
      <c r="T65" s="41">
        <v>5.2</v>
      </c>
      <c r="U65" s="41">
        <v>5.58</v>
      </c>
      <c r="V65" s="41">
        <v>5.4</v>
      </c>
      <c r="W65" s="41">
        <v>4.96</v>
      </c>
      <c r="X65" s="41">
        <v>4.32</v>
      </c>
      <c r="Y65" s="41">
        <v>3.7</v>
      </c>
      <c r="Z65" s="85">
        <f t="shared" si="6"/>
        <v>102.13000000000001</v>
      </c>
      <c r="AA65" s="43">
        <v>1</v>
      </c>
      <c r="AB65" s="59">
        <f t="shared" si="7"/>
        <v>102.13000000000001</v>
      </c>
      <c r="AD65" s="30" t="s">
        <v>49</v>
      </c>
      <c r="AG65" s="66"/>
    </row>
    <row r="66" spans="1:33" ht="16" thickBot="1" x14ac:dyDescent="0.4">
      <c r="A66" s="60">
        <v>46569</v>
      </c>
      <c r="B66" s="44">
        <v>3.88</v>
      </c>
      <c r="C66" s="44">
        <v>3.59</v>
      </c>
      <c r="D66" s="44">
        <v>3.4</v>
      </c>
      <c r="E66" s="44">
        <v>3.31</v>
      </c>
      <c r="F66" s="44">
        <v>3.3</v>
      </c>
      <c r="G66" s="44">
        <v>3.29</v>
      </c>
      <c r="H66" s="44">
        <v>3.51</v>
      </c>
      <c r="I66" s="44">
        <v>3.89</v>
      </c>
      <c r="J66" s="44">
        <v>4.3600000000000003</v>
      </c>
      <c r="K66" s="44">
        <v>4.79</v>
      </c>
      <c r="L66" s="44">
        <v>5.19</v>
      </c>
      <c r="M66" s="44">
        <v>5.58</v>
      </c>
      <c r="N66" s="44">
        <v>5.78</v>
      </c>
      <c r="O66" s="44">
        <v>5.61</v>
      </c>
      <c r="P66" s="44">
        <v>5.24</v>
      </c>
      <c r="Q66" s="44">
        <v>5.0599999999999996</v>
      </c>
      <c r="R66" s="44">
        <v>4.9800000000000004</v>
      </c>
      <c r="S66" s="44">
        <v>5.04</v>
      </c>
      <c r="T66" s="44">
        <v>5.32</v>
      </c>
      <c r="U66" s="44">
        <v>5.89</v>
      </c>
      <c r="V66" s="44">
        <v>5.73</v>
      </c>
      <c r="W66" s="44">
        <v>5.31</v>
      </c>
      <c r="X66" s="44">
        <v>4.67</v>
      </c>
      <c r="Y66" s="44">
        <v>4.01</v>
      </c>
      <c r="Z66" s="87">
        <f t="shared" si="6"/>
        <v>110.73000000000002</v>
      </c>
      <c r="AA66" s="46">
        <v>1</v>
      </c>
      <c r="AB66" s="61">
        <f t="shared" si="7"/>
        <v>110.73000000000002</v>
      </c>
      <c r="AD66" s="30" t="s">
        <v>49</v>
      </c>
      <c r="AG66" s="66"/>
    </row>
    <row r="67" spans="1:33" x14ac:dyDescent="0.35">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9"/>
      <c r="AA67" s="70"/>
      <c r="AB67" s="71"/>
      <c r="AG67" s="66"/>
    </row>
    <row r="68" spans="1:33" ht="16" thickBot="1" x14ac:dyDescent="0.4">
      <c r="A68" s="81"/>
      <c r="B68" s="68"/>
      <c r="C68" s="68"/>
      <c r="D68" s="68"/>
      <c r="E68" s="68"/>
      <c r="F68" s="68"/>
      <c r="G68" s="68"/>
      <c r="H68" s="68"/>
      <c r="I68" s="68"/>
      <c r="J68" s="68"/>
      <c r="K68" s="68"/>
      <c r="L68" s="68"/>
      <c r="M68" s="68"/>
      <c r="N68" s="68"/>
      <c r="O68" s="68"/>
      <c r="P68" s="68"/>
      <c r="Q68" s="68"/>
      <c r="R68" s="68"/>
      <c r="S68" s="68"/>
      <c r="T68" s="68"/>
      <c r="U68" s="68"/>
      <c r="V68" s="68"/>
      <c r="W68" s="68"/>
      <c r="X68" s="68"/>
      <c r="Y68" s="68"/>
      <c r="Z68" s="69"/>
      <c r="AA68" s="70"/>
      <c r="AB68" s="71"/>
      <c r="AG68" s="66"/>
    </row>
    <row r="69" spans="1:33" ht="16" thickBot="1" x14ac:dyDescent="0.4">
      <c r="A69" s="33" t="s">
        <v>36</v>
      </c>
      <c r="B69" s="52"/>
      <c r="C69" s="52"/>
      <c r="D69" s="52"/>
      <c r="E69" s="63"/>
      <c r="F69" s="52"/>
      <c r="G69" s="52"/>
      <c r="H69" s="52"/>
      <c r="I69" s="52"/>
      <c r="J69" s="52"/>
      <c r="K69" s="52"/>
      <c r="L69" s="52"/>
      <c r="M69" s="52"/>
      <c r="N69" s="52"/>
      <c r="O69" s="52"/>
      <c r="P69" s="52"/>
      <c r="Q69" s="52"/>
      <c r="R69" s="52"/>
      <c r="S69" s="52"/>
      <c r="T69" s="52"/>
      <c r="U69" s="52"/>
      <c r="V69" s="52"/>
      <c r="W69" s="52"/>
      <c r="X69" s="52"/>
      <c r="Y69" s="52"/>
      <c r="Z69" s="50"/>
      <c r="AA69" s="35"/>
      <c r="AB69"/>
    </row>
    <row r="70" spans="1:33" ht="16" thickBot="1" x14ac:dyDescent="0.4">
      <c r="A70"/>
      <c r="B70" s="62"/>
      <c r="C70" s="52"/>
      <c r="D70" s="52"/>
      <c r="E70" s="52"/>
      <c r="F70" s="52"/>
      <c r="G70" s="52"/>
      <c r="H70" s="52"/>
      <c r="I70" s="52"/>
      <c r="J70" s="52"/>
      <c r="K70" s="52"/>
      <c r="L70" s="52"/>
      <c r="M70" s="52"/>
      <c r="N70" s="52"/>
      <c r="O70" s="52"/>
      <c r="P70" s="52"/>
      <c r="Q70" s="52"/>
      <c r="R70" s="52"/>
      <c r="S70" s="52"/>
      <c r="T70" s="52"/>
      <c r="U70" s="52"/>
      <c r="V70" s="52"/>
      <c r="W70" s="52"/>
      <c r="X70" s="52"/>
      <c r="Y70" s="52"/>
      <c r="Z70" s="50"/>
      <c r="AA70"/>
      <c r="AB70"/>
    </row>
    <row r="71" spans="1:33" ht="16" thickBot="1" x14ac:dyDescent="0.4">
      <c r="A71" s="53" t="s">
        <v>10</v>
      </c>
      <c r="B71" s="54" t="s">
        <v>11</v>
      </c>
      <c r="C71" s="54" t="s">
        <v>12</v>
      </c>
      <c r="D71" s="54" t="s">
        <v>13</v>
      </c>
      <c r="E71" s="54" t="s">
        <v>14</v>
      </c>
      <c r="F71" s="54" t="s">
        <v>15</v>
      </c>
      <c r="G71" s="54" t="s">
        <v>16</v>
      </c>
      <c r="H71" s="54" t="s">
        <v>17</v>
      </c>
      <c r="I71" s="54" t="s">
        <v>18</v>
      </c>
      <c r="J71" s="54" t="s">
        <v>19</v>
      </c>
      <c r="K71" s="54" t="s">
        <v>20</v>
      </c>
      <c r="L71" s="54" t="s">
        <v>21</v>
      </c>
      <c r="M71" s="54" t="s">
        <v>22</v>
      </c>
      <c r="N71" s="54" t="s">
        <v>23</v>
      </c>
      <c r="O71" s="54" t="s">
        <v>24</v>
      </c>
      <c r="P71" s="54" t="s">
        <v>25</v>
      </c>
      <c r="Q71" s="54" t="s">
        <v>26</v>
      </c>
      <c r="R71" s="54" t="s">
        <v>27</v>
      </c>
      <c r="S71" s="54" t="s">
        <v>28</v>
      </c>
      <c r="T71" s="54" t="s">
        <v>29</v>
      </c>
      <c r="U71" s="54" t="s">
        <v>30</v>
      </c>
      <c r="V71" s="54" t="s">
        <v>31</v>
      </c>
      <c r="W71" s="54" t="s">
        <v>32</v>
      </c>
      <c r="X71" s="54" t="s">
        <v>33</v>
      </c>
      <c r="Y71" s="54" t="s">
        <v>34</v>
      </c>
      <c r="Z71" s="54" t="s">
        <v>6</v>
      </c>
      <c r="AA71" s="34" t="s">
        <v>35</v>
      </c>
      <c r="AB71" s="55"/>
    </row>
    <row r="72" spans="1:33" x14ac:dyDescent="0.35">
      <c r="A72" s="56">
        <f t="shared" ref="A72:A82" si="8">+A56</f>
        <v>46266</v>
      </c>
      <c r="B72" s="83">
        <f t="shared" ref="B72:Y72" si="9">+B8*$AA8+B24*$AA24+B40*$AA40+B56*$AA56</f>
        <v>43.92</v>
      </c>
      <c r="C72" s="83">
        <f t="shared" si="9"/>
        <v>40.92</v>
      </c>
      <c r="D72" s="83">
        <f t="shared" si="9"/>
        <v>39.14</v>
      </c>
      <c r="E72" s="83">
        <f t="shared" si="9"/>
        <v>38.299999999999997</v>
      </c>
      <c r="F72" s="83">
        <f t="shared" si="9"/>
        <v>39.22</v>
      </c>
      <c r="G72" s="83">
        <f t="shared" si="9"/>
        <v>42.28</v>
      </c>
      <c r="H72" s="83">
        <f t="shared" si="9"/>
        <v>47.260000000000005</v>
      </c>
      <c r="I72" s="83">
        <f t="shared" si="9"/>
        <v>52.22</v>
      </c>
      <c r="J72" s="83">
        <f t="shared" si="9"/>
        <v>57.959999999999994</v>
      </c>
      <c r="K72" s="83">
        <f t="shared" si="9"/>
        <v>62.379999999999995</v>
      </c>
      <c r="L72" s="83">
        <f t="shared" si="9"/>
        <v>66.56</v>
      </c>
      <c r="M72" s="83">
        <f t="shared" si="9"/>
        <v>69.88000000000001</v>
      </c>
      <c r="N72" s="83">
        <f t="shared" si="9"/>
        <v>70.06</v>
      </c>
      <c r="O72" s="83">
        <f t="shared" si="9"/>
        <v>69.819999999999993</v>
      </c>
      <c r="P72" s="83">
        <f t="shared" si="9"/>
        <v>71.58</v>
      </c>
      <c r="Q72" s="83">
        <f t="shared" si="9"/>
        <v>71.600000000000009</v>
      </c>
      <c r="R72" s="83">
        <f t="shared" si="9"/>
        <v>70.64</v>
      </c>
      <c r="S72" s="83">
        <f t="shared" si="9"/>
        <v>69.22</v>
      </c>
      <c r="T72" s="83">
        <f t="shared" si="9"/>
        <v>71.72</v>
      </c>
      <c r="U72" s="83">
        <f t="shared" si="9"/>
        <v>72.039999999999992</v>
      </c>
      <c r="V72" s="83">
        <f t="shared" si="9"/>
        <v>68.66</v>
      </c>
      <c r="W72" s="83">
        <f t="shared" si="9"/>
        <v>63.959999999999994</v>
      </c>
      <c r="X72" s="83">
        <f t="shared" si="9"/>
        <v>56.36</v>
      </c>
      <c r="Y72" s="83">
        <f t="shared" si="9"/>
        <v>49.059999999999995</v>
      </c>
      <c r="Z72" s="84">
        <f t="shared" ref="Z72" si="10">SUM(B72:Y72)</f>
        <v>1404.7599999999998</v>
      </c>
      <c r="AA72" s="40">
        <f t="shared" ref="AA72:AA82" si="11">AA8+AA24+AA40+AA56</f>
        <v>14</v>
      </c>
      <c r="AB72" s="57">
        <f t="shared" ref="AB72:AB82" si="12">+AB8+AB24+AB40+AB56</f>
        <v>1404.7600000000002</v>
      </c>
      <c r="AD72" s="80">
        <f t="shared" ref="AD72" si="13">+AB72-Z72</f>
        <v>0</v>
      </c>
      <c r="AF72" s="80"/>
    </row>
    <row r="73" spans="1:33" x14ac:dyDescent="0.35">
      <c r="A73" s="58">
        <f t="shared" si="8"/>
        <v>46296</v>
      </c>
      <c r="B73" s="41">
        <f t="shared" ref="B73:Y73" si="14">+B9*$AA9+B25*$AA25+B41*$AA41+B57*$AA57</f>
        <v>93.740000000000009</v>
      </c>
      <c r="C73" s="41">
        <f t="shared" si="14"/>
        <v>87.070000000000007</v>
      </c>
      <c r="D73" s="41">
        <f t="shared" si="14"/>
        <v>83.63</v>
      </c>
      <c r="E73" s="41">
        <f t="shared" si="14"/>
        <v>82.07</v>
      </c>
      <c r="F73" s="41">
        <f t="shared" si="14"/>
        <v>84.67</v>
      </c>
      <c r="G73" s="41">
        <f t="shared" si="14"/>
        <v>90.67</v>
      </c>
      <c r="H73" s="41">
        <f t="shared" si="14"/>
        <v>102.26</v>
      </c>
      <c r="I73" s="41">
        <f t="shared" si="14"/>
        <v>114.2</v>
      </c>
      <c r="J73" s="41">
        <f t="shared" si="14"/>
        <v>127.14</v>
      </c>
      <c r="K73" s="41">
        <f t="shared" si="14"/>
        <v>136.85000000000002</v>
      </c>
      <c r="L73" s="41">
        <f t="shared" si="14"/>
        <v>146.30000000000001</v>
      </c>
      <c r="M73" s="41">
        <f t="shared" si="14"/>
        <v>154.46</v>
      </c>
      <c r="N73" s="41">
        <f t="shared" si="14"/>
        <v>154.39000000000001</v>
      </c>
      <c r="O73" s="41">
        <f t="shared" si="14"/>
        <v>153.5</v>
      </c>
      <c r="P73" s="41">
        <f t="shared" si="14"/>
        <v>155.89000000000001</v>
      </c>
      <c r="Q73" s="41">
        <f t="shared" si="14"/>
        <v>155.32</v>
      </c>
      <c r="R73" s="41">
        <f t="shared" si="14"/>
        <v>152.69</v>
      </c>
      <c r="S73" s="41">
        <f t="shared" si="14"/>
        <v>152.15</v>
      </c>
      <c r="T73" s="41">
        <f t="shared" si="14"/>
        <v>159.88999999999999</v>
      </c>
      <c r="U73" s="41">
        <f t="shared" si="14"/>
        <v>156.81</v>
      </c>
      <c r="V73" s="41">
        <f t="shared" si="14"/>
        <v>148.94999999999999</v>
      </c>
      <c r="W73" s="41">
        <f t="shared" si="14"/>
        <v>137.96</v>
      </c>
      <c r="X73" s="41">
        <f t="shared" si="14"/>
        <v>121.61000000000001</v>
      </c>
      <c r="Y73" s="41">
        <f t="shared" si="14"/>
        <v>105.67999999999999</v>
      </c>
      <c r="Z73" s="42">
        <f t="shared" ref="Z73:Z82" si="15">SUM(B73:Y73)</f>
        <v>3057.9</v>
      </c>
      <c r="AA73" s="43">
        <f t="shared" si="11"/>
        <v>31</v>
      </c>
      <c r="AB73" s="59">
        <f t="shared" si="12"/>
        <v>3057.9000000000005</v>
      </c>
      <c r="AD73" s="80">
        <f t="shared" ref="AD73:AD82" si="16">+AB73-Z73</f>
        <v>0</v>
      </c>
      <c r="AF73" s="80"/>
    </row>
    <row r="74" spans="1:33" x14ac:dyDescent="0.35">
      <c r="A74" s="58">
        <f t="shared" si="8"/>
        <v>46327</v>
      </c>
      <c r="B74" s="41">
        <f t="shared" ref="B74:Y74" si="17">+B10*$AA10+B26*$AA26+B42*$AA42+B58*$AA58</f>
        <v>96.490000000000009</v>
      </c>
      <c r="C74" s="41">
        <f t="shared" si="17"/>
        <v>89.39</v>
      </c>
      <c r="D74" s="41">
        <f t="shared" si="17"/>
        <v>85.72</v>
      </c>
      <c r="E74" s="41">
        <f t="shared" si="17"/>
        <v>84.259999999999991</v>
      </c>
      <c r="F74" s="41">
        <f t="shared" si="17"/>
        <v>86.5</v>
      </c>
      <c r="G74" s="41">
        <f t="shared" si="17"/>
        <v>92.75</v>
      </c>
      <c r="H74" s="41">
        <f t="shared" si="17"/>
        <v>103.14</v>
      </c>
      <c r="I74" s="41">
        <f t="shared" si="17"/>
        <v>112.71</v>
      </c>
      <c r="J74" s="41">
        <f t="shared" si="17"/>
        <v>124.45</v>
      </c>
      <c r="K74" s="41">
        <f t="shared" si="17"/>
        <v>133</v>
      </c>
      <c r="L74" s="41">
        <f t="shared" si="17"/>
        <v>142.88</v>
      </c>
      <c r="M74" s="41">
        <f t="shared" si="17"/>
        <v>150.93</v>
      </c>
      <c r="N74" s="41">
        <f t="shared" si="17"/>
        <v>153.47999999999999</v>
      </c>
      <c r="O74" s="41">
        <f t="shared" si="17"/>
        <v>152.54</v>
      </c>
      <c r="P74" s="41">
        <f t="shared" si="17"/>
        <v>154.07</v>
      </c>
      <c r="Q74" s="41">
        <f t="shared" si="17"/>
        <v>154.26999999999998</v>
      </c>
      <c r="R74" s="41">
        <f t="shared" si="17"/>
        <v>152.97000000000003</v>
      </c>
      <c r="S74" s="41">
        <f t="shared" si="17"/>
        <v>154.01999999999998</v>
      </c>
      <c r="T74" s="41">
        <f t="shared" si="17"/>
        <v>163.4</v>
      </c>
      <c r="U74" s="41">
        <f t="shared" si="17"/>
        <v>161.05000000000004</v>
      </c>
      <c r="V74" s="41">
        <f t="shared" si="17"/>
        <v>153.16999999999999</v>
      </c>
      <c r="W74" s="41">
        <f t="shared" si="17"/>
        <v>141.96</v>
      </c>
      <c r="X74" s="41">
        <f t="shared" si="17"/>
        <v>125</v>
      </c>
      <c r="Y74" s="41">
        <f t="shared" si="17"/>
        <v>108.65999999999998</v>
      </c>
      <c r="Z74" s="42">
        <f t="shared" si="15"/>
        <v>3076.8100000000004</v>
      </c>
      <c r="AA74" s="43">
        <f t="shared" si="11"/>
        <v>30</v>
      </c>
      <c r="AB74" s="59">
        <f t="shared" si="12"/>
        <v>3076.8100000000004</v>
      </c>
      <c r="AD74" s="80">
        <f t="shared" si="16"/>
        <v>0</v>
      </c>
      <c r="AF74" s="80"/>
    </row>
    <row r="75" spans="1:33" ht="16" thickBot="1" x14ac:dyDescent="0.4">
      <c r="A75" s="73">
        <f t="shared" si="8"/>
        <v>46357</v>
      </c>
      <c r="B75" s="74">
        <f t="shared" ref="B75:Y75" si="18">+B11*$AA11+B27*$AA27+B43*$AA43+B59*$AA59</f>
        <v>124.53</v>
      </c>
      <c r="C75" s="74">
        <f t="shared" si="18"/>
        <v>115.14999999999999</v>
      </c>
      <c r="D75" s="74">
        <f t="shared" si="18"/>
        <v>110.08</v>
      </c>
      <c r="E75" s="74">
        <f t="shared" si="18"/>
        <v>107.39</v>
      </c>
      <c r="F75" s="74">
        <f t="shared" si="18"/>
        <v>108.77</v>
      </c>
      <c r="G75" s="74">
        <f t="shared" si="18"/>
        <v>114.35</v>
      </c>
      <c r="H75" s="74">
        <f t="shared" si="18"/>
        <v>126.02000000000001</v>
      </c>
      <c r="I75" s="74">
        <f t="shared" si="18"/>
        <v>139.32999999999998</v>
      </c>
      <c r="J75" s="74">
        <f t="shared" si="18"/>
        <v>156.38</v>
      </c>
      <c r="K75" s="74">
        <f t="shared" si="18"/>
        <v>166.28</v>
      </c>
      <c r="L75" s="74">
        <f t="shared" si="18"/>
        <v>174.56</v>
      </c>
      <c r="M75" s="74">
        <f t="shared" si="18"/>
        <v>185.44</v>
      </c>
      <c r="N75" s="74">
        <f t="shared" si="18"/>
        <v>187.57000000000002</v>
      </c>
      <c r="O75" s="74">
        <f t="shared" si="18"/>
        <v>189.17999999999998</v>
      </c>
      <c r="P75" s="74">
        <f t="shared" si="18"/>
        <v>191.26</v>
      </c>
      <c r="Q75" s="74">
        <f t="shared" si="18"/>
        <v>191.23</v>
      </c>
      <c r="R75" s="74">
        <f t="shared" si="18"/>
        <v>188.92</v>
      </c>
      <c r="S75" s="74">
        <f t="shared" si="18"/>
        <v>187.59</v>
      </c>
      <c r="T75" s="74">
        <f t="shared" si="18"/>
        <v>198.76</v>
      </c>
      <c r="U75" s="74">
        <f t="shared" si="18"/>
        <v>198.65000000000003</v>
      </c>
      <c r="V75" s="74">
        <f t="shared" si="18"/>
        <v>189.52</v>
      </c>
      <c r="W75" s="74">
        <f t="shared" si="18"/>
        <v>177.08999999999997</v>
      </c>
      <c r="X75" s="74">
        <f t="shared" si="18"/>
        <v>158.70999999999998</v>
      </c>
      <c r="Y75" s="74">
        <f t="shared" si="18"/>
        <v>139.6</v>
      </c>
      <c r="Z75" s="75">
        <f t="shared" si="15"/>
        <v>3826.36</v>
      </c>
      <c r="AA75" s="76">
        <f t="shared" si="11"/>
        <v>31</v>
      </c>
      <c r="AB75" s="77">
        <f t="shared" si="12"/>
        <v>3826.3599999999992</v>
      </c>
      <c r="AD75" s="80">
        <f t="shared" si="16"/>
        <v>0</v>
      </c>
      <c r="AF75" s="80"/>
    </row>
    <row r="76" spans="1:33" x14ac:dyDescent="0.35">
      <c r="A76" s="56">
        <f t="shared" si="8"/>
        <v>46388</v>
      </c>
      <c r="B76" s="83">
        <f t="shared" ref="B76:Y76" si="19">+B12*$AA12+B28*$AA28+B44*$AA44+B60*$AA60</f>
        <v>145.54000000000002</v>
      </c>
      <c r="C76" s="83">
        <f t="shared" si="19"/>
        <v>134.95999999999998</v>
      </c>
      <c r="D76" s="83">
        <f t="shared" si="19"/>
        <v>128.77999999999997</v>
      </c>
      <c r="E76" s="83">
        <f t="shared" si="19"/>
        <v>126.06000000000002</v>
      </c>
      <c r="F76" s="83">
        <f t="shared" si="19"/>
        <v>128.16999999999999</v>
      </c>
      <c r="G76" s="83">
        <f t="shared" si="19"/>
        <v>137.16999999999999</v>
      </c>
      <c r="H76" s="83">
        <f t="shared" si="19"/>
        <v>151.42000000000002</v>
      </c>
      <c r="I76" s="83">
        <f t="shared" si="19"/>
        <v>167.35</v>
      </c>
      <c r="J76" s="83">
        <f t="shared" si="19"/>
        <v>188.09</v>
      </c>
      <c r="K76" s="83">
        <f t="shared" si="19"/>
        <v>204.92000000000002</v>
      </c>
      <c r="L76" s="83">
        <f t="shared" si="19"/>
        <v>220</v>
      </c>
      <c r="M76" s="83">
        <f t="shared" si="19"/>
        <v>233.03999999999996</v>
      </c>
      <c r="N76" s="83">
        <f t="shared" si="19"/>
        <v>233.74</v>
      </c>
      <c r="O76" s="83">
        <f t="shared" si="19"/>
        <v>230.50000000000003</v>
      </c>
      <c r="P76" s="83">
        <f t="shared" si="19"/>
        <v>230.49</v>
      </c>
      <c r="Q76" s="83">
        <f t="shared" si="19"/>
        <v>228.99000000000004</v>
      </c>
      <c r="R76" s="83">
        <f t="shared" si="19"/>
        <v>225.52000000000004</v>
      </c>
      <c r="S76" s="83">
        <f t="shared" si="19"/>
        <v>222.14</v>
      </c>
      <c r="T76" s="83">
        <f t="shared" si="19"/>
        <v>232.65</v>
      </c>
      <c r="U76" s="83">
        <f t="shared" si="19"/>
        <v>240.12000000000003</v>
      </c>
      <c r="V76" s="83">
        <f t="shared" si="19"/>
        <v>230.47000000000003</v>
      </c>
      <c r="W76" s="83">
        <f t="shared" si="19"/>
        <v>214.64</v>
      </c>
      <c r="X76" s="83">
        <f t="shared" si="19"/>
        <v>189.91000000000003</v>
      </c>
      <c r="Y76" s="83">
        <f t="shared" si="19"/>
        <v>163.58000000000001</v>
      </c>
      <c r="Z76" s="86">
        <f t="shared" si="15"/>
        <v>4608.25</v>
      </c>
      <c r="AA76" s="40">
        <f t="shared" si="11"/>
        <v>31</v>
      </c>
      <c r="AB76" s="57">
        <f t="shared" si="12"/>
        <v>4608.25</v>
      </c>
      <c r="AD76" s="80">
        <f t="shared" si="16"/>
        <v>0</v>
      </c>
      <c r="AF76" s="80"/>
    </row>
    <row r="77" spans="1:33" x14ac:dyDescent="0.35">
      <c r="A77" s="58">
        <f t="shared" si="8"/>
        <v>46419</v>
      </c>
      <c r="B77" s="41">
        <f t="shared" ref="B77:Y77" si="20">+B13*$AA13+B29*$AA29+B45*$AA45+B61*$AA61</f>
        <v>131.76</v>
      </c>
      <c r="C77" s="41">
        <f t="shared" si="20"/>
        <v>122.72</v>
      </c>
      <c r="D77" s="41">
        <f t="shared" si="20"/>
        <v>117.47999999999999</v>
      </c>
      <c r="E77" s="41">
        <f t="shared" si="20"/>
        <v>115.67999999999999</v>
      </c>
      <c r="F77" s="41">
        <f t="shared" si="20"/>
        <v>119.44000000000001</v>
      </c>
      <c r="G77" s="41">
        <f t="shared" si="20"/>
        <v>134.72</v>
      </c>
      <c r="H77" s="41">
        <f t="shared" si="20"/>
        <v>151.44</v>
      </c>
      <c r="I77" s="41">
        <f t="shared" si="20"/>
        <v>164.12</v>
      </c>
      <c r="J77" s="41">
        <f t="shared" si="20"/>
        <v>182.16</v>
      </c>
      <c r="K77" s="41">
        <f t="shared" si="20"/>
        <v>196.36</v>
      </c>
      <c r="L77" s="41">
        <f t="shared" si="20"/>
        <v>209.76</v>
      </c>
      <c r="M77" s="41">
        <f t="shared" si="20"/>
        <v>220.64000000000004</v>
      </c>
      <c r="N77" s="41">
        <f t="shared" si="20"/>
        <v>217.35999999999999</v>
      </c>
      <c r="O77" s="41">
        <f t="shared" si="20"/>
        <v>215.64000000000004</v>
      </c>
      <c r="P77" s="41">
        <f t="shared" si="20"/>
        <v>217.8</v>
      </c>
      <c r="Q77" s="41">
        <f t="shared" si="20"/>
        <v>217.16</v>
      </c>
      <c r="R77" s="41">
        <f t="shared" si="20"/>
        <v>213.84</v>
      </c>
      <c r="S77" s="41">
        <f t="shared" si="20"/>
        <v>207.4</v>
      </c>
      <c r="T77" s="41">
        <f t="shared" si="20"/>
        <v>211.4</v>
      </c>
      <c r="U77" s="41">
        <f t="shared" si="20"/>
        <v>221.92</v>
      </c>
      <c r="V77" s="41">
        <f t="shared" si="20"/>
        <v>214.16000000000003</v>
      </c>
      <c r="W77" s="41">
        <f t="shared" si="20"/>
        <v>198.88</v>
      </c>
      <c r="X77" s="41">
        <f t="shared" si="20"/>
        <v>174.04</v>
      </c>
      <c r="Y77" s="41">
        <f t="shared" si="20"/>
        <v>148.47999999999999</v>
      </c>
      <c r="Z77" s="85">
        <f t="shared" si="15"/>
        <v>4324.3600000000006</v>
      </c>
      <c r="AA77" s="43">
        <f t="shared" si="11"/>
        <v>28</v>
      </c>
      <c r="AB77" s="59">
        <f t="shared" si="12"/>
        <v>4324.3600000000006</v>
      </c>
      <c r="AD77" s="80">
        <f t="shared" si="16"/>
        <v>0</v>
      </c>
      <c r="AF77" s="80"/>
    </row>
    <row r="78" spans="1:33" x14ac:dyDescent="0.35">
      <c r="A78" s="58">
        <f t="shared" si="8"/>
        <v>46447</v>
      </c>
      <c r="B78" s="41">
        <f t="shared" ref="B78:Y78" si="21">+B14*$AA14+B30*$AA30+B46*$AA46+B62*$AA62</f>
        <v>135.94999999999999</v>
      </c>
      <c r="C78" s="41">
        <f t="shared" si="21"/>
        <v>126.60999999999999</v>
      </c>
      <c r="D78" s="41">
        <f t="shared" si="21"/>
        <v>121.44</v>
      </c>
      <c r="E78" s="41">
        <f t="shared" si="21"/>
        <v>119.19000000000001</v>
      </c>
      <c r="F78" s="41">
        <f t="shared" si="21"/>
        <v>122.61</v>
      </c>
      <c r="G78" s="41">
        <f t="shared" si="21"/>
        <v>136.86000000000001</v>
      </c>
      <c r="H78" s="41">
        <f t="shared" si="21"/>
        <v>152.19</v>
      </c>
      <c r="I78" s="41">
        <f t="shared" si="21"/>
        <v>167.14000000000001</v>
      </c>
      <c r="J78" s="41">
        <f t="shared" si="21"/>
        <v>185.73999999999998</v>
      </c>
      <c r="K78" s="41">
        <f t="shared" si="21"/>
        <v>199.55</v>
      </c>
      <c r="L78" s="41">
        <f t="shared" si="21"/>
        <v>213.04999999999998</v>
      </c>
      <c r="M78" s="41">
        <f t="shared" si="21"/>
        <v>224.07</v>
      </c>
      <c r="N78" s="41">
        <f t="shared" si="21"/>
        <v>222.6</v>
      </c>
      <c r="O78" s="41">
        <f t="shared" si="21"/>
        <v>219.74</v>
      </c>
      <c r="P78" s="41">
        <f t="shared" si="21"/>
        <v>220.73000000000002</v>
      </c>
      <c r="Q78" s="41">
        <f t="shared" si="21"/>
        <v>219.28</v>
      </c>
      <c r="R78" s="41">
        <f t="shared" si="21"/>
        <v>216.38</v>
      </c>
      <c r="S78" s="41">
        <f t="shared" si="21"/>
        <v>213.07999999999998</v>
      </c>
      <c r="T78" s="41">
        <f t="shared" si="21"/>
        <v>219.35</v>
      </c>
      <c r="U78" s="41">
        <f t="shared" si="21"/>
        <v>229.08</v>
      </c>
      <c r="V78" s="41">
        <f t="shared" si="21"/>
        <v>219.62</v>
      </c>
      <c r="W78" s="41">
        <f t="shared" si="21"/>
        <v>203.54000000000002</v>
      </c>
      <c r="X78" s="41">
        <f t="shared" si="21"/>
        <v>178.60999999999999</v>
      </c>
      <c r="Y78" s="41">
        <f t="shared" si="21"/>
        <v>152.79</v>
      </c>
      <c r="Z78" s="85">
        <f t="shared" si="15"/>
        <v>4419.2</v>
      </c>
      <c r="AA78" s="43">
        <f t="shared" si="11"/>
        <v>31</v>
      </c>
      <c r="AB78" s="59">
        <f t="shared" si="12"/>
        <v>4419.2</v>
      </c>
      <c r="AD78" s="80">
        <f t="shared" si="16"/>
        <v>0</v>
      </c>
      <c r="AF78" s="80"/>
    </row>
    <row r="79" spans="1:33" x14ac:dyDescent="0.35">
      <c r="A79" s="58">
        <f t="shared" si="8"/>
        <v>46478</v>
      </c>
      <c r="B79" s="41">
        <f t="shared" ref="B79:Y79" si="22">+B15*$AA15+B31*$AA31+B47*$AA47+B63*$AA63</f>
        <v>123.32000000000001</v>
      </c>
      <c r="C79" s="41">
        <f t="shared" si="22"/>
        <v>114.52</v>
      </c>
      <c r="D79" s="41">
        <f t="shared" si="22"/>
        <v>110.05999999999999</v>
      </c>
      <c r="E79" s="41">
        <f t="shared" si="22"/>
        <v>108.16</v>
      </c>
      <c r="F79" s="41">
        <f t="shared" si="22"/>
        <v>111.84</v>
      </c>
      <c r="G79" s="41">
        <f t="shared" si="22"/>
        <v>123.84</v>
      </c>
      <c r="H79" s="41">
        <f t="shared" si="22"/>
        <v>139.46</v>
      </c>
      <c r="I79" s="41">
        <f t="shared" si="22"/>
        <v>155.76000000000002</v>
      </c>
      <c r="J79" s="41">
        <f t="shared" si="22"/>
        <v>171.98</v>
      </c>
      <c r="K79" s="41">
        <f t="shared" si="22"/>
        <v>187.26</v>
      </c>
      <c r="L79" s="41">
        <f t="shared" si="22"/>
        <v>199.5</v>
      </c>
      <c r="M79" s="41">
        <f t="shared" si="22"/>
        <v>209.72</v>
      </c>
      <c r="N79" s="41">
        <f t="shared" si="22"/>
        <v>207.71999999999997</v>
      </c>
      <c r="O79" s="41">
        <f t="shared" si="22"/>
        <v>203.68</v>
      </c>
      <c r="P79" s="41">
        <f t="shared" si="22"/>
        <v>203.04</v>
      </c>
      <c r="Q79" s="41">
        <f t="shared" si="22"/>
        <v>202.18</v>
      </c>
      <c r="R79" s="41">
        <f t="shared" si="22"/>
        <v>199.62</v>
      </c>
      <c r="S79" s="41">
        <f t="shared" si="22"/>
        <v>197.22</v>
      </c>
      <c r="T79" s="41">
        <f t="shared" si="22"/>
        <v>205.14000000000001</v>
      </c>
      <c r="U79" s="41">
        <f t="shared" si="22"/>
        <v>210.62</v>
      </c>
      <c r="V79" s="41">
        <f t="shared" si="22"/>
        <v>201.26000000000002</v>
      </c>
      <c r="W79" s="41">
        <f t="shared" si="22"/>
        <v>186.2</v>
      </c>
      <c r="X79" s="41">
        <f t="shared" si="22"/>
        <v>163.5</v>
      </c>
      <c r="Y79" s="41">
        <f t="shared" si="22"/>
        <v>140.36000000000001</v>
      </c>
      <c r="Z79" s="85">
        <f t="shared" si="15"/>
        <v>4075.9599999999996</v>
      </c>
      <c r="AA79" s="43">
        <f t="shared" si="11"/>
        <v>30</v>
      </c>
      <c r="AB79" s="59">
        <f t="shared" si="12"/>
        <v>4075.9599999999996</v>
      </c>
      <c r="AD79" s="80">
        <f t="shared" si="16"/>
        <v>0</v>
      </c>
      <c r="AF79" s="80"/>
    </row>
    <row r="80" spans="1:33" x14ac:dyDescent="0.35">
      <c r="A80" s="58">
        <f t="shared" si="8"/>
        <v>46508</v>
      </c>
      <c r="B80" s="41">
        <f t="shared" ref="B80:Y80" si="23">+B16*$AA16+B32*$AA32+B48*$AA48+B64*$AA64</f>
        <v>108.02</v>
      </c>
      <c r="C80" s="41">
        <f t="shared" si="23"/>
        <v>100.41</v>
      </c>
      <c r="D80" s="41">
        <f t="shared" si="23"/>
        <v>96.309999999999988</v>
      </c>
      <c r="E80" s="41">
        <f t="shared" si="23"/>
        <v>94.240000000000009</v>
      </c>
      <c r="F80" s="41">
        <f t="shared" si="23"/>
        <v>97.19</v>
      </c>
      <c r="G80" s="41">
        <f t="shared" si="23"/>
        <v>105.14</v>
      </c>
      <c r="H80" s="41">
        <f t="shared" si="23"/>
        <v>119.28000000000002</v>
      </c>
      <c r="I80" s="41">
        <f t="shared" si="23"/>
        <v>133.19999999999999</v>
      </c>
      <c r="J80" s="41">
        <f t="shared" si="23"/>
        <v>148.5</v>
      </c>
      <c r="K80" s="41">
        <f t="shared" si="23"/>
        <v>160.85999999999999</v>
      </c>
      <c r="L80" s="41">
        <f t="shared" si="23"/>
        <v>171.75</v>
      </c>
      <c r="M80" s="41">
        <f t="shared" si="23"/>
        <v>180.86999999999998</v>
      </c>
      <c r="N80" s="41">
        <f t="shared" si="23"/>
        <v>179.09000000000003</v>
      </c>
      <c r="O80" s="41">
        <f t="shared" si="23"/>
        <v>175.75</v>
      </c>
      <c r="P80" s="41">
        <f t="shared" si="23"/>
        <v>174.76000000000002</v>
      </c>
      <c r="Q80" s="41">
        <f t="shared" si="23"/>
        <v>173.57000000000002</v>
      </c>
      <c r="R80" s="41">
        <f t="shared" si="23"/>
        <v>170.46</v>
      </c>
      <c r="S80" s="41">
        <f t="shared" si="23"/>
        <v>169.44999999999996</v>
      </c>
      <c r="T80" s="41">
        <f t="shared" si="23"/>
        <v>176.70999999999998</v>
      </c>
      <c r="U80" s="41">
        <f t="shared" si="23"/>
        <v>182.32</v>
      </c>
      <c r="V80" s="41">
        <f t="shared" si="23"/>
        <v>174.76000000000002</v>
      </c>
      <c r="W80" s="41">
        <f t="shared" si="23"/>
        <v>161.14000000000001</v>
      </c>
      <c r="X80" s="41">
        <f t="shared" si="23"/>
        <v>140.97999999999999</v>
      </c>
      <c r="Y80" s="41">
        <f t="shared" si="23"/>
        <v>120.96000000000001</v>
      </c>
      <c r="Z80" s="85">
        <f t="shared" si="15"/>
        <v>3515.72</v>
      </c>
      <c r="AA80" s="43">
        <f t="shared" si="11"/>
        <v>31</v>
      </c>
      <c r="AB80" s="59">
        <f t="shared" si="12"/>
        <v>3515.72</v>
      </c>
      <c r="AD80" s="80">
        <f t="shared" si="16"/>
        <v>0</v>
      </c>
      <c r="AF80" s="80"/>
    </row>
    <row r="81" spans="1:32" x14ac:dyDescent="0.35">
      <c r="A81" s="58">
        <f t="shared" si="8"/>
        <v>46539</v>
      </c>
      <c r="B81" s="41">
        <f t="shared" ref="B81:Y81" si="24">+B17*$AA17+B33*$AA33+B49*$AA49+B65*$AA65</f>
        <v>105.15</v>
      </c>
      <c r="C81" s="41">
        <f t="shared" si="24"/>
        <v>97.390000000000015</v>
      </c>
      <c r="D81" s="41">
        <f t="shared" si="24"/>
        <v>93.23</v>
      </c>
      <c r="E81" s="41">
        <f t="shared" si="24"/>
        <v>91.44</v>
      </c>
      <c r="F81" s="41">
        <f t="shared" si="24"/>
        <v>94.550000000000011</v>
      </c>
      <c r="G81" s="41">
        <f t="shared" si="24"/>
        <v>102.52000000000001</v>
      </c>
      <c r="H81" s="41">
        <f t="shared" si="24"/>
        <v>117.56000000000002</v>
      </c>
      <c r="I81" s="41">
        <f t="shared" si="24"/>
        <v>132.26000000000002</v>
      </c>
      <c r="J81" s="41">
        <f t="shared" si="24"/>
        <v>147.86999999999998</v>
      </c>
      <c r="K81" s="41">
        <f t="shared" si="24"/>
        <v>160.04</v>
      </c>
      <c r="L81" s="41">
        <f t="shared" si="24"/>
        <v>170.12000000000003</v>
      </c>
      <c r="M81" s="41">
        <f t="shared" si="24"/>
        <v>179.45</v>
      </c>
      <c r="N81" s="41">
        <f t="shared" si="24"/>
        <v>178.27</v>
      </c>
      <c r="O81" s="41">
        <f t="shared" si="24"/>
        <v>174.64</v>
      </c>
      <c r="P81" s="41">
        <f t="shared" si="24"/>
        <v>174.03</v>
      </c>
      <c r="Q81" s="41">
        <f t="shared" si="24"/>
        <v>172.55</v>
      </c>
      <c r="R81" s="41">
        <f t="shared" si="24"/>
        <v>169.89999999999998</v>
      </c>
      <c r="S81" s="41">
        <f t="shared" si="24"/>
        <v>168.07</v>
      </c>
      <c r="T81" s="41">
        <f t="shared" si="24"/>
        <v>173.81</v>
      </c>
      <c r="U81" s="41">
        <f t="shared" si="24"/>
        <v>181.42000000000002</v>
      </c>
      <c r="V81" s="41">
        <f t="shared" si="24"/>
        <v>173.51</v>
      </c>
      <c r="W81" s="41">
        <f t="shared" si="24"/>
        <v>159.57</v>
      </c>
      <c r="X81" s="41">
        <f t="shared" si="24"/>
        <v>139.03</v>
      </c>
      <c r="Y81" s="41">
        <f t="shared" si="24"/>
        <v>119.19</v>
      </c>
      <c r="Z81" s="85">
        <f t="shared" si="15"/>
        <v>3475.5700000000011</v>
      </c>
      <c r="AA81" s="43">
        <f t="shared" si="11"/>
        <v>30</v>
      </c>
      <c r="AB81" s="59">
        <f t="shared" si="12"/>
        <v>3475.5700000000006</v>
      </c>
      <c r="AD81" s="80">
        <f t="shared" si="16"/>
        <v>0</v>
      </c>
      <c r="AF81" s="80"/>
    </row>
    <row r="82" spans="1:32" ht="16" thickBot="1" x14ac:dyDescent="0.4">
      <c r="A82" s="60">
        <f t="shared" si="8"/>
        <v>46569</v>
      </c>
      <c r="B82" s="44">
        <f t="shared" ref="B82:Y82" si="25">+B18*$AA18+B34*$AA34+B50*$AA50+B66*$AA66</f>
        <v>119.53</v>
      </c>
      <c r="C82" s="44">
        <f t="shared" si="25"/>
        <v>111.39000000000001</v>
      </c>
      <c r="D82" s="44">
        <f t="shared" si="25"/>
        <v>106.30000000000001</v>
      </c>
      <c r="E82" s="44">
        <f t="shared" si="25"/>
        <v>104.16000000000001</v>
      </c>
      <c r="F82" s="44">
        <f t="shared" si="25"/>
        <v>107.34999999999998</v>
      </c>
      <c r="G82" s="44">
        <f t="shared" si="25"/>
        <v>116.94000000000001</v>
      </c>
      <c r="H82" s="44">
        <f t="shared" si="25"/>
        <v>131.71</v>
      </c>
      <c r="I82" s="44">
        <f t="shared" si="25"/>
        <v>147.88999999999999</v>
      </c>
      <c r="J82" s="44">
        <f t="shared" si="25"/>
        <v>165.96</v>
      </c>
      <c r="K82" s="44">
        <f t="shared" si="25"/>
        <v>180.24</v>
      </c>
      <c r="L82" s="44">
        <f t="shared" si="25"/>
        <v>191.64</v>
      </c>
      <c r="M82" s="44">
        <f t="shared" si="25"/>
        <v>202.63000000000002</v>
      </c>
      <c r="N82" s="44">
        <f t="shared" si="25"/>
        <v>200.88</v>
      </c>
      <c r="O82" s="44">
        <f t="shared" si="25"/>
        <v>196.66</v>
      </c>
      <c r="P82" s="44">
        <f t="shared" si="25"/>
        <v>196.09</v>
      </c>
      <c r="Q82" s="44">
        <f t="shared" si="25"/>
        <v>195.06000000000003</v>
      </c>
      <c r="R82" s="44">
        <f t="shared" si="25"/>
        <v>192.53</v>
      </c>
      <c r="S82" s="44">
        <f t="shared" si="25"/>
        <v>189.49</v>
      </c>
      <c r="T82" s="44">
        <f t="shared" si="25"/>
        <v>193.41999999999996</v>
      </c>
      <c r="U82" s="44">
        <f t="shared" si="25"/>
        <v>204.64</v>
      </c>
      <c r="V82" s="44">
        <f t="shared" si="25"/>
        <v>195.87999999999997</v>
      </c>
      <c r="W82" s="44">
        <f t="shared" si="25"/>
        <v>180.66000000000003</v>
      </c>
      <c r="X82" s="44">
        <f t="shared" si="25"/>
        <v>157.46999999999997</v>
      </c>
      <c r="Y82" s="44">
        <f t="shared" si="25"/>
        <v>136.06</v>
      </c>
      <c r="Z82" s="87">
        <f t="shared" si="15"/>
        <v>3924.5800000000004</v>
      </c>
      <c r="AA82" s="46">
        <f t="shared" si="11"/>
        <v>31</v>
      </c>
      <c r="AB82" s="61">
        <f t="shared" si="12"/>
        <v>3924.58</v>
      </c>
      <c r="AD82" s="80">
        <f t="shared" si="16"/>
        <v>0</v>
      </c>
      <c r="AF82" s="80"/>
    </row>
  </sheetData>
  <phoneticPr fontId="32" type="noConversion"/>
  <conditionalFormatting sqref="B1:Y1048576 AA8:AA19 AA24:AA35 AA40:AA51 AA56:AA68 A67 AA72:AA82">
    <cfRule type="cellIs" dxfId="2" priority="1" operator="lessThan">
      <formula>0</formula>
    </cfRule>
  </conditionalFormatting>
  <pageMargins left="0.75" right="0.75" top="1" bottom="1" header="0" footer="0"/>
  <pageSetup orientation="portrait" r:id="rId1"/>
  <headerFooter alignWithMargins="0"/>
  <ignoredErrors>
    <ignoredError sqref="Z8:Z18 Z24:Z34 Z40:Z50 Z56:Z66"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8ADD-131E-44FD-92AC-DC535D9C335E}">
  <sheetPr>
    <tabColor theme="9" tint="0.39997558519241921"/>
  </sheetPr>
  <dimension ref="A1:M30"/>
  <sheetViews>
    <sheetView view="pageBreakPreview" zoomScale="55" zoomScaleNormal="100" zoomScaleSheetLayoutView="55" zoomScalePageLayoutView="30" workbookViewId="0">
      <selection activeCell="B26" sqref="B26:L26"/>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4.26953125" style="1" bestFit="1" customWidth="1"/>
    <col min="6" max="6" width="21.1796875" style="1" customWidth="1"/>
    <col min="7" max="7" width="23" style="1" customWidth="1"/>
    <col min="8" max="10" width="22.7265625" style="1" customWidth="1"/>
    <col min="11" max="11" width="31.26953125" style="1" customWidth="1"/>
    <col min="12" max="12" width="15.453125" style="1" customWidth="1"/>
    <col min="13" max="13" width="8.81640625" style="1" bestFit="1" customWidth="1"/>
    <col min="14" max="16384" width="17.81640625" style="1"/>
  </cols>
  <sheetData>
    <row r="1" spans="1:13" ht="171" customHeight="1" x14ac:dyDescent="0.45"/>
    <row r="2" spans="1:13" x14ac:dyDescent="0.45">
      <c r="A2" s="2"/>
      <c r="B2" s="2"/>
      <c r="C2" s="2"/>
      <c r="D2" s="111" t="s">
        <v>0</v>
      </c>
      <c r="E2" s="111"/>
      <c r="F2" s="111"/>
      <c r="G2" s="111"/>
      <c r="H2" s="111"/>
      <c r="I2" s="111"/>
      <c r="J2" s="111"/>
      <c r="K2" s="2"/>
      <c r="L2" s="2"/>
      <c r="M2" s="2"/>
    </row>
    <row r="3" spans="1:13" ht="89.25" customHeight="1" x14ac:dyDescent="0.45">
      <c r="A3" s="2"/>
      <c r="B3" s="2"/>
      <c r="C3" s="112" t="s">
        <v>55</v>
      </c>
      <c r="D3" s="112"/>
      <c r="E3" s="112"/>
      <c r="F3" s="112"/>
      <c r="G3" s="112"/>
      <c r="H3" s="112"/>
      <c r="I3" s="112"/>
      <c r="J3" s="112"/>
      <c r="K3" s="112"/>
      <c r="L3" s="2"/>
      <c r="M3" s="2"/>
    </row>
    <row r="4" spans="1:13" x14ac:dyDescent="0.45">
      <c r="A4" s="2"/>
      <c r="B4" s="2"/>
      <c r="C4" s="3"/>
      <c r="D4" s="113" t="s">
        <v>53</v>
      </c>
      <c r="E4" s="113"/>
      <c r="F4" s="113"/>
      <c r="G4" s="113"/>
      <c r="H4" s="113"/>
      <c r="I4" s="113"/>
      <c r="J4" s="113"/>
      <c r="K4" s="3"/>
      <c r="L4" s="2"/>
      <c r="M4" s="2"/>
    </row>
    <row r="5" spans="1:13" ht="19.5" customHeight="1" x14ac:dyDescent="0.45">
      <c r="A5" s="4"/>
      <c r="B5" s="5"/>
      <c r="C5" s="5"/>
      <c r="D5" s="6"/>
      <c r="E5" s="7"/>
      <c r="F5" s="7"/>
      <c r="G5" s="7"/>
      <c r="H5" s="7"/>
      <c r="I5" s="7"/>
      <c r="J5" s="8"/>
      <c r="K5" s="9"/>
      <c r="L5" s="4"/>
      <c r="M5" s="4"/>
    </row>
    <row r="6" spans="1:13" x14ac:dyDescent="0.45">
      <c r="A6" s="4"/>
      <c r="B6" s="5"/>
      <c r="C6" s="10" t="s">
        <v>1</v>
      </c>
      <c r="D6" s="5"/>
      <c r="E6" s="5"/>
      <c r="G6" s="5"/>
      <c r="H6" s="5"/>
      <c r="I6" s="5"/>
      <c r="J6" s="5"/>
      <c r="K6" s="9"/>
      <c r="L6" s="4"/>
      <c r="M6" s="4"/>
    </row>
    <row r="7" spans="1:13" x14ac:dyDescent="0.45">
      <c r="A7" s="4"/>
      <c r="B7" s="5"/>
      <c r="C7" s="10" t="s">
        <v>2</v>
      </c>
      <c r="D7" s="5"/>
      <c r="E7" s="5"/>
      <c r="G7" s="5"/>
      <c r="H7" s="5"/>
      <c r="I7" s="5"/>
      <c r="J7" s="5"/>
      <c r="K7" s="9"/>
      <c r="L7" s="4"/>
      <c r="M7" s="4"/>
    </row>
    <row r="8" spans="1:13" x14ac:dyDescent="0.45">
      <c r="B8" s="11"/>
      <c r="C8" s="10" t="s">
        <v>3</v>
      </c>
      <c r="D8" s="5"/>
      <c r="E8" s="5"/>
      <c r="G8" s="11"/>
      <c r="H8" s="11"/>
      <c r="I8" s="11"/>
      <c r="J8" s="11"/>
      <c r="K8" s="12"/>
    </row>
    <row r="9" spans="1:13" x14ac:dyDescent="0.45">
      <c r="B9" s="11"/>
      <c r="C9" s="13" t="str">
        <f>"PRODUCTO OFERTADO: "&amp;D4</f>
        <v>PRODUCTO OFERTADO: PRODUCTO No. 2</v>
      </c>
      <c r="D9" s="5"/>
      <c r="E9" s="5"/>
      <c r="G9" s="11"/>
      <c r="H9" s="11"/>
      <c r="I9" s="11"/>
      <c r="J9" s="11"/>
      <c r="K9" s="12"/>
    </row>
    <row r="10" spans="1:13" x14ac:dyDescent="0.45">
      <c r="B10" s="11"/>
      <c r="C10" s="13"/>
      <c r="D10" s="5"/>
      <c r="E10" s="5"/>
      <c r="G10" s="11"/>
      <c r="H10" s="11"/>
      <c r="I10" s="11"/>
      <c r="J10" s="11"/>
      <c r="K10" s="12"/>
    </row>
    <row r="11" spans="1:13" x14ac:dyDescent="0.45">
      <c r="B11" s="11"/>
      <c r="C11" s="10" t="s">
        <v>56</v>
      </c>
      <c r="D11" s="14"/>
      <c r="E11" s="14"/>
      <c r="F11" s="15"/>
      <c r="G11" s="11"/>
      <c r="H11" s="11"/>
      <c r="I11" s="11"/>
      <c r="J11" s="11"/>
      <c r="K11" s="12"/>
    </row>
    <row r="12" spans="1:13" x14ac:dyDescent="0.45">
      <c r="B12" s="16"/>
      <c r="C12" s="15"/>
    </row>
    <row r="13" spans="1:13" x14ac:dyDescent="0.45">
      <c r="F13" s="114" t="str">
        <f>"Oferta " &amp; PROPER(D4)</f>
        <v>Oferta Producto No. 2</v>
      </c>
      <c r="G13" s="114"/>
      <c r="H13" s="114"/>
      <c r="I13" s="114"/>
      <c r="J13" s="114"/>
    </row>
    <row r="14" spans="1:13" ht="72.75" customHeight="1" x14ac:dyDescent="0.45">
      <c r="E14" s="79"/>
      <c r="F14" s="78" t="s">
        <v>4</v>
      </c>
      <c r="G14" s="17" t="s">
        <v>50</v>
      </c>
      <c r="H14" s="17" t="s">
        <v>38</v>
      </c>
      <c r="I14" s="17" t="s">
        <v>51</v>
      </c>
      <c r="J14" s="18" t="s">
        <v>5</v>
      </c>
    </row>
    <row r="15" spans="1:13" x14ac:dyDescent="0.45">
      <c r="A15" s="19"/>
      <c r="B15" s="20">
        <v>31</v>
      </c>
      <c r="F15" s="21">
        <v>46266</v>
      </c>
      <c r="G15" s="36">
        <f>+SUMIFS('Cantidades Producto No. 2'!$AB$41:$AB$44,'Cantidades Producto No. 2'!$A$41:$A$44,'Oferta Producto No. 2'!F15)</f>
        <v>1404.7600000000002</v>
      </c>
      <c r="H15" s="119"/>
      <c r="I15" s="36"/>
      <c r="J15" s="115"/>
      <c r="K15" s="64"/>
      <c r="L15" s="22"/>
      <c r="M15" s="22"/>
    </row>
    <row r="16" spans="1:13" x14ac:dyDescent="0.45">
      <c r="A16" s="19"/>
      <c r="B16" s="20"/>
      <c r="F16" s="21">
        <v>46296</v>
      </c>
      <c r="G16" s="36">
        <f>+SUMIFS('Cantidades Producto No. 2'!$AB$41:$AB$44,'Cantidades Producto No. 2'!$A$41:$A$44,'Oferta Producto No. 2'!F16)</f>
        <v>3057.9000000000005</v>
      </c>
      <c r="H16" s="119"/>
      <c r="I16" s="36"/>
      <c r="J16" s="116"/>
      <c r="K16" s="64"/>
      <c r="L16" s="22"/>
      <c r="M16" s="22"/>
    </row>
    <row r="17" spans="1:13" x14ac:dyDescent="0.45">
      <c r="A17" s="19"/>
      <c r="B17" s="20"/>
      <c r="F17" s="21">
        <v>46327</v>
      </c>
      <c r="G17" s="36">
        <f>+SUMIFS('Cantidades Producto No. 2'!$AB$41:$AB$44,'Cantidades Producto No. 2'!$A$41:$A$44,'Oferta Producto No. 2'!F17)</f>
        <v>3076.8100000000004</v>
      </c>
      <c r="H17" s="119"/>
      <c r="I17" s="36"/>
      <c r="J17" s="116"/>
      <c r="K17" s="64"/>
      <c r="L17" s="22"/>
      <c r="M17" s="22"/>
    </row>
    <row r="18" spans="1:13" x14ac:dyDescent="0.45">
      <c r="A18" s="19"/>
      <c r="B18" s="20"/>
      <c r="F18" s="21">
        <v>46357</v>
      </c>
      <c r="G18" s="36">
        <f>+SUMIFS('Cantidades Producto No. 2'!$AB$41:$AB$44,'Cantidades Producto No. 2'!$A$41:$A$44,'Oferta Producto No. 2'!F18)</f>
        <v>3826.3599999999992</v>
      </c>
      <c r="H18" s="119"/>
      <c r="I18" s="36"/>
      <c r="J18" s="116"/>
      <c r="K18" s="64"/>
      <c r="L18" s="22"/>
      <c r="M18" s="22"/>
    </row>
    <row r="19" spans="1:13" x14ac:dyDescent="0.45">
      <c r="F19" s="23" t="s">
        <v>6</v>
      </c>
      <c r="G19" s="25">
        <f>SUM(G15:G18)</f>
        <v>11365.83</v>
      </c>
      <c r="H19" s="120"/>
      <c r="I19" s="36"/>
      <c r="J19" s="65"/>
    </row>
    <row r="20" spans="1:13" x14ac:dyDescent="0.45">
      <c r="F20" s="26"/>
      <c r="G20" s="24"/>
    </row>
    <row r="21" spans="1:13" x14ac:dyDescent="0.45">
      <c r="B21" s="27" t="s">
        <v>7</v>
      </c>
      <c r="C21" s="28"/>
      <c r="D21" s="28"/>
      <c r="E21" s="28"/>
      <c r="F21" s="28"/>
      <c r="G21" s="28"/>
      <c r="L21" s="28"/>
    </row>
    <row r="22" spans="1:13" x14ac:dyDescent="0.45">
      <c r="B22" s="27"/>
      <c r="C22" s="28"/>
      <c r="D22" s="28"/>
      <c r="E22" s="28"/>
      <c r="F22" s="28"/>
      <c r="G22" s="28"/>
      <c r="H22" s="28"/>
      <c r="I22" s="28"/>
      <c r="J22" s="28"/>
      <c r="K22" s="28"/>
      <c r="L22" s="28"/>
    </row>
    <row r="23" spans="1:13" ht="24.75" customHeight="1" x14ac:dyDescent="0.45">
      <c r="B23" s="109" t="s">
        <v>8</v>
      </c>
      <c r="C23" s="109"/>
      <c r="D23" s="109"/>
      <c r="E23" s="109"/>
      <c r="F23" s="109"/>
      <c r="G23" s="109"/>
      <c r="H23" s="109"/>
      <c r="I23" s="109"/>
      <c r="J23" s="109"/>
      <c r="K23" s="109"/>
      <c r="L23" s="109"/>
    </row>
    <row r="24" spans="1:13" ht="39" customHeight="1" x14ac:dyDescent="0.45">
      <c r="B24" s="109"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24" s="109"/>
      <c r="D24" s="109"/>
      <c r="E24" s="109"/>
      <c r="F24" s="109"/>
      <c r="G24" s="109"/>
      <c r="H24" s="109"/>
      <c r="I24" s="109"/>
      <c r="J24" s="109"/>
      <c r="K24" s="109"/>
      <c r="L24" s="109"/>
    </row>
    <row r="25" spans="1:13" ht="83.25" customHeight="1" x14ac:dyDescent="0.45">
      <c r="B25" s="110" t="s">
        <v>59</v>
      </c>
      <c r="C25" s="110"/>
      <c r="D25" s="110"/>
      <c r="E25" s="110"/>
      <c r="F25" s="110"/>
      <c r="G25" s="110"/>
      <c r="H25" s="110"/>
      <c r="I25" s="110"/>
      <c r="J25" s="110"/>
      <c r="K25" s="110"/>
      <c r="L25" s="110"/>
    </row>
    <row r="26" spans="1:13" ht="43.5" customHeight="1" x14ac:dyDescent="0.45">
      <c r="B26" s="110" t="s">
        <v>39</v>
      </c>
      <c r="C26" s="110"/>
      <c r="D26" s="110"/>
      <c r="E26" s="110"/>
      <c r="F26" s="110"/>
      <c r="G26" s="110"/>
      <c r="H26" s="110"/>
      <c r="I26" s="110"/>
      <c r="J26" s="110"/>
      <c r="K26" s="110"/>
      <c r="L26" s="110"/>
    </row>
    <row r="27" spans="1:13" ht="48" customHeight="1" x14ac:dyDescent="0.45">
      <c r="B27" s="110" t="s">
        <v>40</v>
      </c>
      <c r="C27" s="110"/>
      <c r="D27" s="110"/>
      <c r="E27" s="110"/>
      <c r="F27" s="110"/>
      <c r="G27" s="110"/>
      <c r="H27" s="110"/>
      <c r="I27" s="110"/>
      <c r="J27" s="110"/>
      <c r="K27" s="110"/>
      <c r="L27" s="110"/>
    </row>
    <row r="28" spans="1:13" ht="80.25" customHeight="1" x14ac:dyDescent="0.45">
      <c r="A28" s="15"/>
      <c r="B28" s="110" t="s">
        <v>52</v>
      </c>
      <c r="C28" s="110"/>
      <c r="D28" s="110"/>
      <c r="E28" s="110"/>
      <c r="F28" s="110"/>
      <c r="G28" s="110"/>
      <c r="H28" s="110"/>
      <c r="I28" s="110"/>
      <c r="J28" s="110"/>
      <c r="K28" s="110"/>
      <c r="L28" s="110"/>
    </row>
    <row r="30" spans="1:13" ht="24.75" customHeight="1" x14ac:dyDescent="0.45">
      <c r="B30" s="29"/>
      <c r="C30" s="29"/>
      <c r="D30" s="29"/>
      <c r="E30" s="29"/>
      <c r="F30" s="29"/>
      <c r="G30" s="29"/>
      <c r="H30" s="29"/>
      <c r="I30" s="29"/>
      <c r="J30" s="29"/>
      <c r="K30" s="29"/>
      <c r="L30" s="29"/>
    </row>
  </sheetData>
  <mergeCells count="12">
    <mergeCell ref="B28:L28"/>
    <mergeCell ref="D2:J2"/>
    <mergeCell ref="C3:K3"/>
    <mergeCell ref="D4:J4"/>
    <mergeCell ref="F13:J13"/>
    <mergeCell ref="H15:H19"/>
    <mergeCell ref="J15:J18"/>
    <mergeCell ref="B23:L23"/>
    <mergeCell ref="B24:L24"/>
    <mergeCell ref="B25:L25"/>
    <mergeCell ref="B26:L26"/>
    <mergeCell ref="B27:L27"/>
  </mergeCells>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D993E-3741-4A07-8E8F-7CF81561F3B6}">
  <sheetPr>
    <tabColor theme="9" tint="0.39997558519241921"/>
  </sheetPr>
  <dimension ref="A1:AG44"/>
  <sheetViews>
    <sheetView showGridLines="0" zoomScale="70" zoomScaleNormal="70" workbookViewId="0">
      <selection activeCell="A5" sqref="A5"/>
    </sheetView>
  </sheetViews>
  <sheetFormatPr baseColWidth="10" defaultColWidth="14.453125" defaultRowHeight="15.5" x14ac:dyDescent="0.35"/>
  <cols>
    <col min="1" max="1" width="13" style="30" customWidth="1"/>
    <col min="2" max="2" width="8.54296875" style="31" bestFit="1" customWidth="1"/>
    <col min="3" max="4" width="8.453125" style="31" bestFit="1" customWidth="1"/>
    <col min="5" max="6" width="8.54296875" style="31" bestFit="1" customWidth="1"/>
    <col min="7" max="7" width="8.453125" style="31" bestFit="1" customWidth="1"/>
    <col min="8" max="25" width="8.54296875" style="31" bestFit="1" customWidth="1"/>
    <col min="26" max="26" width="9.1796875" style="32" bestFit="1" customWidth="1"/>
    <col min="27" max="27" width="9.54296875" style="30" bestFit="1" customWidth="1"/>
    <col min="28" max="28" width="9.7265625" style="30" customWidth="1"/>
    <col min="29" max="29" width="5.26953125" style="30" bestFit="1" customWidth="1"/>
    <col min="30" max="16384" width="14.453125" style="30"/>
  </cols>
  <sheetData>
    <row r="1" spans="1:30" ht="93" customHeight="1" thickBot="1" x14ac:dyDescent="0.4"/>
    <row r="2" spans="1:30" ht="23" x14ac:dyDescent="0.5">
      <c r="A2" s="38" t="s">
        <v>9</v>
      </c>
    </row>
    <row r="3" spans="1:30" ht="20.5" thickBot="1" x14ac:dyDescent="0.45">
      <c r="A3" s="39" t="s">
        <v>53</v>
      </c>
    </row>
    <row r="4" spans="1:30" ht="16" thickBot="1" x14ac:dyDescent="0.4"/>
    <row r="5" spans="1:30" ht="16" thickBot="1" x14ac:dyDescent="0.4">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0" ht="16" thickBot="1" x14ac:dyDescent="0.4">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0" ht="16" customHeight="1" thickBot="1" x14ac:dyDescent="0.4">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55"/>
    </row>
    <row r="8" spans="1:30" x14ac:dyDescent="0.35">
      <c r="A8" s="98">
        <v>46266</v>
      </c>
      <c r="B8" s="99">
        <v>3.1</v>
      </c>
      <c r="C8" s="99">
        <v>2.9</v>
      </c>
      <c r="D8" s="99">
        <v>2.78</v>
      </c>
      <c r="E8" s="99">
        <v>2.73</v>
      </c>
      <c r="F8" s="99">
        <v>2.82</v>
      </c>
      <c r="G8" s="99">
        <v>3.11</v>
      </c>
      <c r="H8" s="99">
        <v>3.52</v>
      </c>
      <c r="I8" s="99">
        <v>3.89</v>
      </c>
      <c r="J8" s="99">
        <v>4.3099999999999996</v>
      </c>
      <c r="K8" s="99">
        <v>4.63</v>
      </c>
      <c r="L8" s="99">
        <v>4.96</v>
      </c>
      <c r="M8" s="99">
        <v>5.24</v>
      </c>
      <c r="N8" s="99">
        <v>5.19</v>
      </c>
      <c r="O8" s="99">
        <v>5.2</v>
      </c>
      <c r="P8" s="99">
        <v>5.39</v>
      </c>
      <c r="Q8" s="99">
        <v>5.41</v>
      </c>
      <c r="R8" s="99">
        <v>5.32</v>
      </c>
      <c r="S8" s="99">
        <v>5.15</v>
      </c>
      <c r="T8" s="99">
        <v>5.29</v>
      </c>
      <c r="U8" s="99">
        <v>5.29</v>
      </c>
      <c r="V8" s="99">
        <v>5.03</v>
      </c>
      <c r="W8" s="99">
        <v>4.68</v>
      </c>
      <c r="X8" s="99">
        <v>4.09</v>
      </c>
      <c r="Y8" s="99">
        <v>3.54</v>
      </c>
      <c r="Z8" s="103">
        <f>SUM(B8:Y8)</f>
        <v>103.57000000000004</v>
      </c>
      <c r="AA8" s="108">
        <v>10</v>
      </c>
      <c r="AB8" s="102">
        <f>+Z8*AA8</f>
        <v>1035.7000000000003</v>
      </c>
      <c r="AD8" s="30" t="s">
        <v>43</v>
      </c>
    </row>
    <row r="9" spans="1:30" x14ac:dyDescent="0.35">
      <c r="A9" s="58">
        <v>46296</v>
      </c>
      <c r="B9" s="41">
        <v>2.98</v>
      </c>
      <c r="C9" s="41">
        <v>2.77</v>
      </c>
      <c r="D9" s="41">
        <v>2.67</v>
      </c>
      <c r="E9" s="41">
        <v>2.63</v>
      </c>
      <c r="F9" s="41">
        <v>2.75</v>
      </c>
      <c r="G9" s="41">
        <v>3.03</v>
      </c>
      <c r="H9" s="41">
        <v>3.47</v>
      </c>
      <c r="I9" s="41">
        <v>3.88</v>
      </c>
      <c r="J9" s="41">
        <v>4.32</v>
      </c>
      <c r="K9" s="41">
        <v>4.63</v>
      </c>
      <c r="L9" s="41">
        <v>4.96</v>
      </c>
      <c r="M9" s="41">
        <v>5.24</v>
      </c>
      <c r="N9" s="41">
        <v>5.21</v>
      </c>
      <c r="O9" s="41">
        <v>5.21</v>
      </c>
      <c r="P9" s="41">
        <v>5.33</v>
      </c>
      <c r="Q9" s="41">
        <v>5.33</v>
      </c>
      <c r="R9" s="41">
        <v>5.21</v>
      </c>
      <c r="S9" s="41">
        <v>5.14</v>
      </c>
      <c r="T9" s="41">
        <v>5.34</v>
      </c>
      <c r="U9" s="41">
        <v>5.2</v>
      </c>
      <c r="V9" s="41">
        <v>4.92</v>
      </c>
      <c r="W9" s="41">
        <v>4.54</v>
      </c>
      <c r="X9" s="41">
        <v>3.97</v>
      </c>
      <c r="Y9" s="41">
        <v>3.42</v>
      </c>
      <c r="Z9" s="85">
        <f t="shared" ref="Z9:Z11" si="0">SUM(B9:Y9)</f>
        <v>102.15000000000002</v>
      </c>
      <c r="AA9" s="89">
        <v>21</v>
      </c>
      <c r="AB9" s="59">
        <f>+Z9*AA9</f>
        <v>2145.1500000000005</v>
      </c>
      <c r="AD9" s="30" t="s">
        <v>43</v>
      </c>
    </row>
    <row r="10" spans="1:30" x14ac:dyDescent="0.35">
      <c r="A10" s="58">
        <v>46327</v>
      </c>
      <c r="B10" s="41">
        <v>3.19</v>
      </c>
      <c r="C10" s="41">
        <v>2.96</v>
      </c>
      <c r="D10" s="41">
        <v>2.85</v>
      </c>
      <c r="E10" s="41">
        <v>2.82</v>
      </c>
      <c r="F10" s="41">
        <v>2.93</v>
      </c>
      <c r="G10" s="41">
        <v>3.25</v>
      </c>
      <c r="H10" s="41">
        <v>3.72</v>
      </c>
      <c r="I10" s="41">
        <v>4.13</v>
      </c>
      <c r="J10" s="41">
        <v>4.5599999999999996</v>
      </c>
      <c r="K10" s="41">
        <v>4.87</v>
      </c>
      <c r="L10" s="41">
        <v>5.16</v>
      </c>
      <c r="M10" s="41">
        <v>5.44</v>
      </c>
      <c r="N10" s="41">
        <v>5.39</v>
      </c>
      <c r="O10" s="41">
        <v>5.36</v>
      </c>
      <c r="P10" s="41">
        <v>5.49</v>
      </c>
      <c r="Q10" s="41">
        <v>5.5</v>
      </c>
      <c r="R10" s="41">
        <v>5.44</v>
      </c>
      <c r="S10" s="41">
        <v>5.43</v>
      </c>
      <c r="T10" s="41">
        <v>5.69</v>
      </c>
      <c r="U10" s="41">
        <v>5.57</v>
      </c>
      <c r="V10" s="41">
        <v>5.26</v>
      </c>
      <c r="W10" s="41">
        <v>4.8499999999999996</v>
      </c>
      <c r="X10" s="41">
        <v>4.2300000000000004</v>
      </c>
      <c r="Y10" s="41">
        <v>3.65</v>
      </c>
      <c r="Z10" s="85">
        <f t="shared" si="0"/>
        <v>107.74000000000001</v>
      </c>
      <c r="AA10" s="89">
        <v>19</v>
      </c>
      <c r="AB10" s="59">
        <f>+Z10*AA10</f>
        <v>2047.0600000000002</v>
      </c>
      <c r="AD10" s="30" t="s">
        <v>43</v>
      </c>
    </row>
    <row r="11" spans="1:30" ht="16" thickBot="1" x14ac:dyDescent="0.4">
      <c r="A11" s="60">
        <v>46357</v>
      </c>
      <c r="B11" s="44">
        <v>3.97</v>
      </c>
      <c r="C11" s="44">
        <v>3.67</v>
      </c>
      <c r="D11" s="44">
        <v>3.52</v>
      </c>
      <c r="E11" s="44">
        <v>3.45</v>
      </c>
      <c r="F11" s="44">
        <v>3.53</v>
      </c>
      <c r="G11" s="44">
        <v>3.77</v>
      </c>
      <c r="H11" s="44">
        <v>4.24</v>
      </c>
      <c r="I11" s="44">
        <v>4.7699999999999996</v>
      </c>
      <c r="J11" s="44">
        <v>5.38</v>
      </c>
      <c r="K11" s="44">
        <v>5.76</v>
      </c>
      <c r="L11" s="44">
        <v>6.08</v>
      </c>
      <c r="M11" s="44">
        <v>6.42</v>
      </c>
      <c r="N11" s="44">
        <v>6.45</v>
      </c>
      <c r="O11" s="44">
        <v>6.42</v>
      </c>
      <c r="P11" s="44">
        <v>6.52</v>
      </c>
      <c r="Q11" s="44">
        <v>6.53</v>
      </c>
      <c r="R11" s="44">
        <v>6.42</v>
      </c>
      <c r="S11" s="44">
        <v>6.33</v>
      </c>
      <c r="T11" s="44">
        <v>6.64</v>
      </c>
      <c r="U11" s="44">
        <v>6.61</v>
      </c>
      <c r="V11" s="44">
        <v>6.28</v>
      </c>
      <c r="W11" s="44">
        <v>5.85</v>
      </c>
      <c r="X11" s="44">
        <v>5.21</v>
      </c>
      <c r="Y11" s="44">
        <v>4.5599999999999996</v>
      </c>
      <c r="Z11" s="87">
        <f t="shared" si="0"/>
        <v>128.37999999999997</v>
      </c>
      <c r="AA11" s="90">
        <v>21</v>
      </c>
      <c r="AB11" s="61">
        <f>+Z11*AA11</f>
        <v>2695.9799999999991</v>
      </c>
      <c r="AD11" s="30" t="s">
        <v>43</v>
      </c>
    </row>
    <row r="12" spans="1:30" x14ac:dyDescent="0.35">
      <c r="A12" s="67"/>
      <c r="B12" s="68"/>
      <c r="C12" s="68"/>
      <c r="D12" s="68"/>
      <c r="E12" s="68"/>
      <c r="F12" s="68"/>
      <c r="G12" s="68"/>
      <c r="H12" s="68"/>
      <c r="I12" s="68"/>
      <c r="J12" s="68"/>
      <c r="K12" s="68"/>
      <c r="L12" s="68"/>
      <c r="M12" s="68"/>
      <c r="N12" s="68"/>
      <c r="O12" s="68"/>
      <c r="P12" s="68"/>
      <c r="Q12" s="68"/>
      <c r="R12" s="68"/>
      <c r="S12" s="68"/>
      <c r="T12" s="68"/>
      <c r="U12" s="68"/>
      <c r="V12" s="68"/>
      <c r="W12" s="68"/>
      <c r="X12" s="68"/>
      <c r="Y12" s="68"/>
      <c r="Z12" s="69"/>
      <c r="AA12" s="70"/>
      <c r="AB12" s="71"/>
    </row>
    <row r="13" spans="1:30" ht="16" thickBot="1" x14ac:dyDescent="0.4">
      <c r="A13"/>
      <c r="B13" s="62"/>
      <c r="C13" s="52"/>
      <c r="D13" s="52"/>
      <c r="E13" s="52"/>
      <c r="F13" s="52"/>
      <c r="G13" s="52"/>
      <c r="H13" s="52"/>
      <c r="I13" s="52"/>
      <c r="J13" s="52"/>
      <c r="K13" s="52"/>
      <c r="L13" s="52"/>
      <c r="M13" s="52"/>
      <c r="N13" s="52"/>
      <c r="O13" s="52"/>
      <c r="P13" s="52"/>
      <c r="Q13" s="52"/>
      <c r="R13" s="52"/>
      <c r="S13" s="52"/>
      <c r="T13" s="52"/>
      <c r="U13" s="52"/>
      <c r="V13" s="52"/>
      <c r="W13" s="52"/>
      <c r="X13" s="52"/>
      <c r="Y13" s="52"/>
      <c r="Z13" s="50"/>
      <c r="AA13" s="35"/>
      <c r="AB13"/>
    </row>
    <row r="14" spans="1:30" ht="16" thickBot="1" x14ac:dyDescent="0.4">
      <c r="A14" s="33" t="s">
        <v>44</v>
      </c>
      <c r="B14" s="52"/>
      <c r="C14" s="52"/>
      <c r="D14" s="52"/>
      <c r="E14" s="63"/>
      <c r="F14" s="52"/>
      <c r="G14" s="52"/>
      <c r="H14" s="52"/>
      <c r="I14" s="52"/>
      <c r="J14" s="52"/>
      <c r="K14" s="52"/>
      <c r="L14" s="52"/>
      <c r="M14" s="52"/>
      <c r="N14" s="52"/>
      <c r="O14" s="52"/>
      <c r="P14" s="52"/>
      <c r="Q14" s="52"/>
      <c r="R14" s="52"/>
      <c r="S14" s="52"/>
      <c r="T14" s="52"/>
      <c r="U14" s="52"/>
      <c r="V14" s="52"/>
      <c r="W14" s="52"/>
      <c r="X14" s="52"/>
      <c r="Y14" s="52"/>
      <c r="Z14" s="50"/>
      <c r="AA14" s="35"/>
      <c r="AB14"/>
    </row>
    <row r="15" spans="1:30" ht="16" thickBot="1" x14ac:dyDescent="0.4">
      <c r="A15"/>
      <c r="B15" s="62"/>
      <c r="C15" s="52"/>
      <c r="D15" s="52"/>
      <c r="E15" s="52"/>
      <c r="F15" s="52"/>
      <c r="G15" s="52"/>
      <c r="H15" s="52"/>
      <c r="I15" s="52"/>
      <c r="J15" s="52"/>
      <c r="K15" s="52"/>
      <c r="L15" s="52"/>
      <c r="M15" s="52"/>
      <c r="N15" s="52"/>
      <c r="O15" s="52"/>
      <c r="P15" s="52"/>
      <c r="Q15" s="52"/>
      <c r="R15" s="52"/>
      <c r="S15" s="52"/>
      <c r="T15" s="52"/>
      <c r="U15" s="52"/>
      <c r="V15" s="52"/>
      <c r="W15" s="52"/>
      <c r="X15" s="52"/>
      <c r="Y15" s="52"/>
      <c r="Z15" s="50"/>
      <c r="AA15"/>
      <c r="AB15"/>
    </row>
    <row r="16" spans="1:30" ht="16" thickBot="1" x14ac:dyDescent="0.4">
      <c r="A16" s="53" t="s">
        <v>10</v>
      </c>
      <c r="B16" s="54" t="s">
        <v>11</v>
      </c>
      <c r="C16" s="54" t="s">
        <v>12</v>
      </c>
      <c r="D16" s="54" t="s">
        <v>13</v>
      </c>
      <c r="E16" s="54" t="s">
        <v>14</v>
      </c>
      <c r="F16" s="54" t="s">
        <v>15</v>
      </c>
      <c r="G16" s="54" t="s">
        <v>16</v>
      </c>
      <c r="H16" s="54" t="s">
        <v>17</v>
      </c>
      <c r="I16" s="54" t="s">
        <v>18</v>
      </c>
      <c r="J16" s="54" t="s">
        <v>19</v>
      </c>
      <c r="K16" s="54" t="s">
        <v>20</v>
      </c>
      <c r="L16" s="54" t="s">
        <v>21</v>
      </c>
      <c r="M16" s="54" t="s">
        <v>22</v>
      </c>
      <c r="N16" s="54" t="s">
        <v>23</v>
      </c>
      <c r="O16" s="54" t="s">
        <v>24</v>
      </c>
      <c r="P16" s="54" t="s">
        <v>25</v>
      </c>
      <c r="Q16" s="54" t="s">
        <v>26</v>
      </c>
      <c r="R16" s="54" t="s">
        <v>27</v>
      </c>
      <c r="S16" s="54" t="s">
        <v>28</v>
      </c>
      <c r="T16" s="54" t="s">
        <v>29</v>
      </c>
      <c r="U16" s="54" t="s">
        <v>30</v>
      </c>
      <c r="V16" s="54" t="s">
        <v>31</v>
      </c>
      <c r="W16" s="54" t="s">
        <v>32</v>
      </c>
      <c r="X16" s="54" t="s">
        <v>33</v>
      </c>
      <c r="Y16" s="54" t="s">
        <v>34</v>
      </c>
      <c r="Z16" s="54" t="s">
        <v>6</v>
      </c>
      <c r="AA16" s="34" t="s">
        <v>35</v>
      </c>
      <c r="AB16" s="55"/>
    </row>
    <row r="17" spans="1:33" x14ac:dyDescent="0.35">
      <c r="A17" s="98">
        <v>46266</v>
      </c>
      <c r="B17" s="99">
        <v>3.27</v>
      </c>
      <c r="C17" s="99">
        <v>3.02</v>
      </c>
      <c r="D17" s="99">
        <v>2.87</v>
      </c>
      <c r="E17" s="99">
        <v>2.8</v>
      </c>
      <c r="F17" s="99">
        <v>2.83</v>
      </c>
      <c r="G17" s="99">
        <v>2.91</v>
      </c>
      <c r="H17" s="99">
        <v>3.23</v>
      </c>
      <c r="I17" s="99">
        <v>3.66</v>
      </c>
      <c r="J17" s="99">
        <v>4.1399999999999997</v>
      </c>
      <c r="K17" s="99">
        <v>4.51</v>
      </c>
      <c r="L17" s="99">
        <v>4.76</v>
      </c>
      <c r="M17" s="99">
        <v>4.91</v>
      </c>
      <c r="N17" s="99">
        <v>4.99</v>
      </c>
      <c r="O17" s="99">
        <v>4.79</v>
      </c>
      <c r="P17" s="99">
        <v>4.72</v>
      </c>
      <c r="Q17" s="99">
        <v>4.6500000000000004</v>
      </c>
      <c r="R17" s="99">
        <v>4.59</v>
      </c>
      <c r="S17" s="99">
        <v>4.6399999999999997</v>
      </c>
      <c r="T17" s="99">
        <v>4.87</v>
      </c>
      <c r="U17" s="99">
        <v>4.88</v>
      </c>
      <c r="V17" s="99">
        <v>4.6100000000000003</v>
      </c>
      <c r="W17" s="99">
        <v>4.3099999999999996</v>
      </c>
      <c r="X17" s="99">
        <v>3.93</v>
      </c>
      <c r="Y17" s="99">
        <v>3.52</v>
      </c>
      <c r="Z17" s="103">
        <f t="shared" ref="Z17:Z20" si="1">SUM(B17:Y17)</f>
        <v>97.41</v>
      </c>
      <c r="AA17" s="108">
        <v>2</v>
      </c>
      <c r="AB17" s="102">
        <f>+Z17*AA17</f>
        <v>194.82</v>
      </c>
      <c r="AD17" s="30" t="s">
        <v>45</v>
      </c>
      <c r="AG17" s="66"/>
    </row>
    <row r="18" spans="1:33" x14ac:dyDescent="0.35">
      <c r="A18" s="58">
        <v>46296</v>
      </c>
      <c r="B18" s="41">
        <v>3.11</v>
      </c>
      <c r="C18" s="41">
        <v>2.89</v>
      </c>
      <c r="D18" s="41">
        <v>2.75</v>
      </c>
      <c r="E18" s="41">
        <v>2.69</v>
      </c>
      <c r="F18" s="41">
        <v>2.72</v>
      </c>
      <c r="G18" s="41">
        <v>2.8</v>
      </c>
      <c r="H18" s="41">
        <v>3.13</v>
      </c>
      <c r="I18" s="41">
        <v>3.56</v>
      </c>
      <c r="J18" s="41">
        <v>3.98</v>
      </c>
      <c r="K18" s="41">
        <v>4.3499999999999996</v>
      </c>
      <c r="L18" s="41">
        <v>4.5999999999999996</v>
      </c>
      <c r="M18" s="41">
        <v>4.84</v>
      </c>
      <c r="N18" s="41">
        <v>4.8499999999999996</v>
      </c>
      <c r="O18" s="41">
        <v>4.7</v>
      </c>
      <c r="P18" s="41">
        <v>4.7</v>
      </c>
      <c r="Q18" s="41">
        <v>4.67</v>
      </c>
      <c r="R18" s="41">
        <v>4.66</v>
      </c>
      <c r="S18" s="41">
        <v>4.72</v>
      </c>
      <c r="T18" s="41">
        <v>5.04</v>
      </c>
      <c r="U18" s="41">
        <v>4.96</v>
      </c>
      <c r="V18" s="41">
        <v>4.7</v>
      </c>
      <c r="W18" s="41">
        <v>4.4000000000000004</v>
      </c>
      <c r="X18" s="41">
        <v>3.99</v>
      </c>
      <c r="Y18" s="41">
        <v>3.56</v>
      </c>
      <c r="Z18" s="85">
        <f t="shared" si="1"/>
        <v>96.370000000000019</v>
      </c>
      <c r="AA18" s="89">
        <v>5</v>
      </c>
      <c r="AB18" s="59">
        <f>+Z18*AA18</f>
        <v>481.85000000000008</v>
      </c>
      <c r="AD18" s="30" t="s">
        <v>45</v>
      </c>
      <c r="AG18" s="66"/>
    </row>
    <row r="19" spans="1:33" x14ac:dyDescent="0.35">
      <c r="A19" s="58">
        <v>46327</v>
      </c>
      <c r="B19" s="41">
        <v>3.27</v>
      </c>
      <c r="C19" s="41">
        <v>3.02</v>
      </c>
      <c r="D19" s="41">
        <v>2.89</v>
      </c>
      <c r="E19" s="41">
        <v>2.82</v>
      </c>
      <c r="F19" s="41">
        <v>2.87</v>
      </c>
      <c r="G19" s="41">
        <v>2.95</v>
      </c>
      <c r="H19" s="41">
        <v>3.31</v>
      </c>
      <c r="I19" s="41">
        <v>3.78</v>
      </c>
      <c r="J19" s="41">
        <v>4.28</v>
      </c>
      <c r="K19" s="41">
        <v>4.63</v>
      </c>
      <c r="L19" s="41">
        <v>4.8600000000000003</v>
      </c>
      <c r="M19" s="41">
        <v>5.08</v>
      </c>
      <c r="N19" s="41">
        <v>5.08</v>
      </c>
      <c r="O19" s="41">
        <v>4.9800000000000004</v>
      </c>
      <c r="P19" s="41">
        <v>4.9000000000000004</v>
      </c>
      <c r="Q19" s="41">
        <v>4.9000000000000004</v>
      </c>
      <c r="R19" s="41">
        <v>4.87</v>
      </c>
      <c r="S19" s="41">
        <v>4.9800000000000004</v>
      </c>
      <c r="T19" s="41">
        <v>5.38</v>
      </c>
      <c r="U19" s="41">
        <v>5.3</v>
      </c>
      <c r="V19" s="41">
        <v>5.0199999999999996</v>
      </c>
      <c r="W19" s="41">
        <v>4.7</v>
      </c>
      <c r="X19" s="41">
        <v>4.26</v>
      </c>
      <c r="Y19" s="41">
        <v>3.79</v>
      </c>
      <c r="Z19" s="85">
        <f t="shared" si="1"/>
        <v>101.92</v>
      </c>
      <c r="AA19" s="89">
        <v>4</v>
      </c>
      <c r="AB19" s="59">
        <f>+Z19*AA19</f>
        <v>407.68</v>
      </c>
      <c r="AD19" s="30" t="s">
        <v>45</v>
      </c>
      <c r="AG19" s="66"/>
    </row>
    <row r="20" spans="1:33" ht="16" thickBot="1" x14ac:dyDescent="0.4">
      <c r="A20" s="60">
        <v>46357</v>
      </c>
      <c r="B20" s="44">
        <v>4.1100000000000003</v>
      </c>
      <c r="C20" s="44">
        <v>3.79</v>
      </c>
      <c r="D20" s="44">
        <v>3.61</v>
      </c>
      <c r="E20" s="44">
        <v>3.5</v>
      </c>
      <c r="F20" s="44">
        <v>3.53</v>
      </c>
      <c r="G20" s="44">
        <v>3.68</v>
      </c>
      <c r="H20" s="44">
        <v>4.04</v>
      </c>
      <c r="I20" s="44">
        <v>4.54</v>
      </c>
      <c r="J20" s="44">
        <v>5.12</v>
      </c>
      <c r="K20" s="44">
        <v>5.57</v>
      </c>
      <c r="L20" s="44">
        <v>5.87</v>
      </c>
      <c r="M20" s="44">
        <v>6.1</v>
      </c>
      <c r="N20" s="44">
        <v>6.1</v>
      </c>
      <c r="O20" s="44">
        <v>5.97</v>
      </c>
      <c r="P20" s="44">
        <v>5.89</v>
      </c>
      <c r="Q20" s="44">
        <v>5.83</v>
      </c>
      <c r="R20" s="44">
        <v>5.8</v>
      </c>
      <c r="S20" s="44">
        <v>5.82</v>
      </c>
      <c r="T20" s="44">
        <v>6.25</v>
      </c>
      <c r="U20" s="44">
        <v>6.23</v>
      </c>
      <c r="V20" s="44">
        <v>5.92</v>
      </c>
      <c r="W20" s="44">
        <v>5.55</v>
      </c>
      <c r="X20" s="44">
        <v>5.08</v>
      </c>
      <c r="Y20" s="44">
        <v>4.57</v>
      </c>
      <c r="Z20" s="87">
        <f t="shared" si="1"/>
        <v>122.47</v>
      </c>
      <c r="AA20" s="90">
        <v>4</v>
      </c>
      <c r="AB20" s="61">
        <f>+Z20*AA20</f>
        <v>489.88</v>
      </c>
      <c r="AD20" s="30" t="s">
        <v>45</v>
      </c>
      <c r="AG20" s="66"/>
    </row>
    <row r="21" spans="1:33" ht="16" thickBot="1" x14ac:dyDescent="0.4">
      <c r="A21"/>
      <c r="B21" s="62"/>
      <c r="C21" s="52"/>
      <c r="D21" s="52"/>
      <c r="E21" s="52"/>
      <c r="F21" s="52"/>
      <c r="G21" s="52"/>
      <c r="H21" s="52"/>
      <c r="I21" s="52"/>
      <c r="J21" s="52"/>
      <c r="K21" s="52"/>
      <c r="L21" s="52"/>
      <c r="M21" s="52"/>
      <c r="N21" s="52"/>
      <c r="O21" s="52"/>
      <c r="P21" s="52"/>
      <c r="Q21" s="52"/>
      <c r="R21" s="52"/>
      <c r="S21" s="52"/>
      <c r="T21" s="52"/>
      <c r="U21" s="52"/>
      <c r="V21" s="52"/>
      <c r="W21" s="52"/>
      <c r="X21" s="52"/>
      <c r="Y21" s="52"/>
      <c r="Z21" s="50"/>
      <c r="AA21" s="35"/>
      <c r="AB21"/>
    </row>
    <row r="22" spans="1:33" ht="16" thickBot="1" x14ac:dyDescent="0.4">
      <c r="A22" s="33" t="s">
        <v>46</v>
      </c>
      <c r="B22" s="52"/>
      <c r="C22" s="52"/>
      <c r="D22" s="52"/>
      <c r="E22" s="63"/>
      <c r="F22" s="52"/>
      <c r="G22" s="52"/>
      <c r="H22" s="52"/>
      <c r="I22" s="52"/>
      <c r="J22" s="52"/>
      <c r="K22" s="52"/>
      <c r="L22" s="52"/>
      <c r="M22" s="52"/>
      <c r="N22" s="52"/>
      <c r="O22" s="52"/>
      <c r="P22" s="52"/>
      <c r="Q22" s="52"/>
      <c r="R22" s="52"/>
      <c r="S22" s="52"/>
      <c r="T22" s="52"/>
      <c r="U22" s="52"/>
      <c r="V22" s="52"/>
      <c r="W22" s="52"/>
      <c r="X22" s="52"/>
      <c r="Y22" s="52"/>
      <c r="Z22" s="50"/>
      <c r="AA22" s="35"/>
      <c r="AB22"/>
    </row>
    <row r="23" spans="1:33" ht="16" thickBot="1" x14ac:dyDescent="0.4">
      <c r="A23"/>
      <c r="B23" s="62"/>
      <c r="C23" s="52"/>
      <c r="D23" s="52"/>
      <c r="E23" s="52"/>
      <c r="F23" s="52"/>
      <c r="G23" s="52"/>
      <c r="H23" s="52"/>
      <c r="I23" s="52"/>
      <c r="J23" s="52"/>
      <c r="K23" s="52"/>
      <c r="L23" s="52"/>
      <c r="M23" s="52"/>
      <c r="N23" s="52"/>
      <c r="O23" s="52"/>
      <c r="P23" s="52"/>
      <c r="Q23" s="52"/>
      <c r="R23" s="52"/>
      <c r="S23" s="52"/>
      <c r="T23" s="52"/>
      <c r="U23" s="52"/>
      <c r="V23" s="52"/>
      <c r="W23" s="52"/>
      <c r="X23" s="52"/>
      <c r="Y23" s="52"/>
      <c r="Z23" s="50"/>
      <c r="AA23"/>
      <c r="AB23"/>
    </row>
    <row r="24" spans="1:33" ht="16" thickBot="1" x14ac:dyDescent="0.4">
      <c r="A24" s="53" t="s">
        <v>10</v>
      </c>
      <c r="B24" s="54" t="s">
        <v>11</v>
      </c>
      <c r="C24" s="54" t="s">
        <v>12</v>
      </c>
      <c r="D24" s="54" t="s">
        <v>13</v>
      </c>
      <c r="E24" s="54" t="s">
        <v>14</v>
      </c>
      <c r="F24" s="54" t="s">
        <v>15</v>
      </c>
      <c r="G24" s="54" t="s">
        <v>16</v>
      </c>
      <c r="H24" s="54" t="s">
        <v>17</v>
      </c>
      <c r="I24" s="54" t="s">
        <v>18</v>
      </c>
      <c r="J24" s="54" t="s">
        <v>19</v>
      </c>
      <c r="K24" s="54" t="s">
        <v>20</v>
      </c>
      <c r="L24" s="54" t="s">
        <v>21</v>
      </c>
      <c r="M24" s="54" t="s">
        <v>22</v>
      </c>
      <c r="N24" s="54" t="s">
        <v>23</v>
      </c>
      <c r="O24" s="54" t="s">
        <v>24</v>
      </c>
      <c r="P24" s="54" t="s">
        <v>25</v>
      </c>
      <c r="Q24" s="54" t="s">
        <v>26</v>
      </c>
      <c r="R24" s="54" t="s">
        <v>27</v>
      </c>
      <c r="S24" s="54" t="s">
        <v>28</v>
      </c>
      <c r="T24" s="54" t="s">
        <v>29</v>
      </c>
      <c r="U24" s="54" t="s">
        <v>30</v>
      </c>
      <c r="V24" s="54" t="s">
        <v>31</v>
      </c>
      <c r="W24" s="54" t="s">
        <v>32</v>
      </c>
      <c r="X24" s="54" t="s">
        <v>33</v>
      </c>
      <c r="Y24" s="54" t="s">
        <v>34</v>
      </c>
      <c r="Z24" s="54" t="s">
        <v>6</v>
      </c>
      <c r="AA24" s="34" t="s">
        <v>35</v>
      </c>
      <c r="AB24" s="55"/>
    </row>
    <row r="25" spans="1:33" x14ac:dyDescent="0.35">
      <c r="A25" s="98">
        <v>46266</v>
      </c>
      <c r="B25" s="99">
        <v>3.19</v>
      </c>
      <c r="C25" s="99">
        <v>2.94</v>
      </c>
      <c r="D25" s="99">
        <v>2.8</v>
      </c>
      <c r="E25" s="99">
        <v>2.7</v>
      </c>
      <c r="F25" s="99">
        <v>2.68</v>
      </c>
      <c r="G25" s="99">
        <v>2.68</v>
      </c>
      <c r="H25" s="99">
        <v>2.8</v>
      </c>
      <c r="I25" s="99">
        <v>3</v>
      </c>
      <c r="J25" s="99">
        <v>3.29</v>
      </c>
      <c r="K25" s="99">
        <v>3.53</v>
      </c>
      <c r="L25" s="99">
        <v>3.72</v>
      </c>
      <c r="M25" s="99">
        <v>3.83</v>
      </c>
      <c r="N25" s="99">
        <v>4.09</v>
      </c>
      <c r="O25" s="99">
        <v>4.12</v>
      </c>
      <c r="P25" s="99">
        <v>4.12</v>
      </c>
      <c r="Q25" s="99">
        <v>4.0999999999999996</v>
      </c>
      <c r="R25" s="99">
        <v>4.13</v>
      </c>
      <c r="S25" s="99">
        <v>4.22</v>
      </c>
      <c r="T25" s="99">
        <v>4.54</v>
      </c>
      <c r="U25" s="99">
        <v>4.6900000000000004</v>
      </c>
      <c r="V25" s="99">
        <v>4.57</v>
      </c>
      <c r="W25" s="99">
        <v>4.2699999999999996</v>
      </c>
      <c r="X25" s="99">
        <v>3.8</v>
      </c>
      <c r="Y25" s="99">
        <v>3.31</v>
      </c>
      <c r="Z25" s="103">
        <f t="shared" ref="Z25:Z28" si="2">SUM(B25:Y25)</f>
        <v>87.12</v>
      </c>
      <c r="AA25" s="108">
        <v>2</v>
      </c>
      <c r="AB25" s="102">
        <f>+Z25*AA25</f>
        <v>174.24</v>
      </c>
      <c r="AD25" s="30" t="s">
        <v>47</v>
      </c>
      <c r="AG25" s="66"/>
    </row>
    <row r="26" spans="1:33" x14ac:dyDescent="0.35">
      <c r="A26" s="58">
        <v>46296</v>
      </c>
      <c r="B26" s="41">
        <v>3.17</v>
      </c>
      <c r="C26" s="41">
        <v>2.93</v>
      </c>
      <c r="D26" s="41">
        <v>2.8</v>
      </c>
      <c r="E26" s="41">
        <v>2.71</v>
      </c>
      <c r="F26" s="41">
        <v>2.69</v>
      </c>
      <c r="G26" s="41">
        <v>2.66</v>
      </c>
      <c r="H26" s="41">
        <v>2.79</v>
      </c>
      <c r="I26" s="41">
        <v>3.02</v>
      </c>
      <c r="J26" s="41">
        <v>3.32</v>
      </c>
      <c r="K26" s="41">
        <v>3.58</v>
      </c>
      <c r="L26" s="41">
        <v>3.82</v>
      </c>
      <c r="M26" s="41">
        <v>4.01</v>
      </c>
      <c r="N26" s="41">
        <v>4.0999999999999996</v>
      </c>
      <c r="O26" s="41">
        <v>4.0599999999999996</v>
      </c>
      <c r="P26" s="41">
        <v>4.03</v>
      </c>
      <c r="Q26" s="41">
        <v>3.94</v>
      </c>
      <c r="R26" s="41">
        <v>3.93</v>
      </c>
      <c r="S26" s="41">
        <v>4.0599999999999996</v>
      </c>
      <c r="T26" s="41">
        <v>4.4400000000000004</v>
      </c>
      <c r="U26" s="41">
        <v>4.49</v>
      </c>
      <c r="V26" s="41">
        <v>4.3600000000000003</v>
      </c>
      <c r="W26" s="41">
        <v>4.07</v>
      </c>
      <c r="X26" s="41">
        <v>3.62</v>
      </c>
      <c r="Y26" s="41">
        <v>3.18</v>
      </c>
      <c r="Z26" s="85">
        <f t="shared" si="2"/>
        <v>85.78</v>
      </c>
      <c r="AA26" s="89">
        <v>4</v>
      </c>
      <c r="AB26" s="59">
        <f>+Z26*AA26</f>
        <v>343.12</v>
      </c>
      <c r="AD26" s="30" t="s">
        <v>47</v>
      </c>
      <c r="AG26" s="66"/>
    </row>
    <row r="27" spans="1:33" x14ac:dyDescent="0.35">
      <c r="A27" s="58">
        <v>46327</v>
      </c>
      <c r="B27" s="41">
        <v>3.28</v>
      </c>
      <c r="C27" s="41">
        <v>3.03</v>
      </c>
      <c r="D27" s="41">
        <v>2.87</v>
      </c>
      <c r="E27" s="41">
        <v>2.78</v>
      </c>
      <c r="F27" s="41">
        <v>2.77</v>
      </c>
      <c r="G27" s="41">
        <v>2.74</v>
      </c>
      <c r="H27" s="41">
        <v>2.74</v>
      </c>
      <c r="I27" s="41">
        <v>2.72</v>
      </c>
      <c r="J27" s="41">
        <v>2.93</v>
      </c>
      <c r="K27" s="41">
        <v>3.09</v>
      </c>
      <c r="L27" s="41">
        <v>3.58</v>
      </c>
      <c r="M27" s="41">
        <v>3.85</v>
      </c>
      <c r="N27" s="41">
        <v>4.3499999999999996</v>
      </c>
      <c r="O27" s="41">
        <v>4.4000000000000004</v>
      </c>
      <c r="P27" s="41">
        <v>4.32</v>
      </c>
      <c r="Q27" s="41">
        <v>4.3099999999999996</v>
      </c>
      <c r="R27" s="41">
        <v>4.3099999999999996</v>
      </c>
      <c r="S27" s="41">
        <v>4.41</v>
      </c>
      <c r="T27" s="41">
        <v>4.7699999999999996</v>
      </c>
      <c r="U27" s="41">
        <v>4.8</v>
      </c>
      <c r="V27" s="41">
        <v>4.6900000000000004</v>
      </c>
      <c r="W27" s="41">
        <v>4.41</v>
      </c>
      <c r="X27" s="41">
        <v>3.95</v>
      </c>
      <c r="Y27" s="41">
        <v>3.47</v>
      </c>
      <c r="Z27" s="85">
        <f t="shared" si="2"/>
        <v>88.57</v>
      </c>
      <c r="AA27" s="89">
        <v>5</v>
      </c>
      <c r="AB27" s="59">
        <f>+Z27*AA27</f>
        <v>442.84999999999997</v>
      </c>
      <c r="AD27" s="30" t="s">
        <v>47</v>
      </c>
      <c r="AG27" s="66"/>
    </row>
    <row r="28" spans="1:33" ht="16" thickBot="1" x14ac:dyDescent="0.4">
      <c r="A28" s="60">
        <v>46357</v>
      </c>
      <c r="B28" s="44">
        <v>4.12</v>
      </c>
      <c r="C28" s="44">
        <v>3.82</v>
      </c>
      <c r="D28" s="44">
        <v>3.62</v>
      </c>
      <c r="E28" s="44">
        <v>3.49</v>
      </c>
      <c r="F28" s="44">
        <v>3.42</v>
      </c>
      <c r="G28" s="44">
        <v>3.41</v>
      </c>
      <c r="H28" s="44">
        <v>3.47</v>
      </c>
      <c r="I28" s="44">
        <v>3.5</v>
      </c>
      <c r="J28" s="44">
        <v>3.82</v>
      </c>
      <c r="K28" s="44">
        <v>3.84</v>
      </c>
      <c r="L28" s="44">
        <v>3.9</v>
      </c>
      <c r="M28" s="44">
        <v>4.37</v>
      </c>
      <c r="N28" s="44">
        <v>4.62</v>
      </c>
      <c r="O28" s="44">
        <v>5.08</v>
      </c>
      <c r="P28" s="44">
        <v>5.13</v>
      </c>
      <c r="Q28" s="44">
        <v>5.13</v>
      </c>
      <c r="R28" s="44">
        <v>5.15</v>
      </c>
      <c r="S28" s="44">
        <v>5.23</v>
      </c>
      <c r="T28" s="44">
        <v>5.72</v>
      </c>
      <c r="U28" s="44">
        <v>5.82</v>
      </c>
      <c r="V28" s="44">
        <v>5.66</v>
      </c>
      <c r="W28" s="44">
        <v>5.34</v>
      </c>
      <c r="X28" s="44">
        <v>4.83</v>
      </c>
      <c r="Y28" s="44">
        <v>4.26</v>
      </c>
      <c r="Z28" s="87">
        <f t="shared" si="2"/>
        <v>106.75</v>
      </c>
      <c r="AA28" s="90">
        <v>6</v>
      </c>
      <c r="AB28" s="61">
        <f>+Z28*AA28</f>
        <v>640.5</v>
      </c>
      <c r="AD28" s="30" t="s">
        <v>47</v>
      </c>
      <c r="AG28" s="66"/>
    </row>
    <row r="29" spans="1:33" ht="16" thickBot="1" x14ac:dyDescent="0.4">
      <c r="A29"/>
      <c r="B29" s="62"/>
      <c r="C29" s="52"/>
      <c r="D29" s="52"/>
      <c r="E29" s="52"/>
      <c r="F29" s="52"/>
      <c r="G29" s="52"/>
      <c r="H29" s="52"/>
      <c r="I29" s="52"/>
      <c r="J29" s="52"/>
      <c r="K29" s="52"/>
      <c r="L29" s="52"/>
      <c r="M29" s="52"/>
      <c r="N29" s="52"/>
      <c r="O29" s="52"/>
      <c r="P29" s="52"/>
      <c r="Q29" s="52"/>
      <c r="R29" s="52"/>
      <c r="S29" s="52"/>
      <c r="T29" s="52"/>
      <c r="U29" s="52"/>
      <c r="V29" s="52"/>
      <c r="W29" s="52"/>
      <c r="X29" s="52"/>
      <c r="Y29" s="52"/>
      <c r="Z29" s="50"/>
      <c r="AA29" s="35"/>
      <c r="AB29"/>
    </row>
    <row r="30" spans="1:33" ht="16" thickBot="1" x14ac:dyDescent="0.4">
      <c r="A30" s="33" t="s">
        <v>48</v>
      </c>
      <c r="B30" s="52"/>
      <c r="C30" s="52"/>
      <c r="D30" s="52"/>
      <c r="E30" s="63"/>
      <c r="F30" s="52"/>
      <c r="G30" s="52"/>
      <c r="H30" s="52"/>
      <c r="I30" s="52"/>
      <c r="J30" s="52"/>
      <c r="K30" s="52"/>
      <c r="L30" s="52"/>
      <c r="M30" s="52"/>
      <c r="N30" s="52"/>
      <c r="O30" s="52"/>
      <c r="P30" s="52"/>
      <c r="Q30" s="52"/>
      <c r="R30" s="52"/>
      <c r="S30" s="52"/>
      <c r="T30" s="52"/>
      <c r="U30" s="52"/>
      <c r="V30" s="52"/>
      <c r="W30" s="52"/>
      <c r="X30" s="52"/>
      <c r="Y30" s="52"/>
      <c r="Z30" s="50"/>
      <c r="AA30" s="35"/>
      <c r="AB30"/>
    </row>
    <row r="31" spans="1:33" ht="16" thickBot="1" x14ac:dyDescent="0.4">
      <c r="A31"/>
      <c r="B31" s="62"/>
      <c r="C31" s="52"/>
      <c r="D31" s="52"/>
      <c r="E31" s="52"/>
      <c r="F31" s="52"/>
      <c r="G31" s="52"/>
      <c r="H31" s="52"/>
      <c r="I31" s="52"/>
      <c r="J31" s="52"/>
      <c r="K31" s="52"/>
      <c r="L31" s="52"/>
      <c r="M31" s="52"/>
      <c r="N31" s="52"/>
      <c r="O31" s="52"/>
      <c r="P31" s="52"/>
      <c r="Q31" s="52"/>
      <c r="R31" s="52"/>
      <c r="S31" s="52"/>
      <c r="T31" s="52"/>
      <c r="U31" s="52"/>
      <c r="V31" s="52"/>
      <c r="W31" s="52"/>
      <c r="X31" s="52"/>
      <c r="Y31" s="52"/>
      <c r="Z31" s="50"/>
      <c r="AA31"/>
      <c r="AB31"/>
    </row>
    <row r="32" spans="1:33" ht="16" thickBot="1" x14ac:dyDescent="0.4">
      <c r="A32" s="53" t="s">
        <v>10</v>
      </c>
      <c r="B32" s="54" t="s">
        <v>11</v>
      </c>
      <c r="C32" s="54" t="s">
        <v>12</v>
      </c>
      <c r="D32" s="54" t="s">
        <v>13</v>
      </c>
      <c r="E32" s="54" t="s">
        <v>14</v>
      </c>
      <c r="F32" s="54" t="s">
        <v>15</v>
      </c>
      <c r="G32" s="54" t="s">
        <v>16</v>
      </c>
      <c r="H32" s="54" t="s">
        <v>17</v>
      </c>
      <c r="I32" s="54" t="s">
        <v>18</v>
      </c>
      <c r="J32" s="54" t="s">
        <v>19</v>
      </c>
      <c r="K32" s="54" t="s">
        <v>20</v>
      </c>
      <c r="L32" s="54" t="s">
        <v>21</v>
      </c>
      <c r="M32" s="54" t="s">
        <v>22</v>
      </c>
      <c r="N32" s="54" t="s">
        <v>23</v>
      </c>
      <c r="O32" s="54" t="s">
        <v>24</v>
      </c>
      <c r="P32" s="54" t="s">
        <v>25</v>
      </c>
      <c r="Q32" s="54" t="s">
        <v>26</v>
      </c>
      <c r="R32" s="54" t="s">
        <v>27</v>
      </c>
      <c r="S32" s="54" t="s">
        <v>28</v>
      </c>
      <c r="T32" s="54" t="s">
        <v>29</v>
      </c>
      <c r="U32" s="54" t="s">
        <v>30</v>
      </c>
      <c r="V32" s="54" t="s">
        <v>31</v>
      </c>
      <c r="W32" s="54" t="s">
        <v>32</v>
      </c>
      <c r="X32" s="54" t="s">
        <v>33</v>
      </c>
      <c r="Y32" s="54" t="s">
        <v>34</v>
      </c>
      <c r="Z32" s="54" t="s">
        <v>6</v>
      </c>
      <c r="AA32" s="34" t="s">
        <v>35</v>
      </c>
      <c r="AB32" s="55"/>
    </row>
    <row r="33" spans="1:33" x14ac:dyDescent="0.35">
      <c r="A33" s="56">
        <v>46266</v>
      </c>
      <c r="B33" s="41">
        <v>3.19</v>
      </c>
      <c r="C33" s="41">
        <v>2.94</v>
      </c>
      <c r="D33" s="41">
        <v>2.8</v>
      </c>
      <c r="E33" s="41">
        <v>2.7</v>
      </c>
      <c r="F33" s="41">
        <v>2.68</v>
      </c>
      <c r="G33" s="41">
        <v>2.68</v>
      </c>
      <c r="H33" s="41">
        <v>2.8</v>
      </c>
      <c r="I33" s="41">
        <v>3</v>
      </c>
      <c r="J33" s="41">
        <v>3.29</v>
      </c>
      <c r="K33" s="41">
        <v>3.53</v>
      </c>
      <c r="L33" s="41">
        <v>3.72</v>
      </c>
      <c r="M33" s="41">
        <v>3.83</v>
      </c>
      <c r="N33" s="41">
        <v>4.09</v>
      </c>
      <c r="O33" s="41">
        <v>4.12</v>
      </c>
      <c r="P33" s="41">
        <v>4.12</v>
      </c>
      <c r="Q33" s="41">
        <v>4.0999999999999996</v>
      </c>
      <c r="R33" s="41">
        <v>4.13</v>
      </c>
      <c r="S33" s="41">
        <v>4.22</v>
      </c>
      <c r="T33" s="41">
        <v>4.54</v>
      </c>
      <c r="U33" s="41">
        <v>4.6900000000000004</v>
      </c>
      <c r="V33" s="41">
        <v>4.57</v>
      </c>
      <c r="W33" s="41">
        <v>4.2699999999999996</v>
      </c>
      <c r="X33" s="41">
        <v>3.8</v>
      </c>
      <c r="Y33" s="41">
        <v>3.31</v>
      </c>
      <c r="Z33" s="72">
        <f t="shared" ref="Z33:Z36" si="3">SUM(B33:Y33)</f>
        <v>87.12</v>
      </c>
      <c r="AA33" s="88">
        <v>0</v>
      </c>
      <c r="AB33" s="57">
        <f>+Z33*AA33</f>
        <v>0</v>
      </c>
      <c r="AD33" s="30" t="s">
        <v>49</v>
      </c>
      <c r="AG33" s="66"/>
    </row>
    <row r="34" spans="1:33" x14ac:dyDescent="0.35">
      <c r="A34" s="58">
        <v>46296</v>
      </c>
      <c r="B34" s="41">
        <v>2.93</v>
      </c>
      <c r="C34" s="41">
        <v>2.73</v>
      </c>
      <c r="D34" s="41">
        <v>2.61</v>
      </c>
      <c r="E34" s="41">
        <v>2.5499999999999998</v>
      </c>
      <c r="F34" s="41">
        <v>2.56</v>
      </c>
      <c r="G34" s="41">
        <v>2.4</v>
      </c>
      <c r="H34" s="41">
        <v>2.58</v>
      </c>
      <c r="I34" s="41">
        <v>2.84</v>
      </c>
      <c r="J34" s="41">
        <v>3.24</v>
      </c>
      <c r="K34" s="41">
        <v>3.55</v>
      </c>
      <c r="L34" s="41">
        <v>3.86</v>
      </c>
      <c r="M34" s="41">
        <v>4.18</v>
      </c>
      <c r="N34" s="41">
        <v>4.33</v>
      </c>
      <c r="O34" s="41">
        <v>4.3499999999999996</v>
      </c>
      <c r="P34" s="41">
        <v>4.34</v>
      </c>
      <c r="Q34" s="41">
        <v>4.28</v>
      </c>
      <c r="R34" s="41">
        <v>4.26</v>
      </c>
      <c r="S34" s="41">
        <v>4.37</v>
      </c>
      <c r="T34" s="41">
        <v>4.79</v>
      </c>
      <c r="U34" s="41">
        <v>4.8499999999999996</v>
      </c>
      <c r="V34" s="41">
        <v>4.6900000000000004</v>
      </c>
      <c r="W34" s="41">
        <v>4.34</v>
      </c>
      <c r="X34" s="41">
        <v>3.81</v>
      </c>
      <c r="Y34" s="41">
        <v>3.34</v>
      </c>
      <c r="Z34" s="42">
        <f t="shared" si="3"/>
        <v>87.78</v>
      </c>
      <c r="AA34" s="89">
        <v>1</v>
      </c>
      <c r="AB34" s="59">
        <f>+Z34*AA34</f>
        <v>87.78</v>
      </c>
      <c r="AD34" s="30" t="s">
        <v>49</v>
      </c>
      <c r="AG34" s="66"/>
    </row>
    <row r="35" spans="1:33" x14ac:dyDescent="0.35">
      <c r="A35" s="58">
        <v>46327</v>
      </c>
      <c r="B35" s="41">
        <v>3.2</v>
      </c>
      <c r="C35" s="41">
        <v>2.96</v>
      </c>
      <c r="D35" s="41">
        <v>2.83</v>
      </c>
      <c r="E35" s="41">
        <v>2.75</v>
      </c>
      <c r="F35" s="41">
        <v>2.75</v>
      </c>
      <c r="G35" s="41">
        <v>2.75</v>
      </c>
      <c r="H35" s="41">
        <v>2.76</v>
      </c>
      <c r="I35" s="41">
        <v>2.76</v>
      </c>
      <c r="J35" s="41">
        <v>3.02</v>
      </c>
      <c r="K35" s="41">
        <v>3.25</v>
      </c>
      <c r="L35" s="41">
        <v>3.75</v>
      </c>
      <c r="M35" s="41">
        <v>4</v>
      </c>
      <c r="N35" s="41">
        <v>4.5</v>
      </c>
      <c r="O35" s="41">
        <v>4.3899999999999997</v>
      </c>
      <c r="P35" s="41">
        <v>4.28</v>
      </c>
      <c r="Q35" s="41">
        <v>4.3099999999999996</v>
      </c>
      <c r="R35" s="41">
        <v>4.29</v>
      </c>
      <c r="S35" s="41">
        <v>4.4400000000000004</v>
      </c>
      <c r="T35" s="41">
        <v>4.96</v>
      </c>
      <c r="U35" s="41">
        <v>5.01</v>
      </c>
      <c r="V35" s="41">
        <v>4.8499999999999996</v>
      </c>
      <c r="W35" s="41">
        <v>4.4800000000000004</v>
      </c>
      <c r="X35" s="41">
        <v>3.92</v>
      </c>
      <c r="Y35" s="41">
        <v>3.4</v>
      </c>
      <c r="Z35" s="42">
        <f t="shared" si="3"/>
        <v>89.610000000000014</v>
      </c>
      <c r="AA35" s="89">
        <v>2</v>
      </c>
      <c r="AB35" s="59">
        <f>+Z35*AA35</f>
        <v>179.22000000000003</v>
      </c>
      <c r="AD35" s="30" t="s">
        <v>49</v>
      </c>
      <c r="AG35" s="66"/>
    </row>
    <row r="36" spans="1:33" ht="16" thickBot="1" x14ac:dyDescent="0.4">
      <c r="A36" s="60">
        <v>46357</v>
      </c>
      <c r="B36" s="44">
        <v>4.12</v>
      </c>
      <c r="C36" s="44">
        <v>3.82</v>
      </c>
      <c r="D36" s="44">
        <v>3.62</v>
      </c>
      <c r="E36" s="44">
        <v>3.49</v>
      </c>
      <c r="F36" s="44">
        <v>3.42</v>
      </c>
      <c r="G36" s="44">
        <v>3.41</v>
      </c>
      <c r="H36" s="44">
        <v>3.47</v>
      </c>
      <c r="I36" s="44">
        <v>3.5</v>
      </c>
      <c r="J36" s="44">
        <v>3.82</v>
      </c>
      <c r="K36" s="44">
        <v>3.84</v>
      </c>
      <c r="L36" s="44">
        <v>3.9</v>
      </c>
      <c r="M36" s="44">
        <v>4.37</v>
      </c>
      <c r="N36" s="44">
        <v>4.62</v>
      </c>
      <c r="O36" s="44">
        <v>5.08</v>
      </c>
      <c r="P36" s="44">
        <v>5.13</v>
      </c>
      <c r="Q36" s="44">
        <v>5.13</v>
      </c>
      <c r="R36" s="44">
        <v>5.15</v>
      </c>
      <c r="S36" s="44">
        <v>5.23</v>
      </c>
      <c r="T36" s="44">
        <v>5.72</v>
      </c>
      <c r="U36" s="44">
        <v>5.82</v>
      </c>
      <c r="V36" s="44">
        <v>5.66</v>
      </c>
      <c r="W36" s="44">
        <v>5.34</v>
      </c>
      <c r="X36" s="44">
        <v>4.83</v>
      </c>
      <c r="Y36" s="44">
        <v>4.26</v>
      </c>
      <c r="Z36" s="45">
        <f t="shared" si="3"/>
        <v>106.75</v>
      </c>
      <c r="AA36" s="90">
        <v>0</v>
      </c>
      <c r="AB36" s="61">
        <f>+Z36*AA36</f>
        <v>0</v>
      </c>
      <c r="AD36" s="30" t="s">
        <v>49</v>
      </c>
      <c r="AG36" s="66"/>
    </row>
    <row r="37" spans="1:33" ht="16" thickBot="1" x14ac:dyDescent="0.4">
      <c r="A37" s="81"/>
      <c r="B37" s="68"/>
      <c r="C37" s="68"/>
      <c r="D37" s="68"/>
      <c r="E37" s="68"/>
      <c r="F37" s="68"/>
      <c r="G37" s="68"/>
      <c r="H37" s="68"/>
      <c r="I37" s="68"/>
      <c r="J37" s="68"/>
      <c r="K37" s="68"/>
      <c r="L37" s="68"/>
      <c r="M37" s="68"/>
      <c r="N37" s="68"/>
      <c r="O37" s="68"/>
      <c r="P37" s="68"/>
      <c r="Q37" s="68"/>
      <c r="R37" s="68"/>
      <c r="S37" s="68"/>
      <c r="T37" s="68"/>
      <c r="U37" s="68"/>
      <c r="V37" s="68"/>
      <c r="W37" s="68"/>
      <c r="X37" s="68"/>
      <c r="Y37" s="68"/>
      <c r="Z37" s="69"/>
      <c r="AA37" s="70"/>
      <c r="AB37" s="71"/>
      <c r="AG37" s="66"/>
    </row>
    <row r="38" spans="1:33" ht="16" thickBot="1" x14ac:dyDescent="0.4">
      <c r="A38" s="33" t="s">
        <v>36</v>
      </c>
      <c r="B38" s="52"/>
      <c r="C38" s="52"/>
      <c r="D38" s="52"/>
      <c r="E38" s="63"/>
      <c r="F38" s="52"/>
      <c r="G38" s="52"/>
      <c r="H38" s="52"/>
      <c r="I38" s="52"/>
      <c r="J38" s="52"/>
      <c r="K38" s="52"/>
      <c r="L38" s="52"/>
      <c r="M38" s="52"/>
      <c r="N38" s="52"/>
      <c r="O38" s="52"/>
      <c r="P38" s="52"/>
      <c r="Q38" s="52"/>
      <c r="R38" s="52"/>
      <c r="S38" s="52"/>
      <c r="T38" s="52"/>
      <c r="U38" s="52"/>
      <c r="V38" s="52"/>
      <c r="W38" s="52"/>
      <c r="X38" s="52"/>
      <c r="Y38" s="52"/>
      <c r="Z38" s="50"/>
      <c r="AA38" s="35"/>
      <c r="AB38"/>
    </row>
    <row r="39" spans="1:33" ht="16" thickBot="1" x14ac:dyDescent="0.4">
      <c r="A39"/>
      <c r="B39" s="62"/>
      <c r="C39" s="52"/>
      <c r="D39" s="52"/>
      <c r="E39" s="52"/>
      <c r="F39" s="52"/>
      <c r="G39" s="52"/>
      <c r="H39" s="52"/>
      <c r="I39" s="52"/>
      <c r="J39" s="52"/>
      <c r="K39" s="52"/>
      <c r="L39" s="52"/>
      <c r="M39" s="52"/>
      <c r="N39" s="52"/>
      <c r="O39" s="52"/>
      <c r="P39" s="52"/>
      <c r="Q39" s="52"/>
      <c r="R39" s="52"/>
      <c r="S39" s="52"/>
      <c r="T39" s="52"/>
      <c r="U39" s="52"/>
      <c r="V39" s="52"/>
      <c r="W39" s="52"/>
      <c r="X39" s="52"/>
      <c r="Y39" s="52"/>
      <c r="Z39" s="50"/>
      <c r="AA39"/>
      <c r="AB39"/>
    </row>
    <row r="40" spans="1:33" ht="16" thickBot="1" x14ac:dyDescent="0.4">
      <c r="A40" s="53" t="s">
        <v>10</v>
      </c>
      <c r="B40" s="54" t="s">
        <v>11</v>
      </c>
      <c r="C40" s="54" t="s">
        <v>12</v>
      </c>
      <c r="D40" s="54" t="s">
        <v>13</v>
      </c>
      <c r="E40" s="54" t="s">
        <v>14</v>
      </c>
      <c r="F40" s="54" t="s">
        <v>15</v>
      </c>
      <c r="G40" s="54" t="s">
        <v>16</v>
      </c>
      <c r="H40" s="54" t="s">
        <v>17</v>
      </c>
      <c r="I40" s="54" t="s">
        <v>18</v>
      </c>
      <c r="J40" s="54" t="s">
        <v>19</v>
      </c>
      <c r="K40" s="54" t="s">
        <v>20</v>
      </c>
      <c r="L40" s="54" t="s">
        <v>21</v>
      </c>
      <c r="M40" s="54" t="s">
        <v>22</v>
      </c>
      <c r="N40" s="54" t="s">
        <v>23</v>
      </c>
      <c r="O40" s="54" t="s">
        <v>24</v>
      </c>
      <c r="P40" s="54" t="s">
        <v>25</v>
      </c>
      <c r="Q40" s="54" t="s">
        <v>26</v>
      </c>
      <c r="R40" s="54" t="s">
        <v>27</v>
      </c>
      <c r="S40" s="54" t="s">
        <v>28</v>
      </c>
      <c r="T40" s="54" t="s">
        <v>29</v>
      </c>
      <c r="U40" s="54" t="s">
        <v>30</v>
      </c>
      <c r="V40" s="54" t="s">
        <v>31</v>
      </c>
      <c r="W40" s="54" t="s">
        <v>32</v>
      </c>
      <c r="X40" s="54" t="s">
        <v>33</v>
      </c>
      <c r="Y40" s="54" t="s">
        <v>34</v>
      </c>
      <c r="Z40" s="54" t="s">
        <v>6</v>
      </c>
      <c r="AA40" s="34" t="s">
        <v>35</v>
      </c>
      <c r="AB40" s="55"/>
    </row>
    <row r="41" spans="1:33" x14ac:dyDescent="0.35">
      <c r="A41" s="56">
        <f>+A33</f>
        <v>46266</v>
      </c>
      <c r="B41" s="41">
        <f t="shared" ref="B41:Y41" si="4">+B8*$AA8+B17*$AA17+B25*$AA25+B33*$AA33</f>
        <v>43.92</v>
      </c>
      <c r="C41" s="41">
        <f t="shared" si="4"/>
        <v>40.92</v>
      </c>
      <c r="D41" s="41">
        <f t="shared" si="4"/>
        <v>39.14</v>
      </c>
      <c r="E41" s="41">
        <f t="shared" si="4"/>
        <v>38.299999999999997</v>
      </c>
      <c r="F41" s="41">
        <f t="shared" si="4"/>
        <v>39.22</v>
      </c>
      <c r="G41" s="41">
        <f t="shared" si="4"/>
        <v>42.28</v>
      </c>
      <c r="H41" s="41">
        <f t="shared" si="4"/>
        <v>47.260000000000005</v>
      </c>
      <c r="I41" s="41">
        <f t="shared" si="4"/>
        <v>52.22</v>
      </c>
      <c r="J41" s="41">
        <f t="shared" si="4"/>
        <v>57.959999999999994</v>
      </c>
      <c r="K41" s="41">
        <f t="shared" si="4"/>
        <v>62.379999999999995</v>
      </c>
      <c r="L41" s="41">
        <f t="shared" si="4"/>
        <v>66.56</v>
      </c>
      <c r="M41" s="41">
        <f t="shared" si="4"/>
        <v>69.88000000000001</v>
      </c>
      <c r="N41" s="41">
        <f t="shared" si="4"/>
        <v>70.06</v>
      </c>
      <c r="O41" s="41">
        <f t="shared" si="4"/>
        <v>69.819999999999993</v>
      </c>
      <c r="P41" s="41">
        <f t="shared" si="4"/>
        <v>71.58</v>
      </c>
      <c r="Q41" s="41">
        <f t="shared" si="4"/>
        <v>71.600000000000009</v>
      </c>
      <c r="R41" s="41">
        <f t="shared" si="4"/>
        <v>70.64</v>
      </c>
      <c r="S41" s="41">
        <f t="shared" si="4"/>
        <v>69.22</v>
      </c>
      <c r="T41" s="41">
        <f t="shared" si="4"/>
        <v>71.72</v>
      </c>
      <c r="U41" s="41">
        <f t="shared" si="4"/>
        <v>72.039999999999992</v>
      </c>
      <c r="V41" s="41">
        <f t="shared" si="4"/>
        <v>68.66</v>
      </c>
      <c r="W41" s="41">
        <f t="shared" si="4"/>
        <v>63.959999999999994</v>
      </c>
      <c r="X41" s="41">
        <f t="shared" si="4"/>
        <v>56.36</v>
      </c>
      <c r="Y41" s="41">
        <f t="shared" si="4"/>
        <v>49.059999999999995</v>
      </c>
      <c r="Z41" s="72">
        <f t="shared" ref="Z41:Z44" si="5">SUM(B41:Y41)</f>
        <v>1404.7599999999998</v>
      </c>
      <c r="AA41" s="88">
        <f>AA8+AA17+AA25+AA33</f>
        <v>14</v>
      </c>
      <c r="AB41" s="57">
        <f>+AB8+AB17+AB25+AB33</f>
        <v>1404.7600000000002</v>
      </c>
      <c r="AD41" s="80">
        <f t="shared" ref="AD41:AD44" si="6">+AB41-Z41</f>
        <v>0</v>
      </c>
    </row>
    <row r="42" spans="1:33" x14ac:dyDescent="0.35">
      <c r="A42" s="58">
        <f>+A34</f>
        <v>46296</v>
      </c>
      <c r="B42" s="41">
        <f t="shared" ref="B42:Y42" si="7">+B9*$AA9+B18*$AA18+B26*$AA26+B34*$AA34</f>
        <v>93.740000000000009</v>
      </c>
      <c r="C42" s="41">
        <f t="shared" si="7"/>
        <v>87.070000000000007</v>
      </c>
      <c r="D42" s="41">
        <f t="shared" si="7"/>
        <v>83.63</v>
      </c>
      <c r="E42" s="41">
        <f t="shared" si="7"/>
        <v>82.07</v>
      </c>
      <c r="F42" s="41">
        <f t="shared" si="7"/>
        <v>84.67</v>
      </c>
      <c r="G42" s="41">
        <f t="shared" si="7"/>
        <v>90.67</v>
      </c>
      <c r="H42" s="41">
        <f t="shared" si="7"/>
        <v>102.26</v>
      </c>
      <c r="I42" s="41">
        <f t="shared" si="7"/>
        <v>114.2</v>
      </c>
      <c r="J42" s="41">
        <f t="shared" si="7"/>
        <v>127.14</v>
      </c>
      <c r="K42" s="41">
        <f t="shared" si="7"/>
        <v>136.85000000000002</v>
      </c>
      <c r="L42" s="41">
        <f t="shared" si="7"/>
        <v>146.30000000000001</v>
      </c>
      <c r="M42" s="41">
        <f t="shared" si="7"/>
        <v>154.46</v>
      </c>
      <c r="N42" s="41">
        <f t="shared" si="7"/>
        <v>154.39000000000001</v>
      </c>
      <c r="O42" s="41">
        <f t="shared" si="7"/>
        <v>153.5</v>
      </c>
      <c r="P42" s="41">
        <f t="shared" si="7"/>
        <v>155.89000000000001</v>
      </c>
      <c r="Q42" s="41">
        <f t="shared" si="7"/>
        <v>155.32</v>
      </c>
      <c r="R42" s="41">
        <f t="shared" si="7"/>
        <v>152.69</v>
      </c>
      <c r="S42" s="41">
        <f t="shared" si="7"/>
        <v>152.15</v>
      </c>
      <c r="T42" s="41">
        <f t="shared" si="7"/>
        <v>159.88999999999999</v>
      </c>
      <c r="U42" s="41">
        <f t="shared" si="7"/>
        <v>156.81</v>
      </c>
      <c r="V42" s="41">
        <f t="shared" si="7"/>
        <v>148.94999999999999</v>
      </c>
      <c r="W42" s="41">
        <f t="shared" si="7"/>
        <v>137.96</v>
      </c>
      <c r="X42" s="41">
        <f t="shared" si="7"/>
        <v>121.61000000000001</v>
      </c>
      <c r="Y42" s="41">
        <f t="shared" si="7"/>
        <v>105.67999999999999</v>
      </c>
      <c r="Z42" s="42">
        <f t="shared" si="5"/>
        <v>3057.9</v>
      </c>
      <c r="AA42" s="89">
        <f>AA9+AA18+AA26+AA34</f>
        <v>31</v>
      </c>
      <c r="AB42" s="59">
        <f>+AB9+AB18+AB26+AB34</f>
        <v>3057.9000000000005</v>
      </c>
      <c r="AD42" s="80">
        <f t="shared" si="6"/>
        <v>0</v>
      </c>
    </row>
    <row r="43" spans="1:33" x14ac:dyDescent="0.35">
      <c r="A43" s="58">
        <f>+A35</f>
        <v>46327</v>
      </c>
      <c r="B43" s="41">
        <f t="shared" ref="B43:Y43" si="8">+B10*$AA10+B19*$AA19+B27*$AA27+B35*$AA35</f>
        <v>96.490000000000009</v>
      </c>
      <c r="C43" s="41">
        <f t="shared" si="8"/>
        <v>89.39</v>
      </c>
      <c r="D43" s="41">
        <f t="shared" si="8"/>
        <v>85.72</v>
      </c>
      <c r="E43" s="41">
        <f t="shared" si="8"/>
        <v>84.259999999999991</v>
      </c>
      <c r="F43" s="41">
        <f t="shared" si="8"/>
        <v>86.5</v>
      </c>
      <c r="G43" s="41">
        <f t="shared" si="8"/>
        <v>92.75</v>
      </c>
      <c r="H43" s="41">
        <f t="shared" si="8"/>
        <v>103.14</v>
      </c>
      <c r="I43" s="41">
        <f t="shared" si="8"/>
        <v>112.71</v>
      </c>
      <c r="J43" s="41">
        <f t="shared" si="8"/>
        <v>124.45</v>
      </c>
      <c r="K43" s="41">
        <f t="shared" si="8"/>
        <v>133</v>
      </c>
      <c r="L43" s="41">
        <f t="shared" si="8"/>
        <v>142.88</v>
      </c>
      <c r="M43" s="41">
        <f t="shared" si="8"/>
        <v>150.93</v>
      </c>
      <c r="N43" s="41">
        <f t="shared" si="8"/>
        <v>153.47999999999999</v>
      </c>
      <c r="O43" s="41">
        <f t="shared" si="8"/>
        <v>152.54</v>
      </c>
      <c r="P43" s="41">
        <f t="shared" si="8"/>
        <v>154.07</v>
      </c>
      <c r="Q43" s="41">
        <f t="shared" si="8"/>
        <v>154.26999999999998</v>
      </c>
      <c r="R43" s="41">
        <f t="shared" si="8"/>
        <v>152.97000000000003</v>
      </c>
      <c r="S43" s="41">
        <f t="shared" si="8"/>
        <v>154.01999999999998</v>
      </c>
      <c r="T43" s="41">
        <f t="shared" si="8"/>
        <v>163.4</v>
      </c>
      <c r="U43" s="41">
        <f t="shared" si="8"/>
        <v>161.05000000000004</v>
      </c>
      <c r="V43" s="41">
        <f t="shared" si="8"/>
        <v>153.16999999999999</v>
      </c>
      <c r="W43" s="41">
        <f t="shared" si="8"/>
        <v>141.96</v>
      </c>
      <c r="X43" s="41">
        <f t="shared" si="8"/>
        <v>125</v>
      </c>
      <c r="Y43" s="41">
        <f t="shared" si="8"/>
        <v>108.65999999999998</v>
      </c>
      <c r="Z43" s="42">
        <f t="shared" si="5"/>
        <v>3076.8100000000004</v>
      </c>
      <c r="AA43" s="89">
        <f>AA10+AA19+AA27+AA35</f>
        <v>30</v>
      </c>
      <c r="AB43" s="59">
        <f>+AB10+AB19+AB27+AB35</f>
        <v>3076.8100000000004</v>
      </c>
      <c r="AD43" s="80">
        <f t="shared" si="6"/>
        <v>0</v>
      </c>
    </row>
    <row r="44" spans="1:33" ht="16" thickBot="1" x14ac:dyDescent="0.4">
      <c r="A44" s="60">
        <f>+A36</f>
        <v>46357</v>
      </c>
      <c r="B44" s="44">
        <f t="shared" ref="B44:Y44" si="9">+B11*$AA11+B20*$AA20+B28*$AA28+B36*$AA36</f>
        <v>124.53</v>
      </c>
      <c r="C44" s="44">
        <f t="shared" si="9"/>
        <v>115.14999999999999</v>
      </c>
      <c r="D44" s="44">
        <f t="shared" si="9"/>
        <v>110.08</v>
      </c>
      <c r="E44" s="44">
        <f t="shared" si="9"/>
        <v>107.39</v>
      </c>
      <c r="F44" s="44">
        <f t="shared" si="9"/>
        <v>108.77</v>
      </c>
      <c r="G44" s="44">
        <f t="shared" si="9"/>
        <v>114.35</v>
      </c>
      <c r="H44" s="44">
        <f t="shared" si="9"/>
        <v>126.02000000000001</v>
      </c>
      <c r="I44" s="44">
        <f t="shared" si="9"/>
        <v>139.32999999999998</v>
      </c>
      <c r="J44" s="44">
        <f t="shared" si="9"/>
        <v>156.38</v>
      </c>
      <c r="K44" s="44">
        <f t="shared" si="9"/>
        <v>166.28</v>
      </c>
      <c r="L44" s="44">
        <f t="shared" si="9"/>
        <v>174.56</v>
      </c>
      <c r="M44" s="44">
        <f t="shared" si="9"/>
        <v>185.44</v>
      </c>
      <c r="N44" s="44">
        <f t="shared" si="9"/>
        <v>187.57000000000002</v>
      </c>
      <c r="O44" s="44">
        <f t="shared" si="9"/>
        <v>189.17999999999998</v>
      </c>
      <c r="P44" s="44">
        <f t="shared" si="9"/>
        <v>191.26</v>
      </c>
      <c r="Q44" s="44">
        <f t="shared" si="9"/>
        <v>191.23</v>
      </c>
      <c r="R44" s="44">
        <f t="shared" si="9"/>
        <v>188.92</v>
      </c>
      <c r="S44" s="44">
        <f t="shared" si="9"/>
        <v>187.59</v>
      </c>
      <c r="T44" s="44">
        <f t="shared" si="9"/>
        <v>198.76</v>
      </c>
      <c r="U44" s="44">
        <f t="shared" si="9"/>
        <v>198.65000000000003</v>
      </c>
      <c r="V44" s="44">
        <f t="shared" si="9"/>
        <v>189.52</v>
      </c>
      <c r="W44" s="44">
        <f t="shared" si="9"/>
        <v>177.08999999999997</v>
      </c>
      <c r="X44" s="44">
        <f t="shared" si="9"/>
        <v>158.70999999999998</v>
      </c>
      <c r="Y44" s="44">
        <f t="shared" si="9"/>
        <v>139.6</v>
      </c>
      <c r="Z44" s="45">
        <f t="shared" si="5"/>
        <v>3826.36</v>
      </c>
      <c r="AA44" s="90">
        <f>AA11+AA20+AA28+AA36</f>
        <v>31</v>
      </c>
      <c r="AB44" s="61">
        <f>+AB11+AB20+AB28+AB36</f>
        <v>3826.3599999999992</v>
      </c>
      <c r="AD44" s="80">
        <f t="shared" si="6"/>
        <v>0</v>
      </c>
    </row>
  </sheetData>
  <conditionalFormatting sqref="B1:Y1048576 AA8:AA12 AA17:AA20 AA25:AA28 AA33:AA37 AA41:AA44">
    <cfRule type="cellIs" dxfId="1" priority="1" operator="lessThan">
      <formula>0</formula>
    </cfRule>
  </conditionalFormatting>
  <pageMargins left="0.75" right="0.75" top="1" bottom="1" header="0" footer="0"/>
  <pageSetup orientation="portrait" r:id="rId1"/>
  <headerFooter alignWithMargins="0"/>
  <ignoredErrors>
    <ignoredError sqref="Z8:Z11 Z17:Z20 Z25:Z28 Z33:Z36"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3"/>
  <sheetViews>
    <sheetView view="pageBreakPreview" topLeftCell="A4" zoomScale="55" zoomScaleNormal="100" zoomScaleSheetLayoutView="55" zoomScalePageLayoutView="30" workbookViewId="0">
      <selection activeCell="G22" sqref="G22"/>
    </sheetView>
  </sheetViews>
  <sheetFormatPr baseColWidth="10" defaultColWidth="17.81640625" defaultRowHeight="24.5" x14ac:dyDescent="0.45"/>
  <cols>
    <col min="1" max="1" width="11.453125" style="1" customWidth="1"/>
    <col min="2" max="2" width="16.453125" style="1" bestFit="1" customWidth="1"/>
    <col min="3" max="3" width="14.81640625" style="1" customWidth="1"/>
    <col min="4" max="4" width="16.453125" style="1" customWidth="1"/>
    <col min="5" max="5" width="24.26953125" style="1" bestFit="1" customWidth="1"/>
    <col min="6" max="6" width="21.1796875" style="1" customWidth="1"/>
    <col min="7" max="7" width="23" style="1" customWidth="1"/>
    <col min="8" max="10" width="22.7265625" style="1" customWidth="1"/>
    <col min="11" max="11" width="31.26953125" style="1" customWidth="1"/>
    <col min="12" max="12" width="15.453125" style="1" customWidth="1"/>
    <col min="13" max="13" width="8.81640625" style="1" bestFit="1" customWidth="1"/>
    <col min="14" max="16384" width="17.81640625" style="1"/>
  </cols>
  <sheetData>
    <row r="1" spans="1:13" ht="171" customHeight="1" x14ac:dyDescent="0.45"/>
    <row r="2" spans="1:13" x14ac:dyDescent="0.45">
      <c r="A2" s="2"/>
      <c r="B2" s="2"/>
      <c r="C2" s="2"/>
      <c r="D2" s="111" t="s">
        <v>0</v>
      </c>
      <c r="E2" s="111"/>
      <c r="F2" s="111"/>
      <c r="G2" s="111"/>
      <c r="H2" s="111"/>
      <c r="I2" s="111"/>
      <c r="J2" s="111"/>
      <c r="K2" s="2"/>
      <c r="L2" s="2"/>
      <c r="M2" s="2"/>
    </row>
    <row r="3" spans="1:13" ht="89.25" customHeight="1" x14ac:dyDescent="0.45">
      <c r="A3" s="2"/>
      <c r="B3" s="2"/>
      <c r="C3" s="112" t="s">
        <v>55</v>
      </c>
      <c r="D3" s="112"/>
      <c r="E3" s="112"/>
      <c r="F3" s="112"/>
      <c r="G3" s="112"/>
      <c r="H3" s="112"/>
      <c r="I3" s="112"/>
      <c r="J3" s="112"/>
      <c r="K3" s="112"/>
      <c r="L3" s="2"/>
      <c r="M3" s="2"/>
    </row>
    <row r="4" spans="1:13" x14ac:dyDescent="0.45">
      <c r="A4" s="2"/>
      <c r="B4" s="2"/>
      <c r="C4" s="3"/>
      <c r="D4" s="113" t="s">
        <v>54</v>
      </c>
      <c r="E4" s="113"/>
      <c r="F4" s="113"/>
      <c r="G4" s="113"/>
      <c r="H4" s="113"/>
      <c r="I4" s="113"/>
      <c r="J4" s="113"/>
      <c r="K4" s="3"/>
      <c r="L4" s="2"/>
      <c r="M4" s="2"/>
    </row>
    <row r="5" spans="1:13" ht="19.5" customHeight="1" x14ac:dyDescent="0.45">
      <c r="A5" s="4"/>
      <c r="B5" s="5"/>
      <c r="C5" s="5"/>
      <c r="D5" s="6"/>
      <c r="E5" s="7"/>
      <c r="F5" s="7"/>
      <c r="G5" s="7"/>
      <c r="H5" s="7"/>
      <c r="I5" s="7"/>
      <c r="J5" s="8"/>
      <c r="K5" s="9"/>
      <c r="L5" s="4"/>
      <c r="M5" s="4"/>
    </row>
    <row r="6" spans="1:13" x14ac:dyDescent="0.45">
      <c r="A6" s="4"/>
      <c r="B6" s="5"/>
      <c r="C6" s="10" t="s">
        <v>1</v>
      </c>
      <c r="D6" s="5"/>
      <c r="E6" s="5"/>
      <c r="G6" s="5"/>
      <c r="H6" s="5"/>
      <c r="I6" s="5"/>
      <c r="J6" s="5"/>
      <c r="K6" s="9"/>
      <c r="L6" s="4"/>
      <c r="M6" s="4"/>
    </row>
    <row r="7" spans="1:13" x14ac:dyDescent="0.45">
      <c r="A7" s="4"/>
      <c r="B7" s="5"/>
      <c r="C7" s="10" t="s">
        <v>2</v>
      </c>
      <c r="D7" s="5"/>
      <c r="E7" s="5"/>
      <c r="G7" s="5"/>
      <c r="H7" s="5"/>
      <c r="I7" s="5"/>
      <c r="J7" s="5"/>
      <c r="K7" s="9"/>
      <c r="L7" s="4"/>
      <c r="M7" s="4"/>
    </row>
    <row r="8" spans="1:13" x14ac:dyDescent="0.45">
      <c r="B8" s="11"/>
      <c r="C8" s="10" t="s">
        <v>3</v>
      </c>
      <c r="D8" s="5"/>
      <c r="E8" s="5"/>
      <c r="G8" s="11"/>
      <c r="H8" s="11"/>
      <c r="I8" s="11"/>
      <c r="J8" s="11"/>
      <c r="K8" s="12"/>
    </row>
    <row r="9" spans="1:13" x14ac:dyDescent="0.45">
      <c r="B9" s="11"/>
      <c r="C9" s="13" t="str">
        <f>"PRODUCTO OFERTADO: "&amp;D4</f>
        <v>PRODUCTO OFERTADO: PRODUCTO No. 3</v>
      </c>
      <c r="D9" s="5"/>
      <c r="E9" s="5"/>
      <c r="G9" s="11"/>
      <c r="H9" s="11"/>
      <c r="I9" s="11"/>
      <c r="J9" s="11"/>
      <c r="K9" s="12"/>
    </row>
    <row r="10" spans="1:13" x14ac:dyDescent="0.45">
      <c r="B10" s="11"/>
      <c r="C10" s="13"/>
      <c r="D10" s="5"/>
      <c r="E10" s="5"/>
      <c r="G10" s="11"/>
      <c r="H10" s="11"/>
      <c r="I10" s="11"/>
      <c r="J10" s="11"/>
      <c r="K10" s="12"/>
    </row>
    <row r="11" spans="1:13" x14ac:dyDescent="0.45">
      <c r="B11" s="11"/>
      <c r="C11" s="10" t="s">
        <v>56</v>
      </c>
      <c r="D11" s="14"/>
      <c r="E11" s="14"/>
      <c r="F11" s="15"/>
      <c r="G11" s="11"/>
      <c r="H11" s="11"/>
      <c r="I11" s="11"/>
      <c r="J11" s="11"/>
      <c r="K11" s="12"/>
    </row>
    <row r="12" spans="1:13" x14ac:dyDescent="0.45">
      <c r="B12" s="16"/>
      <c r="C12" s="15"/>
    </row>
    <row r="13" spans="1:13" x14ac:dyDescent="0.45">
      <c r="F13" s="114" t="str">
        <f>"Oferta " &amp; PROPER(D4)</f>
        <v>Oferta Producto No. 3</v>
      </c>
      <c r="G13" s="114"/>
      <c r="H13" s="114"/>
      <c r="I13" s="114"/>
      <c r="J13" s="114"/>
    </row>
    <row r="14" spans="1:13" ht="72.75" customHeight="1" x14ac:dyDescent="0.45">
      <c r="E14" s="79"/>
      <c r="F14" s="78" t="s">
        <v>4</v>
      </c>
      <c r="G14" s="17" t="s">
        <v>50</v>
      </c>
      <c r="H14" s="17" t="s">
        <v>38</v>
      </c>
      <c r="I14" s="17" t="s">
        <v>51</v>
      </c>
      <c r="J14" s="18" t="s">
        <v>5</v>
      </c>
    </row>
    <row r="15" spans="1:13" x14ac:dyDescent="0.45">
      <c r="A15" s="19"/>
      <c r="B15" s="20"/>
      <c r="D15" s="37"/>
      <c r="F15" s="21">
        <v>46388</v>
      </c>
      <c r="G15" s="36">
        <f>+SUMIFS('Cantidades Producto No. 3'!$AB$53:$AB$59,'Cantidades Producto No. 3'!$A$53:$A$59,'Oferta Producto No. 3'!F15)</f>
        <v>4608.25</v>
      </c>
      <c r="H15" s="119"/>
      <c r="I15" s="36"/>
      <c r="J15" s="115"/>
      <c r="K15" s="64"/>
      <c r="L15" s="22"/>
      <c r="M15" s="22"/>
    </row>
    <row r="16" spans="1:13" x14ac:dyDescent="0.45">
      <c r="A16" s="19"/>
      <c r="B16" s="20"/>
      <c r="D16" s="37"/>
      <c r="F16" s="21">
        <v>46419</v>
      </c>
      <c r="G16" s="36">
        <f>+SUMIFS('Cantidades Producto No. 3'!$AB$53:$AB$59,'Cantidades Producto No. 3'!$A$53:$A$59,'Oferta Producto No. 3'!F16)</f>
        <v>4324.3600000000006</v>
      </c>
      <c r="H16" s="119"/>
      <c r="I16" s="36"/>
      <c r="J16" s="116"/>
      <c r="K16" s="64"/>
      <c r="L16" s="22"/>
      <c r="M16" s="22"/>
    </row>
    <row r="17" spans="1:13" x14ac:dyDescent="0.45">
      <c r="A17" s="19"/>
      <c r="B17" s="20"/>
      <c r="D17" s="37"/>
      <c r="F17" s="21">
        <v>46447</v>
      </c>
      <c r="G17" s="36">
        <f>+SUMIFS('Cantidades Producto No. 3'!$AB$53:$AB$59,'Cantidades Producto No. 3'!$A$53:$A$59,'Oferta Producto No. 3'!F17)</f>
        <v>4419.2</v>
      </c>
      <c r="H17" s="119"/>
      <c r="I17" s="36"/>
      <c r="J17" s="116"/>
      <c r="K17" s="64"/>
      <c r="L17" s="22"/>
      <c r="M17" s="22"/>
    </row>
    <row r="18" spans="1:13" x14ac:dyDescent="0.45">
      <c r="A18" s="19"/>
      <c r="B18" s="20"/>
      <c r="D18" s="37"/>
      <c r="F18" s="21">
        <v>46478</v>
      </c>
      <c r="G18" s="36">
        <f>+SUMIFS('Cantidades Producto No. 3'!$AB$53:$AB$59,'Cantidades Producto No. 3'!$A$53:$A$59,'Oferta Producto No. 3'!F18)</f>
        <v>4075.9599999999996</v>
      </c>
      <c r="H18" s="119"/>
      <c r="I18" s="36"/>
      <c r="J18" s="116"/>
      <c r="K18" s="64"/>
      <c r="L18" s="22"/>
      <c r="M18" s="22"/>
    </row>
    <row r="19" spans="1:13" x14ac:dyDescent="0.45">
      <c r="A19" s="19"/>
      <c r="B19" s="20"/>
      <c r="D19" s="37"/>
      <c r="F19" s="21">
        <v>46508</v>
      </c>
      <c r="G19" s="36">
        <f>+SUMIFS('Cantidades Producto No. 3'!$AB$53:$AB$59,'Cantidades Producto No. 3'!$A$53:$A$59,'Oferta Producto No. 3'!F19)</f>
        <v>3515.72</v>
      </c>
      <c r="H19" s="119"/>
      <c r="I19" s="36"/>
      <c r="J19" s="116"/>
      <c r="K19" s="64"/>
      <c r="L19" s="22"/>
      <c r="M19" s="22"/>
    </row>
    <row r="20" spans="1:13" x14ac:dyDescent="0.45">
      <c r="A20" s="19"/>
      <c r="B20" s="20"/>
      <c r="D20" s="37"/>
      <c r="F20" s="21">
        <v>46539</v>
      </c>
      <c r="G20" s="36">
        <f>+SUMIFS('Cantidades Producto No. 3'!$AB$53:$AB$59,'Cantidades Producto No. 3'!$A$53:$A$59,'Oferta Producto No. 3'!F20)</f>
        <v>3475.5700000000006</v>
      </c>
      <c r="H20" s="119"/>
      <c r="I20" s="36"/>
      <c r="J20" s="116"/>
      <c r="K20" s="64"/>
      <c r="L20" s="22"/>
      <c r="M20" s="22"/>
    </row>
    <row r="21" spans="1:13" x14ac:dyDescent="0.45">
      <c r="A21" s="19"/>
      <c r="B21" s="20"/>
      <c r="D21" s="37"/>
      <c r="F21" s="21">
        <v>46569</v>
      </c>
      <c r="G21" s="36">
        <f>+SUMIFS('Cantidades Producto No. 3'!$AB$53:$AB$59,'Cantidades Producto No. 3'!$A$53:$A$59,'Oferta Producto No. 3'!F21)</f>
        <v>3924.58</v>
      </c>
      <c r="H21" s="119"/>
      <c r="I21" s="36"/>
      <c r="J21" s="117"/>
      <c r="K21" s="64"/>
      <c r="L21" s="22"/>
      <c r="M21" s="22"/>
    </row>
    <row r="22" spans="1:13" x14ac:dyDescent="0.45">
      <c r="F22" s="23" t="s">
        <v>6</v>
      </c>
      <c r="G22" s="25">
        <f>SUM(G15:G21)</f>
        <v>28343.64</v>
      </c>
      <c r="H22" s="120"/>
      <c r="I22" s="36"/>
      <c r="J22" s="65"/>
    </row>
    <row r="23" spans="1:13" x14ac:dyDescent="0.45">
      <c r="F23" s="26"/>
      <c r="G23" s="24"/>
    </row>
    <row r="24" spans="1:13" x14ac:dyDescent="0.45">
      <c r="B24" s="27" t="s">
        <v>7</v>
      </c>
      <c r="C24" s="28"/>
      <c r="D24" s="28"/>
      <c r="E24" s="28"/>
      <c r="F24" s="28"/>
      <c r="G24" s="28"/>
      <c r="L24" s="28"/>
    </row>
    <row r="25" spans="1:13" x14ac:dyDescent="0.45">
      <c r="B25" s="27"/>
      <c r="C25" s="28"/>
      <c r="D25" s="28"/>
      <c r="E25" s="28"/>
      <c r="F25" s="28"/>
      <c r="G25" s="28"/>
      <c r="H25" s="28"/>
      <c r="I25" s="28"/>
      <c r="J25" s="28"/>
      <c r="K25" s="28"/>
      <c r="L25" s="28"/>
    </row>
    <row r="26" spans="1:13" ht="24.75" customHeight="1" x14ac:dyDescent="0.45">
      <c r="B26" s="109" t="s">
        <v>8</v>
      </c>
      <c r="C26" s="109"/>
      <c r="D26" s="109"/>
      <c r="E26" s="109"/>
      <c r="F26" s="109"/>
      <c r="G26" s="109"/>
      <c r="H26" s="109"/>
      <c r="I26" s="109"/>
      <c r="J26" s="109"/>
      <c r="K26" s="109"/>
      <c r="L26" s="109"/>
    </row>
    <row r="27" spans="1:13" ht="39" customHeight="1" x14ac:dyDescent="0.45">
      <c r="B27" s="109"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27" s="109"/>
      <c r="D27" s="109"/>
      <c r="E27" s="109"/>
      <c r="F27" s="109"/>
      <c r="G27" s="109"/>
      <c r="H27" s="109"/>
      <c r="I27" s="109"/>
      <c r="J27" s="109"/>
      <c r="K27" s="109"/>
      <c r="L27" s="109"/>
    </row>
    <row r="28" spans="1:13" ht="83.25" customHeight="1" x14ac:dyDescent="0.45">
      <c r="B28" s="110" t="s">
        <v>60</v>
      </c>
      <c r="C28" s="110"/>
      <c r="D28" s="110"/>
      <c r="E28" s="110"/>
      <c r="F28" s="110"/>
      <c r="G28" s="110"/>
      <c r="H28" s="110"/>
      <c r="I28" s="110"/>
      <c r="J28" s="110"/>
      <c r="K28" s="110"/>
      <c r="L28" s="110"/>
    </row>
    <row r="29" spans="1:13" ht="43.5" customHeight="1" x14ac:dyDescent="0.45">
      <c r="B29" s="110" t="s">
        <v>39</v>
      </c>
      <c r="C29" s="110"/>
      <c r="D29" s="110"/>
      <c r="E29" s="110"/>
      <c r="F29" s="110"/>
      <c r="G29" s="110"/>
      <c r="H29" s="110"/>
      <c r="I29" s="110"/>
      <c r="J29" s="110"/>
      <c r="K29" s="110"/>
      <c r="L29" s="110"/>
    </row>
    <row r="30" spans="1:13" ht="60" customHeight="1" x14ac:dyDescent="0.45">
      <c r="B30" s="110" t="s">
        <v>40</v>
      </c>
      <c r="C30" s="110"/>
      <c r="D30" s="110"/>
      <c r="E30" s="110"/>
      <c r="F30" s="110"/>
      <c r="G30" s="110"/>
      <c r="H30" s="110"/>
      <c r="I30" s="110"/>
      <c r="J30" s="110"/>
      <c r="K30" s="110"/>
      <c r="L30" s="110"/>
    </row>
    <row r="31" spans="1:13" ht="80.25" customHeight="1" x14ac:dyDescent="0.45">
      <c r="A31" s="15"/>
      <c r="B31" s="110" t="s">
        <v>41</v>
      </c>
      <c r="C31" s="110"/>
      <c r="D31" s="110"/>
      <c r="E31" s="110"/>
      <c r="F31" s="110"/>
      <c r="G31" s="110"/>
      <c r="H31" s="110"/>
      <c r="I31" s="110"/>
      <c r="J31" s="110"/>
      <c r="K31" s="110"/>
      <c r="L31" s="110"/>
    </row>
    <row r="33" spans="2:12" ht="24.75" customHeight="1" x14ac:dyDescent="0.45">
      <c r="B33" s="29"/>
      <c r="C33" s="29"/>
      <c r="D33" s="29"/>
      <c r="E33" s="29"/>
      <c r="F33" s="29"/>
      <c r="G33" s="29"/>
      <c r="H33" s="29"/>
      <c r="I33" s="29"/>
      <c r="J33" s="29"/>
      <c r="K33" s="29"/>
      <c r="L33" s="29"/>
    </row>
  </sheetData>
  <mergeCells count="12">
    <mergeCell ref="B27:L27"/>
    <mergeCell ref="B28:L28"/>
    <mergeCell ref="B29:L29"/>
    <mergeCell ref="B30:L30"/>
    <mergeCell ref="B31:L31"/>
    <mergeCell ref="B26:L26"/>
    <mergeCell ref="D2:J2"/>
    <mergeCell ref="C3:K3"/>
    <mergeCell ref="D4:J4"/>
    <mergeCell ref="F13:J13"/>
    <mergeCell ref="H15:H22"/>
    <mergeCell ref="J15:J21"/>
  </mergeCells>
  <phoneticPr fontId="32" type="noConversion"/>
  <printOptions horizontalCentered="1" verticalCentered="1"/>
  <pageMargins left="0" right="0.39370078740157483" top="0.19685039370078741" bottom="0.19685039370078741" header="0.39370078740157483" footer="0.39370078740157483"/>
  <pageSetup scale="37"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3E09-DDE3-4AF6-AB66-46CA3E8F2029}">
  <sheetPr>
    <tabColor theme="9" tint="0.39997558519241921"/>
  </sheetPr>
  <dimension ref="A1:AG59"/>
  <sheetViews>
    <sheetView showGridLines="0" zoomScale="70" zoomScaleNormal="70" workbookViewId="0">
      <selection activeCell="M1" sqref="M1"/>
    </sheetView>
  </sheetViews>
  <sheetFormatPr baseColWidth="10" defaultColWidth="14.453125" defaultRowHeight="15.5" x14ac:dyDescent="0.35"/>
  <cols>
    <col min="1" max="1" width="13" style="30" customWidth="1"/>
    <col min="2" max="10" width="8.54296875" style="31" bestFit="1" customWidth="1"/>
    <col min="11" max="23" width="8.81640625" style="31" bestFit="1" customWidth="1"/>
    <col min="24" max="25" width="8.54296875" style="31" bestFit="1" customWidth="1"/>
    <col min="26" max="26" width="9.81640625" style="32" customWidth="1"/>
    <col min="27" max="28" width="9.81640625" style="30" customWidth="1"/>
    <col min="29" max="29" width="5.26953125" style="30" bestFit="1" customWidth="1"/>
    <col min="30" max="16384" width="14.453125" style="30"/>
  </cols>
  <sheetData>
    <row r="1" spans="1:30" ht="93" customHeight="1" thickBot="1" x14ac:dyDescent="0.4"/>
    <row r="2" spans="1:30" ht="23" x14ac:dyDescent="0.5">
      <c r="A2" s="38" t="s">
        <v>9</v>
      </c>
    </row>
    <row r="3" spans="1:30" ht="20.5" thickBot="1" x14ac:dyDescent="0.45">
      <c r="A3" s="39" t="s">
        <v>54</v>
      </c>
    </row>
    <row r="4" spans="1:30" ht="16" thickBot="1" x14ac:dyDescent="0.4"/>
    <row r="5" spans="1:30" ht="16" thickBot="1" x14ac:dyDescent="0.4">
      <c r="A5" s="33" t="s">
        <v>42</v>
      </c>
      <c r="B5" s="47"/>
      <c r="C5" s="47"/>
      <c r="D5" s="47"/>
      <c r="E5" s="48"/>
      <c r="F5" s="47"/>
      <c r="G5" s="47"/>
      <c r="H5" s="47"/>
      <c r="I5" s="47"/>
      <c r="J5" s="47"/>
      <c r="K5" s="49"/>
      <c r="L5" s="49"/>
      <c r="M5" s="49"/>
      <c r="N5" s="49"/>
      <c r="O5" s="49"/>
      <c r="P5" s="49"/>
      <c r="Q5" s="49"/>
      <c r="R5" s="49"/>
      <c r="S5" s="49"/>
      <c r="T5" s="49"/>
      <c r="U5" s="49"/>
      <c r="V5" s="49"/>
      <c r="W5" s="49"/>
      <c r="X5" s="49"/>
      <c r="Y5" s="49"/>
      <c r="Z5" s="50"/>
      <c r="AA5"/>
      <c r="AB5" s="51"/>
    </row>
    <row r="6" spans="1:30" ht="16" thickBot="1" x14ac:dyDescent="0.4">
      <c r="A6"/>
      <c r="B6" s="47"/>
      <c r="C6" s="47"/>
      <c r="D6" s="47"/>
      <c r="E6" s="47"/>
      <c r="F6" s="47"/>
      <c r="G6" s="47"/>
      <c r="H6" s="47"/>
      <c r="I6" s="47"/>
      <c r="J6" s="47"/>
      <c r="K6" s="52"/>
      <c r="L6" s="52"/>
      <c r="M6" s="52"/>
      <c r="N6" s="52"/>
      <c r="O6" s="52"/>
      <c r="P6" s="52"/>
      <c r="Q6" s="52"/>
      <c r="R6" s="52"/>
      <c r="S6" s="52"/>
      <c r="T6" s="52"/>
      <c r="U6" s="52"/>
      <c r="V6" s="52"/>
      <c r="W6" s="52"/>
      <c r="X6" s="52"/>
      <c r="Y6" s="52"/>
      <c r="Z6" s="50"/>
      <c r="AA6"/>
      <c r="AB6"/>
    </row>
    <row r="7" spans="1:30" ht="16" customHeight="1" thickBot="1" x14ac:dyDescent="0.4">
      <c r="A7" s="53" t="s">
        <v>10</v>
      </c>
      <c r="B7" s="54" t="s">
        <v>11</v>
      </c>
      <c r="C7" s="54" t="s">
        <v>12</v>
      </c>
      <c r="D7" s="54" t="s">
        <v>13</v>
      </c>
      <c r="E7" s="54" t="s">
        <v>14</v>
      </c>
      <c r="F7" s="54" t="s">
        <v>15</v>
      </c>
      <c r="G7" s="54" t="s">
        <v>16</v>
      </c>
      <c r="H7" s="54" t="s">
        <v>17</v>
      </c>
      <c r="I7" s="54" t="s">
        <v>18</v>
      </c>
      <c r="J7" s="54" t="s">
        <v>19</v>
      </c>
      <c r="K7" s="54" t="s">
        <v>20</v>
      </c>
      <c r="L7" s="54" t="s">
        <v>21</v>
      </c>
      <c r="M7" s="54" t="s">
        <v>22</v>
      </c>
      <c r="N7" s="54" t="s">
        <v>23</v>
      </c>
      <c r="O7" s="54" t="s">
        <v>24</v>
      </c>
      <c r="P7" s="54" t="s">
        <v>25</v>
      </c>
      <c r="Q7" s="54" t="s">
        <v>26</v>
      </c>
      <c r="R7" s="54" t="s">
        <v>27</v>
      </c>
      <c r="S7" s="54" t="s">
        <v>28</v>
      </c>
      <c r="T7" s="54" t="s">
        <v>29</v>
      </c>
      <c r="U7" s="54" t="s">
        <v>30</v>
      </c>
      <c r="V7" s="54" t="s">
        <v>31</v>
      </c>
      <c r="W7" s="54" t="s">
        <v>32</v>
      </c>
      <c r="X7" s="54" t="s">
        <v>33</v>
      </c>
      <c r="Y7" s="54" t="s">
        <v>34</v>
      </c>
      <c r="Z7" s="54" t="s">
        <v>6</v>
      </c>
      <c r="AA7" s="34" t="s">
        <v>35</v>
      </c>
      <c r="AB7" s="94" t="s">
        <v>6</v>
      </c>
    </row>
    <row r="8" spans="1:30" x14ac:dyDescent="0.35">
      <c r="A8" s="56">
        <v>46388</v>
      </c>
      <c r="B8" s="83">
        <v>4.6399999999999997</v>
      </c>
      <c r="C8" s="83">
        <v>4.3099999999999996</v>
      </c>
      <c r="D8" s="83">
        <v>4.1399999999999997</v>
      </c>
      <c r="E8" s="83">
        <v>4.07</v>
      </c>
      <c r="F8" s="83">
        <v>4.1900000000000004</v>
      </c>
      <c r="G8" s="83">
        <v>4.5999999999999996</v>
      </c>
      <c r="H8" s="83">
        <v>5.19</v>
      </c>
      <c r="I8" s="83">
        <v>5.78</v>
      </c>
      <c r="J8" s="83">
        <v>6.5</v>
      </c>
      <c r="K8" s="83">
        <v>7.04</v>
      </c>
      <c r="L8" s="83">
        <v>7.56</v>
      </c>
      <c r="M8" s="83">
        <v>8.02</v>
      </c>
      <c r="N8" s="83">
        <v>7.97</v>
      </c>
      <c r="O8" s="83">
        <v>7.87</v>
      </c>
      <c r="P8" s="83">
        <v>7.98</v>
      </c>
      <c r="Q8" s="83">
        <v>7.96</v>
      </c>
      <c r="R8" s="83">
        <v>7.82</v>
      </c>
      <c r="S8" s="83">
        <v>7.61</v>
      </c>
      <c r="T8" s="83">
        <v>7.86</v>
      </c>
      <c r="U8" s="83">
        <v>8.0500000000000007</v>
      </c>
      <c r="V8" s="83">
        <v>7.69</v>
      </c>
      <c r="W8" s="83">
        <v>7.15</v>
      </c>
      <c r="X8" s="83">
        <v>6.28</v>
      </c>
      <c r="Y8" s="83">
        <v>5.33</v>
      </c>
      <c r="Z8" s="84">
        <f>SUM(B8:Y8)</f>
        <v>155.61000000000004</v>
      </c>
      <c r="AA8" s="40">
        <v>19</v>
      </c>
      <c r="AB8" s="95">
        <f t="shared" ref="AB8:AB14" si="0">+Z8*AA8</f>
        <v>2956.5900000000006</v>
      </c>
      <c r="AD8" s="30" t="s">
        <v>43</v>
      </c>
    </row>
    <row r="9" spans="1:30" x14ac:dyDescent="0.35">
      <c r="A9" s="58">
        <v>46419</v>
      </c>
      <c r="B9" s="41">
        <v>4.66</v>
      </c>
      <c r="C9" s="41">
        <v>4.3499999999999996</v>
      </c>
      <c r="D9" s="41">
        <v>4.18</v>
      </c>
      <c r="E9" s="41">
        <v>4.1399999999999997</v>
      </c>
      <c r="F9" s="41">
        <v>4.32</v>
      </c>
      <c r="G9" s="41">
        <v>5.01</v>
      </c>
      <c r="H9" s="41">
        <v>5.7</v>
      </c>
      <c r="I9" s="41">
        <v>6.15</v>
      </c>
      <c r="J9" s="41">
        <v>6.79</v>
      </c>
      <c r="K9" s="41">
        <v>7.28</v>
      </c>
      <c r="L9" s="41">
        <v>7.79</v>
      </c>
      <c r="M9" s="41">
        <v>8.2100000000000009</v>
      </c>
      <c r="N9" s="41">
        <v>8.02</v>
      </c>
      <c r="O9" s="41">
        <v>7.99</v>
      </c>
      <c r="P9" s="41">
        <v>8.17</v>
      </c>
      <c r="Q9" s="41">
        <v>8.18</v>
      </c>
      <c r="R9" s="41">
        <v>8.0500000000000007</v>
      </c>
      <c r="S9" s="41">
        <v>7.72</v>
      </c>
      <c r="T9" s="41">
        <v>7.79</v>
      </c>
      <c r="U9" s="41">
        <v>8.11</v>
      </c>
      <c r="V9" s="41">
        <v>7.82</v>
      </c>
      <c r="W9" s="41">
        <v>7.25</v>
      </c>
      <c r="X9" s="41">
        <v>6.31</v>
      </c>
      <c r="Y9" s="41">
        <v>5.33</v>
      </c>
      <c r="Z9" s="42">
        <f t="shared" ref="Z9:Z14" si="1">SUM(B9:Y9)</f>
        <v>159.32000000000002</v>
      </c>
      <c r="AA9" s="43">
        <v>20</v>
      </c>
      <c r="AB9" s="96">
        <f t="shared" si="0"/>
        <v>3186.4000000000005</v>
      </c>
      <c r="AD9" s="30" t="s">
        <v>43</v>
      </c>
    </row>
    <row r="10" spans="1:30" x14ac:dyDescent="0.35">
      <c r="A10" s="58">
        <v>46447</v>
      </c>
      <c r="B10" s="41">
        <v>4.34</v>
      </c>
      <c r="C10" s="41">
        <v>4.0599999999999996</v>
      </c>
      <c r="D10" s="41">
        <v>3.91</v>
      </c>
      <c r="E10" s="41">
        <v>3.86</v>
      </c>
      <c r="F10" s="41">
        <v>4.03</v>
      </c>
      <c r="G10" s="41">
        <v>4.66</v>
      </c>
      <c r="H10" s="41">
        <v>5.28</v>
      </c>
      <c r="I10" s="41">
        <v>5.78</v>
      </c>
      <c r="J10" s="41">
        <v>6.39</v>
      </c>
      <c r="K10" s="41">
        <v>6.82</v>
      </c>
      <c r="L10" s="41">
        <v>7.3</v>
      </c>
      <c r="M10" s="41">
        <v>7.68</v>
      </c>
      <c r="N10" s="41">
        <v>7.55</v>
      </c>
      <c r="O10" s="41">
        <v>7.47</v>
      </c>
      <c r="P10" s="41">
        <v>7.62</v>
      </c>
      <c r="Q10" s="41">
        <v>7.6</v>
      </c>
      <c r="R10" s="41">
        <v>7.48</v>
      </c>
      <c r="S10" s="41">
        <v>7.26</v>
      </c>
      <c r="T10" s="41">
        <v>7.37</v>
      </c>
      <c r="U10" s="41">
        <v>7.67</v>
      </c>
      <c r="V10" s="41">
        <v>7.33</v>
      </c>
      <c r="W10" s="41">
        <v>6.78</v>
      </c>
      <c r="X10" s="41">
        <v>5.91</v>
      </c>
      <c r="Y10" s="41">
        <v>5</v>
      </c>
      <c r="Z10" s="42">
        <f t="shared" si="1"/>
        <v>149.15</v>
      </c>
      <c r="AA10" s="43">
        <v>20</v>
      </c>
      <c r="AB10" s="96">
        <f t="shared" si="0"/>
        <v>2983</v>
      </c>
      <c r="AD10" s="30" t="s">
        <v>43</v>
      </c>
    </row>
    <row r="11" spans="1:30" x14ac:dyDescent="0.35">
      <c r="A11" s="58">
        <v>46478</v>
      </c>
      <c r="B11" s="41">
        <v>4.08</v>
      </c>
      <c r="C11" s="41">
        <v>3.8</v>
      </c>
      <c r="D11" s="41">
        <v>3.67</v>
      </c>
      <c r="E11" s="41">
        <v>3.62</v>
      </c>
      <c r="F11" s="41">
        <v>3.78</v>
      </c>
      <c r="G11" s="41">
        <v>4.3</v>
      </c>
      <c r="H11" s="41">
        <v>4.8899999999999997</v>
      </c>
      <c r="I11" s="41">
        <v>5.44</v>
      </c>
      <c r="J11" s="41">
        <v>5.97</v>
      </c>
      <c r="K11" s="41">
        <v>6.49</v>
      </c>
      <c r="L11" s="41">
        <v>6.91</v>
      </c>
      <c r="M11" s="41">
        <v>7.26</v>
      </c>
      <c r="N11" s="41">
        <v>7.14</v>
      </c>
      <c r="O11" s="41">
        <v>7.02</v>
      </c>
      <c r="P11" s="41">
        <v>7.04</v>
      </c>
      <c r="Q11" s="41">
        <v>7.05</v>
      </c>
      <c r="R11" s="41">
        <v>6.97</v>
      </c>
      <c r="S11" s="41">
        <v>6.83</v>
      </c>
      <c r="T11" s="41">
        <v>7.05</v>
      </c>
      <c r="U11" s="41">
        <v>7.21</v>
      </c>
      <c r="V11" s="41">
        <v>6.87</v>
      </c>
      <c r="W11" s="41">
        <v>6.34</v>
      </c>
      <c r="X11" s="41">
        <v>5.53</v>
      </c>
      <c r="Y11" s="41">
        <v>4.7</v>
      </c>
      <c r="Z11" s="42">
        <f t="shared" si="1"/>
        <v>139.95999999999998</v>
      </c>
      <c r="AA11" s="43">
        <v>22</v>
      </c>
      <c r="AB11" s="96">
        <f t="shared" si="0"/>
        <v>3079.1199999999994</v>
      </c>
      <c r="AD11" s="30" t="s">
        <v>43</v>
      </c>
    </row>
    <row r="12" spans="1:30" x14ac:dyDescent="0.35">
      <c r="A12" s="58">
        <v>46508</v>
      </c>
      <c r="B12" s="41">
        <v>3.46</v>
      </c>
      <c r="C12" s="41">
        <v>3.23</v>
      </c>
      <c r="D12" s="41">
        <v>3.11</v>
      </c>
      <c r="E12" s="41">
        <v>3.06</v>
      </c>
      <c r="F12" s="41">
        <v>3.21</v>
      </c>
      <c r="G12" s="41">
        <v>3.62</v>
      </c>
      <c r="H12" s="41">
        <v>4.16</v>
      </c>
      <c r="I12" s="41">
        <v>4.62</v>
      </c>
      <c r="J12" s="41">
        <v>5.12</v>
      </c>
      <c r="K12" s="41">
        <v>5.5</v>
      </c>
      <c r="L12" s="41">
        <v>5.89</v>
      </c>
      <c r="M12" s="41">
        <v>6.21</v>
      </c>
      <c r="N12" s="41">
        <v>6.09</v>
      </c>
      <c r="O12" s="41">
        <v>5.99</v>
      </c>
      <c r="P12" s="41">
        <v>6.06</v>
      </c>
      <c r="Q12" s="41">
        <v>6.03</v>
      </c>
      <c r="R12" s="41">
        <v>5.9</v>
      </c>
      <c r="S12" s="41">
        <v>5.81</v>
      </c>
      <c r="T12" s="41">
        <v>5.99</v>
      </c>
      <c r="U12" s="41">
        <v>6.1</v>
      </c>
      <c r="V12" s="41">
        <v>5.82</v>
      </c>
      <c r="W12" s="41">
        <v>5.34</v>
      </c>
      <c r="X12" s="41">
        <v>4.6399999999999997</v>
      </c>
      <c r="Y12" s="41">
        <v>3.94</v>
      </c>
      <c r="Z12" s="42">
        <f t="shared" si="1"/>
        <v>118.89999999999999</v>
      </c>
      <c r="AA12" s="43">
        <v>19</v>
      </c>
      <c r="AB12" s="96">
        <f t="shared" si="0"/>
        <v>2259.1</v>
      </c>
      <c r="AD12" s="30" t="s">
        <v>43</v>
      </c>
    </row>
    <row r="13" spans="1:30" x14ac:dyDescent="0.35">
      <c r="A13" s="58">
        <v>46539</v>
      </c>
      <c r="B13" s="41">
        <v>3.49</v>
      </c>
      <c r="C13" s="41">
        <v>3.24</v>
      </c>
      <c r="D13" s="41">
        <v>3.11</v>
      </c>
      <c r="E13" s="41">
        <v>3.06</v>
      </c>
      <c r="F13" s="41">
        <v>3.2</v>
      </c>
      <c r="G13" s="41">
        <v>3.55</v>
      </c>
      <c r="H13" s="41">
        <v>4.1399999999999997</v>
      </c>
      <c r="I13" s="41">
        <v>4.6500000000000004</v>
      </c>
      <c r="J13" s="41">
        <v>5.18</v>
      </c>
      <c r="K13" s="41">
        <v>5.57</v>
      </c>
      <c r="L13" s="41">
        <v>5.93</v>
      </c>
      <c r="M13" s="41">
        <v>6.27</v>
      </c>
      <c r="N13" s="41">
        <v>6.18</v>
      </c>
      <c r="O13" s="41">
        <v>6.05</v>
      </c>
      <c r="P13" s="41">
        <v>6.09</v>
      </c>
      <c r="Q13" s="41">
        <v>6.07</v>
      </c>
      <c r="R13" s="41">
        <v>5.98</v>
      </c>
      <c r="S13" s="41">
        <v>5.87</v>
      </c>
      <c r="T13" s="41">
        <v>6.01</v>
      </c>
      <c r="U13" s="41">
        <v>6.24</v>
      </c>
      <c r="V13" s="41">
        <v>5.95</v>
      </c>
      <c r="W13" s="41">
        <v>5.45</v>
      </c>
      <c r="X13" s="41">
        <v>4.71</v>
      </c>
      <c r="Y13" s="41">
        <v>4.01</v>
      </c>
      <c r="Z13" s="42">
        <f t="shared" si="1"/>
        <v>120.00000000000001</v>
      </c>
      <c r="AA13" s="43">
        <v>21</v>
      </c>
      <c r="AB13" s="96">
        <f t="shared" si="0"/>
        <v>2520.0000000000005</v>
      </c>
      <c r="AD13" s="30" t="s">
        <v>43</v>
      </c>
    </row>
    <row r="14" spans="1:30" ht="16" thickBot="1" x14ac:dyDescent="0.4">
      <c r="A14" s="60">
        <v>46569</v>
      </c>
      <c r="B14" s="44">
        <v>3.8</v>
      </c>
      <c r="C14" s="44">
        <v>3.56</v>
      </c>
      <c r="D14" s="44">
        <v>3.41</v>
      </c>
      <c r="E14" s="44">
        <v>3.36</v>
      </c>
      <c r="F14" s="44">
        <v>3.51</v>
      </c>
      <c r="G14" s="44">
        <v>3.96</v>
      </c>
      <c r="H14" s="44">
        <v>4.53</v>
      </c>
      <c r="I14" s="44">
        <v>5.08</v>
      </c>
      <c r="J14" s="44">
        <v>5.67</v>
      </c>
      <c r="K14" s="44">
        <v>6.12</v>
      </c>
      <c r="L14" s="44">
        <v>6.51</v>
      </c>
      <c r="M14" s="44">
        <v>6.89</v>
      </c>
      <c r="N14" s="44">
        <v>6.76</v>
      </c>
      <c r="O14" s="44">
        <v>6.64</v>
      </c>
      <c r="P14" s="44">
        <v>6.72</v>
      </c>
      <c r="Q14" s="44">
        <v>6.74</v>
      </c>
      <c r="R14" s="44">
        <v>6.65</v>
      </c>
      <c r="S14" s="44">
        <v>6.47</v>
      </c>
      <c r="T14" s="44">
        <v>6.52</v>
      </c>
      <c r="U14" s="44">
        <v>6.85</v>
      </c>
      <c r="V14" s="44">
        <v>6.53</v>
      </c>
      <c r="W14" s="44">
        <v>5.99</v>
      </c>
      <c r="X14" s="44">
        <v>5.16</v>
      </c>
      <c r="Y14" s="44">
        <v>4.43</v>
      </c>
      <c r="Z14" s="45">
        <f t="shared" si="1"/>
        <v>131.85999999999999</v>
      </c>
      <c r="AA14" s="46">
        <v>20</v>
      </c>
      <c r="AB14" s="97">
        <f t="shared" si="0"/>
        <v>2637.2</v>
      </c>
      <c r="AD14" s="30" t="s">
        <v>43</v>
      </c>
    </row>
    <row r="15" spans="1:30" x14ac:dyDescent="0.35">
      <c r="A15" s="67"/>
      <c r="B15" s="68"/>
      <c r="C15" s="68"/>
      <c r="D15" s="68"/>
      <c r="E15" s="68"/>
      <c r="F15" s="68"/>
      <c r="G15" s="68"/>
      <c r="H15" s="68"/>
      <c r="I15" s="68"/>
      <c r="J15" s="68"/>
      <c r="K15" s="68"/>
      <c r="L15" s="68"/>
      <c r="M15" s="68"/>
      <c r="N15" s="68"/>
      <c r="O15" s="68"/>
      <c r="P15" s="68"/>
      <c r="Q15" s="68"/>
      <c r="R15" s="68"/>
      <c r="S15" s="68"/>
      <c r="T15" s="68"/>
      <c r="U15" s="68"/>
      <c r="V15" s="68"/>
      <c r="W15" s="68"/>
      <c r="X15" s="68"/>
      <c r="Y15" s="68"/>
      <c r="Z15" s="69"/>
      <c r="AA15" s="70"/>
      <c r="AB15" s="71"/>
    </row>
    <row r="16" spans="1:30" ht="16" thickBot="1" x14ac:dyDescent="0.4">
      <c r="A16"/>
      <c r="B16" s="62"/>
      <c r="C16" s="52"/>
      <c r="D16" s="52"/>
      <c r="E16" s="52"/>
      <c r="F16" s="52"/>
      <c r="G16" s="52"/>
      <c r="H16" s="52"/>
      <c r="I16" s="52"/>
      <c r="J16" s="52"/>
      <c r="K16" s="52"/>
      <c r="L16" s="52"/>
      <c r="M16" s="52"/>
      <c r="N16" s="52"/>
      <c r="O16" s="52"/>
      <c r="P16" s="52"/>
      <c r="Q16" s="52"/>
      <c r="R16" s="52"/>
      <c r="S16" s="52"/>
      <c r="T16" s="52"/>
      <c r="U16" s="52"/>
      <c r="V16" s="52"/>
      <c r="W16" s="52"/>
      <c r="X16" s="52"/>
      <c r="Y16" s="52"/>
      <c r="Z16" s="50"/>
      <c r="AA16" s="35"/>
      <c r="AB16"/>
    </row>
    <row r="17" spans="1:33" ht="16" thickBot="1" x14ac:dyDescent="0.4">
      <c r="A17" s="33" t="s">
        <v>44</v>
      </c>
      <c r="B17" s="52"/>
      <c r="C17" s="52"/>
      <c r="D17" s="52"/>
      <c r="E17" s="63"/>
      <c r="F17" s="52"/>
      <c r="G17" s="52"/>
      <c r="H17" s="52"/>
      <c r="I17" s="52"/>
      <c r="J17" s="52"/>
      <c r="K17" s="52"/>
      <c r="L17" s="52"/>
      <c r="M17" s="52"/>
      <c r="N17" s="52"/>
      <c r="O17" s="52"/>
      <c r="P17" s="52"/>
      <c r="Q17" s="52"/>
      <c r="R17" s="52"/>
      <c r="S17" s="52"/>
      <c r="T17" s="52"/>
      <c r="U17" s="52"/>
      <c r="V17" s="52"/>
      <c r="W17" s="52"/>
      <c r="X17" s="52"/>
      <c r="Y17" s="52"/>
      <c r="Z17" s="50"/>
      <c r="AA17" s="35"/>
      <c r="AB17"/>
    </row>
    <row r="18" spans="1:33" ht="16" thickBot="1" x14ac:dyDescent="0.4">
      <c r="A18"/>
      <c r="B18" s="62"/>
      <c r="C18" s="52"/>
      <c r="D18" s="52"/>
      <c r="E18" s="52"/>
      <c r="F18" s="52"/>
      <c r="G18" s="52"/>
      <c r="H18" s="52"/>
      <c r="I18" s="52"/>
      <c r="J18" s="52"/>
      <c r="K18" s="52"/>
      <c r="L18" s="52"/>
      <c r="M18" s="52"/>
      <c r="N18" s="52"/>
      <c r="O18" s="52"/>
      <c r="P18" s="52"/>
      <c r="Q18" s="52"/>
      <c r="R18" s="52"/>
      <c r="S18" s="52"/>
      <c r="T18" s="52"/>
      <c r="U18" s="52"/>
      <c r="V18" s="52"/>
      <c r="W18" s="52"/>
      <c r="X18" s="52"/>
      <c r="Y18" s="52"/>
      <c r="Z18" s="50"/>
      <c r="AA18"/>
      <c r="AB18"/>
    </row>
    <row r="19" spans="1:33" ht="16" thickBot="1" x14ac:dyDescent="0.4">
      <c r="A19" s="53" t="s">
        <v>10</v>
      </c>
      <c r="B19" s="54" t="s">
        <v>11</v>
      </c>
      <c r="C19" s="54" t="s">
        <v>12</v>
      </c>
      <c r="D19" s="54" t="s">
        <v>13</v>
      </c>
      <c r="E19" s="54" t="s">
        <v>14</v>
      </c>
      <c r="F19" s="54" t="s">
        <v>15</v>
      </c>
      <c r="G19" s="54" t="s">
        <v>16</v>
      </c>
      <c r="H19" s="54" t="s">
        <v>17</v>
      </c>
      <c r="I19" s="54" t="s">
        <v>18</v>
      </c>
      <c r="J19" s="54" t="s">
        <v>19</v>
      </c>
      <c r="K19" s="54" t="s">
        <v>20</v>
      </c>
      <c r="L19" s="54" t="s">
        <v>21</v>
      </c>
      <c r="M19" s="54" t="s">
        <v>22</v>
      </c>
      <c r="N19" s="54" t="s">
        <v>23</v>
      </c>
      <c r="O19" s="54" t="s">
        <v>24</v>
      </c>
      <c r="P19" s="54" t="s">
        <v>25</v>
      </c>
      <c r="Q19" s="54" t="s">
        <v>26</v>
      </c>
      <c r="R19" s="54" t="s">
        <v>27</v>
      </c>
      <c r="S19" s="54" t="s">
        <v>28</v>
      </c>
      <c r="T19" s="54" t="s">
        <v>29</v>
      </c>
      <c r="U19" s="54" t="s">
        <v>30</v>
      </c>
      <c r="V19" s="54" t="s">
        <v>31</v>
      </c>
      <c r="W19" s="54" t="s">
        <v>32</v>
      </c>
      <c r="X19" s="54" t="s">
        <v>33</v>
      </c>
      <c r="Y19" s="54" t="s">
        <v>34</v>
      </c>
      <c r="Z19" s="54" t="s">
        <v>6</v>
      </c>
      <c r="AA19" s="34" t="s">
        <v>35</v>
      </c>
      <c r="AB19" s="94"/>
    </row>
    <row r="20" spans="1:33" x14ac:dyDescent="0.35">
      <c r="A20" s="56">
        <v>46388</v>
      </c>
      <c r="B20" s="83">
        <v>4.74</v>
      </c>
      <c r="C20" s="83">
        <v>4.38</v>
      </c>
      <c r="D20" s="83">
        <v>4.17</v>
      </c>
      <c r="E20" s="83">
        <v>4.0599999999999996</v>
      </c>
      <c r="F20" s="83">
        <v>4.1100000000000003</v>
      </c>
      <c r="G20" s="83">
        <v>4.3099999999999996</v>
      </c>
      <c r="H20" s="83">
        <v>4.74</v>
      </c>
      <c r="I20" s="83">
        <v>5.35</v>
      </c>
      <c r="J20" s="83">
        <v>6.11</v>
      </c>
      <c r="K20" s="83">
        <v>6.75</v>
      </c>
      <c r="L20" s="83">
        <v>7.21</v>
      </c>
      <c r="M20" s="83">
        <v>7.57</v>
      </c>
      <c r="N20" s="83">
        <v>7.6</v>
      </c>
      <c r="O20" s="83">
        <v>7.36</v>
      </c>
      <c r="P20" s="83">
        <v>7.16</v>
      </c>
      <c r="Q20" s="83">
        <v>7.06</v>
      </c>
      <c r="R20" s="83">
        <v>6.93</v>
      </c>
      <c r="S20" s="83">
        <v>6.95</v>
      </c>
      <c r="T20" s="83">
        <v>7.38</v>
      </c>
      <c r="U20" s="83">
        <v>7.57</v>
      </c>
      <c r="V20" s="83">
        <v>7.22</v>
      </c>
      <c r="W20" s="83">
        <v>6.73</v>
      </c>
      <c r="X20" s="83">
        <v>6.06</v>
      </c>
      <c r="Y20" s="83">
        <v>5.37</v>
      </c>
      <c r="Z20" s="84">
        <f t="shared" ref="Z20:Z26" si="2">SUM(B20:Y20)</f>
        <v>146.88999999999999</v>
      </c>
      <c r="AA20" s="40">
        <v>5</v>
      </c>
      <c r="AB20" s="95">
        <f t="shared" ref="AB20:AB26" si="3">+Z20*AA20</f>
        <v>734.44999999999993</v>
      </c>
      <c r="AD20" s="30" t="s">
        <v>45</v>
      </c>
      <c r="AG20" s="66"/>
    </row>
    <row r="21" spans="1:33" x14ac:dyDescent="0.35">
      <c r="A21" s="58">
        <v>46419</v>
      </c>
      <c r="B21" s="41">
        <v>4.74</v>
      </c>
      <c r="C21" s="41">
        <v>4.41</v>
      </c>
      <c r="D21" s="41">
        <v>4.21</v>
      </c>
      <c r="E21" s="41">
        <v>4.1100000000000003</v>
      </c>
      <c r="F21" s="41">
        <v>4.17</v>
      </c>
      <c r="G21" s="41">
        <v>4.46</v>
      </c>
      <c r="H21" s="41">
        <v>5</v>
      </c>
      <c r="I21" s="41">
        <v>5.61</v>
      </c>
      <c r="J21" s="41">
        <v>6.37</v>
      </c>
      <c r="K21" s="41">
        <v>6.95</v>
      </c>
      <c r="L21" s="41">
        <v>7.41</v>
      </c>
      <c r="M21" s="41">
        <v>7.7</v>
      </c>
      <c r="N21" s="41">
        <v>7.67</v>
      </c>
      <c r="O21" s="41">
        <v>7.48</v>
      </c>
      <c r="P21" s="41">
        <v>7.32</v>
      </c>
      <c r="Q21" s="41">
        <v>7.24</v>
      </c>
      <c r="R21" s="41">
        <v>7.14</v>
      </c>
      <c r="S21" s="41">
        <v>7.1</v>
      </c>
      <c r="T21" s="41">
        <v>7.37</v>
      </c>
      <c r="U21" s="41">
        <v>7.76</v>
      </c>
      <c r="V21" s="41">
        <v>7.42</v>
      </c>
      <c r="W21" s="41">
        <v>6.94</v>
      </c>
      <c r="X21" s="41">
        <v>6.24</v>
      </c>
      <c r="Y21" s="41">
        <v>5.54</v>
      </c>
      <c r="Z21" s="42">
        <f t="shared" si="2"/>
        <v>150.36000000000001</v>
      </c>
      <c r="AA21" s="43">
        <v>4</v>
      </c>
      <c r="AB21" s="96">
        <f t="shared" si="3"/>
        <v>601.44000000000005</v>
      </c>
      <c r="AD21" s="30" t="s">
        <v>45</v>
      </c>
      <c r="AG21" s="66"/>
    </row>
    <row r="22" spans="1:33" x14ac:dyDescent="0.35">
      <c r="A22" s="58">
        <v>46447</v>
      </c>
      <c r="B22" s="41">
        <v>4.42</v>
      </c>
      <c r="C22" s="41">
        <v>4.09</v>
      </c>
      <c r="D22" s="41">
        <v>3.91</v>
      </c>
      <c r="E22" s="41">
        <v>3.82</v>
      </c>
      <c r="F22" s="41">
        <v>3.89</v>
      </c>
      <c r="G22" s="41">
        <v>4.16</v>
      </c>
      <c r="H22" s="41">
        <v>4.5999999999999996</v>
      </c>
      <c r="I22" s="41">
        <v>5.25</v>
      </c>
      <c r="J22" s="41">
        <v>5.99</v>
      </c>
      <c r="K22" s="41">
        <v>6.5</v>
      </c>
      <c r="L22" s="41">
        <v>6.91</v>
      </c>
      <c r="M22" s="41">
        <v>7.27</v>
      </c>
      <c r="N22" s="41">
        <v>7.24</v>
      </c>
      <c r="O22" s="41">
        <v>6.99</v>
      </c>
      <c r="P22" s="41">
        <v>6.81</v>
      </c>
      <c r="Q22" s="41">
        <v>6.71</v>
      </c>
      <c r="R22" s="41">
        <v>6.62</v>
      </c>
      <c r="S22" s="41">
        <v>6.65</v>
      </c>
      <c r="T22" s="41">
        <v>6.89</v>
      </c>
      <c r="U22" s="41">
        <v>7.11</v>
      </c>
      <c r="V22" s="41">
        <v>6.79</v>
      </c>
      <c r="W22" s="41">
        <v>6.35</v>
      </c>
      <c r="X22" s="41">
        <v>5.71</v>
      </c>
      <c r="Y22" s="41">
        <v>5.05</v>
      </c>
      <c r="Z22" s="42">
        <f t="shared" si="2"/>
        <v>139.73000000000002</v>
      </c>
      <c r="AA22" s="43">
        <v>4</v>
      </c>
      <c r="AB22" s="96">
        <f t="shared" si="3"/>
        <v>558.92000000000007</v>
      </c>
      <c r="AD22" s="30" t="s">
        <v>45</v>
      </c>
      <c r="AG22" s="66"/>
    </row>
    <row r="23" spans="1:33" x14ac:dyDescent="0.35">
      <c r="A23" s="58">
        <v>46478</v>
      </c>
      <c r="B23" s="41">
        <v>4.1900000000000004</v>
      </c>
      <c r="C23" s="41">
        <v>3.87</v>
      </c>
      <c r="D23" s="41">
        <v>3.68</v>
      </c>
      <c r="E23" s="41">
        <v>3.59</v>
      </c>
      <c r="F23" s="41">
        <v>3.64</v>
      </c>
      <c r="G23" s="41">
        <v>3.78</v>
      </c>
      <c r="H23" s="41">
        <v>4.26</v>
      </c>
      <c r="I23" s="41">
        <v>4.92</v>
      </c>
      <c r="J23" s="41">
        <v>5.59</v>
      </c>
      <c r="K23" s="41">
        <v>6.11</v>
      </c>
      <c r="L23" s="41">
        <v>6.51</v>
      </c>
      <c r="M23" s="41">
        <v>6.81</v>
      </c>
      <c r="N23" s="41">
        <v>6.82</v>
      </c>
      <c r="O23" s="41">
        <v>6.56</v>
      </c>
      <c r="P23" s="41">
        <v>6.4</v>
      </c>
      <c r="Q23" s="41">
        <v>6.32</v>
      </c>
      <c r="R23" s="41">
        <v>6.18</v>
      </c>
      <c r="S23" s="41">
        <v>6.21</v>
      </c>
      <c r="T23" s="41">
        <v>6.56</v>
      </c>
      <c r="U23" s="41">
        <v>6.76</v>
      </c>
      <c r="V23" s="41">
        <v>6.45</v>
      </c>
      <c r="W23" s="41">
        <v>6.01</v>
      </c>
      <c r="X23" s="41">
        <v>5.43</v>
      </c>
      <c r="Y23" s="41">
        <v>4.82</v>
      </c>
      <c r="Z23" s="42">
        <f t="shared" si="2"/>
        <v>131.47000000000003</v>
      </c>
      <c r="AA23" s="43">
        <v>4</v>
      </c>
      <c r="AB23" s="96">
        <f t="shared" si="3"/>
        <v>525.88000000000011</v>
      </c>
      <c r="AD23" s="30" t="s">
        <v>45</v>
      </c>
      <c r="AG23" s="66"/>
    </row>
    <row r="24" spans="1:33" x14ac:dyDescent="0.35">
      <c r="A24" s="58">
        <v>46508</v>
      </c>
      <c r="B24" s="41">
        <v>3.51</v>
      </c>
      <c r="C24" s="41">
        <v>3.26</v>
      </c>
      <c r="D24" s="41">
        <v>3.12</v>
      </c>
      <c r="E24" s="41">
        <v>3.04</v>
      </c>
      <c r="F24" s="41">
        <v>3.1</v>
      </c>
      <c r="G24" s="41">
        <v>3.22</v>
      </c>
      <c r="H24" s="41">
        <v>3.69</v>
      </c>
      <c r="I24" s="41">
        <v>4.2699999999999996</v>
      </c>
      <c r="J24" s="41">
        <v>4.8600000000000003</v>
      </c>
      <c r="K24" s="41">
        <v>5.33</v>
      </c>
      <c r="L24" s="41">
        <v>5.64</v>
      </c>
      <c r="M24" s="41">
        <v>5.88</v>
      </c>
      <c r="N24" s="41">
        <v>5.82</v>
      </c>
      <c r="O24" s="41">
        <v>5.58</v>
      </c>
      <c r="P24" s="41">
        <v>5.45</v>
      </c>
      <c r="Q24" s="41">
        <v>5.37</v>
      </c>
      <c r="R24" s="41">
        <v>5.27</v>
      </c>
      <c r="S24" s="41">
        <v>5.3</v>
      </c>
      <c r="T24" s="41">
        <v>5.62</v>
      </c>
      <c r="U24" s="41">
        <v>5.79</v>
      </c>
      <c r="V24" s="41">
        <v>5.5</v>
      </c>
      <c r="W24" s="41">
        <v>5.12</v>
      </c>
      <c r="X24" s="41">
        <v>4.5999999999999996</v>
      </c>
      <c r="Y24" s="41">
        <v>4.07</v>
      </c>
      <c r="Z24" s="42">
        <f t="shared" si="2"/>
        <v>112.41</v>
      </c>
      <c r="AA24" s="43">
        <v>4</v>
      </c>
      <c r="AB24" s="96">
        <f t="shared" si="3"/>
        <v>449.64</v>
      </c>
      <c r="AD24" s="30" t="s">
        <v>45</v>
      </c>
      <c r="AG24" s="66"/>
    </row>
    <row r="25" spans="1:33" x14ac:dyDescent="0.35">
      <c r="A25" s="58">
        <v>46539</v>
      </c>
      <c r="B25" s="41">
        <v>3.55</v>
      </c>
      <c r="C25" s="41">
        <v>3.28</v>
      </c>
      <c r="D25" s="41">
        <v>3.13</v>
      </c>
      <c r="E25" s="41">
        <v>3.06</v>
      </c>
      <c r="F25" s="41">
        <v>3.12</v>
      </c>
      <c r="G25" s="41">
        <v>3.27</v>
      </c>
      <c r="H25" s="41">
        <v>3.67</v>
      </c>
      <c r="I25" s="41">
        <v>4.24</v>
      </c>
      <c r="J25" s="41">
        <v>4.84</v>
      </c>
      <c r="K25" s="41">
        <v>5.32</v>
      </c>
      <c r="L25" s="41">
        <v>5.63</v>
      </c>
      <c r="M25" s="41">
        <v>5.89</v>
      </c>
      <c r="N25" s="41">
        <v>5.9</v>
      </c>
      <c r="O25" s="41">
        <v>5.71</v>
      </c>
      <c r="P25" s="41">
        <v>5.54</v>
      </c>
      <c r="Q25" s="41">
        <v>5.41</v>
      </c>
      <c r="R25" s="41">
        <v>5.3</v>
      </c>
      <c r="S25" s="41">
        <v>5.33</v>
      </c>
      <c r="T25" s="41">
        <v>5.62</v>
      </c>
      <c r="U25" s="41">
        <v>5.81</v>
      </c>
      <c r="V25" s="41">
        <v>5.53</v>
      </c>
      <c r="W25" s="41">
        <v>5.14</v>
      </c>
      <c r="X25" s="41">
        <v>4.59</v>
      </c>
      <c r="Y25" s="41">
        <v>4.03</v>
      </c>
      <c r="Z25" s="42">
        <f t="shared" si="2"/>
        <v>112.91000000000001</v>
      </c>
      <c r="AA25" s="43">
        <v>4</v>
      </c>
      <c r="AB25" s="96">
        <f t="shared" si="3"/>
        <v>451.64000000000004</v>
      </c>
      <c r="AD25" s="30" t="s">
        <v>45</v>
      </c>
      <c r="AG25" s="66"/>
    </row>
    <row r="26" spans="1:33" ht="16" thickBot="1" x14ac:dyDescent="0.4">
      <c r="A26" s="60">
        <v>46569</v>
      </c>
      <c r="B26" s="44">
        <v>3.95</v>
      </c>
      <c r="C26" s="44">
        <v>3.64</v>
      </c>
      <c r="D26" s="44">
        <v>3.45</v>
      </c>
      <c r="E26" s="44">
        <v>3.37</v>
      </c>
      <c r="F26" s="44">
        <v>3.42</v>
      </c>
      <c r="G26" s="44">
        <v>3.55</v>
      </c>
      <c r="H26" s="44">
        <v>4</v>
      </c>
      <c r="I26" s="44">
        <v>4.5999999999999996</v>
      </c>
      <c r="J26" s="44">
        <v>5.3</v>
      </c>
      <c r="K26" s="44">
        <v>5.83</v>
      </c>
      <c r="L26" s="44">
        <v>6.19</v>
      </c>
      <c r="M26" s="44">
        <v>6.49</v>
      </c>
      <c r="N26" s="44">
        <v>6.5</v>
      </c>
      <c r="O26" s="44">
        <v>6.27</v>
      </c>
      <c r="P26" s="44">
        <v>6.06</v>
      </c>
      <c r="Q26" s="44">
        <v>5.91</v>
      </c>
      <c r="R26" s="44">
        <v>5.8</v>
      </c>
      <c r="S26" s="44">
        <v>5.83</v>
      </c>
      <c r="T26" s="44">
        <v>6.07</v>
      </c>
      <c r="U26" s="44">
        <v>6.41</v>
      </c>
      <c r="V26" s="44">
        <v>6.1</v>
      </c>
      <c r="W26" s="44">
        <v>5.7</v>
      </c>
      <c r="X26" s="44">
        <v>5.13</v>
      </c>
      <c r="Y26" s="44">
        <v>4.53</v>
      </c>
      <c r="Z26" s="45">
        <f t="shared" si="2"/>
        <v>124.09999999999998</v>
      </c>
      <c r="AA26" s="46">
        <v>5</v>
      </c>
      <c r="AB26" s="97">
        <f t="shared" si="3"/>
        <v>620.49999999999989</v>
      </c>
      <c r="AD26" s="30" t="s">
        <v>45</v>
      </c>
      <c r="AG26" s="66"/>
    </row>
    <row r="27" spans="1:33" ht="16" thickBot="1" x14ac:dyDescent="0.4">
      <c r="A27"/>
      <c r="B27" s="62"/>
      <c r="C27" s="52"/>
      <c r="D27" s="52"/>
      <c r="E27" s="52"/>
      <c r="F27" s="52"/>
      <c r="G27" s="52"/>
      <c r="H27" s="52"/>
      <c r="I27" s="52"/>
      <c r="J27" s="52"/>
      <c r="K27" s="52"/>
      <c r="L27" s="52"/>
      <c r="M27" s="52"/>
      <c r="N27" s="52"/>
      <c r="O27" s="52"/>
      <c r="P27" s="52"/>
      <c r="Q27" s="52"/>
      <c r="R27" s="52"/>
      <c r="S27" s="52"/>
      <c r="T27" s="52"/>
      <c r="U27" s="52"/>
      <c r="V27" s="52"/>
      <c r="W27" s="52"/>
      <c r="X27" s="52"/>
      <c r="Y27" s="52"/>
      <c r="Z27" s="50"/>
      <c r="AA27" s="35"/>
      <c r="AB27"/>
    </row>
    <row r="28" spans="1:33" ht="16" thickBot="1" x14ac:dyDescent="0.4">
      <c r="A28" s="33" t="s">
        <v>46</v>
      </c>
      <c r="B28" s="52"/>
      <c r="C28" s="52"/>
      <c r="D28" s="52"/>
      <c r="E28" s="63"/>
      <c r="F28" s="52"/>
      <c r="G28" s="52"/>
      <c r="H28" s="52"/>
      <c r="I28" s="52"/>
      <c r="J28" s="52"/>
      <c r="K28" s="52"/>
      <c r="L28" s="52"/>
      <c r="M28" s="52"/>
      <c r="N28" s="52"/>
      <c r="O28" s="52"/>
      <c r="P28" s="52"/>
      <c r="Q28" s="52"/>
      <c r="R28" s="52"/>
      <c r="S28" s="52"/>
      <c r="T28" s="52"/>
      <c r="U28" s="52"/>
      <c r="V28" s="52"/>
      <c r="W28" s="52"/>
      <c r="X28" s="52"/>
      <c r="Y28" s="52"/>
      <c r="Z28" s="50"/>
      <c r="AA28" s="35"/>
      <c r="AB28"/>
    </row>
    <row r="29" spans="1:33" ht="16" thickBot="1" x14ac:dyDescent="0.4">
      <c r="A29"/>
      <c r="B29" s="62"/>
      <c r="C29" s="52"/>
      <c r="D29" s="52"/>
      <c r="E29" s="52"/>
      <c r="F29" s="52"/>
      <c r="G29" s="52"/>
      <c r="H29" s="52"/>
      <c r="I29" s="52"/>
      <c r="J29" s="52"/>
      <c r="K29" s="52"/>
      <c r="L29" s="52"/>
      <c r="M29" s="52"/>
      <c r="N29" s="52"/>
      <c r="O29" s="52"/>
      <c r="P29" s="52"/>
      <c r="Q29" s="52"/>
      <c r="R29" s="52"/>
      <c r="S29" s="52"/>
      <c r="T29" s="52"/>
      <c r="U29" s="52"/>
      <c r="V29" s="52"/>
      <c r="W29" s="52"/>
      <c r="X29" s="52"/>
      <c r="Y29" s="52"/>
      <c r="Z29" s="50"/>
      <c r="AA29"/>
      <c r="AB29"/>
    </row>
    <row r="30" spans="1:33" ht="16" thickBot="1" x14ac:dyDescent="0.4">
      <c r="A30" s="53" t="s">
        <v>10</v>
      </c>
      <c r="B30" s="54" t="s">
        <v>11</v>
      </c>
      <c r="C30" s="54" t="s">
        <v>12</v>
      </c>
      <c r="D30" s="54" t="s">
        <v>13</v>
      </c>
      <c r="E30" s="54" t="s">
        <v>14</v>
      </c>
      <c r="F30" s="54" t="s">
        <v>15</v>
      </c>
      <c r="G30" s="54" t="s">
        <v>16</v>
      </c>
      <c r="H30" s="54" t="s">
        <v>17</v>
      </c>
      <c r="I30" s="54" t="s">
        <v>18</v>
      </c>
      <c r="J30" s="54" t="s">
        <v>19</v>
      </c>
      <c r="K30" s="54" t="s">
        <v>20</v>
      </c>
      <c r="L30" s="54" t="s">
        <v>21</v>
      </c>
      <c r="M30" s="54" t="s">
        <v>22</v>
      </c>
      <c r="N30" s="54" t="s">
        <v>23</v>
      </c>
      <c r="O30" s="54" t="s">
        <v>24</v>
      </c>
      <c r="P30" s="54" t="s">
        <v>25</v>
      </c>
      <c r="Q30" s="54" t="s">
        <v>26</v>
      </c>
      <c r="R30" s="54" t="s">
        <v>27</v>
      </c>
      <c r="S30" s="54" t="s">
        <v>28</v>
      </c>
      <c r="T30" s="54" t="s">
        <v>29</v>
      </c>
      <c r="U30" s="54" t="s">
        <v>30</v>
      </c>
      <c r="V30" s="54" t="s">
        <v>31</v>
      </c>
      <c r="W30" s="54" t="s">
        <v>32</v>
      </c>
      <c r="X30" s="54" t="s">
        <v>33</v>
      </c>
      <c r="Y30" s="54" t="s">
        <v>34</v>
      </c>
      <c r="Z30" s="54" t="s">
        <v>6</v>
      </c>
      <c r="AA30" s="34" t="s">
        <v>35</v>
      </c>
      <c r="AB30" s="94"/>
    </row>
    <row r="31" spans="1:33" x14ac:dyDescent="0.35">
      <c r="A31" s="56">
        <v>46388</v>
      </c>
      <c r="B31" s="83">
        <v>4.8499999999999996</v>
      </c>
      <c r="C31" s="83">
        <v>4.49</v>
      </c>
      <c r="D31" s="83">
        <v>4.21</v>
      </c>
      <c r="E31" s="83">
        <v>4.09</v>
      </c>
      <c r="F31" s="83">
        <v>4.0199999999999996</v>
      </c>
      <c r="G31" s="83">
        <v>4.04</v>
      </c>
      <c r="H31" s="83">
        <v>4.1500000000000004</v>
      </c>
      <c r="I31" s="83">
        <v>4.38</v>
      </c>
      <c r="J31" s="83">
        <v>4.84</v>
      </c>
      <c r="K31" s="83">
        <v>5.31</v>
      </c>
      <c r="L31" s="83">
        <v>5.71</v>
      </c>
      <c r="M31" s="83">
        <v>6.06</v>
      </c>
      <c r="N31" s="83">
        <v>6.28</v>
      </c>
      <c r="O31" s="83">
        <v>6.28</v>
      </c>
      <c r="P31" s="83">
        <v>6.15</v>
      </c>
      <c r="Q31" s="83">
        <v>6.07</v>
      </c>
      <c r="R31" s="83">
        <v>6.04</v>
      </c>
      <c r="S31" s="83">
        <v>6.09</v>
      </c>
      <c r="T31" s="83">
        <v>6.6</v>
      </c>
      <c r="U31" s="83">
        <v>7.04</v>
      </c>
      <c r="V31" s="83">
        <v>6.91</v>
      </c>
      <c r="W31" s="83">
        <v>6.48</v>
      </c>
      <c r="X31" s="83">
        <v>5.8</v>
      </c>
      <c r="Y31" s="83">
        <v>5.12</v>
      </c>
      <c r="Z31" s="84">
        <f t="shared" ref="Z31:Z37" si="4">SUM(B31:Y31)</f>
        <v>131.01000000000002</v>
      </c>
      <c r="AA31" s="40">
        <v>6</v>
      </c>
      <c r="AB31" s="95">
        <f t="shared" ref="AB31:AB37" si="5">+Z31*AA31</f>
        <v>786.06000000000017</v>
      </c>
      <c r="AD31" s="30" t="s">
        <v>47</v>
      </c>
      <c r="AG31" s="66"/>
    </row>
    <row r="32" spans="1:33" x14ac:dyDescent="0.35">
      <c r="A32" s="58">
        <v>46419</v>
      </c>
      <c r="B32" s="41">
        <v>4.9000000000000004</v>
      </c>
      <c r="C32" s="41">
        <v>4.5199999999999996</v>
      </c>
      <c r="D32" s="41">
        <v>4.26</v>
      </c>
      <c r="E32" s="41">
        <v>4.1100000000000003</v>
      </c>
      <c r="F32" s="41">
        <v>4.09</v>
      </c>
      <c r="G32" s="41">
        <v>4.17</v>
      </c>
      <c r="H32" s="41">
        <v>4.3600000000000003</v>
      </c>
      <c r="I32" s="41">
        <v>4.67</v>
      </c>
      <c r="J32" s="41">
        <v>5.22</v>
      </c>
      <c r="K32" s="41">
        <v>5.74</v>
      </c>
      <c r="L32" s="41">
        <v>6.08</v>
      </c>
      <c r="M32" s="41">
        <v>6.41</v>
      </c>
      <c r="N32" s="41">
        <v>6.57</v>
      </c>
      <c r="O32" s="41">
        <v>6.48</v>
      </c>
      <c r="P32" s="41">
        <v>6.28</v>
      </c>
      <c r="Q32" s="41">
        <v>6.15</v>
      </c>
      <c r="R32" s="41">
        <v>6.07</v>
      </c>
      <c r="S32" s="41">
        <v>6.15</v>
      </c>
      <c r="T32" s="41">
        <v>6.53</v>
      </c>
      <c r="U32" s="41">
        <v>7.17</v>
      </c>
      <c r="V32" s="41">
        <v>7.02</v>
      </c>
      <c r="W32" s="41">
        <v>6.53</v>
      </c>
      <c r="X32" s="41">
        <v>5.72</v>
      </c>
      <c r="Y32" s="41">
        <v>4.93</v>
      </c>
      <c r="Z32" s="42">
        <f t="shared" si="4"/>
        <v>134.13000000000002</v>
      </c>
      <c r="AA32" s="43">
        <v>4</v>
      </c>
      <c r="AB32" s="96">
        <f t="shared" si="5"/>
        <v>536.5200000000001</v>
      </c>
      <c r="AD32" s="30" t="s">
        <v>47</v>
      </c>
      <c r="AG32" s="66"/>
    </row>
    <row r="33" spans="1:33" x14ac:dyDescent="0.35">
      <c r="A33" s="58">
        <v>46447</v>
      </c>
      <c r="B33" s="41">
        <v>4.5199999999999996</v>
      </c>
      <c r="C33" s="41">
        <v>4.17</v>
      </c>
      <c r="D33" s="41">
        <v>3.96</v>
      </c>
      <c r="E33" s="41">
        <v>3.83</v>
      </c>
      <c r="F33" s="41">
        <v>3.79</v>
      </c>
      <c r="G33" s="41">
        <v>3.87</v>
      </c>
      <c r="H33" s="41">
        <v>4.04</v>
      </c>
      <c r="I33" s="41">
        <v>4.3600000000000003</v>
      </c>
      <c r="J33" s="41">
        <v>4.84</v>
      </c>
      <c r="K33" s="41">
        <v>5.29</v>
      </c>
      <c r="L33" s="41">
        <v>5.6</v>
      </c>
      <c r="M33" s="41">
        <v>5.87</v>
      </c>
      <c r="N33" s="41">
        <v>6.06</v>
      </c>
      <c r="O33" s="41">
        <v>6.03</v>
      </c>
      <c r="P33" s="41">
        <v>5.84</v>
      </c>
      <c r="Q33" s="41">
        <v>5.75</v>
      </c>
      <c r="R33" s="41">
        <v>5.73</v>
      </c>
      <c r="S33" s="41">
        <v>5.87</v>
      </c>
      <c r="T33" s="41">
        <v>6.32</v>
      </c>
      <c r="U33" s="41">
        <v>6.73</v>
      </c>
      <c r="V33" s="41">
        <v>6.53</v>
      </c>
      <c r="W33" s="41">
        <v>6.06</v>
      </c>
      <c r="X33" s="41">
        <v>5.37</v>
      </c>
      <c r="Y33" s="41">
        <v>4.66</v>
      </c>
      <c r="Z33" s="42">
        <f t="shared" si="4"/>
        <v>125.09000000000002</v>
      </c>
      <c r="AA33" s="43">
        <v>6</v>
      </c>
      <c r="AB33" s="96">
        <f t="shared" si="5"/>
        <v>750.54000000000008</v>
      </c>
      <c r="AD33" s="30" t="s">
        <v>47</v>
      </c>
      <c r="AG33" s="66"/>
    </row>
    <row r="34" spans="1:33" x14ac:dyDescent="0.35">
      <c r="A34" s="58">
        <v>46478</v>
      </c>
      <c r="B34" s="41">
        <v>4.2</v>
      </c>
      <c r="C34" s="41">
        <v>3.86</v>
      </c>
      <c r="D34" s="41">
        <v>3.65</v>
      </c>
      <c r="E34" s="41">
        <v>3.54</v>
      </c>
      <c r="F34" s="41">
        <v>3.53</v>
      </c>
      <c r="G34" s="41">
        <v>3.53</v>
      </c>
      <c r="H34" s="41">
        <v>3.71</v>
      </c>
      <c r="I34" s="41">
        <v>4.0999999999999996</v>
      </c>
      <c r="J34" s="41">
        <v>4.57</v>
      </c>
      <c r="K34" s="41">
        <v>5.01</v>
      </c>
      <c r="L34" s="41">
        <v>5.36</v>
      </c>
      <c r="M34" s="41">
        <v>5.69</v>
      </c>
      <c r="N34" s="41">
        <v>5.84</v>
      </c>
      <c r="O34" s="41">
        <v>5.75</v>
      </c>
      <c r="P34" s="41">
        <v>5.64</v>
      </c>
      <c r="Q34" s="41">
        <v>5.45</v>
      </c>
      <c r="R34" s="41">
        <v>5.39</v>
      </c>
      <c r="S34" s="41">
        <v>5.53</v>
      </c>
      <c r="T34" s="41">
        <v>5.95</v>
      </c>
      <c r="U34" s="41">
        <v>6.24</v>
      </c>
      <c r="V34" s="41">
        <v>6.08</v>
      </c>
      <c r="W34" s="41">
        <v>5.67</v>
      </c>
      <c r="X34" s="41">
        <v>5.03</v>
      </c>
      <c r="Y34" s="41">
        <v>4.42</v>
      </c>
      <c r="Z34" s="42">
        <f t="shared" si="4"/>
        <v>117.74000000000001</v>
      </c>
      <c r="AA34" s="43">
        <v>4</v>
      </c>
      <c r="AB34" s="96">
        <f t="shared" si="5"/>
        <v>470.96000000000004</v>
      </c>
      <c r="AD34" s="30" t="s">
        <v>47</v>
      </c>
      <c r="AG34" s="66"/>
    </row>
    <row r="35" spans="1:33" x14ac:dyDescent="0.35">
      <c r="A35" s="58">
        <v>46508</v>
      </c>
      <c r="B35" s="41">
        <v>3.59</v>
      </c>
      <c r="C35" s="41">
        <v>3.3</v>
      </c>
      <c r="D35" s="41">
        <v>3.13</v>
      </c>
      <c r="E35" s="41">
        <v>3.02</v>
      </c>
      <c r="F35" s="41">
        <v>2.99</v>
      </c>
      <c r="G35" s="41">
        <v>2.93</v>
      </c>
      <c r="H35" s="41">
        <v>3.19</v>
      </c>
      <c r="I35" s="41">
        <v>3.53</v>
      </c>
      <c r="J35" s="41">
        <v>3.94</v>
      </c>
      <c r="K35" s="41">
        <v>4.3600000000000003</v>
      </c>
      <c r="L35" s="41">
        <v>4.6399999999999997</v>
      </c>
      <c r="M35" s="41">
        <v>4.8600000000000003</v>
      </c>
      <c r="N35" s="41">
        <v>4.91</v>
      </c>
      <c r="O35" s="41">
        <v>4.87</v>
      </c>
      <c r="P35" s="41">
        <v>4.67</v>
      </c>
      <c r="Q35" s="41">
        <v>4.66</v>
      </c>
      <c r="R35" s="41">
        <v>4.6399999999999997</v>
      </c>
      <c r="S35" s="41">
        <v>4.71</v>
      </c>
      <c r="T35" s="41">
        <v>5.05</v>
      </c>
      <c r="U35" s="41">
        <v>5.39</v>
      </c>
      <c r="V35" s="41">
        <v>5.27</v>
      </c>
      <c r="W35" s="41">
        <v>4.91</v>
      </c>
      <c r="X35" s="41">
        <v>4.33</v>
      </c>
      <c r="Y35" s="41">
        <v>3.76</v>
      </c>
      <c r="Z35" s="42">
        <f t="shared" si="4"/>
        <v>100.64999999999999</v>
      </c>
      <c r="AA35" s="43">
        <v>6</v>
      </c>
      <c r="AB35" s="96">
        <f t="shared" si="5"/>
        <v>603.9</v>
      </c>
      <c r="AD35" s="30" t="s">
        <v>47</v>
      </c>
      <c r="AG35" s="66"/>
    </row>
    <row r="36" spans="1:33" x14ac:dyDescent="0.35">
      <c r="A36" s="58">
        <v>46539</v>
      </c>
      <c r="B36" s="41">
        <v>3.56</v>
      </c>
      <c r="C36" s="41">
        <v>3.27</v>
      </c>
      <c r="D36" s="41">
        <v>3.1</v>
      </c>
      <c r="E36" s="41">
        <v>3</v>
      </c>
      <c r="F36" s="41">
        <v>2.98</v>
      </c>
      <c r="G36" s="41">
        <v>2.99</v>
      </c>
      <c r="H36" s="41">
        <v>3.19</v>
      </c>
      <c r="I36" s="41">
        <v>3.53</v>
      </c>
      <c r="J36" s="41">
        <v>3.94</v>
      </c>
      <c r="K36" s="41">
        <v>4.3499999999999996</v>
      </c>
      <c r="L36" s="41">
        <v>4.59</v>
      </c>
      <c r="M36" s="41">
        <v>4.8</v>
      </c>
      <c r="N36" s="41">
        <v>4.92</v>
      </c>
      <c r="O36" s="41">
        <v>4.9000000000000004</v>
      </c>
      <c r="P36" s="41">
        <v>4.76</v>
      </c>
      <c r="Q36" s="41">
        <v>4.6500000000000004</v>
      </c>
      <c r="R36" s="41">
        <v>4.59</v>
      </c>
      <c r="S36" s="41">
        <v>4.6500000000000004</v>
      </c>
      <c r="T36" s="41">
        <v>4.9800000000000004</v>
      </c>
      <c r="U36" s="41">
        <v>5.39</v>
      </c>
      <c r="V36" s="41">
        <v>5.26</v>
      </c>
      <c r="W36" s="41">
        <v>4.9000000000000004</v>
      </c>
      <c r="X36" s="41">
        <v>4.3600000000000003</v>
      </c>
      <c r="Y36" s="41">
        <v>3.79</v>
      </c>
      <c r="Z36" s="42">
        <f t="shared" si="4"/>
        <v>100.45000000000002</v>
      </c>
      <c r="AA36" s="43">
        <v>4</v>
      </c>
      <c r="AB36" s="96">
        <f t="shared" si="5"/>
        <v>401.80000000000007</v>
      </c>
      <c r="AD36" s="30" t="s">
        <v>47</v>
      </c>
      <c r="AG36" s="66"/>
    </row>
    <row r="37" spans="1:33" ht="16" thickBot="1" x14ac:dyDescent="0.4">
      <c r="A37" s="60">
        <v>46569</v>
      </c>
      <c r="B37" s="44">
        <v>3.98</v>
      </c>
      <c r="C37" s="44">
        <v>3.68</v>
      </c>
      <c r="D37" s="44">
        <v>3.49</v>
      </c>
      <c r="E37" s="44">
        <v>3.36</v>
      </c>
      <c r="F37" s="44">
        <v>3.35</v>
      </c>
      <c r="G37" s="44">
        <v>3.34</v>
      </c>
      <c r="H37" s="44">
        <v>3.52</v>
      </c>
      <c r="I37" s="44">
        <v>3.88</v>
      </c>
      <c r="J37" s="44">
        <v>4.34</v>
      </c>
      <c r="K37" s="44">
        <v>4.78</v>
      </c>
      <c r="L37" s="44">
        <v>5.0599999999999996</v>
      </c>
      <c r="M37" s="44">
        <v>5.36</v>
      </c>
      <c r="N37" s="44">
        <v>5.48</v>
      </c>
      <c r="O37" s="44">
        <v>5.38</v>
      </c>
      <c r="P37" s="44">
        <v>5.23</v>
      </c>
      <c r="Q37" s="44">
        <v>5.13</v>
      </c>
      <c r="R37" s="44">
        <v>5.1100000000000003</v>
      </c>
      <c r="S37" s="44">
        <v>5.18</v>
      </c>
      <c r="T37" s="44">
        <v>5.47</v>
      </c>
      <c r="U37" s="44">
        <v>5.94</v>
      </c>
      <c r="V37" s="44">
        <v>5.81</v>
      </c>
      <c r="W37" s="44">
        <v>5.41</v>
      </c>
      <c r="X37" s="44">
        <v>4.79</v>
      </c>
      <c r="Y37" s="44">
        <v>4.16</v>
      </c>
      <c r="Z37" s="45">
        <f t="shared" si="4"/>
        <v>111.23</v>
      </c>
      <c r="AA37" s="46">
        <v>5</v>
      </c>
      <c r="AB37" s="97">
        <f t="shared" si="5"/>
        <v>556.15</v>
      </c>
      <c r="AD37" s="30" t="s">
        <v>47</v>
      </c>
      <c r="AG37" s="66"/>
    </row>
    <row r="38" spans="1:33" ht="16" thickBot="1" x14ac:dyDescent="0.4">
      <c r="A38"/>
      <c r="B38" s="62"/>
      <c r="C38" s="52"/>
      <c r="D38" s="52"/>
      <c r="E38" s="52"/>
      <c r="F38" s="52"/>
      <c r="G38" s="52"/>
      <c r="H38" s="52"/>
      <c r="I38" s="52"/>
      <c r="J38" s="52"/>
      <c r="K38" s="52"/>
      <c r="L38" s="52"/>
      <c r="M38" s="52"/>
      <c r="N38" s="52"/>
      <c r="O38" s="52"/>
      <c r="P38" s="52"/>
      <c r="Q38" s="52"/>
      <c r="R38" s="52"/>
      <c r="S38" s="52"/>
      <c r="T38" s="52"/>
      <c r="U38" s="52"/>
      <c r="V38" s="52"/>
      <c r="W38" s="52"/>
      <c r="X38" s="52"/>
      <c r="Y38" s="52"/>
      <c r="Z38" s="50"/>
      <c r="AA38" s="35"/>
      <c r="AB38"/>
    </row>
    <row r="39" spans="1:33" ht="16" thickBot="1" x14ac:dyDescent="0.4">
      <c r="A39" s="33" t="s">
        <v>48</v>
      </c>
      <c r="B39" s="52"/>
      <c r="C39" s="52"/>
      <c r="D39" s="52"/>
      <c r="E39" s="63"/>
      <c r="F39" s="52"/>
      <c r="G39" s="52"/>
      <c r="H39" s="52"/>
      <c r="I39" s="52"/>
      <c r="J39" s="52"/>
      <c r="K39" s="52"/>
      <c r="L39" s="52"/>
      <c r="M39" s="52"/>
      <c r="N39" s="52"/>
      <c r="O39" s="52"/>
      <c r="P39" s="52"/>
      <c r="Q39" s="52"/>
      <c r="R39" s="52"/>
      <c r="S39" s="52"/>
      <c r="T39" s="52"/>
      <c r="U39" s="52"/>
      <c r="V39" s="52"/>
      <c r="W39" s="52"/>
      <c r="X39" s="52"/>
      <c r="Y39" s="52"/>
      <c r="Z39" s="50"/>
      <c r="AA39" s="35"/>
      <c r="AB39"/>
    </row>
    <row r="40" spans="1:33" ht="16" thickBot="1" x14ac:dyDescent="0.4">
      <c r="A40"/>
      <c r="B40" s="62"/>
      <c r="C40" s="52"/>
      <c r="D40" s="52"/>
      <c r="E40" s="52"/>
      <c r="F40" s="52"/>
      <c r="G40" s="52"/>
      <c r="H40" s="52"/>
      <c r="I40" s="52"/>
      <c r="J40" s="52"/>
      <c r="K40" s="52"/>
      <c r="L40" s="52"/>
      <c r="M40" s="52"/>
      <c r="N40" s="52"/>
      <c r="O40" s="52"/>
      <c r="P40" s="52"/>
      <c r="Q40" s="52"/>
      <c r="R40" s="52"/>
      <c r="S40" s="52"/>
      <c r="T40" s="52"/>
      <c r="U40" s="52"/>
      <c r="V40" s="52"/>
      <c r="W40" s="52"/>
      <c r="X40" s="52"/>
      <c r="Y40" s="52"/>
      <c r="Z40" s="50"/>
      <c r="AA40"/>
      <c r="AB40"/>
    </row>
    <row r="41" spans="1:33" ht="16" thickBot="1" x14ac:dyDescent="0.4">
      <c r="A41" s="53" t="s">
        <v>10</v>
      </c>
      <c r="B41" s="54" t="s">
        <v>11</v>
      </c>
      <c r="C41" s="54" t="s">
        <v>12</v>
      </c>
      <c r="D41" s="54" t="s">
        <v>13</v>
      </c>
      <c r="E41" s="54" t="s">
        <v>14</v>
      </c>
      <c r="F41" s="54" t="s">
        <v>15</v>
      </c>
      <c r="G41" s="54" t="s">
        <v>16</v>
      </c>
      <c r="H41" s="54" t="s">
        <v>17</v>
      </c>
      <c r="I41" s="54" t="s">
        <v>18</v>
      </c>
      <c r="J41" s="54" t="s">
        <v>19</v>
      </c>
      <c r="K41" s="54" t="s">
        <v>20</v>
      </c>
      <c r="L41" s="54" t="s">
        <v>21</v>
      </c>
      <c r="M41" s="54" t="s">
        <v>22</v>
      </c>
      <c r="N41" s="54" t="s">
        <v>23</v>
      </c>
      <c r="O41" s="54" t="s">
        <v>24</v>
      </c>
      <c r="P41" s="54" t="s">
        <v>25</v>
      </c>
      <c r="Q41" s="54" t="s">
        <v>26</v>
      </c>
      <c r="R41" s="54" t="s">
        <v>27</v>
      </c>
      <c r="S41" s="54" t="s">
        <v>28</v>
      </c>
      <c r="T41" s="54" t="s">
        <v>29</v>
      </c>
      <c r="U41" s="54" t="s">
        <v>30</v>
      </c>
      <c r="V41" s="54" t="s">
        <v>31</v>
      </c>
      <c r="W41" s="54" t="s">
        <v>32</v>
      </c>
      <c r="X41" s="54" t="s">
        <v>33</v>
      </c>
      <c r="Y41" s="54" t="s">
        <v>34</v>
      </c>
      <c r="Z41" s="54" t="s">
        <v>6</v>
      </c>
      <c r="AA41" s="34" t="s">
        <v>35</v>
      </c>
      <c r="AB41" s="94"/>
    </row>
    <row r="42" spans="1:33" x14ac:dyDescent="0.35">
      <c r="A42" s="56">
        <v>46388</v>
      </c>
      <c r="B42" s="83">
        <v>4.58</v>
      </c>
      <c r="C42" s="83">
        <v>4.2300000000000004</v>
      </c>
      <c r="D42" s="83">
        <v>4.01</v>
      </c>
      <c r="E42" s="83">
        <v>3.89</v>
      </c>
      <c r="F42" s="83">
        <v>3.89</v>
      </c>
      <c r="G42" s="83">
        <v>3.98</v>
      </c>
      <c r="H42" s="83">
        <v>4.21</v>
      </c>
      <c r="I42" s="83">
        <v>4.5</v>
      </c>
      <c r="J42" s="83">
        <v>5</v>
      </c>
      <c r="K42" s="83">
        <v>5.55</v>
      </c>
      <c r="L42" s="83">
        <v>6.05</v>
      </c>
      <c r="M42" s="83">
        <v>6.45</v>
      </c>
      <c r="N42" s="83">
        <v>6.63</v>
      </c>
      <c r="O42" s="83">
        <v>6.49</v>
      </c>
      <c r="P42" s="83">
        <v>6.17</v>
      </c>
      <c r="Q42" s="83">
        <v>6.03</v>
      </c>
      <c r="R42" s="83">
        <v>6.05</v>
      </c>
      <c r="S42" s="83">
        <v>6.26</v>
      </c>
      <c r="T42" s="83">
        <v>6.81</v>
      </c>
      <c r="U42" s="83">
        <v>7.08</v>
      </c>
      <c r="V42" s="83">
        <v>6.8</v>
      </c>
      <c r="W42" s="83">
        <v>6.26</v>
      </c>
      <c r="X42" s="83">
        <v>5.49</v>
      </c>
      <c r="Y42" s="83">
        <v>4.74</v>
      </c>
      <c r="Z42" s="84">
        <f t="shared" ref="Z42:Z48" si="6">SUM(B42:Y42)</f>
        <v>131.15</v>
      </c>
      <c r="AA42" s="40">
        <v>1</v>
      </c>
      <c r="AB42" s="95">
        <f t="shared" ref="AB42:AB48" si="7">+Z42*AA42</f>
        <v>131.15</v>
      </c>
      <c r="AD42" s="30" t="s">
        <v>49</v>
      </c>
      <c r="AG42" s="66"/>
    </row>
    <row r="43" spans="1:33" x14ac:dyDescent="0.35">
      <c r="A43" s="58">
        <v>46419</v>
      </c>
      <c r="B43" s="41">
        <v>4.9000000000000004</v>
      </c>
      <c r="C43" s="41">
        <v>4.5199999999999996</v>
      </c>
      <c r="D43" s="41">
        <v>4.26</v>
      </c>
      <c r="E43" s="41">
        <v>4.1100000000000003</v>
      </c>
      <c r="F43" s="41">
        <v>4.09</v>
      </c>
      <c r="G43" s="41">
        <v>4.17</v>
      </c>
      <c r="H43" s="41">
        <v>4.3600000000000003</v>
      </c>
      <c r="I43" s="41">
        <v>4.67</v>
      </c>
      <c r="J43" s="41">
        <v>5.22</v>
      </c>
      <c r="K43" s="41">
        <v>5.74</v>
      </c>
      <c r="L43" s="41">
        <v>6.08</v>
      </c>
      <c r="M43" s="41">
        <v>6.41</v>
      </c>
      <c r="N43" s="41">
        <v>6.57</v>
      </c>
      <c r="O43" s="41">
        <v>6.48</v>
      </c>
      <c r="P43" s="41">
        <v>6.28</v>
      </c>
      <c r="Q43" s="41">
        <v>6.15</v>
      </c>
      <c r="R43" s="41">
        <v>6.07</v>
      </c>
      <c r="S43" s="41">
        <v>6.15</v>
      </c>
      <c r="T43" s="41">
        <v>6.53</v>
      </c>
      <c r="U43" s="41">
        <v>7.17</v>
      </c>
      <c r="V43" s="41">
        <v>7.02</v>
      </c>
      <c r="W43" s="41">
        <v>6.53</v>
      </c>
      <c r="X43" s="41">
        <v>5.72</v>
      </c>
      <c r="Y43" s="41">
        <v>4.93</v>
      </c>
      <c r="Z43" s="42">
        <f t="shared" si="6"/>
        <v>134.13000000000002</v>
      </c>
      <c r="AA43" s="43">
        <v>0</v>
      </c>
      <c r="AB43" s="96">
        <f t="shared" si="7"/>
        <v>0</v>
      </c>
      <c r="AD43" s="30" t="s">
        <v>49</v>
      </c>
      <c r="AG43" s="66"/>
    </row>
    <row r="44" spans="1:33" x14ac:dyDescent="0.35">
      <c r="A44" s="58">
        <v>46447</v>
      </c>
      <c r="B44" s="41">
        <v>4.3499999999999996</v>
      </c>
      <c r="C44" s="41">
        <v>4.03</v>
      </c>
      <c r="D44" s="41">
        <v>3.84</v>
      </c>
      <c r="E44" s="41">
        <v>3.73</v>
      </c>
      <c r="F44" s="41">
        <v>3.71</v>
      </c>
      <c r="G44" s="41">
        <v>3.8</v>
      </c>
      <c r="H44" s="41">
        <v>3.95</v>
      </c>
      <c r="I44" s="41">
        <v>4.38</v>
      </c>
      <c r="J44" s="41">
        <v>4.9400000000000004</v>
      </c>
      <c r="K44" s="41">
        <v>5.41</v>
      </c>
      <c r="L44" s="41">
        <v>5.81</v>
      </c>
      <c r="M44" s="41">
        <v>6.17</v>
      </c>
      <c r="N44" s="41">
        <v>6.28</v>
      </c>
      <c r="O44" s="41">
        <v>6.2</v>
      </c>
      <c r="P44" s="41">
        <v>6.05</v>
      </c>
      <c r="Q44" s="41">
        <v>5.94</v>
      </c>
      <c r="R44" s="41">
        <v>5.92</v>
      </c>
      <c r="S44" s="41">
        <v>6.06</v>
      </c>
      <c r="T44" s="41">
        <v>6.47</v>
      </c>
      <c r="U44" s="41">
        <v>6.86</v>
      </c>
      <c r="V44" s="41">
        <v>6.68</v>
      </c>
      <c r="W44" s="41">
        <v>6.18</v>
      </c>
      <c r="X44" s="41">
        <v>5.35</v>
      </c>
      <c r="Y44" s="41">
        <v>4.63</v>
      </c>
      <c r="Z44" s="42">
        <f t="shared" si="6"/>
        <v>126.74000000000001</v>
      </c>
      <c r="AA44" s="43">
        <v>1</v>
      </c>
      <c r="AB44" s="96">
        <f t="shared" si="7"/>
        <v>126.74000000000001</v>
      </c>
      <c r="AD44" s="30" t="s">
        <v>49</v>
      </c>
      <c r="AG44" s="66"/>
    </row>
    <row r="45" spans="1:33" x14ac:dyDescent="0.35">
      <c r="A45" s="58">
        <v>46478</v>
      </c>
      <c r="B45" s="41">
        <v>4.2</v>
      </c>
      <c r="C45" s="41">
        <v>3.86</v>
      </c>
      <c r="D45" s="41">
        <v>3.65</v>
      </c>
      <c r="E45" s="41">
        <v>3.54</v>
      </c>
      <c r="F45" s="41">
        <v>3.53</v>
      </c>
      <c r="G45" s="41">
        <v>3.53</v>
      </c>
      <c r="H45" s="41">
        <v>3.71</v>
      </c>
      <c r="I45" s="41">
        <v>4.0999999999999996</v>
      </c>
      <c r="J45" s="41">
        <v>4.57</v>
      </c>
      <c r="K45" s="41">
        <v>5.01</v>
      </c>
      <c r="L45" s="41">
        <v>5.36</v>
      </c>
      <c r="M45" s="41">
        <v>5.69</v>
      </c>
      <c r="N45" s="41">
        <v>5.84</v>
      </c>
      <c r="O45" s="41">
        <v>5.75</v>
      </c>
      <c r="P45" s="41">
        <v>5.64</v>
      </c>
      <c r="Q45" s="41">
        <v>5.45</v>
      </c>
      <c r="R45" s="41">
        <v>5.39</v>
      </c>
      <c r="S45" s="41">
        <v>5.53</v>
      </c>
      <c r="T45" s="41">
        <v>5.95</v>
      </c>
      <c r="U45" s="41">
        <v>6.24</v>
      </c>
      <c r="V45" s="41">
        <v>6.08</v>
      </c>
      <c r="W45" s="41">
        <v>5.67</v>
      </c>
      <c r="X45" s="41">
        <v>5.03</v>
      </c>
      <c r="Y45" s="41">
        <v>4.42</v>
      </c>
      <c r="Z45" s="42">
        <f t="shared" si="6"/>
        <v>117.74000000000001</v>
      </c>
      <c r="AA45" s="43">
        <v>0</v>
      </c>
      <c r="AB45" s="96">
        <f t="shared" si="7"/>
        <v>0</v>
      </c>
      <c r="AD45" s="30" t="s">
        <v>49</v>
      </c>
      <c r="AG45" s="66"/>
    </row>
    <row r="46" spans="1:33" x14ac:dyDescent="0.35">
      <c r="A46" s="58">
        <v>46508</v>
      </c>
      <c r="B46" s="41">
        <v>3.35</v>
      </c>
      <c r="C46" s="41">
        <v>3.1</v>
      </c>
      <c r="D46" s="41">
        <v>2.98</v>
      </c>
      <c r="E46" s="41">
        <v>2.91</v>
      </c>
      <c r="F46" s="41">
        <v>2.93</v>
      </c>
      <c r="G46" s="41">
        <v>2.95</v>
      </c>
      <c r="H46" s="41">
        <v>3.17</v>
      </c>
      <c r="I46" s="41">
        <v>3.58</v>
      </c>
      <c r="J46" s="41">
        <v>4.07</v>
      </c>
      <c r="K46" s="41">
        <v>4.4400000000000004</v>
      </c>
      <c r="L46" s="41">
        <v>4.72</v>
      </c>
      <c r="M46" s="41">
        <v>5.0999999999999996</v>
      </c>
      <c r="N46" s="41">
        <v>5.32</v>
      </c>
      <c r="O46" s="41">
        <v>5.2</v>
      </c>
      <c r="P46" s="41">
        <v>4.9000000000000004</v>
      </c>
      <c r="Q46" s="41">
        <v>4.78</v>
      </c>
      <c r="R46" s="41">
        <v>4.72</v>
      </c>
      <c r="S46" s="41">
        <v>4.8</v>
      </c>
      <c r="T46" s="41">
        <v>5.0599999999999996</v>
      </c>
      <c r="U46" s="41">
        <v>5.46</v>
      </c>
      <c r="V46" s="41">
        <v>5.28</v>
      </c>
      <c r="W46" s="41">
        <v>4.87</v>
      </c>
      <c r="X46" s="41">
        <v>4.22</v>
      </c>
      <c r="Y46" s="41">
        <v>3.63</v>
      </c>
      <c r="Z46" s="42">
        <f t="shared" si="6"/>
        <v>101.53999999999999</v>
      </c>
      <c r="AA46" s="43">
        <v>2</v>
      </c>
      <c r="AB46" s="96">
        <f t="shared" si="7"/>
        <v>203.07999999999998</v>
      </c>
      <c r="AD46" s="30" t="s">
        <v>49</v>
      </c>
      <c r="AG46" s="66"/>
    </row>
    <row r="47" spans="1:33" x14ac:dyDescent="0.35">
      <c r="A47" s="58">
        <v>46539</v>
      </c>
      <c r="B47" s="41">
        <v>3.42</v>
      </c>
      <c r="C47" s="41">
        <v>3.15</v>
      </c>
      <c r="D47" s="41">
        <v>3</v>
      </c>
      <c r="E47" s="41">
        <v>2.94</v>
      </c>
      <c r="F47" s="41">
        <v>2.95</v>
      </c>
      <c r="G47" s="41">
        <v>2.93</v>
      </c>
      <c r="H47" s="41">
        <v>3.18</v>
      </c>
      <c r="I47" s="41">
        <v>3.53</v>
      </c>
      <c r="J47" s="41">
        <v>3.97</v>
      </c>
      <c r="K47" s="41">
        <v>4.3899999999999997</v>
      </c>
      <c r="L47" s="41">
        <v>4.71</v>
      </c>
      <c r="M47" s="41">
        <v>5.0199999999999996</v>
      </c>
      <c r="N47" s="41">
        <v>5.21</v>
      </c>
      <c r="O47" s="41">
        <v>5.15</v>
      </c>
      <c r="P47" s="41">
        <v>4.9400000000000004</v>
      </c>
      <c r="Q47" s="41">
        <v>4.84</v>
      </c>
      <c r="R47" s="41">
        <v>4.76</v>
      </c>
      <c r="S47" s="41">
        <v>4.88</v>
      </c>
      <c r="T47" s="41">
        <v>5.2</v>
      </c>
      <c r="U47" s="41">
        <v>5.58</v>
      </c>
      <c r="V47" s="41">
        <v>5.4</v>
      </c>
      <c r="W47" s="41">
        <v>4.96</v>
      </c>
      <c r="X47" s="41">
        <v>4.32</v>
      </c>
      <c r="Y47" s="41">
        <v>3.7</v>
      </c>
      <c r="Z47" s="42">
        <f t="shared" si="6"/>
        <v>102.13000000000001</v>
      </c>
      <c r="AA47" s="43">
        <v>1</v>
      </c>
      <c r="AB47" s="96">
        <f t="shared" si="7"/>
        <v>102.13000000000001</v>
      </c>
      <c r="AD47" s="30" t="s">
        <v>49</v>
      </c>
      <c r="AG47" s="66"/>
    </row>
    <row r="48" spans="1:33" ht="16" thickBot="1" x14ac:dyDescent="0.4">
      <c r="A48" s="60">
        <v>46569</v>
      </c>
      <c r="B48" s="44">
        <v>3.88</v>
      </c>
      <c r="C48" s="44">
        <v>3.59</v>
      </c>
      <c r="D48" s="44">
        <v>3.4</v>
      </c>
      <c r="E48" s="44">
        <v>3.31</v>
      </c>
      <c r="F48" s="44">
        <v>3.3</v>
      </c>
      <c r="G48" s="44">
        <v>3.29</v>
      </c>
      <c r="H48" s="44">
        <v>3.51</v>
      </c>
      <c r="I48" s="44">
        <v>3.89</v>
      </c>
      <c r="J48" s="44">
        <v>4.3600000000000003</v>
      </c>
      <c r="K48" s="44">
        <v>4.79</v>
      </c>
      <c r="L48" s="44">
        <v>5.19</v>
      </c>
      <c r="M48" s="44">
        <v>5.58</v>
      </c>
      <c r="N48" s="44">
        <v>5.78</v>
      </c>
      <c r="O48" s="44">
        <v>5.61</v>
      </c>
      <c r="P48" s="44">
        <v>5.24</v>
      </c>
      <c r="Q48" s="44">
        <v>5.0599999999999996</v>
      </c>
      <c r="R48" s="44">
        <v>4.9800000000000004</v>
      </c>
      <c r="S48" s="44">
        <v>5.04</v>
      </c>
      <c r="T48" s="44">
        <v>5.32</v>
      </c>
      <c r="U48" s="44">
        <v>5.89</v>
      </c>
      <c r="V48" s="44">
        <v>5.73</v>
      </c>
      <c r="W48" s="44">
        <v>5.31</v>
      </c>
      <c r="X48" s="44">
        <v>4.67</v>
      </c>
      <c r="Y48" s="44">
        <v>4.01</v>
      </c>
      <c r="Z48" s="45">
        <f t="shared" si="6"/>
        <v>110.73000000000002</v>
      </c>
      <c r="AA48" s="46">
        <v>1</v>
      </c>
      <c r="AB48" s="97">
        <f t="shared" si="7"/>
        <v>110.73000000000002</v>
      </c>
      <c r="AD48" s="30" t="s">
        <v>49</v>
      </c>
      <c r="AG48" s="66"/>
    </row>
    <row r="49" spans="1:33" ht="16" thickBot="1" x14ac:dyDescent="0.4">
      <c r="A49" s="81"/>
      <c r="B49" s="68"/>
      <c r="C49" s="68"/>
      <c r="D49" s="68"/>
      <c r="E49" s="68"/>
      <c r="F49" s="68"/>
      <c r="G49" s="68"/>
      <c r="H49" s="68"/>
      <c r="I49" s="68"/>
      <c r="J49" s="68"/>
      <c r="K49" s="68"/>
      <c r="L49" s="68"/>
      <c r="M49" s="68"/>
      <c r="N49" s="68"/>
      <c r="O49" s="68"/>
      <c r="P49" s="68"/>
      <c r="Q49" s="68"/>
      <c r="R49" s="68"/>
      <c r="S49" s="68"/>
      <c r="T49" s="68"/>
      <c r="U49" s="68"/>
      <c r="V49" s="68"/>
      <c r="W49" s="68"/>
      <c r="X49" s="68"/>
      <c r="Y49" s="68"/>
      <c r="Z49" s="69"/>
      <c r="AA49" s="70"/>
      <c r="AB49" s="71"/>
      <c r="AG49" s="66"/>
    </row>
    <row r="50" spans="1:33" ht="16" thickBot="1" x14ac:dyDescent="0.4">
      <c r="A50" s="33" t="s">
        <v>36</v>
      </c>
      <c r="B50" s="52"/>
      <c r="C50" s="52"/>
      <c r="D50" s="52"/>
      <c r="E50" s="63"/>
      <c r="F50" s="52"/>
      <c r="G50" s="52"/>
      <c r="H50" s="52"/>
      <c r="I50" s="52"/>
      <c r="J50" s="52"/>
      <c r="K50" s="52"/>
      <c r="L50" s="52"/>
      <c r="M50" s="52"/>
      <c r="N50" s="52"/>
      <c r="O50" s="52"/>
      <c r="P50" s="52"/>
      <c r="Q50" s="52"/>
      <c r="R50" s="52"/>
      <c r="S50" s="52"/>
      <c r="T50" s="52"/>
      <c r="U50" s="52"/>
      <c r="V50" s="52"/>
      <c r="W50" s="52"/>
      <c r="X50" s="52"/>
      <c r="Y50" s="52"/>
      <c r="Z50" s="50"/>
      <c r="AA50" s="35"/>
      <c r="AB50"/>
    </row>
    <row r="51" spans="1:33" ht="16" thickBot="1" x14ac:dyDescent="0.4">
      <c r="A51"/>
      <c r="B51" s="62"/>
      <c r="C51" s="52"/>
      <c r="D51" s="52"/>
      <c r="E51" s="52"/>
      <c r="F51" s="52"/>
      <c r="G51" s="52"/>
      <c r="H51" s="52"/>
      <c r="I51" s="52"/>
      <c r="J51" s="52"/>
      <c r="K51" s="52"/>
      <c r="L51" s="52"/>
      <c r="M51" s="52"/>
      <c r="N51" s="52"/>
      <c r="O51" s="52"/>
      <c r="P51" s="52"/>
      <c r="Q51" s="52"/>
      <c r="R51" s="52"/>
      <c r="S51" s="52"/>
      <c r="T51" s="52"/>
      <c r="U51" s="52"/>
      <c r="V51" s="52"/>
      <c r="W51" s="52"/>
      <c r="X51" s="52"/>
      <c r="Y51" s="52"/>
      <c r="Z51" s="50"/>
      <c r="AA51"/>
      <c r="AB51"/>
    </row>
    <row r="52" spans="1:33" ht="16" thickBot="1" x14ac:dyDescent="0.4">
      <c r="A52" s="53" t="s">
        <v>10</v>
      </c>
      <c r="B52" s="54" t="s">
        <v>11</v>
      </c>
      <c r="C52" s="54" t="s">
        <v>12</v>
      </c>
      <c r="D52" s="54" t="s">
        <v>13</v>
      </c>
      <c r="E52" s="54" t="s">
        <v>14</v>
      </c>
      <c r="F52" s="54" t="s">
        <v>15</v>
      </c>
      <c r="G52" s="54" t="s">
        <v>16</v>
      </c>
      <c r="H52" s="54" t="s">
        <v>17</v>
      </c>
      <c r="I52" s="54" t="s">
        <v>18</v>
      </c>
      <c r="J52" s="54" t="s">
        <v>19</v>
      </c>
      <c r="K52" s="54" t="s">
        <v>20</v>
      </c>
      <c r="L52" s="54" t="s">
        <v>21</v>
      </c>
      <c r="M52" s="54" t="s">
        <v>22</v>
      </c>
      <c r="N52" s="54" t="s">
        <v>23</v>
      </c>
      <c r="O52" s="54" t="s">
        <v>24</v>
      </c>
      <c r="P52" s="54" t="s">
        <v>25</v>
      </c>
      <c r="Q52" s="54" t="s">
        <v>26</v>
      </c>
      <c r="R52" s="54" t="s">
        <v>27</v>
      </c>
      <c r="S52" s="54" t="s">
        <v>28</v>
      </c>
      <c r="T52" s="54" t="s">
        <v>29</v>
      </c>
      <c r="U52" s="54" t="s">
        <v>30</v>
      </c>
      <c r="V52" s="54" t="s">
        <v>31</v>
      </c>
      <c r="W52" s="54" t="s">
        <v>32</v>
      </c>
      <c r="X52" s="54" t="s">
        <v>33</v>
      </c>
      <c r="Y52" s="54" t="s">
        <v>34</v>
      </c>
      <c r="Z52" s="54" t="s">
        <v>6</v>
      </c>
      <c r="AA52" s="34" t="s">
        <v>35</v>
      </c>
      <c r="AB52" s="94"/>
    </row>
    <row r="53" spans="1:33" x14ac:dyDescent="0.35">
      <c r="A53" s="56">
        <f t="shared" ref="A53:A59" si="8">+A42</f>
        <v>46388</v>
      </c>
      <c r="B53" s="83">
        <f t="shared" ref="B53:Y53" si="9">+B8*$AA8+B20*$AA20+B31*$AA31+B42*$AA42</f>
        <v>145.54000000000002</v>
      </c>
      <c r="C53" s="83">
        <f t="shared" si="9"/>
        <v>134.95999999999998</v>
      </c>
      <c r="D53" s="83">
        <f t="shared" si="9"/>
        <v>128.77999999999997</v>
      </c>
      <c r="E53" s="83">
        <f t="shared" si="9"/>
        <v>126.06000000000002</v>
      </c>
      <c r="F53" s="83">
        <f t="shared" si="9"/>
        <v>128.16999999999999</v>
      </c>
      <c r="G53" s="83">
        <f t="shared" si="9"/>
        <v>137.16999999999999</v>
      </c>
      <c r="H53" s="83">
        <f t="shared" si="9"/>
        <v>151.42000000000002</v>
      </c>
      <c r="I53" s="83">
        <f t="shared" si="9"/>
        <v>167.35</v>
      </c>
      <c r="J53" s="83">
        <f t="shared" si="9"/>
        <v>188.09</v>
      </c>
      <c r="K53" s="83">
        <f t="shared" si="9"/>
        <v>204.92000000000002</v>
      </c>
      <c r="L53" s="83">
        <f t="shared" si="9"/>
        <v>220</v>
      </c>
      <c r="M53" s="83">
        <f t="shared" si="9"/>
        <v>233.03999999999996</v>
      </c>
      <c r="N53" s="83">
        <f t="shared" si="9"/>
        <v>233.74</v>
      </c>
      <c r="O53" s="83">
        <f t="shared" si="9"/>
        <v>230.50000000000003</v>
      </c>
      <c r="P53" s="83">
        <f t="shared" si="9"/>
        <v>230.49</v>
      </c>
      <c r="Q53" s="83">
        <f t="shared" si="9"/>
        <v>228.99000000000004</v>
      </c>
      <c r="R53" s="83">
        <f t="shared" si="9"/>
        <v>225.52000000000004</v>
      </c>
      <c r="S53" s="83">
        <f t="shared" si="9"/>
        <v>222.14</v>
      </c>
      <c r="T53" s="83">
        <f t="shared" si="9"/>
        <v>232.65</v>
      </c>
      <c r="U53" s="83">
        <f t="shared" si="9"/>
        <v>240.12000000000003</v>
      </c>
      <c r="V53" s="83">
        <f t="shared" si="9"/>
        <v>230.47000000000003</v>
      </c>
      <c r="W53" s="83">
        <f t="shared" si="9"/>
        <v>214.64</v>
      </c>
      <c r="X53" s="83">
        <f t="shared" si="9"/>
        <v>189.91000000000003</v>
      </c>
      <c r="Y53" s="83">
        <f t="shared" si="9"/>
        <v>163.58000000000001</v>
      </c>
      <c r="Z53" s="84">
        <f t="shared" ref="Z53:Z59" si="10">SUM(B53:Y53)</f>
        <v>4608.25</v>
      </c>
      <c r="AA53" s="40">
        <f t="shared" ref="AA53:AA59" si="11">AA8+AA20+AA31+AA42</f>
        <v>31</v>
      </c>
      <c r="AB53" s="95">
        <f t="shared" ref="AB53:AB59" si="12">+AB8+AB20+AB31+AB42</f>
        <v>4608.25</v>
      </c>
      <c r="AD53" s="80">
        <f t="shared" ref="AD53:AD59" si="13">+AB53-Z53</f>
        <v>0</v>
      </c>
    </row>
    <row r="54" spans="1:33" x14ac:dyDescent="0.35">
      <c r="A54" s="58">
        <f t="shared" si="8"/>
        <v>46419</v>
      </c>
      <c r="B54" s="41">
        <f t="shared" ref="B54:Y54" si="14">+B9*$AA9+B21*$AA21+B32*$AA32+B43*$AA43</f>
        <v>131.76</v>
      </c>
      <c r="C54" s="41">
        <f t="shared" si="14"/>
        <v>122.72</v>
      </c>
      <c r="D54" s="41">
        <f t="shared" si="14"/>
        <v>117.47999999999999</v>
      </c>
      <c r="E54" s="41">
        <f t="shared" si="14"/>
        <v>115.67999999999999</v>
      </c>
      <c r="F54" s="41">
        <f t="shared" si="14"/>
        <v>119.44000000000001</v>
      </c>
      <c r="G54" s="41">
        <f t="shared" si="14"/>
        <v>134.72</v>
      </c>
      <c r="H54" s="41">
        <f t="shared" si="14"/>
        <v>151.44</v>
      </c>
      <c r="I54" s="41">
        <f t="shared" si="14"/>
        <v>164.12</v>
      </c>
      <c r="J54" s="41">
        <f t="shared" si="14"/>
        <v>182.16</v>
      </c>
      <c r="K54" s="41">
        <f t="shared" si="14"/>
        <v>196.36</v>
      </c>
      <c r="L54" s="41">
        <f t="shared" si="14"/>
        <v>209.76</v>
      </c>
      <c r="M54" s="41">
        <f t="shared" si="14"/>
        <v>220.64000000000004</v>
      </c>
      <c r="N54" s="41">
        <f t="shared" si="14"/>
        <v>217.35999999999999</v>
      </c>
      <c r="O54" s="41">
        <f t="shared" si="14"/>
        <v>215.64000000000004</v>
      </c>
      <c r="P54" s="41">
        <f t="shared" si="14"/>
        <v>217.8</v>
      </c>
      <c r="Q54" s="41">
        <f t="shared" si="14"/>
        <v>217.16</v>
      </c>
      <c r="R54" s="41">
        <f t="shared" si="14"/>
        <v>213.84</v>
      </c>
      <c r="S54" s="41">
        <f t="shared" si="14"/>
        <v>207.4</v>
      </c>
      <c r="T54" s="41">
        <f t="shared" si="14"/>
        <v>211.4</v>
      </c>
      <c r="U54" s="41">
        <f t="shared" si="14"/>
        <v>221.92</v>
      </c>
      <c r="V54" s="41">
        <f t="shared" si="14"/>
        <v>214.16000000000003</v>
      </c>
      <c r="W54" s="41">
        <f t="shared" si="14"/>
        <v>198.88</v>
      </c>
      <c r="X54" s="41">
        <f t="shared" si="14"/>
        <v>174.04</v>
      </c>
      <c r="Y54" s="41">
        <f t="shared" si="14"/>
        <v>148.47999999999999</v>
      </c>
      <c r="Z54" s="42">
        <f t="shared" si="10"/>
        <v>4324.3600000000006</v>
      </c>
      <c r="AA54" s="43">
        <f t="shared" si="11"/>
        <v>28</v>
      </c>
      <c r="AB54" s="96">
        <f t="shared" si="12"/>
        <v>4324.3600000000006</v>
      </c>
      <c r="AD54" s="80">
        <f t="shared" si="13"/>
        <v>0</v>
      </c>
    </row>
    <row r="55" spans="1:33" x14ac:dyDescent="0.35">
      <c r="A55" s="58">
        <f t="shared" si="8"/>
        <v>46447</v>
      </c>
      <c r="B55" s="41">
        <f t="shared" ref="B55:Y55" si="15">+B10*$AA10+B22*$AA22+B33*$AA33+B44*$AA44</f>
        <v>135.94999999999999</v>
      </c>
      <c r="C55" s="41">
        <f t="shared" si="15"/>
        <v>126.60999999999999</v>
      </c>
      <c r="D55" s="41">
        <f t="shared" si="15"/>
        <v>121.44</v>
      </c>
      <c r="E55" s="41">
        <f t="shared" si="15"/>
        <v>119.19000000000001</v>
      </c>
      <c r="F55" s="41">
        <f t="shared" si="15"/>
        <v>122.61</v>
      </c>
      <c r="G55" s="41">
        <f t="shared" si="15"/>
        <v>136.86000000000001</v>
      </c>
      <c r="H55" s="41">
        <f t="shared" si="15"/>
        <v>152.19</v>
      </c>
      <c r="I55" s="41">
        <f t="shared" si="15"/>
        <v>167.14000000000001</v>
      </c>
      <c r="J55" s="41">
        <f t="shared" si="15"/>
        <v>185.73999999999998</v>
      </c>
      <c r="K55" s="41">
        <f t="shared" si="15"/>
        <v>199.55</v>
      </c>
      <c r="L55" s="41">
        <f t="shared" si="15"/>
        <v>213.04999999999998</v>
      </c>
      <c r="M55" s="41">
        <f t="shared" si="15"/>
        <v>224.07</v>
      </c>
      <c r="N55" s="41">
        <f t="shared" si="15"/>
        <v>222.6</v>
      </c>
      <c r="O55" s="41">
        <f t="shared" si="15"/>
        <v>219.74</v>
      </c>
      <c r="P55" s="41">
        <f t="shared" si="15"/>
        <v>220.73000000000002</v>
      </c>
      <c r="Q55" s="41">
        <f t="shared" si="15"/>
        <v>219.28</v>
      </c>
      <c r="R55" s="41">
        <f t="shared" si="15"/>
        <v>216.38</v>
      </c>
      <c r="S55" s="41">
        <f t="shared" si="15"/>
        <v>213.07999999999998</v>
      </c>
      <c r="T55" s="41">
        <f t="shared" si="15"/>
        <v>219.35</v>
      </c>
      <c r="U55" s="41">
        <f t="shared" si="15"/>
        <v>229.08</v>
      </c>
      <c r="V55" s="41">
        <f t="shared" si="15"/>
        <v>219.62</v>
      </c>
      <c r="W55" s="41">
        <f t="shared" si="15"/>
        <v>203.54000000000002</v>
      </c>
      <c r="X55" s="41">
        <f t="shared" si="15"/>
        <v>178.60999999999999</v>
      </c>
      <c r="Y55" s="41">
        <f t="shared" si="15"/>
        <v>152.79</v>
      </c>
      <c r="Z55" s="42">
        <f t="shared" si="10"/>
        <v>4419.2</v>
      </c>
      <c r="AA55" s="43">
        <f t="shared" si="11"/>
        <v>31</v>
      </c>
      <c r="AB55" s="96">
        <f t="shared" si="12"/>
        <v>4419.2</v>
      </c>
      <c r="AD55" s="80">
        <f t="shared" si="13"/>
        <v>0</v>
      </c>
    </row>
    <row r="56" spans="1:33" x14ac:dyDescent="0.35">
      <c r="A56" s="58">
        <f t="shared" si="8"/>
        <v>46478</v>
      </c>
      <c r="B56" s="41">
        <f t="shared" ref="B56:Y56" si="16">+B11*$AA11+B23*$AA23+B34*$AA34+B45*$AA45</f>
        <v>123.32000000000001</v>
      </c>
      <c r="C56" s="41">
        <f t="shared" si="16"/>
        <v>114.52</v>
      </c>
      <c r="D56" s="41">
        <f t="shared" si="16"/>
        <v>110.05999999999999</v>
      </c>
      <c r="E56" s="41">
        <f t="shared" si="16"/>
        <v>108.16</v>
      </c>
      <c r="F56" s="41">
        <f t="shared" si="16"/>
        <v>111.84</v>
      </c>
      <c r="G56" s="41">
        <f t="shared" si="16"/>
        <v>123.84</v>
      </c>
      <c r="H56" s="41">
        <f t="shared" si="16"/>
        <v>139.46</v>
      </c>
      <c r="I56" s="41">
        <f t="shared" si="16"/>
        <v>155.76000000000002</v>
      </c>
      <c r="J56" s="41">
        <f t="shared" si="16"/>
        <v>171.98</v>
      </c>
      <c r="K56" s="41">
        <f t="shared" si="16"/>
        <v>187.26</v>
      </c>
      <c r="L56" s="41">
        <f t="shared" si="16"/>
        <v>199.5</v>
      </c>
      <c r="M56" s="41">
        <f t="shared" si="16"/>
        <v>209.72</v>
      </c>
      <c r="N56" s="41">
        <f t="shared" si="16"/>
        <v>207.71999999999997</v>
      </c>
      <c r="O56" s="41">
        <f t="shared" si="16"/>
        <v>203.68</v>
      </c>
      <c r="P56" s="41">
        <f t="shared" si="16"/>
        <v>203.04</v>
      </c>
      <c r="Q56" s="41">
        <f t="shared" si="16"/>
        <v>202.18</v>
      </c>
      <c r="R56" s="41">
        <f t="shared" si="16"/>
        <v>199.62</v>
      </c>
      <c r="S56" s="41">
        <f t="shared" si="16"/>
        <v>197.22</v>
      </c>
      <c r="T56" s="41">
        <f t="shared" si="16"/>
        <v>205.14000000000001</v>
      </c>
      <c r="U56" s="41">
        <f t="shared" si="16"/>
        <v>210.62</v>
      </c>
      <c r="V56" s="41">
        <f t="shared" si="16"/>
        <v>201.26000000000002</v>
      </c>
      <c r="W56" s="41">
        <f t="shared" si="16"/>
        <v>186.2</v>
      </c>
      <c r="X56" s="41">
        <f t="shared" si="16"/>
        <v>163.5</v>
      </c>
      <c r="Y56" s="41">
        <f t="shared" si="16"/>
        <v>140.36000000000001</v>
      </c>
      <c r="Z56" s="42">
        <f t="shared" si="10"/>
        <v>4075.9599999999996</v>
      </c>
      <c r="AA56" s="43">
        <f t="shared" si="11"/>
        <v>30</v>
      </c>
      <c r="AB56" s="96">
        <f t="shared" si="12"/>
        <v>4075.9599999999996</v>
      </c>
      <c r="AD56" s="80">
        <f t="shared" si="13"/>
        <v>0</v>
      </c>
    </row>
    <row r="57" spans="1:33" x14ac:dyDescent="0.35">
      <c r="A57" s="58">
        <f t="shared" si="8"/>
        <v>46508</v>
      </c>
      <c r="B57" s="41">
        <f t="shared" ref="B57:Y57" si="17">+B12*$AA12+B24*$AA24+B35*$AA35+B46*$AA46</f>
        <v>108.02</v>
      </c>
      <c r="C57" s="41">
        <f t="shared" si="17"/>
        <v>100.41</v>
      </c>
      <c r="D57" s="41">
        <f t="shared" si="17"/>
        <v>96.309999999999988</v>
      </c>
      <c r="E57" s="41">
        <f t="shared" si="17"/>
        <v>94.240000000000009</v>
      </c>
      <c r="F57" s="41">
        <f t="shared" si="17"/>
        <v>97.19</v>
      </c>
      <c r="G57" s="41">
        <f t="shared" si="17"/>
        <v>105.14</v>
      </c>
      <c r="H57" s="41">
        <f t="shared" si="17"/>
        <v>119.28000000000002</v>
      </c>
      <c r="I57" s="41">
        <f t="shared" si="17"/>
        <v>133.19999999999999</v>
      </c>
      <c r="J57" s="41">
        <f t="shared" si="17"/>
        <v>148.5</v>
      </c>
      <c r="K57" s="41">
        <f t="shared" si="17"/>
        <v>160.85999999999999</v>
      </c>
      <c r="L57" s="41">
        <f t="shared" si="17"/>
        <v>171.75</v>
      </c>
      <c r="M57" s="41">
        <f t="shared" si="17"/>
        <v>180.86999999999998</v>
      </c>
      <c r="N57" s="41">
        <f t="shared" si="17"/>
        <v>179.09000000000003</v>
      </c>
      <c r="O57" s="41">
        <f t="shared" si="17"/>
        <v>175.75</v>
      </c>
      <c r="P57" s="41">
        <f t="shared" si="17"/>
        <v>174.76000000000002</v>
      </c>
      <c r="Q57" s="41">
        <f t="shared" si="17"/>
        <v>173.57000000000002</v>
      </c>
      <c r="R57" s="41">
        <f t="shared" si="17"/>
        <v>170.46</v>
      </c>
      <c r="S57" s="41">
        <f t="shared" si="17"/>
        <v>169.44999999999996</v>
      </c>
      <c r="T57" s="41">
        <f t="shared" si="17"/>
        <v>176.70999999999998</v>
      </c>
      <c r="U57" s="41">
        <f t="shared" si="17"/>
        <v>182.32</v>
      </c>
      <c r="V57" s="41">
        <f t="shared" si="17"/>
        <v>174.76000000000002</v>
      </c>
      <c r="W57" s="41">
        <f t="shared" si="17"/>
        <v>161.14000000000001</v>
      </c>
      <c r="X57" s="41">
        <f t="shared" si="17"/>
        <v>140.97999999999999</v>
      </c>
      <c r="Y57" s="41">
        <f t="shared" si="17"/>
        <v>120.96000000000001</v>
      </c>
      <c r="Z57" s="42">
        <f t="shared" si="10"/>
        <v>3515.72</v>
      </c>
      <c r="AA57" s="43">
        <f t="shared" si="11"/>
        <v>31</v>
      </c>
      <c r="AB57" s="96">
        <f t="shared" si="12"/>
        <v>3515.72</v>
      </c>
      <c r="AD57" s="80">
        <f t="shared" si="13"/>
        <v>0</v>
      </c>
    </row>
    <row r="58" spans="1:33" x14ac:dyDescent="0.35">
      <c r="A58" s="58">
        <f t="shared" si="8"/>
        <v>46539</v>
      </c>
      <c r="B58" s="41">
        <f t="shared" ref="B58:Y58" si="18">+B13*$AA13+B25*$AA25+B36*$AA36+B47*$AA47</f>
        <v>105.15</v>
      </c>
      <c r="C58" s="41">
        <f t="shared" si="18"/>
        <v>97.390000000000015</v>
      </c>
      <c r="D58" s="41">
        <f t="shared" si="18"/>
        <v>93.23</v>
      </c>
      <c r="E58" s="41">
        <f t="shared" si="18"/>
        <v>91.44</v>
      </c>
      <c r="F58" s="41">
        <f t="shared" si="18"/>
        <v>94.550000000000011</v>
      </c>
      <c r="G58" s="41">
        <f t="shared" si="18"/>
        <v>102.52000000000001</v>
      </c>
      <c r="H58" s="41">
        <f t="shared" si="18"/>
        <v>117.56000000000002</v>
      </c>
      <c r="I58" s="41">
        <f t="shared" si="18"/>
        <v>132.26000000000002</v>
      </c>
      <c r="J58" s="41">
        <f t="shared" si="18"/>
        <v>147.86999999999998</v>
      </c>
      <c r="K58" s="41">
        <f t="shared" si="18"/>
        <v>160.04</v>
      </c>
      <c r="L58" s="41">
        <f t="shared" si="18"/>
        <v>170.12000000000003</v>
      </c>
      <c r="M58" s="41">
        <f t="shared" si="18"/>
        <v>179.45</v>
      </c>
      <c r="N58" s="41">
        <f t="shared" si="18"/>
        <v>178.27</v>
      </c>
      <c r="O58" s="41">
        <f t="shared" si="18"/>
        <v>174.64</v>
      </c>
      <c r="P58" s="41">
        <f t="shared" si="18"/>
        <v>174.03</v>
      </c>
      <c r="Q58" s="41">
        <f t="shared" si="18"/>
        <v>172.55</v>
      </c>
      <c r="R58" s="41">
        <f t="shared" si="18"/>
        <v>169.89999999999998</v>
      </c>
      <c r="S58" s="41">
        <f t="shared" si="18"/>
        <v>168.07</v>
      </c>
      <c r="T58" s="41">
        <f t="shared" si="18"/>
        <v>173.81</v>
      </c>
      <c r="U58" s="41">
        <f t="shared" si="18"/>
        <v>181.42000000000002</v>
      </c>
      <c r="V58" s="41">
        <f t="shared" si="18"/>
        <v>173.51</v>
      </c>
      <c r="W58" s="41">
        <f t="shared" si="18"/>
        <v>159.57</v>
      </c>
      <c r="X58" s="41">
        <f t="shared" si="18"/>
        <v>139.03</v>
      </c>
      <c r="Y58" s="41">
        <f t="shared" si="18"/>
        <v>119.19</v>
      </c>
      <c r="Z58" s="42">
        <f t="shared" si="10"/>
        <v>3475.5700000000011</v>
      </c>
      <c r="AA58" s="43">
        <f t="shared" si="11"/>
        <v>30</v>
      </c>
      <c r="AB58" s="96">
        <f t="shared" si="12"/>
        <v>3475.5700000000006</v>
      </c>
      <c r="AD58" s="80">
        <f t="shared" si="13"/>
        <v>0</v>
      </c>
    </row>
    <row r="59" spans="1:33" ht="16" thickBot="1" x14ac:dyDescent="0.4">
      <c r="A59" s="60">
        <f t="shared" si="8"/>
        <v>46569</v>
      </c>
      <c r="B59" s="44">
        <f t="shared" ref="B59:Y59" si="19">+B14*$AA14+B26*$AA26+B37*$AA37+B48*$AA48</f>
        <v>119.53</v>
      </c>
      <c r="C59" s="44">
        <f t="shared" si="19"/>
        <v>111.39000000000001</v>
      </c>
      <c r="D59" s="44">
        <f t="shared" si="19"/>
        <v>106.30000000000001</v>
      </c>
      <c r="E59" s="44">
        <f t="shared" si="19"/>
        <v>104.16000000000001</v>
      </c>
      <c r="F59" s="44">
        <f t="shared" si="19"/>
        <v>107.34999999999998</v>
      </c>
      <c r="G59" s="44">
        <f t="shared" si="19"/>
        <v>116.94000000000001</v>
      </c>
      <c r="H59" s="44">
        <f t="shared" si="19"/>
        <v>131.71</v>
      </c>
      <c r="I59" s="44">
        <f t="shared" si="19"/>
        <v>147.88999999999999</v>
      </c>
      <c r="J59" s="44">
        <f t="shared" si="19"/>
        <v>165.96</v>
      </c>
      <c r="K59" s="44">
        <f t="shared" si="19"/>
        <v>180.24</v>
      </c>
      <c r="L59" s="44">
        <f t="shared" si="19"/>
        <v>191.64</v>
      </c>
      <c r="M59" s="44">
        <f t="shared" si="19"/>
        <v>202.63000000000002</v>
      </c>
      <c r="N59" s="44">
        <f t="shared" si="19"/>
        <v>200.88</v>
      </c>
      <c r="O59" s="44">
        <f t="shared" si="19"/>
        <v>196.66</v>
      </c>
      <c r="P59" s="44">
        <f t="shared" si="19"/>
        <v>196.09</v>
      </c>
      <c r="Q59" s="44">
        <f t="shared" si="19"/>
        <v>195.06000000000003</v>
      </c>
      <c r="R59" s="44">
        <f t="shared" si="19"/>
        <v>192.53</v>
      </c>
      <c r="S59" s="44">
        <f t="shared" si="19"/>
        <v>189.49</v>
      </c>
      <c r="T59" s="44">
        <f t="shared" si="19"/>
        <v>193.41999999999996</v>
      </c>
      <c r="U59" s="44">
        <f t="shared" si="19"/>
        <v>204.64</v>
      </c>
      <c r="V59" s="44">
        <f t="shared" si="19"/>
        <v>195.87999999999997</v>
      </c>
      <c r="W59" s="44">
        <f t="shared" si="19"/>
        <v>180.66000000000003</v>
      </c>
      <c r="X59" s="44">
        <f t="shared" si="19"/>
        <v>157.46999999999997</v>
      </c>
      <c r="Y59" s="44">
        <f t="shared" si="19"/>
        <v>136.06</v>
      </c>
      <c r="Z59" s="45">
        <f t="shared" si="10"/>
        <v>3924.5800000000004</v>
      </c>
      <c r="AA59" s="46">
        <f t="shared" si="11"/>
        <v>31</v>
      </c>
      <c r="AB59" s="97">
        <f t="shared" si="12"/>
        <v>3924.58</v>
      </c>
      <c r="AD59" s="80">
        <f t="shared" si="13"/>
        <v>0</v>
      </c>
    </row>
  </sheetData>
  <conditionalFormatting sqref="B1:Y1048576 AA8:AA15 AA20:AA26 AA31:AA37 AA42:AA49 AA53:AA59">
    <cfRule type="cellIs" dxfId="0" priority="1" operator="lessThan">
      <formula>0</formula>
    </cfRule>
  </conditionalFormatting>
  <pageMargins left="0.75" right="0.75" top="1" bottom="1" header="0" footer="0"/>
  <pageSetup orientation="portrait" r:id="rId1"/>
  <headerFooter alignWithMargins="0"/>
  <ignoredErrors>
    <ignoredError sqref="Z8:Z14 Z20:Z26 Z31:Z37 Z42:Z48"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Oferta Producto No. 1</vt:lpstr>
      <vt:lpstr>Cantidades Producto No. 1</vt:lpstr>
      <vt:lpstr>Oferta Producto No. 2</vt:lpstr>
      <vt:lpstr>Cantidades Producto No. 2</vt:lpstr>
      <vt:lpstr>Oferta Producto No. 3</vt:lpstr>
      <vt:lpstr>Cantidades Producto No.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2026-08-01T00:49:44Z</dcterms:modified>
</cp:coreProperties>
</file>