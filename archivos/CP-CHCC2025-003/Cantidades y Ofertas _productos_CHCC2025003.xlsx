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mprasEnergia\Convocatorias - General\CP-CHCC2025-03\04_Pliegos definitivos y respuestas\"/>
    </mc:Choice>
  </mc:AlternateContent>
  <xr:revisionPtr revIDLastSave="0" documentId="13_ncr:1_{BE9B5F1F-222D-4823-8862-4185B21F6AFB}" xr6:coauthVersionLast="47" xr6:coauthVersionMax="47" xr10:uidLastSave="{00000000-0000-0000-0000-000000000000}"/>
  <bookViews>
    <workbookView xWindow="-110" yWindow="-110" windowWidth="19420" windowHeight="10300" xr2:uid="{DBCF6EBD-C4B3-4CEE-B16A-4B2AC1F0ECF6}"/>
  </bookViews>
  <sheets>
    <sheet name="Oferta Producto 1" sheetId="12" r:id="rId1"/>
    <sheet name="Oferta Producto 2" sheetId="17" r:id="rId2"/>
    <sheet name="Oferta Producto 3" sheetId="19" r:id="rId3"/>
    <sheet name="Oferta Producto 4" sheetId="20" r:id="rId4"/>
    <sheet name="Cantidad Producto 1-2027" sheetId="1" r:id="rId5"/>
    <sheet name="Cantidad Producto 2-2028" sheetId="18" r:id="rId6"/>
    <sheet name="Cantidad Producto3-2029" sheetId="3" r:id="rId7"/>
    <sheet name="Cantidad Producto 1-2030" sheetId="4" r:id="rId8"/>
  </sheets>
  <definedNames>
    <definedName name="_xlnm._FilterDatabase" localSheetId="4" hidden="1">'Cantidad Producto 1-2027'!$B$6:$AC$55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" i="18" l="1"/>
  <c r="AE12" i="18" s="1"/>
  <c r="C19" i="17" s="1"/>
  <c r="AC39" i="18"/>
  <c r="AE15" i="18" s="1"/>
  <c r="AC43" i="18"/>
  <c r="AE16" i="18" s="1"/>
  <c r="C23" i="17" s="1"/>
  <c r="C8" i="20"/>
  <c r="C4" i="20"/>
  <c r="C8" i="19"/>
  <c r="C4" i="19"/>
  <c r="C8" i="17"/>
  <c r="C4" i="17"/>
  <c r="AC15" i="18" l="1"/>
  <c r="AE9" i="18" s="1"/>
  <c r="AC23" i="18"/>
  <c r="AE11" i="18" s="1"/>
  <c r="C18" i="17" s="1"/>
  <c r="AC11" i="18"/>
  <c r="AE8" i="18" s="1"/>
  <c r="C15" i="17" s="1"/>
  <c r="AE14" i="1"/>
  <c r="AE13" i="1"/>
  <c r="AE9" i="1"/>
  <c r="AE12" i="1"/>
  <c r="AE11" i="1"/>
  <c r="AE10" i="1"/>
  <c r="AE17" i="1"/>
  <c r="AE7" i="1"/>
  <c r="C22" i="17"/>
  <c r="C16" i="17"/>
  <c r="AC51" i="18"/>
  <c r="AE18" i="18" s="1"/>
  <c r="AC31" i="18"/>
  <c r="AE13" i="18" s="1"/>
  <c r="AC35" i="18"/>
  <c r="AE14" i="18" s="1"/>
  <c r="AC47" i="18"/>
  <c r="AE17" i="18" s="1"/>
  <c r="AC19" i="18"/>
  <c r="AE10" i="18" s="1"/>
  <c r="AC7" i="18"/>
  <c r="AC7" i="4"/>
  <c r="AE7" i="4" s="1"/>
  <c r="C14" i="20" s="1"/>
  <c r="AC11" i="4"/>
  <c r="AE8" i="4" s="1"/>
  <c r="C15" i="20" s="1"/>
  <c r="AC23" i="4"/>
  <c r="AE11" i="4" s="1"/>
  <c r="C18" i="20" s="1"/>
  <c r="AC51" i="4"/>
  <c r="AE18" i="4" s="1"/>
  <c r="C25" i="20" s="1"/>
  <c r="AC19" i="4"/>
  <c r="AE10" i="4" s="1"/>
  <c r="C17" i="20" s="1"/>
  <c r="AC31" i="4"/>
  <c r="AE13" i="4" s="1"/>
  <c r="C20" i="20" s="1"/>
  <c r="AC43" i="4"/>
  <c r="AE16" i="4" s="1"/>
  <c r="C23" i="20" s="1"/>
  <c r="AC7" i="3"/>
  <c r="AE7" i="3" s="1"/>
  <c r="C14" i="19" s="1"/>
  <c r="AC11" i="3"/>
  <c r="AE8" i="3" s="1"/>
  <c r="C15" i="19" s="1"/>
  <c r="AC35" i="3"/>
  <c r="AE14" i="3" s="1"/>
  <c r="C21" i="19" s="1"/>
  <c r="AC51" i="3"/>
  <c r="AE18" i="3" s="1"/>
  <c r="C25" i="19" s="1"/>
  <c r="AC19" i="3"/>
  <c r="AE10" i="3" s="1"/>
  <c r="C17" i="19" s="1"/>
  <c r="AC31" i="3"/>
  <c r="AE13" i="3" s="1"/>
  <c r="C20" i="19" s="1"/>
  <c r="AC43" i="3"/>
  <c r="AE16" i="3" s="1"/>
  <c r="C23" i="19" s="1"/>
  <c r="AE18" i="1"/>
  <c r="AE16" i="1"/>
  <c r="AE15" i="1"/>
  <c r="AE8" i="1"/>
  <c r="AC55" i="18" l="1"/>
  <c r="C17" i="17"/>
  <c r="C21" i="17"/>
  <c r="C25" i="17"/>
  <c r="C24" i="17"/>
  <c r="C20" i="17"/>
  <c r="AE7" i="18"/>
  <c r="C16" i="12"/>
  <c r="E16" i="12" s="1"/>
  <c r="C18" i="12"/>
  <c r="E18" i="12" s="1"/>
  <c r="C21" i="12"/>
  <c r="E21" i="12" s="1"/>
  <c r="C20" i="12"/>
  <c r="E20" i="12" s="1"/>
  <c r="C22" i="12"/>
  <c r="E22" i="12" s="1"/>
  <c r="C17" i="12"/>
  <c r="C19" i="12"/>
  <c r="E19" i="12" s="1"/>
  <c r="C23" i="12"/>
  <c r="E23" i="12" s="1"/>
  <c r="C25" i="12"/>
  <c r="E25" i="12" s="1"/>
  <c r="C14" i="12"/>
  <c r="C24" i="12"/>
  <c r="E24" i="12" s="1"/>
  <c r="C15" i="12"/>
  <c r="E15" i="12" s="1"/>
  <c r="AC55" i="1"/>
  <c r="AC15" i="4"/>
  <c r="AE9" i="4" s="1"/>
  <c r="C16" i="20" s="1"/>
  <c r="AC39" i="4"/>
  <c r="AE15" i="4" s="1"/>
  <c r="C22" i="20" s="1"/>
  <c r="AC27" i="4"/>
  <c r="AE12" i="4" s="1"/>
  <c r="C19" i="20" s="1"/>
  <c r="AC47" i="4"/>
  <c r="AE17" i="4" s="1"/>
  <c r="C24" i="20" s="1"/>
  <c r="AC35" i="4"/>
  <c r="AE14" i="4" s="1"/>
  <c r="C21" i="20" s="1"/>
  <c r="AC39" i="3"/>
  <c r="AE15" i="3" s="1"/>
  <c r="C22" i="19" s="1"/>
  <c r="AC27" i="3"/>
  <c r="AE12" i="3" s="1"/>
  <c r="C19" i="19" s="1"/>
  <c r="AC15" i="3"/>
  <c r="AE9" i="3" s="1"/>
  <c r="C16" i="19" s="1"/>
  <c r="AC47" i="3"/>
  <c r="AE17" i="3" s="1"/>
  <c r="C24" i="19" s="1"/>
  <c r="AC23" i="3"/>
  <c r="AE11" i="3" s="1"/>
  <c r="C18" i="19" s="1"/>
  <c r="E17" i="12" l="1"/>
  <c r="C26" i="12"/>
  <c r="C26" i="20"/>
  <c r="C14" i="17"/>
  <c r="C26" i="17" s="1"/>
  <c r="C26" i="19"/>
  <c r="AE19" i="1"/>
  <c r="E14" i="12"/>
  <c r="AC55" i="4"/>
  <c r="AC55" i="3"/>
</calcChain>
</file>

<file path=xl/sharedStrings.xml><?xml version="1.0" encoding="utf-8"?>
<sst xmlns="http://schemas.openxmlformats.org/spreadsheetml/2006/main" count="623" uniqueCount="86">
  <si>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</si>
  <si>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</si>
  <si>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</si>
  <si>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</si>
  <si>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</si>
  <si>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</si>
  <si>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</si>
  <si>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</si>
  <si>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</si>
  <si>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</si>
  <si>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</si>
  <si>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</si>
  <si>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</si>
  <si>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</si>
  <si>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</si>
  <si>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</si>
  <si>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</si>
  <si>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</si>
  <si>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</si>
  <si>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</si>
  <si>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</si>
  <si>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</si>
  <si>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</si>
  <si>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</si>
  <si>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</si>
  <si>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</si>
  <si>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</si>
  <si>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</si>
  <si>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</si>
  <si>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</si>
  <si>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</si>
  <si>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</si>
  <si>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</si>
  <si>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</si>
  <si>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</si>
  <si>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</si>
  <si>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</si>
  <si>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</si>
  <si>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</si>
  <si>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</si>
  <si>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</si>
  <si>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</si>
  <si>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</si>
  <si>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</si>
  <si>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CENTRAL HIDROELECTRICA DE CALDAS S.A. E.S.P. -BENEFICIO E INTERÉS COLECTIVO</t>
  </si>
  <si>
    <t>CANTIDADES DE ENERGÍA SOLICITADAS (kWh)</t>
  </si>
  <si>
    <t>TOTAL AÑO kWh</t>
  </si>
  <si>
    <t>ANEXO. CANTIDADES DE ENERGÍA Y PRECIO</t>
  </si>
  <si>
    <t>PRODUCTO:</t>
  </si>
  <si>
    <t>CONVOCATORIA PUBLICA:</t>
  </si>
  <si>
    <t>OFERENTE:</t>
  </si>
  <si>
    <t>AÑO:</t>
  </si>
  <si>
    <t>CANTIDAD EN:</t>
  </si>
  <si>
    <t>EN PESOS DE</t>
  </si>
  <si>
    <t>INDICADOR:</t>
  </si>
  <si>
    <t>IPP- PROVISIONAL</t>
  </si>
  <si>
    <t>TIPO DE CONTRATO:</t>
  </si>
  <si>
    <t>TIPO DE CARGA:</t>
  </si>
  <si>
    <t>CURVA</t>
  </si>
  <si>
    <t xml:space="preserve">Fecha </t>
  </si>
  <si>
    <t>Energia Solicitada kWh</t>
  </si>
  <si>
    <t>Porcentaje Ofertado %</t>
  </si>
  <si>
    <t>Energia Ofertada kWh</t>
  </si>
  <si>
    <t>Precio $/KWh</t>
  </si>
  <si>
    <t>%</t>
  </si>
  <si>
    <t xml:space="preserve">Notas: </t>
  </si>
  <si>
    <t>Total producto</t>
  </si>
  <si>
    <t>PLC</t>
  </si>
  <si>
    <t>kWh</t>
  </si>
  <si>
    <t>CP-CHCC2025-003</t>
  </si>
  <si>
    <t>Notas:</t>
  </si>
  <si>
    <t>1) La Energía Ofertada según Anexo 8.1</t>
  </si>
  <si>
    <t>3) Precio ofertado en $kWh en pesos de agosto 2025.</t>
  </si>
  <si>
    <t>1) La Energía Ofertada según Anexo 8.2</t>
  </si>
  <si>
    <t>1) La Energía Ofertada según Anexo 8.3</t>
  </si>
  <si>
    <t>1) La Energía Ofertada según Anexo 8.4</t>
  </si>
  <si>
    <t>5) El tope máximo para las ofertas plana es de 2.000 KWh</t>
  </si>
  <si>
    <t>2) El porcentaje  puede ser diferente para cada mes  y el precio debe ser el mismo para todos los meses del año.</t>
  </si>
  <si>
    <t>5) El tope máximo para las ofertas plana es de 5.000 KWh</t>
  </si>
  <si>
    <t>5) El tope máximo para las ofertas plana es de 2.500 KWh</t>
  </si>
  <si>
    <t>5) El tope máximo para las ofertas plana es de 3.500 KWh</t>
  </si>
  <si>
    <t>4) Precio ofertado en $kWh en pesos de agosto 2025.</t>
  </si>
  <si>
    <t>2) Para las ofertas curvas, el porcentaje y el precio debe ser el mismo para todos los meses del año.</t>
  </si>
  <si>
    <t>OFERENTE E.S.P</t>
  </si>
  <si>
    <t xml:space="preserve">3) Para la ofertas planas la cantidad de energía ofertada debe ser la misma para todas las horas del año </t>
  </si>
  <si>
    <t>y el precio debe ser el mismo para todos los meses del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</si>
</sst>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\ _€_-;\-* #,##0\ _€_-;_-* &quot;-&quot;\ _€_-;_-@_-"/>
    <numFmt numFmtId="166" formatCode="_-* #,##0.00\ _€_-;\-* #,##0.00\ _€_-;_-* &quot;-&quot;\ _€_-;_-@_-"/>
    <numFmt numFmtId="167" formatCode="_-* #,##0.00_-;\-* #,##0.00_-;_-* &quot;-&quot;_-;_-@_-"/>
    <numFmt numFmtId="168" formatCode="_-* #,##0_-;\-* #,##0_-;_-* &quot;-&quot;??_-;_-@_-"/>
    <numFmt numFmtId="169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2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Arial"/>
      <family val="2"/>
    </font>
    <font>
      <b/>
      <sz val="10"/>
      <name val="Calibri Light"/>
      <family val="2"/>
      <scheme val="major"/>
    </font>
    <font>
      <sz val="11"/>
      <color indexed="8"/>
      <name val="Calibri"/>
      <family val="2"/>
    </font>
    <font>
      <b/>
      <sz val="12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0" fontId="12" fillId="0" borderId="0"/>
    <xf numFmtId="0" fontId="14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left" vertical="top"/>
    </xf>
    <xf numFmtId="0" fontId="10" fillId="0" borderId="0" xfId="3" applyFont="1"/>
    <xf numFmtId="0" fontId="11" fillId="0" borderId="0" xfId="0" applyFont="1"/>
    <xf numFmtId="0" fontId="9" fillId="0" borderId="0" xfId="4" applyFont="1" applyAlignment="1">
      <alignment horizontal="left"/>
    </xf>
    <xf numFmtId="0" fontId="13" fillId="0" borderId="0" xfId="3" applyFont="1" applyAlignment="1">
      <alignment horizontal="left"/>
    </xf>
    <xf numFmtId="0" fontId="15" fillId="3" borderId="0" xfId="5" applyFont="1" applyFill="1"/>
    <xf numFmtId="0" fontId="9" fillId="3" borderId="0" xfId="4" applyFont="1" applyFill="1" applyAlignment="1">
      <alignment horizontal="left" wrapText="1"/>
    </xf>
    <xf numFmtId="4" fontId="9" fillId="3" borderId="0" xfId="4" applyNumberFormat="1" applyFont="1" applyFill="1" applyAlignment="1">
      <alignment horizontal="left"/>
    </xf>
    <xf numFmtId="0" fontId="9" fillId="3" borderId="0" xfId="4" applyFont="1" applyFill="1" applyAlignment="1">
      <alignment horizontal="left"/>
    </xf>
    <xf numFmtId="17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7" fontId="9" fillId="3" borderId="1" xfId="4" applyNumberFormat="1" applyFont="1" applyFill="1" applyBorder="1" applyAlignment="1">
      <alignment horizontal="left" wrapText="1"/>
    </xf>
    <xf numFmtId="17" fontId="9" fillId="0" borderId="1" xfId="4" applyNumberFormat="1" applyFont="1" applyBorder="1" applyAlignment="1">
      <alignment horizontal="left" wrapText="1"/>
    </xf>
    <xf numFmtId="0" fontId="13" fillId="0" borderId="0" xfId="3" applyFont="1" applyAlignment="1">
      <alignment horizontal="center"/>
    </xf>
    <xf numFmtId="17" fontId="13" fillId="0" borderId="1" xfId="0" applyNumberFormat="1" applyFont="1" applyBorder="1" applyAlignment="1">
      <alignment horizontal="center" vertical="center"/>
    </xf>
    <xf numFmtId="166" fontId="10" fillId="0" borderId="1" xfId="6" applyNumberFormat="1" applyFont="1" applyFill="1" applyBorder="1" applyAlignment="1">
      <alignment horizontal="center" vertical="center"/>
    </xf>
    <xf numFmtId="10" fontId="10" fillId="4" borderId="1" xfId="7" applyNumberFormat="1" applyFont="1" applyFill="1" applyBorder="1" applyAlignment="1">
      <alignment horizontal="center" vertical="center"/>
    </xf>
    <xf numFmtId="164" fontId="10" fillId="4" borderId="1" xfId="8" applyFont="1" applyFill="1" applyBorder="1" applyAlignment="1">
      <alignment vertical="center"/>
    </xf>
    <xf numFmtId="167" fontId="10" fillId="0" borderId="0" xfId="3" applyNumberFormat="1" applyFont="1"/>
    <xf numFmtId="166" fontId="13" fillId="0" borderId="1" xfId="6" applyNumberFormat="1" applyFont="1" applyFill="1" applyBorder="1" applyAlignment="1">
      <alignment horizontal="center" vertical="center"/>
    </xf>
    <xf numFmtId="9" fontId="10" fillId="4" borderId="1" xfId="7" applyFont="1" applyFill="1" applyBorder="1" applyAlignment="1">
      <alignment horizontal="center" vertical="center"/>
    </xf>
    <xf numFmtId="41" fontId="10" fillId="0" borderId="0" xfId="9" applyFont="1"/>
    <xf numFmtId="10" fontId="10" fillId="0" borderId="0" xfId="3" applyNumberFormat="1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43" fontId="10" fillId="0" borderId="0" xfId="3" applyNumberFormat="1" applyFont="1"/>
    <xf numFmtId="165" fontId="10" fillId="0" borderId="0" xfId="3" applyNumberFormat="1" applyFont="1"/>
    <xf numFmtId="4" fontId="6" fillId="0" borderId="0" xfId="0" applyNumberFormat="1" applyFont="1"/>
    <xf numFmtId="168" fontId="6" fillId="0" borderId="1" xfId="1" applyNumberFormat="1" applyFont="1" applyBorder="1" applyAlignment="1">
      <alignment horizontal="center" vertical="center" wrapText="1"/>
    </xf>
    <xf numFmtId="168" fontId="6" fillId="0" borderId="0" xfId="1" applyNumberFormat="1" applyFont="1"/>
    <xf numFmtId="168" fontId="7" fillId="0" borderId="1" xfId="1" applyNumberFormat="1" applyFont="1" applyBorder="1" applyAlignment="1">
      <alignment horizontal="center"/>
    </xf>
    <xf numFmtId="169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8" fillId="0" borderId="0" xfId="0" applyFont="1"/>
    <xf numFmtId="0" fontId="18" fillId="0" borderId="0" xfId="0" applyFont="1" applyAlignment="1">
      <alignment horizontal="left" vertical="center" indent="2"/>
    </xf>
    <xf numFmtId="43" fontId="6" fillId="0" borderId="0" xfId="0" applyNumberFormat="1" applyFont="1"/>
    <xf numFmtId="165" fontId="10" fillId="0" borderId="1" xfId="6" applyFont="1" applyFill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43" fontId="3" fillId="0" borderId="0" xfId="1" applyFont="1"/>
    <xf numFmtId="43" fontId="3" fillId="0" borderId="0" xfId="0" applyNumberFormat="1" applyFont="1"/>
    <xf numFmtId="43" fontId="19" fillId="0" borderId="0" xfId="1" applyFont="1"/>
    <xf numFmtId="3" fontId="3" fillId="0" borderId="0" xfId="0" applyNumberFormat="1" applyFont="1"/>
    <xf numFmtId="169" fontId="3" fillId="0" borderId="2" xfId="0" applyNumberFormat="1" applyFont="1" applyBorder="1" applyAlignment="1">
      <alignment horizontal="center" vertical="center" wrapText="1"/>
    </xf>
    <xf numFmtId="169" fontId="3" fillId="0" borderId="3" xfId="0" applyNumberFormat="1" applyFont="1" applyBorder="1" applyAlignment="1">
      <alignment horizontal="center" vertical="center" wrapText="1"/>
    </xf>
    <xf numFmtId="169" fontId="3" fillId="0" borderId="4" xfId="0" applyNumberFormat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/>
    </xf>
    <xf numFmtId="0" fontId="18" fillId="0" borderId="0" xfId="0" applyFont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8" fontId="6" fillId="0" borderId="2" xfId="1" applyNumberFormat="1" applyFont="1" applyBorder="1" applyAlignment="1">
      <alignment horizontal="center" vertical="center" wrapText="1"/>
    </xf>
    <xf numFmtId="168" fontId="6" fillId="0" borderId="3" xfId="1" applyNumberFormat="1" applyFont="1" applyBorder="1" applyAlignment="1">
      <alignment horizontal="center" vertical="center" wrapText="1"/>
    </xf>
    <xf numFmtId="168" fontId="6" fillId="0" borderId="4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8" fontId="7" fillId="0" borderId="1" xfId="1" applyNumberFormat="1" applyFont="1" applyBorder="1" applyAlignment="1">
      <alignment horizontal="center"/>
    </xf>
  </cellXfs>
  <cellStyles count="10">
    <cellStyle name="Millares" xfId="1" builtinId="3"/>
    <cellStyle name="Millares [0] 2" xfId="6" xr:uid="{0EA07DCC-854A-4F1A-B1E5-0D0296A936D5}"/>
    <cellStyle name="Millares [0] 3" xfId="9" xr:uid="{F0060658-987A-48E1-A5A6-8CCAA327086E}"/>
    <cellStyle name="Moneda 2" xfId="8" xr:uid="{EC3682A8-E881-462C-A8F6-3831E16C7F0E}"/>
    <cellStyle name="Normal" xfId="0" builtinId="0"/>
    <cellStyle name="Normal 3 2" xfId="3" xr:uid="{9E89C3C0-3B7A-42E3-AE86-D2559E2D33CF}"/>
    <cellStyle name="Normal_ENE99" xfId="4" xr:uid="{4912E6F3-3141-4459-B182-28057013CBDA}"/>
    <cellStyle name="Normal_GC00-001" xfId="2" xr:uid="{12C5EDDB-28C3-4989-90A7-3A05677D6917}"/>
    <cellStyle name="Normal_TABLA DE COMO SE ARMA PRECIOS" xfId="5" xr:uid="{E3DFA84D-E2C3-49CD-AB44-1B60CD32F390}"/>
    <cellStyle name="Porcentaje 2" xfId="7" xr:uid="{A293A1C8-D519-442D-AB85-A3E837E68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37AC-72E1-41DA-96EF-2505A973EFA1}">
  <dimension ref="B1:K36"/>
  <sheetViews>
    <sheetView showGridLines="0" tabSelected="1" workbookViewId="0">
      <selection activeCell="B36" sqref="B36"/>
    </sheetView>
  </sheetViews>
  <sheetFormatPr baseColWidth="10" defaultColWidth="10.81640625" defaultRowHeight="14.5" x14ac:dyDescent="0.35"/>
  <cols>
    <col min="1" max="1" width="4.54296875" style="12" customWidth="1"/>
    <col min="2" max="2" width="25.54296875" style="12" customWidth="1"/>
    <col min="3" max="3" width="20.7265625" style="12" bestFit="1" customWidth="1"/>
    <col min="4" max="4" width="12.54296875" style="12" customWidth="1"/>
    <col min="5" max="5" width="15.26953125" style="12" bestFit="1" customWidth="1"/>
    <col min="6" max="6" width="9" style="12" customWidth="1"/>
    <col min="7" max="16384" width="10.81640625" style="12"/>
  </cols>
  <sheetData>
    <row r="1" spans="2:11" ht="15.5" x14ac:dyDescent="0.35">
      <c r="B1" s="10" t="s">
        <v>47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ht="15.5" x14ac:dyDescent="0.35">
      <c r="B2" s="13" t="s">
        <v>48</v>
      </c>
      <c r="C2" s="14">
        <v>1</v>
      </c>
      <c r="D2" s="11"/>
      <c r="E2" s="11"/>
      <c r="F2" s="11"/>
      <c r="G2" s="11"/>
      <c r="H2" s="11"/>
      <c r="I2" s="11"/>
      <c r="J2" s="11"/>
      <c r="K2" s="11"/>
    </row>
    <row r="3" spans="2:11" ht="15.5" x14ac:dyDescent="0.35">
      <c r="B3" s="15"/>
      <c r="C3" s="14"/>
      <c r="D3" s="11"/>
      <c r="E3" s="11"/>
      <c r="F3" s="11"/>
      <c r="G3" s="11"/>
      <c r="H3" s="11"/>
      <c r="I3" s="11"/>
      <c r="J3" s="11"/>
      <c r="K3" s="11"/>
    </row>
    <row r="4" spans="2:11" ht="31" x14ac:dyDescent="0.35">
      <c r="B4" s="16" t="s">
        <v>49</v>
      </c>
      <c r="C4" s="17" t="s">
        <v>69</v>
      </c>
      <c r="D4" s="11"/>
      <c r="E4" s="11"/>
      <c r="F4" s="11"/>
      <c r="G4" s="11"/>
      <c r="H4" s="11"/>
      <c r="I4" s="11"/>
      <c r="J4" s="11"/>
      <c r="K4" s="11"/>
    </row>
    <row r="5" spans="2:11" ht="15.5" x14ac:dyDescent="0.35">
      <c r="B5" s="18" t="s">
        <v>50</v>
      </c>
      <c r="C5" s="17"/>
      <c r="D5" s="11"/>
      <c r="E5" s="11"/>
      <c r="F5" s="11"/>
      <c r="G5" s="11"/>
      <c r="H5" s="11"/>
      <c r="I5" s="11"/>
      <c r="J5" s="11"/>
      <c r="K5" s="11"/>
    </row>
    <row r="6" spans="2:11" ht="15.5" x14ac:dyDescent="0.35">
      <c r="B6" s="18" t="s">
        <v>51</v>
      </c>
      <c r="C6" s="18">
        <v>2027</v>
      </c>
      <c r="D6" s="11"/>
      <c r="E6" s="11"/>
      <c r="F6" s="11"/>
      <c r="G6" s="11"/>
      <c r="H6" s="11"/>
      <c r="I6" s="11"/>
      <c r="J6" s="11"/>
      <c r="K6" s="11"/>
    </row>
    <row r="7" spans="2:11" ht="15.5" x14ac:dyDescent="0.35">
      <c r="B7" s="18" t="s">
        <v>52</v>
      </c>
      <c r="C7" s="17" t="s">
        <v>68</v>
      </c>
      <c r="D7" s="11"/>
      <c r="E7" s="11"/>
      <c r="F7" s="11"/>
      <c r="G7" s="11"/>
      <c r="H7" s="11"/>
      <c r="I7" s="11"/>
      <c r="J7" s="11"/>
      <c r="K7" s="11"/>
    </row>
    <row r="8" spans="2:11" ht="15.5" x14ac:dyDescent="0.35">
      <c r="B8" s="18" t="s">
        <v>53</v>
      </c>
      <c r="C8" s="19">
        <v>45870</v>
      </c>
      <c r="D8" s="11"/>
      <c r="E8" s="11"/>
      <c r="F8" s="11"/>
      <c r="G8" s="11"/>
      <c r="H8" s="11"/>
      <c r="I8" s="11"/>
      <c r="J8" s="11"/>
      <c r="K8" s="11"/>
    </row>
    <row r="9" spans="2:11" ht="15.5" x14ac:dyDescent="0.35">
      <c r="B9" s="16" t="s">
        <v>54</v>
      </c>
      <c r="C9" s="20" t="s">
        <v>55</v>
      </c>
      <c r="D9" s="11"/>
      <c r="E9" s="11"/>
      <c r="F9" s="11"/>
      <c r="G9" s="11"/>
      <c r="H9" s="11"/>
      <c r="I9" s="11"/>
      <c r="J9" s="11"/>
      <c r="K9" s="11"/>
    </row>
    <row r="10" spans="2:11" ht="15.5" x14ac:dyDescent="0.35">
      <c r="B10" s="18" t="s">
        <v>56</v>
      </c>
      <c r="C10" s="20" t="s">
        <v>67</v>
      </c>
      <c r="D10" s="11"/>
      <c r="E10" s="11"/>
      <c r="F10" s="11"/>
      <c r="G10" s="11"/>
      <c r="H10" s="11"/>
      <c r="I10" s="11"/>
      <c r="J10" s="11"/>
      <c r="K10" s="11"/>
    </row>
    <row r="11" spans="2:11" ht="15.5" x14ac:dyDescent="0.35">
      <c r="B11" s="18" t="s">
        <v>57</v>
      </c>
      <c r="C11" s="20" t="s">
        <v>58</v>
      </c>
      <c r="D11" s="11"/>
      <c r="E11" s="11"/>
      <c r="F11" s="11"/>
      <c r="G11" s="11"/>
      <c r="H11" s="11"/>
      <c r="I11" s="11"/>
      <c r="J11" s="11"/>
      <c r="K11" s="11"/>
    </row>
    <row r="12" spans="2:1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 ht="31" x14ac:dyDescent="0.35">
      <c r="B13" s="21" t="s">
        <v>59</v>
      </c>
      <c r="C13" s="21" t="s">
        <v>60</v>
      </c>
      <c r="D13" s="22" t="s">
        <v>61</v>
      </c>
      <c r="E13" s="21" t="s">
        <v>62</v>
      </c>
      <c r="F13" s="21" t="s">
        <v>63</v>
      </c>
      <c r="G13" s="23"/>
      <c r="H13" s="23"/>
      <c r="I13" s="23"/>
      <c r="J13" s="11"/>
      <c r="K13" s="11"/>
    </row>
    <row r="14" spans="2:11" x14ac:dyDescent="0.35">
      <c r="B14" s="24">
        <v>46388</v>
      </c>
      <c r="C14" s="48">
        <f>+'Cantidad Producto 1-2027'!AE7</f>
        <v>14155456</v>
      </c>
      <c r="D14" s="26"/>
      <c r="E14" s="25">
        <f>+C14*D14</f>
        <v>0</v>
      </c>
      <c r="F14" s="27"/>
      <c r="G14" s="28"/>
      <c r="H14" s="11"/>
      <c r="I14" s="11"/>
      <c r="J14" s="11"/>
      <c r="K14" s="11"/>
    </row>
    <row r="15" spans="2:11" x14ac:dyDescent="0.35">
      <c r="B15" s="24">
        <v>46419</v>
      </c>
      <c r="C15" s="48">
        <f>+'Cantidad Producto 1-2027'!AE8</f>
        <v>13137748</v>
      </c>
      <c r="D15" s="26"/>
      <c r="E15" s="25">
        <f t="shared" ref="E15:E25" si="0">+C15*D15</f>
        <v>0</v>
      </c>
      <c r="F15" s="27"/>
      <c r="G15" s="28"/>
      <c r="H15" s="11"/>
      <c r="I15" s="11"/>
      <c r="J15" s="11"/>
      <c r="K15" s="11"/>
    </row>
    <row r="16" spans="2:11" x14ac:dyDescent="0.35">
      <c r="B16" s="24">
        <v>46447</v>
      </c>
      <c r="C16" s="48">
        <f>+'Cantidad Producto 1-2027'!AE9</f>
        <v>13819567</v>
      </c>
      <c r="D16" s="26"/>
      <c r="E16" s="25">
        <f t="shared" si="0"/>
        <v>0</v>
      </c>
      <c r="F16" s="27"/>
      <c r="G16" s="28"/>
      <c r="H16" s="11"/>
      <c r="I16" s="11"/>
      <c r="J16" s="11"/>
      <c r="K16" s="11"/>
    </row>
    <row r="17" spans="2:11" x14ac:dyDescent="0.35">
      <c r="B17" s="24">
        <v>46478</v>
      </c>
      <c r="C17" s="48">
        <f>+'Cantidad Producto 1-2027'!AE10</f>
        <v>13943586</v>
      </c>
      <c r="D17" s="26"/>
      <c r="E17" s="25">
        <f t="shared" si="0"/>
        <v>0</v>
      </c>
      <c r="F17" s="27"/>
      <c r="G17" s="28"/>
      <c r="H17" s="11"/>
      <c r="I17" s="11"/>
      <c r="J17" s="11"/>
      <c r="K17" s="11"/>
    </row>
    <row r="18" spans="2:11" x14ac:dyDescent="0.35">
      <c r="B18" s="24">
        <v>46508</v>
      </c>
      <c r="C18" s="48">
        <f>+'Cantidad Producto 1-2027'!AE11</f>
        <v>13868380</v>
      </c>
      <c r="D18" s="26"/>
      <c r="E18" s="25">
        <f t="shared" si="0"/>
        <v>0</v>
      </c>
      <c r="F18" s="27"/>
      <c r="G18" s="28"/>
      <c r="H18" s="11"/>
      <c r="I18" s="11"/>
      <c r="J18" s="11"/>
      <c r="K18" s="11"/>
    </row>
    <row r="19" spans="2:11" x14ac:dyDescent="0.35">
      <c r="B19" s="24">
        <v>46539</v>
      </c>
      <c r="C19" s="48">
        <f>+'Cantidad Producto 1-2027'!AE12</f>
        <v>13827876</v>
      </c>
      <c r="D19" s="26"/>
      <c r="E19" s="25">
        <f t="shared" si="0"/>
        <v>0</v>
      </c>
      <c r="F19" s="27"/>
      <c r="G19" s="28"/>
      <c r="H19" s="11"/>
      <c r="I19" s="11"/>
      <c r="J19" s="11"/>
      <c r="K19" s="11"/>
    </row>
    <row r="20" spans="2:11" x14ac:dyDescent="0.35">
      <c r="B20" s="24">
        <v>46569</v>
      </c>
      <c r="C20" s="48">
        <f>+'Cantidad Producto 1-2027'!AE13</f>
        <v>12923708</v>
      </c>
      <c r="D20" s="26"/>
      <c r="E20" s="25">
        <f t="shared" si="0"/>
        <v>0</v>
      </c>
      <c r="F20" s="27"/>
      <c r="G20" s="28"/>
      <c r="H20" s="11"/>
      <c r="I20" s="11"/>
      <c r="J20" s="11"/>
      <c r="K20" s="11"/>
    </row>
    <row r="21" spans="2:11" x14ac:dyDescent="0.35">
      <c r="B21" s="24">
        <v>46600</v>
      </c>
      <c r="C21" s="48">
        <f>+'Cantidad Producto 1-2027'!AE14</f>
        <v>13437104</v>
      </c>
      <c r="D21" s="26"/>
      <c r="E21" s="25">
        <f t="shared" si="0"/>
        <v>0</v>
      </c>
      <c r="F21" s="27"/>
      <c r="G21" s="28"/>
      <c r="H21" s="11"/>
      <c r="I21" s="11"/>
      <c r="J21" s="11"/>
      <c r="K21" s="11"/>
    </row>
    <row r="22" spans="2:11" x14ac:dyDescent="0.35">
      <c r="B22" s="24">
        <v>46631</v>
      </c>
      <c r="C22" s="48">
        <f>+'Cantidad Producto 1-2027'!AE15</f>
        <v>12944034</v>
      </c>
      <c r="D22" s="26"/>
      <c r="E22" s="25">
        <f t="shared" si="0"/>
        <v>0</v>
      </c>
      <c r="F22" s="27"/>
      <c r="G22" s="28"/>
      <c r="H22" s="11"/>
      <c r="I22" s="11"/>
      <c r="J22" s="11"/>
      <c r="K22" s="11"/>
    </row>
    <row r="23" spans="2:11" x14ac:dyDescent="0.35">
      <c r="B23" s="24">
        <v>46661</v>
      </c>
      <c r="C23" s="48">
        <f>+'Cantidad Producto 1-2027'!AE16</f>
        <v>13505119</v>
      </c>
      <c r="D23" s="26"/>
      <c r="E23" s="25">
        <f t="shared" si="0"/>
        <v>0</v>
      </c>
      <c r="F23" s="27"/>
      <c r="G23" s="28"/>
      <c r="H23" s="11"/>
      <c r="I23" s="11"/>
      <c r="J23" s="11"/>
      <c r="K23" s="11"/>
    </row>
    <row r="24" spans="2:11" x14ac:dyDescent="0.35">
      <c r="B24" s="24">
        <v>46692</v>
      </c>
      <c r="C24" s="48">
        <f>+'Cantidad Producto 1-2027'!AE17</f>
        <v>13089684</v>
      </c>
      <c r="D24" s="26"/>
      <c r="E24" s="25">
        <f t="shared" si="0"/>
        <v>0</v>
      </c>
      <c r="F24" s="27"/>
      <c r="G24" s="28"/>
      <c r="H24" s="11"/>
      <c r="I24" s="11"/>
      <c r="J24" s="11"/>
      <c r="K24" s="11"/>
    </row>
    <row r="25" spans="2:11" x14ac:dyDescent="0.35">
      <c r="B25" s="24">
        <v>46722</v>
      </c>
      <c r="C25" s="48">
        <f>+'Cantidad Producto 1-2027'!AE18</f>
        <v>13514959</v>
      </c>
      <c r="D25" s="26"/>
      <c r="E25" s="25">
        <f t="shared" si="0"/>
        <v>0</v>
      </c>
      <c r="F25" s="27"/>
      <c r="G25" s="28"/>
      <c r="H25" s="11"/>
      <c r="I25" s="11"/>
      <c r="J25" s="11"/>
      <c r="K25" s="11"/>
    </row>
    <row r="26" spans="2:11" x14ac:dyDescent="0.35">
      <c r="B26" s="24" t="s">
        <v>66</v>
      </c>
      <c r="C26" s="29">
        <f>SUM(C14:C25)</f>
        <v>162167221</v>
      </c>
      <c r="D26" s="30" t="s">
        <v>64</v>
      </c>
      <c r="E26" s="29"/>
      <c r="F26" s="27"/>
      <c r="G26" s="11"/>
      <c r="H26" s="11"/>
      <c r="I26" s="11"/>
      <c r="J26" s="11"/>
      <c r="K26" s="11"/>
    </row>
    <row r="27" spans="2:11" x14ac:dyDescent="0.35"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2:11" x14ac:dyDescent="0.35">
      <c r="B28" t="s">
        <v>70</v>
      </c>
      <c r="C28" s="34"/>
      <c r="D28" s="34"/>
      <c r="E28" s="34"/>
      <c r="F28" s="34"/>
      <c r="G28" s="34"/>
      <c r="H28" s="34"/>
      <c r="I28" s="34"/>
      <c r="J28" s="34"/>
      <c r="K28" s="34"/>
    </row>
    <row r="29" spans="2:11" x14ac:dyDescent="0.35">
      <c r="B29" s="44" t="s">
        <v>71</v>
      </c>
      <c r="C29" s="35"/>
      <c r="D29" s="35"/>
      <c r="E29" s="35"/>
      <c r="F29" s="35"/>
      <c r="G29" s="35"/>
      <c r="H29" s="35"/>
      <c r="I29" s="35"/>
      <c r="J29" s="35"/>
      <c r="K29" s="35"/>
    </row>
    <row r="30" spans="2:11" x14ac:dyDescent="0.35">
      <c r="B30" s="44" t="s">
        <v>77</v>
      </c>
      <c r="C30" s="36"/>
      <c r="D30" s="36"/>
      <c r="E30" s="36"/>
      <c r="F30" s="36"/>
      <c r="G30" s="36"/>
      <c r="H30" s="36"/>
      <c r="I30" s="36"/>
      <c r="J30" s="34"/>
      <c r="K30" s="34"/>
    </row>
    <row r="31" spans="2:11" x14ac:dyDescent="0.35">
      <c r="B31" s="44" t="s">
        <v>72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2:11" x14ac:dyDescent="0.35">
      <c r="B32" s="44" t="s">
        <v>78</v>
      </c>
    </row>
    <row r="33" spans="2:3" x14ac:dyDescent="0.35">
      <c r="C33" s="46"/>
    </row>
    <row r="34" spans="2:3" x14ac:dyDescent="0.35">
      <c r="B34" s="44"/>
    </row>
    <row r="35" spans="2:3" ht="15" thickBot="1" x14ac:dyDescent="0.4">
      <c r="B35" s="60"/>
    </row>
    <row r="36" spans="2:3" x14ac:dyDescent="0.35">
      <c r="B36" s="59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E15A-FA7D-493A-B6A0-758A70899397}">
  <dimension ref="B1:K42"/>
  <sheetViews>
    <sheetView showGridLines="0" workbookViewId="0">
      <selection activeCell="C26" sqref="C26"/>
    </sheetView>
  </sheetViews>
  <sheetFormatPr baseColWidth="10" defaultColWidth="10.81640625" defaultRowHeight="14.5" x14ac:dyDescent="0.35"/>
  <cols>
    <col min="1" max="1" width="4.54296875" style="12" customWidth="1"/>
    <col min="2" max="2" width="25.54296875" style="12" customWidth="1"/>
    <col min="3" max="3" width="20.7265625" style="12" bestFit="1" customWidth="1"/>
    <col min="4" max="4" width="12.54296875" style="12" customWidth="1"/>
    <col min="5" max="5" width="15.26953125" style="12" bestFit="1" customWidth="1"/>
    <col min="6" max="6" width="9" style="12" customWidth="1"/>
    <col min="7" max="16384" width="10.81640625" style="12"/>
  </cols>
  <sheetData>
    <row r="1" spans="2:11" ht="15.5" x14ac:dyDescent="0.35">
      <c r="B1" s="10" t="s">
        <v>47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ht="15.5" x14ac:dyDescent="0.35">
      <c r="B2" s="13" t="s">
        <v>48</v>
      </c>
      <c r="C2" s="14">
        <v>2</v>
      </c>
      <c r="D2" s="11"/>
      <c r="E2" s="11"/>
      <c r="F2" s="11"/>
      <c r="G2" s="11"/>
      <c r="H2" s="11"/>
      <c r="I2" s="11"/>
      <c r="J2" s="11"/>
      <c r="K2" s="11"/>
    </row>
    <row r="3" spans="2:11" ht="15.5" x14ac:dyDescent="0.35">
      <c r="B3" s="15"/>
      <c r="C3" s="14"/>
      <c r="D3" s="11"/>
      <c r="E3" s="11"/>
      <c r="F3" s="11"/>
      <c r="G3" s="11"/>
      <c r="H3" s="11"/>
      <c r="I3" s="11"/>
      <c r="J3" s="11"/>
      <c r="K3" s="11"/>
    </row>
    <row r="4" spans="2:11" ht="31" x14ac:dyDescent="0.35">
      <c r="B4" s="16" t="s">
        <v>49</v>
      </c>
      <c r="C4" s="17" t="str">
        <f>+'Oferta Producto 1'!C4</f>
        <v>CP-CHCC2025-003</v>
      </c>
      <c r="D4" s="11"/>
      <c r="E4" s="11"/>
      <c r="F4" s="11"/>
      <c r="G4" s="11"/>
      <c r="H4" s="11"/>
      <c r="I4" s="11"/>
      <c r="J4" s="11"/>
      <c r="K4" s="11"/>
    </row>
    <row r="5" spans="2:11" ht="15.5" x14ac:dyDescent="0.35">
      <c r="B5" s="18" t="s">
        <v>50</v>
      </c>
      <c r="C5" s="17"/>
      <c r="D5" s="11"/>
      <c r="E5" s="11"/>
      <c r="F5" s="11"/>
      <c r="G5" s="11"/>
      <c r="H5" s="11"/>
      <c r="I5" s="11"/>
      <c r="J5" s="11"/>
      <c r="K5" s="11"/>
    </row>
    <row r="6" spans="2:11" ht="15.5" x14ac:dyDescent="0.35">
      <c r="B6" s="18" t="s">
        <v>51</v>
      </c>
      <c r="C6" s="18">
        <v>2028</v>
      </c>
      <c r="D6" s="11"/>
      <c r="E6" s="11"/>
      <c r="F6" s="11"/>
      <c r="G6" s="11"/>
      <c r="H6" s="11"/>
      <c r="I6" s="11"/>
      <c r="J6" s="11"/>
      <c r="K6" s="11"/>
    </row>
    <row r="7" spans="2:11" ht="15.5" x14ac:dyDescent="0.35">
      <c r="B7" s="18" t="s">
        <v>52</v>
      </c>
      <c r="C7" s="17" t="s">
        <v>68</v>
      </c>
      <c r="D7" s="11"/>
      <c r="E7" s="11"/>
      <c r="F7" s="11"/>
      <c r="G7" s="11"/>
      <c r="H7" s="11"/>
      <c r="I7" s="11"/>
      <c r="J7" s="11"/>
      <c r="K7" s="11"/>
    </row>
    <row r="8" spans="2:11" ht="15.5" x14ac:dyDescent="0.35">
      <c r="B8" s="18" t="s">
        <v>53</v>
      </c>
      <c r="C8" s="19">
        <f>+'Oferta Producto 1'!C8</f>
        <v>45870</v>
      </c>
      <c r="D8" s="11"/>
      <c r="E8" s="11"/>
      <c r="F8" s="11"/>
      <c r="G8" s="11"/>
      <c r="H8" s="11"/>
      <c r="I8" s="11"/>
      <c r="J8" s="11"/>
      <c r="K8" s="11"/>
    </row>
    <row r="9" spans="2:11" ht="15.5" x14ac:dyDescent="0.35">
      <c r="B9" s="16" t="s">
        <v>54</v>
      </c>
      <c r="C9" s="20" t="s">
        <v>55</v>
      </c>
      <c r="D9" s="11"/>
      <c r="E9" s="11"/>
      <c r="F9" s="11"/>
      <c r="G9" s="11"/>
      <c r="H9" s="11"/>
      <c r="I9" s="11"/>
      <c r="J9" s="11"/>
      <c r="K9" s="11"/>
    </row>
    <row r="10" spans="2:11" ht="15.5" x14ac:dyDescent="0.35">
      <c r="B10" s="18" t="s">
        <v>56</v>
      </c>
      <c r="C10" s="20" t="s">
        <v>67</v>
      </c>
      <c r="D10" s="11"/>
      <c r="E10" s="11"/>
      <c r="F10" s="11"/>
      <c r="G10" s="11"/>
      <c r="H10" s="11"/>
      <c r="I10" s="11"/>
      <c r="J10" s="11"/>
      <c r="K10" s="11"/>
    </row>
    <row r="11" spans="2:11" ht="15.5" x14ac:dyDescent="0.35">
      <c r="B11" s="18" t="s">
        <v>57</v>
      </c>
      <c r="C11" s="20" t="s">
        <v>58</v>
      </c>
      <c r="D11" s="11"/>
      <c r="E11" s="11"/>
      <c r="F11" s="11"/>
      <c r="G11" s="11"/>
      <c r="H11" s="11"/>
      <c r="I11" s="11"/>
      <c r="J11" s="11"/>
      <c r="K11" s="11"/>
    </row>
    <row r="12" spans="2:1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 ht="31" x14ac:dyDescent="0.35">
      <c r="B13" s="21" t="s">
        <v>59</v>
      </c>
      <c r="C13" s="21" t="s">
        <v>60</v>
      </c>
      <c r="D13" s="22" t="s">
        <v>61</v>
      </c>
      <c r="E13" s="21" t="s">
        <v>62</v>
      </c>
      <c r="F13" s="21" t="s">
        <v>63</v>
      </c>
      <c r="G13" s="23"/>
      <c r="H13" s="23"/>
      <c r="I13" s="23"/>
      <c r="J13" s="11"/>
      <c r="K13" s="11"/>
    </row>
    <row r="14" spans="2:11" x14ac:dyDescent="0.35">
      <c r="B14" s="24">
        <v>46753</v>
      </c>
      <c r="C14" s="25">
        <f>+'Cantidad Producto 2-2028'!AE7</f>
        <v>2766303</v>
      </c>
      <c r="D14" s="26"/>
      <c r="E14" s="25"/>
      <c r="F14" s="27"/>
      <c r="G14" s="23"/>
      <c r="H14" s="23"/>
      <c r="I14" s="23"/>
      <c r="J14" s="11"/>
      <c r="K14" s="11"/>
    </row>
    <row r="15" spans="2:11" x14ac:dyDescent="0.35">
      <c r="B15" s="24">
        <v>46784</v>
      </c>
      <c r="C15" s="25">
        <f>+'Cantidad Producto 2-2028'!AE8</f>
        <v>2501857</v>
      </c>
      <c r="D15" s="26"/>
      <c r="E15" s="25"/>
      <c r="F15" s="27"/>
      <c r="G15" s="23"/>
      <c r="H15" s="23"/>
      <c r="I15" s="23"/>
      <c r="J15" s="11"/>
      <c r="K15" s="11"/>
    </row>
    <row r="16" spans="2:11" x14ac:dyDescent="0.35">
      <c r="B16" s="24">
        <v>46813</v>
      </c>
      <c r="C16" s="25">
        <f>+'Cantidad Producto 2-2028'!AE9</f>
        <v>2619980</v>
      </c>
      <c r="D16" s="26"/>
      <c r="E16" s="25"/>
      <c r="F16" s="27"/>
      <c r="G16" s="23"/>
      <c r="H16" s="23"/>
      <c r="I16" s="23"/>
      <c r="J16" s="11"/>
      <c r="K16" s="11"/>
    </row>
    <row r="17" spans="2:11" x14ac:dyDescent="0.35">
      <c r="B17" s="24">
        <v>46844</v>
      </c>
      <c r="C17" s="25">
        <f>+'Cantidad Producto 2-2028'!AE10</f>
        <v>2723545</v>
      </c>
      <c r="D17" s="26"/>
      <c r="E17" s="25"/>
      <c r="F17" s="27"/>
      <c r="G17" s="23"/>
      <c r="H17" s="23"/>
      <c r="I17" s="23"/>
      <c r="J17" s="11"/>
      <c r="K17" s="11"/>
    </row>
    <row r="18" spans="2:11" x14ac:dyDescent="0.35">
      <c r="B18" s="24">
        <v>46874</v>
      </c>
      <c r="C18" s="25">
        <f>+'Cantidad Producto 2-2028'!AE11</f>
        <v>2724187</v>
      </c>
      <c r="D18" s="26"/>
      <c r="E18" s="25"/>
      <c r="F18" s="27"/>
      <c r="G18" s="23"/>
      <c r="H18" s="23"/>
      <c r="I18" s="23"/>
      <c r="J18" s="11"/>
      <c r="K18" s="11"/>
    </row>
    <row r="19" spans="2:11" x14ac:dyDescent="0.35">
      <c r="B19" s="24">
        <v>46905</v>
      </c>
      <c r="C19" s="25">
        <f>+'Cantidad Producto 2-2028'!AE12</f>
        <v>2695390</v>
      </c>
      <c r="D19" s="26"/>
      <c r="E19" s="25"/>
      <c r="F19" s="27"/>
      <c r="G19" s="23"/>
      <c r="H19" s="23"/>
      <c r="I19" s="23"/>
      <c r="J19" s="11"/>
      <c r="K19" s="11"/>
    </row>
    <row r="20" spans="2:11" x14ac:dyDescent="0.35">
      <c r="B20" s="24">
        <v>46935</v>
      </c>
      <c r="C20" s="25">
        <f>+'Cantidad Producto 2-2028'!AE13</f>
        <v>2897980</v>
      </c>
      <c r="D20" s="26"/>
      <c r="E20" s="25"/>
      <c r="F20" s="27"/>
      <c r="G20" s="23"/>
      <c r="H20" s="23"/>
      <c r="I20" s="23"/>
      <c r="J20" s="11"/>
      <c r="K20" s="11"/>
    </row>
    <row r="21" spans="2:11" x14ac:dyDescent="0.35">
      <c r="B21" s="24">
        <v>46966</v>
      </c>
      <c r="C21" s="25">
        <f>+'Cantidad Producto 2-2028'!AE14</f>
        <v>2910774</v>
      </c>
      <c r="D21" s="26"/>
      <c r="E21" s="25"/>
      <c r="F21" s="27"/>
      <c r="G21" s="23"/>
      <c r="H21" s="23"/>
      <c r="I21" s="23"/>
      <c r="J21" s="11"/>
      <c r="K21" s="11"/>
    </row>
    <row r="22" spans="2:11" x14ac:dyDescent="0.35">
      <c r="B22" s="24">
        <v>46997</v>
      </c>
      <c r="C22" s="25">
        <f>+'Cantidad Producto 2-2028'!AE15</f>
        <v>2814865</v>
      </c>
      <c r="D22" s="26"/>
      <c r="E22" s="25"/>
      <c r="F22" s="27"/>
      <c r="G22" s="23"/>
      <c r="H22" s="23"/>
      <c r="I22" s="23"/>
      <c r="J22" s="11"/>
      <c r="K22" s="11"/>
    </row>
    <row r="23" spans="2:11" x14ac:dyDescent="0.35">
      <c r="B23" s="24">
        <v>47027</v>
      </c>
      <c r="C23" s="25">
        <f>+'Cantidad Producto 2-2028'!AE16</f>
        <v>2910046</v>
      </c>
      <c r="D23" s="26"/>
      <c r="E23" s="25"/>
      <c r="F23" s="27"/>
      <c r="G23" s="23"/>
      <c r="H23" s="23"/>
      <c r="I23" s="23"/>
      <c r="J23" s="11"/>
      <c r="K23" s="11"/>
    </row>
    <row r="24" spans="2:11" x14ac:dyDescent="0.35">
      <c r="B24" s="24">
        <v>47058</v>
      </c>
      <c r="C24" s="25">
        <f>+'Cantidad Producto 2-2028'!AE17</f>
        <v>2854598</v>
      </c>
      <c r="D24" s="26"/>
      <c r="E24" s="25"/>
      <c r="F24" s="27"/>
      <c r="G24" s="23"/>
      <c r="H24" s="23"/>
      <c r="I24" s="23"/>
      <c r="J24" s="11"/>
      <c r="K24" s="11"/>
    </row>
    <row r="25" spans="2:11" x14ac:dyDescent="0.35">
      <c r="B25" s="24">
        <v>47088</v>
      </c>
      <c r="C25" s="25">
        <f>+'Cantidad Producto 2-2028'!AE18</f>
        <v>2942882</v>
      </c>
      <c r="D25" s="26"/>
      <c r="E25" s="25"/>
      <c r="F25" s="27"/>
      <c r="G25" s="23"/>
      <c r="H25" s="23"/>
      <c r="I25" s="23"/>
      <c r="J25" s="11"/>
      <c r="K25" s="11"/>
    </row>
    <row r="26" spans="2:11" x14ac:dyDescent="0.35">
      <c r="B26" s="24" t="s">
        <v>66</v>
      </c>
      <c r="C26" s="29">
        <f>SUM(C14:C25)</f>
        <v>33362407</v>
      </c>
      <c r="D26" s="30" t="s">
        <v>64</v>
      </c>
      <c r="E26" s="29"/>
      <c r="F26" s="27"/>
      <c r="G26" s="28"/>
      <c r="H26" s="11"/>
      <c r="I26" s="11"/>
      <c r="J26" s="11"/>
      <c r="K26" s="11"/>
    </row>
    <row r="27" spans="2:11" x14ac:dyDescent="0.35">
      <c r="B27" s="11"/>
      <c r="C27" s="31"/>
      <c r="D27" s="11"/>
      <c r="E27" s="11"/>
      <c r="F27" s="11"/>
      <c r="G27" s="11"/>
      <c r="H27" s="11"/>
      <c r="I27" s="11"/>
      <c r="J27" s="11"/>
      <c r="K27" s="11"/>
    </row>
    <row r="28" spans="2:11" x14ac:dyDescent="0.35">
      <c r="B28" s="11"/>
      <c r="C28" s="31"/>
      <c r="D28" s="32"/>
      <c r="E28" s="32"/>
      <c r="F28" s="11"/>
      <c r="G28" s="11"/>
      <c r="H28" s="11"/>
      <c r="I28" s="11"/>
      <c r="J28" s="11"/>
      <c r="K28" s="11"/>
    </row>
    <row r="29" spans="2:11" x14ac:dyDescent="0.35">
      <c r="B29" s="33" t="s">
        <v>65</v>
      </c>
      <c r="C29" s="33"/>
      <c r="D29" s="33"/>
      <c r="E29" s="33"/>
      <c r="F29" s="33"/>
      <c r="G29" s="33"/>
      <c r="H29" s="33"/>
      <c r="I29" s="33"/>
      <c r="J29" s="33"/>
      <c r="K29" s="33"/>
    </row>
    <row r="30" spans="2:11" x14ac:dyDescent="0.35">
      <c r="B30" s="44" t="s">
        <v>73</v>
      </c>
      <c r="C30" s="35"/>
      <c r="D30" s="35"/>
      <c r="E30" s="33"/>
      <c r="F30" s="33"/>
      <c r="G30" s="33"/>
      <c r="H30" s="33"/>
      <c r="I30" s="33"/>
      <c r="J30" s="33"/>
      <c r="K30" s="33"/>
    </row>
    <row r="31" spans="2:11" x14ac:dyDescent="0.35">
      <c r="B31" s="44" t="s">
        <v>82</v>
      </c>
      <c r="C31" s="36"/>
      <c r="D31" s="36"/>
      <c r="E31" s="34"/>
      <c r="F31" s="34"/>
      <c r="G31" s="34"/>
      <c r="H31" s="34"/>
      <c r="I31" s="34"/>
      <c r="J31" s="34"/>
      <c r="K31" s="34"/>
    </row>
    <row r="32" spans="2:11" ht="16" customHeight="1" x14ac:dyDescent="0.35">
      <c r="B32" s="44" t="s">
        <v>84</v>
      </c>
      <c r="C32" s="11"/>
      <c r="D32" s="11"/>
      <c r="E32" s="34"/>
      <c r="F32" s="34"/>
      <c r="G32" s="34"/>
      <c r="H32" s="34"/>
      <c r="I32" s="34"/>
      <c r="J32" s="34"/>
      <c r="K32" s="34"/>
    </row>
    <row r="33" spans="2:11" ht="14" customHeight="1" x14ac:dyDescent="0.35">
      <c r="B33" s="44" t="s">
        <v>85</v>
      </c>
      <c r="C33" s="11"/>
      <c r="D33" s="11"/>
      <c r="E33" s="34"/>
      <c r="F33" s="34"/>
      <c r="G33" s="34"/>
      <c r="H33" s="34"/>
      <c r="I33" s="34"/>
      <c r="J33" s="34"/>
      <c r="K33" s="34"/>
    </row>
    <row r="34" spans="2:11" x14ac:dyDescent="0.35">
      <c r="B34" s="44" t="s">
        <v>81</v>
      </c>
      <c r="C34" s="11"/>
      <c r="D34" s="11"/>
      <c r="E34" s="34"/>
      <c r="F34" s="34"/>
      <c r="G34" s="34"/>
      <c r="H34" s="34"/>
      <c r="I34" s="34"/>
      <c r="J34" s="34"/>
      <c r="K34" s="34"/>
    </row>
    <row r="35" spans="2:11" x14ac:dyDescent="0.35">
      <c r="B35" s="44" t="s">
        <v>76</v>
      </c>
      <c r="E35" s="35"/>
      <c r="F35" s="35"/>
      <c r="G35" s="35"/>
      <c r="H35" s="35"/>
      <c r="I35" s="35"/>
      <c r="J35" s="35"/>
      <c r="K35" s="35"/>
    </row>
    <row r="36" spans="2:11" x14ac:dyDescent="0.35">
      <c r="B36" s="45"/>
      <c r="C36" s="36"/>
      <c r="D36" s="36"/>
      <c r="E36" s="36"/>
      <c r="F36" s="36"/>
      <c r="G36" s="36"/>
      <c r="H36" s="36"/>
      <c r="I36" s="34"/>
      <c r="J36" s="34"/>
      <c r="K36" s="34"/>
    </row>
    <row r="37" spans="2:11" x14ac:dyDescent="0.35"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2:11" ht="15" thickBot="1" x14ac:dyDescent="0.4">
      <c r="B38" s="60"/>
      <c r="C38" s="36"/>
      <c r="D38" s="36"/>
      <c r="E38" s="36"/>
      <c r="F38" s="36"/>
      <c r="G38" s="36"/>
      <c r="H38" s="36"/>
      <c r="I38" s="36"/>
      <c r="J38" s="34"/>
      <c r="K38" s="34"/>
    </row>
    <row r="39" spans="2:11" x14ac:dyDescent="0.35">
      <c r="B39" s="59" t="s">
        <v>83</v>
      </c>
      <c r="C39" s="11"/>
      <c r="D39" s="37"/>
      <c r="E39" s="11"/>
      <c r="F39" s="11"/>
      <c r="G39" s="11"/>
      <c r="H39" s="11"/>
      <c r="I39" s="11"/>
      <c r="J39" s="11"/>
      <c r="K39" s="11"/>
    </row>
    <row r="40" spans="2:11" x14ac:dyDescent="0.35">
      <c r="B40" s="11"/>
      <c r="C40" s="38"/>
      <c r="D40" s="11"/>
      <c r="E40" s="11"/>
      <c r="F40" s="11"/>
      <c r="G40" s="11"/>
      <c r="H40" s="11"/>
      <c r="I40" s="11"/>
      <c r="J40" s="11"/>
      <c r="K40" s="11"/>
    </row>
    <row r="41" spans="2:11" x14ac:dyDescent="0.35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2:11" x14ac:dyDescent="0.35">
      <c r="B42" s="11"/>
      <c r="C42" s="11"/>
      <c r="D42" s="11"/>
      <c r="E42" s="11"/>
      <c r="F42" s="11"/>
      <c r="G42" s="11"/>
      <c r="H42" s="11"/>
      <c r="I42" s="11"/>
      <c r="J42" s="11"/>
      <c r="K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662E-362D-49FA-BAF7-65A4CD8748FA}">
  <dimension ref="B1:K38"/>
  <sheetViews>
    <sheetView showGridLines="0" workbookViewId="0">
      <selection activeCell="E34" sqref="E34"/>
    </sheetView>
  </sheetViews>
  <sheetFormatPr baseColWidth="10" defaultColWidth="10.81640625" defaultRowHeight="14.5" x14ac:dyDescent="0.35"/>
  <cols>
    <col min="1" max="1" width="4.54296875" style="12" customWidth="1"/>
    <col min="2" max="2" width="25.54296875" style="12" customWidth="1"/>
    <col min="3" max="3" width="20.7265625" style="12" bestFit="1" customWidth="1"/>
    <col min="4" max="4" width="12.54296875" style="12" customWidth="1"/>
    <col min="5" max="5" width="15.26953125" style="12" bestFit="1" customWidth="1"/>
    <col min="6" max="6" width="9" style="12" customWidth="1"/>
    <col min="7" max="16384" width="10.81640625" style="12"/>
  </cols>
  <sheetData>
    <row r="1" spans="2:11" ht="15.5" x14ac:dyDescent="0.35">
      <c r="B1" s="10" t="s">
        <v>47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ht="15.5" x14ac:dyDescent="0.35">
      <c r="B2" s="13" t="s">
        <v>48</v>
      </c>
      <c r="C2" s="14">
        <v>3</v>
      </c>
      <c r="D2" s="11"/>
      <c r="E2" s="11"/>
      <c r="F2" s="11"/>
      <c r="G2" s="11"/>
      <c r="H2" s="11"/>
      <c r="I2" s="11"/>
      <c r="J2" s="11"/>
      <c r="K2" s="11"/>
    </row>
    <row r="3" spans="2:11" ht="15.5" x14ac:dyDescent="0.35">
      <c r="B3" s="15"/>
      <c r="C3" s="14"/>
      <c r="D3" s="11"/>
      <c r="E3" s="11"/>
      <c r="F3" s="11"/>
      <c r="G3" s="11"/>
      <c r="H3" s="11"/>
      <c r="I3" s="11"/>
      <c r="J3" s="11"/>
      <c r="K3" s="11"/>
    </row>
    <row r="4" spans="2:11" ht="31" x14ac:dyDescent="0.35">
      <c r="B4" s="16" t="s">
        <v>49</v>
      </c>
      <c r="C4" s="17" t="str">
        <f>+'Oferta Producto 1'!C4</f>
        <v>CP-CHCC2025-003</v>
      </c>
      <c r="D4" s="11"/>
      <c r="E4" s="11"/>
      <c r="F4" s="11"/>
      <c r="G4" s="11"/>
      <c r="H4" s="11"/>
      <c r="I4" s="11"/>
      <c r="J4" s="11"/>
      <c r="K4" s="11"/>
    </row>
    <row r="5" spans="2:11" ht="15.5" x14ac:dyDescent="0.35">
      <c r="B5" s="18" t="s">
        <v>50</v>
      </c>
      <c r="C5" s="17"/>
      <c r="D5" s="11"/>
      <c r="E5" s="11"/>
      <c r="F5" s="11"/>
      <c r="G5" s="11"/>
      <c r="H5" s="11"/>
      <c r="I5" s="11"/>
      <c r="J5" s="11"/>
      <c r="K5" s="11"/>
    </row>
    <row r="6" spans="2:11" ht="15.5" x14ac:dyDescent="0.35">
      <c r="B6" s="18" t="s">
        <v>51</v>
      </c>
      <c r="C6" s="18">
        <v>2029</v>
      </c>
      <c r="D6" s="11"/>
      <c r="E6" s="11"/>
      <c r="F6" s="11"/>
      <c r="G6" s="11"/>
      <c r="H6" s="11"/>
      <c r="I6" s="11"/>
      <c r="J6" s="11"/>
      <c r="K6" s="11"/>
    </row>
    <row r="7" spans="2:11" ht="15.5" x14ac:dyDescent="0.35">
      <c r="B7" s="18" t="s">
        <v>52</v>
      </c>
      <c r="C7" s="17" t="s">
        <v>68</v>
      </c>
      <c r="D7" s="11"/>
      <c r="E7" s="11"/>
      <c r="F7" s="11"/>
      <c r="G7" s="11"/>
      <c r="H7" s="11"/>
      <c r="I7" s="11"/>
      <c r="J7" s="11"/>
      <c r="K7" s="11"/>
    </row>
    <row r="8" spans="2:11" ht="15.5" x14ac:dyDescent="0.35">
      <c r="B8" s="18" t="s">
        <v>53</v>
      </c>
      <c r="C8" s="19">
        <f>+'Oferta Producto 1'!C8</f>
        <v>45870</v>
      </c>
      <c r="D8" s="11"/>
      <c r="E8" s="11"/>
      <c r="F8" s="11"/>
      <c r="G8" s="11"/>
      <c r="H8" s="11"/>
      <c r="I8" s="11"/>
      <c r="J8" s="11"/>
      <c r="K8" s="11"/>
    </row>
    <row r="9" spans="2:11" ht="15.5" x14ac:dyDescent="0.35">
      <c r="B9" s="16" t="s">
        <v>54</v>
      </c>
      <c r="C9" s="20" t="s">
        <v>55</v>
      </c>
      <c r="D9" s="11"/>
      <c r="E9" s="11"/>
      <c r="F9" s="11"/>
      <c r="G9" s="11"/>
      <c r="H9" s="11"/>
      <c r="I9" s="11"/>
      <c r="J9" s="11"/>
      <c r="K9" s="11"/>
    </row>
    <row r="10" spans="2:11" ht="15.5" x14ac:dyDescent="0.35">
      <c r="B10" s="18" t="s">
        <v>56</v>
      </c>
      <c r="C10" s="20" t="s">
        <v>67</v>
      </c>
      <c r="D10" s="11"/>
      <c r="E10" s="11"/>
      <c r="F10" s="11"/>
      <c r="G10" s="11"/>
      <c r="H10" s="11"/>
      <c r="I10" s="11"/>
      <c r="J10" s="11"/>
      <c r="K10" s="11"/>
    </row>
    <row r="11" spans="2:11" ht="15.5" x14ac:dyDescent="0.35">
      <c r="B11" s="18" t="s">
        <v>57</v>
      </c>
      <c r="C11" s="20" t="s">
        <v>58</v>
      </c>
      <c r="D11" s="11"/>
      <c r="E11" s="11"/>
      <c r="F11" s="11"/>
      <c r="G11" s="11"/>
      <c r="H11" s="11"/>
      <c r="I11" s="11"/>
      <c r="J11" s="11"/>
      <c r="K11" s="11"/>
    </row>
    <row r="12" spans="2:1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 ht="31" x14ac:dyDescent="0.35">
      <c r="B13" s="21" t="s">
        <v>59</v>
      </c>
      <c r="C13" s="21" t="s">
        <v>60</v>
      </c>
      <c r="D13" s="22" t="s">
        <v>61</v>
      </c>
      <c r="E13" s="21" t="s">
        <v>62</v>
      </c>
      <c r="F13" s="21" t="s">
        <v>63</v>
      </c>
      <c r="G13" s="23"/>
      <c r="H13" s="23"/>
      <c r="I13" s="23"/>
      <c r="J13" s="11"/>
      <c r="K13" s="11"/>
    </row>
    <row r="14" spans="2:11" x14ac:dyDescent="0.35">
      <c r="B14" s="24">
        <v>47119</v>
      </c>
      <c r="C14" s="25">
        <f>+'Cantidad Producto3-2029'!AE7</f>
        <v>6675330</v>
      </c>
      <c r="D14" s="26"/>
      <c r="E14" s="25"/>
      <c r="F14" s="27"/>
      <c r="G14" s="23"/>
      <c r="H14" s="23"/>
      <c r="I14" s="23"/>
      <c r="J14" s="11"/>
      <c r="K14" s="11"/>
    </row>
    <row r="15" spans="2:11" x14ac:dyDescent="0.35">
      <c r="B15" s="24">
        <v>47150</v>
      </c>
      <c r="C15" s="25">
        <f>+'Cantidad Producto3-2029'!AE8</f>
        <v>6071720</v>
      </c>
      <c r="D15" s="26"/>
      <c r="E15" s="25"/>
      <c r="F15" s="27"/>
      <c r="G15" s="23"/>
      <c r="H15" s="23"/>
      <c r="I15" s="23"/>
      <c r="J15" s="11"/>
      <c r="K15" s="11"/>
    </row>
    <row r="16" spans="2:11" x14ac:dyDescent="0.35">
      <c r="B16" s="24">
        <v>47178</v>
      </c>
      <c r="C16" s="25">
        <f>+'Cantidad Producto3-2029'!AE9</f>
        <v>6318856</v>
      </c>
      <c r="D16" s="26"/>
      <c r="E16" s="25"/>
      <c r="F16" s="27"/>
      <c r="G16" s="23"/>
      <c r="H16" s="23"/>
      <c r="I16" s="23"/>
      <c r="J16" s="11"/>
      <c r="K16" s="11"/>
    </row>
    <row r="17" spans="2:11" x14ac:dyDescent="0.35">
      <c r="B17" s="24">
        <v>47209</v>
      </c>
      <c r="C17" s="25">
        <f>+'Cantidad Producto3-2029'!AE10</f>
        <v>6557158</v>
      </c>
      <c r="D17" s="26"/>
      <c r="E17" s="25"/>
      <c r="F17" s="27"/>
      <c r="G17" s="23"/>
      <c r="H17" s="23"/>
      <c r="I17" s="23"/>
      <c r="J17" s="11"/>
      <c r="K17" s="11"/>
    </row>
    <row r="18" spans="2:11" x14ac:dyDescent="0.35">
      <c r="B18" s="24">
        <v>47239</v>
      </c>
      <c r="C18" s="25">
        <f>+'Cantidad Producto3-2029'!AE11</f>
        <v>6567612</v>
      </c>
      <c r="D18" s="26"/>
      <c r="E18" s="25"/>
      <c r="F18" s="27"/>
      <c r="G18" s="23"/>
      <c r="H18" s="23"/>
      <c r="I18" s="23"/>
      <c r="J18" s="11"/>
      <c r="K18" s="11"/>
    </row>
    <row r="19" spans="2:11" x14ac:dyDescent="0.35">
      <c r="B19" s="24">
        <v>47270</v>
      </c>
      <c r="C19" s="25">
        <f>+'Cantidad Producto3-2029'!AE12</f>
        <v>6448400</v>
      </c>
      <c r="D19" s="26"/>
      <c r="E19" s="25"/>
      <c r="F19" s="27"/>
      <c r="G19" s="23"/>
      <c r="H19" s="23"/>
      <c r="I19" s="23"/>
      <c r="J19" s="11"/>
      <c r="K19" s="11"/>
    </row>
    <row r="20" spans="2:11" x14ac:dyDescent="0.35">
      <c r="B20" s="24">
        <v>47300</v>
      </c>
      <c r="C20" s="25">
        <f>+'Cantidad Producto3-2029'!AE13</f>
        <v>6740976</v>
      </c>
      <c r="D20" s="26"/>
      <c r="E20" s="25"/>
      <c r="F20" s="27"/>
      <c r="G20" s="23"/>
      <c r="H20" s="23"/>
      <c r="I20" s="23"/>
      <c r="J20" s="11"/>
      <c r="K20" s="11"/>
    </row>
    <row r="21" spans="2:11" x14ac:dyDescent="0.35">
      <c r="B21" s="24">
        <v>47331</v>
      </c>
      <c r="C21" s="25">
        <f>+'Cantidad Producto3-2029'!AE14</f>
        <v>7014730</v>
      </c>
      <c r="D21" s="26"/>
      <c r="E21" s="25"/>
      <c r="F21" s="27"/>
      <c r="G21" s="23"/>
      <c r="H21" s="23"/>
      <c r="I21" s="23"/>
      <c r="J21" s="11"/>
      <c r="K21" s="11"/>
    </row>
    <row r="22" spans="2:11" x14ac:dyDescent="0.35">
      <c r="B22" s="24">
        <v>47362</v>
      </c>
      <c r="C22" s="25">
        <f>+'Cantidad Producto3-2029'!AE15</f>
        <v>6783280</v>
      </c>
      <c r="D22" s="26"/>
      <c r="E22" s="25"/>
      <c r="F22" s="27"/>
      <c r="G22" s="23"/>
      <c r="H22" s="23"/>
      <c r="I22" s="23"/>
      <c r="J22" s="11"/>
      <c r="K22" s="11"/>
    </row>
    <row r="23" spans="2:11" x14ac:dyDescent="0.35">
      <c r="B23" s="24">
        <v>47392</v>
      </c>
      <c r="C23" s="25">
        <f>+'Cantidad Producto3-2029'!AE16</f>
        <v>7034886</v>
      </c>
      <c r="D23" s="26"/>
      <c r="E23" s="25"/>
      <c r="F23" s="27"/>
      <c r="G23" s="23"/>
      <c r="H23" s="23"/>
      <c r="I23" s="23"/>
      <c r="J23" s="11"/>
      <c r="K23" s="11"/>
    </row>
    <row r="24" spans="2:11" x14ac:dyDescent="0.35">
      <c r="B24" s="24">
        <v>47423</v>
      </c>
      <c r="C24" s="25">
        <f>+'Cantidad Producto3-2029'!AE17</f>
        <v>6905710</v>
      </c>
      <c r="D24" s="26"/>
      <c r="E24" s="25"/>
      <c r="F24" s="27"/>
      <c r="G24" s="23"/>
      <c r="H24" s="23"/>
      <c r="I24" s="23"/>
      <c r="J24" s="11"/>
      <c r="K24" s="11"/>
    </row>
    <row r="25" spans="2:11" x14ac:dyDescent="0.35">
      <c r="B25" s="24">
        <v>47453</v>
      </c>
      <c r="C25" s="25">
        <f>+'Cantidad Producto3-2029'!AE18</f>
        <v>7078222</v>
      </c>
      <c r="D25" s="26"/>
      <c r="E25" s="25"/>
      <c r="F25" s="27"/>
      <c r="G25" s="23"/>
      <c r="H25" s="23"/>
      <c r="I25" s="23"/>
      <c r="J25" s="11"/>
      <c r="K25" s="11"/>
    </row>
    <row r="26" spans="2:11" x14ac:dyDescent="0.35">
      <c r="B26" s="24" t="s">
        <v>66</v>
      </c>
      <c r="C26" s="29">
        <f>SUM(C14:C25)</f>
        <v>80196880</v>
      </c>
      <c r="D26" s="30" t="s">
        <v>64</v>
      </c>
      <c r="E26" s="29"/>
      <c r="F26" s="27"/>
      <c r="G26" s="28"/>
      <c r="H26" s="11"/>
      <c r="I26" s="11"/>
      <c r="J26" s="11"/>
      <c r="K26" s="11"/>
    </row>
    <row r="27" spans="2:11" x14ac:dyDescent="0.35">
      <c r="B27" s="33" t="s">
        <v>65</v>
      </c>
      <c r="C27" s="33"/>
      <c r="D27" s="33"/>
      <c r="E27" s="33"/>
      <c r="F27" s="33"/>
      <c r="G27" s="33"/>
      <c r="H27" s="33"/>
      <c r="I27" s="33"/>
      <c r="J27" s="33"/>
      <c r="K27" s="33"/>
    </row>
    <row r="28" spans="2:11" x14ac:dyDescent="0.35">
      <c r="B28" s="44" t="s">
        <v>74</v>
      </c>
      <c r="C28" s="35"/>
      <c r="D28" s="35"/>
      <c r="E28" s="33"/>
      <c r="F28" s="33"/>
      <c r="G28" s="33"/>
      <c r="H28" s="33"/>
      <c r="I28" s="33"/>
      <c r="J28" s="33"/>
      <c r="K28" s="33"/>
    </row>
    <row r="29" spans="2:11" x14ac:dyDescent="0.35">
      <c r="B29" s="44" t="s">
        <v>82</v>
      </c>
      <c r="C29" s="36"/>
      <c r="D29" s="36"/>
      <c r="E29" s="34"/>
      <c r="F29" s="34"/>
      <c r="G29" s="34"/>
      <c r="H29" s="34"/>
      <c r="I29" s="34"/>
      <c r="J29" s="34"/>
      <c r="K29" s="34"/>
    </row>
    <row r="30" spans="2:11" x14ac:dyDescent="0.35">
      <c r="B30" s="44" t="s">
        <v>84</v>
      </c>
      <c r="C30" s="36"/>
      <c r="D30" s="36"/>
      <c r="E30" s="34"/>
      <c r="F30" s="34"/>
      <c r="G30" s="34"/>
      <c r="H30" s="34"/>
      <c r="I30" s="34"/>
      <c r="J30" s="34"/>
      <c r="K30" s="34"/>
    </row>
    <row r="31" spans="2:11" x14ac:dyDescent="0.35">
      <c r="B31" s="44" t="s">
        <v>85</v>
      </c>
      <c r="C31" s="36"/>
      <c r="D31" s="36"/>
      <c r="E31" s="34"/>
      <c r="F31" s="34"/>
      <c r="G31" s="34"/>
      <c r="H31" s="34"/>
      <c r="I31" s="34"/>
      <c r="J31" s="34"/>
      <c r="K31" s="34"/>
    </row>
    <row r="32" spans="2:11" x14ac:dyDescent="0.35">
      <c r="B32" s="44" t="s">
        <v>81</v>
      </c>
      <c r="C32" s="11"/>
      <c r="D32" s="11"/>
      <c r="E32" s="34"/>
      <c r="F32" s="34"/>
      <c r="G32" s="34"/>
      <c r="H32" s="34"/>
      <c r="I32" s="34"/>
      <c r="J32" s="34"/>
      <c r="K32" s="34"/>
    </row>
    <row r="33" spans="2:11" x14ac:dyDescent="0.35">
      <c r="B33" s="44" t="s">
        <v>79</v>
      </c>
      <c r="E33" s="35"/>
      <c r="F33" s="35"/>
      <c r="G33" s="35"/>
      <c r="H33" s="35"/>
      <c r="I33" s="35"/>
      <c r="J33" s="35"/>
      <c r="K33" s="35"/>
    </row>
    <row r="34" spans="2:11" x14ac:dyDescent="0.35">
      <c r="B34" s="45"/>
      <c r="C34" s="36"/>
      <c r="D34" s="36"/>
      <c r="E34" s="36"/>
      <c r="F34" s="36"/>
      <c r="G34" s="36"/>
      <c r="H34" s="36"/>
      <c r="I34" s="34"/>
      <c r="J34" s="34"/>
      <c r="K34" s="34"/>
    </row>
    <row r="35" spans="2:11" ht="15" thickBot="1" x14ac:dyDescent="0.4">
      <c r="B35" s="60"/>
      <c r="C35" s="11"/>
      <c r="D35" s="37"/>
      <c r="E35" s="11"/>
      <c r="F35" s="11"/>
      <c r="G35" s="11"/>
      <c r="H35" s="11"/>
      <c r="I35" s="11"/>
      <c r="J35" s="11"/>
      <c r="K35" s="11"/>
    </row>
    <row r="36" spans="2:11" x14ac:dyDescent="0.35">
      <c r="B36" s="59" t="s">
        <v>83</v>
      </c>
      <c r="C36" s="38"/>
      <c r="D36" s="11"/>
      <c r="E36" s="11"/>
      <c r="F36" s="11"/>
      <c r="G36" s="11"/>
      <c r="H36" s="11"/>
      <c r="I36" s="11"/>
      <c r="J36" s="11"/>
      <c r="K36" s="11"/>
    </row>
    <row r="37" spans="2:11" x14ac:dyDescent="0.35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2:11" x14ac:dyDescent="0.35">
      <c r="B38" s="11"/>
      <c r="C38" s="11"/>
      <c r="D38" s="11"/>
      <c r="E38" s="11"/>
      <c r="F38" s="11"/>
      <c r="G38" s="11"/>
      <c r="H38" s="11"/>
      <c r="I38" s="11"/>
      <c r="J38" s="11"/>
      <c r="K38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AC6D-70C5-45EA-B1EF-483AD59C4160}">
  <dimension ref="B1:K39"/>
  <sheetViews>
    <sheetView showGridLines="0" zoomScale="110" zoomScaleNormal="110" workbookViewId="0">
      <selection activeCell="I31" sqref="I31"/>
    </sheetView>
  </sheetViews>
  <sheetFormatPr baseColWidth="10" defaultColWidth="10.81640625" defaultRowHeight="14.5" x14ac:dyDescent="0.35"/>
  <cols>
    <col min="1" max="1" width="4.54296875" style="12" customWidth="1"/>
    <col min="2" max="2" width="25.54296875" style="12" customWidth="1"/>
    <col min="3" max="3" width="20.7265625" style="12" bestFit="1" customWidth="1"/>
    <col min="4" max="4" width="12.54296875" style="12" customWidth="1"/>
    <col min="5" max="5" width="15.26953125" style="12" bestFit="1" customWidth="1"/>
    <col min="6" max="6" width="9" style="12" customWidth="1"/>
    <col min="7" max="16384" width="10.81640625" style="12"/>
  </cols>
  <sheetData>
    <row r="1" spans="2:11" ht="15.5" x14ac:dyDescent="0.35">
      <c r="B1" s="10" t="s">
        <v>47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ht="15.5" x14ac:dyDescent="0.35">
      <c r="B2" s="13" t="s">
        <v>48</v>
      </c>
      <c r="C2" s="14">
        <v>4</v>
      </c>
      <c r="D2" s="11"/>
      <c r="E2" s="11"/>
      <c r="F2" s="11"/>
      <c r="G2" s="11"/>
      <c r="H2" s="11"/>
      <c r="I2" s="11"/>
      <c r="J2" s="11"/>
      <c r="K2" s="11"/>
    </row>
    <row r="3" spans="2:11" ht="15.5" x14ac:dyDescent="0.35">
      <c r="B3" s="15"/>
      <c r="C3" s="14"/>
      <c r="D3" s="11"/>
      <c r="E3" s="11"/>
      <c r="F3" s="11"/>
      <c r="G3" s="11"/>
      <c r="H3" s="11"/>
      <c r="I3" s="11"/>
      <c r="J3" s="11"/>
      <c r="K3" s="11"/>
    </row>
    <row r="4" spans="2:11" ht="31" x14ac:dyDescent="0.35">
      <c r="B4" s="16" t="s">
        <v>49</v>
      </c>
      <c r="C4" s="17" t="str">
        <f>+'Oferta Producto 1'!C4</f>
        <v>CP-CHCC2025-003</v>
      </c>
      <c r="D4" s="11"/>
      <c r="E4" s="11"/>
      <c r="F4" s="11"/>
      <c r="G4" s="11"/>
      <c r="H4" s="11"/>
      <c r="I4" s="11"/>
      <c r="J4" s="11"/>
      <c r="K4" s="11"/>
    </row>
    <row r="5" spans="2:11" ht="15.5" x14ac:dyDescent="0.35">
      <c r="B5" s="18" t="s">
        <v>50</v>
      </c>
      <c r="C5" s="17"/>
      <c r="D5" s="11"/>
      <c r="E5" s="11"/>
      <c r="F5" s="11"/>
      <c r="G5" s="11"/>
      <c r="H5" s="11"/>
      <c r="I5" s="11"/>
      <c r="J5" s="11"/>
      <c r="K5" s="11"/>
    </row>
    <row r="6" spans="2:11" ht="15.5" x14ac:dyDescent="0.35">
      <c r="B6" s="18" t="s">
        <v>51</v>
      </c>
      <c r="C6" s="18">
        <v>2030</v>
      </c>
      <c r="D6" s="11"/>
      <c r="E6" s="11"/>
      <c r="F6" s="11"/>
      <c r="G6" s="11"/>
      <c r="H6" s="11"/>
      <c r="I6" s="11"/>
      <c r="J6" s="11"/>
      <c r="K6" s="11"/>
    </row>
    <row r="7" spans="2:11" ht="15.5" x14ac:dyDescent="0.35">
      <c r="B7" s="18" t="s">
        <v>52</v>
      </c>
      <c r="C7" s="17" t="s">
        <v>68</v>
      </c>
      <c r="D7" s="11"/>
      <c r="E7" s="11"/>
      <c r="F7" s="11"/>
      <c r="G7" s="11"/>
      <c r="H7" s="11"/>
      <c r="I7" s="11"/>
      <c r="J7" s="11"/>
      <c r="K7" s="11"/>
    </row>
    <row r="8" spans="2:11" ht="15.5" x14ac:dyDescent="0.35">
      <c r="B8" s="18" t="s">
        <v>53</v>
      </c>
      <c r="C8" s="19">
        <f>+'Oferta Producto 1'!C8</f>
        <v>45870</v>
      </c>
      <c r="D8" s="11"/>
      <c r="E8" s="11"/>
      <c r="F8" s="11"/>
      <c r="G8" s="11"/>
      <c r="H8" s="11"/>
      <c r="I8" s="11"/>
      <c r="J8" s="11"/>
      <c r="K8" s="11"/>
    </row>
    <row r="9" spans="2:11" ht="15.5" x14ac:dyDescent="0.35">
      <c r="B9" s="16" t="s">
        <v>54</v>
      </c>
      <c r="C9" s="20" t="s">
        <v>55</v>
      </c>
      <c r="D9" s="11"/>
      <c r="E9" s="11"/>
      <c r="F9" s="11"/>
      <c r="G9" s="11"/>
      <c r="H9" s="11"/>
      <c r="I9" s="11"/>
      <c r="J9" s="11"/>
      <c r="K9" s="11"/>
    </row>
    <row r="10" spans="2:11" ht="15.5" x14ac:dyDescent="0.35">
      <c r="B10" s="18" t="s">
        <v>56</v>
      </c>
      <c r="C10" s="20" t="s">
        <v>67</v>
      </c>
      <c r="D10" s="11"/>
      <c r="E10" s="11"/>
      <c r="F10" s="11"/>
      <c r="G10" s="11"/>
      <c r="H10" s="11"/>
      <c r="I10" s="11"/>
      <c r="J10" s="11"/>
      <c r="K10" s="11"/>
    </row>
    <row r="11" spans="2:11" ht="15.5" x14ac:dyDescent="0.35">
      <c r="B11" s="18" t="s">
        <v>57</v>
      </c>
      <c r="C11" s="20" t="s">
        <v>58</v>
      </c>
      <c r="D11" s="11"/>
      <c r="E11" s="11"/>
      <c r="F11" s="11"/>
      <c r="G11" s="11"/>
      <c r="H11" s="11"/>
      <c r="I11" s="11"/>
      <c r="J11" s="11"/>
      <c r="K11" s="11"/>
    </row>
    <row r="12" spans="2:1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1" ht="31" x14ac:dyDescent="0.35">
      <c r="B13" s="21" t="s">
        <v>59</v>
      </c>
      <c r="C13" s="21" t="s">
        <v>60</v>
      </c>
      <c r="D13" s="22" t="s">
        <v>61</v>
      </c>
      <c r="E13" s="21" t="s">
        <v>62</v>
      </c>
      <c r="F13" s="21" t="s">
        <v>63</v>
      </c>
      <c r="G13" s="23"/>
      <c r="H13" s="23"/>
      <c r="I13" s="23"/>
      <c r="J13" s="11"/>
      <c r="K13" s="11"/>
    </row>
    <row r="14" spans="2:11" x14ac:dyDescent="0.35">
      <c r="B14" s="24">
        <v>47484</v>
      </c>
      <c r="C14" s="25">
        <f>+'Cantidad Producto 1-2030'!AE7</f>
        <v>17721564</v>
      </c>
      <c r="D14" s="26"/>
      <c r="E14" s="25"/>
      <c r="F14" s="27"/>
      <c r="G14" s="23"/>
      <c r="H14" s="23"/>
      <c r="I14" s="23"/>
      <c r="J14" s="11"/>
      <c r="K14" s="11"/>
    </row>
    <row r="15" spans="2:11" x14ac:dyDescent="0.35">
      <c r="B15" s="24">
        <v>47515</v>
      </c>
      <c r="C15" s="25">
        <f>+'Cantidad Producto 1-2030'!AE8</f>
        <v>16439400</v>
      </c>
      <c r="D15" s="26"/>
      <c r="E15" s="25"/>
      <c r="F15" s="27"/>
      <c r="G15" s="23"/>
      <c r="H15" s="23"/>
      <c r="I15" s="23"/>
      <c r="J15" s="11"/>
      <c r="K15" s="11"/>
    </row>
    <row r="16" spans="2:11" x14ac:dyDescent="0.35">
      <c r="B16" s="24">
        <v>47543</v>
      </c>
      <c r="C16" s="25">
        <f>+'Cantidad Producto 1-2030'!AE9</f>
        <v>17111754</v>
      </c>
      <c r="D16" s="26"/>
      <c r="E16" s="25"/>
      <c r="F16" s="27"/>
      <c r="G16" s="23"/>
      <c r="H16" s="23"/>
      <c r="I16" s="23"/>
      <c r="J16" s="11"/>
      <c r="K16" s="11"/>
    </row>
    <row r="17" spans="2:11" x14ac:dyDescent="0.35">
      <c r="B17" s="24">
        <v>47574</v>
      </c>
      <c r="C17" s="25">
        <f>+'Cantidad Producto 1-2030'!AE10</f>
        <v>17481176</v>
      </c>
      <c r="D17" s="26"/>
      <c r="E17" s="25"/>
      <c r="F17" s="27"/>
      <c r="G17" s="23"/>
      <c r="H17" s="23"/>
      <c r="I17" s="23"/>
      <c r="J17" s="11"/>
      <c r="K17" s="11"/>
    </row>
    <row r="18" spans="2:11" x14ac:dyDescent="0.35">
      <c r="B18" s="24">
        <v>47604</v>
      </c>
      <c r="C18" s="25">
        <f>+'Cantidad Producto 1-2030'!AE11</f>
        <v>17473832</v>
      </c>
      <c r="D18" s="26"/>
      <c r="E18" s="25"/>
      <c r="F18" s="27"/>
      <c r="G18" s="23"/>
      <c r="H18" s="23"/>
      <c r="I18" s="23"/>
      <c r="J18" s="11"/>
      <c r="K18" s="11"/>
    </row>
    <row r="19" spans="2:11" x14ac:dyDescent="0.35">
      <c r="B19" s="24">
        <v>47635</v>
      </c>
      <c r="C19" s="25">
        <f>+'Cantidad Producto 1-2030'!AE12</f>
        <v>17225127</v>
      </c>
      <c r="D19" s="26"/>
      <c r="E19" s="25"/>
      <c r="F19" s="27"/>
      <c r="G19" s="23"/>
      <c r="H19" s="23"/>
      <c r="I19" s="23"/>
      <c r="J19" s="11"/>
      <c r="K19" s="11"/>
    </row>
    <row r="20" spans="2:11" x14ac:dyDescent="0.35">
      <c r="B20" s="24">
        <v>47665</v>
      </c>
      <c r="C20" s="25">
        <f>+'Cantidad Producto 1-2030'!AE13</f>
        <v>17733863</v>
      </c>
      <c r="D20" s="26"/>
      <c r="E20" s="25"/>
      <c r="F20" s="27"/>
      <c r="G20" s="23"/>
      <c r="H20" s="23"/>
      <c r="I20" s="23"/>
      <c r="J20" s="11"/>
      <c r="K20" s="11"/>
    </row>
    <row r="21" spans="2:11" x14ac:dyDescent="0.35">
      <c r="B21" s="24">
        <v>47696</v>
      </c>
      <c r="C21" s="25">
        <f>+'Cantidad Producto 1-2030'!AE14</f>
        <v>18358026</v>
      </c>
      <c r="D21" s="26"/>
      <c r="E21" s="25"/>
      <c r="F21" s="27"/>
      <c r="G21" s="23"/>
      <c r="H21" s="23"/>
      <c r="I21" s="23"/>
      <c r="J21" s="11"/>
      <c r="K21" s="11"/>
    </row>
    <row r="22" spans="2:11" x14ac:dyDescent="0.35">
      <c r="B22" s="24">
        <v>47727</v>
      </c>
      <c r="C22" s="25">
        <f>+'Cantidad Producto 1-2030'!AE15</f>
        <v>17784623</v>
      </c>
      <c r="D22" s="26"/>
      <c r="E22" s="25"/>
      <c r="F22" s="27"/>
      <c r="G22" s="23"/>
      <c r="H22" s="23"/>
      <c r="I22" s="23"/>
      <c r="J22" s="11"/>
      <c r="K22" s="11"/>
    </row>
    <row r="23" spans="2:11" x14ac:dyDescent="0.35">
      <c r="B23" s="24">
        <v>47757</v>
      </c>
      <c r="C23" s="25">
        <f>+'Cantidad Producto 1-2030'!AE16</f>
        <v>18398248</v>
      </c>
      <c r="D23" s="26"/>
      <c r="E23" s="25"/>
      <c r="F23" s="27"/>
      <c r="G23" s="23"/>
      <c r="H23" s="23"/>
      <c r="I23" s="23"/>
      <c r="J23" s="11"/>
      <c r="K23" s="11"/>
    </row>
    <row r="24" spans="2:11" x14ac:dyDescent="0.35">
      <c r="B24" s="24">
        <v>47788</v>
      </c>
      <c r="C24" s="25">
        <f>+'Cantidad Producto 1-2030'!AE17</f>
        <v>18072840</v>
      </c>
      <c r="D24" s="26"/>
      <c r="E24" s="25"/>
      <c r="F24" s="27"/>
      <c r="G24" s="23"/>
      <c r="H24" s="23"/>
      <c r="I24" s="23"/>
      <c r="J24" s="11"/>
      <c r="K24" s="11"/>
    </row>
    <row r="25" spans="2:11" x14ac:dyDescent="0.35">
      <c r="B25" s="24">
        <v>47818</v>
      </c>
      <c r="C25" s="25">
        <f>+'Cantidad Producto 1-2030'!AE18</f>
        <v>18469208</v>
      </c>
      <c r="D25" s="26"/>
      <c r="E25" s="25"/>
      <c r="F25" s="27"/>
      <c r="G25" s="23"/>
      <c r="H25" s="23"/>
      <c r="I25" s="23"/>
      <c r="J25" s="11"/>
      <c r="K25" s="11"/>
    </row>
    <row r="26" spans="2:11" x14ac:dyDescent="0.35">
      <c r="B26" s="24" t="s">
        <v>66</v>
      </c>
      <c r="C26" s="29">
        <f>SUM(C14:C25)</f>
        <v>212269661</v>
      </c>
      <c r="D26" s="30" t="s">
        <v>64</v>
      </c>
      <c r="E26" s="29"/>
      <c r="F26" s="27"/>
      <c r="G26" s="28"/>
      <c r="H26" s="11"/>
      <c r="I26" s="11"/>
      <c r="J26" s="11"/>
      <c r="K26" s="11"/>
    </row>
    <row r="27" spans="2:11" x14ac:dyDescent="0.35">
      <c r="B27" s="33" t="s">
        <v>65</v>
      </c>
      <c r="C27" s="33"/>
      <c r="D27" s="33"/>
      <c r="E27" s="33"/>
      <c r="F27" s="33"/>
      <c r="G27" s="33"/>
      <c r="H27" s="33"/>
      <c r="I27" s="33"/>
      <c r="J27" s="33"/>
      <c r="K27" s="33"/>
    </row>
    <row r="28" spans="2:11" x14ac:dyDescent="0.35">
      <c r="B28" s="44" t="s">
        <v>75</v>
      </c>
      <c r="C28" s="35"/>
      <c r="D28" s="35"/>
      <c r="E28" s="33"/>
      <c r="F28" s="33"/>
      <c r="G28" s="33"/>
      <c r="H28" s="33"/>
      <c r="I28" s="33"/>
      <c r="J28" s="33"/>
      <c r="K28" s="33"/>
    </row>
    <row r="29" spans="2:11" x14ac:dyDescent="0.35">
      <c r="B29" s="44" t="s">
        <v>82</v>
      </c>
      <c r="C29" s="36"/>
      <c r="D29" s="36"/>
      <c r="E29" s="34"/>
      <c r="F29" s="34"/>
      <c r="G29" s="34"/>
      <c r="H29" s="34"/>
      <c r="I29" s="34"/>
      <c r="J29" s="34"/>
      <c r="K29" s="34"/>
    </row>
    <row r="30" spans="2:11" x14ac:dyDescent="0.35">
      <c r="B30" s="44" t="s">
        <v>84</v>
      </c>
      <c r="C30" s="36"/>
      <c r="D30" s="36"/>
      <c r="E30" s="34"/>
      <c r="F30" s="34"/>
      <c r="G30" s="34"/>
      <c r="H30" s="34"/>
      <c r="I30" s="34"/>
      <c r="J30" s="34"/>
      <c r="K30" s="34"/>
    </row>
    <row r="31" spans="2:11" x14ac:dyDescent="0.35">
      <c r="B31" s="44" t="s">
        <v>85</v>
      </c>
      <c r="C31" s="36"/>
      <c r="D31" s="36"/>
      <c r="E31" s="34"/>
      <c r="F31" s="34"/>
      <c r="G31" s="34"/>
      <c r="H31" s="34"/>
      <c r="I31" s="34"/>
      <c r="J31" s="34"/>
      <c r="K31" s="34"/>
    </row>
    <row r="32" spans="2:11" x14ac:dyDescent="0.35">
      <c r="B32" s="44" t="s">
        <v>81</v>
      </c>
      <c r="C32" s="11"/>
      <c r="D32" s="11"/>
      <c r="E32" s="34"/>
      <c r="F32" s="34"/>
      <c r="G32" s="34"/>
      <c r="H32" s="34"/>
      <c r="I32" s="34"/>
      <c r="J32" s="34"/>
      <c r="K32" s="34"/>
    </row>
    <row r="33" spans="2:11" x14ac:dyDescent="0.35">
      <c r="B33" s="44" t="s">
        <v>80</v>
      </c>
      <c r="E33" s="35"/>
      <c r="F33" s="35"/>
      <c r="G33" s="35"/>
      <c r="H33" s="35"/>
      <c r="I33" s="35"/>
      <c r="J33" s="35"/>
      <c r="K33" s="35"/>
    </row>
    <row r="34" spans="2:11" x14ac:dyDescent="0.35">
      <c r="B34" s="45"/>
      <c r="C34" s="36"/>
      <c r="D34" s="36"/>
      <c r="E34" s="36"/>
      <c r="F34" s="36"/>
      <c r="G34" s="36"/>
      <c r="H34" s="36"/>
      <c r="I34" s="34"/>
      <c r="J34" s="34"/>
      <c r="K34" s="34"/>
    </row>
    <row r="35" spans="2:11" ht="15" thickBot="1" x14ac:dyDescent="0.4">
      <c r="B35" s="60"/>
      <c r="C35" s="36"/>
      <c r="D35" s="36"/>
      <c r="E35" s="36"/>
      <c r="F35" s="36"/>
      <c r="G35" s="36"/>
      <c r="H35" s="36"/>
      <c r="I35" s="36"/>
      <c r="J35" s="34"/>
      <c r="K35" s="34"/>
    </row>
    <row r="36" spans="2:11" x14ac:dyDescent="0.35">
      <c r="B36" s="59" t="s">
        <v>83</v>
      </c>
      <c r="C36" s="11"/>
      <c r="D36" s="37"/>
      <c r="E36" s="11"/>
      <c r="F36" s="11"/>
      <c r="G36" s="11"/>
      <c r="H36" s="11"/>
      <c r="I36" s="11"/>
      <c r="J36" s="11"/>
      <c r="K36" s="11"/>
    </row>
    <row r="37" spans="2:11" x14ac:dyDescent="0.35">
      <c r="B37" s="11"/>
      <c r="C37" s="38"/>
      <c r="D37" s="11"/>
      <c r="E37" s="11"/>
      <c r="F37" s="11"/>
      <c r="G37" s="11"/>
      <c r="H37" s="11"/>
      <c r="I37" s="11"/>
      <c r="J37" s="11"/>
      <c r="K37" s="11"/>
    </row>
    <row r="38" spans="2:11" x14ac:dyDescent="0.35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2:11" x14ac:dyDescent="0.35">
      <c r="B39" s="11"/>
      <c r="C39" s="11"/>
      <c r="D39" s="11"/>
      <c r="E39" s="11"/>
      <c r="F39" s="11"/>
      <c r="G39" s="11"/>
      <c r="H39" s="11"/>
      <c r="I39" s="11"/>
      <c r="J39" s="11"/>
      <c r="K39" s="1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1E6-6327-4476-8FBA-8E7DDB215757}">
  <dimension ref="B1:BD62"/>
  <sheetViews>
    <sheetView showGridLines="0" zoomScale="70" zoomScaleNormal="70" workbookViewId="0">
      <selection activeCell="G15" sqref="G15"/>
    </sheetView>
  </sheetViews>
  <sheetFormatPr baseColWidth="10" defaultColWidth="11.453125" defaultRowHeight="12.5" x14ac:dyDescent="0.25"/>
  <cols>
    <col min="1" max="1" width="3" style="1" customWidth="1"/>
    <col min="2" max="2" width="4.7265625" style="1" bestFit="1" customWidth="1"/>
    <col min="3" max="3" width="9.08984375" style="1" bestFit="1" customWidth="1"/>
    <col min="4" max="4" width="4.7265625" style="1" bestFit="1" customWidth="1"/>
    <col min="5" max="28" width="9.1796875" style="1" bestFit="1" customWidth="1"/>
    <col min="29" max="29" width="12.81640625" style="1" bestFit="1" customWidth="1"/>
    <col min="30" max="30" width="2.26953125" style="1" customWidth="1"/>
    <col min="31" max="31" width="14.7265625" style="1" bestFit="1" customWidth="1"/>
    <col min="32" max="257" width="11.453125" style="1"/>
    <col min="258" max="258" width="7" style="1" customWidth="1"/>
    <col min="259" max="259" width="10.7265625" style="1" customWidth="1"/>
    <col min="260" max="260" width="9.26953125" style="1" customWidth="1"/>
    <col min="261" max="284" width="7.26953125" style="1" customWidth="1"/>
    <col min="285" max="285" width="11.26953125" style="1" bestFit="1" customWidth="1"/>
    <col min="286" max="513" width="11.453125" style="1"/>
    <col min="514" max="514" width="7" style="1" customWidth="1"/>
    <col min="515" max="515" width="10.7265625" style="1" customWidth="1"/>
    <col min="516" max="516" width="9.26953125" style="1" customWidth="1"/>
    <col min="517" max="540" width="7.26953125" style="1" customWidth="1"/>
    <col min="541" max="541" width="11.26953125" style="1" bestFit="1" customWidth="1"/>
    <col min="542" max="769" width="11.453125" style="1"/>
    <col min="770" max="770" width="7" style="1" customWidth="1"/>
    <col min="771" max="771" width="10.7265625" style="1" customWidth="1"/>
    <col min="772" max="772" width="9.26953125" style="1" customWidth="1"/>
    <col min="773" max="796" width="7.26953125" style="1" customWidth="1"/>
    <col min="797" max="797" width="11.26953125" style="1" bestFit="1" customWidth="1"/>
    <col min="798" max="1025" width="11.453125" style="1"/>
    <col min="1026" max="1026" width="7" style="1" customWidth="1"/>
    <col min="1027" max="1027" width="10.7265625" style="1" customWidth="1"/>
    <col min="1028" max="1028" width="9.26953125" style="1" customWidth="1"/>
    <col min="1029" max="1052" width="7.26953125" style="1" customWidth="1"/>
    <col min="1053" max="1053" width="11.26953125" style="1" bestFit="1" customWidth="1"/>
    <col min="1054" max="1281" width="11.453125" style="1"/>
    <col min="1282" max="1282" width="7" style="1" customWidth="1"/>
    <col min="1283" max="1283" width="10.7265625" style="1" customWidth="1"/>
    <col min="1284" max="1284" width="9.26953125" style="1" customWidth="1"/>
    <col min="1285" max="1308" width="7.26953125" style="1" customWidth="1"/>
    <col min="1309" max="1309" width="11.26953125" style="1" bestFit="1" customWidth="1"/>
    <col min="1310" max="1537" width="11.453125" style="1"/>
    <col min="1538" max="1538" width="7" style="1" customWidth="1"/>
    <col min="1539" max="1539" width="10.7265625" style="1" customWidth="1"/>
    <col min="1540" max="1540" width="9.26953125" style="1" customWidth="1"/>
    <col min="1541" max="1564" width="7.26953125" style="1" customWidth="1"/>
    <col min="1565" max="1565" width="11.26953125" style="1" bestFit="1" customWidth="1"/>
    <col min="1566" max="1793" width="11.453125" style="1"/>
    <col min="1794" max="1794" width="7" style="1" customWidth="1"/>
    <col min="1795" max="1795" width="10.7265625" style="1" customWidth="1"/>
    <col min="1796" max="1796" width="9.26953125" style="1" customWidth="1"/>
    <col min="1797" max="1820" width="7.26953125" style="1" customWidth="1"/>
    <col min="1821" max="1821" width="11.26953125" style="1" bestFit="1" customWidth="1"/>
    <col min="1822" max="2049" width="11.453125" style="1"/>
    <col min="2050" max="2050" width="7" style="1" customWidth="1"/>
    <col min="2051" max="2051" width="10.7265625" style="1" customWidth="1"/>
    <col min="2052" max="2052" width="9.26953125" style="1" customWidth="1"/>
    <col min="2053" max="2076" width="7.26953125" style="1" customWidth="1"/>
    <col min="2077" max="2077" width="11.26953125" style="1" bestFit="1" customWidth="1"/>
    <col min="2078" max="2305" width="11.453125" style="1"/>
    <col min="2306" max="2306" width="7" style="1" customWidth="1"/>
    <col min="2307" max="2307" width="10.7265625" style="1" customWidth="1"/>
    <col min="2308" max="2308" width="9.26953125" style="1" customWidth="1"/>
    <col min="2309" max="2332" width="7.26953125" style="1" customWidth="1"/>
    <col min="2333" max="2333" width="11.26953125" style="1" bestFit="1" customWidth="1"/>
    <col min="2334" max="2561" width="11.453125" style="1"/>
    <col min="2562" max="2562" width="7" style="1" customWidth="1"/>
    <col min="2563" max="2563" width="10.7265625" style="1" customWidth="1"/>
    <col min="2564" max="2564" width="9.26953125" style="1" customWidth="1"/>
    <col min="2565" max="2588" width="7.26953125" style="1" customWidth="1"/>
    <col min="2589" max="2589" width="11.26953125" style="1" bestFit="1" customWidth="1"/>
    <col min="2590" max="2817" width="11.453125" style="1"/>
    <col min="2818" max="2818" width="7" style="1" customWidth="1"/>
    <col min="2819" max="2819" width="10.7265625" style="1" customWidth="1"/>
    <col min="2820" max="2820" width="9.26953125" style="1" customWidth="1"/>
    <col min="2821" max="2844" width="7.26953125" style="1" customWidth="1"/>
    <col min="2845" max="2845" width="11.26953125" style="1" bestFit="1" customWidth="1"/>
    <col min="2846" max="3073" width="11.453125" style="1"/>
    <col min="3074" max="3074" width="7" style="1" customWidth="1"/>
    <col min="3075" max="3075" width="10.7265625" style="1" customWidth="1"/>
    <col min="3076" max="3076" width="9.26953125" style="1" customWidth="1"/>
    <col min="3077" max="3100" width="7.26953125" style="1" customWidth="1"/>
    <col min="3101" max="3101" width="11.26953125" style="1" bestFit="1" customWidth="1"/>
    <col min="3102" max="3329" width="11.453125" style="1"/>
    <col min="3330" max="3330" width="7" style="1" customWidth="1"/>
    <col min="3331" max="3331" width="10.7265625" style="1" customWidth="1"/>
    <col min="3332" max="3332" width="9.26953125" style="1" customWidth="1"/>
    <col min="3333" max="3356" width="7.26953125" style="1" customWidth="1"/>
    <col min="3357" max="3357" width="11.26953125" style="1" bestFit="1" customWidth="1"/>
    <col min="3358" max="3585" width="11.453125" style="1"/>
    <col min="3586" max="3586" width="7" style="1" customWidth="1"/>
    <col min="3587" max="3587" width="10.7265625" style="1" customWidth="1"/>
    <col min="3588" max="3588" width="9.26953125" style="1" customWidth="1"/>
    <col min="3589" max="3612" width="7.26953125" style="1" customWidth="1"/>
    <col min="3613" max="3613" width="11.26953125" style="1" bestFit="1" customWidth="1"/>
    <col min="3614" max="3841" width="11.453125" style="1"/>
    <col min="3842" max="3842" width="7" style="1" customWidth="1"/>
    <col min="3843" max="3843" width="10.7265625" style="1" customWidth="1"/>
    <col min="3844" max="3844" width="9.26953125" style="1" customWidth="1"/>
    <col min="3845" max="3868" width="7.26953125" style="1" customWidth="1"/>
    <col min="3869" max="3869" width="11.26953125" style="1" bestFit="1" customWidth="1"/>
    <col min="3870" max="4097" width="11.453125" style="1"/>
    <col min="4098" max="4098" width="7" style="1" customWidth="1"/>
    <col min="4099" max="4099" width="10.7265625" style="1" customWidth="1"/>
    <col min="4100" max="4100" width="9.26953125" style="1" customWidth="1"/>
    <col min="4101" max="4124" width="7.26953125" style="1" customWidth="1"/>
    <col min="4125" max="4125" width="11.26953125" style="1" bestFit="1" customWidth="1"/>
    <col min="4126" max="4353" width="11.453125" style="1"/>
    <col min="4354" max="4354" width="7" style="1" customWidth="1"/>
    <col min="4355" max="4355" width="10.7265625" style="1" customWidth="1"/>
    <col min="4356" max="4356" width="9.26953125" style="1" customWidth="1"/>
    <col min="4357" max="4380" width="7.26953125" style="1" customWidth="1"/>
    <col min="4381" max="4381" width="11.26953125" style="1" bestFit="1" customWidth="1"/>
    <col min="4382" max="4609" width="11.453125" style="1"/>
    <col min="4610" max="4610" width="7" style="1" customWidth="1"/>
    <col min="4611" max="4611" width="10.7265625" style="1" customWidth="1"/>
    <col min="4612" max="4612" width="9.26953125" style="1" customWidth="1"/>
    <col min="4613" max="4636" width="7.26953125" style="1" customWidth="1"/>
    <col min="4637" max="4637" width="11.26953125" style="1" bestFit="1" customWidth="1"/>
    <col min="4638" max="4865" width="11.453125" style="1"/>
    <col min="4866" max="4866" width="7" style="1" customWidth="1"/>
    <col min="4867" max="4867" width="10.7265625" style="1" customWidth="1"/>
    <col min="4868" max="4868" width="9.26953125" style="1" customWidth="1"/>
    <col min="4869" max="4892" width="7.26953125" style="1" customWidth="1"/>
    <col min="4893" max="4893" width="11.26953125" style="1" bestFit="1" customWidth="1"/>
    <col min="4894" max="5121" width="11.453125" style="1"/>
    <col min="5122" max="5122" width="7" style="1" customWidth="1"/>
    <col min="5123" max="5123" width="10.7265625" style="1" customWidth="1"/>
    <col min="5124" max="5124" width="9.26953125" style="1" customWidth="1"/>
    <col min="5125" max="5148" width="7.26953125" style="1" customWidth="1"/>
    <col min="5149" max="5149" width="11.26953125" style="1" bestFit="1" customWidth="1"/>
    <col min="5150" max="5377" width="11.453125" style="1"/>
    <col min="5378" max="5378" width="7" style="1" customWidth="1"/>
    <col min="5379" max="5379" width="10.7265625" style="1" customWidth="1"/>
    <col min="5380" max="5380" width="9.26953125" style="1" customWidth="1"/>
    <col min="5381" max="5404" width="7.26953125" style="1" customWidth="1"/>
    <col min="5405" max="5405" width="11.26953125" style="1" bestFit="1" customWidth="1"/>
    <col min="5406" max="5633" width="11.453125" style="1"/>
    <col min="5634" max="5634" width="7" style="1" customWidth="1"/>
    <col min="5635" max="5635" width="10.7265625" style="1" customWidth="1"/>
    <col min="5636" max="5636" width="9.26953125" style="1" customWidth="1"/>
    <col min="5637" max="5660" width="7.26953125" style="1" customWidth="1"/>
    <col min="5661" max="5661" width="11.26953125" style="1" bestFit="1" customWidth="1"/>
    <col min="5662" max="5889" width="11.453125" style="1"/>
    <col min="5890" max="5890" width="7" style="1" customWidth="1"/>
    <col min="5891" max="5891" width="10.7265625" style="1" customWidth="1"/>
    <col min="5892" max="5892" width="9.26953125" style="1" customWidth="1"/>
    <col min="5893" max="5916" width="7.26953125" style="1" customWidth="1"/>
    <col min="5917" max="5917" width="11.26953125" style="1" bestFit="1" customWidth="1"/>
    <col min="5918" max="6145" width="11.453125" style="1"/>
    <col min="6146" max="6146" width="7" style="1" customWidth="1"/>
    <col min="6147" max="6147" width="10.7265625" style="1" customWidth="1"/>
    <col min="6148" max="6148" width="9.26953125" style="1" customWidth="1"/>
    <col min="6149" max="6172" width="7.26953125" style="1" customWidth="1"/>
    <col min="6173" max="6173" width="11.26953125" style="1" bestFit="1" customWidth="1"/>
    <col min="6174" max="6401" width="11.453125" style="1"/>
    <col min="6402" max="6402" width="7" style="1" customWidth="1"/>
    <col min="6403" max="6403" width="10.7265625" style="1" customWidth="1"/>
    <col min="6404" max="6404" width="9.26953125" style="1" customWidth="1"/>
    <col min="6405" max="6428" width="7.26953125" style="1" customWidth="1"/>
    <col min="6429" max="6429" width="11.26953125" style="1" bestFit="1" customWidth="1"/>
    <col min="6430" max="6657" width="11.453125" style="1"/>
    <col min="6658" max="6658" width="7" style="1" customWidth="1"/>
    <col min="6659" max="6659" width="10.7265625" style="1" customWidth="1"/>
    <col min="6660" max="6660" width="9.26953125" style="1" customWidth="1"/>
    <col min="6661" max="6684" width="7.26953125" style="1" customWidth="1"/>
    <col min="6685" max="6685" width="11.26953125" style="1" bestFit="1" customWidth="1"/>
    <col min="6686" max="6913" width="11.453125" style="1"/>
    <col min="6914" max="6914" width="7" style="1" customWidth="1"/>
    <col min="6915" max="6915" width="10.7265625" style="1" customWidth="1"/>
    <col min="6916" max="6916" width="9.26953125" style="1" customWidth="1"/>
    <col min="6917" max="6940" width="7.26953125" style="1" customWidth="1"/>
    <col min="6941" max="6941" width="11.26953125" style="1" bestFit="1" customWidth="1"/>
    <col min="6942" max="7169" width="11.453125" style="1"/>
    <col min="7170" max="7170" width="7" style="1" customWidth="1"/>
    <col min="7171" max="7171" width="10.7265625" style="1" customWidth="1"/>
    <col min="7172" max="7172" width="9.26953125" style="1" customWidth="1"/>
    <col min="7173" max="7196" width="7.26953125" style="1" customWidth="1"/>
    <col min="7197" max="7197" width="11.26953125" style="1" bestFit="1" customWidth="1"/>
    <col min="7198" max="7425" width="11.453125" style="1"/>
    <col min="7426" max="7426" width="7" style="1" customWidth="1"/>
    <col min="7427" max="7427" width="10.7265625" style="1" customWidth="1"/>
    <col min="7428" max="7428" width="9.26953125" style="1" customWidth="1"/>
    <col min="7429" max="7452" width="7.26953125" style="1" customWidth="1"/>
    <col min="7453" max="7453" width="11.26953125" style="1" bestFit="1" customWidth="1"/>
    <col min="7454" max="7681" width="11.453125" style="1"/>
    <col min="7682" max="7682" width="7" style="1" customWidth="1"/>
    <col min="7683" max="7683" width="10.7265625" style="1" customWidth="1"/>
    <col min="7684" max="7684" width="9.26953125" style="1" customWidth="1"/>
    <col min="7685" max="7708" width="7.26953125" style="1" customWidth="1"/>
    <col min="7709" max="7709" width="11.26953125" style="1" bestFit="1" customWidth="1"/>
    <col min="7710" max="7937" width="11.453125" style="1"/>
    <col min="7938" max="7938" width="7" style="1" customWidth="1"/>
    <col min="7939" max="7939" width="10.7265625" style="1" customWidth="1"/>
    <col min="7940" max="7940" width="9.26953125" style="1" customWidth="1"/>
    <col min="7941" max="7964" width="7.26953125" style="1" customWidth="1"/>
    <col min="7965" max="7965" width="11.26953125" style="1" bestFit="1" customWidth="1"/>
    <col min="7966" max="8193" width="11.453125" style="1"/>
    <col min="8194" max="8194" width="7" style="1" customWidth="1"/>
    <col min="8195" max="8195" width="10.7265625" style="1" customWidth="1"/>
    <col min="8196" max="8196" width="9.26953125" style="1" customWidth="1"/>
    <col min="8197" max="8220" width="7.26953125" style="1" customWidth="1"/>
    <col min="8221" max="8221" width="11.26953125" style="1" bestFit="1" customWidth="1"/>
    <col min="8222" max="8449" width="11.453125" style="1"/>
    <col min="8450" max="8450" width="7" style="1" customWidth="1"/>
    <col min="8451" max="8451" width="10.7265625" style="1" customWidth="1"/>
    <col min="8452" max="8452" width="9.26953125" style="1" customWidth="1"/>
    <col min="8453" max="8476" width="7.26953125" style="1" customWidth="1"/>
    <col min="8477" max="8477" width="11.26953125" style="1" bestFit="1" customWidth="1"/>
    <col min="8478" max="8705" width="11.453125" style="1"/>
    <col min="8706" max="8706" width="7" style="1" customWidth="1"/>
    <col min="8707" max="8707" width="10.7265625" style="1" customWidth="1"/>
    <col min="8708" max="8708" width="9.26953125" style="1" customWidth="1"/>
    <col min="8709" max="8732" width="7.26953125" style="1" customWidth="1"/>
    <col min="8733" max="8733" width="11.26953125" style="1" bestFit="1" customWidth="1"/>
    <col min="8734" max="8961" width="11.453125" style="1"/>
    <col min="8962" max="8962" width="7" style="1" customWidth="1"/>
    <col min="8963" max="8963" width="10.7265625" style="1" customWidth="1"/>
    <col min="8964" max="8964" width="9.26953125" style="1" customWidth="1"/>
    <col min="8965" max="8988" width="7.26953125" style="1" customWidth="1"/>
    <col min="8989" max="8989" width="11.26953125" style="1" bestFit="1" customWidth="1"/>
    <col min="8990" max="9217" width="11.453125" style="1"/>
    <col min="9218" max="9218" width="7" style="1" customWidth="1"/>
    <col min="9219" max="9219" width="10.7265625" style="1" customWidth="1"/>
    <col min="9220" max="9220" width="9.26953125" style="1" customWidth="1"/>
    <col min="9221" max="9244" width="7.26953125" style="1" customWidth="1"/>
    <col min="9245" max="9245" width="11.26953125" style="1" bestFit="1" customWidth="1"/>
    <col min="9246" max="9473" width="11.453125" style="1"/>
    <col min="9474" max="9474" width="7" style="1" customWidth="1"/>
    <col min="9475" max="9475" width="10.7265625" style="1" customWidth="1"/>
    <col min="9476" max="9476" width="9.26953125" style="1" customWidth="1"/>
    <col min="9477" max="9500" width="7.26953125" style="1" customWidth="1"/>
    <col min="9501" max="9501" width="11.26953125" style="1" bestFit="1" customWidth="1"/>
    <col min="9502" max="9729" width="11.453125" style="1"/>
    <col min="9730" max="9730" width="7" style="1" customWidth="1"/>
    <col min="9731" max="9731" width="10.7265625" style="1" customWidth="1"/>
    <col min="9732" max="9732" width="9.26953125" style="1" customWidth="1"/>
    <col min="9733" max="9756" width="7.26953125" style="1" customWidth="1"/>
    <col min="9757" max="9757" width="11.26953125" style="1" bestFit="1" customWidth="1"/>
    <col min="9758" max="9985" width="11.453125" style="1"/>
    <col min="9986" max="9986" width="7" style="1" customWidth="1"/>
    <col min="9987" max="9987" width="10.7265625" style="1" customWidth="1"/>
    <col min="9988" max="9988" width="9.26953125" style="1" customWidth="1"/>
    <col min="9989" max="10012" width="7.26953125" style="1" customWidth="1"/>
    <col min="10013" max="10013" width="11.26953125" style="1" bestFit="1" customWidth="1"/>
    <col min="10014" max="10241" width="11.453125" style="1"/>
    <col min="10242" max="10242" width="7" style="1" customWidth="1"/>
    <col min="10243" max="10243" width="10.7265625" style="1" customWidth="1"/>
    <col min="10244" max="10244" width="9.26953125" style="1" customWidth="1"/>
    <col min="10245" max="10268" width="7.26953125" style="1" customWidth="1"/>
    <col min="10269" max="10269" width="11.26953125" style="1" bestFit="1" customWidth="1"/>
    <col min="10270" max="10497" width="11.453125" style="1"/>
    <col min="10498" max="10498" width="7" style="1" customWidth="1"/>
    <col min="10499" max="10499" width="10.7265625" style="1" customWidth="1"/>
    <col min="10500" max="10500" width="9.26953125" style="1" customWidth="1"/>
    <col min="10501" max="10524" width="7.26953125" style="1" customWidth="1"/>
    <col min="10525" max="10525" width="11.26953125" style="1" bestFit="1" customWidth="1"/>
    <col min="10526" max="10753" width="11.453125" style="1"/>
    <col min="10754" max="10754" width="7" style="1" customWidth="1"/>
    <col min="10755" max="10755" width="10.7265625" style="1" customWidth="1"/>
    <col min="10756" max="10756" width="9.26953125" style="1" customWidth="1"/>
    <col min="10757" max="10780" width="7.26953125" style="1" customWidth="1"/>
    <col min="10781" max="10781" width="11.26953125" style="1" bestFit="1" customWidth="1"/>
    <col min="10782" max="11009" width="11.453125" style="1"/>
    <col min="11010" max="11010" width="7" style="1" customWidth="1"/>
    <col min="11011" max="11011" width="10.7265625" style="1" customWidth="1"/>
    <col min="11012" max="11012" width="9.26953125" style="1" customWidth="1"/>
    <col min="11013" max="11036" width="7.26953125" style="1" customWidth="1"/>
    <col min="11037" max="11037" width="11.26953125" style="1" bestFit="1" customWidth="1"/>
    <col min="11038" max="11265" width="11.453125" style="1"/>
    <col min="11266" max="11266" width="7" style="1" customWidth="1"/>
    <col min="11267" max="11267" width="10.7265625" style="1" customWidth="1"/>
    <col min="11268" max="11268" width="9.26953125" style="1" customWidth="1"/>
    <col min="11269" max="11292" width="7.26953125" style="1" customWidth="1"/>
    <col min="11293" max="11293" width="11.26953125" style="1" bestFit="1" customWidth="1"/>
    <col min="11294" max="11521" width="11.453125" style="1"/>
    <col min="11522" max="11522" width="7" style="1" customWidth="1"/>
    <col min="11523" max="11523" width="10.7265625" style="1" customWidth="1"/>
    <col min="11524" max="11524" width="9.26953125" style="1" customWidth="1"/>
    <col min="11525" max="11548" width="7.26953125" style="1" customWidth="1"/>
    <col min="11549" max="11549" width="11.26953125" style="1" bestFit="1" customWidth="1"/>
    <col min="11550" max="11777" width="11.453125" style="1"/>
    <col min="11778" max="11778" width="7" style="1" customWidth="1"/>
    <col min="11779" max="11779" width="10.7265625" style="1" customWidth="1"/>
    <col min="11780" max="11780" width="9.26953125" style="1" customWidth="1"/>
    <col min="11781" max="11804" width="7.26953125" style="1" customWidth="1"/>
    <col min="11805" max="11805" width="11.26953125" style="1" bestFit="1" customWidth="1"/>
    <col min="11806" max="12033" width="11.453125" style="1"/>
    <col min="12034" max="12034" width="7" style="1" customWidth="1"/>
    <col min="12035" max="12035" width="10.7265625" style="1" customWidth="1"/>
    <col min="12036" max="12036" width="9.26953125" style="1" customWidth="1"/>
    <col min="12037" max="12060" width="7.26953125" style="1" customWidth="1"/>
    <col min="12061" max="12061" width="11.26953125" style="1" bestFit="1" customWidth="1"/>
    <col min="12062" max="12289" width="11.453125" style="1"/>
    <col min="12290" max="12290" width="7" style="1" customWidth="1"/>
    <col min="12291" max="12291" width="10.7265625" style="1" customWidth="1"/>
    <col min="12292" max="12292" width="9.26953125" style="1" customWidth="1"/>
    <col min="12293" max="12316" width="7.26953125" style="1" customWidth="1"/>
    <col min="12317" max="12317" width="11.26953125" style="1" bestFit="1" customWidth="1"/>
    <col min="12318" max="12545" width="11.453125" style="1"/>
    <col min="12546" max="12546" width="7" style="1" customWidth="1"/>
    <col min="12547" max="12547" width="10.7265625" style="1" customWidth="1"/>
    <col min="12548" max="12548" width="9.26953125" style="1" customWidth="1"/>
    <col min="12549" max="12572" width="7.26953125" style="1" customWidth="1"/>
    <col min="12573" max="12573" width="11.26953125" style="1" bestFit="1" customWidth="1"/>
    <col min="12574" max="12801" width="11.453125" style="1"/>
    <col min="12802" max="12802" width="7" style="1" customWidth="1"/>
    <col min="12803" max="12803" width="10.7265625" style="1" customWidth="1"/>
    <col min="12804" max="12804" width="9.26953125" style="1" customWidth="1"/>
    <col min="12805" max="12828" width="7.26953125" style="1" customWidth="1"/>
    <col min="12829" max="12829" width="11.26953125" style="1" bestFit="1" customWidth="1"/>
    <col min="12830" max="13057" width="11.453125" style="1"/>
    <col min="13058" max="13058" width="7" style="1" customWidth="1"/>
    <col min="13059" max="13059" width="10.7265625" style="1" customWidth="1"/>
    <col min="13060" max="13060" width="9.26953125" style="1" customWidth="1"/>
    <col min="13061" max="13084" width="7.26953125" style="1" customWidth="1"/>
    <col min="13085" max="13085" width="11.26953125" style="1" bestFit="1" customWidth="1"/>
    <col min="13086" max="13313" width="11.453125" style="1"/>
    <col min="13314" max="13314" width="7" style="1" customWidth="1"/>
    <col min="13315" max="13315" width="10.7265625" style="1" customWidth="1"/>
    <col min="13316" max="13316" width="9.26953125" style="1" customWidth="1"/>
    <col min="13317" max="13340" width="7.26953125" style="1" customWidth="1"/>
    <col min="13341" max="13341" width="11.26953125" style="1" bestFit="1" customWidth="1"/>
    <col min="13342" max="13569" width="11.453125" style="1"/>
    <col min="13570" max="13570" width="7" style="1" customWidth="1"/>
    <col min="13571" max="13571" width="10.7265625" style="1" customWidth="1"/>
    <col min="13572" max="13572" width="9.26953125" style="1" customWidth="1"/>
    <col min="13573" max="13596" width="7.26953125" style="1" customWidth="1"/>
    <col min="13597" max="13597" width="11.26953125" style="1" bestFit="1" customWidth="1"/>
    <col min="13598" max="13825" width="11.453125" style="1"/>
    <col min="13826" max="13826" width="7" style="1" customWidth="1"/>
    <col min="13827" max="13827" width="10.7265625" style="1" customWidth="1"/>
    <col min="13828" max="13828" width="9.26953125" style="1" customWidth="1"/>
    <col min="13829" max="13852" width="7.26953125" style="1" customWidth="1"/>
    <col min="13853" max="13853" width="11.26953125" style="1" bestFit="1" customWidth="1"/>
    <col min="13854" max="14081" width="11.453125" style="1"/>
    <col min="14082" max="14082" width="7" style="1" customWidth="1"/>
    <col min="14083" max="14083" width="10.7265625" style="1" customWidth="1"/>
    <col min="14084" max="14084" width="9.26953125" style="1" customWidth="1"/>
    <col min="14085" max="14108" width="7.26953125" style="1" customWidth="1"/>
    <col min="14109" max="14109" width="11.26953125" style="1" bestFit="1" customWidth="1"/>
    <col min="14110" max="14337" width="11.453125" style="1"/>
    <col min="14338" max="14338" width="7" style="1" customWidth="1"/>
    <col min="14339" max="14339" width="10.7265625" style="1" customWidth="1"/>
    <col min="14340" max="14340" width="9.26953125" style="1" customWidth="1"/>
    <col min="14341" max="14364" width="7.26953125" style="1" customWidth="1"/>
    <col min="14365" max="14365" width="11.26953125" style="1" bestFit="1" customWidth="1"/>
    <col min="14366" max="14593" width="11.453125" style="1"/>
    <col min="14594" max="14594" width="7" style="1" customWidth="1"/>
    <col min="14595" max="14595" width="10.7265625" style="1" customWidth="1"/>
    <col min="14596" max="14596" width="9.26953125" style="1" customWidth="1"/>
    <col min="14597" max="14620" width="7.26953125" style="1" customWidth="1"/>
    <col min="14621" max="14621" width="11.26953125" style="1" bestFit="1" customWidth="1"/>
    <col min="14622" max="14849" width="11.453125" style="1"/>
    <col min="14850" max="14850" width="7" style="1" customWidth="1"/>
    <col min="14851" max="14851" width="10.7265625" style="1" customWidth="1"/>
    <col min="14852" max="14852" width="9.26953125" style="1" customWidth="1"/>
    <col min="14853" max="14876" width="7.26953125" style="1" customWidth="1"/>
    <col min="14877" max="14877" width="11.26953125" style="1" bestFit="1" customWidth="1"/>
    <col min="14878" max="15105" width="11.453125" style="1"/>
    <col min="15106" max="15106" width="7" style="1" customWidth="1"/>
    <col min="15107" max="15107" width="10.7265625" style="1" customWidth="1"/>
    <col min="15108" max="15108" width="9.26953125" style="1" customWidth="1"/>
    <col min="15109" max="15132" width="7.26953125" style="1" customWidth="1"/>
    <col min="15133" max="15133" width="11.26953125" style="1" bestFit="1" customWidth="1"/>
    <col min="15134" max="15361" width="11.453125" style="1"/>
    <col min="15362" max="15362" width="7" style="1" customWidth="1"/>
    <col min="15363" max="15363" width="10.7265625" style="1" customWidth="1"/>
    <col min="15364" max="15364" width="9.26953125" style="1" customWidth="1"/>
    <col min="15365" max="15388" width="7.26953125" style="1" customWidth="1"/>
    <col min="15389" max="15389" width="11.26953125" style="1" bestFit="1" customWidth="1"/>
    <col min="15390" max="15617" width="11.453125" style="1"/>
    <col min="15618" max="15618" width="7" style="1" customWidth="1"/>
    <col min="15619" max="15619" width="10.7265625" style="1" customWidth="1"/>
    <col min="15620" max="15620" width="9.26953125" style="1" customWidth="1"/>
    <col min="15621" max="15644" width="7.26953125" style="1" customWidth="1"/>
    <col min="15645" max="15645" width="11.26953125" style="1" bestFit="1" customWidth="1"/>
    <col min="15646" max="15873" width="11.453125" style="1"/>
    <col min="15874" max="15874" width="7" style="1" customWidth="1"/>
    <col min="15875" max="15875" width="10.7265625" style="1" customWidth="1"/>
    <col min="15876" max="15876" width="9.26953125" style="1" customWidth="1"/>
    <col min="15877" max="15900" width="7.26953125" style="1" customWidth="1"/>
    <col min="15901" max="15901" width="11.26953125" style="1" bestFit="1" customWidth="1"/>
    <col min="15902" max="16129" width="11.453125" style="1"/>
    <col min="16130" max="16130" width="7" style="1" customWidth="1"/>
    <col min="16131" max="16131" width="10.7265625" style="1" customWidth="1"/>
    <col min="16132" max="16132" width="9.26953125" style="1" customWidth="1"/>
    <col min="16133" max="16156" width="7.26953125" style="1" customWidth="1"/>
    <col min="16157" max="16157" width="11.26953125" style="1" bestFit="1" customWidth="1"/>
    <col min="16158" max="16384" width="11.453125" style="1"/>
  </cols>
  <sheetData>
    <row r="1" spans="2:56" ht="18.649999999999999" customHeight="1" x14ac:dyDescent="0.25"/>
    <row r="2" spans="2:56" ht="18.649999999999999" customHeight="1" x14ac:dyDescent="0.3">
      <c r="B2" s="62" t="s">
        <v>45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2:56" ht="18.649999999999999" customHeight="1" x14ac:dyDescent="0.3">
      <c r="B3" s="62" t="s">
        <v>44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spans="2:56" ht="18.649999999999999" customHeight="1" x14ac:dyDescent="0.3">
      <c r="B4" s="62">
        <v>2027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</row>
    <row r="5" spans="2:56" ht="18.649999999999999" customHeight="1" x14ac:dyDescent="0.25"/>
    <row r="6" spans="2:56" ht="30" customHeight="1" x14ac:dyDescent="0.25">
      <c r="B6" s="8" t="s">
        <v>0</v>
      </c>
      <c r="C6" s="50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8" t="s">
        <v>27</v>
      </c>
    </row>
    <row r="7" spans="2:56" x14ac:dyDescent="0.25">
      <c r="B7" s="61" t="s">
        <v>28</v>
      </c>
      <c r="C7" s="4" t="s">
        <v>29</v>
      </c>
      <c r="D7" s="5">
        <v>19</v>
      </c>
      <c r="E7" s="49">
        <v>13796</v>
      </c>
      <c r="F7" s="49">
        <v>12943</v>
      </c>
      <c r="G7" s="49">
        <v>12563</v>
      </c>
      <c r="H7" s="49">
        <v>12276</v>
      </c>
      <c r="I7" s="49">
        <v>12326</v>
      </c>
      <c r="J7" s="49">
        <v>12789</v>
      </c>
      <c r="K7" s="49">
        <v>11767</v>
      </c>
      <c r="L7" s="49">
        <v>19683</v>
      </c>
      <c r="M7" s="49">
        <v>20643</v>
      </c>
      <c r="N7" s="49">
        <v>21442</v>
      </c>
      <c r="O7" s="49">
        <v>22028</v>
      </c>
      <c r="P7" s="49">
        <v>22778</v>
      </c>
      <c r="Q7" s="49">
        <v>23516</v>
      </c>
      <c r="R7" s="49">
        <v>23331</v>
      </c>
      <c r="S7" s="49">
        <v>23244</v>
      </c>
      <c r="T7" s="49">
        <v>23145</v>
      </c>
      <c r="U7" s="49">
        <v>22647</v>
      </c>
      <c r="V7" s="49">
        <v>17257</v>
      </c>
      <c r="W7" s="49">
        <v>19408</v>
      </c>
      <c r="X7" s="49">
        <v>21054</v>
      </c>
      <c r="Y7" s="49">
        <v>20602</v>
      </c>
      <c r="Z7" s="49">
        <v>19353</v>
      </c>
      <c r="AA7" s="49">
        <v>17197</v>
      </c>
      <c r="AB7" s="49">
        <v>15578</v>
      </c>
      <c r="AC7" s="55">
        <v>14155456</v>
      </c>
      <c r="AE7" s="51">
        <f>((+AC7)*1000)/1000</f>
        <v>14155456</v>
      </c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</row>
    <row r="8" spans="2:56" ht="18.649999999999999" customHeight="1" x14ac:dyDescent="0.25">
      <c r="B8" s="61" t="s">
        <v>28</v>
      </c>
      <c r="C8" s="4" t="s">
        <v>30</v>
      </c>
      <c r="D8" s="5">
        <v>5</v>
      </c>
      <c r="E8" s="49">
        <v>12659</v>
      </c>
      <c r="F8" s="49">
        <v>12166</v>
      </c>
      <c r="G8" s="49">
        <v>12029</v>
      </c>
      <c r="H8" s="49">
        <v>11962</v>
      </c>
      <c r="I8" s="49">
        <v>12587</v>
      </c>
      <c r="J8" s="49">
        <v>15021</v>
      </c>
      <c r="K8" s="49">
        <v>15429</v>
      </c>
      <c r="L8" s="49">
        <v>22563</v>
      </c>
      <c r="M8" s="49">
        <v>22325</v>
      </c>
      <c r="N8" s="49">
        <v>22915</v>
      </c>
      <c r="O8" s="49">
        <v>23751</v>
      </c>
      <c r="P8" s="49">
        <v>25239</v>
      </c>
      <c r="Q8" s="49">
        <v>25020</v>
      </c>
      <c r="R8" s="49">
        <v>25220</v>
      </c>
      <c r="S8" s="49">
        <v>25956</v>
      </c>
      <c r="T8" s="49">
        <v>26222</v>
      </c>
      <c r="U8" s="49">
        <v>25796</v>
      </c>
      <c r="V8" s="49">
        <v>20071</v>
      </c>
      <c r="W8" s="49">
        <v>22190</v>
      </c>
      <c r="X8" s="49">
        <v>23559</v>
      </c>
      <c r="Y8" s="49">
        <v>22732</v>
      </c>
      <c r="Z8" s="49">
        <v>20937</v>
      </c>
      <c r="AA8" s="49">
        <v>17716</v>
      </c>
      <c r="AB8" s="49">
        <v>14852</v>
      </c>
      <c r="AC8" s="56"/>
      <c r="AE8" s="51">
        <f>((+AC11)*1000)/1000</f>
        <v>13137748</v>
      </c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</row>
    <row r="9" spans="2:56" x14ac:dyDescent="0.25">
      <c r="B9" s="61" t="s">
        <v>28</v>
      </c>
      <c r="C9" s="4" t="s">
        <v>31</v>
      </c>
      <c r="D9" s="5">
        <v>5</v>
      </c>
      <c r="E9" s="49">
        <v>12501</v>
      </c>
      <c r="F9" s="49">
        <v>12103</v>
      </c>
      <c r="G9" s="49">
        <v>11937</v>
      </c>
      <c r="H9" s="49">
        <v>12064</v>
      </c>
      <c r="I9" s="49">
        <v>13037</v>
      </c>
      <c r="J9" s="49">
        <v>16014</v>
      </c>
      <c r="K9" s="49">
        <v>17913</v>
      </c>
      <c r="L9" s="49">
        <v>25427</v>
      </c>
      <c r="M9" s="49">
        <v>25277</v>
      </c>
      <c r="N9" s="49">
        <v>25554</v>
      </c>
      <c r="O9" s="49">
        <v>26323</v>
      </c>
      <c r="P9" s="49">
        <v>28001</v>
      </c>
      <c r="Q9" s="49">
        <v>27082</v>
      </c>
      <c r="R9" s="49">
        <v>26518</v>
      </c>
      <c r="S9" s="49">
        <v>27237</v>
      </c>
      <c r="T9" s="49">
        <v>27396</v>
      </c>
      <c r="U9" s="49">
        <v>26880</v>
      </c>
      <c r="V9" s="49">
        <v>21809</v>
      </c>
      <c r="W9" s="49">
        <v>24258</v>
      </c>
      <c r="X9" s="49">
        <v>24458</v>
      </c>
      <c r="Y9" s="49">
        <v>23155</v>
      </c>
      <c r="Z9" s="49">
        <v>21502</v>
      </c>
      <c r="AA9" s="49">
        <v>18804</v>
      </c>
      <c r="AB9" s="49">
        <v>16979</v>
      </c>
      <c r="AC9" s="56"/>
      <c r="AE9" s="51">
        <f>((+AC15)*1000)/1000</f>
        <v>13819567</v>
      </c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</row>
    <row r="10" spans="2:56" ht="18.649999999999999" customHeight="1" x14ac:dyDescent="0.25">
      <c r="B10" s="61" t="s">
        <v>28</v>
      </c>
      <c r="C10" s="4" t="s">
        <v>32</v>
      </c>
      <c r="D10" s="5">
        <v>2</v>
      </c>
      <c r="E10" s="49">
        <v>13201</v>
      </c>
      <c r="F10" s="49">
        <v>12740</v>
      </c>
      <c r="G10" s="49">
        <v>12153</v>
      </c>
      <c r="H10" s="49">
        <v>11696</v>
      </c>
      <c r="I10" s="49">
        <v>11586</v>
      </c>
      <c r="J10" s="49">
        <v>11556</v>
      </c>
      <c r="K10" s="49">
        <v>10885</v>
      </c>
      <c r="L10" s="49">
        <v>17526</v>
      </c>
      <c r="M10" s="49">
        <v>18629</v>
      </c>
      <c r="N10" s="49">
        <v>19372</v>
      </c>
      <c r="O10" s="49">
        <v>20127</v>
      </c>
      <c r="P10" s="49">
        <v>20492</v>
      </c>
      <c r="Q10" s="49">
        <v>21296</v>
      </c>
      <c r="R10" s="49">
        <v>21052</v>
      </c>
      <c r="S10" s="49">
        <v>20980</v>
      </c>
      <c r="T10" s="49">
        <v>20747</v>
      </c>
      <c r="U10" s="49">
        <v>20427</v>
      </c>
      <c r="V10" s="49">
        <v>15712</v>
      </c>
      <c r="W10" s="49">
        <v>18621</v>
      </c>
      <c r="X10" s="49">
        <v>19559</v>
      </c>
      <c r="Y10" s="49">
        <v>18892</v>
      </c>
      <c r="Z10" s="49">
        <v>17914</v>
      </c>
      <c r="AA10" s="49">
        <v>16693</v>
      </c>
      <c r="AB10" s="49">
        <v>15030</v>
      </c>
      <c r="AC10" s="57"/>
      <c r="AE10" s="51">
        <f>((+AC19)*1000)/1000</f>
        <v>13943586</v>
      </c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</row>
    <row r="11" spans="2:56" x14ac:dyDescent="0.25">
      <c r="B11" s="61" t="s">
        <v>33</v>
      </c>
      <c r="C11" s="4" t="s">
        <v>29</v>
      </c>
      <c r="D11" s="5">
        <v>20</v>
      </c>
      <c r="E11" s="49">
        <v>11601</v>
      </c>
      <c r="F11" s="49">
        <v>11458</v>
      </c>
      <c r="G11" s="49">
        <v>11042</v>
      </c>
      <c r="H11" s="49">
        <v>11349</v>
      </c>
      <c r="I11" s="49">
        <v>11614</v>
      </c>
      <c r="J11" s="49">
        <v>15585</v>
      </c>
      <c r="K11" s="49">
        <v>17397</v>
      </c>
      <c r="L11" s="49">
        <v>24609</v>
      </c>
      <c r="M11" s="49">
        <v>24218</v>
      </c>
      <c r="N11" s="49">
        <v>24180</v>
      </c>
      <c r="O11" s="49">
        <v>24851</v>
      </c>
      <c r="P11" s="49">
        <v>25558</v>
      </c>
      <c r="Q11" s="49">
        <v>24988</v>
      </c>
      <c r="R11" s="49">
        <v>24992</v>
      </c>
      <c r="S11" s="49">
        <v>25585</v>
      </c>
      <c r="T11" s="49">
        <v>25943</v>
      </c>
      <c r="U11" s="49">
        <v>25705</v>
      </c>
      <c r="V11" s="49">
        <v>20130</v>
      </c>
      <c r="W11" s="49">
        <v>22334</v>
      </c>
      <c r="X11" s="49">
        <v>22746</v>
      </c>
      <c r="Y11" s="49">
        <v>21749</v>
      </c>
      <c r="Z11" s="49">
        <v>19786</v>
      </c>
      <c r="AA11" s="49">
        <v>16784</v>
      </c>
      <c r="AB11" s="49">
        <v>14244</v>
      </c>
      <c r="AC11" s="55">
        <v>13137748</v>
      </c>
      <c r="AE11" s="51">
        <f>((+AC23)*1000)/1000</f>
        <v>13868380</v>
      </c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</row>
    <row r="12" spans="2:56" ht="18.649999999999999" customHeight="1" x14ac:dyDescent="0.25">
      <c r="B12" s="61" t="s">
        <v>33</v>
      </c>
      <c r="C12" s="4" t="s">
        <v>30</v>
      </c>
      <c r="D12" s="5">
        <v>4</v>
      </c>
      <c r="E12" s="49">
        <v>12594</v>
      </c>
      <c r="F12" s="49">
        <v>11905</v>
      </c>
      <c r="G12" s="49">
        <v>11497</v>
      </c>
      <c r="H12" s="49">
        <v>11232</v>
      </c>
      <c r="I12" s="49">
        <v>11466</v>
      </c>
      <c r="J12" s="49">
        <v>12069</v>
      </c>
      <c r="K12" s="49">
        <v>13440</v>
      </c>
      <c r="L12" s="49">
        <v>22752</v>
      </c>
      <c r="M12" s="49">
        <v>23880</v>
      </c>
      <c r="N12" s="49">
        <v>24294</v>
      </c>
      <c r="O12" s="49">
        <v>24918</v>
      </c>
      <c r="P12" s="49">
        <v>25539</v>
      </c>
      <c r="Q12" s="49">
        <v>25186</v>
      </c>
      <c r="R12" s="49">
        <v>24653</v>
      </c>
      <c r="S12" s="49">
        <v>24578</v>
      </c>
      <c r="T12" s="49">
        <v>24460</v>
      </c>
      <c r="U12" s="49">
        <v>24693</v>
      </c>
      <c r="V12" s="49">
        <v>19878</v>
      </c>
      <c r="W12" s="49">
        <v>21711</v>
      </c>
      <c r="X12" s="49">
        <v>22381</v>
      </c>
      <c r="Y12" s="49">
        <v>21396</v>
      </c>
      <c r="Z12" s="49">
        <v>19222</v>
      </c>
      <c r="AA12" s="49">
        <v>16831</v>
      </c>
      <c r="AB12" s="49">
        <v>14609</v>
      </c>
      <c r="AC12" s="56"/>
      <c r="AE12" s="51">
        <f>((+AC27)*1000)/1000</f>
        <v>13827876</v>
      </c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</row>
    <row r="13" spans="2:56" ht="18.649999999999999" customHeight="1" x14ac:dyDescent="0.25">
      <c r="B13" s="61" t="s">
        <v>33</v>
      </c>
      <c r="C13" s="4" t="s">
        <v>31</v>
      </c>
      <c r="D13" s="5">
        <v>4</v>
      </c>
      <c r="E13" s="49">
        <v>12828</v>
      </c>
      <c r="F13" s="49">
        <v>11994</v>
      </c>
      <c r="G13" s="49">
        <v>11344</v>
      </c>
      <c r="H13" s="49">
        <v>11022</v>
      </c>
      <c r="I13" s="49">
        <v>10889</v>
      </c>
      <c r="J13" s="49">
        <v>10827</v>
      </c>
      <c r="K13" s="49">
        <v>10881</v>
      </c>
      <c r="L13" s="49">
        <v>18704</v>
      </c>
      <c r="M13" s="49">
        <v>20289</v>
      </c>
      <c r="N13" s="49">
        <v>21476</v>
      </c>
      <c r="O13" s="49">
        <v>21630</v>
      </c>
      <c r="P13" s="49">
        <v>22642</v>
      </c>
      <c r="Q13" s="49">
        <v>23638</v>
      </c>
      <c r="R13" s="49">
        <v>23778</v>
      </c>
      <c r="S13" s="49">
        <v>23228</v>
      </c>
      <c r="T13" s="49">
        <v>24176</v>
      </c>
      <c r="U13" s="49">
        <v>22052</v>
      </c>
      <c r="V13" s="49">
        <v>17892</v>
      </c>
      <c r="W13" s="49">
        <v>21360</v>
      </c>
      <c r="X13" s="49">
        <v>20229</v>
      </c>
      <c r="Y13" s="49">
        <v>19855</v>
      </c>
      <c r="Z13" s="49">
        <v>18022</v>
      </c>
      <c r="AA13" s="49">
        <v>15250</v>
      </c>
      <c r="AB13" s="49">
        <v>13007</v>
      </c>
      <c r="AC13" s="56"/>
      <c r="AE13" s="51">
        <f>((+AC31)*1000)/1000</f>
        <v>12923708</v>
      </c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</row>
    <row r="14" spans="2:56" ht="18.649999999999999" customHeight="1" x14ac:dyDescent="0.25">
      <c r="B14" s="61" t="s">
        <v>33</v>
      </c>
      <c r="C14" s="4" t="s">
        <v>32</v>
      </c>
      <c r="D14" s="5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57"/>
      <c r="AE14" s="51">
        <f>((+AC35)*1000)/1000</f>
        <v>13437104</v>
      </c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</row>
    <row r="15" spans="2:56" ht="18.649999999999999" customHeight="1" x14ac:dyDescent="0.25">
      <c r="B15" s="61" t="s">
        <v>34</v>
      </c>
      <c r="C15" s="4" t="s">
        <v>29</v>
      </c>
      <c r="D15" s="5">
        <v>20</v>
      </c>
      <c r="E15" s="49">
        <v>11183</v>
      </c>
      <c r="F15" s="49">
        <v>10683</v>
      </c>
      <c r="G15" s="49">
        <v>10530</v>
      </c>
      <c r="H15" s="49">
        <v>10492</v>
      </c>
      <c r="I15" s="49">
        <v>11524</v>
      </c>
      <c r="J15" s="49">
        <v>14678</v>
      </c>
      <c r="K15" s="49">
        <v>16138</v>
      </c>
      <c r="L15" s="49">
        <v>22646</v>
      </c>
      <c r="M15" s="49">
        <v>22296</v>
      </c>
      <c r="N15" s="49">
        <v>22411</v>
      </c>
      <c r="O15" s="49">
        <v>22661</v>
      </c>
      <c r="P15" s="49">
        <v>23997</v>
      </c>
      <c r="Q15" s="49">
        <v>23682</v>
      </c>
      <c r="R15" s="49">
        <v>23563</v>
      </c>
      <c r="S15" s="49">
        <v>24216</v>
      </c>
      <c r="T15" s="49">
        <v>24417</v>
      </c>
      <c r="U15" s="49">
        <v>23838</v>
      </c>
      <c r="V15" s="49">
        <v>19390</v>
      </c>
      <c r="W15" s="49">
        <v>21413</v>
      </c>
      <c r="X15" s="49">
        <v>22232</v>
      </c>
      <c r="Y15" s="49">
        <v>21417</v>
      </c>
      <c r="Z15" s="49">
        <v>18805</v>
      </c>
      <c r="AA15" s="49">
        <v>16186</v>
      </c>
      <c r="AB15" s="49">
        <v>13725</v>
      </c>
      <c r="AC15" s="55">
        <v>13819567</v>
      </c>
      <c r="AE15" s="51">
        <f>((+AC39)*1000)/1000</f>
        <v>12944034</v>
      </c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</row>
    <row r="16" spans="2:56" ht="18.649999999999999" customHeight="1" x14ac:dyDescent="0.25">
      <c r="B16" s="61" t="s">
        <v>34</v>
      </c>
      <c r="C16" s="4" t="s">
        <v>30</v>
      </c>
      <c r="D16" s="5">
        <v>4</v>
      </c>
      <c r="E16" s="49">
        <v>10903</v>
      </c>
      <c r="F16" s="49">
        <v>11181</v>
      </c>
      <c r="G16" s="49">
        <v>10893</v>
      </c>
      <c r="H16" s="49">
        <v>10732</v>
      </c>
      <c r="I16" s="49">
        <v>11062</v>
      </c>
      <c r="J16" s="49">
        <v>11977</v>
      </c>
      <c r="K16" s="49">
        <v>13344</v>
      </c>
      <c r="L16" s="49">
        <v>21982</v>
      </c>
      <c r="M16" s="49">
        <v>23003</v>
      </c>
      <c r="N16" s="49">
        <v>23698</v>
      </c>
      <c r="O16" s="49">
        <v>23909</v>
      </c>
      <c r="P16" s="49">
        <v>23908</v>
      </c>
      <c r="Q16" s="49">
        <v>24060</v>
      </c>
      <c r="R16" s="49">
        <v>23690</v>
      </c>
      <c r="S16" s="49">
        <v>23730</v>
      </c>
      <c r="T16" s="49">
        <v>23844</v>
      </c>
      <c r="U16" s="49">
        <v>23546</v>
      </c>
      <c r="V16" s="49">
        <v>19144</v>
      </c>
      <c r="W16" s="49">
        <v>20448</v>
      </c>
      <c r="X16" s="49">
        <v>21796</v>
      </c>
      <c r="Y16" s="49">
        <v>20937</v>
      </c>
      <c r="Z16" s="49">
        <v>19281</v>
      </c>
      <c r="AA16" s="49">
        <v>17055</v>
      </c>
      <c r="AB16" s="49">
        <v>14923</v>
      </c>
      <c r="AC16" s="56"/>
      <c r="AE16" s="51">
        <f>((+AC43)*1000)/1000</f>
        <v>13505119</v>
      </c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</row>
    <row r="17" spans="2:56" ht="18.649999999999999" customHeight="1" x14ac:dyDescent="0.25">
      <c r="B17" s="61" t="s">
        <v>34</v>
      </c>
      <c r="C17" s="4" t="s">
        <v>31</v>
      </c>
      <c r="D17" s="5">
        <v>4</v>
      </c>
      <c r="E17" s="49">
        <v>12444</v>
      </c>
      <c r="F17" s="49">
        <v>11828</v>
      </c>
      <c r="G17" s="49">
        <v>11059</v>
      </c>
      <c r="H17" s="49">
        <v>11186</v>
      </c>
      <c r="I17" s="49">
        <v>11139</v>
      </c>
      <c r="J17" s="49">
        <v>9616</v>
      </c>
      <c r="K17" s="49">
        <v>10584</v>
      </c>
      <c r="L17" s="49">
        <v>17958</v>
      </c>
      <c r="M17" s="49">
        <v>19404</v>
      </c>
      <c r="N17" s="49">
        <v>19938</v>
      </c>
      <c r="O17" s="49">
        <v>20784</v>
      </c>
      <c r="P17" s="49">
        <v>21829</v>
      </c>
      <c r="Q17" s="49">
        <v>21748</v>
      </c>
      <c r="R17" s="49">
        <v>22205</v>
      </c>
      <c r="S17" s="49">
        <v>21924</v>
      </c>
      <c r="T17" s="49">
        <v>21840</v>
      </c>
      <c r="U17" s="49">
        <v>21497</v>
      </c>
      <c r="V17" s="49">
        <v>17583</v>
      </c>
      <c r="W17" s="49">
        <v>19368</v>
      </c>
      <c r="X17" s="49">
        <v>20668</v>
      </c>
      <c r="Y17" s="49">
        <v>20890</v>
      </c>
      <c r="Z17" s="49">
        <v>18827</v>
      </c>
      <c r="AA17" s="49">
        <v>16304</v>
      </c>
      <c r="AB17" s="49">
        <v>13671</v>
      </c>
      <c r="AC17" s="56"/>
      <c r="AE17" s="51">
        <f>((+AC47)*1000)/1000</f>
        <v>13089684</v>
      </c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</row>
    <row r="18" spans="2:56" ht="18.649999999999999" customHeight="1" x14ac:dyDescent="0.25">
      <c r="B18" s="61" t="s">
        <v>34</v>
      </c>
      <c r="C18" s="4" t="s">
        <v>32</v>
      </c>
      <c r="D18" s="5">
        <v>3</v>
      </c>
      <c r="E18" s="49">
        <v>12878</v>
      </c>
      <c r="F18" s="49">
        <v>12483</v>
      </c>
      <c r="G18" s="49">
        <v>11817</v>
      </c>
      <c r="H18" s="49">
        <v>11763</v>
      </c>
      <c r="I18" s="49">
        <v>11822</v>
      </c>
      <c r="J18" s="49">
        <v>11505</v>
      </c>
      <c r="K18" s="49">
        <v>11703</v>
      </c>
      <c r="L18" s="49">
        <v>18987</v>
      </c>
      <c r="M18" s="49">
        <v>20090</v>
      </c>
      <c r="N18" s="49">
        <v>20799</v>
      </c>
      <c r="O18" s="49">
        <v>22039</v>
      </c>
      <c r="P18" s="49">
        <v>22775</v>
      </c>
      <c r="Q18" s="49">
        <v>23457</v>
      </c>
      <c r="R18" s="49">
        <v>23129</v>
      </c>
      <c r="S18" s="49">
        <v>23380</v>
      </c>
      <c r="T18" s="49">
        <v>23268</v>
      </c>
      <c r="U18" s="49">
        <v>23010</v>
      </c>
      <c r="V18" s="49">
        <v>19144</v>
      </c>
      <c r="W18" s="49">
        <v>21905</v>
      </c>
      <c r="X18" s="49">
        <v>22570</v>
      </c>
      <c r="Y18" s="49">
        <v>21780</v>
      </c>
      <c r="Z18" s="49">
        <v>20169</v>
      </c>
      <c r="AA18" s="49">
        <v>16591</v>
      </c>
      <c r="AB18" s="49">
        <v>14185</v>
      </c>
      <c r="AC18" s="57"/>
      <c r="AE18" s="51">
        <f>((+AC51)*1000)/1000</f>
        <v>13514959</v>
      </c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</row>
    <row r="19" spans="2:56" ht="18.649999999999999" customHeight="1" x14ac:dyDescent="0.3">
      <c r="B19" s="61" t="s">
        <v>35</v>
      </c>
      <c r="C19" s="4" t="s">
        <v>29</v>
      </c>
      <c r="D19" s="5">
        <v>22</v>
      </c>
      <c r="E19" s="49">
        <v>11610</v>
      </c>
      <c r="F19" s="49">
        <v>11156</v>
      </c>
      <c r="G19" s="49">
        <v>11140</v>
      </c>
      <c r="H19" s="49">
        <v>10933</v>
      </c>
      <c r="I19" s="49">
        <v>11818</v>
      </c>
      <c r="J19" s="49">
        <v>14590</v>
      </c>
      <c r="K19" s="49">
        <v>16383</v>
      </c>
      <c r="L19" s="49">
        <v>23323</v>
      </c>
      <c r="M19" s="49">
        <v>23039</v>
      </c>
      <c r="N19" s="49">
        <v>22927</v>
      </c>
      <c r="O19" s="49">
        <v>23994</v>
      </c>
      <c r="P19" s="49">
        <v>24776</v>
      </c>
      <c r="Q19" s="49">
        <v>24646</v>
      </c>
      <c r="R19" s="49">
        <v>24676</v>
      </c>
      <c r="S19" s="49">
        <v>25576</v>
      </c>
      <c r="T19" s="49">
        <v>25548</v>
      </c>
      <c r="U19" s="49">
        <v>25400</v>
      </c>
      <c r="V19" s="49">
        <v>20334</v>
      </c>
      <c r="W19" s="49">
        <v>22311</v>
      </c>
      <c r="X19" s="49">
        <v>22820</v>
      </c>
      <c r="Y19" s="49">
        <v>22105</v>
      </c>
      <c r="Z19" s="49">
        <v>20068</v>
      </c>
      <c r="AA19" s="49">
        <v>17011</v>
      </c>
      <c r="AB19" s="49">
        <v>14439</v>
      </c>
      <c r="AC19" s="55">
        <v>13943586</v>
      </c>
      <c r="AE19" s="53">
        <f>SUM(AE7:AE18)</f>
        <v>162167221</v>
      </c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</row>
    <row r="20" spans="2:56" ht="18.649999999999999" customHeight="1" x14ac:dyDescent="0.25">
      <c r="B20" s="61" t="s">
        <v>35</v>
      </c>
      <c r="C20" s="4" t="s">
        <v>30</v>
      </c>
      <c r="D20" s="5">
        <v>4</v>
      </c>
      <c r="E20" s="49">
        <v>12538</v>
      </c>
      <c r="F20" s="49">
        <v>11904</v>
      </c>
      <c r="G20" s="49">
        <v>11531</v>
      </c>
      <c r="H20" s="49">
        <v>11436</v>
      </c>
      <c r="I20" s="49">
        <v>11783</v>
      </c>
      <c r="J20" s="49">
        <v>12277</v>
      </c>
      <c r="K20" s="49">
        <v>12661</v>
      </c>
      <c r="L20" s="49">
        <v>22043</v>
      </c>
      <c r="M20" s="49">
        <v>22646</v>
      </c>
      <c r="N20" s="49">
        <v>23120</v>
      </c>
      <c r="O20" s="49">
        <v>24096</v>
      </c>
      <c r="P20" s="49">
        <v>24186</v>
      </c>
      <c r="Q20" s="49">
        <v>25026</v>
      </c>
      <c r="R20" s="49">
        <v>24405</v>
      </c>
      <c r="S20" s="49">
        <v>24779</v>
      </c>
      <c r="T20" s="49">
        <v>24980</v>
      </c>
      <c r="U20" s="49">
        <v>25142</v>
      </c>
      <c r="V20" s="49">
        <v>19668</v>
      </c>
      <c r="W20" s="49">
        <v>23014</v>
      </c>
      <c r="X20" s="49">
        <v>21911</v>
      </c>
      <c r="Y20" s="49">
        <v>20919</v>
      </c>
      <c r="Z20" s="49">
        <v>19695</v>
      </c>
      <c r="AA20" s="49">
        <v>17674</v>
      </c>
      <c r="AB20" s="49">
        <v>17034</v>
      </c>
      <c r="AC20" s="56"/>
      <c r="AE20" s="54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</row>
    <row r="21" spans="2:56" ht="18.649999999999999" customHeight="1" x14ac:dyDescent="0.25">
      <c r="B21" s="61" t="s">
        <v>35</v>
      </c>
      <c r="C21" s="4" t="s">
        <v>31</v>
      </c>
      <c r="D21" s="5">
        <v>4</v>
      </c>
      <c r="E21" s="49">
        <v>13298</v>
      </c>
      <c r="F21" s="49">
        <v>12362</v>
      </c>
      <c r="G21" s="49">
        <v>11691</v>
      </c>
      <c r="H21" s="49">
        <v>11540</v>
      </c>
      <c r="I21" s="49">
        <v>11014</v>
      </c>
      <c r="J21" s="49">
        <v>10975</v>
      </c>
      <c r="K21" s="49">
        <v>11318</v>
      </c>
      <c r="L21" s="49">
        <v>18462</v>
      </c>
      <c r="M21" s="49">
        <v>20258</v>
      </c>
      <c r="N21" s="49">
        <v>20783</v>
      </c>
      <c r="O21" s="49">
        <v>21634</v>
      </c>
      <c r="P21" s="49">
        <v>21950</v>
      </c>
      <c r="Q21" s="49">
        <v>22889</v>
      </c>
      <c r="R21" s="49">
        <v>22904</v>
      </c>
      <c r="S21" s="49">
        <v>22799</v>
      </c>
      <c r="T21" s="49">
        <v>22540</v>
      </c>
      <c r="U21" s="49">
        <v>23073</v>
      </c>
      <c r="V21" s="49">
        <v>18845</v>
      </c>
      <c r="W21" s="49">
        <v>21024</v>
      </c>
      <c r="X21" s="49">
        <v>21434</v>
      </c>
      <c r="Y21" s="49">
        <v>21132</v>
      </c>
      <c r="Z21" s="49">
        <v>19638</v>
      </c>
      <c r="AA21" s="49">
        <v>17490</v>
      </c>
      <c r="AB21" s="49">
        <v>13949</v>
      </c>
      <c r="AC21" s="56"/>
      <c r="AE21" s="54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</row>
    <row r="22" spans="2:56" ht="18.649999999999999" customHeight="1" x14ac:dyDescent="0.25">
      <c r="B22" s="61" t="s">
        <v>35</v>
      </c>
      <c r="C22" s="4" t="s">
        <v>32</v>
      </c>
      <c r="D22" s="5">
        <v>0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57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</row>
    <row r="23" spans="2:56" ht="18.649999999999999" customHeight="1" x14ac:dyDescent="0.25">
      <c r="B23" s="61" t="s">
        <v>36</v>
      </c>
      <c r="C23" s="4" t="s">
        <v>29</v>
      </c>
      <c r="D23" s="5">
        <v>19</v>
      </c>
      <c r="E23" s="49">
        <v>11361</v>
      </c>
      <c r="F23" s="49">
        <v>10925</v>
      </c>
      <c r="G23" s="49">
        <v>10618</v>
      </c>
      <c r="H23" s="49">
        <v>10716</v>
      </c>
      <c r="I23" s="49">
        <v>11610</v>
      </c>
      <c r="J23" s="49">
        <v>14461</v>
      </c>
      <c r="K23" s="49">
        <v>16046</v>
      </c>
      <c r="L23" s="49">
        <v>22784</v>
      </c>
      <c r="M23" s="49">
        <v>22452</v>
      </c>
      <c r="N23" s="49">
        <v>21987</v>
      </c>
      <c r="O23" s="49">
        <v>22640</v>
      </c>
      <c r="P23" s="49">
        <v>24055</v>
      </c>
      <c r="Q23" s="49">
        <v>23687</v>
      </c>
      <c r="R23" s="49">
        <v>23953</v>
      </c>
      <c r="S23" s="49">
        <v>24799</v>
      </c>
      <c r="T23" s="49">
        <v>24868</v>
      </c>
      <c r="U23" s="49">
        <v>24567</v>
      </c>
      <c r="V23" s="49">
        <v>19818</v>
      </c>
      <c r="W23" s="49">
        <v>21642</v>
      </c>
      <c r="X23" s="49">
        <v>22173</v>
      </c>
      <c r="Y23" s="49">
        <v>21235</v>
      </c>
      <c r="Z23" s="49">
        <v>19303</v>
      </c>
      <c r="AA23" s="49">
        <v>16582</v>
      </c>
      <c r="AB23" s="49">
        <v>14078</v>
      </c>
      <c r="AC23" s="55">
        <v>13868380</v>
      </c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</row>
    <row r="24" spans="2:56" ht="18.649999999999999" customHeight="1" x14ac:dyDescent="0.25">
      <c r="B24" s="61" t="s">
        <v>36</v>
      </c>
      <c r="C24" s="4" t="s">
        <v>30</v>
      </c>
      <c r="D24" s="5">
        <v>4</v>
      </c>
      <c r="E24" s="49">
        <v>12319</v>
      </c>
      <c r="F24" s="49">
        <v>11270</v>
      </c>
      <c r="G24" s="49">
        <v>11107</v>
      </c>
      <c r="H24" s="49">
        <v>10981</v>
      </c>
      <c r="I24" s="49">
        <v>11262</v>
      </c>
      <c r="J24" s="49">
        <v>11588</v>
      </c>
      <c r="K24" s="49">
        <v>12871</v>
      </c>
      <c r="L24" s="49">
        <v>21464</v>
      </c>
      <c r="M24" s="49">
        <v>22705</v>
      </c>
      <c r="N24" s="49">
        <v>23306</v>
      </c>
      <c r="O24" s="49">
        <v>23504</v>
      </c>
      <c r="P24" s="49">
        <v>23666</v>
      </c>
      <c r="Q24" s="49">
        <v>23894</v>
      </c>
      <c r="R24" s="49">
        <v>23246</v>
      </c>
      <c r="S24" s="49">
        <v>23164</v>
      </c>
      <c r="T24" s="49">
        <v>23192</v>
      </c>
      <c r="U24" s="49">
        <v>23114</v>
      </c>
      <c r="V24" s="49">
        <v>18779</v>
      </c>
      <c r="W24" s="49">
        <v>20708</v>
      </c>
      <c r="X24" s="49">
        <v>21694</v>
      </c>
      <c r="Y24" s="49">
        <v>20696</v>
      </c>
      <c r="Z24" s="49">
        <v>19311</v>
      </c>
      <c r="AA24" s="49">
        <v>17071</v>
      </c>
      <c r="AB24" s="49">
        <v>14831</v>
      </c>
      <c r="AC24" s="56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</row>
    <row r="25" spans="2:56" ht="18.649999999999999" customHeight="1" x14ac:dyDescent="0.25">
      <c r="B25" s="61" t="s">
        <v>36</v>
      </c>
      <c r="C25" s="4" t="s">
        <v>31</v>
      </c>
      <c r="D25" s="5">
        <v>5</v>
      </c>
      <c r="E25" s="49">
        <v>12443</v>
      </c>
      <c r="F25" s="49">
        <v>11791</v>
      </c>
      <c r="G25" s="49">
        <v>10888</v>
      </c>
      <c r="H25" s="49">
        <v>10686</v>
      </c>
      <c r="I25" s="49">
        <v>10317</v>
      </c>
      <c r="J25" s="49">
        <v>10344</v>
      </c>
      <c r="K25" s="49">
        <v>10693</v>
      </c>
      <c r="L25" s="49">
        <v>18329</v>
      </c>
      <c r="M25" s="49">
        <v>19834</v>
      </c>
      <c r="N25" s="49">
        <v>20648</v>
      </c>
      <c r="O25" s="49">
        <v>21270</v>
      </c>
      <c r="P25" s="49">
        <v>21532</v>
      </c>
      <c r="Q25" s="49">
        <v>21878</v>
      </c>
      <c r="R25" s="49">
        <v>21399</v>
      </c>
      <c r="S25" s="49">
        <v>21088</v>
      </c>
      <c r="T25" s="49">
        <v>21410</v>
      </c>
      <c r="U25" s="49">
        <v>22338</v>
      </c>
      <c r="V25" s="49">
        <v>16266</v>
      </c>
      <c r="W25" s="49">
        <v>19888</v>
      </c>
      <c r="X25" s="49">
        <v>20560</v>
      </c>
      <c r="Y25" s="49">
        <v>19977</v>
      </c>
      <c r="Z25" s="49">
        <v>18229</v>
      </c>
      <c r="AA25" s="49">
        <v>15464</v>
      </c>
      <c r="AB25" s="49">
        <v>12800</v>
      </c>
      <c r="AC25" s="56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</row>
    <row r="26" spans="2:56" ht="18.649999999999999" customHeight="1" x14ac:dyDescent="0.25">
      <c r="B26" s="61" t="s">
        <v>36</v>
      </c>
      <c r="C26" s="4" t="s">
        <v>32</v>
      </c>
      <c r="D26" s="5">
        <v>3</v>
      </c>
      <c r="E26" s="49">
        <v>11012</v>
      </c>
      <c r="F26" s="49">
        <v>11787</v>
      </c>
      <c r="G26" s="49">
        <v>11747</v>
      </c>
      <c r="H26" s="49">
        <v>11133</v>
      </c>
      <c r="I26" s="49">
        <v>11894</v>
      </c>
      <c r="J26" s="49">
        <v>12212</v>
      </c>
      <c r="K26" s="49">
        <v>12851</v>
      </c>
      <c r="L26" s="49">
        <v>20829</v>
      </c>
      <c r="M26" s="49">
        <v>21513</v>
      </c>
      <c r="N26" s="49">
        <v>22928</v>
      </c>
      <c r="O26" s="49">
        <v>24038</v>
      </c>
      <c r="P26" s="49">
        <v>25132</v>
      </c>
      <c r="Q26" s="49">
        <v>25937</v>
      </c>
      <c r="R26" s="49">
        <v>25757</v>
      </c>
      <c r="S26" s="49">
        <v>24611</v>
      </c>
      <c r="T26" s="49">
        <v>24452</v>
      </c>
      <c r="U26" s="49">
        <v>23579</v>
      </c>
      <c r="V26" s="49">
        <v>19261</v>
      </c>
      <c r="W26" s="49">
        <v>21752</v>
      </c>
      <c r="X26" s="49">
        <v>21486</v>
      </c>
      <c r="Y26" s="49">
        <v>20530</v>
      </c>
      <c r="Z26" s="49">
        <v>19250</v>
      </c>
      <c r="AA26" s="49">
        <v>16749</v>
      </c>
      <c r="AB26" s="49">
        <v>14296</v>
      </c>
      <c r="AC26" s="57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</row>
    <row r="27" spans="2:56" ht="18.649999999999999" customHeight="1" x14ac:dyDescent="0.25">
      <c r="B27" s="61" t="s">
        <v>37</v>
      </c>
      <c r="C27" s="4" t="s">
        <v>29</v>
      </c>
      <c r="D27" s="5">
        <v>21</v>
      </c>
      <c r="E27" s="49">
        <v>11786</v>
      </c>
      <c r="F27" s="49">
        <v>11231</v>
      </c>
      <c r="G27" s="49">
        <v>11065</v>
      </c>
      <c r="H27" s="49">
        <v>10970</v>
      </c>
      <c r="I27" s="49">
        <v>11885</v>
      </c>
      <c r="J27" s="49">
        <v>14205</v>
      </c>
      <c r="K27" s="49">
        <v>15840</v>
      </c>
      <c r="L27" s="49">
        <v>23432</v>
      </c>
      <c r="M27" s="49">
        <v>23233</v>
      </c>
      <c r="N27" s="49">
        <v>23563</v>
      </c>
      <c r="O27" s="49">
        <v>24305</v>
      </c>
      <c r="P27" s="49">
        <v>25035</v>
      </c>
      <c r="Q27" s="49">
        <v>24886</v>
      </c>
      <c r="R27" s="49">
        <v>24852</v>
      </c>
      <c r="S27" s="49">
        <v>25549</v>
      </c>
      <c r="T27" s="49">
        <v>25541</v>
      </c>
      <c r="U27" s="49">
        <v>25522</v>
      </c>
      <c r="V27" s="49">
        <v>20334</v>
      </c>
      <c r="W27" s="49">
        <v>22535</v>
      </c>
      <c r="X27" s="49">
        <v>22829</v>
      </c>
      <c r="Y27" s="49">
        <v>21561</v>
      </c>
      <c r="Z27" s="49">
        <v>19446</v>
      </c>
      <c r="AA27" s="49">
        <v>16666</v>
      </c>
      <c r="AB27" s="49">
        <v>14359</v>
      </c>
      <c r="AC27" s="55">
        <v>13827876</v>
      </c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</row>
    <row r="28" spans="2:56" ht="18.649999999999999" customHeight="1" x14ac:dyDescent="0.25">
      <c r="B28" s="61" t="s">
        <v>37</v>
      </c>
      <c r="C28" s="4" t="s">
        <v>30</v>
      </c>
      <c r="D28" s="5">
        <v>4</v>
      </c>
      <c r="E28" s="49">
        <v>12284</v>
      </c>
      <c r="F28" s="49">
        <v>11569</v>
      </c>
      <c r="G28" s="49">
        <v>11234</v>
      </c>
      <c r="H28" s="49">
        <v>11002</v>
      </c>
      <c r="I28" s="49">
        <v>11350</v>
      </c>
      <c r="J28" s="49">
        <v>11994</v>
      </c>
      <c r="K28" s="49">
        <v>13006</v>
      </c>
      <c r="L28" s="49">
        <v>22189</v>
      </c>
      <c r="M28" s="49">
        <v>23042</v>
      </c>
      <c r="N28" s="49">
        <v>23541</v>
      </c>
      <c r="O28" s="49">
        <v>24117</v>
      </c>
      <c r="P28" s="49">
        <v>24391</v>
      </c>
      <c r="Q28" s="49">
        <v>24460</v>
      </c>
      <c r="R28" s="49">
        <v>24002</v>
      </c>
      <c r="S28" s="49">
        <v>23585</v>
      </c>
      <c r="T28" s="49">
        <v>23577</v>
      </c>
      <c r="U28" s="49">
        <v>23472</v>
      </c>
      <c r="V28" s="49">
        <v>19009</v>
      </c>
      <c r="W28" s="49">
        <v>20987</v>
      </c>
      <c r="X28" s="49">
        <v>21962</v>
      </c>
      <c r="Y28" s="49">
        <v>20973</v>
      </c>
      <c r="Z28" s="49">
        <v>19362</v>
      </c>
      <c r="AA28" s="49">
        <v>17508</v>
      </c>
      <c r="AB28" s="49">
        <v>15368</v>
      </c>
      <c r="AC28" s="56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</row>
    <row r="29" spans="2:56" ht="18.649999999999999" customHeight="1" x14ac:dyDescent="0.25">
      <c r="B29" s="61" t="s">
        <v>37</v>
      </c>
      <c r="C29" s="4" t="s">
        <v>31</v>
      </c>
      <c r="D29" s="5">
        <v>4</v>
      </c>
      <c r="E29" s="49">
        <v>13416</v>
      </c>
      <c r="F29" s="49">
        <v>12433</v>
      </c>
      <c r="G29" s="49">
        <v>11881</v>
      </c>
      <c r="H29" s="49">
        <v>11644</v>
      </c>
      <c r="I29" s="49">
        <v>11400</v>
      </c>
      <c r="J29" s="49">
        <v>11187</v>
      </c>
      <c r="K29" s="49">
        <v>11151</v>
      </c>
      <c r="L29" s="49">
        <v>18948</v>
      </c>
      <c r="M29" s="49">
        <v>20199</v>
      </c>
      <c r="N29" s="49">
        <v>21199</v>
      </c>
      <c r="O29" s="49">
        <v>21663</v>
      </c>
      <c r="P29" s="49">
        <v>22037</v>
      </c>
      <c r="Q29" s="49">
        <v>22219</v>
      </c>
      <c r="R29" s="49">
        <v>22170</v>
      </c>
      <c r="S29" s="49">
        <v>21766</v>
      </c>
      <c r="T29" s="49">
        <v>21924</v>
      </c>
      <c r="U29" s="49">
        <v>22106</v>
      </c>
      <c r="V29" s="49">
        <v>17955</v>
      </c>
      <c r="W29" s="49">
        <v>19801</v>
      </c>
      <c r="X29" s="49">
        <v>20815</v>
      </c>
      <c r="Y29" s="49">
        <v>20114</v>
      </c>
      <c r="Z29" s="49">
        <v>18746</v>
      </c>
      <c r="AA29" s="49">
        <v>16745</v>
      </c>
      <c r="AB29" s="49">
        <v>14480</v>
      </c>
      <c r="AC29" s="56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</row>
    <row r="30" spans="2:56" ht="18.649999999999999" customHeight="1" x14ac:dyDescent="0.25">
      <c r="B30" s="61" t="s">
        <v>37</v>
      </c>
      <c r="C30" s="4" t="s">
        <v>32</v>
      </c>
      <c r="D30" s="5">
        <v>1</v>
      </c>
      <c r="E30" s="49">
        <v>12240</v>
      </c>
      <c r="F30" s="49">
        <v>11636</v>
      </c>
      <c r="G30" s="49">
        <v>11183</v>
      </c>
      <c r="H30" s="49">
        <v>10996</v>
      </c>
      <c r="I30" s="49">
        <v>11054</v>
      </c>
      <c r="J30" s="49">
        <v>11061</v>
      </c>
      <c r="K30" s="49">
        <v>10810</v>
      </c>
      <c r="L30" s="49">
        <v>18452</v>
      </c>
      <c r="M30" s="49">
        <v>19024</v>
      </c>
      <c r="N30" s="49">
        <v>19501</v>
      </c>
      <c r="O30" s="49">
        <v>21406</v>
      </c>
      <c r="P30" s="49">
        <v>22259</v>
      </c>
      <c r="Q30" s="49">
        <v>23322</v>
      </c>
      <c r="R30" s="49">
        <v>23141</v>
      </c>
      <c r="S30" s="49">
        <v>22999</v>
      </c>
      <c r="T30" s="49">
        <v>22980</v>
      </c>
      <c r="U30" s="49">
        <v>22567</v>
      </c>
      <c r="V30" s="49">
        <v>18239</v>
      </c>
      <c r="W30" s="49">
        <v>20547</v>
      </c>
      <c r="X30" s="49">
        <v>21196</v>
      </c>
      <c r="Y30" s="49">
        <v>20484</v>
      </c>
      <c r="Z30" s="49">
        <v>18984</v>
      </c>
      <c r="AA30" s="49">
        <v>16466</v>
      </c>
      <c r="AB30" s="49">
        <v>14167</v>
      </c>
      <c r="AC30" s="57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</row>
    <row r="31" spans="2:56" ht="18.649999999999999" customHeight="1" x14ac:dyDescent="0.25">
      <c r="B31" s="61" t="s">
        <v>38</v>
      </c>
      <c r="C31" s="4" t="s">
        <v>29</v>
      </c>
      <c r="D31" s="5">
        <v>20</v>
      </c>
      <c r="E31" s="49">
        <v>10288</v>
      </c>
      <c r="F31" s="49">
        <v>9738</v>
      </c>
      <c r="G31" s="49">
        <v>9449</v>
      </c>
      <c r="H31" s="49">
        <v>9465</v>
      </c>
      <c r="I31" s="49">
        <v>10356</v>
      </c>
      <c r="J31" s="49">
        <v>13041</v>
      </c>
      <c r="K31" s="49">
        <v>14647</v>
      </c>
      <c r="L31" s="49">
        <v>20583</v>
      </c>
      <c r="M31" s="49">
        <v>20405</v>
      </c>
      <c r="N31" s="49">
        <v>20663</v>
      </c>
      <c r="O31" s="49">
        <v>21053</v>
      </c>
      <c r="P31" s="49">
        <v>22496</v>
      </c>
      <c r="Q31" s="49">
        <v>21984</v>
      </c>
      <c r="R31" s="49">
        <v>22072</v>
      </c>
      <c r="S31" s="49">
        <v>22733</v>
      </c>
      <c r="T31" s="49">
        <v>22806</v>
      </c>
      <c r="U31" s="49">
        <v>22449</v>
      </c>
      <c r="V31" s="49">
        <v>20119</v>
      </c>
      <c r="W31" s="49">
        <v>21788</v>
      </c>
      <c r="X31" s="49">
        <v>23096</v>
      </c>
      <c r="Y31" s="49">
        <v>22047</v>
      </c>
      <c r="Z31" s="49">
        <v>19847</v>
      </c>
      <c r="AA31" s="49">
        <v>16738</v>
      </c>
      <c r="AB31" s="49">
        <v>14517</v>
      </c>
      <c r="AC31" s="55">
        <v>12923708</v>
      </c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</row>
    <row r="32" spans="2:56" ht="18.649999999999999" customHeight="1" x14ac:dyDescent="0.25">
      <c r="B32" s="61" t="s">
        <v>38</v>
      </c>
      <c r="C32" s="4" t="s">
        <v>30</v>
      </c>
      <c r="D32" s="5">
        <v>5</v>
      </c>
      <c r="E32" s="49">
        <v>11100</v>
      </c>
      <c r="F32" s="49">
        <v>10415</v>
      </c>
      <c r="G32" s="49">
        <v>9894</v>
      </c>
      <c r="H32" s="49">
        <v>9765</v>
      </c>
      <c r="I32" s="49">
        <v>9962</v>
      </c>
      <c r="J32" s="49">
        <v>10348</v>
      </c>
      <c r="K32" s="49">
        <v>11342</v>
      </c>
      <c r="L32" s="49">
        <v>19345</v>
      </c>
      <c r="M32" s="49">
        <v>20278</v>
      </c>
      <c r="N32" s="49">
        <v>20809</v>
      </c>
      <c r="O32" s="49">
        <v>21010</v>
      </c>
      <c r="P32" s="49">
        <v>21803</v>
      </c>
      <c r="Q32" s="49">
        <v>22067</v>
      </c>
      <c r="R32" s="49">
        <v>21744</v>
      </c>
      <c r="S32" s="49">
        <v>21415</v>
      </c>
      <c r="T32" s="49">
        <v>21069</v>
      </c>
      <c r="U32" s="49">
        <v>20678</v>
      </c>
      <c r="V32" s="49">
        <v>18973</v>
      </c>
      <c r="W32" s="49">
        <v>20217</v>
      </c>
      <c r="X32" s="49">
        <v>21564</v>
      </c>
      <c r="Y32" s="49">
        <v>20397</v>
      </c>
      <c r="Z32" s="49">
        <v>18684</v>
      </c>
      <c r="AA32" s="49">
        <v>16572</v>
      </c>
      <c r="AB32" s="49">
        <v>14589</v>
      </c>
      <c r="AC32" s="56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</row>
    <row r="33" spans="2:56" ht="18.649999999999999" customHeight="1" x14ac:dyDescent="0.25">
      <c r="B33" s="61" t="s">
        <v>38</v>
      </c>
      <c r="C33" s="4" t="s">
        <v>31</v>
      </c>
      <c r="D33" s="5">
        <v>4</v>
      </c>
      <c r="E33" s="49">
        <v>10334</v>
      </c>
      <c r="F33" s="49">
        <v>9601</v>
      </c>
      <c r="G33" s="49">
        <v>9167</v>
      </c>
      <c r="H33" s="49">
        <v>8943</v>
      </c>
      <c r="I33" s="49">
        <v>8763</v>
      </c>
      <c r="J33" s="49">
        <v>8427</v>
      </c>
      <c r="K33" s="49">
        <v>8725</v>
      </c>
      <c r="L33" s="49">
        <v>15144</v>
      </c>
      <c r="M33" s="49">
        <v>16502</v>
      </c>
      <c r="N33" s="49">
        <v>17076</v>
      </c>
      <c r="O33" s="49">
        <v>17551</v>
      </c>
      <c r="P33" s="49">
        <v>18766</v>
      </c>
      <c r="Q33" s="49">
        <v>19032</v>
      </c>
      <c r="R33" s="49">
        <v>19189</v>
      </c>
      <c r="S33" s="49">
        <v>19060</v>
      </c>
      <c r="T33" s="49">
        <v>18944</v>
      </c>
      <c r="U33" s="49">
        <v>18846</v>
      </c>
      <c r="V33" s="49">
        <v>17292</v>
      </c>
      <c r="W33" s="49">
        <v>19315</v>
      </c>
      <c r="X33" s="49">
        <v>21096</v>
      </c>
      <c r="Y33" s="49">
        <v>20453</v>
      </c>
      <c r="Z33" s="49">
        <v>18348</v>
      </c>
      <c r="AA33" s="49">
        <v>15455</v>
      </c>
      <c r="AB33" s="49">
        <v>13212</v>
      </c>
      <c r="AC33" s="56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</row>
    <row r="34" spans="2:56" ht="18.649999999999999" customHeight="1" x14ac:dyDescent="0.25">
      <c r="B34" s="61" t="s">
        <v>38</v>
      </c>
      <c r="C34" s="4" t="s">
        <v>32</v>
      </c>
      <c r="D34" s="5">
        <v>2</v>
      </c>
      <c r="E34" s="49">
        <v>12270</v>
      </c>
      <c r="F34" s="49">
        <v>11369</v>
      </c>
      <c r="G34" s="49">
        <v>10472</v>
      </c>
      <c r="H34" s="49">
        <v>9683</v>
      </c>
      <c r="I34" s="49">
        <v>9488</v>
      </c>
      <c r="J34" s="49">
        <v>8564</v>
      </c>
      <c r="K34" s="49">
        <v>8768</v>
      </c>
      <c r="L34" s="49">
        <v>15164</v>
      </c>
      <c r="M34" s="49">
        <v>17021</v>
      </c>
      <c r="N34" s="49">
        <v>16889</v>
      </c>
      <c r="O34" s="49">
        <v>16338</v>
      </c>
      <c r="P34" s="49">
        <v>17622</v>
      </c>
      <c r="Q34" s="49">
        <v>18237</v>
      </c>
      <c r="R34" s="49">
        <v>18678</v>
      </c>
      <c r="S34" s="49">
        <v>17517</v>
      </c>
      <c r="T34" s="49">
        <v>17599</v>
      </c>
      <c r="U34" s="49">
        <v>17734</v>
      </c>
      <c r="V34" s="49">
        <v>16084</v>
      </c>
      <c r="W34" s="49">
        <v>17553</v>
      </c>
      <c r="X34" s="49">
        <v>19741</v>
      </c>
      <c r="Y34" s="49">
        <v>19868</v>
      </c>
      <c r="Z34" s="49">
        <v>18101</v>
      </c>
      <c r="AA34" s="49">
        <v>15755</v>
      </c>
      <c r="AB34" s="49">
        <v>13957</v>
      </c>
      <c r="AC34" s="57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</row>
    <row r="35" spans="2:56" ht="18.649999999999999" customHeight="1" x14ac:dyDescent="0.25">
      <c r="B35" s="61" t="s">
        <v>39</v>
      </c>
      <c r="C35" s="4" t="s">
        <v>29</v>
      </c>
      <c r="D35" s="5">
        <v>21</v>
      </c>
      <c r="E35" s="49">
        <v>11692</v>
      </c>
      <c r="F35" s="49">
        <v>11163</v>
      </c>
      <c r="G35" s="49">
        <v>10775</v>
      </c>
      <c r="H35" s="49">
        <v>10644</v>
      </c>
      <c r="I35" s="49">
        <v>11134</v>
      </c>
      <c r="J35" s="49">
        <v>12915</v>
      </c>
      <c r="K35" s="49">
        <v>11879</v>
      </c>
      <c r="L35" s="49">
        <v>18582</v>
      </c>
      <c r="M35" s="49">
        <v>19136</v>
      </c>
      <c r="N35" s="49">
        <v>19601</v>
      </c>
      <c r="O35" s="49">
        <v>20590</v>
      </c>
      <c r="P35" s="49">
        <v>21486</v>
      </c>
      <c r="Q35" s="49">
        <v>21185</v>
      </c>
      <c r="R35" s="49">
        <v>21491</v>
      </c>
      <c r="S35" s="49">
        <v>21624</v>
      </c>
      <c r="T35" s="49">
        <v>21540</v>
      </c>
      <c r="U35" s="49">
        <v>21287</v>
      </c>
      <c r="V35" s="49">
        <v>17726</v>
      </c>
      <c r="W35" s="49">
        <v>21273</v>
      </c>
      <c r="X35" s="49">
        <v>22407</v>
      </c>
      <c r="Y35" s="49">
        <v>21655</v>
      </c>
      <c r="Z35" s="49">
        <v>19915</v>
      </c>
      <c r="AA35" s="49">
        <v>16706</v>
      </c>
      <c r="AB35" s="49">
        <v>14584</v>
      </c>
      <c r="AC35" s="55">
        <v>13437104</v>
      </c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</row>
    <row r="36" spans="2:56" ht="18.649999999999999" customHeight="1" x14ac:dyDescent="0.25">
      <c r="B36" s="61" t="s">
        <v>39</v>
      </c>
      <c r="C36" s="4" t="s">
        <v>30</v>
      </c>
      <c r="D36" s="5">
        <v>3</v>
      </c>
      <c r="E36" s="49">
        <v>11753</v>
      </c>
      <c r="F36" s="49">
        <v>11220</v>
      </c>
      <c r="G36" s="49">
        <v>11022</v>
      </c>
      <c r="H36" s="49">
        <v>11143</v>
      </c>
      <c r="I36" s="49">
        <v>12512</v>
      </c>
      <c r="J36" s="49">
        <v>16932</v>
      </c>
      <c r="K36" s="49">
        <v>17321</v>
      </c>
      <c r="L36" s="49">
        <v>22340</v>
      </c>
      <c r="M36" s="49">
        <v>21526</v>
      </c>
      <c r="N36" s="49">
        <v>21665</v>
      </c>
      <c r="O36" s="49">
        <v>22835</v>
      </c>
      <c r="P36" s="49">
        <v>23857</v>
      </c>
      <c r="Q36" s="49">
        <v>22403</v>
      </c>
      <c r="R36" s="49">
        <v>22916</v>
      </c>
      <c r="S36" s="49">
        <v>24610</v>
      </c>
      <c r="T36" s="49">
        <v>24517</v>
      </c>
      <c r="U36" s="49">
        <v>24118</v>
      </c>
      <c r="V36" s="49">
        <v>20582</v>
      </c>
      <c r="W36" s="49">
        <v>23653</v>
      </c>
      <c r="X36" s="49">
        <v>24854</v>
      </c>
      <c r="Y36" s="49">
        <v>23769</v>
      </c>
      <c r="Z36" s="49">
        <v>22022</v>
      </c>
      <c r="AA36" s="49">
        <v>18275</v>
      </c>
      <c r="AB36" s="49">
        <v>15831</v>
      </c>
      <c r="AC36" s="56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</row>
    <row r="37" spans="2:56" ht="18.649999999999999" customHeight="1" x14ac:dyDescent="0.25">
      <c r="B37" s="61" t="s">
        <v>39</v>
      </c>
      <c r="C37" s="4" t="s">
        <v>31</v>
      </c>
      <c r="D37" s="5">
        <v>5</v>
      </c>
      <c r="E37" s="49">
        <v>12112</v>
      </c>
      <c r="F37" s="49">
        <v>11460</v>
      </c>
      <c r="G37" s="49">
        <v>11290</v>
      </c>
      <c r="H37" s="49">
        <v>11335</v>
      </c>
      <c r="I37" s="49">
        <v>11969</v>
      </c>
      <c r="J37" s="49">
        <v>13385</v>
      </c>
      <c r="K37" s="49">
        <v>14197</v>
      </c>
      <c r="L37" s="49">
        <v>22369</v>
      </c>
      <c r="M37" s="49">
        <v>23361</v>
      </c>
      <c r="N37" s="49">
        <v>24214</v>
      </c>
      <c r="O37" s="49">
        <v>24969</v>
      </c>
      <c r="P37" s="49">
        <v>25984</v>
      </c>
      <c r="Q37" s="49">
        <v>24788</v>
      </c>
      <c r="R37" s="49">
        <v>23870</v>
      </c>
      <c r="S37" s="49">
        <v>23403</v>
      </c>
      <c r="T37" s="49">
        <v>23309</v>
      </c>
      <c r="U37" s="49">
        <v>23547</v>
      </c>
      <c r="V37" s="49">
        <v>20798</v>
      </c>
      <c r="W37" s="49">
        <v>24357</v>
      </c>
      <c r="X37" s="49">
        <v>24331</v>
      </c>
      <c r="Y37" s="49">
        <v>22740</v>
      </c>
      <c r="Z37" s="49">
        <v>21315</v>
      </c>
      <c r="AA37" s="49">
        <v>19014</v>
      </c>
      <c r="AB37" s="49">
        <v>17477</v>
      </c>
      <c r="AC37" s="56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</row>
    <row r="38" spans="2:56" ht="18.649999999999999" customHeight="1" x14ac:dyDescent="0.25">
      <c r="B38" s="61" t="s">
        <v>39</v>
      </c>
      <c r="C38" s="4" t="s">
        <v>32</v>
      </c>
      <c r="D38" s="5">
        <v>2</v>
      </c>
      <c r="E38" s="49">
        <v>12104</v>
      </c>
      <c r="F38" s="49">
        <v>11538</v>
      </c>
      <c r="G38" s="49">
        <v>10954</v>
      </c>
      <c r="H38" s="49">
        <v>10517</v>
      </c>
      <c r="I38" s="49">
        <v>10644</v>
      </c>
      <c r="J38" s="49">
        <v>10792</v>
      </c>
      <c r="K38" s="49">
        <v>9509</v>
      </c>
      <c r="L38" s="49">
        <v>16783</v>
      </c>
      <c r="M38" s="49">
        <v>17727</v>
      </c>
      <c r="N38" s="49">
        <v>18841</v>
      </c>
      <c r="O38" s="49">
        <v>19424</v>
      </c>
      <c r="P38" s="49">
        <v>20630</v>
      </c>
      <c r="Q38" s="49">
        <v>20343</v>
      </c>
      <c r="R38" s="49">
        <v>20497</v>
      </c>
      <c r="S38" s="49">
        <v>20536</v>
      </c>
      <c r="T38" s="49">
        <v>20133</v>
      </c>
      <c r="U38" s="49">
        <v>19878</v>
      </c>
      <c r="V38" s="49">
        <v>16921</v>
      </c>
      <c r="W38" s="49">
        <v>19686</v>
      </c>
      <c r="X38" s="49">
        <v>21270</v>
      </c>
      <c r="Y38" s="49">
        <v>20806</v>
      </c>
      <c r="Z38" s="49">
        <v>19525</v>
      </c>
      <c r="AA38" s="49">
        <v>17243</v>
      </c>
      <c r="AB38" s="49">
        <v>15357</v>
      </c>
      <c r="AC38" s="57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</row>
    <row r="39" spans="2:56" ht="18.649999999999999" customHeight="1" x14ac:dyDescent="0.25">
      <c r="B39" s="61" t="s">
        <v>40</v>
      </c>
      <c r="C39" s="4" t="s">
        <v>29</v>
      </c>
      <c r="D39" s="5">
        <v>22</v>
      </c>
      <c r="E39" s="49">
        <v>11650</v>
      </c>
      <c r="F39" s="49">
        <v>11178</v>
      </c>
      <c r="G39" s="49">
        <v>11011</v>
      </c>
      <c r="H39" s="49">
        <v>10895</v>
      </c>
      <c r="I39" s="49">
        <v>11699</v>
      </c>
      <c r="J39" s="49">
        <v>14188</v>
      </c>
      <c r="K39" s="49">
        <v>13952</v>
      </c>
      <c r="L39" s="49">
        <v>20584</v>
      </c>
      <c r="M39" s="49">
        <v>20339</v>
      </c>
      <c r="N39" s="49">
        <v>20708</v>
      </c>
      <c r="O39" s="49">
        <v>21321</v>
      </c>
      <c r="P39" s="49">
        <v>22155</v>
      </c>
      <c r="Q39" s="49">
        <v>21834</v>
      </c>
      <c r="R39" s="49">
        <v>22133</v>
      </c>
      <c r="S39" s="49">
        <v>22841</v>
      </c>
      <c r="T39" s="49">
        <v>23083</v>
      </c>
      <c r="U39" s="49">
        <v>22723</v>
      </c>
      <c r="V39" s="49">
        <v>18922</v>
      </c>
      <c r="W39" s="49">
        <v>22364</v>
      </c>
      <c r="X39" s="49">
        <v>22630</v>
      </c>
      <c r="Y39" s="49">
        <v>21723</v>
      </c>
      <c r="Z39" s="49">
        <v>19812</v>
      </c>
      <c r="AA39" s="49">
        <v>17123</v>
      </c>
      <c r="AB39" s="49">
        <v>14995</v>
      </c>
      <c r="AC39" s="55">
        <v>12944034</v>
      </c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</row>
    <row r="40" spans="2:56" ht="18.649999999999999" customHeight="1" x14ac:dyDescent="0.25">
      <c r="B40" s="61" t="s">
        <v>40</v>
      </c>
      <c r="C40" s="4" t="s">
        <v>30</v>
      </c>
      <c r="D40" s="5">
        <v>4</v>
      </c>
      <c r="E40" s="49">
        <v>12793</v>
      </c>
      <c r="F40" s="49">
        <v>11797</v>
      </c>
      <c r="G40" s="49">
        <v>11480</v>
      </c>
      <c r="H40" s="49">
        <v>11266</v>
      </c>
      <c r="I40" s="49">
        <v>11595</v>
      </c>
      <c r="J40" s="49">
        <v>12048</v>
      </c>
      <c r="K40" s="49">
        <v>11766</v>
      </c>
      <c r="L40" s="49">
        <v>19469</v>
      </c>
      <c r="M40" s="49">
        <v>20806</v>
      </c>
      <c r="N40" s="49">
        <v>21452</v>
      </c>
      <c r="O40" s="49">
        <v>21735</v>
      </c>
      <c r="P40" s="49">
        <v>22079</v>
      </c>
      <c r="Q40" s="49">
        <v>21888</v>
      </c>
      <c r="R40" s="49">
        <v>21535</v>
      </c>
      <c r="S40" s="49">
        <v>21355</v>
      </c>
      <c r="T40" s="49">
        <v>21442</v>
      </c>
      <c r="U40" s="49">
        <v>21708</v>
      </c>
      <c r="V40" s="49">
        <v>18058</v>
      </c>
      <c r="W40" s="49">
        <v>21208</v>
      </c>
      <c r="X40" s="49">
        <v>21070</v>
      </c>
      <c r="Y40" s="49">
        <v>20434</v>
      </c>
      <c r="Z40" s="49">
        <v>18569</v>
      </c>
      <c r="AA40" s="49">
        <v>16739</v>
      </c>
      <c r="AB40" s="49">
        <v>15181</v>
      </c>
      <c r="AC40" s="56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</row>
    <row r="41" spans="2:56" ht="18.649999999999999" customHeight="1" x14ac:dyDescent="0.25">
      <c r="B41" s="61" t="s">
        <v>40</v>
      </c>
      <c r="C41" s="4" t="s">
        <v>31</v>
      </c>
      <c r="D41" s="5">
        <v>4</v>
      </c>
      <c r="E41" s="49">
        <v>12372</v>
      </c>
      <c r="F41" s="49">
        <v>11765</v>
      </c>
      <c r="G41" s="49">
        <v>11383</v>
      </c>
      <c r="H41" s="49">
        <v>11032</v>
      </c>
      <c r="I41" s="49">
        <v>10789</v>
      </c>
      <c r="J41" s="49">
        <v>10317</v>
      </c>
      <c r="K41" s="49">
        <v>9029</v>
      </c>
      <c r="L41" s="49">
        <v>15799</v>
      </c>
      <c r="M41" s="49">
        <v>17346</v>
      </c>
      <c r="N41" s="49">
        <v>18009</v>
      </c>
      <c r="O41" s="49">
        <v>18615</v>
      </c>
      <c r="P41" s="49">
        <v>19070</v>
      </c>
      <c r="Q41" s="49">
        <v>19407</v>
      </c>
      <c r="R41" s="49">
        <v>19310</v>
      </c>
      <c r="S41" s="49">
        <v>19491</v>
      </c>
      <c r="T41" s="49">
        <v>19738</v>
      </c>
      <c r="U41" s="49">
        <v>19626</v>
      </c>
      <c r="V41" s="49">
        <v>16918</v>
      </c>
      <c r="W41" s="49">
        <v>20425</v>
      </c>
      <c r="X41" s="49">
        <v>20591</v>
      </c>
      <c r="Y41" s="49">
        <v>20165</v>
      </c>
      <c r="Z41" s="49">
        <v>18093</v>
      </c>
      <c r="AA41" s="49">
        <v>15903</v>
      </c>
      <c r="AB41" s="49">
        <v>14096</v>
      </c>
      <c r="AC41" s="56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</row>
    <row r="42" spans="2:56" ht="18.649999999999999" customHeight="1" x14ac:dyDescent="0.25">
      <c r="B42" s="61" t="s">
        <v>40</v>
      </c>
      <c r="C42" s="4" t="s">
        <v>32</v>
      </c>
      <c r="D42" s="5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57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</row>
    <row r="43" spans="2:56" ht="18.649999999999999" customHeight="1" x14ac:dyDescent="0.25">
      <c r="B43" s="61" t="s">
        <v>41</v>
      </c>
      <c r="C43" s="4" t="s">
        <v>29</v>
      </c>
      <c r="D43" s="5">
        <v>20</v>
      </c>
      <c r="E43" s="49">
        <v>11849</v>
      </c>
      <c r="F43" s="49">
        <v>11075</v>
      </c>
      <c r="G43" s="49">
        <v>10841</v>
      </c>
      <c r="H43" s="49">
        <v>10882</v>
      </c>
      <c r="I43" s="49">
        <v>11875</v>
      </c>
      <c r="J43" s="49">
        <v>14314</v>
      </c>
      <c r="K43" s="49">
        <v>14234</v>
      </c>
      <c r="L43" s="49">
        <v>20970</v>
      </c>
      <c r="M43" s="49">
        <v>20543</v>
      </c>
      <c r="N43" s="49">
        <v>20947</v>
      </c>
      <c r="O43" s="49">
        <v>21434</v>
      </c>
      <c r="P43" s="49">
        <v>22077</v>
      </c>
      <c r="Q43" s="49">
        <v>21768</v>
      </c>
      <c r="R43" s="49">
        <v>21920</v>
      </c>
      <c r="S43" s="49">
        <v>22830</v>
      </c>
      <c r="T43" s="49">
        <v>23049</v>
      </c>
      <c r="U43" s="49">
        <v>23018</v>
      </c>
      <c r="V43" s="49">
        <v>19981</v>
      </c>
      <c r="W43" s="49">
        <v>23210</v>
      </c>
      <c r="X43" s="49">
        <v>22989</v>
      </c>
      <c r="Y43" s="49">
        <v>21530</v>
      </c>
      <c r="Z43" s="49">
        <v>19831</v>
      </c>
      <c r="AA43" s="49">
        <v>17013</v>
      </c>
      <c r="AB43" s="49">
        <v>14946</v>
      </c>
      <c r="AC43" s="55">
        <v>13505119</v>
      </c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</row>
    <row r="44" spans="2:56" ht="18.649999999999999" customHeight="1" x14ac:dyDescent="0.25">
      <c r="B44" s="61" t="s">
        <v>41</v>
      </c>
      <c r="C44" s="4" t="s">
        <v>30</v>
      </c>
      <c r="D44" s="5">
        <v>5</v>
      </c>
      <c r="E44" s="49">
        <v>12863</v>
      </c>
      <c r="F44" s="49">
        <v>11894</v>
      </c>
      <c r="G44" s="49">
        <v>11443</v>
      </c>
      <c r="H44" s="49">
        <v>11381</v>
      </c>
      <c r="I44" s="49">
        <v>11703</v>
      </c>
      <c r="J44" s="49">
        <v>12053</v>
      </c>
      <c r="K44" s="49">
        <v>11484</v>
      </c>
      <c r="L44" s="49">
        <v>20139</v>
      </c>
      <c r="M44" s="49">
        <v>20782</v>
      </c>
      <c r="N44" s="49">
        <v>21744</v>
      </c>
      <c r="O44" s="49">
        <v>21861</v>
      </c>
      <c r="P44" s="49">
        <v>22321</v>
      </c>
      <c r="Q44" s="49">
        <v>22273</v>
      </c>
      <c r="R44" s="49">
        <v>21875</v>
      </c>
      <c r="S44" s="49">
        <v>22067</v>
      </c>
      <c r="T44" s="49">
        <v>22174</v>
      </c>
      <c r="U44" s="49">
        <v>22111</v>
      </c>
      <c r="V44" s="49">
        <v>18717</v>
      </c>
      <c r="W44" s="49">
        <v>23121</v>
      </c>
      <c r="X44" s="49">
        <v>22840</v>
      </c>
      <c r="Y44" s="49">
        <v>21971</v>
      </c>
      <c r="Z44" s="49">
        <v>20630</v>
      </c>
      <c r="AA44" s="49">
        <v>18283</v>
      </c>
      <c r="AB44" s="49">
        <v>16543</v>
      </c>
      <c r="AC44" s="56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</row>
    <row r="45" spans="2:56" ht="18.649999999999999" customHeight="1" x14ac:dyDescent="0.25">
      <c r="B45" s="61" t="s">
        <v>41</v>
      </c>
      <c r="C45" s="4" t="s">
        <v>31</v>
      </c>
      <c r="D45" s="5">
        <v>5</v>
      </c>
      <c r="E45" s="49">
        <v>13365</v>
      </c>
      <c r="F45" s="49">
        <v>12536</v>
      </c>
      <c r="G45" s="49">
        <v>11891</v>
      </c>
      <c r="H45" s="49">
        <v>11464</v>
      </c>
      <c r="I45" s="49">
        <v>11408</v>
      </c>
      <c r="J45" s="49">
        <v>10886</v>
      </c>
      <c r="K45" s="49">
        <v>9327</v>
      </c>
      <c r="L45" s="49">
        <v>16335</v>
      </c>
      <c r="M45" s="49">
        <v>17914</v>
      </c>
      <c r="N45" s="49">
        <v>19437</v>
      </c>
      <c r="O45" s="49">
        <v>19383</v>
      </c>
      <c r="P45" s="49">
        <v>19973</v>
      </c>
      <c r="Q45" s="49">
        <v>20316</v>
      </c>
      <c r="R45" s="49">
        <v>20001</v>
      </c>
      <c r="S45" s="49">
        <v>20431</v>
      </c>
      <c r="T45" s="49">
        <v>20506</v>
      </c>
      <c r="U45" s="49">
        <v>19839</v>
      </c>
      <c r="V45" s="49">
        <v>17495</v>
      </c>
      <c r="W45" s="49">
        <v>20847</v>
      </c>
      <c r="X45" s="49">
        <v>21230</v>
      </c>
      <c r="Y45" s="49">
        <v>20319</v>
      </c>
      <c r="Z45" s="49">
        <v>18442</v>
      </c>
      <c r="AA45" s="49">
        <v>16144</v>
      </c>
      <c r="AB45" s="49">
        <v>14078</v>
      </c>
      <c r="AC45" s="56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</row>
    <row r="46" spans="2:56" ht="18.649999999999999" customHeight="1" x14ac:dyDescent="0.25">
      <c r="B46" s="61" t="s">
        <v>41</v>
      </c>
      <c r="C46" s="4" t="s">
        <v>32</v>
      </c>
      <c r="D46" s="5">
        <v>1</v>
      </c>
      <c r="E46" s="49">
        <v>11916</v>
      </c>
      <c r="F46" s="49">
        <v>11412</v>
      </c>
      <c r="G46" s="49">
        <v>10804</v>
      </c>
      <c r="H46" s="49">
        <v>10659</v>
      </c>
      <c r="I46" s="49">
        <v>10874</v>
      </c>
      <c r="J46" s="49">
        <v>10844</v>
      </c>
      <c r="K46" s="49">
        <v>8760</v>
      </c>
      <c r="L46" s="49">
        <v>16333</v>
      </c>
      <c r="M46" s="49">
        <v>17190</v>
      </c>
      <c r="N46" s="49">
        <v>18969</v>
      </c>
      <c r="O46" s="49">
        <v>19540</v>
      </c>
      <c r="P46" s="49">
        <v>21086</v>
      </c>
      <c r="Q46" s="49">
        <v>21448</v>
      </c>
      <c r="R46" s="49">
        <v>21482</v>
      </c>
      <c r="S46" s="49">
        <v>21414</v>
      </c>
      <c r="T46" s="49">
        <v>20860</v>
      </c>
      <c r="U46" s="49">
        <v>20177</v>
      </c>
      <c r="V46" s="49">
        <v>19111</v>
      </c>
      <c r="W46" s="49">
        <v>23133</v>
      </c>
      <c r="X46" s="49">
        <v>22875</v>
      </c>
      <c r="Y46" s="49">
        <v>21848</v>
      </c>
      <c r="Z46" s="49">
        <v>20053</v>
      </c>
      <c r="AA46" s="49">
        <v>17353</v>
      </c>
      <c r="AB46" s="49">
        <v>15258</v>
      </c>
      <c r="AC46" s="57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</row>
    <row r="47" spans="2:56" ht="18.649999999999999" customHeight="1" x14ac:dyDescent="0.25">
      <c r="B47" s="61" t="s">
        <v>42</v>
      </c>
      <c r="C47" s="4" t="s">
        <v>29</v>
      </c>
      <c r="D47" s="5">
        <v>20</v>
      </c>
      <c r="E47" s="49">
        <v>11534</v>
      </c>
      <c r="F47" s="49">
        <v>11014</v>
      </c>
      <c r="G47" s="49">
        <v>10901</v>
      </c>
      <c r="H47" s="49">
        <v>10844</v>
      </c>
      <c r="I47" s="49">
        <v>11832</v>
      </c>
      <c r="J47" s="49">
        <v>14176</v>
      </c>
      <c r="K47" s="49">
        <v>14331</v>
      </c>
      <c r="L47" s="49">
        <v>21316</v>
      </c>
      <c r="M47" s="49">
        <v>20826</v>
      </c>
      <c r="N47" s="49">
        <v>21188</v>
      </c>
      <c r="O47" s="49">
        <v>21640</v>
      </c>
      <c r="P47" s="49">
        <v>22432</v>
      </c>
      <c r="Q47" s="49">
        <v>22244</v>
      </c>
      <c r="R47" s="49">
        <v>22159</v>
      </c>
      <c r="S47" s="49">
        <v>23174</v>
      </c>
      <c r="T47" s="49">
        <v>23381</v>
      </c>
      <c r="U47" s="49">
        <v>23220</v>
      </c>
      <c r="V47" s="49">
        <v>20060</v>
      </c>
      <c r="W47" s="49">
        <v>23538</v>
      </c>
      <c r="X47" s="49">
        <v>23360</v>
      </c>
      <c r="Y47" s="49">
        <v>21773</v>
      </c>
      <c r="Z47" s="49">
        <v>19911</v>
      </c>
      <c r="AA47" s="49">
        <v>17350</v>
      </c>
      <c r="AB47" s="49">
        <v>15313</v>
      </c>
      <c r="AC47" s="55">
        <v>13089684</v>
      </c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</row>
    <row r="48" spans="2:56" ht="18.649999999999999" customHeight="1" x14ac:dyDescent="0.25">
      <c r="B48" s="61" t="s">
        <v>42</v>
      </c>
      <c r="C48" s="4" t="s">
        <v>30</v>
      </c>
      <c r="D48" s="5">
        <v>4</v>
      </c>
      <c r="E48" s="49">
        <v>12055</v>
      </c>
      <c r="F48" s="49">
        <v>11271</v>
      </c>
      <c r="G48" s="49">
        <v>11006</v>
      </c>
      <c r="H48" s="49">
        <v>10845</v>
      </c>
      <c r="I48" s="49">
        <v>11399</v>
      </c>
      <c r="J48" s="49">
        <v>11713</v>
      </c>
      <c r="K48" s="49">
        <v>11782</v>
      </c>
      <c r="L48" s="49">
        <v>20130</v>
      </c>
      <c r="M48" s="49">
        <v>20984</v>
      </c>
      <c r="N48" s="49">
        <v>21541</v>
      </c>
      <c r="O48" s="49">
        <v>21741</v>
      </c>
      <c r="P48" s="49">
        <v>22122</v>
      </c>
      <c r="Q48" s="49">
        <v>21904</v>
      </c>
      <c r="R48" s="49">
        <v>21787</v>
      </c>
      <c r="S48" s="49">
        <v>21996</v>
      </c>
      <c r="T48" s="49">
        <v>22310</v>
      </c>
      <c r="U48" s="49">
        <v>22048</v>
      </c>
      <c r="V48" s="49">
        <v>19066</v>
      </c>
      <c r="W48" s="49">
        <v>22416</v>
      </c>
      <c r="X48" s="49">
        <v>22467</v>
      </c>
      <c r="Y48" s="49">
        <v>21062</v>
      </c>
      <c r="Z48" s="49">
        <v>19617</v>
      </c>
      <c r="AA48" s="49">
        <v>17837</v>
      </c>
      <c r="AB48" s="49">
        <v>15962</v>
      </c>
      <c r="AC48" s="56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</row>
    <row r="49" spans="2:56" ht="18.649999999999999" customHeight="1" x14ac:dyDescent="0.25">
      <c r="B49" s="61" t="s">
        <v>42</v>
      </c>
      <c r="C49" s="4" t="s">
        <v>31</v>
      </c>
      <c r="D49" s="5">
        <v>4</v>
      </c>
      <c r="E49" s="49">
        <v>12421</v>
      </c>
      <c r="F49" s="49">
        <v>11773</v>
      </c>
      <c r="G49" s="49">
        <v>11129</v>
      </c>
      <c r="H49" s="49">
        <v>10966</v>
      </c>
      <c r="I49" s="49">
        <v>11058</v>
      </c>
      <c r="J49" s="49">
        <v>10662</v>
      </c>
      <c r="K49" s="49">
        <v>9300</v>
      </c>
      <c r="L49" s="49">
        <v>16170</v>
      </c>
      <c r="M49" s="49">
        <v>17450</v>
      </c>
      <c r="N49" s="49">
        <v>18217</v>
      </c>
      <c r="O49" s="49">
        <v>18615</v>
      </c>
      <c r="P49" s="49">
        <v>19872</v>
      </c>
      <c r="Q49" s="49">
        <v>20153</v>
      </c>
      <c r="R49" s="49">
        <v>20529</v>
      </c>
      <c r="S49" s="49">
        <v>20688</v>
      </c>
      <c r="T49" s="49">
        <v>20760</v>
      </c>
      <c r="U49" s="49">
        <v>20849</v>
      </c>
      <c r="V49" s="49">
        <v>18043</v>
      </c>
      <c r="W49" s="49">
        <v>21075</v>
      </c>
      <c r="X49" s="49">
        <v>21182</v>
      </c>
      <c r="Y49" s="49">
        <v>20255</v>
      </c>
      <c r="Z49" s="49">
        <v>18876</v>
      </c>
      <c r="AA49" s="49">
        <v>16803</v>
      </c>
      <c r="AB49" s="49">
        <v>14739</v>
      </c>
      <c r="AC49" s="56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</row>
    <row r="50" spans="2:56" ht="18.649999999999999" customHeight="1" x14ac:dyDescent="0.25">
      <c r="B50" s="61" t="s">
        <v>42</v>
      </c>
      <c r="C50" s="4" t="s">
        <v>32</v>
      </c>
      <c r="D50" s="5">
        <v>2</v>
      </c>
      <c r="E50" s="49">
        <v>11654</v>
      </c>
      <c r="F50" s="49">
        <v>11081</v>
      </c>
      <c r="G50" s="49">
        <v>10909</v>
      </c>
      <c r="H50" s="49">
        <v>10614</v>
      </c>
      <c r="I50" s="49">
        <v>10674</v>
      </c>
      <c r="J50" s="49">
        <v>10978</v>
      </c>
      <c r="K50" s="49">
        <v>9201</v>
      </c>
      <c r="L50" s="49">
        <v>15889</v>
      </c>
      <c r="M50" s="49">
        <v>17037</v>
      </c>
      <c r="N50" s="49">
        <v>18203</v>
      </c>
      <c r="O50" s="49">
        <v>18954</v>
      </c>
      <c r="P50" s="49">
        <v>19968</v>
      </c>
      <c r="Q50" s="49">
        <v>20339</v>
      </c>
      <c r="R50" s="49">
        <v>20568</v>
      </c>
      <c r="S50" s="49">
        <v>20483</v>
      </c>
      <c r="T50" s="49">
        <v>20298</v>
      </c>
      <c r="U50" s="49">
        <v>19612</v>
      </c>
      <c r="V50" s="49">
        <v>17974</v>
      </c>
      <c r="W50" s="49">
        <v>21538</v>
      </c>
      <c r="X50" s="49">
        <v>21511</v>
      </c>
      <c r="Y50" s="49">
        <v>20418</v>
      </c>
      <c r="Z50" s="49">
        <v>18359</v>
      </c>
      <c r="AA50" s="49">
        <v>16121</v>
      </c>
      <c r="AB50" s="49">
        <v>13997</v>
      </c>
      <c r="AC50" s="57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</row>
    <row r="51" spans="2:56" ht="18.649999999999999" customHeight="1" x14ac:dyDescent="0.25">
      <c r="B51" s="61" t="s">
        <v>43</v>
      </c>
      <c r="C51" s="4" t="s">
        <v>29</v>
      </c>
      <c r="D51" s="5">
        <v>22</v>
      </c>
      <c r="E51" s="49">
        <v>12170</v>
      </c>
      <c r="F51" s="49">
        <v>11420</v>
      </c>
      <c r="G51" s="49">
        <v>11143</v>
      </c>
      <c r="H51" s="49">
        <v>11069</v>
      </c>
      <c r="I51" s="49">
        <v>11681</v>
      </c>
      <c r="J51" s="49">
        <v>12921</v>
      </c>
      <c r="K51" s="49">
        <v>12755</v>
      </c>
      <c r="L51" s="49">
        <v>20516</v>
      </c>
      <c r="M51" s="49">
        <v>20883</v>
      </c>
      <c r="N51" s="49">
        <v>21416</v>
      </c>
      <c r="O51" s="49">
        <v>22003</v>
      </c>
      <c r="P51" s="49">
        <v>22784</v>
      </c>
      <c r="Q51" s="49">
        <v>22652</v>
      </c>
      <c r="R51" s="49">
        <v>22554</v>
      </c>
      <c r="S51" s="49">
        <v>22956</v>
      </c>
      <c r="T51" s="49">
        <v>23129</v>
      </c>
      <c r="U51" s="49">
        <v>22928</v>
      </c>
      <c r="V51" s="49">
        <v>20144</v>
      </c>
      <c r="W51" s="49">
        <v>23707</v>
      </c>
      <c r="X51" s="49">
        <v>23509</v>
      </c>
      <c r="Y51" s="49">
        <v>22392</v>
      </c>
      <c r="Z51" s="49">
        <v>20643</v>
      </c>
      <c r="AA51" s="49">
        <v>18247</v>
      </c>
      <c r="AB51" s="49">
        <v>16030</v>
      </c>
      <c r="AC51" s="55">
        <v>13514959</v>
      </c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</row>
    <row r="52" spans="2:56" ht="18.649999999999999" customHeight="1" x14ac:dyDescent="0.25">
      <c r="B52" s="61" t="s">
        <v>43</v>
      </c>
      <c r="C52" s="4" t="s">
        <v>30</v>
      </c>
      <c r="D52" s="5">
        <v>3</v>
      </c>
      <c r="E52" s="49">
        <v>12853</v>
      </c>
      <c r="F52" s="49">
        <v>11884</v>
      </c>
      <c r="G52" s="49">
        <v>11416</v>
      </c>
      <c r="H52" s="49">
        <v>11298</v>
      </c>
      <c r="I52" s="49">
        <v>11488</v>
      </c>
      <c r="J52" s="49">
        <v>12109</v>
      </c>
      <c r="K52" s="49">
        <v>11402</v>
      </c>
      <c r="L52" s="49">
        <v>19685</v>
      </c>
      <c r="M52" s="49">
        <v>20783</v>
      </c>
      <c r="N52" s="49">
        <v>21411</v>
      </c>
      <c r="O52" s="49">
        <v>21571</v>
      </c>
      <c r="P52" s="49">
        <v>21743</v>
      </c>
      <c r="Q52" s="49">
        <v>22105</v>
      </c>
      <c r="R52" s="49">
        <v>21670</v>
      </c>
      <c r="S52" s="49">
        <v>21148</v>
      </c>
      <c r="T52" s="49">
        <v>21269</v>
      </c>
      <c r="U52" s="49">
        <v>21180</v>
      </c>
      <c r="V52" s="49">
        <v>18594</v>
      </c>
      <c r="W52" s="49">
        <v>22012</v>
      </c>
      <c r="X52" s="49">
        <v>21709</v>
      </c>
      <c r="Y52" s="49">
        <v>20627</v>
      </c>
      <c r="Z52" s="49">
        <v>19077</v>
      </c>
      <c r="AA52" s="49">
        <v>17427</v>
      </c>
      <c r="AB52" s="49">
        <v>15832</v>
      </c>
      <c r="AC52" s="56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</row>
    <row r="53" spans="2:56" ht="18.649999999999999" customHeight="1" x14ac:dyDescent="0.25">
      <c r="B53" s="61" t="s">
        <v>43</v>
      </c>
      <c r="C53" s="4" t="s">
        <v>31</v>
      </c>
      <c r="D53" s="5">
        <v>4</v>
      </c>
      <c r="E53" s="49">
        <v>12946</v>
      </c>
      <c r="F53" s="49">
        <v>12128</v>
      </c>
      <c r="G53" s="49">
        <v>11471</v>
      </c>
      <c r="H53" s="49">
        <v>11138</v>
      </c>
      <c r="I53" s="49">
        <v>10813</v>
      </c>
      <c r="J53" s="49">
        <v>10550</v>
      </c>
      <c r="K53" s="49">
        <v>9001</v>
      </c>
      <c r="L53" s="49">
        <v>15415</v>
      </c>
      <c r="M53" s="49">
        <v>16806</v>
      </c>
      <c r="N53" s="49">
        <v>17714</v>
      </c>
      <c r="O53" s="49">
        <v>18131</v>
      </c>
      <c r="P53" s="49">
        <v>18574</v>
      </c>
      <c r="Q53" s="49">
        <v>19493</v>
      </c>
      <c r="R53" s="49">
        <v>19635</v>
      </c>
      <c r="S53" s="49">
        <v>19754</v>
      </c>
      <c r="T53" s="49">
        <v>19712</v>
      </c>
      <c r="U53" s="49">
        <v>19155</v>
      </c>
      <c r="V53" s="49">
        <v>16874</v>
      </c>
      <c r="W53" s="49">
        <v>20812</v>
      </c>
      <c r="X53" s="49">
        <v>21439</v>
      </c>
      <c r="Y53" s="49">
        <v>20993</v>
      </c>
      <c r="Z53" s="49">
        <v>19738</v>
      </c>
      <c r="AA53" s="49">
        <v>17422</v>
      </c>
      <c r="AB53" s="49">
        <v>15067</v>
      </c>
      <c r="AC53" s="56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</row>
    <row r="54" spans="2:56" ht="18.649999999999999" customHeight="1" x14ac:dyDescent="0.25">
      <c r="B54" s="61" t="s">
        <v>43</v>
      </c>
      <c r="C54" s="4" t="s">
        <v>32</v>
      </c>
      <c r="D54" s="5">
        <v>2</v>
      </c>
      <c r="E54" s="49">
        <v>13369</v>
      </c>
      <c r="F54" s="49">
        <v>12884</v>
      </c>
      <c r="G54" s="49">
        <v>12177</v>
      </c>
      <c r="H54" s="49">
        <v>11455</v>
      </c>
      <c r="I54" s="49">
        <v>10955</v>
      </c>
      <c r="J54" s="49">
        <v>10394</v>
      </c>
      <c r="K54" s="49">
        <v>8028</v>
      </c>
      <c r="L54" s="49">
        <v>14319</v>
      </c>
      <c r="M54" s="49">
        <v>15097</v>
      </c>
      <c r="N54" s="49">
        <v>15757</v>
      </c>
      <c r="O54" s="49">
        <v>16401</v>
      </c>
      <c r="P54" s="49">
        <v>17208</v>
      </c>
      <c r="Q54" s="49">
        <v>18077</v>
      </c>
      <c r="R54" s="49">
        <v>18522</v>
      </c>
      <c r="S54" s="49">
        <v>18543</v>
      </c>
      <c r="T54" s="49">
        <v>18617</v>
      </c>
      <c r="U54" s="49">
        <v>18838</v>
      </c>
      <c r="V54" s="49">
        <v>16144</v>
      </c>
      <c r="W54" s="49">
        <v>20248</v>
      </c>
      <c r="X54" s="49">
        <v>20535</v>
      </c>
      <c r="Y54" s="49">
        <v>19846</v>
      </c>
      <c r="Z54" s="49">
        <v>18422</v>
      </c>
      <c r="AA54" s="49">
        <v>16143</v>
      </c>
      <c r="AB54" s="49">
        <v>14327</v>
      </c>
      <c r="AC54" s="57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</row>
    <row r="55" spans="2:56" ht="18.649999999999999" customHeight="1" x14ac:dyDescent="0.3">
      <c r="Z55" s="63" t="s">
        <v>46</v>
      </c>
      <c r="AA55" s="63"/>
      <c r="AB55" s="63"/>
      <c r="AC55" s="6">
        <f>SUM(AC7:AC54)</f>
        <v>162167221</v>
      </c>
    </row>
    <row r="56" spans="2:56" ht="18.649999999999999" customHeight="1" x14ac:dyDescent="0.25">
      <c r="AC56" s="54"/>
    </row>
    <row r="62" spans="2:56" x14ac:dyDescent="0.25">
      <c r="E62" s="1">
        <v>1000</v>
      </c>
    </row>
  </sheetData>
  <mergeCells count="16">
    <mergeCell ref="B35:B38"/>
    <mergeCell ref="B51:B54"/>
    <mergeCell ref="Z55:AB55"/>
    <mergeCell ref="B39:B42"/>
    <mergeCell ref="B43:B46"/>
    <mergeCell ref="B47:B50"/>
    <mergeCell ref="B15:B18"/>
    <mergeCell ref="B19:B22"/>
    <mergeCell ref="B23:B26"/>
    <mergeCell ref="B27:B30"/>
    <mergeCell ref="B31:B34"/>
    <mergeCell ref="B11:B14"/>
    <mergeCell ref="B2:AC2"/>
    <mergeCell ref="B3:AC3"/>
    <mergeCell ref="B4:AC4"/>
    <mergeCell ref="B7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8F13-9E1B-473E-ACBE-FA4A8E59A5B0}">
  <dimension ref="B1:BD61"/>
  <sheetViews>
    <sheetView showGridLines="0" zoomScale="70" zoomScaleNormal="70" workbookViewId="0">
      <selection activeCell="AI24" sqref="AI24"/>
    </sheetView>
  </sheetViews>
  <sheetFormatPr baseColWidth="10" defaultColWidth="11.453125" defaultRowHeight="11.5" x14ac:dyDescent="0.25"/>
  <cols>
    <col min="1" max="1" width="6.5429687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453125" style="7" bestFit="1" customWidth="1"/>
    <col min="12" max="28" width="9.7265625" style="7" bestFit="1" customWidth="1"/>
    <col min="29" max="29" width="17.26953125" style="7" bestFit="1" customWidth="1"/>
    <col min="30" max="30" width="5.81640625" style="7" customWidth="1"/>
    <col min="31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67" t="s">
        <v>45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2:56" ht="18.649999999999999" customHeight="1" x14ac:dyDescent="0.25">
      <c r="B3" s="67" t="s">
        <v>44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2:56" ht="18.649999999999999" customHeight="1" x14ac:dyDescent="0.25">
      <c r="B4" s="67">
        <v>2028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61" t="s">
        <v>28</v>
      </c>
      <c r="C7" s="4" t="s">
        <v>29</v>
      </c>
      <c r="D7" s="5">
        <v>20</v>
      </c>
      <c r="E7" s="43">
        <v>2924</v>
      </c>
      <c r="F7" s="43">
        <v>2709</v>
      </c>
      <c r="G7" s="43">
        <v>2611</v>
      </c>
      <c r="H7" s="43">
        <v>2533</v>
      </c>
      <c r="I7" s="43">
        <v>2466</v>
      </c>
      <c r="J7" s="43">
        <v>2330</v>
      </c>
      <c r="K7" s="43">
        <v>2040</v>
      </c>
      <c r="L7" s="43">
        <v>4095</v>
      </c>
      <c r="M7" s="43">
        <v>4459</v>
      </c>
      <c r="N7" s="43">
        <v>4692</v>
      </c>
      <c r="O7" s="43">
        <v>4800</v>
      </c>
      <c r="P7" s="43">
        <v>4883</v>
      </c>
      <c r="Q7" s="43">
        <v>5108</v>
      </c>
      <c r="R7" s="43">
        <v>5061</v>
      </c>
      <c r="S7" s="43">
        <v>4928</v>
      </c>
      <c r="T7" s="43">
        <v>4850</v>
      </c>
      <c r="U7" s="43">
        <v>4808</v>
      </c>
      <c r="V7" s="43">
        <v>1688</v>
      </c>
      <c r="W7" s="43">
        <v>2003</v>
      </c>
      <c r="X7" s="43">
        <v>2312</v>
      </c>
      <c r="Y7" s="43">
        <v>2331</v>
      </c>
      <c r="Z7" s="43">
        <v>2243</v>
      </c>
      <c r="AA7" s="43">
        <v>2059</v>
      </c>
      <c r="AB7" s="43">
        <v>1927</v>
      </c>
      <c r="AC7" s="64">
        <f>+SUM(E7:AB7)*D7+SUM(E8:AB8)*D8+SUM(E9:AB9)*D9+SUM(E10:AB10)*D10</f>
        <v>2766303</v>
      </c>
      <c r="AE7" s="7">
        <f>((+AC7)*1000)/1000</f>
        <v>2766303</v>
      </c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 spans="2:56" ht="18.649999999999999" customHeight="1" x14ac:dyDescent="0.25">
      <c r="B8" s="61" t="s">
        <v>28</v>
      </c>
      <c r="C8" s="4" t="s">
        <v>30</v>
      </c>
      <c r="D8" s="5">
        <v>4</v>
      </c>
      <c r="E8" s="43">
        <v>2467</v>
      </c>
      <c r="F8" s="43">
        <v>2406</v>
      </c>
      <c r="G8" s="43">
        <v>2423</v>
      </c>
      <c r="H8" s="43">
        <v>2418</v>
      </c>
      <c r="I8" s="43">
        <v>2687</v>
      </c>
      <c r="J8" s="43">
        <v>3689</v>
      </c>
      <c r="K8" s="43">
        <v>4087</v>
      </c>
      <c r="L8" s="43">
        <v>5705</v>
      </c>
      <c r="M8" s="43">
        <v>5295</v>
      </c>
      <c r="N8" s="43">
        <v>5425</v>
      </c>
      <c r="O8" s="43">
        <v>5741</v>
      </c>
      <c r="P8" s="43">
        <v>6263</v>
      </c>
      <c r="Q8" s="43">
        <v>6062</v>
      </c>
      <c r="R8" s="43">
        <v>6229</v>
      </c>
      <c r="S8" s="43">
        <v>6567</v>
      </c>
      <c r="T8" s="43">
        <v>6723</v>
      </c>
      <c r="U8" s="43">
        <v>6654</v>
      </c>
      <c r="V8" s="43">
        <v>3281</v>
      </c>
      <c r="W8" s="43">
        <v>3481</v>
      </c>
      <c r="X8" s="43">
        <v>3686</v>
      </c>
      <c r="Y8" s="43">
        <v>3601</v>
      </c>
      <c r="Z8" s="43">
        <v>3237</v>
      </c>
      <c r="AA8" s="43">
        <v>2351</v>
      </c>
      <c r="AB8" s="43">
        <v>1538</v>
      </c>
      <c r="AC8" s="65"/>
      <c r="AE8" s="7">
        <f>((+AC11)*1000)/1000</f>
        <v>2501857</v>
      </c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2:56" ht="18.649999999999999" customHeight="1" x14ac:dyDescent="0.25">
      <c r="B9" s="61" t="s">
        <v>28</v>
      </c>
      <c r="C9" s="4" t="s">
        <v>31</v>
      </c>
      <c r="D9" s="5">
        <v>5</v>
      </c>
      <c r="E9" s="43">
        <v>2218</v>
      </c>
      <c r="F9" s="43">
        <v>2263</v>
      </c>
      <c r="G9" s="43">
        <v>2257</v>
      </c>
      <c r="H9" s="43">
        <v>2365</v>
      </c>
      <c r="I9" s="43">
        <v>2858</v>
      </c>
      <c r="J9" s="43">
        <v>4230</v>
      </c>
      <c r="K9" s="43">
        <v>5412</v>
      </c>
      <c r="L9" s="43">
        <v>7501</v>
      </c>
      <c r="M9" s="43">
        <v>7136</v>
      </c>
      <c r="N9" s="43">
        <v>7056</v>
      </c>
      <c r="O9" s="43">
        <v>7284</v>
      </c>
      <c r="P9" s="43">
        <v>7910</v>
      </c>
      <c r="Q9" s="43">
        <v>7280</v>
      </c>
      <c r="R9" s="43">
        <v>7025</v>
      </c>
      <c r="S9" s="43">
        <v>7413</v>
      </c>
      <c r="T9" s="43">
        <v>7522</v>
      </c>
      <c r="U9" s="43">
        <v>7451</v>
      </c>
      <c r="V9" s="43">
        <v>4291</v>
      </c>
      <c r="W9" s="43">
        <v>4686</v>
      </c>
      <c r="X9" s="43">
        <v>4275</v>
      </c>
      <c r="Y9" s="43">
        <v>3821</v>
      </c>
      <c r="Z9" s="43">
        <v>3438</v>
      </c>
      <c r="AA9" s="43">
        <v>2986</v>
      </c>
      <c r="AB9" s="43">
        <v>2671</v>
      </c>
      <c r="AC9" s="65"/>
      <c r="AE9" s="7">
        <f>((+AC15)*1000)/1000</f>
        <v>2619980</v>
      </c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 spans="2:56" ht="18.649999999999999" customHeight="1" x14ac:dyDescent="0.25">
      <c r="B10" s="61" t="s">
        <v>28</v>
      </c>
      <c r="C10" s="4" t="s">
        <v>32</v>
      </c>
      <c r="D10" s="5">
        <v>2</v>
      </c>
      <c r="E10" s="43">
        <v>2356</v>
      </c>
      <c r="F10" s="43">
        <v>2276</v>
      </c>
      <c r="G10" s="43">
        <v>2125</v>
      </c>
      <c r="H10" s="43">
        <v>2101</v>
      </c>
      <c r="I10" s="43">
        <v>2140</v>
      </c>
      <c r="J10" s="43">
        <v>2206</v>
      </c>
      <c r="K10" s="43">
        <v>2392</v>
      </c>
      <c r="L10" s="43">
        <v>4297</v>
      </c>
      <c r="M10" s="43">
        <v>4564</v>
      </c>
      <c r="N10" s="43">
        <v>4634</v>
      </c>
      <c r="O10" s="43">
        <v>4815</v>
      </c>
      <c r="P10" s="43">
        <v>4805</v>
      </c>
      <c r="Q10" s="43">
        <v>4930</v>
      </c>
      <c r="R10" s="43">
        <v>4827</v>
      </c>
      <c r="S10" s="43">
        <v>4818</v>
      </c>
      <c r="T10" s="43">
        <v>4778</v>
      </c>
      <c r="U10" s="43">
        <v>4783</v>
      </c>
      <c r="V10" s="43">
        <v>1866</v>
      </c>
      <c r="W10" s="43">
        <v>2207</v>
      </c>
      <c r="X10" s="43">
        <v>2249</v>
      </c>
      <c r="Y10" s="43">
        <v>2056</v>
      </c>
      <c r="Z10" s="43">
        <v>1964</v>
      </c>
      <c r="AA10" s="43">
        <v>2080</v>
      </c>
      <c r="AB10" s="43">
        <v>1878</v>
      </c>
      <c r="AC10" s="66"/>
      <c r="AE10" s="7">
        <f>((+AC19)*1000)/1000</f>
        <v>2723545</v>
      </c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2:56" ht="18.649999999999999" customHeight="1" x14ac:dyDescent="0.25">
      <c r="B11" s="61" t="s">
        <v>33</v>
      </c>
      <c r="C11" s="4" t="s">
        <v>29</v>
      </c>
      <c r="D11" s="5">
        <v>21</v>
      </c>
      <c r="E11" s="43">
        <v>1782</v>
      </c>
      <c r="F11" s="43">
        <v>1854</v>
      </c>
      <c r="G11" s="43">
        <v>1710</v>
      </c>
      <c r="H11" s="43">
        <v>1858</v>
      </c>
      <c r="I11" s="43">
        <v>1796</v>
      </c>
      <c r="J11" s="43">
        <v>2871</v>
      </c>
      <c r="K11" s="43">
        <v>3806</v>
      </c>
      <c r="L11" s="43">
        <v>5645</v>
      </c>
      <c r="M11" s="43">
        <v>5519</v>
      </c>
      <c r="N11" s="43">
        <v>5463</v>
      </c>
      <c r="O11" s="43">
        <v>5575</v>
      </c>
      <c r="P11" s="43">
        <v>5698</v>
      </c>
      <c r="Q11" s="43">
        <v>5508</v>
      </c>
      <c r="R11" s="43">
        <v>5457</v>
      </c>
      <c r="S11" s="43">
        <v>5580</v>
      </c>
      <c r="T11" s="43">
        <v>5684</v>
      </c>
      <c r="U11" s="43">
        <v>5729</v>
      </c>
      <c r="V11" s="43">
        <v>2708</v>
      </c>
      <c r="W11" s="43">
        <v>2995</v>
      </c>
      <c r="X11" s="43">
        <v>2697</v>
      </c>
      <c r="Y11" s="43">
        <v>2482</v>
      </c>
      <c r="Z11" s="43">
        <v>2240</v>
      </c>
      <c r="AA11" s="43">
        <v>1738</v>
      </c>
      <c r="AB11" s="43">
        <v>1250</v>
      </c>
      <c r="AC11" s="64">
        <f>+SUM(E11:AB11)*D11+SUM(E12:AB12)*D12+SUM(E13:AB13)*D13+SUM(E14:AB14)*D14</f>
        <v>2501857</v>
      </c>
      <c r="AE11" s="7">
        <f>((+AC23)*1000)/1000</f>
        <v>2724187</v>
      </c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 spans="2:56" ht="18.649999999999999" customHeight="1" x14ac:dyDescent="0.25">
      <c r="B12" s="61" t="s">
        <v>33</v>
      </c>
      <c r="C12" s="4" t="s">
        <v>30</v>
      </c>
      <c r="D12" s="5">
        <v>4</v>
      </c>
      <c r="E12" s="43">
        <v>2192</v>
      </c>
      <c r="F12" s="43">
        <v>2088</v>
      </c>
      <c r="G12" s="43">
        <v>2044</v>
      </c>
      <c r="H12" s="43">
        <v>1946</v>
      </c>
      <c r="I12" s="43">
        <v>1998</v>
      </c>
      <c r="J12" s="43">
        <v>2158</v>
      </c>
      <c r="K12" s="43">
        <v>2949</v>
      </c>
      <c r="L12" s="43">
        <v>5260</v>
      </c>
      <c r="M12" s="43">
        <v>5489</v>
      </c>
      <c r="N12" s="43">
        <v>5595</v>
      </c>
      <c r="O12" s="43">
        <v>5632</v>
      </c>
      <c r="P12" s="43">
        <v>5744</v>
      </c>
      <c r="Q12" s="43">
        <v>5501</v>
      </c>
      <c r="R12" s="43">
        <v>5412</v>
      </c>
      <c r="S12" s="43">
        <v>5438</v>
      </c>
      <c r="T12" s="43">
        <v>5429</v>
      </c>
      <c r="U12" s="43">
        <v>5628</v>
      </c>
      <c r="V12" s="43">
        <v>2837</v>
      </c>
      <c r="W12" s="43">
        <v>2921</v>
      </c>
      <c r="X12" s="43">
        <v>2748</v>
      </c>
      <c r="Y12" s="43">
        <v>2609</v>
      </c>
      <c r="Z12" s="43">
        <v>2137</v>
      </c>
      <c r="AA12" s="43">
        <v>1689</v>
      </c>
      <c r="AB12" s="43">
        <v>1243</v>
      </c>
      <c r="AC12" s="65"/>
      <c r="AE12" s="7">
        <f>((+AC27)*1000)/1000</f>
        <v>2695390</v>
      </c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2:56" ht="18.649999999999999" customHeight="1" x14ac:dyDescent="0.25">
      <c r="B13" s="61" t="s">
        <v>33</v>
      </c>
      <c r="C13" s="4" t="s">
        <v>31</v>
      </c>
      <c r="D13" s="5">
        <v>4</v>
      </c>
      <c r="E13" s="43">
        <v>2106</v>
      </c>
      <c r="F13" s="43">
        <v>1991</v>
      </c>
      <c r="G13" s="43">
        <v>1847</v>
      </c>
      <c r="H13" s="43">
        <v>1792</v>
      </c>
      <c r="I13" s="43">
        <v>1853</v>
      </c>
      <c r="J13" s="43">
        <v>1858</v>
      </c>
      <c r="K13" s="43">
        <v>2204</v>
      </c>
      <c r="L13" s="43">
        <v>4296</v>
      </c>
      <c r="M13" s="43">
        <v>4694</v>
      </c>
      <c r="N13" s="43">
        <v>4914</v>
      </c>
      <c r="O13" s="43">
        <v>4846</v>
      </c>
      <c r="P13" s="43">
        <v>5176</v>
      </c>
      <c r="Q13" s="43">
        <v>5401</v>
      </c>
      <c r="R13" s="43">
        <v>5485</v>
      </c>
      <c r="S13" s="43">
        <v>5319</v>
      </c>
      <c r="T13" s="43">
        <v>5773</v>
      </c>
      <c r="U13" s="43">
        <v>5078</v>
      </c>
      <c r="V13" s="43">
        <v>2349</v>
      </c>
      <c r="W13" s="43">
        <v>3163</v>
      </c>
      <c r="X13" s="43">
        <v>2188</v>
      </c>
      <c r="Y13" s="43">
        <v>2141</v>
      </c>
      <c r="Z13" s="43">
        <v>1821</v>
      </c>
      <c r="AA13" s="43">
        <v>1311</v>
      </c>
      <c r="AB13" s="43">
        <v>1035</v>
      </c>
      <c r="AC13" s="65"/>
      <c r="AE13" s="7">
        <f>((+AC31)*1000)/1000</f>
        <v>2897980</v>
      </c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 spans="2:56" ht="18.649999999999999" customHeight="1" x14ac:dyDescent="0.25">
      <c r="B14" s="61" t="s">
        <v>33</v>
      </c>
      <c r="C14" s="4" t="s">
        <v>32</v>
      </c>
      <c r="D14" s="5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66"/>
      <c r="AE14" s="7">
        <f>((+AC35)*1000)/1000</f>
        <v>2910774</v>
      </c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2:56" ht="18.649999999999999" customHeight="1" x14ac:dyDescent="0.25">
      <c r="B15" s="61" t="s">
        <v>34</v>
      </c>
      <c r="C15" s="4" t="s">
        <v>29</v>
      </c>
      <c r="D15" s="5">
        <v>22</v>
      </c>
      <c r="E15" s="43">
        <v>2014</v>
      </c>
      <c r="F15" s="43">
        <v>1914</v>
      </c>
      <c r="G15" s="43">
        <v>1890</v>
      </c>
      <c r="H15" s="43">
        <v>1891</v>
      </c>
      <c r="I15" s="43">
        <v>2173</v>
      </c>
      <c r="J15" s="43">
        <v>2929</v>
      </c>
      <c r="K15" s="43">
        <v>3492</v>
      </c>
      <c r="L15" s="43">
        <v>5084</v>
      </c>
      <c r="M15" s="43">
        <v>4950</v>
      </c>
      <c r="N15" s="43">
        <v>4928</v>
      </c>
      <c r="O15" s="43">
        <v>4886</v>
      </c>
      <c r="P15" s="43">
        <v>5329</v>
      </c>
      <c r="Q15" s="43">
        <v>5280</v>
      </c>
      <c r="R15" s="43">
        <v>5208</v>
      </c>
      <c r="S15" s="43">
        <v>5362</v>
      </c>
      <c r="T15" s="43">
        <v>5421</v>
      </c>
      <c r="U15" s="43">
        <v>5280</v>
      </c>
      <c r="V15" s="43">
        <v>2499</v>
      </c>
      <c r="W15" s="43">
        <v>2858</v>
      </c>
      <c r="X15" s="43">
        <v>2842</v>
      </c>
      <c r="Y15" s="43">
        <v>2775</v>
      </c>
      <c r="Z15" s="43">
        <v>2226</v>
      </c>
      <c r="AA15" s="43">
        <v>1876</v>
      </c>
      <c r="AB15" s="43">
        <v>1356</v>
      </c>
      <c r="AC15" s="64">
        <f>+SUM(E15:AB15)*D15+SUM(E16:AB16)*D16+SUM(E17:AB17)*D17+SUM(E18:AB18)*D18</f>
        <v>2619980</v>
      </c>
      <c r="AE15" s="7">
        <f>((+AC39)*1000)/1000</f>
        <v>2814865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 spans="2:56" ht="18.649999999999999" customHeight="1" x14ac:dyDescent="0.25">
      <c r="B16" s="61" t="s">
        <v>34</v>
      </c>
      <c r="C16" s="4" t="s">
        <v>30</v>
      </c>
      <c r="D16" s="5">
        <v>4</v>
      </c>
      <c r="E16" s="43">
        <v>1762</v>
      </c>
      <c r="F16" s="43">
        <v>2068</v>
      </c>
      <c r="G16" s="43">
        <v>2015</v>
      </c>
      <c r="H16" s="43">
        <v>1981</v>
      </c>
      <c r="I16" s="43">
        <v>2090</v>
      </c>
      <c r="J16" s="43">
        <v>2355</v>
      </c>
      <c r="K16" s="43">
        <v>2964</v>
      </c>
      <c r="L16" s="43">
        <v>5173</v>
      </c>
      <c r="M16" s="43">
        <v>5354</v>
      </c>
      <c r="N16" s="43">
        <v>5507</v>
      </c>
      <c r="O16" s="43">
        <v>5510</v>
      </c>
      <c r="P16" s="43">
        <v>5394</v>
      </c>
      <c r="Q16" s="43">
        <v>5457</v>
      </c>
      <c r="R16" s="43">
        <v>5387</v>
      </c>
      <c r="S16" s="43">
        <v>5472</v>
      </c>
      <c r="T16" s="43">
        <v>5569</v>
      </c>
      <c r="U16" s="43">
        <v>5569</v>
      </c>
      <c r="V16" s="43">
        <v>2700</v>
      </c>
      <c r="W16" s="43">
        <v>2663</v>
      </c>
      <c r="X16" s="43">
        <v>2922</v>
      </c>
      <c r="Y16" s="43">
        <v>2848</v>
      </c>
      <c r="Z16" s="43">
        <v>2540</v>
      </c>
      <c r="AA16" s="43">
        <v>2181</v>
      </c>
      <c r="AB16" s="43">
        <v>1729</v>
      </c>
      <c r="AC16" s="65"/>
      <c r="AE16" s="7">
        <f>((+AC43)*1000)/1000</f>
        <v>2910046</v>
      </c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2:56" ht="18.649999999999999" customHeight="1" x14ac:dyDescent="0.25">
      <c r="B17" s="61" t="s">
        <v>34</v>
      </c>
      <c r="C17" s="4" t="s">
        <v>31</v>
      </c>
      <c r="D17" s="5">
        <v>4</v>
      </c>
      <c r="E17" s="43">
        <v>2379</v>
      </c>
      <c r="F17" s="43">
        <v>2306</v>
      </c>
      <c r="G17" s="43">
        <v>2068</v>
      </c>
      <c r="H17" s="43">
        <v>2209</v>
      </c>
      <c r="I17" s="43">
        <v>2233</v>
      </c>
      <c r="J17" s="43">
        <v>1610</v>
      </c>
      <c r="K17" s="43">
        <v>2267</v>
      </c>
      <c r="L17" s="43">
        <v>4224</v>
      </c>
      <c r="M17" s="43">
        <v>4480</v>
      </c>
      <c r="N17" s="43">
        <v>4428</v>
      </c>
      <c r="O17" s="43">
        <v>4702</v>
      </c>
      <c r="P17" s="43">
        <v>5066</v>
      </c>
      <c r="Q17" s="43">
        <v>4915</v>
      </c>
      <c r="R17" s="43">
        <v>5072</v>
      </c>
      <c r="S17" s="43">
        <v>5037</v>
      </c>
      <c r="T17" s="43">
        <v>5033</v>
      </c>
      <c r="U17" s="43">
        <v>5024</v>
      </c>
      <c r="V17" s="43">
        <v>2455</v>
      </c>
      <c r="W17" s="43">
        <v>2619</v>
      </c>
      <c r="X17" s="43">
        <v>2684</v>
      </c>
      <c r="Y17" s="43">
        <v>2950</v>
      </c>
      <c r="Z17" s="43">
        <v>2482</v>
      </c>
      <c r="AA17" s="43">
        <v>2095</v>
      </c>
      <c r="AB17" s="43">
        <v>1512</v>
      </c>
      <c r="AC17" s="65"/>
      <c r="AE17" s="7">
        <f>((+AC47)*1000)/1000</f>
        <v>2854598</v>
      </c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 spans="2:56" ht="18.649999999999999" customHeight="1" x14ac:dyDescent="0.25">
      <c r="B18" s="61" t="s">
        <v>34</v>
      </c>
      <c r="C18" s="4" t="s">
        <v>32</v>
      </c>
      <c r="D18" s="5">
        <v>1</v>
      </c>
      <c r="E18" s="43">
        <v>2737</v>
      </c>
      <c r="F18" s="43">
        <v>2748</v>
      </c>
      <c r="G18" s="43">
        <v>2537</v>
      </c>
      <c r="H18" s="43">
        <v>2562</v>
      </c>
      <c r="I18" s="43">
        <v>2603</v>
      </c>
      <c r="J18" s="43">
        <v>2443</v>
      </c>
      <c r="K18" s="43">
        <v>2710</v>
      </c>
      <c r="L18" s="43">
        <v>4552</v>
      </c>
      <c r="M18" s="43">
        <v>4716</v>
      </c>
      <c r="N18" s="43">
        <v>4887</v>
      </c>
      <c r="O18" s="43">
        <v>5322</v>
      </c>
      <c r="P18" s="43">
        <v>5465</v>
      </c>
      <c r="Q18" s="43">
        <v>5609</v>
      </c>
      <c r="R18" s="43">
        <v>5514</v>
      </c>
      <c r="S18" s="43">
        <v>5785</v>
      </c>
      <c r="T18" s="43">
        <v>5781</v>
      </c>
      <c r="U18" s="43">
        <v>5801</v>
      </c>
      <c r="V18" s="43">
        <v>3318</v>
      </c>
      <c r="W18" s="43">
        <v>3902</v>
      </c>
      <c r="X18" s="43">
        <v>3689</v>
      </c>
      <c r="Y18" s="43">
        <v>3618</v>
      </c>
      <c r="Z18" s="43">
        <v>3380</v>
      </c>
      <c r="AA18" s="43">
        <v>2217</v>
      </c>
      <c r="AB18" s="43">
        <v>1658</v>
      </c>
      <c r="AC18" s="66"/>
      <c r="AE18" s="7">
        <f>((+AC51)*1000)/1000</f>
        <v>2942882</v>
      </c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2:56" ht="18.649999999999999" customHeight="1" x14ac:dyDescent="0.25">
      <c r="B19" s="61" t="s">
        <v>35</v>
      </c>
      <c r="C19" s="4" t="s">
        <v>29</v>
      </c>
      <c r="D19" s="5">
        <v>18</v>
      </c>
      <c r="E19" s="43">
        <v>2257</v>
      </c>
      <c r="F19" s="43">
        <v>2193</v>
      </c>
      <c r="G19" s="43">
        <v>2232</v>
      </c>
      <c r="H19" s="43">
        <v>2140</v>
      </c>
      <c r="I19" s="43">
        <v>2312</v>
      </c>
      <c r="J19" s="43">
        <v>2784</v>
      </c>
      <c r="K19" s="43">
        <v>3400</v>
      </c>
      <c r="L19" s="43">
        <v>5281</v>
      </c>
      <c r="M19" s="43">
        <v>5305</v>
      </c>
      <c r="N19" s="43">
        <v>5216</v>
      </c>
      <c r="O19" s="43">
        <v>5530</v>
      </c>
      <c r="P19" s="43">
        <v>5853</v>
      </c>
      <c r="Q19" s="43">
        <v>5819</v>
      </c>
      <c r="R19" s="43">
        <v>5774</v>
      </c>
      <c r="S19" s="43">
        <v>6023</v>
      </c>
      <c r="T19" s="43">
        <v>5939</v>
      </c>
      <c r="U19" s="43">
        <v>5944</v>
      </c>
      <c r="V19" s="43">
        <v>2751</v>
      </c>
      <c r="W19" s="43">
        <v>2932</v>
      </c>
      <c r="X19" s="43">
        <v>2909</v>
      </c>
      <c r="Y19" s="43">
        <v>2900</v>
      </c>
      <c r="Z19" s="43">
        <v>2580</v>
      </c>
      <c r="AA19" s="43">
        <v>2139</v>
      </c>
      <c r="AB19" s="43">
        <v>1683</v>
      </c>
      <c r="AC19" s="64">
        <f>+SUM(E19:AB19)*D19+SUM(E20:AB20)*D20+SUM(E21:AB21)*D21+SUM(E22:AB22)*D22</f>
        <v>2723545</v>
      </c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 spans="2:56" ht="18.649999999999999" customHeight="1" x14ac:dyDescent="0.25">
      <c r="B20" s="61" t="s">
        <v>35</v>
      </c>
      <c r="C20" s="4" t="s">
        <v>30</v>
      </c>
      <c r="D20" s="5">
        <v>5</v>
      </c>
      <c r="E20" s="43">
        <v>2493</v>
      </c>
      <c r="F20" s="43">
        <v>2362</v>
      </c>
      <c r="G20" s="43">
        <v>2327</v>
      </c>
      <c r="H20" s="43">
        <v>2307</v>
      </c>
      <c r="I20" s="43">
        <v>2385</v>
      </c>
      <c r="J20" s="43">
        <v>2439</v>
      </c>
      <c r="K20" s="43">
        <v>2722</v>
      </c>
      <c r="L20" s="43">
        <v>5010</v>
      </c>
      <c r="M20" s="43">
        <v>4928</v>
      </c>
      <c r="N20" s="43">
        <v>4986</v>
      </c>
      <c r="O20" s="43">
        <v>5335</v>
      </c>
      <c r="P20" s="43">
        <v>5297</v>
      </c>
      <c r="Q20" s="43">
        <v>5524</v>
      </c>
      <c r="R20" s="43">
        <v>5540</v>
      </c>
      <c r="S20" s="43">
        <v>5794</v>
      </c>
      <c r="T20" s="43">
        <v>5895</v>
      </c>
      <c r="U20" s="43">
        <v>6087</v>
      </c>
      <c r="V20" s="43">
        <v>3302</v>
      </c>
      <c r="W20" s="43">
        <v>3579</v>
      </c>
      <c r="X20" s="43">
        <v>2845</v>
      </c>
      <c r="Y20" s="43">
        <v>2721</v>
      </c>
      <c r="Z20" s="43">
        <v>2601</v>
      </c>
      <c r="AA20" s="43">
        <v>2365</v>
      </c>
      <c r="AB20" s="43">
        <v>2118</v>
      </c>
      <c r="AC20" s="65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2:56" ht="18.649999999999999" customHeight="1" x14ac:dyDescent="0.25">
      <c r="B21" s="61" t="s">
        <v>35</v>
      </c>
      <c r="C21" s="4" t="s">
        <v>31</v>
      </c>
      <c r="D21" s="5">
        <v>5</v>
      </c>
      <c r="E21" s="43">
        <v>2704</v>
      </c>
      <c r="F21" s="43">
        <v>2479</v>
      </c>
      <c r="G21" s="43">
        <v>2305</v>
      </c>
      <c r="H21" s="43">
        <v>2336</v>
      </c>
      <c r="I21" s="43">
        <v>2178</v>
      </c>
      <c r="J21" s="43">
        <v>2198</v>
      </c>
      <c r="K21" s="43">
        <v>2508</v>
      </c>
      <c r="L21" s="43">
        <v>4333</v>
      </c>
      <c r="M21" s="43">
        <v>4746</v>
      </c>
      <c r="N21" s="43">
        <v>4743</v>
      </c>
      <c r="O21" s="43">
        <v>4973</v>
      </c>
      <c r="P21" s="43">
        <v>4999</v>
      </c>
      <c r="Q21" s="43">
        <v>5218</v>
      </c>
      <c r="R21" s="43">
        <v>5170</v>
      </c>
      <c r="S21" s="43">
        <v>5288</v>
      </c>
      <c r="T21" s="43">
        <v>5255</v>
      </c>
      <c r="U21" s="43">
        <v>5630</v>
      </c>
      <c r="V21" s="43">
        <v>2709</v>
      </c>
      <c r="W21" s="43">
        <v>3017</v>
      </c>
      <c r="X21" s="43">
        <v>2899</v>
      </c>
      <c r="Y21" s="43">
        <v>2941</v>
      </c>
      <c r="Z21" s="43">
        <v>2816</v>
      </c>
      <c r="AA21" s="43">
        <v>2608</v>
      </c>
      <c r="AB21" s="43">
        <v>1684</v>
      </c>
      <c r="AC21" s="65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</row>
    <row r="22" spans="2:56" ht="18.649999999999999" customHeight="1" x14ac:dyDescent="0.25">
      <c r="B22" s="61" t="s">
        <v>35</v>
      </c>
      <c r="C22" s="4" t="s">
        <v>32</v>
      </c>
      <c r="D22" s="5">
        <v>2</v>
      </c>
      <c r="E22" s="43">
        <v>3098</v>
      </c>
      <c r="F22" s="43">
        <v>2817</v>
      </c>
      <c r="G22" s="43">
        <v>2795</v>
      </c>
      <c r="H22" s="43">
        <v>2689</v>
      </c>
      <c r="I22" s="43">
        <v>2759</v>
      </c>
      <c r="J22" s="43">
        <v>2770</v>
      </c>
      <c r="K22" s="43">
        <v>3027</v>
      </c>
      <c r="L22" s="43">
        <v>5187</v>
      </c>
      <c r="M22" s="43">
        <v>5245</v>
      </c>
      <c r="N22" s="43">
        <v>5057</v>
      </c>
      <c r="O22" s="43">
        <v>4861</v>
      </c>
      <c r="P22" s="43">
        <v>5362</v>
      </c>
      <c r="Q22" s="43">
        <v>5398</v>
      </c>
      <c r="R22" s="43">
        <v>5211</v>
      </c>
      <c r="S22" s="43">
        <v>5447</v>
      </c>
      <c r="T22" s="43">
        <v>5497</v>
      </c>
      <c r="U22" s="43">
        <v>5646</v>
      </c>
      <c r="V22" s="43">
        <v>2902</v>
      </c>
      <c r="W22" s="43">
        <v>3023</v>
      </c>
      <c r="X22" s="43">
        <v>2878</v>
      </c>
      <c r="Y22" s="43">
        <v>2786</v>
      </c>
      <c r="Z22" s="43">
        <v>2992</v>
      </c>
      <c r="AA22" s="43">
        <v>2989</v>
      </c>
      <c r="AB22" s="43">
        <v>2525</v>
      </c>
      <c r="AC22" s="6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</row>
    <row r="23" spans="2:56" ht="18.649999999999999" customHeight="1" x14ac:dyDescent="0.25">
      <c r="B23" s="61" t="s">
        <v>36</v>
      </c>
      <c r="C23" s="4" t="s">
        <v>29</v>
      </c>
      <c r="D23" s="5">
        <v>21</v>
      </c>
      <c r="E23" s="43">
        <v>2308</v>
      </c>
      <c r="F23" s="43">
        <v>2221</v>
      </c>
      <c r="G23" s="43">
        <v>2130</v>
      </c>
      <c r="H23" s="43">
        <v>2167</v>
      </c>
      <c r="I23" s="43">
        <v>2345</v>
      </c>
      <c r="J23" s="43">
        <v>2884</v>
      </c>
      <c r="K23" s="43">
        <v>3402</v>
      </c>
      <c r="L23" s="43">
        <v>5191</v>
      </c>
      <c r="M23" s="43">
        <v>5122</v>
      </c>
      <c r="N23" s="43">
        <v>4883</v>
      </c>
      <c r="O23" s="43">
        <v>4986</v>
      </c>
      <c r="P23" s="43">
        <v>5437</v>
      </c>
      <c r="Q23" s="43">
        <v>5392</v>
      </c>
      <c r="R23" s="43">
        <v>5519</v>
      </c>
      <c r="S23" s="43">
        <v>5787</v>
      </c>
      <c r="T23" s="43">
        <v>5783</v>
      </c>
      <c r="U23" s="43">
        <v>5769</v>
      </c>
      <c r="V23" s="43">
        <v>2725</v>
      </c>
      <c r="W23" s="43">
        <v>2857</v>
      </c>
      <c r="X23" s="43">
        <v>2880</v>
      </c>
      <c r="Y23" s="43">
        <v>2775</v>
      </c>
      <c r="Z23" s="43">
        <v>2483</v>
      </c>
      <c r="AA23" s="43">
        <v>2130</v>
      </c>
      <c r="AB23" s="43">
        <v>1695</v>
      </c>
      <c r="AC23" s="64">
        <f>+SUM(E23:AB23)*D23+SUM(E24:AB24)*D24+SUM(E25:AB25)*D25+SUM(E26:AB26)*D26</f>
        <v>2724187</v>
      </c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</row>
    <row r="24" spans="2:56" ht="18.649999999999999" customHeight="1" x14ac:dyDescent="0.25">
      <c r="B24" s="61" t="s">
        <v>36</v>
      </c>
      <c r="C24" s="4" t="s">
        <v>30</v>
      </c>
      <c r="D24" s="5">
        <v>4</v>
      </c>
      <c r="E24" s="43">
        <v>2533</v>
      </c>
      <c r="F24" s="43">
        <v>2209</v>
      </c>
      <c r="G24" s="43">
        <v>2222</v>
      </c>
      <c r="H24" s="43">
        <v>2203</v>
      </c>
      <c r="I24" s="43">
        <v>2258</v>
      </c>
      <c r="J24" s="43">
        <v>2288</v>
      </c>
      <c r="K24" s="43">
        <v>2720</v>
      </c>
      <c r="L24" s="43">
        <v>4871</v>
      </c>
      <c r="M24" s="43">
        <v>5153</v>
      </c>
      <c r="N24" s="43">
        <v>5264</v>
      </c>
      <c r="O24" s="43">
        <v>5235</v>
      </c>
      <c r="P24" s="43">
        <v>5212</v>
      </c>
      <c r="Q24" s="43">
        <v>5325</v>
      </c>
      <c r="R24" s="43">
        <v>5186</v>
      </c>
      <c r="S24" s="43">
        <v>5244</v>
      </c>
      <c r="T24" s="43">
        <v>5298</v>
      </c>
      <c r="U24" s="43">
        <v>5370</v>
      </c>
      <c r="V24" s="43">
        <v>2524</v>
      </c>
      <c r="W24" s="43">
        <v>2734</v>
      </c>
      <c r="X24" s="43">
        <v>2898</v>
      </c>
      <c r="Y24" s="43">
        <v>2753</v>
      </c>
      <c r="Z24" s="43">
        <v>2567</v>
      </c>
      <c r="AA24" s="43">
        <v>2199</v>
      </c>
      <c r="AB24" s="43">
        <v>1798</v>
      </c>
      <c r="AC24" s="65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</row>
    <row r="25" spans="2:56" ht="18.649999999999999" customHeight="1" x14ac:dyDescent="0.25">
      <c r="B25" s="61" t="s">
        <v>36</v>
      </c>
      <c r="C25" s="4" t="s">
        <v>31</v>
      </c>
      <c r="D25" s="5">
        <v>4</v>
      </c>
      <c r="E25" s="43">
        <v>2503</v>
      </c>
      <c r="F25" s="43">
        <v>2384</v>
      </c>
      <c r="G25" s="43">
        <v>2102</v>
      </c>
      <c r="H25" s="43">
        <v>2102</v>
      </c>
      <c r="I25" s="43">
        <v>1977</v>
      </c>
      <c r="J25" s="43">
        <v>2093</v>
      </c>
      <c r="K25" s="43">
        <v>2350</v>
      </c>
      <c r="L25" s="43">
        <v>4391</v>
      </c>
      <c r="M25" s="43">
        <v>4684</v>
      </c>
      <c r="N25" s="43">
        <v>4771</v>
      </c>
      <c r="O25" s="43">
        <v>4870</v>
      </c>
      <c r="P25" s="43">
        <v>4865</v>
      </c>
      <c r="Q25" s="43">
        <v>5004</v>
      </c>
      <c r="R25" s="43">
        <v>4878</v>
      </c>
      <c r="S25" s="43">
        <v>4865</v>
      </c>
      <c r="T25" s="43">
        <v>5040</v>
      </c>
      <c r="U25" s="43">
        <v>5531</v>
      </c>
      <c r="V25" s="43">
        <v>1933</v>
      </c>
      <c r="W25" s="43">
        <v>2815</v>
      </c>
      <c r="X25" s="43">
        <v>2774</v>
      </c>
      <c r="Y25" s="43">
        <v>2638</v>
      </c>
      <c r="Z25" s="43">
        <v>2313</v>
      </c>
      <c r="AA25" s="43">
        <v>1778</v>
      </c>
      <c r="AB25" s="43">
        <v>1226</v>
      </c>
      <c r="AC25" s="65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</row>
    <row r="26" spans="2:56" ht="18.649999999999999" customHeight="1" x14ac:dyDescent="0.25">
      <c r="B26" s="61" t="s">
        <v>36</v>
      </c>
      <c r="C26" s="4" t="s">
        <v>32</v>
      </c>
      <c r="D26" s="5">
        <v>2</v>
      </c>
      <c r="E26" s="43">
        <v>2098</v>
      </c>
      <c r="F26" s="43">
        <v>2583</v>
      </c>
      <c r="G26" s="43">
        <v>2627</v>
      </c>
      <c r="H26" s="43">
        <v>2414</v>
      </c>
      <c r="I26" s="43">
        <v>2725</v>
      </c>
      <c r="J26" s="43">
        <v>2900</v>
      </c>
      <c r="K26" s="43">
        <v>3281</v>
      </c>
      <c r="L26" s="43">
        <v>5453</v>
      </c>
      <c r="M26" s="43">
        <v>5433</v>
      </c>
      <c r="N26" s="43">
        <v>5779</v>
      </c>
      <c r="O26" s="43">
        <v>5988</v>
      </c>
      <c r="P26" s="43">
        <v>6214</v>
      </c>
      <c r="Q26" s="43">
        <v>6437</v>
      </c>
      <c r="R26" s="43">
        <v>6451</v>
      </c>
      <c r="S26" s="43">
        <v>6085</v>
      </c>
      <c r="T26" s="43">
        <v>6079</v>
      </c>
      <c r="U26" s="43">
        <v>5823</v>
      </c>
      <c r="V26" s="43">
        <v>3007</v>
      </c>
      <c r="W26" s="43">
        <v>3341</v>
      </c>
      <c r="X26" s="43">
        <v>2820</v>
      </c>
      <c r="Y26" s="43">
        <v>2633</v>
      </c>
      <c r="Z26" s="43">
        <v>2614</v>
      </c>
      <c r="AA26" s="43">
        <v>2330</v>
      </c>
      <c r="AB26" s="43">
        <v>1931</v>
      </c>
      <c r="AC26" s="6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2:56" ht="18.649999999999999" customHeight="1" x14ac:dyDescent="0.25">
      <c r="B27" s="61" t="s">
        <v>37</v>
      </c>
      <c r="C27" s="4" t="s">
        <v>29</v>
      </c>
      <c r="D27" s="5">
        <v>20</v>
      </c>
      <c r="E27" s="43">
        <v>2364</v>
      </c>
      <c r="F27" s="43">
        <v>2247</v>
      </c>
      <c r="G27" s="43">
        <v>2220</v>
      </c>
      <c r="H27" s="43">
        <v>2174</v>
      </c>
      <c r="I27" s="43">
        <v>2407</v>
      </c>
      <c r="J27" s="43">
        <v>2949</v>
      </c>
      <c r="K27" s="43">
        <v>3459</v>
      </c>
      <c r="L27" s="43">
        <v>5392</v>
      </c>
      <c r="M27" s="43">
        <v>5288</v>
      </c>
      <c r="N27" s="43">
        <v>5341</v>
      </c>
      <c r="O27" s="43">
        <v>5472</v>
      </c>
      <c r="P27" s="43">
        <v>5564</v>
      </c>
      <c r="Q27" s="43">
        <v>5616</v>
      </c>
      <c r="R27" s="43">
        <v>5644</v>
      </c>
      <c r="S27" s="43">
        <v>5857</v>
      </c>
      <c r="T27" s="43">
        <v>5859</v>
      </c>
      <c r="U27" s="43">
        <v>5982</v>
      </c>
      <c r="V27" s="43">
        <v>2911</v>
      </c>
      <c r="W27" s="43">
        <v>3231</v>
      </c>
      <c r="X27" s="43">
        <v>3077</v>
      </c>
      <c r="Y27" s="43">
        <v>2851</v>
      </c>
      <c r="Z27" s="43">
        <v>2467</v>
      </c>
      <c r="AA27" s="43">
        <v>2088</v>
      </c>
      <c r="AB27" s="43">
        <v>1737</v>
      </c>
      <c r="AC27" s="64">
        <f>+SUM(E27:AB27)*D27+SUM(E28:AB28)*D28+SUM(E29:AB29)*D29+SUM(E30:AB30)*D30</f>
        <v>2695390</v>
      </c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</row>
    <row r="28" spans="2:56" ht="18.649999999999999" customHeight="1" x14ac:dyDescent="0.25">
      <c r="B28" s="61" t="s">
        <v>37</v>
      </c>
      <c r="C28" s="4" t="s">
        <v>30</v>
      </c>
      <c r="D28" s="5">
        <v>4</v>
      </c>
      <c r="E28" s="43">
        <v>2395</v>
      </c>
      <c r="F28" s="43">
        <v>2244</v>
      </c>
      <c r="G28" s="43">
        <v>2171</v>
      </c>
      <c r="H28" s="43">
        <v>2120</v>
      </c>
      <c r="I28" s="43">
        <v>2191</v>
      </c>
      <c r="J28" s="43">
        <v>2382</v>
      </c>
      <c r="K28" s="43">
        <v>2688</v>
      </c>
      <c r="L28" s="43">
        <v>5067</v>
      </c>
      <c r="M28" s="43">
        <v>5178</v>
      </c>
      <c r="N28" s="43">
        <v>5258</v>
      </c>
      <c r="O28" s="43">
        <v>5402</v>
      </c>
      <c r="P28" s="43">
        <v>5380</v>
      </c>
      <c r="Q28" s="43">
        <v>5417</v>
      </c>
      <c r="R28" s="43">
        <v>5325</v>
      </c>
      <c r="S28" s="43">
        <v>5200</v>
      </c>
      <c r="T28" s="43">
        <v>5233</v>
      </c>
      <c r="U28" s="43">
        <v>5332</v>
      </c>
      <c r="V28" s="43">
        <v>2552</v>
      </c>
      <c r="W28" s="43">
        <v>2751</v>
      </c>
      <c r="X28" s="43">
        <v>2907</v>
      </c>
      <c r="Y28" s="43">
        <v>2795</v>
      </c>
      <c r="Z28" s="43">
        <v>2572</v>
      </c>
      <c r="AA28" s="43">
        <v>2353</v>
      </c>
      <c r="AB28" s="43">
        <v>1996</v>
      </c>
      <c r="AC28" s="65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2:56" ht="18.649999999999999" customHeight="1" x14ac:dyDescent="0.25">
      <c r="B29" s="61" t="s">
        <v>37</v>
      </c>
      <c r="C29" s="4" t="s">
        <v>31</v>
      </c>
      <c r="D29" s="5">
        <v>4</v>
      </c>
      <c r="E29" s="43">
        <v>2816</v>
      </c>
      <c r="F29" s="43">
        <v>2520</v>
      </c>
      <c r="G29" s="43">
        <v>2416</v>
      </c>
      <c r="H29" s="43">
        <v>2382</v>
      </c>
      <c r="I29" s="43">
        <v>2315</v>
      </c>
      <c r="J29" s="43">
        <v>2333</v>
      </c>
      <c r="K29" s="43">
        <v>2457</v>
      </c>
      <c r="L29" s="43">
        <v>4528</v>
      </c>
      <c r="M29" s="43">
        <v>4709</v>
      </c>
      <c r="N29" s="43">
        <v>4930</v>
      </c>
      <c r="O29" s="43">
        <v>5007</v>
      </c>
      <c r="P29" s="43">
        <v>5019</v>
      </c>
      <c r="Q29" s="43">
        <v>4983</v>
      </c>
      <c r="R29" s="43">
        <v>5036</v>
      </c>
      <c r="S29" s="43">
        <v>4964</v>
      </c>
      <c r="T29" s="43">
        <v>5082</v>
      </c>
      <c r="U29" s="43">
        <v>5300</v>
      </c>
      <c r="V29" s="43">
        <v>2674</v>
      </c>
      <c r="W29" s="43">
        <v>2833</v>
      </c>
      <c r="X29" s="43">
        <v>2901</v>
      </c>
      <c r="Y29" s="43">
        <v>2764</v>
      </c>
      <c r="Z29" s="43">
        <v>2601</v>
      </c>
      <c r="AA29" s="43">
        <v>2336</v>
      </c>
      <c r="AB29" s="43">
        <v>1912</v>
      </c>
      <c r="AC29" s="65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</row>
    <row r="30" spans="2:56" ht="18.649999999999999" customHeight="1" x14ac:dyDescent="0.25">
      <c r="B30" s="61" t="s">
        <v>37</v>
      </c>
      <c r="C30" s="4" t="s">
        <v>32</v>
      </c>
      <c r="D30" s="5">
        <v>2</v>
      </c>
      <c r="E30" s="43">
        <v>2380</v>
      </c>
      <c r="F30" s="43">
        <v>2271</v>
      </c>
      <c r="G30" s="43">
        <v>2167</v>
      </c>
      <c r="H30" s="43">
        <v>2157</v>
      </c>
      <c r="I30" s="43">
        <v>2161</v>
      </c>
      <c r="J30" s="43">
        <v>2234</v>
      </c>
      <c r="K30" s="43">
        <v>2276</v>
      </c>
      <c r="L30" s="43">
        <v>4346</v>
      </c>
      <c r="M30" s="43">
        <v>4268</v>
      </c>
      <c r="N30" s="43">
        <v>4276</v>
      </c>
      <c r="O30" s="43">
        <v>4814</v>
      </c>
      <c r="P30" s="43">
        <v>4920</v>
      </c>
      <c r="Q30" s="43">
        <v>5287</v>
      </c>
      <c r="R30" s="43">
        <v>5375</v>
      </c>
      <c r="S30" s="43">
        <v>5400</v>
      </c>
      <c r="T30" s="43">
        <v>5481</v>
      </c>
      <c r="U30" s="43">
        <v>5459</v>
      </c>
      <c r="V30" s="43">
        <v>2485</v>
      </c>
      <c r="W30" s="43">
        <v>2737</v>
      </c>
      <c r="X30" s="43">
        <v>2633</v>
      </c>
      <c r="Y30" s="43">
        <v>2615</v>
      </c>
      <c r="Z30" s="43">
        <v>2524</v>
      </c>
      <c r="AA30" s="43">
        <v>2182</v>
      </c>
      <c r="AB30" s="43">
        <v>1823</v>
      </c>
      <c r="AC30" s="6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spans="2:56" ht="18.649999999999999" customHeight="1" x14ac:dyDescent="0.25">
      <c r="B31" s="61" t="s">
        <v>38</v>
      </c>
      <c r="C31" s="4" t="s">
        <v>29</v>
      </c>
      <c r="D31" s="5">
        <v>19</v>
      </c>
      <c r="E31" s="43">
        <v>2637</v>
      </c>
      <c r="F31" s="43">
        <v>2528</v>
      </c>
      <c r="G31" s="43">
        <v>2445</v>
      </c>
      <c r="H31" s="43">
        <v>2469</v>
      </c>
      <c r="I31" s="43">
        <v>2683</v>
      </c>
      <c r="J31" s="43">
        <v>3268</v>
      </c>
      <c r="K31" s="43">
        <v>3894</v>
      </c>
      <c r="L31" s="43">
        <v>5520</v>
      </c>
      <c r="M31" s="43">
        <v>5481</v>
      </c>
      <c r="N31" s="43">
        <v>5517</v>
      </c>
      <c r="O31" s="43">
        <v>5488</v>
      </c>
      <c r="P31" s="43">
        <v>5881</v>
      </c>
      <c r="Q31" s="43">
        <v>5804</v>
      </c>
      <c r="R31" s="43">
        <v>5859</v>
      </c>
      <c r="S31" s="43">
        <v>6001</v>
      </c>
      <c r="T31" s="43">
        <v>6021</v>
      </c>
      <c r="U31" s="43">
        <v>6018</v>
      </c>
      <c r="V31" s="43">
        <v>3191</v>
      </c>
      <c r="W31" s="43">
        <v>3329</v>
      </c>
      <c r="X31" s="43">
        <v>3496</v>
      </c>
      <c r="Y31" s="43">
        <v>3345</v>
      </c>
      <c r="Z31" s="43">
        <v>2924</v>
      </c>
      <c r="AA31" s="43">
        <v>2421</v>
      </c>
      <c r="AB31" s="43">
        <v>2160</v>
      </c>
      <c r="AC31" s="64">
        <f>+SUM(E31:AB31)*D31+SUM(E32:AB32)*D32+SUM(E33:AB33)*D33+SUM(E34:AB34)*D34</f>
        <v>2897980</v>
      </c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</row>
    <row r="32" spans="2:56" ht="18.649999999999999" customHeight="1" x14ac:dyDescent="0.25">
      <c r="B32" s="61" t="s">
        <v>38</v>
      </c>
      <c r="C32" s="4" t="s">
        <v>30</v>
      </c>
      <c r="D32" s="5">
        <v>5</v>
      </c>
      <c r="E32" s="43">
        <v>3028</v>
      </c>
      <c r="F32" s="43">
        <v>2849</v>
      </c>
      <c r="G32" s="43">
        <v>2704</v>
      </c>
      <c r="H32" s="43">
        <v>2646</v>
      </c>
      <c r="I32" s="43">
        <v>2693</v>
      </c>
      <c r="J32" s="43">
        <v>2755</v>
      </c>
      <c r="K32" s="43">
        <v>3086</v>
      </c>
      <c r="L32" s="43">
        <v>5279</v>
      </c>
      <c r="M32" s="43">
        <v>5402</v>
      </c>
      <c r="N32" s="43">
        <v>5465</v>
      </c>
      <c r="O32" s="43">
        <v>5452</v>
      </c>
      <c r="P32" s="43">
        <v>5672</v>
      </c>
      <c r="Q32" s="43">
        <v>5811</v>
      </c>
      <c r="R32" s="43">
        <v>5776</v>
      </c>
      <c r="S32" s="43">
        <v>5712</v>
      </c>
      <c r="T32" s="43">
        <v>5611</v>
      </c>
      <c r="U32" s="43">
        <v>5550</v>
      </c>
      <c r="V32" s="43">
        <v>2936</v>
      </c>
      <c r="W32" s="43">
        <v>2871</v>
      </c>
      <c r="X32" s="43">
        <v>3085</v>
      </c>
      <c r="Y32" s="43">
        <v>2868</v>
      </c>
      <c r="Z32" s="43">
        <v>2536</v>
      </c>
      <c r="AA32" s="43">
        <v>2245</v>
      </c>
      <c r="AB32" s="43">
        <v>1959</v>
      </c>
      <c r="AC32" s="65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spans="2:56" ht="18.649999999999999" customHeight="1" x14ac:dyDescent="0.25">
      <c r="B33" s="61" t="s">
        <v>38</v>
      </c>
      <c r="C33" s="4" t="s">
        <v>31</v>
      </c>
      <c r="D33" s="5">
        <v>5</v>
      </c>
      <c r="E33" s="43">
        <v>2463</v>
      </c>
      <c r="F33" s="43">
        <v>2281</v>
      </c>
      <c r="G33" s="43">
        <v>2250</v>
      </c>
      <c r="H33" s="43">
        <v>2207</v>
      </c>
      <c r="I33" s="43">
        <v>2167</v>
      </c>
      <c r="J33" s="43">
        <v>2091</v>
      </c>
      <c r="K33" s="43">
        <v>2405</v>
      </c>
      <c r="L33" s="43">
        <v>4218</v>
      </c>
      <c r="M33" s="43">
        <v>4470</v>
      </c>
      <c r="N33" s="43">
        <v>4458</v>
      </c>
      <c r="O33" s="43">
        <v>4490</v>
      </c>
      <c r="P33" s="43">
        <v>4821</v>
      </c>
      <c r="Q33" s="43">
        <v>4852</v>
      </c>
      <c r="R33" s="43">
        <v>4959</v>
      </c>
      <c r="S33" s="43">
        <v>5005</v>
      </c>
      <c r="T33" s="43">
        <v>4994</v>
      </c>
      <c r="U33" s="43">
        <v>5074</v>
      </c>
      <c r="V33" s="43">
        <v>2545</v>
      </c>
      <c r="W33" s="43">
        <v>2779</v>
      </c>
      <c r="X33" s="43">
        <v>3113</v>
      </c>
      <c r="Y33" s="43">
        <v>3038</v>
      </c>
      <c r="Z33" s="43">
        <v>2565</v>
      </c>
      <c r="AA33" s="43">
        <v>1930</v>
      </c>
      <c r="AB33" s="43">
        <v>1522</v>
      </c>
      <c r="AC33" s="65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spans="2:56" ht="18.649999999999999" customHeight="1" x14ac:dyDescent="0.25">
      <c r="B34" s="61" t="s">
        <v>38</v>
      </c>
      <c r="C34" s="4" t="s">
        <v>32</v>
      </c>
      <c r="D34" s="5">
        <v>2</v>
      </c>
      <c r="E34" s="43">
        <v>3448</v>
      </c>
      <c r="F34" s="43">
        <v>3208</v>
      </c>
      <c r="G34" s="43">
        <v>2903</v>
      </c>
      <c r="H34" s="43">
        <v>2554</v>
      </c>
      <c r="I34" s="43">
        <v>2519</v>
      </c>
      <c r="J34" s="43">
        <v>2106</v>
      </c>
      <c r="K34" s="43">
        <v>2311</v>
      </c>
      <c r="L34" s="43">
        <v>4026</v>
      </c>
      <c r="M34" s="43">
        <v>4557</v>
      </c>
      <c r="N34" s="43">
        <v>4310</v>
      </c>
      <c r="O34" s="43">
        <v>3821</v>
      </c>
      <c r="P34" s="43">
        <v>4203</v>
      </c>
      <c r="Q34" s="43">
        <v>4374</v>
      </c>
      <c r="R34" s="43">
        <v>4634</v>
      </c>
      <c r="S34" s="43">
        <v>4187</v>
      </c>
      <c r="T34" s="43">
        <v>4263</v>
      </c>
      <c r="U34" s="43">
        <v>4535</v>
      </c>
      <c r="V34" s="43">
        <v>1971</v>
      </c>
      <c r="W34" s="43">
        <v>1959</v>
      </c>
      <c r="X34" s="43">
        <v>2503</v>
      </c>
      <c r="Y34" s="43">
        <v>2781</v>
      </c>
      <c r="Z34" s="43">
        <v>2488</v>
      </c>
      <c r="AA34" s="43">
        <v>2112</v>
      </c>
      <c r="AB34" s="43">
        <v>1887</v>
      </c>
      <c r="AC34" s="66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2:56" ht="18.649999999999999" customHeight="1" x14ac:dyDescent="0.25">
      <c r="B35" s="61" t="s">
        <v>39</v>
      </c>
      <c r="C35" s="4" t="s">
        <v>29</v>
      </c>
      <c r="D35" s="5">
        <v>21</v>
      </c>
      <c r="E35" s="43">
        <v>3005</v>
      </c>
      <c r="F35" s="43">
        <v>2894</v>
      </c>
      <c r="G35" s="43">
        <v>2765</v>
      </c>
      <c r="H35" s="43">
        <v>2706</v>
      </c>
      <c r="I35" s="43">
        <v>2702</v>
      </c>
      <c r="J35" s="43">
        <v>2795</v>
      </c>
      <c r="K35" s="43">
        <v>2249</v>
      </c>
      <c r="L35" s="43">
        <v>4261</v>
      </c>
      <c r="M35" s="43">
        <v>4548</v>
      </c>
      <c r="N35" s="43">
        <v>4702</v>
      </c>
      <c r="O35" s="43">
        <v>4933</v>
      </c>
      <c r="P35" s="43">
        <v>5137</v>
      </c>
      <c r="Q35" s="43">
        <v>5151</v>
      </c>
      <c r="R35" s="43">
        <v>5255</v>
      </c>
      <c r="S35" s="43">
        <v>5156</v>
      </c>
      <c r="T35" s="43">
        <v>5110</v>
      </c>
      <c r="U35" s="43">
        <v>5135</v>
      </c>
      <c r="V35" s="43">
        <v>1922</v>
      </c>
      <c r="W35" s="43">
        <v>2791</v>
      </c>
      <c r="X35" s="43">
        <v>2924</v>
      </c>
      <c r="Y35" s="43">
        <v>2880</v>
      </c>
      <c r="Z35" s="43">
        <v>2651</v>
      </c>
      <c r="AA35" s="43">
        <v>2199</v>
      </c>
      <c r="AB35" s="43">
        <v>1939</v>
      </c>
      <c r="AC35" s="64">
        <f>+SUM(E35:AB35)*D35+SUM(E36:AB36)*D36+SUM(E37:AB37)*D37+SUM(E38:AB38)*D38</f>
        <v>2910774</v>
      </c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</row>
    <row r="36" spans="2:56" ht="18.649999999999999" customHeight="1" x14ac:dyDescent="0.25">
      <c r="B36" s="61" t="s">
        <v>39</v>
      </c>
      <c r="C36" s="4" t="s">
        <v>30</v>
      </c>
      <c r="D36" s="5">
        <v>4</v>
      </c>
      <c r="E36" s="43">
        <v>2826</v>
      </c>
      <c r="F36" s="43">
        <v>2753</v>
      </c>
      <c r="G36" s="43">
        <v>2748</v>
      </c>
      <c r="H36" s="43">
        <v>2836</v>
      </c>
      <c r="I36" s="43">
        <v>3370</v>
      </c>
      <c r="J36" s="43">
        <v>5149</v>
      </c>
      <c r="K36" s="43">
        <v>5267</v>
      </c>
      <c r="L36" s="43">
        <v>6143</v>
      </c>
      <c r="M36" s="43">
        <v>5542</v>
      </c>
      <c r="N36" s="43">
        <v>5446</v>
      </c>
      <c r="O36" s="43">
        <v>5807</v>
      </c>
      <c r="P36" s="43">
        <v>6102</v>
      </c>
      <c r="Q36" s="43">
        <v>5561</v>
      </c>
      <c r="R36" s="43">
        <v>5912</v>
      </c>
      <c r="S36" s="43">
        <v>6742</v>
      </c>
      <c r="T36" s="43">
        <v>6764</v>
      </c>
      <c r="U36" s="43">
        <v>6672</v>
      </c>
      <c r="V36" s="43">
        <v>3432</v>
      </c>
      <c r="W36" s="43">
        <v>4056</v>
      </c>
      <c r="X36" s="43">
        <v>4270</v>
      </c>
      <c r="Y36" s="43">
        <v>4105</v>
      </c>
      <c r="Z36" s="43">
        <v>3792</v>
      </c>
      <c r="AA36" s="43">
        <v>2874</v>
      </c>
      <c r="AB36" s="43">
        <v>2341</v>
      </c>
      <c r="AC36" s="65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</row>
    <row r="37" spans="2:56" ht="18.649999999999999" customHeight="1" x14ac:dyDescent="0.25">
      <c r="B37" s="61" t="s">
        <v>39</v>
      </c>
      <c r="C37" s="4" t="s">
        <v>31</v>
      </c>
      <c r="D37" s="5">
        <v>4</v>
      </c>
      <c r="E37" s="43">
        <v>2998</v>
      </c>
      <c r="F37" s="43">
        <v>2843</v>
      </c>
      <c r="G37" s="43">
        <v>2877</v>
      </c>
      <c r="H37" s="43">
        <v>2986</v>
      </c>
      <c r="I37" s="43">
        <v>3307</v>
      </c>
      <c r="J37" s="43">
        <v>3926</v>
      </c>
      <c r="K37" s="43">
        <v>4519</v>
      </c>
      <c r="L37" s="43">
        <v>7109</v>
      </c>
      <c r="M37" s="43">
        <v>7173</v>
      </c>
      <c r="N37" s="43">
        <v>7363</v>
      </c>
      <c r="O37" s="43">
        <v>7515</v>
      </c>
      <c r="P37" s="43">
        <v>7805</v>
      </c>
      <c r="Q37" s="43">
        <v>7220</v>
      </c>
      <c r="R37" s="43">
        <v>6762</v>
      </c>
      <c r="S37" s="43">
        <v>6653</v>
      </c>
      <c r="T37" s="43">
        <v>6688</v>
      </c>
      <c r="U37" s="43">
        <v>6885</v>
      </c>
      <c r="V37" s="43">
        <v>3969</v>
      </c>
      <c r="W37" s="43">
        <v>4840</v>
      </c>
      <c r="X37" s="43">
        <v>4475</v>
      </c>
      <c r="Y37" s="43">
        <v>3957</v>
      </c>
      <c r="Z37" s="43">
        <v>3788</v>
      </c>
      <c r="AA37" s="43">
        <v>3606</v>
      </c>
      <c r="AB37" s="43">
        <v>3456</v>
      </c>
      <c r="AC37" s="65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</row>
    <row r="38" spans="2:56" ht="18.649999999999999" customHeight="1" x14ac:dyDescent="0.25">
      <c r="B38" s="61" t="s">
        <v>39</v>
      </c>
      <c r="C38" s="4" t="s">
        <v>32</v>
      </c>
      <c r="D38" s="5">
        <v>2</v>
      </c>
      <c r="E38" s="43">
        <v>3200</v>
      </c>
      <c r="F38" s="43">
        <v>3047</v>
      </c>
      <c r="G38" s="43">
        <v>2894</v>
      </c>
      <c r="H38" s="43">
        <v>2733</v>
      </c>
      <c r="I38" s="43">
        <v>2775</v>
      </c>
      <c r="J38" s="43">
        <v>2820</v>
      </c>
      <c r="K38" s="43">
        <v>2456</v>
      </c>
      <c r="L38" s="43">
        <v>4570</v>
      </c>
      <c r="M38" s="43">
        <v>4730</v>
      </c>
      <c r="N38" s="43">
        <v>4911</v>
      </c>
      <c r="O38" s="43">
        <v>4857</v>
      </c>
      <c r="P38" s="43">
        <v>5076</v>
      </c>
      <c r="Q38" s="43">
        <v>4899</v>
      </c>
      <c r="R38" s="43">
        <v>5050</v>
      </c>
      <c r="S38" s="43">
        <v>5194</v>
      </c>
      <c r="T38" s="43">
        <v>5088</v>
      </c>
      <c r="U38" s="43">
        <v>5095</v>
      </c>
      <c r="V38" s="43">
        <v>1982</v>
      </c>
      <c r="W38" s="43">
        <v>2552</v>
      </c>
      <c r="X38" s="43">
        <v>2828</v>
      </c>
      <c r="Y38" s="43">
        <v>2895</v>
      </c>
      <c r="Z38" s="43">
        <v>2920</v>
      </c>
      <c r="AA38" s="43">
        <v>2777</v>
      </c>
      <c r="AB38" s="43">
        <v>2573</v>
      </c>
      <c r="AC38" s="6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spans="2:56" ht="18.649999999999999" customHeight="1" x14ac:dyDescent="0.25">
      <c r="B39" s="61" t="s">
        <v>40</v>
      </c>
      <c r="C39" s="4" t="s">
        <v>29</v>
      </c>
      <c r="D39" s="5">
        <v>21</v>
      </c>
      <c r="E39" s="43">
        <v>2982</v>
      </c>
      <c r="F39" s="43">
        <v>2873</v>
      </c>
      <c r="G39" s="43">
        <v>2834</v>
      </c>
      <c r="H39" s="43">
        <v>2795</v>
      </c>
      <c r="I39" s="43">
        <v>2944</v>
      </c>
      <c r="J39" s="43">
        <v>3420</v>
      </c>
      <c r="K39" s="43">
        <v>3224</v>
      </c>
      <c r="L39" s="43">
        <v>5143</v>
      </c>
      <c r="M39" s="43">
        <v>5118</v>
      </c>
      <c r="N39" s="43">
        <v>5230</v>
      </c>
      <c r="O39" s="43">
        <v>5329</v>
      </c>
      <c r="P39" s="43">
        <v>5535</v>
      </c>
      <c r="Q39" s="43">
        <v>5480</v>
      </c>
      <c r="R39" s="43">
        <v>5554</v>
      </c>
      <c r="S39" s="43">
        <v>5702</v>
      </c>
      <c r="T39" s="43">
        <v>5759</v>
      </c>
      <c r="U39" s="43">
        <v>5730</v>
      </c>
      <c r="V39" s="43">
        <v>2502</v>
      </c>
      <c r="W39" s="43">
        <v>3226</v>
      </c>
      <c r="X39" s="43">
        <v>3197</v>
      </c>
      <c r="Y39" s="43">
        <v>3114</v>
      </c>
      <c r="Z39" s="43">
        <v>2849</v>
      </c>
      <c r="AA39" s="43">
        <v>2521</v>
      </c>
      <c r="AB39" s="43">
        <v>2216</v>
      </c>
      <c r="AC39" s="64">
        <f>+SUM(E39:AB39)*D39+SUM(E40:AB40)*D40+SUM(E41:AB41)*D41+SUM(E42:AB42)*D42</f>
        <v>2814865</v>
      </c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</row>
    <row r="40" spans="2:56" ht="18.649999999999999" customHeight="1" x14ac:dyDescent="0.25">
      <c r="B40" s="61" t="s">
        <v>40</v>
      </c>
      <c r="C40" s="4" t="s">
        <v>30</v>
      </c>
      <c r="D40" s="5">
        <v>5</v>
      </c>
      <c r="E40" s="43">
        <v>3251</v>
      </c>
      <c r="F40" s="43">
        <v>3015</v>
      </c>
      <c r="G40" s="43">
        <v>2952</v>
      </c>
      <c r="H40" s="43">
        <v>2903</v>
      </c>
      <c r="I40" s="43">
        <v>2981</v>
      </c>
      <c r="J40" s="43">
        <v>3090</v>
      </c>
      <c r="K40" s="43">
        <v>2881</v>
      </c>
      <c r="L40" s="43">
        <v>4939</v>
      </c>
      <c r="M40" s="43">
        <v>5255</v>
      </c>
      <c r="N40" s="43">
        <v>5416</v>
      </c>
      <c r="O40" s="43">
        <v>5457</v>
      </c>
      <c r="P40" s="43">
        <v>5571</v>
      </c>
      <c r="Q40" s="43">
        <v>5503</v>
      </c>
      <c r="R40" s="43">
        <v>5426</v>
      </c>
      <c r="S40" s="43">
        <v>5397</v>
      </c>
      <c r="T40" s="43">
        <v>5443</v>
      </c>
      <c r="U40" s="43">
        <v>5614</v>
      </c>
      <c r="V40" s="43">
        <v>2357</v>
      </c>
      <c r="W40" s="43">
        <v>3017</v>
      </c>
      <c r="X40" s="43">
        <v>2956</v>
      </c>
      <c r="Y40" s="43">
        <v>2939</v>
      </c>
      <c r="Z40" s="43">
        <v>2612</v>
      </c>
      <c r="AA40" s="43">
        <v>2429</v>
      </c>
      <c r="AB40" s="43">
        <v>2224</v>
      </c>
      <c r="AC40" s="65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spans="2:56" ht="18.649999999999999" customHeight="1" x14ac:dyDescent="0.25">
      <c r="B41" s="61" t="s">
        <v>40</v>
      </c>
      <c r="C41" s="4" t="s">
        <v>31</v>
      </c>
      <c r="D41" s="5">
        <v>4</v>
      </c>
      <c r="E41" s="43">
        <v>3118</v>
      </c>
      <c r="F41" s="43">
        <v>2992</v>
      </c>
      <c r="G41" s="43">
        <v>2911</v>
      </c>
      <c r="H41" s="43">
        <v>2842</v>
      </c>
      <c r="I41" s="43">
        <v>2812</v>
      </c>
      <c r="J41" s="43">
        <v>2685</v>
      </c>
      <c r="K41" s="43">
        <v>2311</v>
      </c>
      <c r="L41" s="43">
        <v>4237</v>
      </c>
      <c r="M41" s="43">
        <v>4564</v>
      </c>
      <c r="N41" s="43">
        <v>4691</v>
      </c>
      <c r="O41" s="43">
        <v>4829</v>
      </c>
      <c r="P41" s="43">
        <v>4926</v>
      </c>
      <c r="Q41" s="43">
        <v>4972</v>
      </c>
      <c r="R41" s="43">
        <v>4965</v>
      </c>
      <c r="S41" s="43">
        <v>5044</v>
      </c>
      <c r="T41" s="43">
        <v>5136</v>
      </c>
      <c r="U41" s="43">
        <v>5186</v>
      </c>
      <c r="V41" s="43">
        <v>2303</v>
      </c>
      <c r="W41" s="43">
        <v>3013</v>
      </c>
      <c r="X41" s="43">
        <v>2920</v>
      </c>
      <c r="Y41" s="43">
        <v>2925</v>
      </c>
      <c r="Z41" s="43">
        <v>2588</v>
      </c>
      <c r="AA41" s="43">
        <v>2386</v>
      </c>
      <c r="AB41" s="43">
        <v>2121</v>
      </c>
      <c r="AC41" s="65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</row>
    <row r="42" spans="2:56" ht="18.649999999999999" customHeight="1" x14ac:dyDescent="0.25">
      <c r="B42" s="61" t="s">
        <v>40</v>
      </c>
      <c r="C42" s="4" t="s">
        <v>32</v>
      </c>
      <c r="D42" s="5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6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spans="2:56" ht="18.649999999999999" customHeight="1" x14ac:dyDescent="0.25">
      <c r="B43" s="61" t="s">
        <v>41</v>
      </c>
      <c r="C43" s="4" t="s">
        <v>29</v>
      </c>
      <c r="D43" s="5">
        <v>21</v>
      </c>
      <c r="E43" s="43">
        <v>3197</v>
      </c>
      <c r="F43" s="43">
        <v>3048</v>
      </c>
      <c r="G43" s="43">
        <v>2959</v>
      </c>
      <c r="H43" s="43">
        <v>2973</v>
      </c>
      <c r="I43" s="43">
        <v>3175</v>
      </c>
      <c r="J43" s="43">
        <v>3608</v>
      </c>
      <c r="K43" s="43">
        <v>3098</v>
      </c>
      <c r="L43" s="43">
        <v>4997</v>
      </c>
      <c r="M43" s="43">
        <v>4883</v>
      </c>
      <c r="N43" s="43">
        <v>5026</v>
      </c>
      <c r="O43" s="43">
        <v>5056</v>
      </c>
      <c r="P43" s="43">
        <v>5122</v>
      </c>
      <c r="Q43" s="43">
        <v>5051</v>
      </c>
      <c r="R43" s="43">
        <v>5130</v>
      </c>
      <c r="S43" s="43">
        <v>5469</v>
      </c>
      <c r="T43" s="43">
        <v>5563</v>
      </c>
      <c r="U43" s="43">
        <v>5687</v>
      </c>
      <c r="V43" s="43">
        <v>2571</v>
      </c>
      <c r="W43" s="43">
        <v>3347</v>
      </c>
      <c r="X43" s="43">
        <v>3289</v>
      </c>
      <c r="Y43" s="43">
        <v>3027</v>
      </c>
      <c r="Z43" s="43">
        <v>2911</v>
      </c>
      <c r="AA43" s="43">
        <v>2560</v>
      </c>
      <c r="AB43" s="43">
        <v>2348</v>
      </c>
      <c r="AC43" s="64">
        <f>+SUM(E43:AB43)*D43+SUM(E44:AB44)*D44+SUM(E45:AB45)*D45+SUM(E46:AB46)*D46</f>
        <v>2910046</v>
      </c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</row>
    <row r="44" spans="2:56" ht="18.649999999999999" customHeight="1" x14ac:dyDescent="0.25">
      <c r="B44" s="61" t="s">
        <v>41</v>
      </c>
      <c r="C44" s="4" t="s">
        <v>30</v>
      </c>
      <c r="D44" s="5">
        <v>4</v>
      </c>
      <c r="E44" s="43">
        <v>3482</v>
      </c>
      <c r="F44" s="43">
        <v>3285</v>
      </c>
      <c r="G44" s="43">
        <v>3171</v>
      </c>
      <c r="H44" s="43">
        <v>3170</v>
      </c>
      <c r="I44" s="43">
        <v>3232</v>
      </c>
      <c r="J44" s="43">
        <v>3205</v>
      </c>
      <c r="K44" s="43">
        <v>2566</v>
      </c>
      <c r="L44" s="43">
        <v>4979</v>
      </c>
      <c r="M44" s="43">
        <v>4998</v>
      </c>
      <c r="N44" s="43">
        <v>5274</v>
      </c>
      <c r="O44" s="43">
        <v>5153</v>
      </c>
      <c r="P44" s="43">
        <v>5214</v>
      </c>
      <c r="Q44" s="43">
        <v>5198</v>
      </c>
      <c r="R44" s="43">
        <v>5141</v>
      </c>
      <c r="S44" s="43">
        <v>5395</v>
      </c>
      <c r="T44" s="43">
        <v>5562</v>
      </c>
      <c r="U44" s="43">
        <v>5658</v>
      </c>
      <c r="V44" s="43">
        <v>2230</v>
      </c>
      <c r="W44" s="43">
        <v>3664</v>
      </c>
      <c r="X44" s="43">
        <v>3602</v>
      </c>
      <c r="Y44" s="43">
        <v>3596</v>
      </c>
      <c r="Z44" s="43">
        <v>3533</v>
      </c>
      <c r="AA44" s="43">
        <v>3159</v>
      </c>
      <c r="AB44" s="43">
        <v>2954</v>
      </c>
      <c r="AC44" s="65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spans="2:56" ht="18.649999999999999" customHeight="1" x14ac:dyDescent="0.25">
      <c r="B45" s="61" t="s">
        <v>41</v>
      </c>
      <c r="C45" s="4" t="s">
        <v>31</v>
      </c>
      <c r="D45" s="5">
        <v>5</v>
      </c>
      <c r="E45" s="43">
        <v>3612</v>
      </c>
      <c r="F45" s="43">
        <v>3501</v>
      </c>
      <c r="G45" s="43">
        <v>3328</v>
      </c>
      <c r="H45" s="43">
        <v>3206</v>
      </c>
      <c r="I45" s="43">
        <v>3244</v>
      </c>
      <c r="J45" s="43">
        <v>3008</v>
      </c>
      <c r="K45" s="43">
        <v>2143</v>
      </c>
      <c r="L45" s="43">
        <v>4203</v>
      </c>
      <c r="M45" s="43">
        <v>4590</v>
      </c>
      <c r="N45" s="43">
        <v>5046</v>
      </c>
      <c r="O45" s="43">
        <v>4916</v>
      </c>
      <c r="P45" s="43">
        <v>5010</v>
      </c>
      <c r="Q45" s="43">
        <v>5039</v>
      </c>
      <c r="R45" s="43">
        <v>4930</v>
      </c>
      <c r="S45" s="43">
        <v>5249</v>
      </c>
      <c r="T45" s="43">
        <v>5392</v>
      </c>
      <c r="U45" s="43">
        <v>5194</v>
      </c>
      <c r="V45" s="43">
        <v>2277</v>
      </c>
      <c r="W45" s="43">
        <v>3077</v>
      </c>
      <c r="X45" s="43">
        <v>3104</v>
      </c>
      <c r="Y45" s="43">
        <v>2985</v>
      </c>
      <c r="Z45" s="43">
        <v>2708</v>
      </c>
      <c r="AA45" s="43">
        <v>2464</v>
      </c>
      <c r="AB45" s="43">
        <v>2182</v>
      </c>
      <c r="AC45" s="65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</row>
    <row r="46" spans="2:56" ht="18.649999999999999" customHeight="1" x14ac:dyDescent="0.25">
      <c r="B46" s="61" t="s">
        <v>41</v>
      </c>
      <c r="C46" s="4" t="s">
        <v>32</v>
      </c>
      <c r="D46" s="5">
        <v>1</v>
      </c>
      <c r="E46" s="43">
        <v>2990</v>
      </c>
      <c r="F46" s="43">
        <v>3053</v>
      </c>
      <c r="G46" s="43">
        <v>2857</v>
      </c>
      <c r="H46" s="43">
        <v>2845</v>
      </c>
      <c r="I46" s="43">
        <v>2932</v>
      </c>
      <c r="J46" s="43">
        <v>2964</v>
      </c>
      <c r="K46" s="43">
        <v>1847</v>
      </c>
      <c r="L46" s="43">
        <v>4188</v>
      </c>
      <c r="M46" s="43">
        <v>4231</v>
      </c>
      <c r="N46" s="43">
        <v>4776</v>
      </c>
      <c r="O46" s="43">
        <v>4748</v>
      </c>
      <c r="P46" s="43">
        <v>5148</v>
      </c>
      <c r="Q46" s="43">
        <v>5192</v>
      </c>
      <c r="R46" s="43">
        <v>5289</v>
      </c>
      <c r="S46" s="43">
        <v>5560</v>
      </c>
      <c r="T46" s="43">
        <v>5309</v>
      </c>
      <c r="U46" s="43">
        <v>5203</v>
      </c>
      <c r="V46" s="43">
        <v>2651</v>
      </c>
      <c r="W46" s="43">
        <v>3825</v>
      </c>
      <c r="X46" s="43">
        <v>3705</v>
      </c>
      <c r="Y46" s="43">
        <v>3603</v>
      </c>
      <c r="Z46" s="43">
        <v>3501</v>
      </c>
      <c r="AA46" s="43">
        <v>3125</v>
      </c>
      <c r="AB46" s="43">
        <v>2785</v>
      </c>
      <c r="AC46" s="6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spans="2:56" ht="18.649999999999999" customHeight="1" x14ac:dyDescent="0.25">
      <c r="B47" s="61" t="s">
        <v>42</v>
      </c>
      <c r="C47" s="4" t="s">
        <v>29</v>
      </c>
      <c r="D47" s="5">
        <v>20</v>
      </c>
      <c r="E47" s="43">
        <v>3009</v>
      </c>
      <c r="F47" s="43">
        <v>2908</v>
      </c>
      <c r="G47" s="43">
        <v>2921</v>
      </c>
      <c r="H47" s="43">
        <v>2897</v>
      </c>
      <c r="I47" s="43">
        <v>3162</v>
      </c>
      <c r="J47" s="43">
        <v>3677</v>
      </c>
      <c r="K47" s="43">
        <v>3339</v>
      </c>
      <c r="L47" s="43">
        <v>5334</v>
      </c>
      <c r="M47" s="43">
        <v>5207</v>
      </c>
      <c r="N47" s="43">
        <v>5272</v>
      </c>
      <c r="O47" s="43">
        <v>5342</v>
      </c>
      <c r="P47" s="43">
        <v>5519</v>
      </c>
      <c r="Q47" s="43">
        <v>5393</v>
      </c>
      <c r="R47" s="43">
        <v>5366</v>
      </c>
      <c r="S47" s="43">
        <v>5648</v>
      </c>
      <c r="T47" s="43">
        <v>5702</v>
      </c>
      <c r="U47" s="43">
        <v>5719</v>
      </c>
      <c r="V47" s="43">
        <v>2612</v>
      </c>
      <c r="W47" s="43">
        <v>3582</v>
      </c>
      <c r="X47" s="43">
        <v>3490</v>
      </c>
      <c r="Y47" s="43">
        <v>3054</v>
      </c>
      <c r="Z47" s="43">
        <v>2773</v>
      </c>
      <c r="AA47" s="43">
        <v>2514</v>
      </c>
      <c r="AB47" s="43">
        <v>2266</v>
      </c>
      <c r="AC47" s="64">
        <f>+SUM(E47:AB47)*D47+SUM(E48:AB48)*D48+SUM(E49:AB49)*D49+SUM(E50:AB50)*D50</f>
        <v>2854598</v>
      </c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</row>
    <row r="48" spans="2:56" ht="18.649999999999999" customHeight="1" x14ac:dyDescent="0.25">
      <c r="B48" s="61" t="s">
        <v>42</v>
      </c>
      <c r="C48" s="4" t="s">
        <v>30</v>
      </c>
      <c r="D48" s="5">
        <v>4</v>
      </c>
      <c r="E48" s="43">
        <v>3233</v>
      </c>
      <c r="F48" s="43">
        <v>3038</v>
      </c>
      <c r="G48" s="43">
        <v>2958</v>
      </c>
      <c r="H48" s="43">
        <v>2922</v>
      </c>
      <c r="I48" s="43">
        <v>3047</v>
      </c>
      <c r="J48" s="43">
        <v>3000</v>
      </c>
      <c r="K48" s="43">
        <v>2910</v>
      </c>
      <c r="L48" s="43">
        <v>5202</v>
      </c>
      <c r="M48" s="43">
        <v>5361</v>
      </c>
      <c r="N48" s="43">
        <v>5421</v>
      </c>
      <c r="O48" s="43">
        <v>5425</v>
      </c>
      <c r="P48" s="43">
        <v>5514</v>
      </c>
      <c r="Q48" s="43">
        <v>5271</v>
      </c>
      <c r="R48" s="43">
        <v>5328</v>
      </c>
      <c r="S48" s="43">
        <v>5477</v>
      </c>
      <c r="T48" s="43">
        <v>5645</v>
      </c>
      <c r="U48" s="43">
        <v>5669</v>
      </c>
      <c r="V48" s="43">
        <v>2607</v>
      </c>
      <c r="W48" s="43">
        <v>3361</v>
      </c>
      <c r="X48" s="43">
        <v>3449</v>
      </c>
      <c r="Y48" s="43">
        <v>3136</v>
      </c>
      <c r="Z48" s="43">
        <v>2949</v>
      </c>
      <c r="AA48" s="43">
        <v>2769</v>
      </c>
      <c r="AB48" s="43">
        <v>2489</v>
      </c>
      <c r="AC48" s="65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spans="2:56" ht="18.649999999999999" customHeight="1" x14ac:dyDescent="0.25">
      <c r="B49" s="61" t="s">
        <v>42</v>
      </c>
      <c r="C49" s="4" t="s">
        <v>31</v>
      </c>
      <c r="D49" s="5">
        <v>4</v>
      </c>
      <c r="E49" s="43">
        <v>3282</v>
      </c>
      <c r="F49" s="43">
        <v>3140</v>
      </c>
      <c r="G49" s="43">
        <v>2936</v>
      </c>
      <c r="H49" s="43">
        <v>2982</v>
      </c>
      <c r="I49" s="43">
        <v>3026</v>
      </c>
      <c r="J49" s="43">
        <v>2857</v>
      </c>
      <c r="K49" s="43">
        <v>2267</v>
      </c>
      <c r="L49" s="43">
        <v>4170</v>
      </c>
      <c r="M49" s="43">
        <v>4528</v>
      </c>
      <c r="N49" s="43">
        <v>4696</v>
      </c>
      <c r="O49" s="43">
        <v>4747</v>
      </c>
      <c r="P49" s="43">
        <v>5253</v>
      </c>
      <c r="Q49" s="43">
        <v>5209</v>
      </c>
      <c r="R49" s="43">
        <v>5256</v>
      </c>
      <c r="S49" s="43">
        <v>5375</v>
      </c>
      <c r="T49" s="43">
        <v>5385</v>
      </c>
      <c r="U49" s="43">
        <v>5704</v>
      </c>
      <c r="V49" s="43">
        <v>2636</v>
      </c>
      <c r="W49" s="43">
        <v>3257</v>
      </c>
      <c r="X49" s="43">
        <v>3265</v>
      </c>
      <c r="Y49" s="43">
        <v>3029</v>
      </c>
      <c r="Z49" s="43">
        <v>2894</v>
      </c>
      <c r="AA49" s="43">
        <v>2590</v>
      </c>
      <c r="AB49" s="43">
        <v>2278</v>
      </c>
      <c r="AC49" s="65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</row>
    <row r="50" spans="2:56" ht="18.649999999999999" customHeight="1" x14ac:dyDescent="0.25">
      <c r="B50" s="61" t="s">
        <v>42</v>
      </c>
      <c r="C50" s="4" t="s">
        <v>32</v>
      </c>
      <c r="D50" s="5">
        <v>2</v>
      </c>
      <c r="E50" s="43">
        <v>3171</v>
      </c>
      <c r="F50" s="43">
        <v>3077</v>
      </c>
      <c r="G50" s="43">
        <v>3057</v>
      </c>
      <c r="H50" s="43">
        <v>2906</v>
      </c>
      <c r="I50" s="43">
        <v>2996</v>
      </c>
      <c r="J50" s="43">
        <v>3045</v>
      </c>
      <c r="K50" s="43">
        <v>2248</v>
      </c>
      <c r="L50" s="43">
        <v>4028</v>
      </c>
      <c r="M50" s="43">
        <v>4396</v>
      </c>
      <c r="N50" s="43">
        <v>4639</v>
      </c>
      <c r="O50" s="43">
        <v>4727</v>
      </c>
      <c r="P50" s="43">
        <v>4918</v>
      </c>
      <c r="Q50" s="43">
        <v>4861</v>
      </c>
      <c r="R50" s="43">
        <v>4983</v>
      </c>
      <c r="S50" s="43">
        <v>4971</v>
      </c>
      <c r="T50" s="43">
        <v>4916</v>
      </c>
      <c r="U50" s="43">
        <v>4940</v>
      </c>
      <c r="V50" s="43">
        <v>2425</v>
      </c>
      <c r="W50" s="43">
        <v>3212</v>
      </c>
      <c r="X50" s="43">
        <v>3097</v>
      </c>
      <c r="Y50" s="43">
        <v>2861</v>
      </c>
      <c r="Z50" s="43">
        <v>2563</v>
      </c>
      <c r="AA50" s="43">
        <v>2323</v>
      </c>
      <c r="AB50" s="43">
        <v>1993</v>
      </c>
      <c r="AC50" s="6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spans="2:56" ht="18.649999999999999" customHeight="1" x14ac:dyDescent="0.25">
      <c r="B51" s="61" t="s">
        <v>43</v>
      </c>
      <c r="C51" s="4" t="s">
        <v>29</v>
      </c>
      <c r="D51" s="5">
        <v>19</v>
      </c>
      <c r="E51" s="43">
        <v>3277</v>
      </c>
      <c r="F51" s="43">
        <v>3107</v>
      </c>
      <c r="G51" s="43">
        <v>3062</v>
      </c>
      <c r="H51" s="43">
        <v>3047</v>
      </c>
      <c r="I51" s="43">
        <v>3201</v>
      </c>
      <c r="J51" s="43">
        <v>3501</v>
      </c>
      <c r="K51" s="43">
        <v>3123</v>
      </c>
      <c r="L51" s="43">
        <v>5265</v>
      </c>
      <c r="M51" s="43">
        <v>5294</v>
      </c>
      <c r="N51" s="43">
        <v>5347</v>
      </c>
      <c r="O51" s="43">
        <v>5395</v>
      </c>
      <c r="P51" s="43">
        <v>5616</v>
      </c>
      <c r="Q51" s="43">
        <v>5523</v>
      </c>
      <c r="R51" s="43">
        <v>5552</v>
      </c>
      <c r="S51" s="43">
        <v>5698</v>
      </c>
      <c r="T51" s="43">
        <v>5821</v>
      </c>
      <c r="U51" s="43">
        <v>5889</v>
      </c>
      <c r="V51" s="43">
        <v>2887</v>
      </c>
      <c r="W51" s="43">
        <v>3848</v>
      </c>
      <c r="X51" s="43">
        <v>3610</v>
      </c>
      <c r="Y51" s="43">
        <v>3406</v>
      </c>
      <c r="Z51" s="43">
        <v>3169</v>
      </c>
      <c r="AA51" s="43">
        <v>2946</v>
      </c>
      <c r="AB51" s="43">
        <v>2689</v>
      </c>
      <c r="AC51" s="64">
        <f>+SUM(E51:AB51)*D51+SUM(E52:AB52)*D52+SUM(E53:AB53)*D53+SUM(E54:AB54)*D54</f>
        <v>2942882</v>
      </c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</row>
    <row r="52" spans="2:56" ht="18.649999999999999" customHeight="1" x14ac:dyDescent="0.25">
      <c r="B52" s="61" t="s">
        <v>43</v>
      </c>
      <c r="C52" s="4" t="s">
        <v>30</v>
      </c>
      <c r="D52" s="5">
        <v>5</v>
      </c>
      <c r="E52" s="43">
        <v>3587</v>
      </c>
      <c r="F52" s="43">
        <v>3344</v>
      </c>
      <c r="G52" s="43">
        <v>3210</v>
      </c>
      <c r="H52" s="43">
        <v>3168</v>
      </c>
      <c r="I52" s="43">
        <v>3134</v>
      </c>
      <c r="J52" s="43">
        <v>3173</v>
      </c>
      <c r="K52" s="43">
        <v>2524</v>
      </c>
      <c r="L52" s="43">
        <v>4940</v>
      </c>
      <c r="M52" s="43">
        <v>5268</v>
      </c>
      <c r="N52" s="43">
        <v>5407</v>
      </c>
      <c r="O52" s="43">
        <v>5320</v>
      </c>
      <c r="P52" s="43">
        <v>5244</v>
      </c>
      <c r="Q52" s="43">
        <v>5451</v>
      </c>
      <c r="R52" s="43">
        <v>5243</v>
      </c>
      <c r="S52" s="43">
        <v>5001</v>
      </c>
      <c r="T52" s="43">
        <v>5080</v>
      </c>
      <c r="U52" s="43">
        <v>5213</v>
      </c>
      <c r="V52" s="43">
        <v>2300</v>
      </c>
      <c r="W52" s="43">
        <v>3131</v>
      </c>
      <c r="X52" s="43">
        <v>2948</v>
      </c>
      <c r="Y52" s="43">
        <v>2706</v>
      </c>
      <c r="Z52" s="43">
        <v>2448</v>
      </c>
      <c r="AA52" s="43">
        <v>2459</v>
      </c>
      <c r="AB52" s="43">
        <v>2445</v>
      </c>
      <c r="AC52" s="65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spans="2:56" ht="18.649999999999999" customHeight="1" x14ac:dyDescent="0.25">
      <c r="B53" s="61" t="s">
        <v>43</v>
      </c>
      <c r="C53" s="4" t="s">
        <v>31</v>
      </c>
      <c r="D53" s="5">
        <v>5</v>
      </c>
      <c r="E53" s="43">
        <v>3412</v>
      </c>
      <c r="F53" s="43">
        <v>3267</v>
      </c>
      <c r="G53" s="43">
        <v>3084</v>
      </c>
      <c r="H53" s="43">
        <v>3057</v>
      </c>
      <c r="I53" s="43">
        <v>2891</v>
      </c>
      <c r="J53" s="43">
        <v>2692</v>
      </c>
      <c r="K53" s="43">
        <v>1775</v>
      </c>
      <c r="L53" s="43">
        <v>3423</v>
      </c>
      <c r="M53" s="43">
        <v>3774</v>
      </c>
      <c r="N53" s="43">
        <v>3985</v>
      </c>
      <c r="O53" s="43">
        <v>4075</v>
      </c>
      <c r="P53" s="43">
        <v>4215</v>
      </c>
      <c r="Q53" s="43">
        <v>4554</v>
      </c>
      <c r="R53" s="43">
        <v>4715</v>
      </c>
      <c r="S53" s="43">
        <v>4805</v>
      </c>
      <c r="T53" s="43">
        <v>4765</v>
      </c>
      <c r="U53" s="43">
        <v>4663</v>
      </c>
      <c r="V53" s="43">
        <v>1799</v>
      </c>
      <c r="W53" s="43">
        <v>2832</v>
      </c>
      <c r="X53" s="43">
        <v>3117</v>
      </c>
      <c r="Y53" s="43">
        <v>3291</v>
      </c>
      <c r="Z53" s="43">
        <v>3176</v>
      </c>
      <c r="AA53" s="43">
        <v>2608</v>
      </c>
      <c r="AB53" s="43">
        <v>1968</v>
      </c>
      <c r="AC53" s="65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</row>
    <row r="54" spans="2:56" ht="18.649999999999999" customHeight="1" x14ac:dyDescent="0.25">
      <c r="B54" s="61" t="s">
        <v>43</v>
      </c>
      <c r="C54" s="4" t="s">
        <v>32</v>
      </c>
      <c r="D54" s="5">
        <v>2</v>
      </c>
      <c r="E54" s="43">
        <v>3601</v>
      </c>
      <c r="F54" s="43">
        <v>3518</v>
      </c>
      <c r="G54" s="43">
        <v>3332</v>
      </c>
      <c r="H54" s="43">
        <v>3113</v>
      </c>
      <c r="I54" s="43">
        <v>2993</v>
      </c>
      <c r="J54" s="43">
        <v>2802</v>
      </c>
      <c r="K54" s="43">
        <v>1859</v>
      </c>
      <c r="L54" s="43">
        <v>3643</v>
      </c>
      <c r="M54" s="43">
        <v>3811</v>
      </c>
      <c r="N54" s="43">
        <v>3850</v>
      </c>
      <c r="O54" s="43">
        <v>3959</v>
      </c>
      <c r="P54" s="43">
        <v>4090</v>
      </c>
      <c r="Q54" s="43">
        <v>4263</v>
      </c>
      <c r="R54" s="43">
        <v>4421</v>
      </c>
      <c r="S54" s="43">
        <v>4533</v>
      </c>
      <c r="T54" s="43">
        <v>4657</v>
      </c>
      <c r="U54" s="43">
        <v>4852</v>
      </c>
      <c r="V54" s="43">
        <v>1892</v>
      </c>
      <c r="W54" s="43">
        <v>3061</v>
      </c>
      <c r="X54" s="43">
        <v>3126</v>
      </c>
      <c r="Y54" s="43">
        <v>3097</v>
      </c>
      <c r="Z54" s="43">
        <v>2917</v>
      </c>
      <c r="AA54" s="43">
        <v>2502</v>
      </c>
      <c r="AB54" s="43">
        <v>2238</v>
      </c>
      <c r="AC54" s="6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spans="2:56" ht="18.649999999999999" customHeight="1" x14ac:dyDescent="0.25"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68" t="s">
        <v>46</v>
      </c>
      <c r="AA55" s="68"/>
      <c r="AB55" s="68"/>
      <c r="AC55" s="58">
        <f>SUM(AC7:AC54)</f>
        <v>33362407</v>
      </c>
    </row>
    <row r="56" spans="2:56" x14ac:dyDescent="0.25">
      <c r="AC56" s="39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76D-5B63-4C5A-88E3-208EAE805E69}">
  <dimension ref="B1:BD61"/>
  <sheetViews>
    <sheetView showGridLines="0" zoomScale="70" zoomScaleNormal="70" workbookViewId="0">
      <selection activeCell="AE7" sqref="AE7:AE18"/>
    </sheetView>
  </sheetViews>
  <sheetFormatPr baseColWidth="10" defaultColWidth="11.453125" defaultRowHeight="11.5" x14ac:dyDescent="0.25"/>
  <cols>
    <col min="1" max="1" width="6.54296875" style="7" customWidth="1"/>
    <col min="2" max="2" width="6.26953125" style="7" bestFit="1" customWidth="1"/>
    <col min="3" max="3" width="10.1796875" style="7" bestFit="1" customWidth="1"/>
    <col min="4" max="4" width="6" style="7" bestFit="1" customWidth="1"/>
    <col min="5" max="11" width="9.453125" style="7" bestFit="1" customWidth="1"/>
    <col min="12" max="28" width="9.7265625" style="7" bestFit="1" customWidth="1"/>
    <col min="29" max="29" width="13.81640625" style="7" bestFit="1" customWidth="1"/>
    <col min="30" max="30" width="2.81640625" style="7" customWidth="1"/>
    <col min="31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67" t="s">
        <v>45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2:56" ht="18.649999999999999" customHeight="1" x14ac:dyDescent="0.25">
      <c r="B3" s="67" t="s">
        <v>44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2:56" ht="18.649999999999999" customHeight="1" x14ac:dyDescent="0.25">
      <c r="B4" s="67">
        <v>2029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</row>
    <row r="7" spans="2:56" ht="18.649999999999999" customHeight="1" x14ac:dyDescent="0.25">
      <c r="B7" s="61" t="s">
        <v>28</v>
      </c>
      <c r="C7" s="4" t="s">
        <v>29</v>
      </c>
      <c r="D7" s="5">
        <v>21</v>
      </c>
      <c r="E7" s="43">
        <v>5650</v>
      </c>
      <c r="F7" s="43">
        <v>5151</v>
      </c>
      <c r="G7" s="43">
        <v>4925</v>
      </c>
      <c r="H7" s="43">
        <v>4749</v>
      </c>
      <c r="I7" s="43">
        <v>4655</v>
      </c>
      <c r="J7" s="43">
        <v>4527</v>
      </c>
      <c r="K7" s="43">
        <v>3862</v>
      </c>
      <c r="L7" s="43">
        <v>8744</v>
      </c>
      <c r="M7" s="43">
        <v>9494</v>
      </c>
      <c r="N7" s="43">
        <v>10009</v>
      </c>
      <c r="O7" s="43">
        <v>10287</v>
      </c>
      <c r="P7" s="43">
        <v>10560</v>
      </c>
      <c r="Q7" s="43">
        <v>11054</v>
      </c>
      <c r="R7" s="43">
        <v>10950</v>
      </c>
      <c r="S7" s="43">
        <v>10726</v>
      </c>
      <c r="T7" s="43">
        <v>10583</v>
      </c>
      <c r="U7" s="43">
        <v>10473</v>
      </c>
      <c r="V7" s="43">
        <v>8385</v>
      </c>
      <c r="W7" s="43">
        <v>9472</v>
      </c>
      <c r="X7" s="43">
        <v>10394</v>
      </c>
      <c r="Y7" s="43">
        <v>10191</v>
      </c>
      <c r="Z7" s="43">
        <v>9565</v>
      </c>
      <c r="AA7" s="43">
        <v>8509</v>
      </c>
      <c r="AB7" s="43">
        <v>7651</v>
      </c>
      <c r="AC7" s="64">
        <f>+SUM(E7:AB7)*D7+SUM(E8:AB8)*D8+SUM(E9:AB9)*D9+SUM(E10:AB10)*D10</f>
        <v>6675330</v>
      </c>
      <c r="AE7" s="7">
        <f>((+AC7)*1000)/1000</f>
        <v>6675330</v>
      </c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 spans="2:56" ht="18.649999999999999" customHeight="1" x14ac:dyDescent="0.25">
      <c r="B8" s="61" t="s">
        <v>28</v>
      </c>
      <c r="C8" s="4" t="s">
        <v>30</v>
      </c>
      <c r="D8" s="5">
        <v>4</v>
      </c>
      <c r="E8" s="43">
        <v>4716</v>
      </c>
      <c r="F8" s="43">
        <v>4525</v>
      </c>
      <c r="G8" s="43">
        <v>4530</v>
      </c>
      <c r="H8" s="43">
        <v>4508</v>
      </c>
      <c r="I8" s="43">
        <v>5059</v>
      </c>
      <c r="J8" s="43">
        <v>7130</v>
      </c>
      <c r="K8" s="43">
        <v>7841</v>
      </c>
      <c r="L8" s="43">
        <v>11869</v>
      </c>
      <c r="M8" s="43">
        <v>11155</v>
      </c>
      <c r="N8" s="43">
        <v>11468</v>
      </c>
      <c r="O8" s="43">
        <v>12125</v>
      </c>
      <c r="P8" s="43">
        <v>13243</v>
      </c>
      <c r="Q8" s="43">
        <v>12877</v>
      </c>
      <c r="R8" s="43">
        <v>13187</v>
      </c>
      <c r="S8" s="43">
        <v>13871</v>
      </c>
      <c r="T8" s="43">
        <v>14174</v>
      </c>
      <c r="U8" s="43">
        <v>14031</v>
      </c>
      <c r="V8" s="43">
        <v>11377</v>
      </c>
      <c r="W8" s="43">
        <v>12282</v>
      </c>
      <c r="X8" s="43">
        <v>13010</v>
      </c>
      <c r="Y8" s="43">
        <v>12568</v>
      </c>
      <c r="Z8" s="43">
        <v>11460</v>
      </c>
      <c r="AA8" s="43">
        <v>9145</v>
      </c>
      <c r="AB8" s="43">
        <v>6956</v>
      </c>
      <c r="AC8" s="65"/>
      <c r="AE8" s="7">
        <f>((+AC11)*1000)/1000</f>
        <v>6071720</v>
      </c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2:56" ht="18.649999999999999" customHeight="1" x14ac:dyDescent="0.25">
      <c r="B9" s="61" t="s">
        <v>28</v>
      </c>
      <c r="C9" s="4" t="s">
        <v>31</v>
      </c>
      <c r="D9" s="5">
        <v>4</v>
      </c>
      <c r="E9" s="43">
        <v>4280</v>
      </c>
      <c r="F9" s="43">
        <v>4282</v>
      </c>
      <c r="G9" s="43">
        <v>4242</v>
      </c>
      <c r="H9" s="43">
        <v>4440</v>
      </c>
      <c r="I9" s="43">
        <v>5412</v>
      </c>
      <c r="J9" s="43">
        <v>8178</v>
      </c>
      <c r="K9" s="43">
        <v>10436</v>
      </c>
      <c r="L9" s="43">
        <v>15264</v>
      </c>
      <c r="M9" s="43">
        <v>14648</v>
      </c>
      <c r="N9" s="43">
        <v>14569</v>
      </c>
      <c r="O9" s="43">
        <v>15074</v>
      </c>
      <c r="P9" s="43">
        <v>16395</v>
      </c>
      <c r="Q9" s="43">
        <v>15208</v>
      </c>
      <c r="R9" s="43">
        <v>14695</v>
      </c>
      <c r="S9" s="43">
        <v>15458</v>
      </c>
      <c r="T9" s="43">
        <v>15668</v>
      </c>
      <c r="U9" s="43">
        <v>15498</v>
      </c>
      <c r="V9" s="43">
        <v>13163</v>
      </c>
      <c r="W9" s="43">
        <v>14406</v>
      </c>
      <c r="X9" s="43">
        <v>13959</v>
      </c>
      <c r="Y9" s="43">
        <v>12899</v>
      </c>
      <c r="Z9" s="43">
        <v>11726</v>
      </c>
      <c r="AA9" s="43">
        <v>10193</v>
      </c>
      <c r="AB9" s="43">
        <v>8988</v>
      </c>
      <c r="AC9" s="65"/>
      <c r="AE9" s="7">
        <f>((+AC15)*1000)/1000</f>
        <v>6318856</v>
      </c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 spans="2:56" ht="18.649999999999999" customHeight="1" x14ac:dyDescent="0.25">
      <c r="B10" s="61" t="s">
        <v>28</v>
      </c>
      <c r="C10" s="4" t="s">
        <v>32</v>
      </c>
      <c r="D10" s="5">
        <v>2</v>
      </c>
      <c r="E10" s="43">
        <v>4635</v>
      </c>
      <c r="F10" s="43">
        <v>4427</v>
      </c>
      <c r="G10" s="43">
        <v>4074</v>
      </c>
      <c r="H10" s="43">
        <v>3953</v>
      </c>
      <c r="I10" s="43">
        <v>3983</v>
      </c>
      <c r="J10" s="43">
        <v>4070</v>
      </c>
      <c r="K10" s="43">
        <v>4223</v>
      </c>
      <c r="L10" s="43">
        <v>8583</v>
      </c>
      <c r="M10" s="43">
        <v>9212</v>
      </c>
      <c r="N10" s="43">
        <v>9459</v>
      </c>
      <c r="O10" s="43">
        <v>9887</v>
      </c>
      <c r="P10" s="43">
        <v>9942</v>
      </c>
      <c r="Q10" s="43">
        <v>10303</v>
      </c>
      <c r="R10" s="43">
        <v>10102</v>
      </c>
      <c r="S10" s="43">
        <v>10073</v>
      </c>
      <c r="T10" s="43">
        <v>9968</v>
      </c>
      <c r="U10" s="43">
        <v>9958</v>
      </c>
      <c r="V10" s="43">
        <v>8007</v>
      </c>
      <c r="W10" s="43">
        <v>9351</v>
      </c>
      <c r="X10" s="43">
        <v>9764</v>
      </c>
      <c r="Y10" s="43">
        <v>9178</v>
      </c>
      <c r="Z10" s="43">
        <v>8600</v>
      </c>
      <c r="AA10" s="43">
        <v>8267</v>
      </c>
      <c r="AB10" s="43">
        <v>7327</v>
      </c>
      <c r="AC10" s="66"/>
      <c r="AE10" s="7">
        <f>((+AC19)*1000)/1000</f>
        <v>6557158</v>
      </c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2:56" ht="18.649999999999999" customHeight="1" x14ac:dyDescent="0.25">
      <c r="B11" s="61" t="s">
        <v>33</v>
      </c>
      <c r="C11" s="4" t="s">
        <v>29</v>
      </c>
      <c r="D11" s="5">
        <v>20</v>
      </c>
      <c r="E11" s="43">
        <v>3388</v>
      </c>
      <c r="F11" s="43">
        <v>3499</v>
      </c>
      <c r="G11" s="43">
        <v>3189</v>
      </c>
      <c r="H11" s="43">
        <v>3499</v>
      </c>
      <c r="I11" s="43">
        <v>3445</v>
      </c>
      <c r="J11" s="43">
        <v>5991</v>
      </c>
      <c r="K11" s="43">
        <v>7869</v>
      </c>
      <c r="L11" s="43">
        <v>12322</v>
      </c>
      <c r="M11" s="43">
        <v>12001</v>
      </c>
      <c r="N11" s="43">
        <v>11875</v>
      </c>
      <c r="O11" s="43">
        <v>12164</v>
      </c>
      <c r="P11" s="43">
        <v>12482</v>
      </c>
      <c r="Q11" s="43">
        <v>12058</v>
      </c>
      <c r="R11" s="43">
        <v>11980</v>
      </c>
      <c r="S11" s="43">
        <v>12313</v>
      </c>
      <c r="T11" s="43">
        <v>12565</v>
      </c>
      <c r="U11" s="43">
        <v>12652</v>
      </c>
      <c r="V11" s="43">
        <v>10565</v>
      </c>
      <c r="W11" s="43">
        <v>11571</v>
      </c>
      <c r="X11" s="43">
        <v>11348</v>
      </c>
      <c r="Y11" s="43">
        <v>10643</v>
      </c>
      <c r="Z11" s="43">
        <v>9609</v>
      </c>
      <c r="AA11" s="43">
        <v>7821</v>
      </c>
      <c r="AB11" s="43">
        <v>6247</v>
      </c>
      <c r="AC11" s="64">
        <f>+SUM(E11:AB11)*D11+SUM(E12:AB12)*D12+SUM(E13:AB13)*D13+SUM(E14:AB14)*D14</f>
        <v>6071720</v>
      </c>
      <c r="AE11" s="7">
        <f>((+AC23)*1000)/1000</f>
        <v>6567612</v>
      </c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 spans="2:56" ht="18.649999999999999" customHeight="1" x14ac:dyDescent="0.25">
      <c r="B12" s="61" t="s">
        <v>33</v>
      </c>
      <c r="C12" s="4" t="s">
        <v>30</v>
      </c>
      <c r="D12" s="5">
        <v>4</v>
      </c>
      <c r="E12" s="43">
        <v>4278</v>
      </c>
      <c r="F12" s="43">
        <v>3996</v>
      </c>
      <c r="G12" s="43">
        <v>3857</v>
      </c>
      <c r="H12" s="43">
        <v>3647</v>
      </c>
      <c r="I12" s="43">
        <v>3773</v>
      </c>
      <c r="J12" s="43">
        <v>4143</v>
      </c>
      <c r="K12" s="43">
        <v>5705</v>
      </c>
      <c r="L12" s="43">
        <v>11328</v>
      </c>
      <c r="M12" s="43">
        <v>11897</v>
      </c>
      <c r="N12" s="43">
        <v>12128</v>
      </c>
      <c r="O12" s="43">
        <v>12277</v>
      </c>
      <c r="P12" s="43">
        <v>12557</v>
      </c>
      <c r="Q12" s="43">
        <v>12085</v>
      </c>
      <c r="R12" s="43">
        <v>11845</v>
      </c>
      <c r="S12" s="43">
        <v>11879</v>
      </c>
      <c r="T12" s="43">
        <v>11855</v>
      </c>
      <c r="U12" s="43">
        <v>12283</v>
      </c>
      <c r="V12" s="43">
        <v>10657</v>
      </c>
      <c r="W12" s="43">
        <v>11227</v>
      </c>
      <c r="X12" s="43">
        <v>11246</v>
      </c>
      <c r="Y12" s="43">
        <v>10683</v>
      </c>
      <c r="Z12" s="43">
        <v>9321</v>
      </c>
      <c r="AA12" s="43">
        <v>7875</v>
      </c>
      <c r="AB12" s="43">
        <v>6427</v>
      </c>
      <c r="AC12" s="65"/>
      <c r="AE12" s="7">
        <f>((+AC27)*1000)/1000</f>
        <v>6448400</v>
      </c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2:56" ht="18.649999999999999" customHeight="1" x14ac:dyDescent="0.25">
      <c r="B13" s="61" t="s">
        <v>33</v>
      </c>
      <c r="C13" s="4" t="s">
        <v>31</v>
      </c>
      <c r="D13" s="5">
        <v>4</v>
      </c>
      <c r="E13" s="43">
        <v>4169</v>
      </c>
      <c r="F13" s="43">
        <v>3841</v>
      </c>
      <c r="G13" s="43">
        <v>3493</v>
      </c>
      <c r="H13" s="43">
        <v>3345</v>
      </c>
      <c r="I13" s="43">
        <v>3417</v>
      </c>
      <c r="J13" s="43">
        <v>3398</v>
      </c>
      <c r="K13" s="43">
        <v>3967</v>
      </c>
      <c r="L13" s="43">
        <v>8921</v>
      </c>
      <c r="M13" s="43">
        <v>9872</v>
      </c>
      <c r="N13" s="43">
        <v>10437</v>
      </c>
      <c r="O13" s="43">
        <v>10330</v>
      </c>
      <c r="P13" s="43">
        <v>11063</v>
      </c>
      <c r="Q13" s="43">
        <v>11625</v>
      </c>
      <c r="R13" s="43">
        <v>11803</v>
      </c>
      <c r="S13" s="43">
        <v>11430</v>
      </c>
      <c r="T13" s="43">
        <v>12374</v>
      </c>
      <c r="U13" s="43">
        <v>10862</v>
      </c>
      <c r="V13" s="43">
        <v>9326</v>
      </c>
      <c r="W13" s="43">
        <v>11452</v>
      </c>
      <c r="X13" s="43">
        <v>9829</v>
      </c>
      <c r="Y13" s="43">
        <v>9585</v>
      </c>
      <c r="Z13" s="43">
        <v>8499</v>
      </c>
      <c r="AA13" s="43">
        <v>6808</v>
      </c>
      <c r="AB13" s="43">
        <v>5635</v>
      </c>
      <c r="AC13" s="65"/>
      <c r="AE13" s="7">
        <f>((+AC31)*1000)/1000</f>
        <v>6740976</v>
      </c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 spans="2:56" ht="18.649999999999999" customHeight="1" x14ac:dyDescent="0.25">
      <c r="B14" s="61" t="s">
        <v>33</v>
      </c>
      <c r="C14" s="4" t="s">
        <v>32</v>
      </c>
      <c r="D14" s="5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66"/>
      <c r="AE14" s="7">
        <f>((+AC35)*1000)/1000</f>
        <v>7014730</v>
      </c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2:56" ht="18.649999999999999" customHeight="1" x14ac:dyDescent="0.25">
      <c r="B15" s="61" t="s">
        <v>34</v>
      </c>
      <c r="C15" s="4" t="s">
        <v>29</v>
      </c>
      <c r="D15" s="5">
        <v>19</v>
      </c>
      <c r="E15" s="43">
        <v>3121</v>
      </c>
      <c r="F15" s="43">
        <v>2908</v>
      </c>
      <c r="G15" s="43">
        <v>2858</v>
      </c>
      <c r="H15" s="43">
        <v>2897</v>
      </c>
      <c r="I15" s="43">
        <v>3638</v>
      </c>
      <c r="J15" s="43">
        <v>5697</v>
      </c>
      <c r="K15" s="43">
        <v>7249</v>
      </c>
      <c r="L15" s="43">
        <v>11033</v>
      </c>
      <c r="M15" s="43">
        <v>10640</v>
      </c>
      <c r="N15" s="43">
        <v>10583</v>
      </c>
      <c r="O15" s="43">
        <v>10557</v>
      </c>
      <c r="P15" s="43">
        <v>11488</v>
      </c>
      <c r="Q15" s="43">
        <v>11234</v>
      </c>
      <c r="R15" s="43">
        <v>11047</v>
      </c>
      <c r="S15" s="43">
        <v>11407</v>
      </c>
      <c r="T15" s="43">
        <v>11569</v>
      </c>
      <c r="U15" s="43">
        <v>11320</v>
      </c>
      <c r="V15" s="43">
        <v>9895</v>
      </c>
      <c r="W15" s="43">
        <v>10951</v>
      </c>
      <c r="X15" s="43">
        <v>11026</v>
      </c>
      <c r="Y15" s="43">
        <v>10502</v>
      </c>
      <c r="Z15" s="43">
        <v>8829</v>
      </c>
      <c r="AA15" s="43">
        <v>7398</v>
      </c>
      <c r="AB15" s="43">
        <v>5697</v>
      </c>
      <c r="AC15" s="64">
        <f>+SUM(E15:AB15)*D15+SUM(E16:AB16)*D16+SUM(E17:AB17)*D17+SUM(E18:AB18)*D18</f>
        <v>6318856</v>
      </c>
      <c r="AE15" s="7">
        <f>((+AC39)*1000)/1000</f>
        <v>6783280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 spans="2:56" ht="18.649999999999999" customHeight="1" x14ac:dyDescent="0.25">
      <c r="B16" s="61" t="s">
        <v>34</v>
      </c>
      <c r="C16" s="4" t="s">
        <v>30</v>
      </c>
      <c r="D16" s="5">
        <v>5</v>
      </c>
      <c r="E16" s="43">
        <v>2739</v>
      </c>
      <c r="F16" s="43">
        <v>3345</v>
      </c>
      <c r="G16" s="43">
        <v>3239</v>
      </c>
      <c r="H16" s="43">
        <v>3163</v>
      </c>
      <c r="I16" s="43">
        <v>3472</v>
      </c>
      <c r="J16" s="43">
        <v>4123</v>
      </c>
      <c r="K16" s="43">
        <v>5799</v>
      </c>
      <c r="L16" s="43">
        <v>11084</v>
      </c>
      <c r="M16" s="43">
        <v>11541</v>
      </c>
      <c r="N16" s="43">
        <v>11872</v>
      </c>
      <c r="O16" s="43">
        <v>11914</v>
      </c>
      <c r="P16" s="43">
        <v>11749</v>
      </c>
      <c r="Q16" s="43">
        <v>11845</v>
      </c>
      <c r="R16" s="43">
        <v>11530</v>
      </c>
      <c r="S16" s="43">
        <v>11618</v>
      </c>
      <c r="T16" s="43">
        <v>11779</v>
      </c>
      <c r="U16" s="43">
        <v>11791</v>
      </c>
      <c r="V16" s="43">
        <v>10156</v>
      </c>
      <c r="W16" s="43">
        <v>10345</v>
      </c>
      <c r="X16" s="43">
        <v>11168</v>
      </c>
      <c r="Y16" s="43">
        <v>10716</v>
      </c>
      <c r="Z16" s="43">
        <v>9605</v>
      </c>
      <c r="AA16" s="43">
        <v>8210</v>
      </c>
      <c r="AB16" s="43">
        <v>6741</v>
      </c>
      <c r="AC16" s="65"/>
      <c r="AE16" s="7">
        <f>((+AC43)*1000)/1000</f>
        <v>7034886</v>
      </c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2:56" ht="18.649999999999999" customHeight="1" x14ac:dyDescent="0.25">
      <c r="B17" s="61" t="s">
        <v>34</v>
      </c>
      <c r="C17" s="4" t="s">
        <v>31</v>
      </c>
      <c r="D17" s="5">
        <v>4</v>
      </c>
      <c r="E17" s="43">
        <v>4031</v>
      </c>
      <c r="F17" s="43">
        <v>3837</v>
      </c>
      <c r="G17" s="43">
        <v>3330</v>
      </c>
      <c r="H17" s="43">
        <v>3597</v>
      </c>
      <c r="I17" s="43">
        <v>3646</v>
      </c>
      <c r="J17" s="43">
        <v>2325</v>
      </c>
      <c r="K17" s="43">
        <v>3843</v>
      </c>
      <c r="L17" s="43">
        <v>8479</v>
      </c>
      <c r="M17" s="43">
        <v>9212</v>
      </c>
      <c r="N17" s="43">
        <v>9221</v>
      </c>
      <c r="O17" s="43">
        <v>9898</v>
      </c>
      <c r="P17" s="43">
        <v>10755</v>
      </c>
      <c r="Q17" s="43">
        <v>10538</v>
      </c>
      <c r="R17" s="43">
        <v>10746</v>
      </c>
      <c r="S17" s="43">
        <v>10588</v>
      </c>
      <c r="T17" s="43">
        <v>10497</v>
      </c>
      <c r="U17" s="43">
        <v>10453</v>
      </c>
      <c r="V17" s="43">
        <v>9287</v>
      </c>
      <c r="W17" s="43">
        <v>10005</v>
      </c>
      <c r="X17" s="43">
        <v>10348</v>
      </c>
      <c r="Y17" s="43">
        <v>10616</v>
      </c>
      <c r="Z17" s="43">
        <v>9209</v>
      </c>
      <c r="AA17" s="43">
        <v>7736</v>
      </c>
      <c r="AB17" s="43">
        <v>6030</v>
      </c>
      <c r="AC17" s="65"/>
      <c r="AE17" s="7">
        <f>((+AC47)*1000)/1000</f>
        <v>6905710</v>
      </c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 spans="2:56" ht="18.649999999999999" customHeight="1" x14ac:dyDescent="0.25">
      <c r="B18" s="61" t="s">
        <v>34</v>
      </c>
      <c r="C18" s="4" t="s">
        <v>32</v>
      </c>
      <c r="D18" s="5">
        <v>3</v>
      </c>
      <c r="E18" s="43">
        <v>4720</v>
      </c>
      <c r="F18" s="43">
        <v>4716</v>
      </c>
      <c r="G18" s="43">
        <v>4298</v>
      </c>
      <c r="H18" s="43">
        <v>4318</v>
      </c>
      <c r="I18" s="43">
        <v>4455</v>
      </c>
      <c r="J18" s="43">
        <v>4074</v>
      </c>
      <c r="K18" s="43">
        <v>4775</v>
      </c>
      <c r="L18" s="43">
        <v>9124</v>
      </c>
      <c r="M18" s="43">
        <v>9561</v>
      </c>
      <c r="N18" s="43">
        <v>10194</v>
      </c>
      <c r="O18" s="43">
        <v>11405</v>
      </c>
      <c r="P18" s="43">
        <v>11816</v>
      </c>
      <c r="Q18" s="43">
        <v>12127</v>
      </c>
      <c r="R18" s="43">
        <v>11791</v>
      </c>
      <c r="S18" s="43">
        <v>12262</v>
      </c>
      <c r="T18" s="43">
        <v>12206</v>
      </c>
      <c r="U18" s="43">
        <v>12169</v>
      </c>
      <c r="V18" s="43">
        <v>10967</v>
      </c>
      <c r="W18" s="43">
        <v>12406</v>
      </c>
      <c r="X18" s="43">
        <v>12693</v>
      </c>
      <c r="Y18" s="43">
        <v>12163</v>
      </c>
      <c r="Z18" s="43">
        <v>10696</v>
      </c>
      <c r="AA18" s="43">
        <v>7880</v>
      </c>
      <c r="AB18" s="43">
        <v>6148</v>
      </c>
      <c r="AC18" s="66"/>
      <c r="AE18" s="7">
        <f>((+AC51)*1000)/1000</f>
        <v>7078222</v>
      </c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2:56" ht="18.649999999999999" customHeight="1" x14ac:dyDescent="0.25">
      <c r="B19" s="61" t="s">
        <v>35</v>
      </c>
      <c r="C19" s="4" t="s">
        <v>29</v>
      </c>
      <c r="D19" s="5">
        <v>21</v>
      </c>
      <c r="E19" s="43">
        <v>3782</v>
      </c>
      <c r="F19" s="43">
        <v>3640</v>
      </c>
      <c r="G19" s="43">
        <v>3720</v>
      </c>
      <c r="H19" s="43">
        <v>3551</v>
      </c>
      <c r="I19" s="43">
        <v>4012</v>
      </c>
      <c r="J19" s="43">
        <v>5339</v>
      </c>
      <c r="K19" s="43">
        <v>6972</v>
      </c>
      <c r="L19" s="43">
        <v>11444</v>
      </c>
      <c r="M19" s="43">
        <v>11510</v>
      </c>
      <c r="N19" s="43">
        <v>11363</v>
      </c>
      <c r="O19" s="43">
        <v>12059</v>
      </c>
      <c r="P19" s="43">
        <v>12889</v>
      </c>
      <c r="Q19" s="43">
        <v>12635</v>
      </c>
      <c r="R19" s="43">
        <v>12487</v>
      </c>
      <c r="S19" s="43">
        <v>12990</v>
      </c>
      <c r="T19" s="43">
        <v>12835</v>
      </c>
      <c r="U19" s="43">
        <v>12786</v>
      </c>
      <c r="V19" s="43">
        <v>10534</v>
      </c>
      <c r="W19" s="43">
        <v>11250</v>
      </c>
      <c r="X19" s="43">
        <v>11455</v>
      </c>
      <c r="Y19" s="43">
        <v>11095</v>
      </c>
      <c r="Z19" s="43">
        <v>9931</v>
      </c>
      <c r="AA19" s="43">
        <v>8276</v>
      </c>
      <c r="AB19" s="43">
        <v>6663</v>
      </c>
      <c r="AC19" s="64">
        <f>+SUM(E19:AB19)*D19+SUM(E20:AB20)*D20+SUM(E21:AB21)*D21+SUM(E22:AB22)*D22</f>
        <v>6557158</v>
      </c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 spans="2:56" ht="18.649999999999999" customHeight="1" x14ac:dyDescent="0.25">
      <c r="B20" s="61" t="s">
        <v>35</v>
      </c>
      <c r="C20" s="4" t="s">
        <v>30</v>
      </c>
      <c r="D20" s="5">
        <v>4</v>
      </c>
      <c r="E20" s="43">
        <v>4328</v>
      </c>
      <c r="F20" s="43">
        <v>4007</v>
      </c>
      <c r="G20" s="43">
        <v>3972</v>
      </c>
      <c r="H20" s="43">
        <v>3897</v>
      </c>
      <c r="I20" s="43">
        <v>4082</v>
      </c>
      <c r="J20" s="43">
        <v>4270</v>
      </c>
      <c r="K20" s="43">
        <v>4997</v>
      </c>
      <c r="L20" s="43">
        <v>10527</v>
      </c>
      <c r="M20" s="43">
        <v>10474</v>
      </c>
      <c r="N20" s="43">
        <v>10740</v>
      </c>
      <c r="O20" s="43">
        <v>11543</v>
      </c>
      <c r="P20" s="43">
        <v>11603</v>
      </c>
      <c r="Q20" s="43">
        <v>12114</v>
      </c>
      <c r="R20" s="43">
        <v>11946</v>
      </c>
      <c r="S20" s="43">
        <v>12363</v>
      </c>
      <c r="T20" s="43">
        <v>12500</v>
      </c>
      <c r="U20" s="43">
        <v>12771</v>
      </c>
      <c r="V20" s="43">
        <v>10877</v>
      </c>
      <c r="W20" s="43">
        <v>12062</v>
      </c>
      <c r="X20" s="43">
        <v>10715</v>
      </c>
      <c r="Y20" s="43">
        <v>10183</v>
      </c>
      <c r="Z20" s="43">
        <v>9559</v>
      </c>
      <c r="AA20" s="43">
        <v>8541</v>
      </c>
      <c r="AB20" s="43">
        <v>7979</v>
      </c>
      <c r="AC20" s="65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2:56" ht="18.649999999999999" customHeight="1" x14ac:dyDescent="0.25">
      <c r="B21" s="61" t="s">
        <v>35</v>
      </c>
      <c r="C21" s="4" t="s">
        <v>31</v>
      </c>
      <c r="D21" s="5">
        <v>5</v>
      </c>
      <c r="E21" s="43">
        <v>4778</v>
      </c>
      <c r="F21" s="43">
        <v>4231</v>
      </c>
      <c r="G21" s="43">
        <v>3833</v>
      </c>
      <c r="H21" s="43">
        <v>3855</v>
      </c>
      <c r="I21" s="43">
        <v>3544</v>
      </c>
      <c r="J21" s="43">
        <v>3557</v>
      </c>
      <c r="K21" s="43">
        <v>4361</v>
      </c>
      <c r="L21" s="43">
        <v>8776</v>
      </c>
      <c r="M21" s="43">
        <v>9909</v>
      </c>
      <c r="N21" s="43">
        <v>10101</v>
      </c>
      <c r="O21" s="43">
        <v>10612</v>
      </c>
      <c r="P21" s="43">
        <v>10628</v>
      </c>
      <c r="Q21" s="43">
        <v>10989</v>
      </c>
      <c r="R21" s="43">
        <v>10821</v>
      </c>
      <c r="S21" s="43">
        <v>11018</v>
      </c>
      <c r="T21" s="43">
        <v>10870</v>
      </c>
      <c r="U21" s="43">
        <v>11650</v>
      </c>
      <c r="V21" s="43">
        <v>9886</v>
      </c>
      <c r="W21" s="43">
        <v>10770</v>
      </c>
      <c r="X21" s="43">
        <v>10855</v>
      </c>
      <c r="Y21" s="43">
        <v>10691</v>
      </c>
      <c r="Z21" s="43">
        <v>9979</v>
      </c>
      <c r="AA21" s="43">
        <v>8892</v>
      </c>
      <c r="AB21" s="43">
        <v>6470</v>
      </c>
      <c r="AC21" s="65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</row>
    <row r="22" spans="2:56" ht="18.649999999999999" customHeight="1" x14ac:dyDescent="0.25">
      <c r="B22" s="61" t="s">
        <v>35</v>
      </c>
      <c r="C22" s="4" t="s">
        <v>32</v>
      </c>
      <c r="D22" s="5">
        <v>0</v>
      </c>
      <c r="E22" s="43">
        <v>14253</v>
      </c>
      <c r="F22" s="43">
        <v>12523</v>
      </c>
      <c r="G22" s="43">
        <v>11797</v>
      </c>
      <c r="H22" s="43">
        <v>11190</v>
      </c>
      <c r="I22" s="43">
        <v>11312</v>
      </c>
      <c r="J22" s="43">
        <v>11695</v>
      </c>
      <c r="K22" s="43">
        <v>12756</v>
      </c>
      <c r="L22" s="43">
        <v>17065</v>
      </c>
      <c r="M22" s="43">
        <v>19006</v>
      </c>
      <c r="N22" s="43">
        <v>20080</v>
      </c>
      <c r="O22" s="43">
        <v>20846</v>
      </c>
      <c r="P22" s="43">
        <v>22902</v>
      </c>
      <c r="Q22" s="43">
        <v>23550</v>
      </c>
      <c r="R22" s="43">
        <v>22880</v>
      </c>
      <c r="S22" s="43">
        <v>22564</v>
      </c>
      <c r="T22" s="43">
        <v>22177</v>
      </c>
      <c r="U22" s="43">
        <v>22223</v>
      </c>
      <c r="V22" s="43">
        <v>26483</v>
      </c>
      <c r="W22" s="43">
        <v>29381</v>
      </c>
      <c r="X22" s="43">
        <v>30346</v>
      </c>
      <c r="Y22" s="43">
        <v>29247</v>
      </c>
      <c r="Z22" s="43">
        <v>27681</v>
      </c>
      <c r="AA22" s="43">
        <v>24923</v>
      </c>
      <c r="AB22" s="43">
        <v>21220</v>
      </c>
      <c r="AC22" s="6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</row>
    <row r="23" spans="2:56" ht="18.649999999999999" customHeight="1" x14ac:dyDescent="0.25">
      <c r="B23" s="61" t="s">
        <v>36</v>
      </c>
      <c r="C23" s="4" t="s">
        <v>29</v>
      </c>
      <c r="D23" s="5">
        <v>21</v>
      </c>
      <c r="E23" s="43">
        <v>3881</v>
      </c>
      <c r="F23" s="43">
        <v>3668</v>
      </c>
      <c r="G23" s="43">
        <v>3480</v>
      </c>
      <c r="H23" s="43">
        <v>3582</v>
      </c>
      <c r="I23" s="43">
        <v>4112</v>
      </c>
      <c r="J23" s="43">
        <v>5676</v>
      </c>
      <c r="K23" s="43">
        <v>7115</v>
      </c>
      <c r="L23" s="43">
        <v>11277</v>
      </c>
      <c r="M23" s="43">
        <v>11094</v>
      </c>
      <c r="N23" s="43">
        <v>10635</v>
      </c>
      <c r="O23" s="43">
        <v>10892</v>
      </c>
      <c r="P23" s="43">
        <v>11889</v>
      </c>
      <c r="Q23" s="43">
        <v>11703</v>
      </c>
      <c r="R23" s="43">
        <v>11884</v>
      </c>
      <c r="S23" s="43">
        <v>12466</v>
      </c>
      <c r="T23" s="43">
        <v>12444</v>
      </c>
      <c r="U23" s="43">
        <v>12402</v>
      </c>
      <c r="V23" s="43">
        <v>10478</v>
      </c>
      <c r="W23" s="43">
        <v>11040</v>
      </c>
      <c r="X23" s="43">
        <v>11318</v>
      </c>
      <c r="Y23" s="43">
        <v>10803</v>
      </c>
      <c r="Z23" s="43">
        <v>9646</v>
      </c>
      <c r="AA23" s="43">
        <v>8120</v>
      </c>
      <c r="AB23" s="43">
        <v>6571</v>
      </c>
      <c r="AC23" s="64">
        <f>+SUM(E23:AB23)*D23+SUM(E24:AB24)*D24+SUM(E25:AB25)*D25+SUM(E26:AB26)*D26</f>
        <v>6567612</v>
      </c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</row>
    <row r="24" spans="2:56" ht="18.649999999999999" customHeight="1" x14ac:dyDescent="0.25">
      <c r="B24" s="61" t="s">
        <v>36</v>
      </c>
      <c r="C24" s="4" t="s">
        <v>30</v>
      </c>
      <c r="D24" s="5">
        <v>4</v>
      </c>
      <c r="E24" s="43">
        <v>4409</v>
      </c>
      <c r="F24" s="43">
        <v>3728</v>
      </c>
      <c r="G24" s="43">
        <v>3715</v>
      </c>
      <c r="H24" s="43">
        <v>3690</v>
      </c>
      <c r="I24" s="43">
        <v>3842</v>
      </c>
      <c r="J24" s="43">
        <v>4009</v>
      </c>
      <c r="K24" s="43">
        <v>5226</v>
      </c>
      <c r="L24" s="43">
        <v>10397</v>
      </c>
      <c r="M24" s="43">
        <v>11072</v>
      </c>
      <c r="N24" s="43">
        <v>11343</v>
      </c>
      <c r="O24" s="43">
        <v>11371</v>
      </c>
      <c r="P24" s="43">
        <v>11352</v>
      </c>
      <c r="Q24" s="43">
        <v>11572</v>
      </c>
      <c r="R24" s="43">
        <v>11211</v>
      </c>
      <c r="S24" s="43">
        <v>11226</v>
      </c>
      <c r="T24" s="43">
        <v>11290</v>
      </c>
      <c r="U24" s="43">
        <v>11391</v>
      </c>
      <c r="V24" s="43">
        <v>9769</v>
      </c>
      <c r="W24" s="43">
        <v>10392</v>
      </c>
      <c r="X24" s="43">
        <v>11021</v>
      </c>
      <c r="Y24" s="43">
        <v>10468</v>
      </c>
      <c r="Z24" s="43">
        <v>9683</v>
      </c>
      <c r="AA24" s="43">
        <v>8360</v>
      </c>
      <c r="AB24" s="43">
        <v>7062</v>
      </c>
      <c r="AC24" s="65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</row>
    <row r="25" spans="2:56" ht="18.649999999999999" customHeight="1" x14ac:dyDescent="0.25">
      <c r="B25" s="61" t="s">
        <v>36</v>
      </c>
      <c r="C25" s="4" t="s">
        <v>31</v>
      </c>
      <c r="D25" s="5">
        <v>4</v>
      </c>
      <c r="E25" s="43">
        <v>4433</v>
      </c>
      <c r="F25" s="43">
        <v>4141</v>
      </c>
      <c r="G25" s="43">
        <v>3510</v>
      </c>
      <c r="H25" s="43">
        <v>3492</v>
      </c>
      <c r="I25" s="43">
        <v>3206</v>
      </c>
      <c r="J25" s="43">
        <v>3381</v>
      </c>
      <c r="K25" s="43">
        <v>4104</v>
      </c>
      <c r="L25" s="43">
        <v>8921</v>
      </c>
      <c r="M25" s="43">
        <v>9718</v>
      </c>
      <c r="N25" s="43">
        <v>9996</v>
      </c>
      <c r="O25" s="43">
        <v>10241</v>
      </c>
      <c r="P25" s="43">
        <v>10218</v>
      </c>
      <c r="Q25" s="43">
        <v>10505</v>
      </c>
      <c r="R25" s="43">
        <v>10243</v>
      </c>
      <c r="S25" s="43">
        <v>10221</v>
      </c>
      <c r="T25" s="43">
        <v>10506</v>
      </c>
      <c r="U25" s="43">
        <v>11429</v>
      </c>
      <c r="V25" s="43">
        <v>8143</v>
      </c>
      <c r="W25" s="43">
        <v>10213</v>
      </c>
      <c r="X25" s="43">
        <v>10447</v>
      </c>
      <c r="Y25" s="43">
        <v>10033</v>
      </c>
      <c r="Z25" s="43">
        <v>8932</v>
      </c>
      <c r="AA25" s="43">
        <v>7169</v>
      </c>
      <c r="AB25" s="43">
        <v>5551</v>
      </c>
      <c r="AC25" s="65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</row>
    <row r="26" spans="2:56" ht="18.649999999999999" customHeight="1" x14ac:dyDescent="0.25">
      <c r="B26" s="61" t="s">
        <v>36</v>
      </c>
      <c r="C26" s="4" t="s">
        <v>32</v>
      </c>
      <c r="D26" s="5">
        <v>2</v>
      </c>
      <c r="E26" s="43">
        <v>3415</v>
      </c>
      <c r="F26" s="43">
        <v>4372</v>
      </c>
      <c r="G26" s="43">
        <v>4427</v>
      </c>
      <c r="H26" s="43">
        <v>3991</v>
      </c>
      <c r="I26" s="43">
        <v>4630</v>
      </c>
      <c r="J26" s="43">
        <v>4930</v>
      </c>
      <c r="K26" s="43">
        <v>5860</v>
      </c>
      <c r="L26" s="43">
        <v>10942</v>
      </c>
      <c r="M26" s="43">
        <v>11028</v>
      </c>
      <c r="N26" s="43">
        <v>11906</v>
      </c>
      <c r="O26" s="43">
        <v>12407</v>
      </c>
      <c r="P26" s="43">
        <v>12910</v>
      </c>
      <c r="Q26" s="43">
        <v>13372</v>
      </c>
      <c r="R26" s="43">
        <v>13351</v>
      </c>
      <c r="S26" s="43">
        <v>12564</v>
      </c>
      <c r="T26" s="43">
        <v>12497</v>
      </c>
      <c r="U26" s="43">
        <v>11965</v>
      </c>
      <c r="V26" s="43">
        <v>10217</v>
      </c>
      <c r="W26" s="43">
        <v>11215</v>
      </c>
      <c r="X26" s="43">
        <v>10623</v>
      </c>
      <c r="Y26" s="43">
        <v>10125</v>
      </c>
      <c r="Z26" s="43">
        <v>9534</v>
      </c>
      <c r="AA26" s="43">
        <v>8144</v>
      </c>
      <c r="AB26" s="43">
        <v>6829</v>
      </c>
      <c r="AC26" s="6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2:56" ht="18.649999999999999" customHeight="1" x14ac:dyDescent="0.25">
      <c r="B27" s="61" t="s">
        <v>37</v>
      </c>
      <c r="C27" s="4" t="s">
        <v>29</v>
      </c>
      <c r="D27" s="5">
        <v>19</v>
      </c>
      <c r="E27" s="43">
        <v>4097</v>
      </c>
      <c r="F27" s="43">
        <v>3831</v>
      </c>
      <c r="G27" s="43">
        <v>3749</v>
      </c>
      <c r="H27" s="43">
        <v>3675</v>
      </c>
      <c r="I27" s="43">
        <v>4258</v>
      </c>
      <c r="J27" s="43">
        <v>5681</v>
      </c>
      <c r="K27" s="43">
        <v>7070</v>
      </c>
      <c r="L27" s="43">
        <v>11650</v>
      </c>
      <c r="M27" s="43">
        <v>11351</v>
      </c>
      <c r="N27" s="43">
        <v>11480</v>
      </c>
      <c r="O27" s="43">
        <v>11831</v>
      </c>
      <c r="P27" s="43">
        <v>12093</v>
      </c>
      <c r="Q27" s="43">
        <v>12111</v>
      </c>
      <c r="R27" s="43">
        <v>12145</v>
      </c>
      <c r="S27" s="43">
        <v>12607</v>
      </c>
      <c r="T27" s="43">
        <v>12648</v>
      </c>
      <c r="U27" s="43">
        <v>12875</v>
      </c>
      <c r="V27" s="43">
        <v>10807</v>
      </c>
      <c r="W27" s="43">
        <v>11665</v>
      </c>
      <c r="X27" s="43">
        <v>11697</v>
      </c>
      <c r="Y27" s="43">
        <v>10939</v>
      </c>
      <c r="Z27" s="43">
        <v>9619</v>
      </c>
      <c r="AA27" s="43">
        <v>8080</v>
      </c>
      <c r="AB27" s="43">
        <v>6755</v>
      </c>
      <c r="AC27" s="64">
        <f>+SUM(E27:AB27)*D27+SUM(E28:AB28)*D28+SUM(E29:AB29)*D29+SUM(E30:AB30)*D30</f>
        <v>6448400</v>
      </c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</row>
    <row r="28" spans="2:56" ht="18.649999999999999" customHeight="1" x14ac:dyDescent="0.25">
      <c r="B28" s="61" t="s">
        <v>37</v>
      </c>
      <c r="C28" s="4" t="s">
        <v>30</v>
      </c>
      <c r="D28" s="5">
        <v>5</v>
      </c>
      <c r="E28" s="43">
        <v>4109</v>
      </c>
      <c r="F28" s="43">
        <v>3788</v>
      </c>
      <c r="G28" s="43">
        <v>3572</v>
      </c>
      <c r="H28" s="43">
        <v>3471</v>
      </c>
      <c r="I28" s="43">
        <v>3663</v>
      </c>
      <c r="J28" s="43">
        <v>4102</v>
      </c>
      <c r="K28" s="43">
        <v>5062</v>
      </c>
      <c r="L28" s="43">
        <v>10667</v>
      </c>
      <c r="M28" s="43">
        <v>11032</v>
      </c>
      <c r="N28" s="43">
        <v>11222</v>
      </c>
      <c r="O28" s="43">
        <v>11599</v>
      </c>
      <c r="P28" s="43">
        <v>11586</v>
      </c>
      <c r="Q28" s="43">
        <v>11663</v>
      </c>
      <c r="R28" s="43">
        <v>11425</v>
      </c>
      <c r="S28" s="43">
        <v>11071</v>
      </c>
      <c r="T28" s="43">
        <v>11102</v>
      </c>
      <c r="U28" s="43">
        <v>11244</v>
      </c>
      <c r="V28" s="43">
        <v>9736</v>
      </c>
      <c r="W28" s="43">
        <v>10380</v>
      </c>
      <c r="X28" s="43">
        <v>10892</v>
      </c>
      <c r="Y28" s="43">
        <v>10365</v>
      </c>
      <c r="Z28" s="43">
        <v>9481</v>
      </c>
      <c r="AA28" s="43">
        <v>8522</v>
      </c>
      <c r="AB28" s="43">
        <v>7294</v>
      </c>
      <c r="AC28" s="65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2:56" ht="18.649999999999999" customHeight="1" x14ac:dyDescent="0.25">
      <c r="B29" s="61" t="s">
        <v>37</v>
      </c>
      <c r="C29" s="4" t="s">
        <v>31</v>
      </c>
      <c r="D29" s="5">
        <v>4</v>
      </c>
      <c r="E29" s="43">
        <v>5051</v>
      </c>
      <c r="F29" s="43">
        <v>4360</v>
      </c>
      <c r="G29" s="43">
        <v>4115</v>
      </c>
      <c r="H29" s="43">
        <v>3992</v>
      </c>
      <c r="I29" s="43">
        <v>3830</v>
      </c>
      <c r="J29" s="43">
        <v>3790</v>
      </c>
      <c r="K29" s="43">
        <v>4313</v>
      </c>
      <c r="L29" s="43">
        <v>9151</v>
      </c>
      <c r="M29" s="43">
        <v>9733</v>
      </c>
      <c r="N29" s="43">
        <v>10338</v>
      </c>
      <c r="O29" s="43">
        <v>10533</v>
      </c>
      <c r="P29" s="43">
        <v>10565</v>
      </c>
      <c r="Q29" s="43">
        <v>10509</v>
      </c>
      <c r="R29" s="43">
        <v>10583</v>
      </c>
      <c r="S29" s="43">
        <v>10289</v>
      </c>
      <c r="T29" s="43">
        <v>10478</v>
      </c>
      <c r="U29" s="43">
        <v>10912</v>
      </c>
      <c r="V29" s="43">
        <v>9481</v>
      </c>
      <c r="W29" s="43">
        <v>10070</v>
      </c>
      <c r="X29" s="43">
        <v>10661</v>
      </c>
      <c r="Y29" s="43">
        <v>10252</v>
      </c>
      <c r="Z29" s="43">
        <v>9474</v>
      </c>
      <c r="AA29" s="43">
        <v>8315</v>
      </c>
      <c r="AB29" s="43">
        <v>6943</v>
      </c>
      <c r="AC29" s="65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</row>
    <row r="30" spans="2:56" ht="18.649999999999999" customHeight="1" x14ac:dyDescent="0.25">
      <c r="B30" s="61" t="s">
        <v>37</v>
      </c>
      <c r="C30" s="4" t="s">
        <v>32</v>
      </c>
      <c r="D30" s="5">
        <v>2</v>
      </c>
      <c r="E30" s="43">
        <v>4102</v>
      </c>
      <c r="F30" s="43">
        <v>3815</v>
      </c>
      <c r="G30" s="43">
        <v>3602</v>
      </c>
      <c r="H30" s="43">
        <v>3549</v>
      </c>
      <c r="I30" s="43">
        <v>3534</v>
      </c>
      <c r="J30" s="43">
        <v>3623</v>
      </c>
      <c r="K30" s="43">
        <v>3891</v>
      </c>
      <c r="L30" s="43">
        <v>8837</v>
      </c>
      <c r="M30" s="43">
        <v>8760</v>
      </c>
      <c r="N30" s="43">
        <v>9096</v>
      </c>
      <c r="O30" s="43">
        <v>10249</v>
      </c>
      <c r="P30" s="43">
        <v>10540</v>
      </c>
      <c r="Q30" s="43">
        <v>11337</v>
      </c>
      <c r="R30" s="43">
        <v>11571</v>
      </c>
      <c r="S30" s="43">
        <v>11440</v>
      </c>
      <c r="T30" s="43">
        <v>11503</v>
      </c>
      <c r="U30" s="43">
        <v>11517</v>
      </c>
      <c r="V30" s="43">
        <v>9337</v>
      </c>
      <c r="W30" s="43">
        <v>9986</v>
      </c>
      <c r="X30" s="43">
        <v>10369</v>
      </c>
      <c r="Y30" s="43">
        <v>10136</v>
      </c>
      <c r="Z30" s="43">
        <v>9514</v>
      </c>
      <c r="AA30" s="43">
        <v>8170</v>
      </c>
      <c r="AB30" s="43">
        <v>6843</v>
      </c>
      <c r="AC30" s="6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spans="2:56" ht="18.649999999999999" customHeight="1" x14ac:dyDescent="0.25">
      <c r="B31" s="61" t="s">
        <v>38</v>
      </c>
      <c r="C31" s="4" t="s">
        <v>29</v>
      </c>
      <c r="D31" s="5">
        <v>20</v>
      </c>
      <c r="E31" s="43">
        <v>4411</v>
      </c>
      <c r="F31" s="43">
        <v>4169</v>
      </c>
      <c r="G31" s="43">
        <v>3993</v>
      </c>
      <c r="H31" s="43">
        <v>4057</v>
      </c>
      <c r="I31" s="43">
        <v>4589</v>
      </c>
      <c r="J31" s="43">
        <v>6125</v>
      </c>
      <c r="K31" s="43">
        <v>7745</v>
      </c>
      <c r="L31" s="43">
        <v>11621</v>
      </c>
      <c r="M31" s="43">
        <v>11466</v>
      </c>
      <c r="N31" s="43">
        <v>11534</v>
      </c>
      <c r="O31" s="43">
        <v>11527</v>
      </c>
      <c r="P31" s="43">
        <v>12327</v>
      </c>
      <c r="Q31" s="43">
        <v>12133</v>
      </c>
      <c r="R31" s="43">
        <v>12223</v>
      </c>
      <c r="S31" s="43">
        <v>12537</v>
      </c>
      <c r="T31" s="43">
        <v>12630</v>
      </c>
      <c r="U31" s="43">
        <v>12638</v>
      </c>
      <c r="V31" s="43">
        <v>11108</v>
      </c>
      <c r="W31" s="43">
        <v>11489</v>
      </c>
      <c r="X31" s="43">
        <v>12240</v>
      </c>
      <c r="Y31" s="43">
        <v>11666</v>
      </c>
      <c r="Z31" s="43">
        <v>10336</v>
      </c>
      <c r="AA31" s="43">
        <v>8509</v>
      </c>
      <c r="AB31" s="43">
        <v>7415</v>
      </c>
      <c r="AC31" s="64">
        <f>+SUM(E31:AB31)*D31+SUM(E32:AB32)*D32+SUM(E33:AB33)*D33+SUM(E34:AB34)*D34</f>
        <v>6740976</v>
      </c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</row>
    <row r="32" spans="2:56" ht="18.649999999999999" customHeight="1" x14ac:dyDescent="0.25">
      <c r="B32" s="61" t="s">
        <v>38</v>
      </c>
      <c r="C32" s="4" t="s">
        <v>30</v>
      </c>
      <c r="D32" s="5">
        <v>4</v>
      </c>
      <c r="E32" s="43">
        <v>5388</v>
      </c>
      <c r="F32" s="43">
        <v>4948</v>
      </c>
      <c r="G32" s="43">
        <v>4654</v>
      </c>
      <c r="H32" s="43">
        <v>4509</v>
      </c>
      <c r="I32" s="43">
        <v>4623</v>
      </c>
      <c r="J32" s="43">
        <v>4811</v>
      </c>
      <c r="K32" s="43">
        <v>5719</v>
      </c>
      <c r="L32" s="43">
        <v>10953</v>
      </c>
      <c r="M32" s="43">
        <v>11306</v>
      </c>
      <c r="N32" s="43">
        <v>11449</v>
      </c>
      <c r="O32" s="43">
        <v>11495</v>
      </c>
      <c r="P32" s="43">
        <v>11918</v>
      </c>
      <c r="Q32" s="43">
        <v>12262</v>
      </c>
      <c r="R32" s="43">
        <v>12093</v>
      </c>
      <c r="S32" s="43">
        <v>11923</v>
      </c>
      <c r="T32" s="43">
        <v>11658</v>
      </c>
      <c r="U32" s="43">
        <v>11456</v>
      </c>
      <c r="V32" s="43">
        <v>10345</v>
      </c>
      <c r="W32" s="43">
        <v>10393</v>
      </c>
      <c r="X32" s="43">
        <v>11115</v>
      </c>
      <c r="Y32" s="43">
        <v>10436</v>
      </c>
      <c r="Z32" s="43">
        <v>9370</v>
      </c>
      <c r="AA32" s="43">
        <v>8256</v>
      </c>
      <c r="AB32" s="43">
        <v>7239</v>
      </c>
      <c r="AC32" s="65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spans="2:56" ht="18.649999999999999" customHeight="1" x14ac:dyDescent="0.25">
      <c r="B33" s="61" t="s">
        <v>38</v>
      </c>
      <c r="C33" s="4" t="s">
        <v>31</v>
      </c>
      <c r="D33" s="5">
        <v>5</v>
      </c>
      <c r="E33" s="43">
        <v>4265</v>
      </c>
      <c r="F33" s="43">
        <v>3823</v>
      </c>
      <c r="G33" s="43">
        <v>3733</v>
      </c>
      <c r="H33" s="43">
        <v>3616</v>
      </c>
      <c r="I33" s="43">
        <v>3509</v>
      </c>
      <c r="J33" s="43">
        <v>3345</v>
      </c>
      <c r="K33" s="43">
        <v>4138</v>
      </c>
      <c r="L33" s="43">
        <v>8405</v>
      </c>
      <c r="M33" s="43">
        <v>9134</v>
      </c>
      <c r="N33" s="43">
        <v>9186</v>
      </c>
      <c r="O33" s="43">
        <v>9261</v>
      </c>
      <c r="P33" s="43">
        <v>9866</v>
      </c>
      <c r="Q33" s="43">
        <v>9973</v>
      </c>
      <c r="R33" s="43">
        <v>10171</v>
      </c>
      <c r="S33" s="43">
        <v>10185</v>
      </c>
      <c r="T33" s="43">
        <v>10127</v>
      </c>
      <c r="U33" s="43">
        <v>10217</v>
      </c>
      <c r="V33" s="43">
        <v>9106</v>
      </c>
      <c r="W33" s="43">
        <v>9832</v>
      </c>
      <c r="X33" s="43">
        <v>10981</v>
      </c>
      <c r="Y33" s="43">
        <v>10796</v>
      </c>
      <c r="Z33" s="43">
        <v>9422</v>
      </c>
      <c r="AA33" s="43">
        <v>7353</v>
      </c>
      <c r="AB33" s="43">
        <v>6036</v>
      </c>
      <c r="AC33" s="65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spans="2:56" ht="18.649999999999999" customHeight="1" x14ac:dyDescent="0.25">
      <c r="B34" s="61" t="s">
        <v>38</v>
      </c>
      <c r="C34" s="4" t="s">
        <v>32</v>
      </c>
      <c r="D34" s="5">
        <v>2</v>
      </c>
      <c r="E34" s="43">
        <v>6159</v>
      </c>
      <c r="F34" s="43">
        <v>5607</v>
      </c>
      <c r="G34" s="43">
        <v>5004</v>
      </c>
      <c r="H34" s="43">
        <v>4244</v>
      </c>
      <c r="I34" s="43">
        <v>4221</v>
      </c>
      <c r="J34" s="43">
        <v>3372</v>
      </c>
      <c r="K34" s="43">
        <v>3963</v>
      </c>
      <c r="L34" s="43">
        <v>8156</v>
      </c>
      <c r="M34" s="43">
        <v>9293</v>
      </c>
      <c r="N34" s="43">
        <v>9016</v>
      </c>
      <c r="O34" s="43">
        <v>8004</v>
      </c>
      <c r="P34" s="43">
        <v>8844</v>
      </c>
      <c r="Q34" s="43">
        <v>9301</v>
      </c>
      <c r="R34" s="43">
        <v>9761</v>
      </c>
      <c r="S34" s="43">
        <v>8726</v>
      </c>
      <c r="T34" s="43">
        <v>8809</v>
      </c>
      <c r="U34" s="43">
        <v>9327</v>
      </c>
      <c r="V34" s="43">
        <v>8234</v>
      </c>
      <c r="W34" s="43">
        <v>8459</v>
      </c>
      <c r="X34" s="43">
        <v>9949</v>
      </c>
      <c r="Y34" s="43">
        <v>10333</v>
      </c>
      <c r="Z34" s="43">
        <v>9349</v>
      </c>
      <c r="AA34" s="43">
        <v>7814</v>
      </c>
      <c r="AB34" s="43">
        <v>6825</v>
      </c>
      <c r="AC34" s="66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2:56" ht="18.649999999999999" customHeight="1" x14ac:dyDescent="0.25">
      <c r="B35" s="61" t="s">
        <v>39</v>
      </c>
      <c r="C35" s="4" t="s">
        <v>29</v>
      </c>
      <c r="D35" s="5">
        <v>21</v>
      </c>
      <c r="E35" s="43">
        <v>5473</v>
      </c>
      <c r="F35" s="43">
        <v>5185</v>
      </c>
      <c r="G35" s="43">
        <v>4949</v>
      </c>
      <c r="H35" s="43">
        <v>4846</v>
      </c>
      <c r="I35" s="43">
        <v>4943</v>
      </c>
      <c r="J35" s="43">
        <v>5447</v>
      </c>
      <c r="K35" s="43">
        <v>4660</v>
      </c>
      <c r="L35" s="43">
        <v>9345</v>
      </c>
      <c r="M35" s="43">
        <v>9862</v>
      </c>
      <c r="N35" s="43">
        <v>10202</v>
      </c>
      <c r="O35" s="43">
        <v>10730</v>
      </c>
      <c r="P35" s="43">
        <v>11210</v>
      </c>
      <c r="Q35" s="43">
        <v>11221</v>
      </c>
      <c r="R35" s="43">
        <v>11385</v>
      </c>
      <c r="S35" s="43">
        <v>11258</v>
      </c>
      <c r="T35" s="43">
        <v>11203</v>
      </c>
      <c r="U35" s="43">
        <v>11222</v>
      </c>
      <c r="V35" s="43">
        <v>8953</v>
      </c>
      <c r="W35" s="43">
        <v>10819</v>
      </c>
      <c r="X35" s="43">
        <v>11465</v>
      </c>
      <c r="Y35" s="43">
        <v>11134</v>
      </c>
      <c r="Z35" s="43">
        <v>10217</v>
      </c>
      <c r="AA35" s="43">
        <v>8506</v>
      </c>
      <c r="AB35" s="43">
        <v>7317</v>
      </c>
      <c r="AC35" s="64">
        <f>+SUM(E35:AB35)*D35+SUM(E36:AB36)*D36+SUM(E37:AB37)*D37+SUM(E38:AB38)*D38</f>
        <v>7014730</v>
      </c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</row>
    <row r="36" spans="2:56" ht="18.649999999999999" customHeight="1" x14ac:dyDescent="0.25">
      <c r="B36" s="61" t="s">
        <v>39</v>
      </c>
      <c r="C36" s="4" t="s">
        <v>30</v>
      </c>
      <c r="D36" s="5">
        <v>4</v>
      </c>
      <c r="E36" s="43">
        <v>5104</v>
      </c>
      <c r="F36" s="43">
        <v>4925</v>
      </c>
      <c r="G36" s="43">
        <v>4884</v>
      </c>
      <c r="H36" s="43">
        <v>5043</v>
      </c>
      <c r="I36" s="43">
        <v>6164</v>
      </c>
      <c r="J36" s="43">
        <v>9945</v>
      </c>
      <c r="K36" s="43">
        <v>10534</v>
      </c>
      <c r="L36" s="43">
        <v>13028</v>
      </c>
      <c r="M36" s="43">
        <v>11888</v>
      </c>
      <c r="N36" s="43">
        <v>11663</v>
      </c>
      <c r="O36" s="43">
        <v>12513</v>
      </c>
      <c r="P36" s="43">
        <v>13107</v>
      </c>
      <c r="Q36" s="43">
        <v>12102</v>
      </c>
      <c r="R36" s="43">
        <v>12710</v>
      </c>
      <c r="S36" s="43">
        <v>14393</v>
      </c>
      <c r="T36" s="43">
        <v>14377</v>
      </c>
      <c r="U36" s="43">
        <v>14088</v>
      </c>
      <c r="V36" s="43">
        <v>11683</v>
      </c>
      <c r="W36" s="43">
        <v>13065</v>
      </c>
      <c r="X36" s="43">
        <v>13910</v>
      </c>
      <c r="Y36" s="43">
        <v>13374</v>
      </c>
      <c r="Z36" s="43">
        <v>12318</v>
      </c>
      <c r="AA36" s="43">
        <v>9968</v>
      </c>
      <c r="AB36" s="43">
        <v>8276</v>
      </c>
      <c r="AC36" s="65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</row>
    <row r="37" spans="2:56" ht="18.649999999999999" customHeight="1" x14ac:dyDescent="0.25">
      <c r="B37" s="61" t="s">
        <v>39</v>
      </c>
      <c r="C37" s="4" t="s">
        <v>31</v>
      </c>
      <c r="D37" s="5">
        <v>4</v>
      </c>
      <c r="E37" s="43">
        <v>5730</v>
      </c>
      <c r="F37" s="43">
        <v>5329</v>
      </c>
      <c r="G37" s="43">
        <v>5330</v>
      </c>
      <c r="H37" s="43">
        <v>5485</v>
      </c>
      <c r="I37" s="43">
        <v>6148</v>
      </c>
      <c r="J37" s="43">
        <v>7415</v>
      </c>
      <c r="K37" s="43">
        <v>8948</v>
      </c>
      <c r="L37" s="43">
        <v>14820</v>
      </c>
      <c r="M37" s="43">
        <v>15129</v>
      </c>
      <c r="N37" s="43">
        <v>15577</v>
      </c>
      <c r="O37" s="43">
        <v>15855</v>
      </c>
      <c r="P37" s="43">
        <v>16401</v>
      </c>
      <c r="Q37" s="43">
        <v>15292</v>
      </c>
      <c r="R37" s="43">
        <v>14327</v>
      </c>
      <c r="S37" s="43">
        <v>14045</v>
      </c>
      <c r="T37" s="43">
        <v>14037</v>
      </c>
      <c r="U37" s="43">
        <v>14356</v>
      </c>
      <c r="V37" s="43">
        <v>12514</v>
      </c>
      <c r="W37" s="43">
        <v>14427</v>
      </c>
      <c r="X37" s="43">
        <v>14021</v>
      </c>
      <c r="Y37" s="43">
        <v>12754</v>
      </c>
      <c r="Z37" s="43">
        <v>11954</v>
      </c>
      <c r="AA37" s="43">
        <v>11040</v>
      </c>
      <c r="AB37" s="43">
        <v>10185</v>
      </c>
      <c r="AC37" s="65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</row>
    <row r="38" spans="2:56" ht="18.649999999999999" customHeight="1" x14ac:dyDescent="0.25">
      <c r="B38" s="61" t="s">
        <v>39</v>
      </c>
      <c r="C38" s="4" t="s">
        <v>32</v>
      </c>
      <c r="D38" s="5">
        <v>2</v>
      </c>
      <c r="E38" s="43">
        <v>5931</v>
      </c>
      <c r="F38" s="43">
        <v>5563</v>
      </c>
      <c r="G38" s="43">
        <v>5248</v>
      </c>
      <c r="H38" s="43">
        <v>4865</v>
      </c>
      <c r="I38" s="43">
        <v>4948</v>
      </c>
      <c r="J38" s="43">
        <v>5040</v>
      </c>
      <c r="K38" s="43">
        <v>4375</v>
      </c>
      <c r="L38" s="43">
        <v>9236</v>
      </c>
      <c r="M38" s="43">
        <v>9654</v>
      </c>
      <c r="N38" s="43">
        <v>10088</v>
      </c>
      <c r="O38" s="43">
        <v>10105</v>
      </c>
      <c r="P38" s="43">
        <v>10565</v>
      </c>
      <c r="Q38" s="43">
        <v>10435</v>
      </c>
      <c r="R38" s="43">
        <v>10641</v>
      </c>
      <c r="S38" s="43">
        <v>10823</v>
      </c>
      <c r="T38" s="43">
        <v>10577</v>
      </c>
      <c r="U38" s="43">
        <v>10678</v>
      </c>
      <c r="V38" s="43">
        <v>8446</v>
      </c>
      <c r="W38" s="43">
        <v>9782</v>
      </c>
      <c r="X38" s="43">
        <v>10648</v>
      </c>
      <c r="Y38" s="43">
        <v>10588</v>
      </c>
      <c r="Z38" s="43">
        <v>10124</v>
      </c>
      <c r="AA38" s="43">
        <v>9166</v>
      </c>
      <c r="AB38" s="43">
        <v>8181</v>
      </c>
      <c r="AC38" s="6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spans="2:56" ht="18.649999999999999" customHeight="1" x14ac:dyDescent="0.25">
      <c r="B39" s="61" t="s">
        <v>40</v>
      </c>
      <c r="C39" s="4" t="s">
        <v>29</v>
      </c>
      <c r="D39" s="5">
        <v>20</v>
      </c>
      <c r="E39" s="43">
        <v>5456</v>
      </c>
      <c r="F39" s="43">
        <v>5200</v>
      </c>
      <c r="G39" s="43">
        <v>5106</v>
      </c>
      <c r="H39" s="43">
        <v>5043</v>
      </c>
      <c r="I39" s="43">
        <v>5463</v>
      </c>
      <c r="J39" s="43">
        <v>6758</v>
      </c>
      <c r="K39" s="43">
        <v>6677</v>
      </c>
      <c r="L39" s="43">
        <v>11204</v>
      </c>
      <c r="M39" s="43">
        <v>11110</v>
      </c>
      <c r="N39" s="43">
        <v>11323</v>
      </c>
      <c r="O39" s="43">
        <v>11662</v>
      </c>
      <c r="P39" s="43">
        <v>12107</v>
      </c>
      <c r="Q39" s="43">
        <v>11940</v>
      </c>
      <c r="R39" s="43">
        <v>12083</v>
      </c>
      <c r="S39" s="43">
        <v>12437</v>
      </c>
      <c r="T39" s="43">
        <v>12551</v>
      </c>
      <c r="U39" s="43">
        <v>12497</v>
      </c>
      <c r="V39" s="43">
        <v>10076</v>
      </c>
      <c r="W39" s="43">
        <v>11869</v>
      </c>
      <c r="X39" s="43">
        <v>12021</v>
      </c>
      <c r="Y39" s="43">
        <v>11534</v>
      </c>
      <c r="Z39" s="43">
        <v>10519</v>
      </c>
      <c r="AA39" s="43">
        <v>9084</v>
      </c>
      <c r="AB39" s="43">
        <v>7858</v>
      </c>
      <c r="AC39" s="64">
        <f>+SUM(E39:AB39)*D39+SUM(E40:AB40)*D40+SUM(E41:AB41)*D41+SUM(E42:AB42)*D42</f>
        <v>6783280</v>
      </c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</row>
    <row r="40" spans="2:56" ht="18.649999999999999" customHeight="1" x14ac:dyDescent="0.25">
      <c r="B40" s="61" t="s">
        <v>40</v>
      </c>
      <c r="C40" s="4" t="s">
        <v>30</v>
      </c>
      <c r="D40" s="5">
        <v>5</v>
      </c>
      <c r="E40" s="43">
        <v>6043</v>
      </c>
      <c r="F40" s="43">
        <v>5518</v>
      </c>
      <c r="G40" s="43">
        <v>5345</v>
      </c>
      <c r="H40" s="43">
        <v>5231</v>
      </c>
      <c r="I40" s="43">
        <v>5404</v>
      </c>
      <c r="J40" s="43">
        <v>5649</v>
      </c>
      <c r="K40" s="43">
        <v>5542</v>
      </c>
      <c r="L40" s="43">
        <v>10634</v>
      </c>
      <c r="M40" s="43">
        <v>11349</v>
      </c>
      <c r="N40" s="43">
        <v>11704</v>
      </c>
      <c r="O40" s="43">
        <v>11871</v>
      </c>
      <c r="P40" s="43">
        <v>12062</v>
      </c>
      <c r="Q40" s="43">
        <v>11965</v>
      </c>
      <c r="R40" s="43">
        <v>11773</v>
      </c>
      <c r="S40" s="43">
        <v>11672</v>
      </c>
      <c r="T40" s="43">
        <v>11705</v>
      </c>
      <c r="U40" s="43">
        <v>11957</v>
      </c>
      <c r="V40" s="43">
        <v>9615</v>
      </c>
      <c r="W40" s="43">
        <v>11260</v>
      </c>
      <c r="X40" s="43">
        <v>11200</v>
      </c>
      <c r="Y40" s="43">
        <v>10854</v>
      </c>
      <c r="Z40" s="43">
        <v>9870</v>
      </c>
      <c r="AA40" s="43">
        <v>8885</v>
      </c>
      <c r="AB40" s="43">
        <v>7959</v>
      </c>
      <c r="AC40" s="65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spans="2:56" ht="18.649999999999999" customHeight="1" x14ac:dyDescent="0.25">
      <c r="B41" s="61" t="s">
        <v>40</v>
      </c>
      <c r="C41" s="4" t="s">
        <v>31</v>
      </c>
      <c r="D41" s="5">
        <v>5</v>
      </c>
      <c r="E41" s="43">
        <v>5829</v>
      </c>
      <c r="F41" s="43">
        <v>5501</v>
      </c>
      <c r="G41" s="43">
        <v>5296</v>
      </c>
      <c r="H41" s="43">
        <v>5111</v>
      </c>
      <c r="I41" s="43">
        <v>4990</v>
      </c>
      <c r="J41" s="43">
        <v>4762</v>
      </c>
      <c r="K41" s="43">
        <v>4130</v>
      </c>
      <c r="L41" s="43">
        <v>8757</v>
      </c>
      <c r="M41" s="43">
        <v>9574</v>
      </c>
      <c r="N41" s="43">
        <v>9936</v>
      </c>
      <c r="O41" s="43">
        <v>10263</v>
      </c>
      <c r="P41" s="43">
        <v>10513</v>
      </c>
      <c r="Q41" s="43">
        <v>10688</v>
      </c>
      <c r="R41" s="43">
        <v>10628</v>
      </c>
      <c r="S41" s="43">
        <v>10712</v>
      </c>
      <c r="T41" s="43">
        <v>10827</v>
      </c>
      <c r="U41" s="43">
        <v>10875</v>
      </c>
      <c r="V41" s="43">
        <v>9000</v>
      </c>
      <c r="W41" s="43">
        <v>10829</v>
      </c>
      <c r="X41" s="43">
        <v>10934</v>
      </c>
      <c r="Y41" s="43">
        <v>10699</v>
      </c>
      <c r="Z41" s="43">
        <v>9608</v>
      </c>
      <c r="AA41" s="43">
        <v>8432</v>
      </c>
      <c r="AB41" s="43">
        <v>7383</v>
      </c>
      <c r="AC41" s="65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</row>
    <row r="42" spans="2:56" ht="18.649999999999999" customHeight="1" x14ac:dyDescent="0.25">
      <c r="B42" s="61" t="s">
        <v>40</v>
      </c>
      <c r="C42" s="4" t="s">
        <v>32</v>
      </c>
      <c r="D42" s="5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6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spans="2:56" ht="18.649999999999999" customHeight="1" x14ac:dyDescent="0.25">
      <c r="B43" s="61" t="s">
        <v>41</v>
      </c>
      <c r="C43" s="4" t="s">
        <v>29</v>
      </c>
      <c r="D43" s="5">
        <v>22</v>
      </c>
      <c r="E43" s="43">
        <v>5935</v>
      </c>
      <c r="F43" s="43">
        <v>5601</v>
      </c>
      <c r="G43" s="43">
        <v>5424</v>
      </c>
      <c r="H43" s="43">
        <v>5458</v>
      </c>
      <c r="I43" s="43">
        <v>5974</v>
      </c>
      <c r="J43" s="43">
        <v>7135</v>
      </c>
      <c r="K43" s="43">
        <v>6273</v>
      </c>
      <c r="L43" s="43">
        <v>10789</v>
      </c>
      <c r="M43" s="43">
        <v>10489</v>
      </c>
      <c r="N43" s="43">
        <v>10763</v>
      </c>
      <c r="O43" s="43">
        <v>10888</v>
      </c>
      <c r="P43" s="43">
        <v>11103</v>
      </c>
      <c r="Q43" s="43">
        <v>10939</v>
      </c>
      <c r="R43" s="43">
        <v>11109</v>
      </c>
      <c r="S43" s="43">
        <v>11836</v>
      </c>
      <c r="T43" s="43">
        <v>12035</v>
      </c>
      <c r="U43" s="43">
        <v>12277</v>
      </c>
      <c r="V43" s="43">
        <v>10338</v>
      </c>
      <c r="W43" s="43">
        <v>12445</v>
      </c>
      <c r="X43" s="43">
        <v>12279</v>
      </c>
      <c r="Y43" s="43">
        <v>11429</v>
      </c>
      <c r="Z43" s="43">
        <v>10681</v>
      </c>
      <c r="AA43" s="43">
        <v>9224</v>
      </c>
      <c r="AB43" s="43">
        <v>8159</v>
      </c>
      <c r="AC43" s="64">
        <f>+SUM(E43:AB43)*D43+SUM(E44:AB44)*D44+SUM(E45:AB45)*D45+SUM(E46:AB46)*D46</f>
        <v>7034886</v>
      </c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</row>
    <row r="44" spans="2:56" ht="18.649999999999999" customHeight="1" x14ac:dyDescent="0.25">
      <c r="B44" s="61" t="s">
        <v>41</v>
      </c>
      <c r="C44" s="4" t="s">
        <v>30</v>
      </c>
      <c r="D44" s="5">
        <v>4</v>
      </c>
      <c r="E44" s="43">
        <v>6586</v>
      </c>
      <c r="F44" s="43">
        <v>6138</v>
      </c>
      <c r="G44" s="43">
        <v>5875</v>
      </c>
      <c r="H44" s="43">
        <v>5867</v>
      </c>
      <c r="I44" s="43">
        <v>6022</v>
      </c>
      <c r="J44" s="43">
        <v>6036</v>
      </c>
      <c r="K44" s="43">
        <v>4883</v>
      </c>
      <c r="L44" s="43">
        <v>10593</v>
      </c>
      <c r="M44" s="43">
        <v>10722</v>
      </c>
      <c r="N44" s="43">
        <v>11324</v>
      </c>
      <c r="O44" s="43">
        <v>11138</v>
      </c>
      <c r="P44" s="43">
        <v>11307</v>
      </c>
      <c r="Q44" s="43">
        <v>11273</v>
      </c>
      <c r="R44" s="43">
        <v>11119</v>
      </c>
      <c r="S44" s="43">
        <v>11567</v>
      </c>
      <c r="T44" s="43">
        <v>11854</v>
      </c>
      <c r="U44" s="43">
        <v>12051</v>
      </c>
      <c r="V44" s="43">
        <v>9458</v>
      </c>
      <c r="W44" s="43">
        <v>12800</v>
      </c>
      <c r="X44" s="43">
        <v>12626</v>
      </c>
      <c r="Y44" s="43">
        <v>12301</v>
      </c>
      <c r="Z44" s="43">
        <v>11745</v>
      </c>
      <c r="AA44" s="43">
        <v>10439</v>
      </c>
      <c r="AB44" s="43">
        <v>9502</v>
      </c>
      <c r="AC44" s="65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spans="2:56" ht="18.649999999999999" customHeight="1" x14ac:dyDescent="0.25">
      <c r="B45" s="61" t="s">
        <v>41</v>
      </c>
      <c r="C45" s="4" t="s">
        <v>31</v>
      </c>
      <c r="D45" s="5">
        <v>4</v>
      </c>
      <c r="E45" s="43">
        <v>6891</v>
      </c>
      <c r="F45" s="43">
        <v>6606</v>
      </c>
      <c r="G45" s="43">
        <v>6213</v>
      </c>
      <c r="H45" s="43">
        <v>5942</v>
      </c>
      <c r="I45" s="43">
        <v>5982</v>
      </c>
      <c r="J45" s="43">
        <v>5503</v>
      </c>
      <c r="K45" s="43">
        <v>3802</v>
      </c>
      <c r="L45" s="43">
        <v>8597</v>
      </c>
      <c r="M45" s="43">
        <v>9489</v>
      </c>
      <c r="N45" s="43">
        <v>10485</v>
      </c>
      <c r="O45" s="43">
        <v>10245</v>
      </c>
      <c r="P45" s="43">
        <v>10499</v>
      </c>
      <c r="Q45" s="43">
        <v>10619</v>
      </c>
      <c r="R45" s="43">
        <v>10401</v>
      </c>
      <c r="S45" s="43">
        <v>11002</v>
      </c>
      <c r="T45" s="43">
        <v>11245</v>
      </c>
      <c r="U45" s="43">
        <v>10851</v>
      </c>
      <c r="V45" s="43">
        <v>9087</v>
      </c>
      <c r="W45" s="43">
        <v>11269</v>
      </c>
      <c r="X45" s="43">
        <v>11444</v>
      </c>
      <c r="Y45" s="43">
        <v>10957</v>
      </c>
      <c r="Z45" s="43">
        <v>9953</v>
      </c>
      <c r="AA45" s="43">
        <v>8813</v>
      </c>
      <c r="AB45" s="43">
        <v>7664</v>
      </c>
      <c r="AC45" s="65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</row>
    <row r="46" spans="2:56" ht="18.649999999999999" customHeight="1" x14ac:dyDescent="0.25">
      <c r="B46" s="61" t="s">
        <v>41</v>
      </c>
      <c r="C46" s="4" t="s">
        <v>32</v>
      </c>
      <c r="D46" s="5">
        <v>1</v>
      </c>
      <c r="E46" s="43">
        <v>5624</v>
      </c>
      <c r="F46" s="43">
        <v>5675</v>
      </c>
      <c r="G46" s="43">
        <v>5257</v>
      </c>
      <c r="H46" s="43">
        <v>5214</v>
      </c>
      <c r="I46" s="43">
        <v>5390</v>
      </c>
      <c r="J46" s="43">
        <v>5419</v>
      </c>
      <c r="K46" s="43">
        <v>3220</v>
      </c>
      <c r="L46" s="43">
        <v>8572</v>
      </c>
      <c r="M46" s="43">
        <v>8790</v>
      </c>
      <c r="N46" s="43">
        <v>9977</v>
      </c>
      <c r="O46" s="43">
        <v>10026</v>
      </c>
      <c r="P46" s="43">
        <v>10953</v>
      </c>
      <c r="Q46" s="43">
        <v>11095</v>
      </c>
      <c r="R46" s="43">
        <v>11275</v>
      </c>
      <c r="S46" s="43">
        <v>11690</v>
      </c>
      <c r="T46" s="43">
        <v>11196</v>
      </c>
      <c r="U46" s="43">
        <v>10929</v>
      </c>
      <c r="V46" s="43">
        <v>10208</v>
      </c>
      <c r="W46" s="43">
        <v>13027</v>
      </c>
      <c r="X46" s="43">
        <v>12772</v>
      </c>
      <c r="Y46" s="43">
        <v>12267</v>
      </c>
      <c r="Z46" s="43">
        <v>11489</v>
      </c>
      <c r="AA46" s="43">
        <v>10049</v>
      </c>
      <c r="AB46" s="43">
        <v>8806</v>
      </c>
      <c r="AC46" s="6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spans="2:56" ht="18.649999999999999" customHeight="1" x14ac:dyDescent="0.25">
      <c r="B47" s="61" t="s">
        <v>42</v>
      </c>
      <c r="C47" s="4" t="s">
        <v>29</v>
      </c>
      <c r="D47" s="5">
        <v>20</v>
      </c>
      <c r="E47" s="43">
        <v>5653</v>
      </c>
      <c r="F47" s="43">
        <v>5404</v>
      </c>
      <c r="G47" s="43">
        <v>5410</v>
      </c>
      <c r="H47" s="43">
        <v>5365</v>
      </c>
      <c r="I47" s="43">
        <v>5987</v>
      </c>
      <c r="J47" s="43">
        <v>7283</v>
      </c>
      <c r="K47" s="43">
        <v>6761</v>
      </c>
      <c r="L47" s="43">
        <v>11521</v>
      </c>
      <c r="M47" s="43">
        <v>11190</v>
      </c>
      <c r="N47" s="43">
        <v>11340</v>
      </c>
      <c r="O47" s="43">
        <v>11527</v>
      </c>
      <c r="P47" s="43">
        <v>11946</v>
      </c>
      <c r="Q47" s="43">
        <v>11683</v>
      </c>
      <c r="R47" s="43">
        <v>11621</v>
      </c>
      <c r="S47" s="43">
        <v>12248</v>
      </c>
      <c r="T47" s="43">
        <v>12375</v>
      </c>
      <c r="U47" s="43">
        <v>12435</v>
      </c>
      <c r="V47" s="43">
        <v>10485</v>
      </c>
      <c r="W47" s="43">
        <v>12944</v>
      </c>
      <c r="X47" s="43">
        <v>12735</v>
      </c>
      <c r="Y47" s="43">
        <v>11552</v>
      </c>
      <c r="Z47" s="43">
        <v>10481</v>
      </c>
      <c r="AA47" s="43">
        <v>9203</v>
      </c>
      <c r="AB47" s="43">
        <v>8055</v>
      </c>
      <c r="AC47" s="64">
        <f>+SUM(E47:AB47)*D47+SUM(E48:AB48)*D48+SUM(E49:AB49)*D49+SUM(E50:AB50)*D50</f>
        <v>6905710</v>
      </c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</row>
    <row r="48" spans="2:56" ht="18.649999999999999" customHeight="1" x14ac:dyDescent="0.25">
      <c r="B48" s="61" t="s">
        <v>42</v>
      </c>
      <c r="C48" s="4" t="s">
        <v>30</v>
      </c>
      <c r="D48" s="5">
        <v>4</v>
      </c>
      <c r="E48" s="43">
        <v>6122</v>
      </c>
      <c r="F48" s="43">
        <v>5670</v>
      </c>
      <c r="G48" s="43">
        <v>5496</v>
      </c>
      <c r="H48" s="43">
        <v>5407</v>
      </c>
      <c r="I48" s="43">
        <v>5714</v>
      </c>
      <c r="J48" s="43">
        <v>5691</v>
      </c>
      <c r="K48" s="43">
        <v>5553</v>
      </c>
      <c r="L48" s="43">
        <v>11057</v>
      </c>
      <c r="M48" s="43">
        <v>11465</v>
      </c>
      <c r="N48" s="43">
        <v>11648</v>
      </c>
      <c r="O48" s="43">
        <v>11675</v>
      </c>
      <c r="P48" s="43">
        <v>11870</v>
      </c>
      <c r="Q48" s="43">
        <v>11435</v>
      </c>
      <c r="R48" s="43">
        <v>11497</v>
      </c>
      <c r="S48" s="43">
        <v>11739</v>
      </c>
      <c r="T48" s="43">
        <v>12062</v>
      </c>
      <c r="U48" s="43">
        <v>12107</v>
      </c>
      <c r="V48" s="43">
        <v>10134</v>
      </c>
      <c r="W48" s="43">
        <v>12255</v>
      </c>
      <c r="X48" s="43">
        <v>12366</v>
      </c>
      <c r="Y48" s="43">
        <v>11436</v>
      </c>
      <c r="Z48" s="43">
        <v>10656</v>
      </c>
      <c r="AA48" s="43">
        <v>9750</v>
      </c>
      <c r="AB48" s="43">
        <v>8635</v>
      </c>
      <c r="AC48" s="65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spans="2:56" ht="18.649999999999999" customHeight="1" x14ac:dyDescent="0.25">
      <c r="B49" s="61" t="s">
        <v>42</v>
      </c>
      <c r="C49" s="4" t="s">
        <v>31</v>
      </c>
      <c r="D49" s="5">
        <v>4</v>
      </c>
      <c r="E49" s="43">
        <v>6270</v>
      </c>
      <c r="F49" s="43">
        <v>5930</v>
      </c>
      <c r="G49" s="43">
        <v>5483</v>
      </c>
      <c r="H49" s="43">
        <v>5528</v>
      </c>
      <c r="I49" s="43">
        <v>5607</v>
      </c>
      <c r="J49" s="43">
        <v>5241</v>
      </c>
      <c r="K49" s="43">
        <v>4018</v>
      </c>
      <c r="L49" s="43">
        <v>8577</v>
      </c>
      <c r="M49" s="43">
        <v>9408</v>
      </c>
      <c r="N49" s="43">
        <v>9823</v>
      </c>
      <c r="O49" s="43">
        <v>9966</v>
      </c>
      <c r="P49" s="43">
        <v>11013</v>
      </c>
      <c r="Q49" s="43">
        <v>11001</v>
      </c>
      <c r="R49" s="43">
        <v>11144</v>
      </c>
      <c r="S49" s="43">
        <v>11331</v>
      </c>
      <c r="T49" s="43">
        <v>11348</v>
      </c>
      <c r="U49" s="43">
        <v>11923</v>
      </c>
      <c r="V49" s="43">
        <v>9835</v>
      </c>
      <c r="W49" s="43">
        <v>11664</v>
      </c>
      <c r="X49" s="43">
        <v>11701</v>
      </c>
      <c r="Y49" s="43">
        <v>11026</v>
      </c>
      <c r="Z49" s="43">
        <v>10323</v>
      </c>
      <c r="AA49" s="43">
        <v>9161</v>
      </c>
      <c r="AB49" s="43">
        <v>7959</v>
      </c>
      <c r="AC49" s="65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</row>
    <row r="50" spans="2:56" ht="18.649999999999999" customHeight="1" x14ac:dyDescent="0.25">
      <c r="B50" s="61" t="s">
        <v>42</v>
      </c>
      <c r="C50" s="4" t="s">
        <v>32</v>
      </c>
      <c r="D50" s="5">
        <v>2</v>
      </c>
      <c r="E50" s="43">
        <v>5942</v>
      </c>
      <c r="F50" s="43">
        <v>5694</v>
      </c>
      <c r="G50" s="43">
        <v>5633</v>
      </c>
      <c r="H50" s="43">
        <v>5334</v>
      </c>
      <c r="I50" s="43">
        <v>5493</v>
      </c>
      <c r="J50" s="43">
        <v>5605</v>
      </c>
      <c r="K50" s="43">
        <v>3973</v>
      </c>
      <c r="L50" s="43">
        <v>8305</v>
      </c>
      <c r="M50" s="43">
        <v>9117</v>
      </c>
      <c r="N50" s="43">
        <v>9727</v>
      </c>
      <c r="O50" s="43">
        <v>10010</v>
      </c>
      <c r="P50" s="43">
        <v>10498</v>
      </c>
      <c r="Q50" s="43">
        <v>10482</v>
      </c>
      <c r="R50" s="43">
        <v>10718</v>
      </c>
      <c r="S50" s="43">
        <v>10645</v>
      </c>
      <c r="T50" s="43">
        <v>10512</v>
      </c>
      <c r="U50" s="43">
        <v>10481</v>
      </c>
      <c r="V50" s="43">
        <v>9600</v>
      </c>
      <c r="W50" s="43">
        <v>11780</v>
      </c>
      <c r="X50" s="43">
        <v>11590</v>
      </c>
      <c r="Y50" s="43">
        <v>10814</v>
      </c>
      <c r="Z50" s="43">
        <v>9635</v>
      </c>
      <c r="AA50" s="43">
        <v>8508</v>
      </c>
      <c r="AB50" s="43">
        <v>7279</v>
      </c>
      <c r="AC50" s="6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spans="2:56" ht="18.649999999999999" customHeight="1" x14ac:dyDescent="0.25">
      <c r="B51" s="61" t="s">
        <v>43</v>
      </c>
      <c r="C51" s="4" t="s">
        <v>29</v>
      </c>
      <c r="D51" s="5">
        <v>20</v>
      </c>
      <c r="E51" s="43">
        <v>5968</v>
      </c>
      <c r="F51" s="43">
        <v>5583</v>
      </c>
      <c r="G51" s="43">
        <v>5474</v>
      </c>
      <c r="H51" s="43">
        <v>5437</v>
      </c>
      <c r="I51" s="43">
        <v>5785</v>
      </c>
      <c r="J51" s="43">
        <v>6457</v>
      </c>
      <c r="K51" s="43">
        <v>5758</v>
      </c>
      <c r="L51" s="43">
        <v>10963</v>
      </c>
      <c r="M51" s="43">
        <v>11139</v>
      </c>
      <c r="N51" s="43">
        <v>11310</v>
      </c>
      <c r="O51" s="43">
        <v>11475</v>
      </c>
      <c r="P51" s="43">
        <v>12083</v>
      </c>
      <c r="Q51" s="43">
        <v>11795</v>
      </c>
      <c r="R51" s="43">
        <v>11863</v>
      </c>
      <c r="S51" s="43">
        <v>12144</v>
      </c>
      <c r="T51" s="43">
        <v>12344</v>
      </c>
      <c r="U51" s="43">
        <v>12459</v>
      </c>
      <c r="V51" s="43">
        <v>10695</v>
      </c>
      <c r="W51" s="43">
        <v>13196</v>
      </c>
      <c r="X51" s="43">
        <v>12697</v>
      </c>
      <c r="Y51" s="43">
        <v>11929</v>
      </c>
      <c r="Z51" s="43">
        <v>10943</v>
      </c>
      <c r="AA51" s="43">
        <v>9822</v>
      </c>
      <c r="AB51" s="43">
        <v>8664</v>
      </c>
      <c r="AC51" s="64">
        <f>+SUM(E51:AB51)*D51+SUM(E52:AB52)*D52+SUM(E53:AB53)*D53+SUM(E54:AB54)*D54</f>
        <v>7078222</v>
      </c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</row>
    <row r="52" spans="2:56" ht="18.649999999999999" customHeight="1" x14ac:dyDescent="0.25">
      <c r="B52" s="61" t="s">
        <v>43</v>
      </c>
      <c r="C52" s="4" t="s">
        <v>30</v>
      </c>
      <c r="D52" s="5">
        <v>4</v>
      </c>
      <c r="E52" s="43">
        <v>6619</v>
      </c>
      <c r="F52" s="43">
        <v>6101</v>
      </c>
      <c r="G52" s="43">
        <v>5863</v>
      </c>
      <c r="H52" s="43">
        <v>5803</v>
      </c>
      <c r="I52" s="43">
        <v>5901</v>
      </c>
      <c r="J52" s="43">
        <v>6248</v>
      </c>
      <c r="K52" s="43">
        <v>5333</v>
      </c>
      <c r="L52" s="43">
        <v>11029</v>
      </c>
      <c r="M52" s="43">
        <v>11618</v>
      </c>
      <c r="N52" s="43">
        <v>11912</v>
      </c>
      <c r="O52" s="43">
        <v>11886</v>
      </c>
      <c r="P52" s="43">
        <v>11908</v>
      </c>
      <c r="Q52" s="43">
        <v>12110</v>
      </c>
      <c r="R52" s="43">
        <v>11741</v>
      </c>
      <c r="S52" s="43">
        <v>11400</v>
      </c>
      <c r="T52" s="43">
        <v>11585</v>
      </c>
      <c r="U52" s="43">
        <v>11753</v>
      </c>
      <c r="V52" s="43">
        <v>9865</v>
      </c>
      <c r="W52" s="43">
        <v>12148</v>
      </c>
      <c r="X52" s="43">
        <v>11792</v>
      </c>
      <c r="Y52" s="43">
        <v>10997</v>
      </c>
      <c r="Z52" s="43">
        <v>9986</v>
      </c>
      <c r="AA52" s="43">
        <v>9305</v>
      </c>
      <c r="AB52" s="43">
        <v>8673</v>
      </c>
      <c r="AC52" s="65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spans="2:56" ht="18.649999999999999" customHeight="1" x14ac:dyDescent="0.25">
      <c r="B53" s="61" t="s">
        <v>43</v>
      </c>
      <c r="C53" s="4" t="s">
        <v>31</v>
      </c>
      <c r="D53" s="5">
        <v>5</v>
      </c>
      <c r="E53" s="43">
        <v>6476</v>
      </c>
      <c r="F53" s="43">
        <v>6086</v>
      </c>
      <c r="G53" s="43">
        <v>5722</v>
      </c>
      <c r="H53" s="43">
        <v>5659</v>
      </c>
      <c r="I53" s="43">
        <v>5426</v>
      </c>
      <c r="J53" s="43">
        <v>5240</v>
      </c>
      <c r="K53" s="43">
        <v>3727</v>
      </c>
      <c r="L53" s="43">
        <v>8000</v>
      </c>
      <c r="M53" s="43">
        <v>8853</v>
      </c>
      <c r="N53" s="43">
        <v>9340</v>
      </c>
      <c r="O53" s="43">
        <v>9582</v>
      </c>
      <c r="P53" s="43">
        <v>9938</v>
      </c>
      <c r="Q53" s="43">
        <v>10482</v>
      </c>
      <c r="R53" s="43">
        <v>10546</v>
      </c>
      <c r="S53" s="43">
        <v>10691</v>
      </c>
      <c r="T53" s="43">
        <v>10592</v>
      </c>
      <c r="U53" s="43">
        <v>10447</v>
      </c>
      <c r="V53" s="43">
        <v>8687</v>
      </c>
      <c r="W53" s="43">
        <v>11279</v>
      </c>
      <c r="X53" s="43">
        <v>11771</v>
      </c>
      <c r="Y53" s="43">
        <v>11798</v>
      </c>
      <c r="Z53" s="43">
        <v>11098</v>
      </c>
      <c r="AA53" s="43">
        <v>9489</v>
      </c>
      <c r="AB53" s="43">
        <v>7731</v>
      </c>
      <c r="AC53" s="65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</row>
    <row r="54" spans="2:56" ht="18.649999999999999" customHeight="1" x14ac:dyDescent="0.25">
      <c r="B54" s="61" t="s">
        <v>43</v>
      </c>
      <c r="C54" s="4" t="s">
        <v>32</v>
      </c>
      <c r="D54" s="5">
        <v>2</v>
      </c>
      <c r="E54" s="43">
        <v>6820</v>
      </c>
      <c r="F54" s="43">
        <v>6592</v>
      </c>
      <c r="G54" s="43">
        <v>6163</v>
      </c>
      <c r="H54" s="43">
        <v>5658</v>
      </c>
      <c r="I54" s="43">
        <v>5367</v>
      </c>
      <c r="J54" s="43">
        <v>4898</v>
      </c>
      <c r="K54" s="43">
        <v>3021</v>
      </c>
      <c r="L54" s="43">
        <v>7284</v>
      </c>
      <c r="M54" s="43">
        <v>7852</v>
      </c>
      <c r="N54" s="43">
        <v>8033</v>
      </c>
      <c r="O54" s="43">
        <v>8332</v>
      </c>
      <c r="P54" s="43">
        <v>8687</v>
      </c>
      <c r="Q54" s="43">
        <v>9088</v>
      </c>
      <c r="R54" s="43">
        <v>9384</v>
      </c>
      <c r="S54" s="43">
        <v>9489</v>
      </c>
      <c r="T54" s="43">
        <v>9721</v>
      </c>
      <c r="U54" s="43">
        <v>10049</v>
      </c>
      <c r="V54" s="43">
        <v>8250</v>
      </c>
      <c r="W54" s="43">
        <v>11013</v>
      </c>
      <c r="X54" s="43">
        <v>11202</v>
      </c>
      <c r="Y54" s="43">
        <v>10941</v>
      </c>
      <c r="Z54" s="43">
        <v>10191</v>
      </c>
      <c r="AA54" s="43">
        <v>8766</v>
      </c>
      <c r="AB54" s="43">
        <v>7678</v>
      </c>
      <c r="AC54" s="6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spans="2:56" ht="18.649999999999999" customHeight="1" x14ac:dyDescent="0.25"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68" t="s">
        <v>46</v>
      </c>
      <c r="AA55" s="68"/>
      <c r="AB55" s="68"/>
      <c r="AC55" s="42">
        <f>SUM(AC7:AC54)</f>
        <v>80196880</v>
      </c>
    </row>
    <row r="56" spans="2:56" x14ac:dyDescent="0.25">
      <c r="AC56" s="39"/>
    </row>
    <row r="61" spans="2:56" x14ac:dyDescent="0.25">
      <c r="G61" s="7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43-416A-4153-B71E-12A6AC6E3C45}">
  <dimension ref="B1:BD57"/>
  <sheetViews>
    <sheetView showGridLines="0" zoomScale="70" zoomScaleNormal="70" workbookViewId="0">
      <selection activeCell="Q10" sqref="Q10"/>
    </sheetView>
  </sheetViews>
  <sheetFormatPr baseColWidth="10" defaultColWidth="11.453125" defaultRowHeight="11.5" x14ac:dyDescent="0.25"/>
  <cols>
    <col min="1" max="1" width="7.26953125" style="7" customWidth="1"/>
    <col min="2" max="2" width="6.26953125" style="7" bestFit="1" customWidth="1"/>
    <col min="3" max="3" width="11.1796875" style="7" customWidth="1"/>
    <col min="4" max="4" width="7" style="7" customWidth="1"/>
    <col min="5" max="8" width="9.7265625" style="7" bestFit="1" customWidth="1"/>
    <col min="9" max="9" width="9.453125" style="7" bestFit="1" customWidth="1"/>
    <col min="10" max="27" width="9.7265625" style="7" bestFit="1" customWidth="1"/>
    <col min="28" max="28" width="10.1796875" style="7" bestFit="1" customWidth="1"/>
    <col min="29" max="29" width="14" style="7" bestFit="1" customWidth="1"/>
    <col min="30" max="30" width="3" style="7" customWidth="1"/>
    <col min="31" max="31" width="9.1796875" style="7" bestFit="1" customWidth="1"/>
    <col min="32" max="257" width="11.453125" style="7"/>
    <col min="258" max="258" width="7" style="7" customWidth="1"/>
    <col min="259" max="259" width="10.7265625" style="7" customWidth="1"/>
    <col min="260" max="260" width="9.26953125" style="7" customWidth="1"/>
    <col min="261" max="284" width="7.26953125" style="7" customWidth="1"/>
    <col min="285" max="285" width="11.26953125" style="7" bestFit="1" customWidth="1"/>
    <col min="286" max="513" width="11.453125" style="7"/>
    <col min="514" max="514" width="7" style="7" customWidth="1"/>
    <col min="515" max="515" width="10.7265625" style="7" customWidth="1"/>
    <col min="516" max="516" width="9.26953125" style="7" customWidth="1"/>
    <col min="517" max="540" width="7.26953125" style="7" customWidth="1"/>
    <col min="541" max="541" width="11.26953125" style="7" bestFit="1" customWidth="1"/>
    <col min="542" max="769" width="11.453125" style="7"/>
    <col min="770" max="770" width="7" style="7" customWidth="1"/>
    <col min="771" max="771" width="10.7265625" style="7" customWidth="1"/>
    <col min="772" max="772" width="9.26953125" style="7" customWidth="1"/>
    <col min="773" max="796" width="7.26953125" style="7" customWidth="1"/>
    <col min="797" max="797" width="11.26953125" style="7" bestFit="1" customWidth="1"/>
    <col min="798" max="1025" width="11.453125" style="7"/>
    <col min="1026" max="1026" width="7" style="7" customWidth="1"/>
    <col min="1027" max="1027" width="10.7265625" style="7" customWidth="1"/>
    <col min="1028" max="1028" width="9.26953125" style="7" customWidth="1"/>
    <col min="1029" max="1052" width="7.26953125" style="7" customWidth="1"/>
    <col min="1053" max="1053" width="11.26953125" style="7" bestFit="1" customWidth="1"/>
    <col min="1054" max="1281" width="11.453125" style="7"/>
    <col min="1282" max="1282" width="7" style="7" customWidth="1"/>
    <col min="1283" max="1283" width="10.7265625" style="7" customWidth="1"/>
    <col min="1284" max="1284" width="9.26953125" style="7" customWidth="1"/>
    <col min="1285" max="1308" width="7.26953125" style="7" customWidth="1"/>
    <col min="1309" max="1309" width="11.26953125" style="7" bestFit="1" customWidth="1"/>
    <col min="1310" max="1537" width="11.453125" style="7"/>
    <col min="1538" max="1538" width="7" style="7" customWidth="1"/>
    <col min="1539" max="1539" width="10.7265625" style="7" customWidth="1"/>
    <col min="1540" max="1540" width="9.26953125" style="7" customWidth="1"/>
    <col min="1541" max="1564" width="7.26953125" style="7" customWidth="1"/>
    <col min="1565" max="1565" width="11.26953125" style="7" bestFit="1" customWidth="1"/>
    <col min="1566" max="1793" width="11.453125" style="7"/>
    <col min="1794" max="1794" width="7" style="7" customWidth="1"/>
    <col min="1795" max="1795" width="10.7265625" style="7" customWidth="1"/>
    <col min="1796" max="1796" width="9.26953125" style="7" customWidth="1"/>
    <col min="1797" max="1820" width="7.26953125" style="7" customWidth="1"/>
    <col min="1821" max="1821" width="11.26953125" style="7" bestFit="1" customWidth="1"/>
    <col min="1822" max="2049" width="11.453125" style="7"/>
    <col min="2050" max="2050" width="7" style="7" customWidth="1"/>
    <col min="2051" max="2051" width="10.7265625" style="7" customWidth="1"/>
    <col min="2052" max="2052" width="9.26953125" style="7" customWidth="1"/>
    <col min="2053" max="2076" width="7.26953125" style="7" customWidth="1"/>
    <col min="2077" max="2077" width="11.26953125" style="7" bestFit="1" customWidth="1"/>
    <col min="2078" max="2305" width="11.453125" style="7"/>
    <col min="2306" max="2306" width="7" style="7" customWidth="1"/>
    <col min="2307" max="2307" width="10.7265625" style="7" customWidth="1"/>
    <col min="2308" max="2308" width="9.26953125" style="7" customWidth="1"/>
    <col min="2309" max="2332" width="7.26953125" style="7" customWidth="1"/>
    <col min="2333" max="2333" width="11.26953125" style="7" bestFit="1" customWidth="1"/>
    <col min="2334" max="2561" width="11.453125" style="7"/>
    <col min="2562" max="2562" width="7" style="7" customWidth="1"/>
    <col min="2563" max="2563" width="10.7265625" style="7" customWidth="1"/>
    <col min="2564" max="2564" width="9.26953125" style="7" customWidth="1"/>
    <col min="2565" max="2588" width="7.26953125" style="7" customWidth="1"/>
    <col min="2589" max="2589" width="11.26953125" style="7" bestFit="1" customWidth="1"/>
    <col min="2590" max="2817" width="11.453125" style="7"/>
    <col min="2818" max="2818" width="7" style="7" customWidth="1"/>
    <col min="2819" max="2819" width="10.7265625" style="7" customWidth="1"/>
    <col min="2820" max="2820" width="9.26953125" style="7" customWidth="1"/>
    <col min="2821" max="2844" width="7.26953125" style="7" customWidth="1"/>
    <col min="2845" max="2845" width="11.26953125" style="7" bestFit="1" customWidth="1"/>
    <col min="2846" max="3073" width="11.453125" style="7"/>
    <col min="3074" max="3074" width="7" style="7" customWidth="1"/>
    <col min="3075" max="3075" width="10.7265625" style="7" customWidth="1"/>
    <col min="3076" max="3076" width="9.26953125" style="7" customWidth="1"/>
    <col min="3077" max="3100" width="7.26953125" style="7" customWidth="1"/>
    <col min="3101" max="3101" width="11.26953125" style="7" bestFit="1" customWidth="1"/>
    <col min="3102" max="3329" width="11.453125" style="7"/>
    <col min="3330" max="3330" width="7" style="7" customWidth="1"/>
    <col min="3331" max="3331" width="10.7265625" style="7" customWidth="1"/>
    <col min="3332" max="3332" width="9.26953125" style="7" customWidth="1"/>
    <col min="3333" max="3356" width="7.26953125" style="7" customWidth="1"/>
    <col min="3357" max="3357" width="11.26953125" style="7" bestFit="1" customWidth="1"/>
    <col min="3358" max="3585" width="11.453125" style="7"/>
    <col min="3586" max="3586" width="7" style="7" customWidth="1"/>
    <col min="3587" max="3587" width="10.7265625" style="7" customWidth="1"/>
    <col min="3588" max="3588" width="9.26953125" style="7" customWidth="1"/>
    <col min="3589" max="3612" width="7.26953125" style="7" customWidth="1"/>
    <col min="3613" max="3613" width="11.26953125" style="7" bestFit="1" customWidth="1"/>
    <col min="3614" max="3841" width="11.453125" style="7"/>
    <col min="3842" max="3842" width="7" style="7" customWidth="1"/>
    <col min="3843" max="3843" width="10.7265625" style="7" customWidth="1"/>
    <col min="3844" max="3844" width="9.26953125" style="7" customWidth="1"/>
    <col min="3845" max="3868" width="7.26953125" style="7" customWidth="1"/>
    <col min="3869" max="3869" width="11.26953125" style="7" bestFit="1" customWidth="1"/>
    <col min="3870" max="4097" width="11.453125" style="7"/>
    <col min="4098" max="4098" width="7" style="7" customWidth="1"/>
    <col min="4099" max="4099" width="10.7265625" style="7" customWidth="1"/>
    <col min="4100" max="4100" width="9.26953125" style="7" customWidth="1"/>
    <col min="4101" max="4124" width="7.26953125" style="7" customWidth="1"/>
    <col min="4125" max="4125" width="11.26953125" style="7" bestFit="1" customWidth="1"/>
    <col min="4126" max="4353" width="11.453125" style="7"/>
    <col min="4354" max="4354" width="7" style="7" customWidth="1"/>
    <col min="4355" max="4355" width="10.7265625" style="7" customWidth="1"/>
    <col min="4356" max="4356" width="9.26953125" style="7" customWidth="1"/>
    <col min="4357" max="4380" width="7.26953125" style="7" customWidth="1"/>
    <col min="4381" max="4381" width="11.26953125" style="7" bestFit="1" customWidth="1"/>
    <col min="4382" max="4609" width="11.453125" style="7"/>
    <col min="4610" max="4610" width="7" style="7" customWidth="1"/>
    <col min="4611" max="4611" width="10.7265625" style="7" customWidth="1"/>
    <col min="4612" max="4612" width="9.26953125" style="7" customWidth="1"/>
    <col min="4613" max="4636" width="7.26953125" style="7" customWidth="1"/>
    <col min="4637" max="4637" width="11.26953125" style="7" bestFit="1" customWidth="1"/>
    <col min="4638" max="4865" width="11.453125" style="7"/>
    <col min="4866" max="4866" width="7" style="7" customWidth="1"/>
    <col min="4867" max="4867" width="10.7265625" style="7" customWidth="1"/>
    <col min="4868" max="4868" width="9.26953125" style="7" customWidth="1"/>
    <col min="4869" max="4892" width="7.26953125" style="7" customWidth="1"/>
    <col min="4893" max="4893" width="11.26953125" style="7" bestFit="1" customWidth="1"/>
    <col min="4894" max="5121" width="11.453125" style="7"/>
    <col min="5122" max="5122" width="7" style="7" customWidth="1"/>
    <col min="5123" max="5123" width="10.7265625" style="7" customWidth="1"/>
    <col min="5124" max="5124" width="9.26953125" style="7" customWidth="1"/>
    <col min="5125" max="5148" width="7.26953125" style="7" customWidth="1"/>
    <col min="5149" max="5149" width="11.26953125" style="7" bestFit="1" customWidth="1"/>
    <col min="5150" max="5377" width="11.453125" style="7"/>
    <col min="5378" max="5378" width="7" style="7" customWidth="1"/>
    <col min="5379" max="5379" width="10.7265625" style="7" customWidth="1"/>
    <col min="5380" max="5380" width="9.26953125" style="7" customWidth="1"/>
    <col min="5381" max="5404" width="7.26953125" style="7" customWidth="1"/>
    <col min="5405" max="5405" width="11.26953125" style="7" bestFit="1" customWidth="1"/>
    <col min="5406" max="5633" width="11.453125" style="7"/>
    <col min="5634" max="5634" width="7" style="7" customWidth="1"/>
    <col min="5635" max="5635" width="10.7265625" style="7" customWidth="1"/>
    <col min="5636" max="5636" width="9.26953125" style="7" customWidth="1"/>
    <col min="5637" max="5660" width="7.26953125" style="7" customWidth="1"/>
    <col min="5661" max="5661" width="11.26953125" style="7" bestFit="1" customWidth="1"/>
    <col min="5662" max="5889" width="11.453125" style="7"/>
    <col min="5890" max="5890" width="7" style="7" customWidth="1"/>
    <col min="5891" max="5891" width="10.7265625" style="7" customWidth="1"/>
    <col min="5892" max="5892" width="9.26953125" style="7" customWidth="1"/>
    <col min="5893" max="5916" width="7.26953125" style="7" customWidth="1"/>
    <col min="5917" max="5917" width="11.26953125" style="7" bestFit="1" customWidth="1"/>
    <col min="5918" max="6145" width="11.453125" style="7"/>
    <col min="6146" max="6146" width="7" style="7" customWidth="1"/>
    <col min="6147" max="6147" width="10.7265625" style="7" customWidth="1"/>
    <col min="6148" max="6148" width="9.26953125" style="7" customWidth="1"/>
    <col min="6149" max="6172" width="7.26953125" style="7" customWidth="1"/>
    <col min="6173" max="6173" width="11.26953125" style="7" bestFit="1" customWidth="1"/>
    <col min="6174" max="6401" width="11.453125" style="7"/>
    <col min="6402" max="6402" width="7" style="7" customWidth="1"/>
    <col min="6403" max="6403" width="10.7265625" style="7" customWidth="1"/>
    <col min="6404" max="6404" width="9.26953125" style="7" customWidth="1"/>
    <col min="6405" max="6428" width="7.26953125" style="7" customWidth="1"/>
    <col min="6429" max="6429" width="11.26953125" style="7" bestFit="1" customWidth="1"/>
    <col min="6430" max="6657" width="11.453125" style="7"/>
    <col min="6658" max="6658" width="7" style="7" customWidth="1"/>
    <col min="6659" max="6659" width="10.7265625" style="7" customWidth="1"/>
    <col min="6660" max="6660" width="9.26953125" style="7" customWidth="1"/>
    <col min="6661" max="6684" width="7.26953125" style="7" customWidth="1"/>
    <col min="6685" max="6685" width="11.26953125" style="7" bestFit="1" customWidth="1"/>
    <col min="6686" max="6913" width="11.453125" style="7"/>
    <col min="6914" max="6914" width="7" style="7" customWidth="1"/>
    <col min="6915" max="6915" width="10.7265625" style="7" customWidth="1"/>
    <col min="6916" max="6916" width="9.26953125" style="7" customWidth="1"/>
    <col min="6917" max="6940" width="7.26953125" style="7" customWidth="1"/>
    <col min="6941" max="6941" width="11.26953125" style="7" bestFit="1" customWidth="1"/>
    <col min="6942" max="7169" width="11.453125" style="7"/>
    <col min="7170" max="7170" width="7" style="7" customWidth="1"/>
    <col min="7171" max="7171" width="10.7265625" style="7" customWidth="1"/>
    <col min="7172" max="7172" width="9.26953125" style="7" customWidth="1"/>
    <col min="7173" max="7196" width="7.26953125" style="7" customWidth="1"/>
    <col min="7197" max="7197" width="11.26953125" style="7" bestFit="1" customWidth="1"/>
    <col min="7198" max="7425" width="11.453125" style="7"/>
    <col min="7426" max="7426" width="7" style="7" customWidth="1"/>
    <col min="7427" max="7427" width="10.7265625" style="7" customWidth="1"/>
    <col min="7428" max="7428" width="9.26953125" style="7" customWidth="1"/>
    <col min="7429" max="7452" width="7.26953125" style="7" customWidth="1"/>
    <col min="7453" max="7453" width="11.26953125" style="7" bestFit="1" customWidth="1"/>
    <col min="7454" max="7681" width="11.453125" style="7"/>
    <col min="7682" max="7682" width="7" style="7" customWidth="1"/>
    <col min="7683" max="7683" width="10.7265625" style="7" customWidth="1"/>
    <col min="7684" max="7684" width="9.26953125" style="7" customWidth="1"/>
    <col min="7685" max="7708" width="7.26953125" style="7" customWidth="1"/>
    <col min="7709" max="7709" width="11.26953125" style="7" bestFit="1" customWidth="1"/>
    <col min="7710" max="7937" width="11.453125" style="7"/>
    <col min="7938" max="7938" width="7" style="7" customWidth="1"/>
    <col min="7939" max="7939" width="10.7265625" style="7" customWidth="1"/>
    <col min="7940" max="7940" width="9.26953125" style="7" customWidth="1"/>
    <col min="7941" max="7964" width="7.26953125" style="7" customWidth="1"/>
    <col min="7965" max="7965" width="11.26953125" style="7" bestFit="1" customWidth="1"/>
    <col min="7966" max="8193" width="11.453125" style="7"/>
    <col min="8194" max="8194" width="7" style="7" customWidth="1"/>
    <col min="8195" max="8195" width="10.7265625" style="7" customWidth="1"/>
    <col min="8196" max="8196" width="9.26953125" style="7" customWidth="1"/>
    <col min="8197" max="8220" width="7.26953125" style="7" customWidth="1"/>
    <col min="8221" max="8221" width="11.26953125" style="7" bestFit="1" customWidth="1"/>
    <col min="8222" max="8449" width="11.453125" style="7"/>
    <col min="8450" max="8450" width="7" style="7" customWidth="1"/>
    <col min="8451" max="8451" width="10.7265625" style="7" customWidth="1"/>
    <col min="8452" max="8452" width="9.26953125" style="7" customWidth="1"/>
    <col min="8453" max="8476" width="7.26953125" style="7" customWidth="1"/>
    <col min="8477" max="8477" width="11.26953125" style="7" bestFit="1" customWidth="1"/>
    <col min="8478" max="8705" width="11.453125" style="7"/>
    <col min="8706" max="8706" width="7" style="7" customWidth="1"/>
    <col min="8707" max="8707" width="10.7265625" style="7" customWidth="1"/>
    <col min="8708" max="8708" width="9.26953125" style="7" customWidth="1"/>
    <col min="8709" max="8732" width="7.26953125" style="7" customWidth="1"/>
    <col min="8733" max="8733" width="11.26953125" style="7" bestFit="1" customWidth="1"/>
    <col min="8734" max="8961" width="11.453125" style="7"/>
    <col min="8962" max="8962" width="7" style="7" customWidth="1"/>
    <col min="8963" max="8963" width="10.7265625" style="7" customWidth="1"/>
    <col min="8964" max="8964" width="9.26953125" style="7" customWidth="1"/>
    <col min="8965" max="8988" width="7.26953125" style="7" customWidth="1"/>
    <col min="8989" max="8989" width="11.26953125" style="7" bestFit="1" customWidth="1"/>
    <col min="8990" max="9217" width="11.453125" style="7"/>
    <col min="9218" max="9218" width="7" style="7" customWidth="1"/>
    <col min="9219" max="9219" width="10.7265625" style="7" customWidth="1"/>
    <col min="9220" max="9220" width="9.26953125" style="7" customWidth="1"/>
    <col min="9221" max="9244" width="7.26953125" style="7" customWidth="1"/>
    <col min="9245" max="9245" width="11.26953125" style="7" bestFit="1" customWidth="1"/>
    <col min="9246" max="9473" width="11.453125" style="7"/>
    <col min="9474" max="9474" width="7" style="7" customWidth="1"/>
    <col min="9475" max="9475" width="10.7265625" style="7" customWidth="1"/>
    <col min="9476" max="9476" width="9.26953125" style="7" customWidth="1"/>
    <col min="9477" max="9500" width="7.26953125" style="7" customWidth="1"/>
    <col min="9501" max="9501" width="11.26953125" style="7" bestFit="1" customWidth="1"/>
    <col min="9502" max="9729" width="11.453125" style="7"/>
    <col min="9730" max="9730" width="7" style="7" customWidth="1"/>
    <col min="9731" max="9731" width="10.7265625" style="7" customWidth="1"/>
    <col min="9732" max="9732" width="9.26953125" style="7" customWidth="1"/>
    <col min="9733" max="9756" width="7.26953125" style="7" customWidth="1"/>
    <col min="9757" max="9757" width="11.26953125" style="7" bestFit="1" customWidth="1"/>
    <col min="9758" max="9985" width="11.453125" style="7"/>
    <col min="9986" max="9986" width="7" style="7" customWidth="1"/>
    <col min="9987" max="9987" width="10.7265625" style="7" customWidth="1"/>
    <col min="9988" max="9988" width="9.26953125" style="7" customWidth="1"/>
    <col min="9989" max="10012" width="7.26953125" style="7" customWidth="1"/>
    <col min="10013" max="10013" width="11.26953125" style="7" bestFit="1" customWidth="1"/>
    <col min="10014" max="10241" width="11.453125" style="7"/>
    <col min="10242" max="10242" width="7" style="7" customWidth="1"/>
    <col min="10243" max="10243" width="10.7265625" style="7" customWidth="1"/>
    <col min="10244" max="10244" width="9.26953125" style="7" customWidth="1"/>
    <col min="10245" max="10268" width="7.26953125" style="7" customWidth="1"/>
    <col min="10269" max="10269" width="11.26953125" style="7" bestFit="1" customWidth="1"/>
    <col min="10270" max="10497" width="11.453125" style="7"/>
    <col min="10498" max="10498" width="7" style="7" customWidth="1"/>
    <col min="10499" max="10499" width="10.7265625" style="7" customWidth="1"/>
    <col min="10500" max="10500" width="9.26953125" style="7" customWidth="1"/>
    <col min="10501" max="10524" width="7.26953125" style="7" customWidth="1"/>
    <col min="10525" max="10525" width="11.26953125" style="7" bestFit="1" customWidth="1"/>
    <col min="10526" max="10753" width="11.453125" style="7"/>
    <col min="10754" max="10754" width="7" style="7" customWidth="1"/>
    <col min="10755" max="10755" width="10.7265625" style="7" customWidth="1"/>
    <col min="10756" max="10756" width="9.26953125" style="7" customWidth="1"/>
    <col min="10757" max="10780" width="7.26953125" style="7" customWidth="1"/>
    <col min="10781" max="10781" width="11.26953125" style="7" bestFit="1" customWidth="1"/>
    <col min="10782" max="11009" width="11.453125" style="7"/>
    <col min="11010" max="11010" width="7" style="7" customWidth="1"/>
    <col min="11011" max="11011" width="10.7265625" style="7" customWidth="1"/>
    <col min="11012" max="11012" width="9.26953125" style="7" customWidth="1"/>
    <col min="11013" max="11036" width="7.26953125" style="7" customWidth="1"/>
    <col min="11037" max="11037" width="11.26953125" style="7" bestFit="1" customWidth="1"/>
    <col min="11038" max="11265" width="11.453125" style="7"/>
    <col min="11266" max="11266" width="7" style="7" customWidth="1"/>
    <col min="11267" max="11267" width="10.7265625" style="7" customWidth="1"/>
    <col min="11268" max="11268" width="9.26953125" style="7" customWidth="1"/>
    <col min="11269" max="11292" width="7.26953125" style="7" customWidth="1"/>
    <col min="11293" max="11293" width="11.26953125" style="7" bestFit="1" customWidth="1"/>
    <col min="11294" max="11521" width="11.453125" style="7"/>
    <col min="11522" max="11522" width="7" style="7" customWidth="1"/>
    <col min="11523" max="11523" width="10.7265625" style="7" customWidth="1"/>
    <col min="11524" max="11524" width="9.26953125" style="7" customWidth="1"/>
    <col min="11525" max="11548" width="7.26953125" style="7" customWidth="1"/>
    <col min="11549" max="11549" width="11.26953125" style="7" bestFit="1" customWidth="1"/>
    <col min="11550" max="11777" width="11.453125" style="7"/>
    <col min="11778" max="11778" width="7" style="7" customWidth="1"/>
    <col min="11779" max="11779" width="10.7265625" style="7" customWidth="1"/>
    <col min="11780" max="11780" width="9.26953125" style="7" customWidth="1"/>
    <col min="11781" max="11804" width="7.26953125" style="7" customWidth="1"/>
    <col min="11805" max="11805" width="11.26953125" style="7" bestFit="1" customWidth="1"/>
    <col min="11806" max="12033" width="11.453125" style="7"/>
    <col min="12034" max="12034" width="7" style="7" customWidth="1"/>
    <col min="12035" max="12035" width="10.7265625" style="7" customWidth="1"/>
    <col min="12036" max="12036" width="9.26953125" style="7" customWidth="1"/>
    <col min="12037" max="12060" width="7.26953125" style="7" customWidth="1"/>
    <col min="12061" max="12061" width="11.26953125" style="7" bestFit="1" customWidth="1"/>
    <col min="12062" max="12289" width="11.453125" style="7"/>
    <col min="12290" max="12290" width="7" style="7" customWidth="1"/>
    <col min="12291" max="12291" width="10.7265625" style="7" customWidth="1"/>
    <col min="12292" max="12292" width="9.26953125" style="7" customWidth="1"/>
    <col min="12293" max="12316" width="7.26953125" style="7" customWidth="1"/>
    <col min="12317" max="12317" width="11.26953125" style="7" bestFit="1" customWidth="1"/>
    <col min="12318" max="12545" width="11.453125" style="7"/>
    <col min="12546" max="12546" width="7" style="7" customWidth="1"/>
    <col min="12547" max="12547" width="10.7265625" style="7" customWidth="1"/>
    <col min="12548" max="12548" width="9.26953125" style="7" customWidth="1"/>
    <col min="12549" max="12572" width="7.26953125" style="7" customWidth="1"/>
    <col min="12573" max="12573" width="11.26953125" style="7" bestFit="1" customWidth="1"/>
    <col min="12574" max="12801" width="11.453125" style="7"/>
    <col min="12802" max="12802" width="7" style="7" customWidth="1"/>
    <col min="12803" max="12803" width="10.7265625" style="7" customWidth="1"/>
    <col min="12804" max="12804" width="9.26953125" style="7" customWidth="1"/>
    <col min="12805" max="12828" width="7.26953125" style="7" customWidth="1"/>
    <col min="12829" max="12829" width="11.26953125" style="7" bestFit="1" customWidth="1"/>
    <col min="12830" max="13057" width="11.453125" style="7"/>
    <col min="13058" max="13058" width="7" style="7" customWidth="1"/>
    <col min="13059" max="13059" width="10.7265625" style="7" customWidth="1"/>
    <col min="13060" max="13060" width="9.26953125" style="7" customWidth="1"/>
    <col min="13061" max="13084" width="7.26953125" style="7" customWidth="1"/>
    <col min="13085" max="13085" width="11.26953125" style="7" bestFit="1" customWidth="1"/>
    <col min="13086" max="13313" width="11.453125" style="7"/>
    <col min="13314" max="13314" width="7" style="7" customWidth="1"/>
    <col min="13315" max="13315" width="10.7265625" style="7" customWidth="1"/>
    <col min="13316" max="13316" width="9.26953125" style="7" customWidth="1"/>
    <col min="13317" max="13340" width="7.26953125" style="7" customWidth="1"/>
    <col min="13341" max="13341" width="11.26953125" style="7" bestFit="1" customWidth="1"/>
    <col min="13342" max="13569" width="11.453125" style="7"/>
    <col min="13570" max="13570" width="7" style="7" customWidth="1"/>
    <col min="13571" max="13571" width="10.7265625" style="7" customWidth="1"/>
    <col min="13572" max="13572" width="9.26953125" style="7" customWidth="1"/>
    <col min="13573" max="13596" width="7.26953125" style="7" customWidth="1"/>
    <col min="13597" max="13597" width="11.26953125" style="7" bestFit="1" customWidth="1"/>
    <col min="13598" max="13825" width="11.453125" style="7"/>
    <col min="13826" max="13826" width="7" style="7" customWidth="1"/>
    <col min="13827" max="13827" width="10.7265625" style="7" customWidth="1"/>
    <col min="13828" max="13828" width="9.26953125" style="7" customWidth="1"/>
    <col min="13829" max="13852" width="7.26953125" style="7" customWidth="1"/>
    <col min="13853" max="13853" width="11.26953125" style="7" bestFit="1" customWidth="1"/>
    <col min="13854" max="14081" width="11.453125" style="7"/>
    <col min="14082" max="14082" width="7" style="7" customWidth="1"/>
    <col min="14083" max="14083" width="10.7265625" style="7" customWidth="1"/>
    <col min="14084" max="14084" width="9.26953125" style="7" customWidth="1"/>
    <col min="14085" max="14108" width="7.26953125" style="7" customWidth="1"/>
    <col min="14109" max="14109" width="11.26953125" style="7" bestFit="1" customWidth="1"/>
    <col min="14110" max="14337" width="11.453125" style="7"/>
    <col min="14338" max="14338" width="7" style="7" customWidth="1"/>
    <col min="14339" max="14339" width="10.7265625" style="7" customWidth="1"/>
    <col min="14340" max="14340" width="9.26953125" style="7" customWidth="1"/>
    <col min="14341" max="14364" width="7.26953125" style="7" customWidth="1"/>
    <col min="14365" max="14365" width="11.26953125" style="7" bestFit="1" customWidth="1"/>
    <col min="14366" max="14593" width="11.453125" style="7"/>
    <col min="14594" max="14594" width="7" style="7" customWidth="1"/>
    <col min="14595" max="14595" width="10.7265625" style="7" customWidth="1"/>
    <col min="14596" max="14596" width="9.26953125" style="7" customWidth="1"/>
    <col min="14597" max="14620" width="7.26953125" style="7" customWidth="1"/>
    <col min="14621" max="14621" width="11.26953125" style="7" bestFit="1" customWidth="1"/>
    <col min="14622" max="14849" width="11.453125" style="7"/>
    <col min="14850" max="14850" width="7" style="7" customWidth="1"/>
    <col min="14851" max="14851" width="10.7265625" style="7" customWidth="1"/>
    <col min="14852" max="14852" width="9.26953125" style="7" customWidth="1"/>
    <col min="14853" max="14876" width="7.26953125" style="7" customWidth="1"/>
    <col min="14877" max="14877" width="11.26953125" style="7" bestFit="1" customWidth="1"/>
    <col min="14878" max="15105" width="11.453125" style="7"/>
    <col min="15106" max="15106" width="7" style="7" customWidth="1"/>
    <col min="15107" max="15107" width="10.7265625" style="7" customWidth="1"/>
    <col min="15108" max="15108" width="9.26953125" style="7" customWidth="1"/>
    <col min="15109" max="15132" width="7.26953125" style="7" customWidth="1"/>
    <col min="15133" max="15133" width="11.26953125" style="7" bestFit="1" customWidth="1"/>
    <col min="15134" max="15361" width="11.453125" style="7"/>
    <col min="15362" max="15362" width="7" style="7" customWidth="1"/>
    <col min="15363" max="15363" width="10.7265625" style="7" customWidth="1"/>
    <col min="15364" max="15364" width="9.26953125" style="7" customWidth="1"/>
    <col min="15365" max="15388" width="7.26953125" style="7" customWidth="1"/>
    <col min="15389" max="15389" width="11.26953125" style="7" bestFit="1" customWidth="1"/>
    <col min="15390" max="15617" width="11.453125" style="7"/>
    <col min="15618" max="15618" width="7" style="7" customWidth="1"/>
    <col min="15619" max="15619" width="10.7265625" style="7" customWidth="1"/>
    <col min="15620" max="15620" width="9.26953125" style="7" customWidth="1"/>
    <col min="15621" max="15644" width="7.26953125" style="7" customWidth="1"/>
    <col min="15645" max="15645" width="11.26953125" style="7" bestFit="1" customWidth="1"/>
    <col min="15646" max="15873" width="11.453125" style="7"/>
    <col min="15874" max="15874" width="7" style="7" customWidth="1"/>
    <col min="15875" max="15875" width="10.7265625" style="7" customWidth="1"/>
    <col min="15876" max="15876" width="9.26953125" style="7" customWidth="1"/>
    <col min="15877" max="15900" width="7.26953125" style="7" customWidth="1"/>
    <col min="15901" max="15901" width="11.26953125" style="7" bestFit="1" customWidth="1"/>
    <col min="15902" max="16129" width="11.453125" style="7"/>
    <col min="16130" max="16130" width="7" style="7" customWidth="1"/>
    <col min="16131" max="16131" width="10.7265625" style="7" customWidth="1"/>
    <col min="16132" max="16132" width="9.26953125" style="7" customWidth="1"/>
    <col min="16133" max="16156" width="7.26953125" style="7" customWidth="1"/>
    <col min="16157" max="16157" width="11.26953125" style="7" bestFit="1" customWidth="1"/>
    <col min="16158" max="16384" width="11.453125" style="7"/>
  </cols>
  <sheetData>
    <row r="1" spans="2:56" ht="18.649999999999999" customHeight="1" x14ac:dyDescent="0.25"/>
    <row r="2" spans="2:56" ht="18.649999999999999" customHeight="1" x14ac:dyDescent="0.25">
      <c r="B2" s="67" t="s">
        <v>45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2:56" ht="18.649999999999999" customHeight="1" x14ac:dyDescent="0.25">
      <c r="B3" s="67" t="s">
        <v>44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2:56" ht="18.649999999999999" customHeight="1" x14ac:dyDescent="0.25">
      <c r="B4" s="67">
        <v>2030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2:56" ht="18.649999999999999" customHeight="1" x14ac:dyDescent="0.25"/>
    <row r="6" spans="2:56" ht="15.5" x14ac:dyDescent="0.25">
      <c r="B6" s="2" t="s">
        <v>0</v>
      </c>
      <c r="C6" s="3" t="s">
        <v>1</v>
      </c>
      <c r="D6" s="2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9" t="s">
        <v>8</v>
      </c>
      <c r="K6" s="9" t="s">
        <v>9</v>
      </c>
      <c r="L6" s="9" t="s">
        <v>10</v>
      </c>
      <c r="M6" s="9" t="s">
        <v>11</v>
      </c>
      <c r="N6" s="9" t="s">
        <v>12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9" t="s">
        <v>18</v>
      </c>
      <c r="U6" s="9" t="s">
        <v>19</v>
      </c>
      <c r="V6" s="9" t="s">
        <v>20</v>
      </c>
      <c r="W6" s="9" t="s">
        <v>21</v>
      </c>
      <c r="X6" s="9" t="s">
        <v>22</v>
      </c>
      <c r="Y6" s="9" t="s">
        <v>23</v>
      </c>
      <c r="Z6" s="9" t="s">
        <v>24</v>
      </c>
      <c r="AA6" s="9" t="s">
        <v>25</v>
      </c>
      <c r="AB6" s="9" t="s">
        <v>26</v>
      </c>
      <c r="AC6" s="9" t="s">
        <v>27</v>
      </c>
      <c r="AE6" s="7">
        <v>1000</v>
      </c>
    </row>
    <row r="7" spans="2:56" ht="18.649999999999999" customHeight="1" x14ac:dyDescent="0.25">
      <c r="B7" s="61" t="s">
        <v>28</v>
      </c>
      <c r="C7" s="4" t="s">
        <v>29</v>
      </c>
      <c r="D7" s="5">
        <v>21</v>
      </c>
      <c r="E7" s="40">
        <v>15518</v>
      </c>
      <c r="F7" s="40">
        <v>14256</v>
      </c>
      <c r="G7" s="40">
        <v>13668</v>
      </c>
      <c r="H7" s="40">
        <v>13297</v>
      </c>
      <c r="I7" s="40">
        <v>13406</v>
      </c>
      <c r="J7" s="40">
        <v>14035</v>
      </c>
      <c r="K7" s="40">
        <v>13508</v>
      </c>
      <c r="L7" s="40">
        <v>23275</v>
      </c>
      <c r="M7" s="40">
        <v>24977</v>
      </c>
      <c r="N7" s="40">
        <v>26367</v>
      </c>
      <c r="O7" s="40">
        <v>27378</v>
      </c>
      <c r="P7" s="40">
        <v>28487</v>
      </c>
      <c r="Q7" s="40">
        <v>29281</v>
      </c>
      <c r="R7" s="40">
        <v>28922</v>
      </c>
      <c r="S7" s="40">
        <v>28559</v>
      </c>
      <c r="T7" s="40">
        <v>28230</v>
      </c>
      <c r="U7" s="40">
        <v>27910</v>
      </c>
      <c r="V7" s="40">
        <v>24482</v>
      </c>
      <c r="W7" s="40">
        <v>27313</v>
      </c>
      <c r="X7" s="40">
        <v>29487</v>
      </c>
      <c r="Y7" s="40">
        <v>28640</v>
      </c>
      <c r="Z7" s="40">
        <v>26648</v>
      </c>
      <c r="AA7" s="40">
        <v>23445</v>
      </c>
      <c r="AB7" s="40">
        <v>20715</v>
      </c>
      <c r="AC7" s="64">
        <f>+SUM(E7:AB7)*D7+SUM(E8:AB8)*D8+SUM(E9:AB9)*D9+SUM(E10:AB10)*D10</f>
        <v>17721564</v>
      </c>
      <c r="AE7" s="7">
        <f>((+AC7)*1000)/1000</f>
        <v>17721564</v>
      </c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 spans="2:56" ht="18.649999999999999" customHeight="1" x14ac:dyDescent="0.25">
      <c r="B8" s="61" t="s">
        <v>28</v>
      </c>
      <c r="C8" s="4" t="s">
        <v>30</v>
      </c>
      <c r="D8" s="5">
        <v>4</v>
      </c>
      <c r="E8" s="40">
        <v>14153</v>
      </c>
      <c r="F8" s="40">
        <v>13325</v>
      </c>
      <c r="G8" s="40">
        <v>13057</v>
      </c>
      <c r="H8" s="40">
        <v>12904</v>
      </c>
      <c r="I8" s="40">
        <v>13949</v>
      </c>
      <c r="J8" s="40">
        <v>17814</v>
      </c>
      <c r="K8" s="40">
        <v>19383</v>
      </c>
      <c r="L8" s="40">
        <v>27991</v>
      </c>
      <c r="M8" s="40">
        <v>27627</v>
      </c>
      <c r="N8" s="40">
        <v>28727</v>
      </c>
      <c r="O8" s="40">
        <v>30247</v>
      </c>
      <c r="P8" s="40">
        <v>32643</v>
      </c>
      <c r="Q8" s="40">
        <v>32120</v>
      </c>
      <c r="R8" s="40">
        <v>32338</v>
      </c>
      <c r="S8" s="40">
        <v>33252</v>
      </c>
      <c r="T8" s="40">
        <v>33575</v>
      </c>
      <c r="U8" s="40">
        <v>33239</v>
      </c>
      <c r="V8" s="40">
        <v>29043</v>
      </c>
      <c r="W8" s="40">
        <v>31650</v>
      </c>
      <c r="X8" s="40">
        <v>33496</v>
      </c>
      <c r="Y8" s="40">
        <v>32210</v>
      </c>
      <c r="Z8" s="40">
        <v>29535</v>
      </c>
      <c r="AA8" s="40">
        <v>24544</v>
      </c>
      <c r="AB8" s="40">
        <v>19719</v>
      </c>
      <c r="AC8" s="65"/>
      <c r="AE8" s="7">
        <f>((+AC11)*1000)/1000</f>
        <v>16439400</v>
      </c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2:56" ht="18.649999999999999" customHeight="1" x14ac:dyDescent="0.25">
      <c r="B9" s="61" t="s">
        <v>28</v>
      </c>
      <c r="C9" s="4" t="s">
        <v>31</v>
      </c>
      <c r="D9" s="5">
        <v>4</v>
      </c>
      <c r="E9" s="40">
        <v>13586</v>
      </c>
      <c r="F9" s="40">
        <v>13060</v>
      </c>
      <c r="G9" s="40">
        <v>12712</v>
      </c>
      <c r="H9" s="40">
        <v>12877</v>
      </c>
      <c r="I9" s="40">
        <v>14453</v>
      </c>
      <c r="J9" s="40">
        <v>19218</v>
      </c>
      <c r="K9" s="40">
        <v>23057</v>
      </c>
      <c r="L9" s="40">
        <v>32552</v>
      </c>
      <c r="M9" s="40">
        <v>32396</v>
      </c>
      <c r="N9" s="40">
        <v>32961</v>
      </c>
      <c r="O9" s="40">
        <v>34263</v>
      </c>
      <c r="P9" s="40">
        <v>36938</v>
      </c>
      <c r="Q9" s="40">
        <v>35232</v>
      </c>
      <c r="R9" s="40">
        <v>34232</v>
      </c>
      <c r="S9" s="40">
        <v>35249</v>
      </c>
      <c r="T9" s="40">
        <v>35435</v>
      </c>
      <c r="U9" s="40">
        <v>34996</v>
      </c>
      <c r="V9" s="40">
        <v>31490</v>
      </c>
      <c r="W9" s="40">
        <v>34601</v>
      </c>
      <c r="X9" s="40">
        <v>34642</v>
      </c>
      <c r="Y9" s="40">
        <v>32547</v>
      </c>
      <c r="Z9" s="40">
        <v>29776</v>
      </c>
      <c r="AA9" s="40">
        <v>25907</v>
      </c>
      <c r="AB9" s="40">
        <v>22707</v>
      </c>
      <c r="AC9" s="65"/>
      <c r="AE9" s="7">
        <f>((+AC15)*1000)/1000</f>
        <v>17111754</v>
      </c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 spans="2:56" ht="18.649999999999999" customHeight="1" x14ac:dyDescent="0.25">
      <c r="B10" s="61" t="s">
        <v>28</v>
      </c>
      <c r="C10" s="4" t="s">
        <v>32</v>
      </c>
      <c r="D10" s="5">
        <v>2</v>
      </c>
      <c r="E10" s="40">
        <v>14556</v>
      </c>
      <c r="F10" s="40">
        <v>13756</v>
      </c>
      <c r="G10" s="40">
        <v>12801</v>
      </c>
      <c r="H10" s="40">
        <v>12314</v>
      </c>
      <c r="I10" s="40">
        <v>12210</v>
      </c>
      <c r="J10" s="40">
        <v>12344</v>
      </c>
      <c r="K10" s="40">
        <v>12312</v>
      </c>
      <c r="L10" s="40">
        <v>20698</v>
      </c>
      <c r="M10" s="40">
        <v>22360</v>
      </c>
      <c r="N10" s="40">
        <v>23458</v>
      </c>
      <c r="O10" s="40">
        <v>24713</v>
      </c>
      <c r="P10" s="40">
        <v>25415</v>
      </c>
      <c r="Q10" s="40">
        <v>26424</v>
      </c>
      <c r="R10" s="40">
        <v>26030</v>
      </c>
      <c r="S10" s="40">
        <v>25730</v>
      </c>
      <c r="T10" s="40">
        <v>25373</v>
      </c>
      <c r="U10" s="40">
        <v>25257</v>
      </c>
      <c r="V10" s="40">
        <v>22429</v>
      </c>
      <c r="W10" s="40">
        <v>26040</v>
      </c>
      <c r="X10" s="40">
        <v>27368</v>
      </c>
      <c r="Y10" s="40">
        <v>25967</v>
      </c>
      <c r="Z10" s="40">
        <v>24199</v>
      </c>
      <c r="AA10" s="40">
        <v>22455</v>
      </c>
      <c r="AB10" s="40">
        <v>19775</v>
      </c>
      <c r="AC10" s="66"/>
      <c r="AE10" s="7">
        <f>((+AC19)*1000)/1000</f>
        <v>17481176</v>
      </c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2:56" ht="18.649999999999999" customHeight="1" x14ac:dyDescent="0.25">
      <c r="B11" s="61" t="s">
        <v>33</v>
      </c>
      <c r="C11" s="4" t="s">
        <v>29</v>
      </c>
      <c r="D11" s="5">
        <v>20</v>
      </c>
      <c r="E11" s="40">
        <v>11872</v>
      </c>
      <c r="F11" s="40">
        <v>11690</v>
      </c>
      <c r="G11" s="40">
        <v>11004</v>
      </c>
      <c r="H11" s="40">
        <v>11481</v>
      </c>
      <c r="I11" s="40">
        <v>11824</v>
      </c>
      <c r="J11" s="40">
        <v>17713</v>
      </c>
      <c r="K11" s="40">
        <v>21567</v>
      </c>
      <c r="L11" s="40">
        <v>30108</v>
      </c>
      <c r="M11" s="40">
        <v>29805</v>
      </c>
      <c r="N11" s="40">
        <v>29975</v>
      </c>
      <c r="O11" s="40">
        <v>30998</v>
      </c>
      <c r="P11" s="40">
        <v>32064</v>
      </c>
      <c r="Q11" s="40">
        <v>31162</v>
      </c>
      <c r="R11" s="40">
        <v>30929</v>
      </c>
      <c r="S11" s="40">
        <v>31662</v>
      </c>
      <c r="T11" s="40">
        <v>32128</v>
      </c>
      <c r="U11" s="40">
        <v>32160</v>
      </c>
      <c r="V11" s="40">
        <v>28631</v>
      </c>
      <c r="W11" s="40">
        <v>31297</v>
      </c>
      <c r="X11" s="40">
        <v>31770</v>
      </c>
      <c r="Y11" s="40">
        <v>30032</v>
      </c>
      <c r="Z11" s="40">
        <v>27144</v>
      </c>
      <c r="AA11" s="40">
        <v>22511</v>
      </c>
      <c r="AB11" s="40">
        <v>18526</v>
      </c>
      <c r="AC11" s="64">
        <f>+SUM(E11:AB11)*D11+SUM(E12:AB12)*D12+SUM(E13:AB13)*D13+SUM(E14:AB14)*D14</f>
        <v>16439400</v>
      </c>
      <c r="AE11" s="7">
        <f>((+AC23)*1000)/1000</f>
        <v>17473832</v>
      </c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 spans="2:56" ht="18.649999999999999" customHeight="1" x14ac:dyDescent="0.25">
      <c r="B12" s="61" t="s">
        <v>33</v>
      </c>
      <c r="C12" s="4" t="s">
        <v>30</v>
      </c>
      <c r="D12" s="5">
        <v>4</v>
      </c>
      <c r="E12" s="40">
        <v>13738</v>
      </c>
      <c r="F12" s="40">
        <v>12829</v>
      </c>
      <c r="G12" s="40">
        <v>12305</v>
      </c>
      <c r="H12" s="40">
        <v>11876</v>
      </c>
      <c r="I12" s="40">
        <v>12255</v>
      </c>
      <c r="J12" s="40">
        <v>13331</v>
      </c>
      <c r="K12" s="40">
        <v>16512</v>
      </c>
      <c r="L12" s="40">
        <v>27910</v>
      </c>
      <c r="M12" s="40">
        <v>29659</v>
      </c>
      <c r="N12" s="40">
        <v>30538</v>
      </c>
      <c r="O12" s="40">
        <v>31287</v>
      </c>
      <c r="P12" s="40">
        <v>32181</v>
      </c>
      <c r="Q12" s="40">
        <v>31468</v>
      </c>
      <c r="R12" s="40">
        <v>30640</v>
      </c>
      <c r="S12" s="40">
        <v>30393</v>
      </c>
      <c r="T12" s="40">
        <v>30255</v>
      </c>
      <c r="U12" s="40">
        <v>30895</v>
      </c>
      <c r="V12" s="40">
        <v>28365</v>
      </c>
      <c r="W12" s="40">
        <v>30284</v>
      </c>
      <c r="X12" s="40">
        <v>31123</v>
      </c>
      <c r="Y12" s="40">
        <v>29600</v>
      </c>
      <c r="Z12" s="40">
        <v>26449</v>
      </c>
      <c r="AA12" s="40">
        <v>22847</v>
      </c>
      <c r="AB12" s="40">
        <v>19245</v>
      </c>
      <c r="AC12" s="65"/>
      <c r="AE12" s="7">
        <f>((+AC27)*1000)/1000</f>
        <v>17225127</v>
      </c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2:56" ht="18.649999999999999" customHeight="1" x14ac:dyDescent="0.25">
      <c r="B13" s="61" t="s">
        <v>33</v>
      </c>
      <c r="C13" s="4" t="s">
        <v>31</v>
      </c>
      <c r="D13" s="5">
        <v>4</v>
      </c>
      <c r="E13" s="40">
        <v>13772</v>
      </c>
      <c r="F13" s="40">
        <v>12696</v>
      </c>
      <c r="G13" s="40">
        <v>11821</v>
      </c>
      <c r="H13" s="40">
        <v>11394</v>
      </c>
      <c r="I13" s="40">
        <v>11410</v>
      </c>
      <c r="J13" s="40">
        <v>11453</v>
      </c>
      <c r="K13" s="40">
        <v>12497</v>
      </c>
      <c r="L13" s="40">
        <v>22287</v>
      </c>
      <c r="M13" s="40">
        <v>24849</v>
      </c>
      <c r="N13" s="40">
        <v>26492</v>
      </c>
      <c r="O13" s="40">
        <v>26745</v>
      </c>
      <c r="P13" s="40">
        <v>28484</v>
      </c>
      <c r="Q13" s="40">
        <v>29707</v>
      </c>
      <c r="R13" s="40">
        <v>29820</v>
      </c>
      <c r="S13" s="40">
        <v>28926</v>
      </c>
      <c r="T13" s="40">
        <v>30329</v>
      </c>
      <c r="U13" s="40">
        <v>27578</v>
      </c>
      <c r="V13" s="40">
        <v>25431</v>
      </c>
      <c r="W13" s="40">
        <v>30006</v>
      </c>
      <c r="X13" s="40">
        <v>28203</v>
      </c>
      <c r="Y13" s="40">
        <v>27466</v>
      </c>
      <c r="Z13" s="40">
        <v>24685</v>
      </c>
      <c r="AA13" s="40">
        <v>20435</v>
      </c>
      <c r="AB13" s="40">
        <v>17114</v>
      </c>
      <c r="AC13" s="65"/>
      <c r="AE13" s="7">
        <f>((+AC31)*1000)/1000</f>
        <v>17733863</v>
      </c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 spans="2:56" ht="18.649999999999999" customHeight="1" x14ac:dyDescent="0.25">
      <c r="B14" s="61" t="s">
        <v>33</v>
      </c>
      <c r="C14" s="4" t="s">
        <v>32</v>
      </c>
      <c r="D14" s="5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66"/>
      <c r="AE14" s="7">
        <f>((+AC35)*1000)/1000</f>
        <v>18358026</v>
      </c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2:56" ht="18.649999999999999" customHeight="1" x14ac:dyDescent="0.25">
      <c r="B15" s="61" t="s">
        <v>34</v>
      </c>
      <c r="C15" s="4" t="s">
        <v>29</v>
      </c>
      <c r="D15" s="5">
        <v>20</v>
      </c>
      <c r="E15" s="40">
        <v>11461</v>
      </c>
      <c r="F15" s="40">
        <v>10719</v>
      </c>
      <c r="G15" s="40">
        <v>10465</v>
      </c>
      <c r="H15" s="40">
        <v>10456</v>
      </c>
      <c r="I15" s="40">
        <v>12053</v>
      </c>
      <c r="J15" s="40">
        <v>16835</v>
      </c>
      <c r="K15" s="40">
        <v>19875</v>
      </c>
      <c r="L15" s="40">
        <v>27350</v>
      </c>
      <c r="M15" s="40">
        <v>26965</v>
      </c>
      <c r="N15" s="40">
        <v>27248</v>
      </c>
      <c r="O15" s="40">
        <v>27682</v>
      </c>
      <c r="P15" s="40">
        <v>29720</v>
      </c>
      <c r="Q15" s="40">
        <v>29139</v>
      </c>
      <c r="R15" s="40">
        <v>28772</v>
      </c>
      <c r="S15" s="40">
        <v>29549</v>
      </c>
      <c r="T15" s="40">
        <v>29810</v>
      </c>
      <c r="U15" s="40">
        <v>29335</v>
      </c>
      <c r="V15" s="40">
        <v>27125</v>
      </c>
      <c r="W15" s="40">
        <v>29896</v>
      </c>
      <c r="X15" s="40">
        <v>30800</v>
      </c>
      <c r="Y15" s="40">
        <v>29440</v>
      </c>
      <c r="Z15" s="40">
        <v>25577</v>
      </c>
      <c r="AA15" s="40">
        <v>21726</v>
      </c>
      <c r="AB15" s="40">
        <v>17669</v>
      </c>
      <c r="AC15" s="64">
        <f>+SUM(E15:AB15)*D15+SUM(E16:AB16)*D16+SUM(E17:AB17)*D17+SUM(E18:AB18)*D18</f>
        <v>17111754</v>
      </c>
      <c r="AE15" s="7">
        <f>((+AC39)*1000)/1000</f>
        <v>17784623</v>
      </c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 spans="2:56" ht="18.649999999999999" customHeight="1" x14ac:dyDescent="0.25">
      <c r="B16" s="61" t="s">
        <v>34</v>
      </c>
      <c r="C16" s="4" t="s">
        <v>30</v>
      </c>
      <c r="D16" s="5">
        <v>5</v>
      </c>
      <c r="E16" s="40">
        <v>11046</v>
      </c>
      <c r="F16" s="40">
        <v>11561</v>
      </c>
      <c r="G16" s="40">
        <v>11146</v>
      </c>
      <c r="H16" s="40">
        <v>10912</v>
      </c>
      <c r="I16" s="40">
        <v>11532</v>
      </c>
      <c r="J16" s="40">
        <v>13019</v>
      </c>
      <c r="K16" s="40">
        <v>16031</v>
      </c>
      <c r="L16" s="40">
        <v>26758</v>
      </c>
      <c r="M16" s="40">
        <v>28294</v>
      </c>
      <c r="N16" s="40">
        <v>29382</v>
      </c>
      <c r="O16" s="40">
        <v>29823</v>
      </c>
      <c r="P16" s="40">
        <v>29932</v>
      </c>
      <c r="Q16" s="40">
        <v>30104</v>
      </c>
      <c r="R16" s="40">
        <v>29328</v>
      </c>
      <c r="S16" s="40">
        <v>29278</v>
      </c>
      <c r="T16" s="40">
        <v>29403</v>
      </c>
      <c r="U16" s="40">
        <v>29328</v>
      </c>
      <c r="V16" s="40">
        <v>27015</v>
      </c>
      <c r="W16" s="40">
        <v>28477</v>
      </c>
      <c r="X16" s="40">
        <v>30433</v>
      </c>
      <c r="Y16" s="40">
        <v>29150</v>
      </c>
      <c r="Z16" s="40">
        <v>26542</v>
      </c>
      <c r="AA16" s="40">
        <v>23132</v>
      </c>
      <c r="AB16" s="40">
        <v>19621</v>
      </c>
      <c r="AC16" s="65"/>
      <c r="AE16" s="7">
        <f>((+AC43)*1000)/1000</f>
        <v>18398248</v>
      </c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2:56" ht="18.649999999999999" customHeight="1" x14ac:dyDescent="0.25">
      <c r="B17" s="61" t="s">
        <v>34</v>
      </c>
      <c r="C17" s="4" t="s">
        <v>31</v>
      </c>
      <c r="D17" s="5">
        <v>5</v>
      </c>
      <c r="E17" s="40">
        <v>13362</v>
      </c>
      <c r="F17" s="40">
        <v>12493</v>
      </c>
      <c r="G17" s="40">
        <v>11350</v>
      </c>
      <c r="H17" s="40">
        <v>11604</v>
      </c>
      <c r="I17" s="40">
        <v>11637</v>
      </c>
      <c r="J17" s="40">
        <v>9447</v>
      </c>
      <c r="K17" s="40">
        <v>11774</v>
      </c>
      <c r="L17" s="40">
        <v>20986</v>
      </c>
      <c r="M17" s="40">
        <v>23129</v>
      </c>
      <c r="N17" s="40">
        <v>23877</v>
      </c>
      <c r="O17" s="40">
        <v>25367</v>
      </c>
      <c r="P17" s="40">
        <v>27134</v>
      </c>
      <c r="Q17" s="40">
        <v>26968</v>
      </c>
      <c r="R17" s="40">
        <v>27341</v>
      </c>
      <c r="S17" s="40">
        <v>26835</v>
      </c>
      <c r="T17" s="40">
        <v>26576</v>
      </c>
      <c r="U17" s="40">
        <v>26393</v>
      </c>
      <c r="V17" s="40">
        <v>24792</v>
      </c>
      <c r="W17" s="40">
        <v>27124</v>
      </c>
      <c r="X17" s="40">
        <v>28663</v>
      </c>
      <c r="Y17" s="40">
        <v>28840</v>
      </c>
      <c r="Z17" s="40">
        <v>25660</v>
      </c>
      <c r="AA17" s="40">
        <v>21911</v>
      </c>
      <c r="AB17" s="40">
        <v>17839</v>
      </c>
      <c r="AC17" s="65"/>
      <c r="AE17" s="7">
        <f>((+AC47)*1000)/1000</f>
        <v>18072840</v>
      </c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 spans="2:56" ht="18.649999999999999" customHeight="1" x14ac:dyDescent="0.25">
      <c r="B18" s="61" t="s">
        <v>34</v>
      </c>
      <c r="C18" s="4" t="s">
        <v>32</v>
      </c>
      <c r="D18" s="5">
        <v>1</v>
      </c>
      <c r="E18" s="40">
        <v>14200</v>
      </c>
      <c r="F18" s="40">
        <v>13681</v>
      </c>
      <c r="G18" s="40">
        <v>12722</v>
      </c>
      <c r="H18" s="40">
        <v>12625</v>
      </c>
      <c r="I18" s="40">
        <v>12858</v>
      </c>
      <c r="J18" s="40">
        <v>12397</v>
      </c>
      <c r="K18" s="40">
        <v>13429</v>
      </c>
      <c r="L18" s="40">
        <v>22324</v>
      </c>
      <c r="M18" s="40">
        <v>23883</v>
      </c>
      <c r="N18" s="40">
        <v>25365</v>
      </c>
      <c r="O18" s="40">
        <v>27725</v>
      </c>
      <c r="P18" s="40">
        <v>28919</v>
      </c>
      <c r="Q18" s="40">
        <v>29741</v>
      </c>
      <c r="R18" s="40">
        <v>29017</v>
      </c>
      <c r="S18" s="40">
        <v>29435</v>
      </c>
      <c r="T18" s="40">
        <v>29209</v>
      </c>
      <c r="U18" s="40">
        <v>29067</v>
      </c>
      <c r="V18" s="40">
        <v>27418</v>
      </c>
      <c r="W18" s="40">
        <v>31074</v>
      </c>
      <c r="X18" s="40">
        <v>32288</v>
      </c>
      <c r="Y18" s="40">
        <v>30950</v>
      </c>
      <c r="Z18" s="40">
        <v>27854</v>
      </c>
      <c r="AA18" s="40">
        <v>22224</v>
      </c>
      <c r="AB18" s="40">
        <v>18264</v>
      </c>
      <c r="AC18" s="66"/>
      <c r="AE18" s="7">
        <f>((+AC51)*1000)/1000</f>
        <v>18469208</v>
      </c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2:56" ht="18.649999999999999" customHeight="1" x14ac:dyDescent="0.25">
      <c r="B19" s="61" t="s">
        <v>35</v>
      </c>
      <c r="C19" s="4" t="s">
        <v>29</v>
      </c>
      <c r="D19" s="5">
        <v>20</v>
      </c>
      <c r="E19" s="40">
        <v>12515</v>
      </c>
      <c r="F19" s="40">
        <v>11867</v>
      </c>
      <c r="G19" s="40">
        <v>11831</v>
      </c>
      <c r="H19" s="40">
        <v>11506</v>
      </c>
      <c r="I19" s="40">
        <v>12726</v>
      </c>
      <c r="J19" s="40">
        <v>16456</v>
      </c>
      <c r="K19" s="40">
        <v>19789</v>
      </c>
      <c r="L19" s="40">
        <v>28362</v>
      </c>
      <c r="M19" s="40">
        <v>28464</v>
      </c>
      <c r="N19" s="40">
        <v>28519</v>
      </c>
      <c r="O19" s="40">
        <v>30194</v>
      </c>
      <c r="P19" s="40">
        <v>31791</v>
      </c>
      <c r="Q19" s="40">
        <v>31346</v>
      </c>
      <c r="R19" s="40">
        <v>31121</v>
      </c>
      <c r="S19" s="40">
        <v>32176</v>
      </c>
      <c r="T19" s="40">
        <v>31977</v>
      </c>
      <c r="U19" s="40">
        <v>31955</v>
      </c>
      <c r="V19" s="40">
        <v>28438</v>
      </c>
      <c r="W19" s="40">
        <v>30920</v>
      </c>
      <c r="X19" s="40">
        <v>31693</v>
      </c>
      <c r="Y19" s="40">
        <v>30576</v>
      </c>
      <c r="Z19" s="40">
        <v>27569</v>
      </c>
      <c r="AA19" s="40">
        <v>23200</v>
      </c>
      <c r="AB19" s="40">
        <v>19148</v>
      </c>
      <c r="AC19" s="64">
        <f>+SUM(E19:AB19)*D19+SUM(E20:AB20)*D20+SUM(E21:AB21)*D21+SUM(E22:AB22)*D22</f>
        <v>17481176</v>
      </c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 spans="2:56" ht="18.649999999999999" customHeight="1" x14ac:dyDescent="0.25">
      <c r="B20" s="61" t="s">
        <v>35</v>
      </c>
      <c r="C20" s="4" t="s">
        <v>30</v>
      </c>
      <c r="D20" s="5">
        <v>4</v>
      </c>
      <c r="E20" s="40">
        <v>13752</v>
      </c>
      <c r="F20" s="40">
        <v>12785</v>
      </c>
      <c r="G20" s="40">
        <v>12385</v>
      </c>
      <c r="H20" s="40">
        <v>12189</v>
      </c>
      <c r="I20" s="40">
        <v>12683</v>
      </c>
      <c r="J20" s="40">
        <v>13426</v>
      </c>
      <c r="K20" s="40">
        <v>14827</v>
      </c>
      <c r="L20" s="40">
        <v>26361</v>
      </c>
      <c r="M20" s="40">
        <v>27140</v>
      </c>
      <c r="N20" s="40">
        <v>28069</v>
      </c>
      <c r="O20" s="40">
        <v>29761</v>
      </c>
      <c r="P20" s="40">
        <v>30155</v>
      </c>
      <c r="Q20" s="40">
        <v>31201</v>
      </c>
      <c r="R20" s="40">
        <v>30413</v>
      </c>
      <c r="S20" s="40">
        <v>30893</v>
      </c>
      <c r="T20" s="40">
        <v>31053</v>
      </c>
      <c r="U20" s="40">
        <v>31510</v>
      </c>
      <c r="V20" s="40">
        <v>28132</v>
      </c>
      <c r="W20" s="40">
        <v>31919</v>
      </c>
      <c r="X20" s="40">
        <v>30091</v>
      </c>
      <c r="Y20" s="40">
        <v>28638</v>
      </c>
      <c r="Z20" s="40">
        <v>26829</v>
      </c>
      <c r="AA20" s="40">
        <v>23928</v>
      </c>
      <c r="AB20" s="40">
        <v>22215</v>
      </c>
      <c r="AC20" s="65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2:56" ht="18.649999999999999" customHeight="1" x14ac:dyDescent="0.25">
      <c r="B21" s="61" t="s">
        <v>35</v>
      </c>
      <c r="C21" s="4" t="s">
        <v>31</v>
      </c>
      <c r="D21" s="5">
        <v>4</v>
      </c>
      <c r="E21" s="40">
        <v>14783</v>
      </c>
      <c r="F21" s="40">
        <v>13363</v>
      </c>
      <c r="G21" s="40">
        <v>12379</v>
      </c>
      <c r="H21" s="40">
        <v>12210</v>
      </c>
      <c r="I21" s="40">
        <v>11571</v>
      </c>
      <c r="J21" s="40">
        <v>11641</v>
      </c>
      <c r="K21" s="40">
        <v>12879</v>
      </c>
      <c r="L21" s="40">
        <v>21818</v>
      </c>
      <c r="M21" s="40">
        <v>24577</v>
      </c>
      <c r="N21" s="40">
        <v>25500</v>
      </c>
      <c r="O21" s="40">
        <v>26819</v>
      </c>
      <c r="P21" s="40">
        <v>27247</v>
      </c>
      <c r="Q21" s="40">
        <v>28274</v>
      </c>
      <c r="R21" s="40">
        <v>28013</v>
      </c>
      <c r="S21" s="40">
        <v>27963</v>
      </c>
      <c r="T21" s="40">
        <v>27509</v>
      </c>
      <c r="U21" s="40">
        <v>28726</v>
      </c>
      <c r="V21" s="40">
        <v>26255</v>
      </c>
      <c r="W21" s="40">
        <v>29058</v>
      </c>
      <c r="X21" s="40">
        <v>29723</v>
      </c>
      <c r="Y21" s="40">
        <v>29132</v>
      </c>
      <c r="Z21" s="40">
        <v>26993</v>
      </c>
      <c r="AA21" s="40">
        <v>23880</v>
      </c>
      <c r="AB21" s="40">
        <v>18469</v>
      </c>
      <c r="AC21" s="65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</row>
    <row r="22" spans="2:56" ht="18.649999999999999" customHeight="1" x14ac:dyDescent="0.25">
      <c r="B22" s="61" t="s">
        <v>35</v>
      </c>
      <c r="C22" s="4" t="s">
        <v>32</v>
      </c>
      <c r="D22" s="5">
        <v>2</v>
      </c>
      <c r="E22" s="40">
        <v>15883</v>
      </c>
      <c r="F22" s="40">
        <v>14342</v>
      </c>
      <c r="G22" s="40">
        <v>13928</v>
      </c>
      <c r="H22" s="40">
        <v>13402</v>
      </c>
      <c r="I22" s="40">
        <v>13554</v>
      </c>
      <c r="J22" s="40">
        <v>13658</v>
      </c>
      <c r="K22" s="40">
        <v>14759</v>
      </c>
      <c r="L22" s="40">
        <v>24881</v>
      </c>
      <c r="M22" s="40">
        <v>26255</v>
      </c>
      <c r="N22" s="40">
        <v>26310</v>
      </c>
      <c r="O22" s="40">
        <v>25842</v>
      </c>
      <c r="P22" s="40">
        <v>28135</v>
      </c>
      <c r="Q22" s="40">
        <v>28846</v>
      </c>
      <c r="R22" s="40">
        <v>28052</v>
      </c>
      <c r="S22" s="40">
        <v>28330</v>
      </c>
      <c r="T22" s="40">
        <v>28141</v>
      </c>
      <c r="U22" s="40">
        <v>28494</v>
      </c>
      <c r="V22" s="40">
        <v>26586</v>
      </c>
      <c r="W22" s="40">
        <v>29015</v>
      </c>
      <c r="X22" s="40">
        <v>29337</v>
      </c>
      <c r="Y22" s="40">
        <v>28153</v>
      </c>
      <c r="Z22" s="40">
        <v>27400</v>
      </c>
      <c r="AA22" s="40">
        <v>25619</v>
      </c>
      <c r="AB22" s="40">
        <v>22002</v>
      </c>
      <c r="AC22" s="66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</row>
    <row r="23" spans="2:56" ht="18.649999999999999" customHeight="1" x14ac:dyDescent="0.25">
      <c r="B23" s="61" t="s">
        <v>36</v>
      </c>
      <c r="C23" s="4" t="s">
        <v>29</v>
      </c>
      <c r="D23" s="5">
        <v>22</v>
      </c>
      <c r="E23" s="40">
        <v>12345</v>
      </c>
      <c r="F23" s="40">
        <v>11641</v>
      </c>
      <c r="G23" s="40">
        <v>11155</v>
      </c>
      <c r="H23" s="40">
        <v>11295</v>
      </c>
      <c r="I23" s="40">
        <v>12608</v>
      </c>
      <c r="J23" s="40">
        <v>16627</v>
      </c>
      <c r="K23" s="40">
        <v>19640</v>
      </c>
      <c r="L23" s="40">
        <v>27699</v>
      </c>
      <c r="M23" s="40">
        <v>27537</v>
      </c>
      <c r="N23" s="40">
        <v>27058</v>
      </c>
      <c r="O23" s="40">
        <v>28039</v>
      </c>
      <c r="P23" s="40">
        <v>30225</v>
      </c>
      <c r="Q23" s="40">
        <v>29710</v>
      </c>
      <c r="R23" s="40">
        <v>29912</v>
      </c>
      <c r="S23" s="40">
        <v>30996</v>
      </c>
      <c r="T23" s="40">
        <v>30954</v>
      </c>
      <c r="U23" s="40">
        <v>30833</v>
      </c>
      <c r="V23" s="40">
        <v>27884</v>
      </c>
      <c r="W23" s="40">
        <v>30091</v>
      </c>
      <c r="X23" s="40">
        <v>30962</v>
      </c>
      <c r="Y23" s="40">
        <v>29545</v>
      </c>
      <c r="Z23" s="40">
        <v>26637</v>
      </c>
      <c r="AA23" s="40">
        <v>22611</v>
      </c>
      <c r="AB23" s="40">
        <v>18699</v>
      </c>
      <c r="AC23" s="64">
        <f>+SUM(E23:AB23)*D23+SUM(E24:AB24)*D24+SUM(E25:AB25)*D25+SUM(E26:AB26)*D26</f>
        <v>17473832</v>
      </c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</row>
    <row r="24" spans="2:56" ht="18.649999999999999" customHeight="1" x14ac:dyDescent="0.25">
      <c r="B24" s="61" t="s">
        <v>36</v>
      </c>
      <c r="C24" s="4" t="s">
        <v>30</v>
      </c>
      <c r="D24" s="5">
        <v>4</v>
      </c>
      <c r="E24" s="40">
        <v>13636</v>
      </c>
      <c r="F24" s="40">
        <v>12048</v>
      </c>
      <c r="G24" s="40">
        <v>11788</v>
      </c>
      <c r="H24" s="40">
        <v>11629</v>
      </c>
      <c r="I24" s="40">
        <v>12050</v>
      </c>
      <c r="J24" s="40">
        <v>12658</v>
      </c>
      <c r="K24" s="40">
        <v>15169</v>
      </c>
      <c r="L24" s="40">
        <v>25781</v>
      </c>
      <c r="M24" s="40">
        <v>27662</v>
      </c>
      <c r="N24" s="40">
        <v>28636</v>
      </c>
      <c r="O24" s="40">
        <v>29087</v>
      </c>
      <c r="P24" s="40">
        <v>29415</v>
      </c>
      <c r="Q24" s="40">
        <v>29759</v>
      </c>
      <c r="R24" s="40">
        <v>28791</v>
      </c>
      <c r="S24" s="40">
        <v>28567</v>
      </c>
      <c r="T24" s="40">
        <v>28547</v>
      </c>
      <c r="U24" s="40">
        <v>28698</v>
      </c>
      <c r="V24" s="40">
        <v>26332</v>
      </c>
      <c r="W24" s="40">
        <v>28655</v>
      </c>
      <c r="X24" s="40">
        <v>30071</v>
      </c>
      <c r="Y24" s="40">
        <v>28624</v>
      </c>
      <c r="Z24" s="40">
        <v>26551</v>
      </c>
      <c r="AA24" s="40">
        <v>23233</v>
      </c>
      <c r="AB24" s="40">
        <v>19846</v>
      </c>
      <c r="AC24" s="65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</row>
    <row r="25" spans="2:56" ht="18.649999999999999" customHeight="1" x14ac:dyDescent="0.25">
      <c r="B25" s="61" t="s">
        <v>36</v>
      </c>
      <c r="C25" s="4" t="s">
        <v>31</v>
      </c>
      <c r="D25" s="5">
        <v>4</v>
      </c>
      <c r="E25" s="40">
        <v>13802</v>
      </c>
      <c r="F25" s="40">
        <v>12830</v>
      </c>
      <c r="G25" s="40">
        <v>11469</v>
      </c>
      <c r="H25" s="40">
        <v>11234</v>
      </c>
      <c r="I25" s="40">
        <v>10721</v>
      </c>
      <c r="J25" s="40">
        <v>10950</v>
      </c>
      <c r="K25" s="40">
        <v>12153</v>
      </c>
      <c r="L25" s="40">
        <v>21744</v>
      </c>
      <c r="M25" s="40">
        <v>23956</v>
      </c>
      <c r="N25" s="40">
        <v>25133</v>
      </c>
      <c r="O25" s="40">
        <v>26053</v>
      </c>
      <c r="P25" s="40">
        <v>26423</v>
      </c>
      <c r="Q25" s="40">
        <v>26955</v>
      </c>
      <c r="R25" s="40">
        <v>26267</v>
      </c>
      <c r="S25" s="40">
        <v>25896</v>
      </c>
      <c r="T25" s="40">
        <v>26267</v>
      </c>
      <c r="U25" s="40">
        <v>27826</v>
      </c>
      <c r="V25" s="40">
        <v>22689</v>
      </c>
      <c r="W25" s="40">
        <v>27511</v>
      </c>
      <c r="X25" s="40">
        <v>28462</v>
      </c>
      <c r="Y25" s="40">
        <v>27496</v>
      </c>
      <c r="Z25" s="40">
        <v>24865</v>
      </c>
      <c r="AA25" s="40">
        <v>20746</v>
      </c>
      <c r="AB25" s="40">
        <v>16749</v>
      </c>
      <c r="AC25" s="65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</row>
    <row r="26" spans="2:56" ht="18.649999999999999" customHeight="1" x14ac:dyDescent="0.25">
      <c r="B26" s="61" t="s">
        <v>36</v>
      </c>
      <c r="C26" s="4" t="s">
        <v>32</v>
      </c>
      <c r="D26" s="5">
        <v>1</v>
      </c>
      <c r="E26" s="40">
        <v>11666</v>
      </c>
      <c r="F26" s="40">
        <v>12866</v>
      </c>
      <c r="G26" s="40">
        <v>12759</v>
      </c>
      <c r="H26" s="40">
        <v>11874</v>
      </c>
      <c r="I26" s="40">
        <v>13045</v>
      </c>
      <c r="J26" s="40">
        <v>13621</v>
      </c>
      <c r="K26" s="40">
        <v>15214</v>
      </c>
      <c r="L26" s="40">
        <v>25268</v>
      </c>
      <c r="M26" s="40">
        <v>26214</v>
      </c>
      <c r="N26" s="40">
        <v>28387</v>
      </c>
      <c r="O26" s="40">
        <v>29939</v>
      </c>
      <c r="P26" s="40">
        <v>31446</v>
      </c>
      <c r="Q26" s="40">
        <v>32487</v>
      </c>
      <c r="R26" s="40">
        <v>32201</v>
      </c>
      <c r="S26" s="40">
        <v>30527</v>
      </c>
      <c r="T26" s="40">
        <v>30242</v>
      </c>
      <c r="U26" s="40">
        <v>29252</v>
      </c>
      <c r="V26" s="40">
        <v>26748</v>
      </c>
      <c r="W26" s="40">
        <v>29881</v>
      </c>
      <c r="X26" s="40">
        <v>29447</v>
      </c>
      <c r="Y26" s="40">
        <v>28085</v>
      </c>
      <c r="Z26" s="40">
        <v>26146</v>
      </c>
      <c r="AA26" s="40">
        <v>22449</v>
      </c>
      <c r="AB26" s="40">
        <v>18882</v>
      </c>
      <c r="AC26" s="66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2:56" ht="18.649999999999999" customHeight="1" x14ac:dyDescent="0.25">
      <c r="B27" s="61" t="s">
        <v>37</v>
      </c>
      <c r="C27" s="4" t="s">
        <v>29</v>
      </c>
      <c r="D27" s="5">
        <v>18</v>
      </c>
      <c r="E27" s="40">
        <v>12925</v>
      </c>
      <c r="F27" s="40">
        <v>12077</v>
      </c>
      <c r="G27" s="40">
        <v>11764</v>
      </c>
      <c r="H27" s="40">
        <v>11607</v>
      </c>
      <c r="I27" s="40">
        <v>12946</v>
      </c>
      <c r="J27" s="40">
        <v>16351</v>
      </c>
      <c r="K27" s="40">
        <v>19370</v>
      </c>
      <c r="L27" s="40">
        <v>28545</v>
      </c>
      <c r="M27" s="40">
        <v>28378</v>
      </c>
      <c r="N27" s="40">
        <v>29011</v>
      </c>
      <c r="O27" s="40">
        <v>30182</v>
      </c>
      <c r="P27" s="40">
        <v>31248</v>
      </c>
      <c r="Q27" s="40">
        <v>31061</v>
      </c>
      <c r="R27" s="40">
        <v>30942</v>
      </c>
      <c r="S27" s="40">
        <v>31814</v>
      </c>
      <c r="T27" s="40">
        <v>31798</v>
      </c>
      <c r="U27" s="40">
        <v>32122</v>
      </c>
      <c r="V27" s="40">
        <v>28849</v>
      </c>
      <c r="W27" s="40">
        <v>31511</v>
      </c>
      <c r="X27" s="40">
        <v>32085</v>
      </c>
      <c r="Y27" s="40">
        <v>30222</v>
      </c>
      <c r="Z27" s="40">
        <v>27029</v>
      </c>
      <c r="AA27" s="40">
        <v>22923</v>
      </c>
      <c r="AB27" s="40">
        <v>19301</v>
      </c>
      <c r="AC27" s="64">
        <f>+SUM(E27:AB27)*D27+SUM(E28:AB28)*D28+SUM(E29:AB29)*D29+SUM(E30:AB30)*D30</f>
        <v>17225127</v>
      </c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</row>
    <row r="28" spans="2:56" ht="18.649999999999999" customHeight="1" x14ac:dyDescent="0.25">
      <c r="B28" s="61" t="s">
        <v>37</v>
      </c>
      <c r="C28" s="4" t="s">
        <v>30</v>
      </c>
      <c r="D28" s="5">
        <v>5</v>
      </c>
      <c r="E28" s="40">
        <v>13352</v>
      </c>
      <c r="F28" s="40">
        <v>12329</v>
      </c>
      <c r="G28" s="40">
        <v>11737</v>
      </c>
      <c r="H28" s="40">
        <v>11426</v>
      </c>
      <c r="I28" s="40">
        <v>11944</v>
      </c>
      <c r="J28" s="40">
        <v>12998</v>
      </c>
      <c r="K28" s="40">
        <v>15115</v>
      </c>
      <c r="L28" s="40">
        <v>26549</v>
      </c>
      <c r="M28" s="40">
        <v>27912</v>
      </c>
      <c r="N28" s="40">
        <v>28736</v>
      </c>
      <c r="O28" s="40">
        <v>29781</v>
      </c>
      <c r="P28" s="40">
        <v>30212</v>
      </c>
      <c r="Q28" s="40">
        <v>30324</v>
      </c>
      <c r="R28" s="40">
        <v>29612</v>
      </c>
      <c r="S28" s="40">
        <v>28823</v>
      </c>
      <c r="T28" s="40">
        <v>28752</v>
      </c>
      <c r="U28" s="40">
        <v>28897</v>
      </c>
      <c r="V28" s="40">
        <v>26690</v>
      </c>
      <c r="W28" s="40">
        <v>28996</v>
      </c>
      <c r="X28" s="40">
        <v>30455</v>
      </c>
      <c r="Y28" s="40">
        <v>29021</v>
      </c>
      <c r="Z28" s="40">
        <v>26670</v>
      </c>
      <c r="AA28" s="40">
        <v>23933</v>
      </c>
      <c r="AB28" s="40">
        <v>20617</v>
      </c>
      <c r="AC28" s="65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2:56" ht="18.649999999999999" customHeight="1" x14ac:dyDescent="0.25">
      <c r="B29" s="61" t="s">
        <v>37</v>
      </c>
      <c r="C29" s="4" t="s">
        <v>31</v>
      </c>
      <c r="D29" s="5">
        <v>5</v>
      </c>
      <c r="E29" s="40">
        <v>15101</v>
      </c>
      <c r="F29" s="40">
        <v>13505</v>
      </c>
      <c r="G29" s="40">
        <v>12730</v>
      </c>
      <c r="H29" s="40">
        <v>12357</v>
      </c>
      <c r="I29" s="40">
        <v>12043</v>
      </c>
      <c r="J29" s="40">
        <v>11901</v>
      </c>
      <c r="K29" s="40">
        <v>12692</v>
      </c>
      <c r="L29" s="40">
        <v>22410</v>
      </c>
      <c r="M29" s="40">
        <v>24278</v>
      </c>
      <c r="N29" s="40">
        <v>25902</v>
      </c>
      <c r="O29" s="40">
        <v>26657</v>
      </c>
      <c r="P29" s="40">
        <v>27179</v>
      </c>
      <c r="Q29" s="40">
        <v>27308</v>
      </c>
      <c r="R29" s="40">
        <v>27206</v>
      </c>
      <c r="S29" s="40">
        <v>26448</v>
      </c>
      <c r="T29" s="40">
        <v>26627</v>
      </c>
      <c r="U29" s="40">
        <v>27251</v>
      </c>
      <c r="V29" s="40">
        <v>25281</v>
      </c>
      <c r="W29" s="40">
        <v>27500</v>
      </c>
      <c r="X29" s="40">
        <v>29135</v>
      </c>
      <c r="Y29" s="40">
        <v>28114</v>
      </c>
      <c r="Z29" s="40">
        <v>26024</v>
      </c>
      <c r="AA29" s="40">
        <v>22953</v>
      </c>
      <c r="AB29" s="40">
        <v>19436</v>
      </c>
      <c r="AC29" s="65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</row>
    <row r="30" spans="2:56" ht="18.649999999999999" customHeight="1" x14ac:dyDescent="0.25">
      <c r="B30" s="61" t="s">
        <v>37</v>
      </c>
      <c r="C30" s="4" t="s">
        <v>32</v>
      </c>
      <c r="D30" s="5">
        <v>2</v>
      </c>
      <c r="E30" s="40">
        <v>13305</v>
      </c>
      <c r="F30" s="40">
        <v>12363</v>
      </c>
      <c r="G30" s="40">
        <v>11726</v>
      </c>
      <c r="H30" s="40">
        <v>11467</v>
      </c>
      <c r="I30" s="40">
        <v>11525</v>
      </c>
      <c r="J30" s="40">
        <v>11692</v>
      </c>
      <c r="K30" s="40">
        <v>12048</v>
      </c>
      <c r="L30" s="40">
        <v>21790</v>
      </c>
      <c r="M30" s="40">
        <v>22493</v>
      </c>
      <c r="N30" s="40">
        <v>23582</v>
      </c>
      <c r="O30" s="40">
        <v>26306</v>
      </c>
      <c r="P30" s="40">
        <v>27485</v>
      </c>
      <c r="Q30" s="40">
        <v>29036</v>
      </c>
      <c r="R30" s="40">
        <v>28984</v>
      </c>
      <c r="S30" s="40">
        <v>28549</v>
      </c>
      <c r="T30" s="40">
        <v>28453</v>
      </c>
      <c r="U30" s="40">
        <v>28319</v>
      </c>
      <c r="V30" s="40">
        <v>25516</v>
      </c>
      <c r="W30" s="40">
        <v>28080</v>
      </c>
      <c r="X30" s="40">
        <v>29388</v>
      </c>
      <c r="Y30" s="40">
        <v>28458</v>
      </c>
      <c r="Z30" s="40">
        <v>26365</v>
      </c>
      <c r="AA30" s="40">
        <v>22682</v>
      </c>
      <c r="AB30" s="40">
        <v>19105</v>
      </c>
      <c r="AC30" s="66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spans="2:56" ht="18.649999999999999" customHeight="1" x14ac:dyDescent="0.25">
      <c r="B31" s="61" t="s">
        <v>38</v>
      </c>
      <c r="C31" s="4" t="s">
        <v>29</v>
      </c>
      <c r="D31" s="5">
        <v>22</v>
      </c>
      <c r="E31" s="40">
        <v>13224</v>
      </c>
      <c r="F31" s="40">
        <v>12412</v>
      </c>
      <c r="G31" s="40">
        <v>11948</v>
      </c>
      <c r="H31" s="40">
        <v>11989</v>
      </c>
      <c r="I31" s="40">
        <v>13253</v>
      </c>
      <c r="J31" s="40">
        <v>17040</v>
      </c>
      <c r="K31" s="40">
        <v>20178</v>
      </c>
      <c r="L31" s="40">
        <v>27945</v>
      </c>
      <c r="M31" s="40">
        <v>27900</v>
      </c>
      <c r="N31" s="40">
        <v>28399</v>
      </c>
      <c r="O31" s="40">
        <v>28953</v>
      </c>
      <c r="P31" s="40">
        <v>30950</v>
      </c>
      <c r="Q31" s="40">
        <v>30335</v>
      </c>
      <c r="R31" s="40">
        <v>30369</v>
      </c>
      <c r="S31" s="40">
        <v>31099</v>
      </c>
      <c r="T31" s="40">
        <v>31200</v>
      </c>
      <c r="U31" s="40">
        <v>31086</v>
      </c>
      <c r="V31" s="40">
        <v>28743</v>
      </c>
      <c r="W31" s="40">
        <v>30511</v>
      </c>
      <c r="X31" s="40">
        <v>32491</v>
      </c>
      <c r="Y31" s="40">
        <v>30990</v>
      </c>
      <c r="Z31" s="40">
        <v>27818</v>
      </c>
      <c r="AA31" s="40">
        <v>23275</v>
      </c>
      <c r="AB31" s="40">
        <v>20007</v>
      </c>
      <c r="AC31" s="64">
        <f>+SUM(E31:AB31)*D31+SUM(E32:AB32)*D32+SUM(E33:AB33)*D33+SUM(E34:AB34)*D34</f>
        <v>17733863</v>
      </c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</row>
    <row r="32" spans="2:56" ht="18.649999999999999" customHeight="1" x14ac:dyDescent="0.25">
      <c r="B32" s="61" t="s">
        <v>38</v>
      </c>
      <c r="C32" s="4" t="s">
        <v>30</v>
      </c>
      <c r="D32" s="5">
        <v>3</v>
      </c>
      <c r="E32" s="40">
        <v>14791</v>
      </c>
      <c r="F32" s="40">
        <v>13669</v>
      </c>
      <c r="G32" s="40">
        <v>12920</v>
      </c>
      <c r="H32" s="40">
        <v>12645</v>
      </c>
      <c r="I32" s="40">
        <v>12957</v>
      </c>
      <c r="J32" s="40">
        <v>13604</v>
      </c>
      <c r="K32" s="40">
        <v>15562</v>
      </c>
      <c r="L32" s="40">
        <v>26296</v>
      </c>
      <c r="M32" s="40">
        <v>27672</v>
      </c>
      <c r="N32" s="40">
        <v>28462</v>
      </c>
      <c r="O32" s="40">
        <v>28906</v>
      </c>
      <c r="P32" s="40">
        <v>30052</v>
      </c>
      <c r="Q32" s="40">
        <v>30566</v>
      </c>
      <c r="R32" s="40">
        <v>30002</v>
      </c>
      <c r="S32" s="40">
        <v>29488</v>
      </c>
      <c r="T32" s="40">
        <v>28894</v>
      </c>
      <c r="U32" s="40">
        <v>28518</v>
      </c>
      <c r="V32" s="40">
        <v>27030</v>
      </c>
      <c r="W32" s="40">
        <v>28237</v>
      </c>
      <c r="X32" s="40">
        <v>30153</v>
      </c>
      <c r="Y32" s="40">
        <v>28500</v>
      </c>
      <c r="Z32" s="40">
        <v>25952</v>
      </c>
      <c r="AA32" s="40">
        <v>22938</v>
      </c>
      <c r="AB32" s="40">
        <v>20045</v>
      </c>
      <c r="AC32" s="65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spans="2:56" ht="18.649999999999999" customHeight="1" x14ac:dyDescent="0.25">
      <c r="B33" s="61" t="s">
        <v>38</v>
      </c>
      <c r="C33" s="4" t="s">
        <v>31</v>
      </c>
      <c r="D33" s="5">
        <v>4</v>
      </c>
      <c r="E33" s="40">
        <v>13317</v>
      </c>
      <c r="F33" s="40">
        <v>12151</v>
      </c>
      <c r="G33" s="40">
        <v>11611</v>
      </c>
      <c r="H33" s="40">
        <v>11270</v>
      </c>
      <c r="I33" s="40">
        <v>11052</v>
      </c>
      <c r="J33" s="40">
        <v>10753</v>
      </c>
      <c r="K33" s="40">
        <v>11936</v>
      </c>
      <c r="L33" s="40">
        <v>20643</v>
      </c>
      <c r="M33" s="40">
        <v>22679</v>
      </c>
      <c r="N33" s="40">
        <v>23449</v>
      </c>
      <c r="O33" s="40">
        <v>24085</v>
      </c>
      <c r="P33" s="40">
        <v>25677</v>
      </c>
      <c r="Q33" s="40">
        <v>26008</v>
      </c>
      <c r="R33" s="40">
        <v>26204</v>
      </c>
      <c r="S33" s="40">
        <v>25961</v>
      </c>
      <c r="T33" s="40">
        <v>25738</v>
      </c>
      <c r="U33" s="40">
        <v>25814</v>
      </c>
      <c r="V33" s="40">
        <v>24358</v>
      </c>
      <c r="W33" s="40">
        <v>26752</v>
      </c>
      <c r="X33" s="40">
        <v>29460</v>
      </c>
      <c r="Y33" s="40">
        <v>28725</v>
      </c>
      <c r="Z33" s="40">
        <v>25662</v>
      </c>
      <c r="AA33" s="40">
        <v>21122</v>
      </c>
      <c r="AB33" s="40">
        <v>17724</v>
      </c>
      <c r="AC33" s="65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spans="2:56" ht="18.649999999999999" customHeight="1" x14ac:dyDescent="0.25">
      <c r="B34" s="61" t="s">
        <v>38</v>
      </c>
      <c r="C34" s="4" t="s">
        <v>32</v>
      </c>
      <c r="D34" s="5">
        <v>2</v>
      </c>
      <c r="E34" s="40">
        <v>16281</v>
      </c>
      <c r="F34" s="40">
        <v>14908</v>
      </c>
      <c r="G34" s="40">
        <v>13620</v>
      </c>
      <c r="H34" s="40">
        <v>12312</v>
      </c>
      <c r="I34" s="40">
        <v>12205</v>
      </c>
      <c r="J34" s="40">
        <v>10901</v>
      </c>
      <c r="K34" s="40">
        <v>11869</v>
      </c>
      <c r="L34" s="40">
        <v>20538</v>
      </c>
      <c r="M34" s="40">
        <v>23210</v>
      </c>
      <c r="N34" s="40">
        <v>23255</v>
      </c>
      <c r="O34" s="40">
        <v>22192</v>
      </c>
      <c r="P34" s="40">
        <v>24123</v>
      </c>
      <c r="Q34" s="40">
        <v>25048</v>
      </c>
      <c r="R34" s="40">
        <v>25643</v>
      </c>
      <c r="S34" s="40">
        <v>23722</v>
      </c>
      <c r="T34" s="40">
        <v>23735</v>
      </c>
      <c r="U34" s="40">
        <v>24375</v>
      </c>
      <c r="V34" s="40">
        <v>22926</v>
      </c>
      <c r="W34" s="40">
        <v>24505</v>
      </c>
      <c r="X34" s="40">
        <v>27793</v>
      </c>
      <c r="Y34" s="40">
        <v>28057</v>
      </c>
      <c r="Z34" s="40">
        <v>25526</v>
      </c>
      <c r="AA34" s="40">
        <v>21814</v>
      </c>
      <c r="AB34" s="40">
        <v>19018</v>
      </c>
      <c r="AC34" s="66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2:56" ht="18.649999999999999" customHeight="1" x14ac:dyDescent="0.25">
      <c r="B35" s="61" t="s">
        <v>39</v>
      </c>
      <c r="C35" s="4" t="s">
        <v>29</v>
      </c>
      <c r="D35" s="5">
        <v>20</v>
      </c>
      <c r="E35" s="40">
        <v>15087</v>
      </c>
      <c r="F35" s="40">
        <v>14261</v>
      </c>
      <c r="G35" s="40">
        <v>13677</v>
      </c>
      <c r="H35" s="40">
        <v>13463</v>
      </c>
      <c r="I35" s="40">
        <v>14067</v>
      </c>
      <c r="J35" s="40">
        <v>16365</v>
      </c>
      <c r="K35" s="40">
        <v>15506</v>
      </c>
      <c r="L35" s="40">
        <v>24490</v>
      </c>
      <c r="M35" s="40">
        <v>25585</v>
      </c>
      <c r="N35" s="40">
        <v>26474</v>
      </c>
      <c r="O35" s="40">
        <v>27946</v>
      </c>
      <c r="P35" s="40">
        <v>29284</v>
      </c>
      <c r="Q35" s="40">
        <v>28968</v>
      </c>
      <c r="R35" s="40">
        <v>29201</v>
      </c>
      <c r="S35" s="40">
        <v>29158</v>
      </c>
      <c r="T35" s="40">
        <v>28982</v>
      </c>
      <c r="U35" s="40">
        <v>28962</v>
      </c>
      <c r="V35" s="40">
        <v>25231</v>
      </c>
      <c r="W35" s="40">
        <v>29797</v>
      </c>
      <c r="X35" s="40">
        <v>31487</v>
      </c>
      <c r="Y35" s="40">
        <v>30363</v>
      </c>
      <c r="Z35" s="40">
        <v>27791</v>
      </c>
      <c r="AA35" s="40">
        <v>23248</v>
      </c>
      <c r="AB35" s="40">
        <v>19934</v>
      </c>
      <c r="AC35" s="64">
        <f>+SUM(E35:AB35)*D35+SUM(E36:AB36)*D36+SUM(E37:AB37)*D37+SUM(E38:AB38)*D38</f>
        <v>18358026</v>
      </c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</row>
    <row r="36" spans="2:56" ht="18.649999999999999" customHeight="1" x14ac:dyDescent="0.25">
      <c r="B36" s="61" t="s">
        <v>39</v>
      </c>
      <c r="C36" s="4" t="s">
        <v>30</v>
      </c>
      <c r="D36" s="5">
        <v>5</v>
      </c>
      <c r="E36" s="40">
        <v>14870</v>
      </c>
      <c r="F36" s="40">
        <v>14114</v>
      </c>
      <c r="G36" s="40">
        <v>13823</v>
      </c>
      <c r="H36" s="40">
        <v>14006</v>
      </c>
      <c r="I36" s="40">
        <v>16073</v>
      </c>
      <c r="J36" s="40">
        <v>22850</v>
      </c>
      <c r="K36" s="40">
        <v>24129</v>
      </c>
      <c r="L36" s="40">
        <v>30274</v>
      </c>
      <c r="M36" s="40">
        <v>29106</v>
      </c>
      <c r="N36" s="40">
        <v>29305</v>
      </c>
      <c r="O36" s="40">
        <v>31158</v>
      </c>
      <c r="P36" s="40">
        <v>32642</v>
      </c>
      <c r="Q36" s="40">
        <v>30723</v>
      </c>
      <c r="R36" s="40">
        <v>31449</v>
      </c>
      <c r="S36" s="40">
        <v>34022</v>
      </c>
      <c r="T36" s="40">
        <v>33832</v>
      </c>
      <c r="U36" s="40">
        <v>33390</v>
      </c>
      <c r="V36" s="40">
        <v>29537</v>
      </c>
      <c r="W36" s="40">
        <v>33303</v>
      </c>
      <c r="X36" s="40">
        <v>35180</v>
      </c>
      <c r="Y36" s="40">
        <v>33681</v>
      </c>
      <c r="Z36" s="40">
        <v>31079</v>
      </c>
      <c r="AA36" s="40">
        <v>25787</v>
      </c>
      <c r="AB36" s="40">
        <v>21861</v>
      </c>
      <c r="AC36" s="65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</row>
    <row r="37" spans="2:56" ht="18.649999999999999" customHeight="1" x14ac:dyDescent="0.25">
      <c r="B37" s="61" t="s">
        <v>39</v>
      </c>
      <c r="C37" s="4" t="s">
        <v>31</v>
      </c>
      <c r="D37" s="5">
        <v>4</v>
      </c>
      <c r="E37" s="40">
        <v>15791</v>
      </c>
      <c r="F37" s="40">
        <v>14720</v>
      </c>
      <c r="G37" s="40">
        <v>14466</v>
      </c>
      <c r="H37" s="40">
        <v>14560</v>
      </c>
      <c r="I37" s="40">
        <v>15652</v>
      </c>
      <c r="J37" s="40">
        <v>17862</v>
      </c>
      <c r="K37" s="40">
        <v>20071</v>
      </c>
      <c r="L37" s="40">
        <v>31481</v>
      </c>
      <c r="M37" s="40">
        <v>32922</v>
      </c>
      <c r="N37" s="40">
        <v>34316</v>
      </c>
      <c r="O37" s="40">
        <v>35349</v>
      </c>
      <c r="P37" s="40">
        <v>36797</v>
      </c>
      <c r="Q37" s="40">
        <v>35027</v>
      </c>
      <c r="R37" s="40">
        <v>33322</v>
      </c>
      <c r="S37" s="40">
        <v>32576</v>
      </c>
      <c r="T37" s="40">
        <v>32374</v>
      </c>
      <c r="U37" s="40">
        <v>32888</v>
      </c>
      <c r="V37" s="40">
        <v>30104</v>
      </c>
      <c r="W37" s="40">
        <v>34746</v>
      </c>
      <c r="X37" s="40">
        <v>34693</v>
      </c>
      <c r="Y37" s="40">
        <v>32208</v>
      </c>
      <c r="Z37" s="40">
        <v>30035</v>
      </c>
      <c r="AA37" s="40">
        <v>27019</v>
      </c>
      <c r="AB37" s="40">
        <v>24502</v>
      </c>
      <c r="AC37" s="65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</row>
    <row r="38" spans="2:56" ht="18.649999999999999" customHeight="1" x14ac:dyDescent="0.25">
      <c r="B38" s="61" t="s">
        <v>39</v>
      </c>
      <c r="C38" s="4" t="s">
        <v>32</v>
      </c>
      <c r="D38" s="5">
        <v>2</v>
      </c>
      <c r="E38" s="40">
        <v>15908</v>
      </c>
      <c r="F38" s="40">
        <v>14950</v>
      </c>
      <c r="G38" s="40">
        <v>14102</v>
      </c>
      <c r="H38" s="40">
        <v>13383</v>
      </c>
      <c r="I38" s="40">
        <v>13582</v>
      </c>
      <c r="J38" s="40">
        <v>13860</v>
      </c>
      <c r="K38" s="40">
        <v>12596</v>
      </c>
      <c r="L38" s="40">
        <v>22422</v>
      </c>
      <c r="M38" s="40">
        <v>23963</v>
      </c>
      <c r="N38" s="40">
        <v>25529</v>
      </c>
      <c r="O38" s="40">
        <v>26229</v>
      </c>
      <c r="P38" s="40">
        <v>27780</v>
      </c>
      <c r="Q38" s="40">
        <v>27537</v>
      </c>
      <c r="R38" s="40">
        <v>27678</v>
      </c>
      <c r="S38" s="40">
        <v>27676</v>
      </c>
      <c r="T38" s="40">
        <v>27067</v>
      </c>
      <c r="U38" s="40">
        <v>27059</v>
      </c>
      <c r="V38" s="40">
        <v>23730</v>
      </c>
      <c r="W38" s="40">
        <v>27226</v>
      </c>
      <c r="X38" s="40">
        <v>29561</v>
      </c>
      <c r="Y38" s="40">
        <v>28979</v>
      </c>
      <c r="Z38" s="40">
        <v>27201</v>
      </c>
      <c r="AA38" s="40">
        <v>24093</v>
      </c>
      <c r="AB38" s="40">
        <v>21185</v>
      </c>
      <c r="AC38" s="66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spans="2:56" ht="18.649999999999999" customHeight="1" x14ac:dyDescent="0.25">
      <c r="B39" s="61" t="s">
        <v>40</v>
      </c>
      <c r="C39" s="4" t="s">
        <v>29</v>
      </c>
      <c r="D39" s="5">
        <v>21</v>
      </c>
      <c r="E39" s="40">
        <v>15174</v>
      </c>
      <c r="F39" s="40">
        <v>14402</v>
      </c>
      <c r="G39" s="40">
        <v>14099</v>
      </c>
      <c r="H39" s="40">
        <v>13934</v>
      </c>
      <c r="I39" s="40">
        <v>15064</v>
      </c>
      <c r="J39" s="40">
        <v>18596</v>
      </c>
      <c r="K39" s="40">
        <v>18996</v>
      </c>
      <c r="L39" s="40">
        <v>27826</v>
      </c>
      <c r="M39" s="40">
        <v>27846</v>
      </c>
      <c r="N39" s="40">
        <v>28539</v>
      </c>
      <c r="O39" s="40">
        <v>29548</v>
      </c>
      <c r="P39" s="40">
        <v>30839</v>
      </c>
      <c r="Q39" s="40">
        <v>30309</v>
      </c>
      <c r="R39" s="40">
        <v>30540</v>
      </c>
      <c r="S39" s="40">
        <v>31325</v>
      </c>
      <c r="T39" s="40">
        <v>31543</v>
      </c>
      <c r="U39" s="40">
        <v>31387</v>
      </c>
      <c r="V39" s="40">
        <v>27449</v>
      </c>
      <c r="W39" s="40">
        <v>32030</v>
      </c>
      <c r="X39" s="40">
        <v>32448</v>
      </c>
      <c r="Y39" s="40">
        <v>31036</v>
      </c>
      <c r="Z39" s="40">
        <v>28245</v>
      </c>
      <c r="AA39" s="40">
        <v>24294</v>
      </c>
      <c r="AB39" s="40">
        <v>20915</v>
      </c>
      <c r="AC39" s="64">
        <f>+SUM(E39:AB39)*D39+SUM(E40:AB40)*D40+SUM(E41:AB41)*D41+SUM(E42:AB42)*D42</f>
        <v>17784623</v>
      </c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</row>
    <row r="40" spans="2:56" ht="18.649999999999999" customHeight="1" x14ac:dyDescent="0.25">
      <c r="B40" s="61" t="s">
        <v>40</v>
      </c>
      <c r="C40" s="4" t="s">
        <v>30</v>
      </c>
      <c r="D40" s="5">
        <v>4</v>
      </c>
      <c r="E40" s="40">
        <v>16609</v>
      </c>
      <c r="F40" s="40">
        <v>15203</v>
      </c>
      <c r="G40" s="40">
        <v>14697</v>
      </c>
      <c r="H40" s="40">
        <v>14392</v>
      </c>
      <c r="I40" s="40">
        <v>14882</v>
      </c>
      <c r="J40" s="40">
        <v>15662</v>
      </c>
      <c r="K40" s="40">
        <v>15873</v>
      </c>
      <c r="L40" s="40">
        <v>26350</v>
      </c>
      <c r="M40" s="40">
        <v>28386</v>
      </c>
      <c r="N40" s="40">
        <v>29478</v>
      </c>
      <c r="O40" s="40">
        <v>30093</v>
      </c>
      <c r="P40" s="40">
        <v>30773</v>
      </c>
      <c r="Q40" s="40">
        <v>30527</v>
      </c>
      <c r="R40" s="40">
        <v>29889</v>
      </c>
      <c r="S40" s="40">
        <v>29493</v>
      </c>
      <c r="T40" s="40">
        <v>29473</v>
      </c>
      <c r="U40" s="40">
        <v>29950</v>
      </c>
      <c r="V40" s="40">
        <v>26215</v>
      </c>
      <c r="W40" s="40">
        <v>30426</v>
      </c>
      <c r="X40" s="40">
        <v>30328</v>
      </c>
      <c r="Y40" s="40">
        <v>29245</v>
      </c>
      <c r="Z40" s="40">
        <v>26641</v>
      </c>
      <c r="AA40" s="40">
        <v>23900</v>
      </c>
      <c r="AB40" s="40">
        <v>21296</v>
      </c>
      <c r="AC40" s="65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spans="2:56" ht="18.649999999999999" customHeight="1" x14ac:dyDescent="0.25">
      <c r="B41" s="61" t="s">
        <v>40</v>
      </c>
      <c r="C41" s="4" t="s">
        <v>31</v>
      </c>
      <c r="D41" s="5">
        <v>5</v>
      </c>
      <c r="E41" s="40">
        <v>16210</v>
      </c>
      <c r="F41" s="40">
        <v>15236</v>
      </c>
      <c r="G41" s="40">
        <v>14628</v>
      </c>
      <c r="H41" s="40">
        <v>14131</v>
      </c>
      <c r="I41" s="40">
        <v>13859</v>
      </c>
      <c r="J41" s="40">
        <v>13395</v>
      </c>
      <c r="K41" s="40">
        <v>12177</v>
      </c>
      <c r="L41" s="40">
        <v>21484</v>
      </c>
      <c r="M41" s="40">
        <v>23819</v>
      </c>
      <c r="N41" s="40">
        <v>24989</v>
      </c>
      <c r="O41" s="40">
        <v>25986</v>
      </c>
      <c r="P41" s="40">
        <v>26795</v>
      </c>
      <c r="Q41" s="40">
        <v>27235</v>
      </c>
      <c r="R41" s="40">
        <v>26953</v>
      </c>
      <c r="S41" s="40">
        <v>26970</v>
      </c>
      <c r="T41" s="40">
        <v>27098</v>
      </c>
      <c r="U41" s="40">
        <v>27146</v>
      </c>
      <c r="V41" s="40">
        <v>24410</v>
      </c>
      <c r="W41" s="40">
        <v>29118</v>
      </c>
      <c r="X41" s="40">
        <v>29546</v>
      </c>
      <c r="Y41" s="40">
        <v>28827</v>
      </c>
      <c r="Z41" s="40">
        <v>25906</v>
      </c>
      <c r="AA41" s="40">
        <v>22644</v>
      </c>
      <c r="AB41" s="40">
        <v>19725</v>
      </c>
      <c r="AC41" s="65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</row>
    <row r="42" spans="2:56" ht="18.649999999999999" customHeight="1" x14ac:dyDescent="0.25">
      <c r="B42" s="61" t="s">
        <v>40</v>
      </c>
      <c r="C42" s="4" t="s">
        <v>32</v>
      </c>
      <c r="D42" s="5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66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spans="2:56" ht="18.649999999999999" customHeight="1" x14ac:dyDescent="0.25">
      <c r="B43" s="61" t="s">
        <v>41</v>
      </c>
      <c r="C43" s="4" t="s">
        <v>29</v>
      </c>
      <c r="D43" s="5">
        <v>22</v>
      </c>
      <c r="E43" s="40">
        <v>15468</v>
      </c>
      <c r="F43" s="40">
        <v>14563</v>
      </c>
      <c r="G43" s="40">
        <v>14134</v>
      </c>
      <c r="H43" s="40">
        <v>14170</v>
      </c>
      <c r="I43" s="40">
        <v>15509</v>
      </c>
      <c r="J43" s="40">
        <v>18773</v>
      </c>
      <c r="K43" s="40">
        <v>18534</v>
      </c>
      <c r="L43" s="40">
        <v>27483</v>
      </c>
      <c r="M43" s="40">
        <v>27153</v>
      </c>
      <c r="N43" s="40">
        <v>27963</v>
      </c>
      <c r="O43" s="40">
        <v>28709</v>
      </c>
      <c r="P43" s="40">
        <v>29639</v>
      </c>
      <c r="Q43" s="40">
        <v>29159</v>
      </c>
      <c r="R43" s="40">
        <v>29285</v>
      </c>
      <c r="S43" s="40">
        <v>30548</v>
      </c>
      <c r="T43" s="40">
        <v>30837</v>
      </c>
      <c r="U43" s="40">
        <v>31210</v>
      </c>
      <c r="V43" s="40">
        <v>28338</v>
      </c>
      <c r="W43" s="40">
        <v>33011</v>
      </c>
      <c r="X43" s="40">
        <v>32632</v>
      </c>
      <c r="Y43" s="40">
        <v>30515</v>
      </c>
      <c r="Z43" s="40">
        <v>28141</v>
      </c>
      <c r="AA43" s="40">
        <v>24132</v>
      </c>
      <c r="AB43" s="40">
        <v>20990</v>
      </c>
      <c r="AC43" s="64">
        <f>+SUM(E43:AB43)*D43+SUM(E44:AB44)*D44+SUM(E45:AB45)*D45+SUM(E46:AB46)*D46</f>
        <v>18398248</v>
      </c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</row>
    <row r="44" spans="2:56" ht="18.649999999999999" customHeight="1" x14ac:dyDescent="0.25">
      <c r="B44" s="61" t="s">
        <v>41</v>
      </c>
      <c r="C44" s="4" t="s">
        <v>30</v>
      </c>
      <c r="D44" s="5">
        <v>4</v>
      </c>
      <c r="E44" s="40">
        <v>16890</v>
      </c>
      <c r="F44" s="40">
        <v>15716</v>
      </c>
      <c r="G44" s="40">
        <v>15038</v>
      </c>
      <c r="H44" s="40">
        <v>14926</v>
      </c>
      <c r="I44" s="40">
        <v>15399</v>
      </c>
      <c r="J44" s="40">
        <v>15887</v>
      </c>
      <c r="K44" s="40">
        <v>14905</v>
      </c>
      <c r="L44" s="40">
        <v>26506</v>
      </c>
      <c r="M44" s="40">
        <v>27484</v>
      </c>
      <c r="N44" s="40">
        <v>29037</v>
      </c>
      <c r="O44" s="40">
        <v>29205</v>
      </c>
      <c r="P44" s="40">
        <v>29934</v>
      </c>
      <c r="Q44" s="40">
        <v>29868</v>
      </c>
      <c r="R44" s="40">
        <v>29244</v>
      </c>
      <c r="S44" s="40">
        <v>29618</v>
      </c>
      <c r="T44" s="40">
        <v>29851</v>
      </c>
      <c r="U44" s="40">
        <v>30115</v>
      </c>
      <c r="V44" s="40">
        <v>26372</v>
      </c>
      <c r="W44" s="40">
        <v>32995</v>
      </c>
      <c r="X44" s="40">
        <v>32602</v>
      </c>
      <c r="Y44" s="40">
        <v>31403</v>
      </c>
      <c r="Z44" s="40">
        <v>29558</v>
      </c>
      <c r="AA44" s="40">
        <v>26185</v>
      </c>
      <c r="AB44" s="40">
        <v>23482</v>
      </c>
      <c r="AC44" s="65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spans="2:56" ht="18.649999999999999" customHeight="1" x14ac:dyDescent="0.25">
      <c r="B45" s="61" t="s">
        <v>41</v>
      </c>
      <c r="C45" s="4" t="s">
        <v>31</v>
      </c>
      <c r="D45" s="5">
        <v>4</v>
      </c>
      <c r="E45" s="40">
        <v>17581</v>
      </c>
      <c r="F45" s="40">
        <v>16640</v>
      </c>
      <c r="G45" s="40">
        <v>15677</v>
      </c>
      <c r="H45" s="40">
        <v>15040</v>
      </c>
      <c r="I45" s="40">
        <v>15061</v>
      </c>
      <c r="J45" s="40">
        <v>14291</v>
      </c>
      <c r="K45" s="40">
        <v>11940</v>
      </c>
      <c r="L45" s="40">
        <v>21569</v>
      </c>
      <c r="M45" s="40">
        <v>23970</v>
      </c>
      <c r="N45" s="40">
        <v>26330</v>
      </c>
      <c r="O45" s="40">
        <v>26327</v>
      </c>
      <c r="P45" s="40">
        <v>27176</v>
      </c>
      <c r="Q45" s="40">
        <v>27558</v>
      </c>
      <c r="R45" s="40">
        <v>26988</v>
      </c>
      <c r="S45" s="40">
        <v>27659</v>
      </c>
      <c r="T45" s="40">
        <v>27853</v>
      </c>
      <c r="U45" s="40">
        <v>27120</v>
      </c>
      <c r="V45" s="40">
        <v>24782</v>
      </c>
      <c r="W45" s="40">
        <v>29670</v>
      </c>
      <c r="X45" s="40">
        <v>30174</v>
      </c>
      <c r="Y45" s="40">
        <v>28855</v>
      </c>
      <c r="Z45" s="40">
        <v>26234</v>
      </c>
      <c r="AA45" s="40">
        <v>22990</v>
      </c>
      <c r="AB45" s="40">
        <v>19848</v>
      </c>
      <c r="AC45" s="65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</row>
    <row r="46" spans="2:56" ht="18.649999999999999" customHeight="1" x14ac:dyDescent="0.25">
      <c r="B46" s="61" t="s">
        <v>41</v>
      </c>
      <c r="C46" s="4" t="s">
        <v>32</v>
      </c>
      <c r="D46" s="5">
        <v>1</v>
      </c>
      <c r="E46" s="40">
        <v>15364</v>
      </c>
      <c r="F46" s="40">
        <v>14967</v>
      </c>
      <c r="G46" s="40">
        <v>14022</v>
      </c>
      <c r="H46" s="40">
        <v>13800</v>
      </c>
      <c r="I46" s="40">
        <v>14168</v>
      </c>
      <c r="J46" s="40">
        <v>14261</v>
      </c>
      <c r="K46" s="40">
        <v>11051</v>
      </c>
      <c r="L46" s="40">
        <v>21544</v>
      </c>
      <c r="M46" s="40">
        <v>22739</v>
      </c>
      <c r="N46" s="40">
        <v>25446</v>
      </c>
      <c r="O46" s="40">
        <v>26252</v>
      </c>
      <c r="P46" s="40">
        <v>28482</v>
      </c>
      <c r="Q46" s="40">
        <v>28958</v>
      </c>
      <c r="R46" s="40">
        <v>28915</v>
      </c>
      <c r="S46" s="40">
        <v>29051</v>
      </c>
      <c r="T46" s="40">
        <v>28122</v>
      </c>
      <c r="U46" s="40">
        <v>27601</v>
      </c>
      <c r="V46" s="40">
        <v>27240</v>
      </c>
      <c r="W46" s="40">
        <v>33099</v>
      </c>
      <c r="X46" s="40">
        <v>32700</v>
      </c>
      <c r="Y46" s="40">
        <v>31232</v>
      </c>
      <c r="Z46" s="40">
        <v>28760</v>
      </c>
      <c r="AA46" s="40">
        <v>24922</v>
      </c>
      <c r="AB46" s="40">
        <v>21628</v>
      </c>
      <c r="AC46" s="66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spans="2:56" ht="18.649999999999999" customHeight="1" x14ac:dyDescent="0.25">
      <c r="B47" s="61" t="s">
        <v>42</v>
      </c>
      <c r="C47" s="4" t="s">
        <v>29</v>
      </c>
      <c r="D47" s="5">
        <v>19</v>
      </c>
      <c r="E47" s="40">
        <v>15239</v>
      </c>
      <c r="F47" s="40">
        <v>14455</v>
      </c>
      <c r="G47" s="40">
        <v>14287</v>
      </c>
      <c r="H47" s="40">
        <v>14181</v>
      </c>
      <c r="I47" s="40">
        <v>15670</v>
      </c>
      <c r="J47" s="40">
        <v>19123</v>
      </c>
      <c r="K47" s="40">
        <v>19505</v>
      </c>
      <c r="L47" s="40">
        <v>28931</v>
      </c>
      <c r="M47" s="40">
        <v>28546</v>
      </c>
      <c r="N47" s="40">
        <v>29179</v>
      </c>
      <c r="O47" s="40">
        <v>29998</v>
      </c>
      <c r="P47" s="40">
        <v>31229</v>
      </c>
      <c r="Q47" s="40">
        <v>30597</v>
      </c>
      <c r="R47" s="40">
        <v>30318</v>
      </c>
      <c r="S47" s="40">
        <v>31463</v>
      </c>
      <c r="T47" s="40">
        <v>31593</v>
      </c>
      <c r="U47" s="40">
        <v>31719</v>
      </c>
      <c r="V47" s="40">
        <v>28832</v>
      </c>
      <c r="W47" s="40">
        <v>34052</v>
      </c>
      <c r="X47" s="40">
        <v>33645</v>
      </c>
      <c r="Y47" s="40">
        <v>31022</v>
      </c>
      <c r="Z47" s="40">
        <v>28136</v>
      </c>
      <c r="AA47" s="40">
        <v>24368</v>
      </c>
      <c r="AB47" s="40">
        <v>21030</v>
      </c>
      <c r="AC47" s="64">
        <f>+SUM(E47:AB47)*D47+SUM(E48:AB48)*D48+SUM(E49:AB49)*D49+SUM(E50:AB50)*D50</f>
        <v>18072840</v>
      </c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</row>
    <row r="48" spans="2:56" ht="18.649999999999999" customHeight="1" x14ac:dyDescent="0.25">
      <c r="B48" s="61" t="s">
        <v>42</v>
      </c>
      <c r="C48" s="4" t="s">
        <v>30</v>
      </c>
      <c r="D48" s="5">
        <v>5</v>
      </c>
      <c r="E48" s="40">
        <v>16251</v>
      </c>
      <c r="F48" s="40">
        <v>15045</v>
      </c>
      <c r="G48" s="40">
        <v>14559</v>
      </c>
      <c r="H48" s="40">
        <v>14277</v>
      </c>
      <c r="I48" s="40">
        <v>15045</v>
      </c>
      <c r="J48" s="40">
        <v>15478</v>
      </c>
      <c r="K48" s="40">
        <v>16083</v>
      </c>
      <c r="L48" s="40">
        <v>27465</v>
      </c>
      <c r="M48" s="40">
        <v>28914</v>
      </c>
      <c r="N48" s="40">
        <v>29775</v>
      </c>
      <c r="O48" s="40">
        <v>30197</v>
      </c>
      <c r="P48" s="40">
        <v>30832</v>
      </c>
      <c r="Q48" s="40">
        <v>30201</v>
      </c>
      <c r="R48" s="40">
        <v>29921</v>
      </c>
      <c r="S48" s="40">
        <v>30008</v>
      </c>
      <c r="T48" s="40">
        <v>30361</v>
      </c>
      <c r="U48" s="40">
        <v>30350</v>
      </c>
      <c r="V48" s="40">
        <v>27512</v>
      </c>
      <c r="W48" s="40">
        <v>32350</v>
      </c>
      <c r="X48" s="40">
        <v>32407</v>
      </c>
      <c r="Y48" s="40">
        <v>30243</v>
      </c>
      <c r="Z48" s="40">
        <v>28054</v>
      </c>
      <c r="AA48" s="40">
        <v>25353</v>
      </c>
      <c r="AB48" s="40">
        <v>22287</v>
      </c>
      <c r="AC48" s="65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spans="2:56" ht="18.649999999999999" customHeight="1" x14ac:dyDescent="0.25">
      <c r="B49" s="61" t="s">
        <v>42</v>
      </c>
      <c r="C49" s="4" t="s">
        <v>31</v>
      </c>
      <c r="D49" s="5">
        <v>4</v>
      </c>
      <c r="E49" s="40">
        <v>16679</v>
      </c>
      <c r="F49" s="40">
        <v>15655</v>
      </c>
      <c r="G49" s="40">
        <v>14618</v>
      </c>
      <c r="H49" s="40">
        <v>14471</v>
      </c>
      <c r="I49" s="40">
        <v>14593</v>
      </c>
      <c r="J49" s="40">
        <v>13989</v>
      </c>
      <c r="K49" s="40">
        <v>12306</v>
      </c>
      <c r="L49" s="40">
        <v>21708</v>
      </c>
      <c r="M49" s="40">
        <v>24013</v>
      </c>
      <c r="N49" s="40">
        <v>25408</v>
      </c>
      <c r="O49" s="40">
        <v>26064</v>
      </c>
      <c r="P49" s="40">
        <v>28229</v>
      </c>
      <c r="Q49" s="40">
        <v>28452</v>
      </c>
      <c r="R49" s="40">
        <v>28585</v>
      </c>
      <c r="S49" s="40">
        <v>28550</v>
      </c>
      <c r="T49" s="40">
        <v>28373</v>
      </c>
      <c r="U49" s="40">
        <v>29094</v>
      </c>
      <c r="V49" s="40">
        <v>26243</v>
      </c>
      <c r="W49" s="40">
        <v>30557</v>
      </c>
      <c r="X49" s="40">
        <v>30685</v>
      </c>
      <c r="Y49" s="40">
        <v>29133</v>
      </c>
      <c r="Z49" s="40">
        <v>27035</v>
      </c>
      <c r="AA49" s="40">
        <v>23877</v>
      </c>
      <c r="AB49" s="40">
        <v>20610</v>
      </c>
      <c r="AC49" s="65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</row>
    <row r="50" spans="2:56" ht="18.649999999999999" customHeight="1" x14ac:dyDescent="0.25">
      <c r="B50" s="61" t="s">
        <v>42</v>
      </c>
      <c r="C50" s="4" t="s">
        <v>32</v>
      </c>
      <c r="D50" s="5">
        <v>2</v>
      </c>
      <c r="E50" s="40">
        <v>15766</v>
      </c>
      <c r="F50" s="40">
        <v>14887</v>
      </c>
      <c r="G50" s="40">
        <v>14570</v>
      </c>
      <c r="H50" s="40">
        <v>13992</v>
      </c>
      <c r="I50" s="40">
        <v>14320</v>
      </c>
      <c r="J50" s="40">
        <v>14588</v>
      </c>
      <c r="K50" s="40">
        <v>12231</v>
      </c>
      <c r="L50" s="40">
        <v>21332</v>
      </c>
      <c r="M50" s="40">
        <v>23429</v>
      </c>
      <c r="N50" s="40">
        <v>25278</v>
      </c>
      <c r="O50" s="40">
        <v>26466</v>
      </c>
      <c r="P50" s="40">
        <v>27896</v>
      </c>
      <c r="Q50" s="40">
        <v>28139</v>
      </c>
      <c r="R50" s="40">
        <v>28262</v>
      </c>
      <c r="S50" s="40">
        <v>27764</v>
      </c>
      <c r="T50" s="40">
        <v>27304</v>
      </c>
      <c r="U50" s="40">
        <v>27088</v>
      </c>
      <c r="V50" s="40">
        <v>26230</v>
      </c>
      <c r="W50" s="40">
        <v>31196</v>
      </c>
      <c r="X50" s="40">
        <v>30971</v>
      </c>
      <c r="Y50" s="40">
        <v>29055</v>
      </c>
      <c r="Z50" s="40">
        <v>25899</v>
      </c>
      <c r="AA50" s="40">
        <v>22597</v>
      </c>
      <c r="AB50" s="40">
        <v>19265</v>
      </c>
      <c r="AC50" s="66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spans="2:56" ht="18.649999999999999" customHeight="1" x14ac:dyDescent="0.25">
      <c r="B51" s="61" t="s">
        <v>43</v>
      </c>
      <c r="C51" s="4" t="s">
        <v>29</v>
      </c>
      <c r="D51" s="5">
        <v>21</v>
      </c>
      <c r="E51" s="40">
        <v>16005</v>
      </c>
      <c r="F51" s="40">
        <v>14903</v>
      </c>
      <c r="G51" s="40">
        <v>14505</v>
      </c>
      <c r="H51" s="40">
        <v>14378</v>
      </c>
      <c r="I51" s="40">
        <v>15283</v>
      </c>
      <c r="J51" s="40">
        <v>17118</v>
      </c>
      <c r="K51" s="40">
        <v>16924</v>
      </c>
      <c r="L51" s="40">
        <v>27428</v>
      </c>
      <c r="M51" s="40">
        <v>28148</v>
      </c>
      <c r="N51" s="40">
        <v>28955</v>
      </c>
      <c r="O51" s="40">
        <v>29810</v>
      </c>
      <c r="P51" s="40">
        <v>31216</v>
      </c>
      <c r="Q51" s="40">
        <v>30764</v>
      </c>
      <c r="R51" s="40">
        <v>30647</v>
      </c>
      <c r="S51" s="40">
        <v>31154</v>
      </c>
      <c r="T51" s="40">
        <v>31389</v>
      </c>
      <c r="U51" s="40">
        <v>31472</v>
      </c>
      <c r="V51" s="40">
        <v>28775</v>
      </c>
      <c r="W51" s="40">
        <v>34089</v>
      </c>
      <c r="X51" s="40">
        <v>33510</v>
      </c>
      <c r="Y51" s="40">
        <v>31737</v>
      </c>
      <c r="Z51" s="40">
        <v>29180</v>
      </c>
      <c r="AA51" s="40">
        <v>25836</v>
      </c>
      <c r="AB51" s="40">
        <v>22488</v>
      </c>
      <c r="AC51" s="64">
        <f>+SUM(E51:AB51)*D51+SUM(E52:AB52)*D52+SUM(E53:AB53)*D53+SUM(E54:AB54)*D54</f>
        <v>18469208</v>
      </c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</row>
    <row r="52" spans="2:56" ht="18.649999999999999" customHeight="1" x14ac:dyDescent="0.25">
      <c r="B52" s="61" t="s">
        <v>43</v>
      </c>
      <c r="C52" s="4" t="s">
        <v>30</v>
      </c>
      <c r="D52" s="5">
        <v>4</v>
      </c>
      <c r="E52" s="40">
        <v>17379</v>
      </c>
      <c r="F52" s="40">
        <v>15924</v>
      </c>
      <c r="G52" s="40">
        <v>15224</v>
      </c>
      <c r="H52" s="40">
        <v>14972</v>
      </c>
      <c r="I52" s="40">
        <v>15185</v>
      </c>
      <c r="J52" s="40">
        <v>16005</v>
      </c>
      <c r="K52" s="40">
        <v>14918</v>
      </c>
      <c r="L52" s="40">
        <v>26366</v>
      </c>
      <c r="M52" s="40">
        <v>28205</v>
      </c>
      <c r="N52" s="40">
        <v>29292</v>
      </c>
      <c r="O52" s="40">
        <v>29591</v>
      </c>
      <c r="P52" s="40">
        <v>29900</v>
      </c>
      <c r="Q52" s="40">
        <v>30394</v>
      </c>
      <c r="R52" s="40">
        <v>29453</v>
      </c>
      <c r="S52" s="40">
        <v>28544</v>
      </c>
      <c r="T52" s="40">
        <v>28683</v>
      </c>
      <c r="U52" s="40">
        <v>28961</v>
      </c>
      <c r="V52" s="40">
        <v>26382</v>
      </c>
      <c r="W52" s="40">
        <v>31393</v>
      </c>
      <c r="X52" s="40">
        <v>30832</v>
      </c>
      <c r="Y52" s="40">
        <v>29045</v>
      </c>
      <c r="Z52" s="40">
        <v>26644</v>
      </c>
      <c r="AA52" s="40">
        <v>24568</v>
      </c>
      <c r="AB52" s="40">
        <v>22406</v>
      </c>
      <c r="AC52" s="65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spans="2:56" ht="18.649999999999999" customHeight="1" x14ac:dyDescent="0.25">
      <c r="B53" s="61" t="s">
        <v>43</v>
      </c>
      <c r="C53" s="4" t="s">
        <v>31</v>
      </c>
      <c r="D53" s="5">
        <v>4</v>
      </c>
      <c r="E53" s="40">
        <v>17091</v>
      </c>
      <c r="F53" s="40">
        <v>15907</v>
      </c>
      <c r="G53" s="40">
        <v>14947</v>
      </c>
      <c r="H53" s="40">
        <v>14616</v>
      </c>
      <c r="I53" s="40">
        <v>14122</v>
      </c>
      <c r="J53" s="40">
        <v>13692</v>
      </c>
      <c r="K53" s="40">
        <v>11290</v>
      </c>
      <c r="L53" s="40">
        <v>19913</v>
      </c>
      <c r="M53" s="40">
        <v>22218</v>
      </c>
      <c r="N53" s="40">
        <v>23743</v>
      </c>
      <c r="O53" s="40">
        <v>24582</v>
      </c>
      <c r="P53" s="40">
        <v>25500</v>
      </c>
      <c r="Q53" s="40">
        <v>26662</v>
      </c>
      <c r="R53" s="40">
        <v>26818</v>
      </c>
      <c r="S53" s="40">
        <v>26823</v>
      </c>
      <c r="T53" s="40">
        <v>26475</v>
      </c>
      <c r="U53" s="40">
        <v>25998</v>
      </c>
      <c r="V53" s="40">
        <v>23663</v>
      </c>
      <c r="W53" s="40">
        <v>29396</v>
      </c>
      <c r="X53" s="40">
        <v>30446</v>
      </c>
      <c r="Y53" s="40">
        <v>30059</v>
      </c>
      <c r="Z53" s="40">
        <v>28122</v>
      </c>
      <c r="AA53" s="40">
        <v>24307</v>
      </c>
      <c r="AB53" s="40">
        <v>20213</v>
      </c>
      <c r="AC53" s="65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</row>
    <row r="54" spans="2:56" ht="18.649999999999999" customHeight="1" x14ac:dyDescent="0.25">
      <c r="B54" s="61" t="s">
        <v>43</v>
      </c>
      <c r="C54" s="4" t="s">
        <v>32</v>
      </c>
      <c r="D54" s="5">
        <v>2</v>
      </c>
      <c r="E54" s="40">
        <v>17867</v>
      </c>
      <c r="F54" s="40">
        <v>17060</v>
      </c>
      <c r="G54" s="40">
        <v>16007</v>
      </c>
      <c r="H54" s="40">
        <v>14927</v>
      </c>
      <c r="I54" s="40">
        <v>14300</v>
      </c>
      <c r="J54" s="40">
        <v>13541</v>
      </c>
      <c r="K54" s="40">
        <v>10369</v>
      </c>
      <c r="L54" s="40">
        <v>18942</v>
      </c>
      <c r="M54" s="40">
        <v>20393</v>
      </c>
      <c r="N54" s="40">
        <v>21345</v>
      </c>
      <c r="O54" s="40">
        <v>22345</v>
      </c>
      <c r="P54" s="40">
        <v>23517</v>
      </c>
      <c r="Q54" s="40">
        <v>24584</v>
      </c>
      <c r="R54" s="40">
        <v>25077</v>
      </c>
      <c r="S54" s="40">
        <v>25016</v>
      </c>
      <c r="T54" s="40">
        <v>25181</v>
      </c>
      <c r="U54" s="40">
        <v>25719</v>
      </c>
      <c r="V54" s="40">
        <v>23118</v>
      </c>
      <c r="W54" s="40">
        <v>29000</v>
      </c>
      <c r="X54" s="40">
        <v>29425</v>
      </c>
      <c r="Y54" s="40">
        <v>28482</v>
      </c>
      <c r="Z54" s="40">
        <v>26446</v>
      </c>
      <c r="AA54" s="40">
        <v>23050</v>
      </c>
      <c r="AB54" s="40">
        <v>20158</v>
      </c>
      <c r="AC54" s="66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spans="2:56" ht="18.649999999999999" customHeight="1" x14ac:dyDescent="0.25"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68" t="s">
        <v>46</v>
      </c>
      <c r="AA55" s="68"/>
      <c r="AB55" s="68"/>
      <c r="AC55" s="42">
        <f>SUM(AC7:AC54)</f>
        <v>212269661</v>
      </c>
    </row>
    <row r="57" spans="2:56" x14ac:dyDescent="0.25">
      <c r="AC57" s="39"/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Oferta Producto 1</vt:lpstr>
      <vt:lpstr>Oferta Producto 2</vt:lpstr>
      <vt:lpstr>Oferta Producto 3</vt:lpstr>
      <vt:lpstr>Oferta Producto 4</vt:lpstr>
      <vt:lpstr>Cantidad Producto 1-2027</vt:lpstr>
      <vt:lpstr>Cantidad Producto 2-2028</vt:lpstr>
      <vt:lpstr>Cantidad Producto3-2029</vt:lpstr>
      <vt:lpstr>Cantidad Producto 1-2030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 QUICENO PEREZ</dc:creator>
  <cp:lastModifiedBy>VALENTINA HINCAPIE BEDOYA</cp:lastModifiedBy>
  <dcterms:created xsi:type="dcterms:W3CDTF">2024-09-16T15:42:34Z</dcterms:created>
  <dcterms:modified xsi:type="dcterms:W3CDTF">2025-10-08T15:44:48Z</dcterms:modified>
</cp:coreProperties>
</file>